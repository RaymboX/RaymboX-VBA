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xlsm" ContentType="application/vnd.ms-excel.sheet.macroEnabled.12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ti\OneDrive\Bureau\GITPUBLIC\"/>
    </mc:Choice>
  </mc:AlternateContent>
  <bookViews>
    <workbookView xWindow="0" yWindow="0" windowWidth="28800" windowHeight="12435" firstSheet="2" activeTab="2"/>
  </bookViews>
  <sheets>
    <sheet name="Docs" sheetId="2" state="hidden" r:id="rId1"/>
    <sheet name="Systeme" sheetId="1" state="hidden" r:id="rId2"/>
    <sheet name="Menu" sheetId="4" r:id="rId3"/>
    <sheet name="tblDocs" sheetId="3" state="hidden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4" i="3" l="1"/>
  <c r="U5" i="3" l="1"/>
  <c r="U6" i="3"/>
  <c r="U4" i="3"/>
  <c r="H119" i="3" l="1"/>
  <c r="H15" i="3"/>
  <c r="H108" i="3"/>
  <c r="H35" i="3" l="1"/>
  <c r="H18" i="3"/>
  <c r="H61" i="3" l="1"/>
  <c r="H64" i="3" l="1"/>
  <c r="H112" i="3" l="1"/>
  <c r="H57" i="3"/>
  <c r="H109" i="3" l="1"/>
  <c r="H21" i="3"/>
  <c r="H131" i="3" l="1"/>
  <c r="H100" i="3" l="1"/>
  <c r="H10" i="3" l="1"/>
  <c r="H16" i="3"/>
  <c r="H14" i="3"/>
  <c r="H12" i="3"/>
  <c r="H11" i="3"/>
  <c r="H9" i="3"/>
  <c r="H8" i="3"/>
  <c r="H36" i="3"/>
  <c r="H84" i="3"/>
  <c r="H44" i="3"/>
  <c r="H74" i="3"/>
  <c r="H82" i="3"/>
  <c r="H138" i="3"/>
  <c r="H80" i="3"/>
  <c r="H67" i="3"/>
  <c r="H66" i="3"/>
  <c r="H78" i="3"/>
  <c r="H60" i="3" l="1"/>
  <c r="H118" i="3"/>
  <c r="H5" i="3"/>
  <c r="H132" i="3"/>
  <c r="H46" i="3"/>
  <c r="H91" i="3" l="1"/>
  <c r="H136" i="3" l="1"/>
  <c r="H116" i="3"/>
  <c r="H133" i="3"/>
  <c r="H79" i="3"/>
  <c r="H75" i="3"/>
  <c r="H45" i="3"/>
  <c r="H129" i="3"/>
  <c r="H128" i="3"/>
  <c r="H33" i="3"/>
  <c r="H113" i="3"/>
  <c r="H83" i="3"/>
  <c r="H86" i="3"/>
  <c r="H17" i="3"/>
  <c r="H124" i="3"/>
  <c r="H125" i="3"/>
  <c r="H19" i="3"/>
  <c r="H101" i="3"/>
  <c r="H117" i="3"/>
  <c r="H106" i="3"/>
  <c r="H126" i="3"/>
  <c r="H73" i="3"/>
  <c r="H34" i="3"/>
  <c r="H27" i="3"/>
  <c r="H122" i="3"/>
  <c r="H121" i="3"/>
  <c r="H81" i="3"/>
  <c r="H56" i="3"/>
  <c r="H55" i="3"/>
  <c r="H137" i="3"/>
  <c r="H54" i="3"/>
  <c r="H52" i="3"/>
  <c r="H87" i="3"/>
  <c r="H58" i="3"/>
  <c r="H37" i="3"/>
  <c r="H53" i="3"/>
  <c r="H123" i="3"/>
  <c r="H30" i="3"/>
  <c r="H29" i="3"/>
  <c r="H43" i="3"/>
  <c r="H95" i="3"/>
  <c r="H92" i="3"/>
  <c r="H51" i="3"/>
  <c r="H103" i="3"/>
  <c r="H110" i="3"/>
  <c r="H93" i="3"/>
  <c r="H115" i="3"/>
  <c r="H102" i="3"/>
  <c r="H104" i="3"/>
  <c r="H105" i="3"/>
  <c r="H13" i="3"/>
  <c r="H130" i="3"/>
  <c r="H62" i="3"/>
  <c r="H63" i="3"/>
  <c r="H4" i="3"/>
  <c r="H99" i="3"/>
  <c r="H88" i="3"/>
  <c r="H39" i="3"/>
  <c r="H98" i="3"/>
  <c r="H107" i="3"/>
  <c r="H7" i="3"/>
  <c r="H6" i="3"/>
  <c r="H40" i="3"/>
  <c r="H38" i="3"/>
  <c r="H120" i="3"/>
  <c r="H77" i="3"/>
  <c r="H24" i="3"/>
  <c r="H135" i="3"/>
  <c r="H94" i="3"/>
  <c r="H96" i="3"/>
  <c r="H50" i="3"/>
  <c r="H72" i="3"/>
  <c r="H32" i="3"/>
  <c r="H25" i="3"/>
  <c r="H111" i="3"/>
  <c r="H31" i="3"/>
  <c r="H41" i="3"/>
  <c r="H22" i="3"/>
  <c r="H127" i="3"/>
  <c r="H70" i="3"/>
  <c r="H59" i="3"/>
  <c r="H89" i="3"/>
  <c r="H85" i="3"/>
  <c r="H26" i="3"/>
  <c r="H97" i="3"/>
  <c r="H76" i="3"/>
  <c r="H69" i="3"/>
  <c r="H68" i="3"/>
  <c r="H65" i="3"/>
  <c r="H49" i="3"/>
  <c r="H48" i="3"/>
  <c r="H134" i="3" l="1"/>
  <c r="H114" i="3"/>
  <c r="H23" i="3" l="1"/>
  <c r="H20" i="3"/>
  <c r="D7" i="1"/>
  <c r="D5" i="1" l="1"/>
  <c r="D4" i="1"/>
  <c r="H28" i="3"/>
  <c r="H71" i="3"/>
  <c r="H90" i="3"/>
  <c r="H42" i="3"/>
  <c r="H47" i="3"/>
</calcChain>
</file>

<file path=xl/comments1.xml><?xml version="1.0" encoding="utf-8"?>
<comments xmlns="http://schemas.openxmlformats.org/spreadsheetml/2006/main">
  <authors>
    <author>Raymond Martin</author>
  </authors>
  <commentList>
    <comment ref="C6" authorId="0" shapeId="0">
      <text>
        <r>
          <rPr>
            <b/>
            <sz val="9"/>
            <color indexed="81"/>
            <rFont val="Tahoma"/>
            <charset val="1"/>
          </rPr>
          <t>Empty = MC FILTER
FREE = Recherche libre</t>
        </r>
      </text>
    </comment>
  </commentList>
</comments>
</file>

<file path=xl/comments2.xml><?xml version="1.0" encoding="utf-8"?>
<comments xmlns="http://schemas.openxmlformats.org/spreadsheetml/2006/main">
  <authors>
    <author>Raymond Martin</author>
  </authors>
  <commentList>
    <comment ref="J3" authorId="0" shapeId="0">
      <text>
        <r>
          <rPr>
            <b/>
            <sz val="9"/>
            <color indexed="81"/>
            <rFont val="Tahoma"/>
            <charset val="1"/>
          </rPr>
          <t>Catégorie de mot-clé</t>
        </r>
      </text>
    </comment>
  </commentList>
</comments>
</file>

<file path=xl/sharedStrings.xml><?xml version="1.0" encoding="utf-8"?>
<sst xmlns="http://schemas.openxmlformats.org/spreadsheetml/2006/main" count="164" uniqueCount="157">
  <si>
    <t>Doc_Name</t>
  </si>
  <si>
    <t>Doc_Num</t>
  </si>
  <si>
    <t>MC_Num</t>
  </si>
  <si>
    <t>MotCle_Name</t>
  </si>
  <si>
    <t>CatMC_Num</t>
  </si>
  <si>
    <t>CatMC_Name</t>
  </si>
  <si>
    <t>Filename</t>
  </si>
  <si>
    <t>Tcode</t>
  </si>
  <si>
    <t>Sujet</t>
  </si>
  <si>
    <t>Action</t>
  </si>
  <si>
    <t>Filter</t>
  </si>
  <si>
    <t>CAT_NUM SELECT</t>
  </si>
  <si>
    <t>MC_NUM SELECT</t>
  </si>
  <si>
    <t>IW38</t>
  </si>
  <si>
    <t>CAT2</t>
  </si>
  <si>
    <t>Avis</t>
  </si>
  <si>
    <t>Ordre</t>
  </si>
  <si>
    <t>Favoris</t>
  </si>
  <si>
    <t>General</t>
  </si>
  <si>
    <t>Créer</t>
  </si>
  <si>
    <t>Select doc name</t>
  </si>
  <si>
    <t>FREETBLNUM</t>
  </si>
  <si>
    <t>Name</t>
  </si>
  <si>
    <t>FilterMethod</t>
  </si>
  <si>
    <t>Type</t>
  </si>
  <si>
    <t>Références</t>
  </si>
  <si>
    <t>Work center</t>
  </si>
  <si>
    <t>Hand out</t>
  </si>
  <si>
    <t>Hand out de cours</t>
  </si>
  <si>
    <t>IW21</t>
  </si>
  <si>
    <t>IW28</t>
  </si>
  <si>
    <t>IW29</t>
  </si>
  <si>
    <t>Liste</t>
  </si>
  <si>
    <t>Pièces</t>
  </si>
  <si>
    <t>Commande</t>
  </si>
  <si>
    <t>Modifier</t>
  </si>
  <si>
    <t>Opérations</t>
  </si>
  <si>
    <t>Intershop</t>
  </si>
  <si>
    <t>IW37N</t>
  </si>
  <si>
    <t>Timecard</t>
  </si>
  <si>
    <t>CADO</t>
  </si>
  <si>
    <t>Faire</t>
  </si>
  <si>
    <t>CV04N</t>
  </si>
  <si>
    <t>Publication</t>
  </si>
  <si>
    <t>CFTO</t>
  </si>
  <si>
    <t>Document</t>
  </si>
  <si>
    <t>IW39</t>
  </si>
  <si>
    <t>PIDS</t>
  </si>
  <si>
    <t>Paramètres</t>
  </si>
  <si>
    <t>Workshop</t>
  </si>
  <si>
    <t>CAT3</t>
  </si>
  <si>
    <t>Long text</t>
  </si>
  <si>
    <t>Status board</t>
  </si>
  <si>
    <t>Excel</t>
  </si>
  <si>
    <t>Extraction</t>
  </si>
  <si>
    <t>/ISDFPS/LMSTB1</t>
  </si>
  <si>
    <t>/ISDFPS/LMSTB2</t>
  </si>
  <si>
    <t>Préférences</t>
  </si>
  <si>
    <t>PKI</t>
  </si>
  <si>
    <t>Exercice</t>
  </si>
  <si>
    <t>Offline</t>
  </si>
  <si>
    <t>Hand out officiel</t>
  </si>
  <si>
    <t>Plan de maintenance</t>
  </si>
  <si>
    <t xml:space="preserve">/ISDFPS/DISP_EQU_SIT </t>
  </si>
  <si>
    <t>IP24</t>
  </si>
  <si>
    <t>IP16</t>
  </si>
  <si>
    <t>Vérification</t>
  </si>
  <si>
    <t>PPOSE</t>
  </si>
  <si>
    <t>PPOS_OLD</t>
  </si>
  <si>
    <t>PO13</t>
  </si>
  <si>
    <t>S_AHR_61016528</t>
  </si>
  <si>
    <t>PA40</t>
  </si>
  <si>
    <t>PT50</t>
  </si>
  <si>
    <t>Position</t>
  </si>
  <si>
    <t>Horaire</t>
  </si>
  <si>
    <t>PA30</t>
  </si>
  <si>
    <t>Personnel</t>
  </si>
  <si>
    <t>Feuille d'inspection</t>
  </si>
  <si>
    <t>CV01N</t>
  </si>
  <si>
    <t>CV02N</t>
  </si>
  <si>
    <t>Support</t>
  </si>
  <si>
    <t>IE4N</t>
  </si>
  <si>
    <t>EQUIPMENT</t>
  </si>
  <si>
    <t>Installation / désinstallation</t>
  </si>
  <si>
    <t>Numéro série</t>
  </si>
  <si>
    <t>IE36</t>
  </si>
  <si>
    <t>IH08</t>
  </si>
  <si>
    <t>ZE_UPD_SERNO</t>
  </si>
  <si>
    <t>IK11</t>
  </si>
  <si>
    <t>IK12</t>
  </si>
  <si>
    <t>Mesures (doc/point)</t>
  </si>
  <si>
    <t>Structure équipment</t>
  </si>
  <si>
    <t>Structure organisationnel</t>
  </si>
  <si>
    <t>Connexion</t>
  </si>
  <si>
    <t>DVPNI</t>
  </si>
  <si>
    <t>Langue</t>
  </si>
  <si>
    <t>TFR</t>
  </si>
  <si>
    <t>PR</t>
  </si>
  <si>
    <t>SLOC</t>
  </si>
  <si>
    <t>PM RELOC</t>
  </si>
  <si>
    <t>Approvisionnement</t>
  </si>
  <si>
    <t>Task list</t>
  </si>
  <si>
    <t>TAPV</t>
  </si>
  <si>
    <t>Équipement</t>
  </si>
  <si>
    <t>Achat (procurement)</t>
  </si>
  <si>
    <t>NSN</t>
  </si>
  <si>
    <t>MM03</t>
  </si>
  <si>
    <t>Recherche</t>
  </si>
  <si>
    <t>DRMIS SandBox</t>
  </si>
  <si>
    <t>Training/formation (client 400)</t>
  </si>
  <si>
    <t>Variante</t>
  </si>
  <si>
    <t>Force element</t>
  </si>
  <si>
    <t>Layout</t>
  </si>
  <si>
    <t>Material number</t>
  </si>
  <si>
    <t>Waiver</t>
  </si>
  <si>
    <t>SET NO RETURN</t>
  </si>
  <si>
    <t>ZE_MAT_RET</t>
  </si>
  <si>
    <t>OUTILS</t>
  </si>
  <si>
    <t>Formation DRMIS</t>
  </si>
  <si>
    <t>VPN</t>
  </si>
  <si>
    <t>/ISDFPS/DISP_MAT_SIT</t>
  </si>
  <si>
    <t>SNAC</t>
  </si>
  <si>
    <t>Inventaire</t>
  </si>
  <si>
    <t>Marchandises contrôlées</t>
  </si>
  <si>
    <t>IW22</t>
  </si>
  <si>
    <t>IW23</t>
  </si>
  <si>
    <t>MB24</t>
  </si>
  <si>
    <t>ZEPM_MATERIAL_RETURN</t>
  </si>
  <si>
    <t>MIGO</t>
  </si>
  <si>
    <t>LAV6</t>
  </si>
  <si>
    <t>FLOC</t>
  </si>
  <si>
    <t>MMR</t>
  </si>
  <si>
    <t>EMR</t>
  </si>
  <si>
    <t>Planner group</t>
  </si>
  <si>
    <t>VHU</t>
  </si>
  <si>
    <t>Backlog</t>
  </si>
  <si>
    <t>Productivité</t>
  </si>
  <si>
    <t>Inspection</t>
  </si>
  <si>
    <t>Rapport</t>
  </si>
  <si>
    <t>0-Débutant</t>
  </si>
  <si>
    <t>1-Répartiteur / Liaison maintenance</t>
  </si>
  <si>
    <t>2-Responsable QM</t>
  </si>
  <si>
    <t>3-Technicien</t>
  </si>
  <si>
    <t>4-Chef de planché</t>
  </si>
  <si>
    <t>5-HR</t>
  </si>
  <si>
    <t>6-Utilisateur averti</t>
  </si>
  <si>
    <t>9-Je mange du DRMIS</t>
  </si>
  <si>
    <t>ITA</t>
  </si>
  <si>
    <t>IP10</t>
  </si>
  <si>
    <t>Analyse</t>
  </si>
  <si>
    <t>EMO</t>
  </si>
  <si>
    <t>Problème</t>
  </si>
  <si>
    <t>SOLMAN</t>
  </si>
  <si>
    <t>7-SOLMAN</t>
  </si>
  <si>
    <t>Bandido2</t>
  </si>
  <si>
    <t>C:\Users\marti\OneDrive\Bureau\GITPUBLIC\Tic tac toe4.xlsm</t>
  </si>
  <si>
    <t>Tic tac toe4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</si>
</sst>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2" xfId="0" applyFill="1" applyBorder="1"/>
    <xf numFmtId="0" fontId="0" fillId="0" borderId="0" xfId="0" applyNumberFormat="1" applyAlignment="1">
      <alignment horizontal="left"/>
    </xf>
  </cellXfs>
  <cellStyles count="1">
    <cellStyle name="Normal" xfId="0" builtinId="0"/>
  </cellStyles>
  <dxfs count="2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0</xdr:row>
          <xdr:rowOff>1</xdr:rowOff>
        </xdr:from>
        <xdr:to>
          <xdr:col>1</xdr:col>
          <xdr:colOff>1</xdr:colOff>
          <xdr:row>0</xdr:row>
          <xdr:rowOff>200026</xdr:rowOff>
        </xdr:to>
        <xdr:sp macro="" textlink="">
          <xdr:nvSpPr>
            <xdr:cNvPr id="4264" name="0" hidden="1">
              <a:extLst>
                <a:ext uri="{63B3BB69-23CF-44E3-9099-C40C66FF867C}">
                  <a14:compatExt spid="_x0000_s4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0</xdr:row>
          <xdr:rowOff>1</xdr:rowOff>
        </xdr:from>
        <xdr:to>
          <xdr:col>2</xdr:col>
          <xdr:colOff>1</xdr:colOff>
          <xdr:row>0</xdr:row>
          <xdr:rowOff>200026</xdr:rowOff>
        </xdr:to>
        <xdr:sp macro="" textlink="">
          <xdr:nvSpPr>
            <xdr:cNvPr id="4265" name="1" hidden="1">
              <a:extLst>
                <a:ext uri="{63B3BB69-23CF-44E3-9099-C40C66FF867C}">
                  <a14:compatExt spid="_x0000_s4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1123950</xdr:rowOff>
        </xdr:from>
        <xdr:to>
          <xdr:col>3</xdr:col>
          <xdr:colOff>9572625</xdr:colOff>
          <xdr:row>8</xdr:row>
          <xdr:rowOff>47625</xdr:rowOff>
        </xdr:to>
        <xdr:sp macro="" textlink="">
          <xdr:nvSpPr>
            <xdr:cNvPr id="3073" name="ltDo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2</xdr:row>
          <xdr:rowOff>923925</xdr:rowOff>
        </xdr:from>
        <xdr:to>
          <xdr:col>1</xdr:col>
          <xdr:colOff>3333750</xdr:colOff>
          <xdr:row>2</xdr:row>
          <xdr:rowOff>1285875</xdr:rowOff>
        </xdr:to>
        <xdr:sp macro="" textlink="">
          <xdr:nvSpPr>
            <xdr:cNvPr id="3075" name="cbCa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2</xdr:row>
          <xdr:rowOff>1676400</xdr:rowOff>
        </xdr:from>
        <xdr:to>
          <xdr:col>1</xdr:col>
          <xdr:colOff>3352800</xdr:colOff>
          <xdr:row>2</xdr:row>
          <xdr:rowOff>2038350</xdr:rowOff>
        </xdr:to>
        <xdr:sp macro="" textlink="">
          <xdr:nvSpPr>
            <xdr:cNvPr id="3076" name="cbMC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2</xdr:row>
          <xdr:rowOff>676275</xdr:rowOff>
        </xdr:from>
        <xdr:to>
          <xdr:col>1</xdr:col>
          <xdr:colOff>3314700</xdr:colOff>
          <xdr:row>2</xdr:row>
          <xdr:rowOff>914400</xdr:rowOff>
        </xdr:to>
        <xdr:sp macro="" textlink="">
          <xdr:nvSpPr>
            <xdr:cNvPr id="3077" name="Label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142875</xdr:colOff>
          <xdr:row>2</xdr:row>
          <xdr:rowOff>1447800</xdr:rowOff>
        </xdr:from>
        <xdr:to>
          <xdr:col>1</xdr:col>
          <xdr:colOff>3343275</xdr:colOff>
          <xdr:row>2</xdr:row>
          <xdr:rowOff>1685925</xdr:rowOff>
        </xdr:to>
        <xdr:sp macro="" textlink="">
          <xdr:nvSpPr>
            <xdr:cNvPr id="3078" name="Label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2</xdr:row>
          <xdr:rowOff>2581275</xdr:rowOff>
        </xdr:from>
        <xdr:to>
          <xdr:col>1</xdr:col>
          <xdr:colOff>3305175</xdr:colOff>
          <xdr:row>2</xdr:row>
          <xdr:rowOff>2952750</xdr:rowOff>
        </xdr:to>
        <xdr:sp macro="" textlink="">
          <xdr:nvSpPr>
            <xdr:cNvPr id="3079" name="txtSearch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628650</xdr:rowOff>
        </xdr:from>
        <xdr:to>
          <xdr:col>1</xdr:col>
          <xdr:colOff>1133475</xdr:colOff>
          <xdr:row>1</xdr:row>
          <xdr:rowOff>1104900</xdr:rowOff>
        </xdr:to>
        <xdr:sp macro="" textlink="">
          <xdr:nvSpPr>
            <xdr:cNvPr id="3080" name="cmdAjouterDoc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</xdr:row>
          <xdr:rowOff>800100</xdr:rowOff>
        </xdr:from>
        <xdr:to>
          <xdr:col>3</xdr:col>
          <xdr:colOff>3162300</xdr:colOff>
          <xdr:row>1</xdr:row>
          <xdr:rowOff>1114425</xdr:rowOff>
        </xdr:to>
        <xdr:sp macro="" textlink="">
          <xdr:nvSpPr>
            <xdr:cNvPr id="3081" name="cmdModifierDoc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2876550</xdr:colOff>
      <xdr:row>0</xdr:row>
      <xdr:rowOff>0</xdr:rowOff>
    </xdr:from>
    <xdr:to>
      <xdr:col>3</xdr:col>
      <xdr:colOff>5784653</xdr:colOff>
      <xdr:row>1</xdr:row>
      <xdr:rowOff>714375</xdr:rowOff>
    </xdr:to>
    <xdr:sp macro="" textlink="">
      <xdr:nvSpPr>
        <xdr:cNvPr id="2" name="Rectangle 1"/>
        <xdr:cNvSpPr/>
      </xdr:nvSpPr>
      <xdr:spPr>
        <a:xfrm>
          <a:off x="6534150" y="0"/>
          <a:ext cx="2908103" cy="80010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400" b="1" i="1" u="sng" cap="none" spc="0">
              <a:ln w="10160">
                <a:solidFill>
                  <a:schemeClr val="accent5"/>
                </a:solidFill>
                <a:prstDash val="solid"/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EASY DOC</a:t>
          </a:r>
          <a:r>
            <a:rPr lang="en-US" sz="4400" b="1" i="1" u="sng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FINDER</a:t>
          </a:r>
          <a:endParaRPr lang="en-US" sz="4400" b="1" i="1" u="sng" cap="none" spc="0">
            <a:ln w="10160">
              <a:solidFill>
                <a:schemeClr val="accent5"/>
              </a:solidFill>
              <a:prstDash val="solid"/>
            </a:ln>
            <a:solidFill>
              <a:schemeClr val="tx1">
                <a:lumMod val="95000"/>
                <a:lumOff val="5000"/>
              </a:schemeClr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1181100</xdr:colOff>
          <xdr:row>2</xdr:row>
          <xdr:rowOff>2990850</xdr:rowOff>
        </xdr:from>
        <xdr:to>
          <xdr:col>1</xdr:col>
          <xdr:colOff>2181225</xdr:colOff>
          <xdr:row>2</xdr:row>
          <xdr:rowOff>3286125</xdr:rowOff>
        </xdr:to>
        <xdr:sp macro="" textlink="">
          <xdr:nvSpPr>
            <xdr:cNvPr id="3082" name="cmdFREESearch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2</xdr:row>
          <xdr:rowOff>2343150</xdr:rowOff>
        </xdr:from>
        <xdr:to>
          <xdr:col>1</xdr:col>
          <xdr:colOff>3286125</xdr:colOff>
          <xdr:row>2</xdr:row>
          <xdr:rowOff>2581275</xdr:rowOff>
        </xdr:to>
        <xdr:sp macro="" textlink="">
          <xdr:nvSpPr>
            <xdr:cNvPr id="3083" name="Label3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</xdr:row>
          <xdr:rowOff>85725</xdr:rowOff>
        </xdr:from>
        <xdr:to>
          <xdr:col>1</xdr:col>
          <xdr:colOff>600075</xdr:colOff>
          <xdr:row>2</xdr:row>
          <xdr:rowOff>361950</xdr:rowOff>
        </xdr:to>
        <xdr:sp macro="" textlink="">
          <xdr:nvSpPr>
            <xdr:cNvPr id="3084" name="cmdClearFilte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923926</xdr:colOff>
      <xdr:row>1</xdr:row>
      <xdr:rowOff>1104899</xdr:rowOff>
    </xdr:from>
    <xdr:to>
      <xdr:col>1</xdr:col>
      <xdr:colOff>2505076</xdr:colOff>
      <xdr:row>2</xdr:row>
      <xdr:rowOff>561974</xdr:rowOff>
    </xdr:to>
    <xdr:sp macro="" textlink="">
      <xdr:nvSpPr>
        <xdr:cNvPr id="14" name="Rectangle 13"/>
        <xdr:cNvSpPr/>
      </xdr:nvSpPr>
      <xdr:spPr>
        <a:xfrm>
          <a:off x="990601" y="1190624"/>
          <a:ext cx="1581150" cy="60007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600" b="1" i="0" u="sng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Filtres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1</xdr:row>
          <xdr:rowOff>771525</xdr:rowOff>
        </xdr:from>
        <xdr:to>
          <xdr:col>2</xdr:col>
          <xdr:colOff>9525</xdr:colOff>
          <xdr:row>1</xdr:row>
          <xdr:rowOff>1123950</xdr:rowOff>
        </xdr:to>
        <xdr:sp macro="" textlink="">
          <xdr:nvSpPr>
            <xdr:cNvPr id="3085" name="cmdCatMCGestio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28575</xdr:rowOff>
        </xdr:from>
        <xdr:to>
          <xdr:col>1</xdr:col>
          <xdr:colOff>1762125</xdr:colOff>
          <xdr:row>1</xdr:row>
          <xdr:rowOff>333375</xdr:rowOff>
        </xdr:to>
        <xdr:sp macro="" textlink="">
          <xdr:nvSpPr>
            <xdr:cNvPr id="3086" name="cmdLoadPage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7696200</xdr:colOff>
          <xdr:row>1</xdr:row>
          <xdr:rowOff>790575</xdr:rowOff>
        </xdr:from>
        <xdr:to>
          <xdr:col>4</xdr:col>
          <xdr:colOff>400050</xdr:colOff>
          <xdr:row>1</xdr:row>
          <xdr:rowOff>1123950</xdr:rowOff>
        </xdr:to>
        <xdr:sp macro="" textlink="">
          <xdr:nvSpPr>
            <xdr:cNvPr id="3087" name="cmdDocDelete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3166452</xdr:colOff>
      <xdr:row>1</xdr:row>
      <xdr:rowOff>726573</xdr:rowOff>
    </xdr:from>
    <xdr:ext cx="4506555" cy="468013"/>
    <xdr:sp macro="" textlink="">
      <xdr:nvSpPr>
        <xdr:cNvPr id="4" name="Rectangle 3"/>
        <xdr:cNvSpPr/>
      </xdr:nvSpPr>
      <xdr:spPr>
        <a:xfrm>
          <a:off x="6824052" y="812298"/>
          <a:ext cx="4506555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2400" b="1" i="1" u="sng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Double-clické pour ouvrir un doc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Doc" displayName="tblDoc" ref="B3:D5" totalsRowShown="0" headerRowDxfId="26" dataDxfId="25">
  <autoFilter ref="B3:D5"/>
  <sortState ref="B4:D5">
    <sortCondition descending="1" ref="D4:D5"/>
  </sortState>
  <tableColumns count="3">
    <tableColumn id="1" name="Doc_Num" dataDxfId="24"/>
    <tableColumn id="2" name="Doc_Name" dataDxfId="23"/>
    <tableColumn id="3" name="Filter" dataDxfId="22">
      <calculatedColumnFormula>IF(Systeme!$C$6&lt;&gt;"FREE",IF(Systeme!$C$5&lt;&gt;"",COUNTIFS(tblDoc_MC[Doc_Num],tblDoc[[#This Row],[Doc_Num]],tblDoc_MC[MC_Num],Systeme!$C$5),0),COUNTIF(FREETBLNUM[FREETBLNUM],tblDoc[[#This Row],[Doc_Num]]))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MC" displayName="tblMC" ref="F3:H138" totalsRowShown="0" headerRowDxfId="21" dataDxfId="20">
  <autoFilter ref="F3:H138"/>
  <sortState ref="F4:H138">
    <sortCondition descending="1" ref="H4:H138"/>
  </sortState>
  <tableColumns count="3">
    <tableColumn id="1" name="MC_Num" dataDxfId="19"/>
    <tableColumn id="2" name="MotCle_Name" dataDxfId="18"/>
    <tableColumn id="3" name="Filter" dataDxfId="17">
      <calculatedColumnFormula>IF(Systeme!$C$4&lt;&gt;"",COUNTIFS(tblMC_CatMC[MC_Num],tblMC[[#This Row],[MC_Num]],tblMC_CatMC[CatMC_Num],Systeme!$C$4),0)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atMC" displayName="tblCatMC" ref="J3:L9" totalsRowShown="0" headerRowDxfId="16" dataDxfId="15">
  <autoFilter ref="J3:L9"/>
  <sortState ref="J4:L9">
    <sortCondition ref="K4:K9"/>
  </sortState>
  <tableColumns count="3">
    <tableColumn id="1" name="CatMC_Num" dataDxfId="14"/>
    <tableColumn id="2" name="CatMC_Name" dataDxfId="13"/>
    <tableColumn id="3" name="Filter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MC_CatMC" displayName="tblMC_CatMC" ref="N3:O140" totalsRowShown="0" headerRowDxfId="11" dataDxfId="10">
  <autoFilter ref="N3:O140"/>
  <tableColumns count="2">
    <tableColumn id="1" name="MC_Num" dataDxfId="9"/>
    <tableColumn id="2" name="CatMC_Num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Doc_MC" displayName="tblDoc_MC" ref="Q3:R4" insertRow="1" totalsRowShown="0" headerRowDxfId="7" dataDxfId="6">
  <autoFilter ref="Q3:R4"/>
  <tableColumns count="2">
    <tableColumn id="1" name="Doc_Num" dataDxfId="5"/>
    <tableColumn id="2" name="MC_Num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FREETBLNUM" displayName="FREETBLNUM" ref="T3:U6" totalsRowShown="0" headerRowDxfId="3" dataDxfId="2">
  <autoFilter ref="T3:U6"/>
  <sortState ref="T4:U6">
    <sortCondition ref="U4:U6"/>
  </sortState>
  <tableColumns count="2">
    <tableColumn id="1" name="FREETBLNUM" dataDxfId="1"/>
    <tableColumn id="2" name="Name" dataDxfId="0">
      <calculatedColumnFormula>IF(FREETBLNUM[FREETBLNUM]&lt;&gt;"",VLOOKUP(FREETBLNUM[FREETBLNUM],tblMC[],2,FALSE),"")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Excel_Macro-Enabled_Worksheet2.xlsm"/><Relationship Id="rId5" Type="http://schemas.openxmlformats.org/officeDocument/2006/relationships/image" Target="../media/image1.emf"/><Relationship Id="rId4" Type="http://schemas.openxmlformats.org/officeDocument/2006/relationships/package" Target="../embeddings/Microsoft_Excel_Macro-Enabled_Worksheet1.xlsm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24" Type="http://schemas.openxmlformats.org/officeDocument/2006/relationships/control" Target="../activeX/activeX11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10.emf"/><Relationship Id="rId31" Type="http://schemas.openxmlformats.org/officeDocument/2006/relationships/image" Target="../media/image16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4.emf"/><Relationship Id="rId30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ocs"/>
  <dimension ref="A1:B1"/>
  <sheetViews>
    <sheetView zoomScaleNormal="100" workbookViewId="0">
      <selection activeCell="DC2" sqref="DC2"/>
    </sheetView>
  </sheetViews>
  <sheetFormatPr defaultColWidth="1.85546875" defaultRowHeight="31.5" customHeight="1" x14ac:dyDescent="0.2"/>
  <cols>
    <col min="1" max="16384" width="1.85546875" style="1"/>
  </cols>
  <sheetData>
    <row r="1" spans="1:2" ht="31.5" customHeight="1" x14ac:dyDescent="0.2">
      <c r="A1" s="1">
        <v>0</v>
      </c>
      <c r="B1" s="1">
        <v>1</v>
      </c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Macro-Enabled Worksheet" dvAspect="DVASPECT_ICON" shapeId="4264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200025</xdr:rowOff>
              </to>
            </anchor>
          </objectPr>
        </oleObject>
      </mc:Choice>
      <mc:Fallback>
        <oleObject progId="Macro-Enabled Worksheet" dvAspect="DVASPECT_ICON" shapeId="4264" r:id="rId4"/>
      </mc:Fallback>
    </mc:AlternateContent>
    <mc:AlternateContent xmlns:mc="http://schemas.openxmlformats.org/markup-compatibility/2006">
      <mc:Choice Requires="x14">
        <oleObject progId="Macro-Enabled Worksheet" dvAspect="DVASPECT_ICON" shapeId="4265" r:id="rId6">
          <objectPr defaultSize="0" autoPict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200025</xdr:rowOff>
              </to>
            </anchor>
          </objectPr>
        </oleObject>
      </mc:Choice>
      <mc:Fallback>
        <oleObject progId="Macro-Enabled Worksheet" dvAspect="DVASPECT_ICON" shapeId="4265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ysteme"/>
  <dimension ref="B2:D7"/>
  <sheetViews>
    <sheetView workbookViewId="0">
      <selection activeCell="D21" sqref="D21"/>
    </sheetView>
  </sheetViews>
  <sheetFormatPr defaultColWidth="9.140625" defaultRowHeight="15" x14ac:dyDescent="0.25"/>
  <cols>
    <col min="2" max="2" width="16.42578125" bestFit="1" customWidth="1"/>
    <col min="3" max="3" width="4.7109375" customWidth="1"/>
    <col min="4" max="4" width="72" customWidth="1"/>
  </cols>
  <sheetData>
    <row r="2" spans="2:4" x14ac:dyDescent="0.25">
      <c r="B2" t="s">
        <v>6</v>
      </c>
      <c r="C2" t="s">
        <v>155</v>
      </c>
    </row>
    <row r="4" spans="2:4" x14ac:dyDescent="0.25">
      <c r="B4" t="s">
        <v>11</v>
      </c>
      <c r="C4" s="2"/>
      <c r="D4" t="str">
        <f>IF(C4&lt;&gt;"",VLOOKUP(C4,tblCatMC[[CatMC_Num]:[CatMC_Name]],2,0),"")</f>
        <v/>
      </c>
    </row>
    <row r="5" spans="2:4" x14ac:dyDescent="0.25">
      <c r="B5" t="s">
        <v>12</v>
      </c>
      <c r="C5" s="2"/>
      <c r="D5" t="str">
        <f>IF(C5&lt;&gt;"",VLOOKUP(C5,tblMC[[MC_Num]:[MotCle_Name]],2,FALSE),"")</f>
        <v/>
      </c>
    </row>
    <row r="6" spans="2:4" x14ac:dyDescent="0.25">
      <c r="B6" t="s">
        <v>23</v>
      </c>
    </row>
    <row r="7" spans="2:4" x14ac:dyDescent="0.25">
      <c r="B7" t="s">
        <v>20</v>
      </c>
      <c r="C7">
        <v>1</v>
      </c>
      <c r="D7" t="str">
        <f>IF(C7&lt;&gt;"",VLOOKUP(C7,tblDoc[],2,FALSE),"")</f>
        <v>Tic tac toe4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/>
  <dimension ref="B1:B5"/>
  <sheetViews>
    <sheetView tabSelected="1" workbookViewId="0">
      <selection activeCell="B10" sqref="B10"/>
    </sheetView>
  </sheetViews>
  <sheetFormatPr defaultColWidth="9.140625" defaultRowHeight="15" x14ac:dyDescent="0.25"/>
  <cols>
    <col min="1" max="1" width="1" style="3" customWidth="1"/>
    <col min="2" max="2" width="52.140625" style="3" customWidth="1"/>
    <col min="3" max="3" width="1.7109375" style="3" customWidth="1"/>
    <col min="4" max="4" width="145.85546875" style="3" customWidth="1"/>
    <col min="5" max="5" width="9.140625" style="3" customWidth="1"/>
    <col min="6" max="16384" width="9.140625" style="3"/>
  </cols>
  <sheetData>
    <row r="1" spans="2:2" ht="6.75" customHeight="1" x14ac:dyDescent="0.25"/>
    <row r="2" spans="2:2" ht="90" customHeight="1" thickBot="1" x14ac:dyDescent="0.3"/>
    <row r="3" spans="2:2" ht="277.5" customHeight="1" thickBot="1" x14ac:dyDescent="0.3">
      <c r="B3" s="4"/>
    </row>
    <row r="4" spans="2:2" ht="16.5" customHeight="1" x14ac:dyDescent="0.25"/>
    <row r="5" spans="2:2" ht="29.2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mdLoadPage">
          <controlPr defaultSize="0" autoLine="0" r:id="rId5">
            <anchor moveWithCells="1">
              <from>
                <xdr:col>1</xdr:col>
                <xdr:colOff>9525</xdr:colOff>
                <xdr:row>0</xdr:row>
                <xdr:rowOff>28575</xdr:rowOff>
              </from>
              <to>
                <xdr:col>1</xdr:col>
                <xdr:colOff>1762125</xdr:colOff>
                <xdr:row>1</xdr:row>
                <xdr:rowOff>333375</xdr:rowOff>
              </to>
            </anchor>
          </controlPr>
        </control>
      </mc:Choice>
      <mc:Fallback>
        <control shapeId="3086" r:id="rId4" name="cmdLoadPage"/>
      </mc:Fallback>
    </mc:AlternateContent>
    <mc:AlternateContent xmlns:mc="http://schemas.openxmlformats.org/markup-compatibility/2006">
      <mc:Choice Requires="x14">
        <control shapeId="3085" r:id="rId6" name="cmdCatMCGestion">
          <controlPr defaultSize="0" autoLine="0" r:id="rId7">
            <anchor moveWithCells="1">
              <from>
                <xdr:col>1</xdr:col>
                <xdr:colOff>1771650</xdr:colOff>
                <xdr:row>1</xdr:row>
                <xdr:rowOff>771525</xdr:rowOff>
              </from>
              <to>
                <xdr:col>2</xdr:col>
                <xdr:colOff>9525</xdr:colOff>
                <xdr:row>1</xdr:row>
                <xdr:rowOff>1123950</xdr:rowOff>
              </to>
            </anchor>
          </controlPr>
        </control>
      </mc:Choice>
      <mc:Fallback>
        <control shapeId="3085" r:id="rId6" name="cmdCatMCGestion"/>
      </mc:Fallback>
    </mc:AlternateContent>
    <mc:AlternateContent xmlns:mc="http://schemas.openxmlformats.org/markup-compatibility/2006">
      <mc:Choice Requires="x14">
        <control shapeId="3073" r:id="rId8" name="ltDoc">
          <controlPr defaultSize="0" autoLine="0" r:id="rId9">
            <anchor>
              <from>
                <xdr:col>3</xdr:col>
                <xdr:colOff>19050</xdr:colOff>
                <xdr:row>1</xdr:row>
                <xdr:rowOff>1123950</xdr:rowOff>
              </from>
              <to>
                <xdr:col>3</xdr:col>
                <xdr:colOff>9572625</xdr:colOff>
                <xdr:row>8</xdr:row>
                <xdr:rowOff>47625</xdr:rowOff>
              </to>
            </anchor>
          </controlPr>
        </control>
      </mc:Choice>
      <mc:Fallback>
        <control shapeId="3073" r:id="rId8" name="ltDoc"/>
      </mc:Fallback>
    </mc:AlternateContent>
    <mc:AlternateContent xmlns:mc="http://schemas.openxmlformats.org/markup-compatibility/2006">
      <mc:Choice Requires="x14">
        <control shapeId="3075" r:id="rId10" name="cbCat">
          <controlPr defaultSize="0" autoLine="0" autoPict="0" r:id="rId11">
            <anchor>
              <from>
                <xdr:col>1</xdr:col>
                <xdr:colOff>123825</xdr:colOff>
                <xdr:row>2</xdr:row>
                <xdr:rowOff>923925</xdr:rowOff>
              </from>
              <to>
                <xdr:col>1</xdr:col>
                <xdr:colOff>3333750</xdr:colOff>
                <xdr:row>2</xdr:row>
                <xdr:rowOff>1285875</xdr:rowOff>
              </to>
            </anchor>
          </controlPr>
        </control>
      </mc:Choice>
      <mc:Fallback>
        <control shapeId="3075" r:id="rId10" name="cbCat"/>
      </mc:Fallback>
    </mc:AlternateContent>
    <mc:AlternateContent xmlns:mc="http://schemas.openxmlformats.org/markup-compatibility/2006">
      <mc:Choice Requires="x14">
        <control shapeId="3076" r:id="rId12" name="cbMC">
          <controlPr defaultSize="0" autoLine="0" r:id="rId13">
            <anchor>
              <from>
                <xdr:col>1</xdr:col>
                <xdr:colOff>123825</xdr:colOff>
                <xdr:row>2</xdr:row>
                <xdr:rowOff>1676400</xdr:rowOff>
              </from>
              <to>
                <xdr:col>1</xdr:col>
                <xdr:colOff>3352800</xdr:colOff>
                <xdr:row>2</xdr:row>
                <xdr:rowOff>2038350</xdr:rowOff>
              </to>
            </anchor>
          </controlPr>
        </control>
      </mc:Choice>
      <mc:Fallback>
        <control shapeId="3076" r:id="rId12" name="cbMC"/>
      </mc:Fallback>
    </mc:AlternateContent>
    <mc:AlternateContent xmlns:mc="http://schemas.openxmlformats.org/markup-compatibility/2006">
      <mc:Choice Requires="x14">
        <control shapeId="3077" r:id="rId14" name="Label1">
          <controlPr defaultSize="0" autoLine="0" autoPict="0" r:id="rId15">
            <anchor>
              <from>
                <xdr:col>1</xdr:col>
                <xdr:colOff>133350</xdr:colOff>
                <xdr:row>2</xdr:row>
                <xdr:rowOff>676275</xdr:rowOff>
              </from>
              <to>
                <xdr:col>1</xdr:col>
                <xdr:colOff>3314700</xdr:colOff>
                <xdr:row>2</xdr:row>
                <xdr:rowOff>914400</xdr:rowOff>
              </to>
            </anchor>
          </controlPr>
        </control>
      </mc:Choice>
      <mc:Fallback>
        <control shapeId="3077" r:id="rId14" name="Label1"/>
      </mc:Fallback>
    </mc:AlternateContent>
    <mc:AlternateContent xmlns:mc="http://schemas.openxmlformats.org/markup-compatibility/2006">
      <mc:Choice Requires="x14">
        <control shapeId="3078" r:id="rId16" name="Label2">
          <controlPr defaultSize="0" autoLine="0" autoPict="0" r:id="rId17">
            <anchor>
              <from>
                <xdr:col>1</xdr:col>
                <xdr:colOff>142875</xdr:colOff>
                <xdr:row>2</xdr:row>
                <xdr:rowOff>1447800</xdr:rowOff>
              </from>
              <to>
                <xdr:col>1</xdr:col>
                <xdr:colOff>3343275</xdr:colOff>
                <xdr:row>2</xdr:row>
                <xdr:rowOff>1685925</xdr:rowOff>
              </to>
            </anchor>
          </controlPr>
        </control>
      </mc:Choice>
      <mc:Fallback>
        <control shapeId="3078" r:id="rId16" name="Label2"/>
      </mc:Fallback>
    </mc:AlternateContent>
    <mc:AlternateContent xmlns:mc="http://schemas.openxmlformats.org/markup-compatibility/2006">
      <mc:Choice Requires="x14">
        <control shapeId="3079" r:id="rId18" name="txtSearch">
          <controlPr defaultSize="0" autoLine="0" r:id="rId19">
            <anchor>
              <from>
                <xdr:col>1</xdr:col>
                <xdr:colOff>123825</xdr:colOff>
                <xdr:row>2</xdr:row>
                <xdr:rowOff>2581275</xdr:rowOff>
              </from>
              <to>
                <xdr:col>1</xdr:col>
                <xdr:colOff>3305175</xdr:colOff>
                <xdr:row>2</xdr:row>
                <xdr:rowOff>2952750</xdr:rowOff>
              </to>
            </anchor>
          </controlPr>
        </control>
      </mc:Choice>
      <mc:Fallback>
        <control shapeId="3079" r:id="rId18" name="txtSearch"/>
      </mc:Fallback>
    </mc:AlternateContent>
    <mc:AlternateContent xmlns:mc="http://schemas.openxmlformats.org/markup-compatibility/2006">
      <mc:Choice Requires="x14">
        <control shapeId="3080" r:id="rId20" name="cmdAjouterDoc">
          <controlPr defaultSize="0" autoLine="0" r:id="rId21">
            <anchor>
              <from>
                <xdr:col>0</xdr:col>
                <xdr:colOff>57150</xdr:colOff>
                <xdr:row>1</xdr:row>
                <xdr:rowOff>628650</xdr:rowOff>
              </from>
              <to>
                <xdr:col>1</xdr:col>
                <xdr:colOff>1133475</xdr:colOff>
                <xdr:row>1</xdr:row>
                <xdr:rowOff>1104900</xdr:rowOff>
              </to>
            </anchor>
          </controlPr>
        </control>
      </mc:Choice>
      <mc:Fallback>
        <control shapeId="3080" r:id="rId20" name="cmdAjouterDoc"/>
      </mc:Fallback>
    </mc:AlternateContent>
    <mc:AlternateContent xmlns:mc="http://schemas.openxmlformats.org/markup-compatibility/2006">
      <mc:Choice Requires="x14">
        <control shapeId="3081" r:id="rId22" name="cmdModifierDoc">
          <controlPr defaultSize="0" autoLine="0" r:id="rId23">
            <anchor>
              <from>
                <xdr:col>3</xdr:col>
                <xdr:colOff>28575</xdr:colOff>
                <xdr:row>1</xdr:row>
                <xdr:rowOff>800100</xdr:rowOff>
              </from>
              <to>
                <xdr:col>3</xdr:col>
                <xdr:colOff>3162300</xdr:colOff>
                <xdr:row>1</xdr:row>
                <xdr:rowOff>1114425</xdr:rowOff>
              </to>
            </anchor>
          </controlPr>
        </control>
      </mc:Choice>
      <mc:Fallback>
        <control shapeId="3081" r:id="rId22" name="cmdModifierDoc"/>
      </mc:Fallback>
    </mc:AlternateContent>
    <mc:AlternateContent xmlns:mc="http://schemas.openxmlformats.org/markup-compatibility/2006">
      <mc:Choice Requires="x14">
        <control shapeId="3082" r:id="rId24" name="cmdFREESearch">
          <controlPr defaultSize="0" autoLine="0" r:id="rId25">
            <anchor>
              <from>
                <xdr:col>1</xdr:col>
                <xdr:colOff>1181100</xdr:colOff>
                <xdr:row>2</xdr:row>
                <xdr:rowOff>2990850</xdr:rowOff>
              </from>
              <to>
                <xdr:col>1</xdr:col>
                <xdr:colOff>2181225</xdr:colOff>
                <xdr:row>2</xdr:row>
                <xdr:rowOff>3286125</xdr:rowOff>
              </to>
            </anchor>
          </controlPr>
        </control>
      </mc:Choice>
      <mc:Fallback>
        <control shapeId="3082" r:id="rId24" name="cmdFREESearch"/>
      </mc:Fallback>
    </mc:AlternateContent>
    <mc:AlternateContent xmlns:mc="http://schemas.openxmlformats.org/markup-compatibility/2006">
      <mc:Choice Requires="x14">
        <control shapeId="3083" r:id="rId26" name="Label3">
          <controlPr defaultSize="0" autoLine="0" r:id="rId27">
            <anchor>
              <from>
                <xdr:col>1</xdr:col>
                <xdr:colOff>123825</xdr:colOff>
                <xdr:row>2</xdr:row>
                <xdr:rowOff>2343150</xdr:rowOff>
              </from>
              <to>
                <xdr:col>1</xdr:col>
                <xdr:colOff>3286125</xdr:colOff>
                <xdr:row>2</xdr:row>
                <xdr:rowOff>2581275</xdr:rowOff>
              </to>
            </anchor>
          </controlPr>
        </control>
      </mc:Choice>
      <mc:Fallback>
        <control shapeId="3083" r:id="rId26" name="Label3"/>
      </mc:Fallback>
    </mc:AlternateContent>
    <mc:AlternateContent xmlns:mc="http://schemas.openxmlformats.org/markup-compatibility/2006">
      <mc:Choice Requires="x14">
        <control shapeId="3084" r:id="rId28" name="cmdClearFilter">
          <controlPr defaultSize="0" autoLine="0" r:id="rId29">
            <anchor>
              <from>
                <xdr:col>1</xdr:col>
                <xdr:colOff>66675</xdr:colOff>
                <xdr:row>2</xdr:row>
                <xdr:rowOff>85725</xdr:rowOff>
              </from>
              <to>
                <xdr:col>1</xdr:col>
                <xdr:colOff>600075</xdr:colOff>
                <xdr:row>2</xdr:row>
                <xdr:rowOff>361950</xdr:rowOff>
              </to>
            </anchor>
          </controlPr>
        </control>
      </mc:Choice>
      <mc:Fallback>
        <control shapeId="3084" r:id="rId28" name="cmdClearFilter"/>
      </mc:Fallback>
    </mc:AlternateContent>
    <mc:AlternateContent xmlns:mc="http://schemas.openxmlformats.org/markup-compatibility/2006">
      <mc:Choice Requires="x14">
        <control shapeId="3087" r:id="rId30" name="cmdDocDelete">
          <controlPr defaultSize="0" autoLine="0" r:id="rId31">
            <anchor moveWithCells="1">
              <from>
                <xdr:col>3</xdr:col>
                <xdr:colOff>7696200</xdr:colOff>
                <xdr:row>1</xdr:row>
                <xdr:rowOff>790575</xdr:rowOff>
              </from>
              <to>
                <xdr:col>4</xdr:col>
                <xdr:colOff>400050</xdr:colOff>
                <xdr:row>1</xdr:row>
                <xdr:rowOff>1123950</xdr:rowOff>
              </to>
            </anchor>
          </controlPr>
        </control>
      </mc:Choice>
      <mc:Fallback>
        <control shapeId="3087" r:id="rId30" name="cmdDocDele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blDocS"/>
  <dimension ref="B3:U140"/>
  <sheetViews>
    <sheetView topLeftCell="D1" workbookViewId="0">
      <selection activeCell="B4" sqref="B4:D5"/>
    </sheetView>
  </sheetViews>
  <sheetFormatPr defaultColWidth="9.140625" defaultRowHeight="15" x14ac:dyDescent="0.25"/>
  <cols>
    <col min="1" max="1" width="1.85546875" style="2" customWidth="1"/>
    <col min="2" max="2" width="11.7109375" style="2" customWidth="1"/>
    <col min="3" max="3" width="62" style="2" customWidth="1"/>
    <col min="4" max="4" width="10.85546875" style="2" bestFit="1" customWidth="1"/>
    <col min="5" max="5" width="1.85546875" style="2" customWidth="1"/>
    <col min="6" max="6" width="11.42578125" style="2" customWidth="1"/>
    <col min="7" max="7" width="46.5703125" style="2" customWidth="1"/>
    <col min="8" max="8" width="12.140625" style="2" customWidth="1"/>
    <col min="9" max="9" width="1.85546875" style="2" customWidth="1"/>
    <col min="10" max="10" width="14.28515625" style="2" customWidth="1"/>
    <col min="11" max="11" width="46.5703125" style="2" customWidth="1"/>
    <col min="12" max="12" width="10.7109375" style="2" customWidth="1"/>
    <col min="13" max="13" width="1.85546875" style="2" customWidth="1"/>
    <col min="14" max="14" width="11.42578125" style="2" customWidth="1"/>
    <col min="15" max="15" width="14.28515625" style="2" customWidth="1"/>
    <col min="16" max="16" width="1.85546875" style="2" customWidth="1"/>
    <col min="17" max="17" width="11.7109375" style="2" customWidth="1"/>
    <col min="18" max="18" width="11.42578125" style="2" customWidth="1"/>
    <col min="19" max="19" width="4.28515625" style="2" customWidth="1"/>
    <col min="20" max="20" width="18.5703125" style="2" bestFit="1" customWidth="1"/>
    <col min="21" max="21" width="28.28515625" style="2" customWidth="1"/>
    <col min="22" max="16384" width="9.140625" style="2"/>
  </cols>
  <sheetData>
    <row r="3" spans="2:21" x14ac:dyDescent="0.25">
      <c r="B3" s="2" t="s">
        <v>1</v>
      </c>
      <c r="C3" s="2" t="s">
        <v>0</v>
      </c>
      <c r="D3" s="2" t="s">
        <v>10</v>
      </c>
      <c r="F3" s="2" t="s">
        <v>2</v>
      </c>
      <c r="G3" s="2" t="s">
        <v>3</v>
      </c>
      <c r="H3" s="2" t="s">
        <v>10</v>
      </c>
      <c r="J3" s="2" t="s">
        <v>4</v>
      </c>
      <c r="K3" s="2" t="s">
        <v>5</v>
      </c>
      <c r="L3" s="2" t="s">
        <v>10</v>
      </c>
      <c r="N3" s="2" t="s">
        <v>2</v>
      </c>
      <c r="O3" s="2" t="s">
        <v>4</v>
      </c>
      <c r="Q3" s="2" t="s">
        <v>1</v>
      </c>
      <c r="R3" s="2" t="s">
        <v>2</v>
      </c>
      <c r="T3" s="2" t="s">
        <v>21</v>
      </c>
      <c r="U3" s="2" t="s">
        <v>22</v>
      </c>
    </row>
    <row r="4" spans="2:21" x14ac:dyDescent="0.25">
      <c r="B4" s="2">
        <v>0</v>
      </c>
      <c r="C4" s="2" t="s">
        <v>154</v>
      </c>
      <c r="D4" s="5">
        <f>IF(Systeme!$C$6&lt;&gt;"FREE",IF(Systeme!$C$5&lt;&gt;"",COUNTIFS(tblDoc_MC[Doc_Num],tblDoc[[#This Row],[Doc_Num]],tblDoc_MC[MC_Num],Systeme!$C$5),0),COUNTIF(FREETBLNUM[FREETBLNUM],tblDoc[[#This Row],[Doc_Num]]))</f>
        <v>0</v>
      </c>
      <c r="F4" s="2">
        <v>45</v>
      </c>
      <c r="G4" s="2" t="s">
        <v>63</v>
      </c>
      <c r="H4" s="5">
        <f>IF(Systeme!$C$4&lt;&gt;"",COUNTIFS(tblMC_CatMC[MC_Num],tblMC[[#This Row],[MC_Num]],tblMC_CatMC[CatMC_Num],Systeme!$C$4),0)</f>
        <v>0</v>
      </c>
      <c r="J4" s="2">
        <v>2</v>
      </c>
      <c r="K4" s="2" t="s">
        <v>9</v>
      </c>
      <c r="N4" s="2">
        <v>1</v>
      </c>
      <c r="O4" s="2">
        <v>0</v>
      </c>
      <c r="T4" s="2">
        <v>97</v>
      </c>
      <c r="U4" s="2" t="str">
        <f>IF(FREETBLNUM[FREETBLNUM]&lt;&gt;"",VLOOKUP(FREETBLNUM[FREETBLNUM],tblMC[],2,FALSE),"")</f>
        <v>OUTILS</v>
      </c>
    </row>
    <row r="5" spans="2:21" x14ac:dyDescent="0.25">
      <c r="B5" s="2">
        <v>1</v>
      </c>
      <c r="C5" s="2" t="s">
        <v>156</v>
      </c>
      <c r="D5" s="5">
        <f>IF(Systeme!$C$6&lt;&gt;"FREE",IF(Systeme!$C$5&lt;&gt;"",COUNTIFS(tblDoc_MC[Doc_Num],tblDoc[[#This Row],[Doc_Num]],tblDoc_MC[MC_Num],Systeme!$C$5),0),COUNTIF(FREETBLNUM[FREETBLNUM],tblDoc[[#This Row],[Doc_Num]]))</f>
        <v>0</v>
      </c>
      <c r="F5" s="2">
        <v>102</v>
      </c>
      <c r="G5" s="2" t="s">
        <v>120</v>
      </c>
      <c r="H5" s="5">
        <f>IF(Systeme!$C$4&lt;&gt;"",COUNTIFS(tblMC_CatMC[MC_Num],tblMC[[#This Row],[MC_Num]],tblMC_CatMC[CatMC_Num],Systeme!$C$4),0)</f>
        <v>0</v>
      </c>
      <c r="J5" s="2">
        <v>4</v>
      </c>
      <c r="K5" s="2" t="s">
        <v>103</v>
      </c>
      <c r="N5" s="2">
        <v>2</v>
      </c>
      <c r="O5" s="2">
        <v>1</v>
      </c>
      <c r="T5" s="2">
        <v>127</v>
      </c>
      <c r="U5" s="2" t="str">
        <f>IF(FREETBLNUM[FREETBLNUM]&lt;&gt;"",VLOOKUP(FREETBLNUM[FREETBLNUM],tblMC[],2,FALSE),"")</f>
        <v>Rapport</v>
      </c>
    </row>
    <row r="6" spans="2:21" x14ac:dyDescent="0.25">
      <c r="F6" s="2">
        <v>38</v>
      </c>
      <c r="G6" s="2" t="s">
        <v>55</v>
      </c>
      <c r="H6" s="5">
        <f>IF(Systeme!$C$4&lt;&gt;"",COUNTIFS(tblMC_CatMC[MC_Num],tblMC[[#This Row],[MC_Num]],tblMC_CatMC[CatMC_Num],Systeme!$C$4),0)</f>
        <v>0</v>
      </c>
      <c r="J6" s="2">
        <v>5</v>
      </c>
      <c r="K6" s="2" t="s">
        <v>73</v>
      </c>
      <c r="N6" s="2">
        <v>5</v>
      </c>
      <c r="O6" s="2">
        <v>1</v>
      </c>
      <c r="T6" s="2">
        <v>123</v>
      </c>
      <c r="U6" s="2" t="str">
        <f>IF(FREETBLNUM[FREETBLNUM]&lt;&gt;"",VLOOKUP(FREETBLNUM[FREETBLNUM],tblMC[],2,FALSE),"")</f>
        <v>VHU</v>
      </c>
    </row>
    <row r="7" spans="2:21" x14ac:dyDescent="0.25">
      <c r="F7" s="2">
        <v>39</v>
      </c>
      <c r="G7" s="2" t="s">
        <v>56</v>
      </c>
      <c r="H7" s="5">
        <f>IF(Systeme!$C$4&lt;&gt;"",COUNTIFS(tblMC_CatMC[MC_Num],tblMC[[#This Row],[MC_Num]],tblMC_CatMC[CatMC_Num],Systeme!$C$4),0)</f>
        <v>0</v>
      </c>
      <c r="J7" s="2">
        <v>1</v>
      </c>
      <c r="K7" s="2" t="s">
        <v>8</v>
      </c>
      <c r="N7" s="2">
        <v>0</v>
      </c>
      <c r="O7" s="2">
        <v>0</v>
      </c>
    </row>
    <row r="8" spans="2:21" x14ac:dyDescent="0.25">
      <c r="F8" s="2">
        <v>115</v>
      </c>
      <c r="G8" s="2" t="s">
        <v>139</v>
      </c>
      <c r="H8" s="5">
        <f>IF(Systeme!$C$4&lt;&gt;"",COUNTIFS(tblMC_CatMC[MC_Num],tblMC[[#This Row],[MC_Num]],tblMC_CatMC[CatMC_Num],Systeme!$C$4),0)</f>
        <v>0</v>
      </c>
      <c r="J8" s="2">
        <v>0</v>
      </c>
      <c r="K8" s="2" t="s">
        <v>7</v>
      </c>
      <c r="N8" s="2">
        <v>6</v>
      </c>
      <c r="O8" s="2">
        <v>2</v>
      </c>
    </row>
    <row r="9" spans="2:21" x14ac:dyDescent="0.25">
      <c r="F9" s="2">
        <v>116</v>
      </c>
      <c r="G9" s="2" t="s">
        <v>140</v>
      </c>
      <c r="H9" s="5">
        <f>IF(Systeme!$C$4&lt;&gt;"",COUNTIFS(tblMC_CatMC[MC_Num],tblMC[[#This Row],[MC_Num]],tblMC_CatMC[CatMC_Num],Systeme!$C$4),0)</f>
        <v>0</v>
      </c>
      <c r="J9" s="2">
        <v>3</v>
      </c>
      <c r="K9" s="2" t="s">
        <v>24</v>
      </c>
      <c r="N9" s="2">
        <v>4</v>
      </c>
      <c r="O9" s="2">
        <v>1</v>
      </c>
    </row>
    <row r="10" spans="2:21" x14ac:dyDescent="0.25">
      <c r="F10" s="2">
        <v>121</v>
      </c>
      <c r="G10" s="2" t="s">
        <v>141</v>
      </c>
      <c r="H10" s="5">
        <f>IF(Systeme!$C$4&lt;&gt;"",COUNTIFS(tblMC_CatMC[MC_Num],tblMC[[#This Row],[MC_Num]],tblMC_CatMC[CatMC_Num],Systeme!$C$4),0)</f>
        <v>0</v>
      </c>
      <c r="N10" s="2">
        <v>3</v>
      </c>
      <c r="O10" s="2">
        <v>1</v>
      </c>
    </row>
    <row r="11" spans="2:21" x14ac:dyDescent="0.25">
      <c r="F11" s="2">
        <v>117</v>
      </c>
      <c r="G11" s="2" t="s">
        <v>142</v>
      </c>
      <c r="H11" s="5">
        <f>IF(Systeme!$C$4&lt;&gt;"",COUNTIFS(tblMC_CatMC[MC_Num],tblMC[[#This Row],[MC_Num]],tblMC_CatMC[CatMC_Num],Systeme!$C$4),0)</f>
        <v>0</v>
      </c>
      <c r="N11" s="2">
        <v>7</v>
      </c>
      <c r="O11" s="2">
        <v>3</v>
      </c>
    </row>
    <row r="12" spans="2:21" x14ac:dyDescent="0.25">
      <c r="F12" s="2">
        <v>118</v>
      </c>
      <c r="G12" s="2" t="s">
        <v>143</v>
      </c>
      <c r="H12" s="5">
        <f>IF(Systeme!$C$4&lt;&gt;"",COUNTIFS(tblMC_CatMC[MC_Num],tblMC[[#This Row],[MC_Num]],tblMC_CatMC[CatMC_Num],Systeme!$C$4),0)</f>
        <v>0</v>
      </c>
      <c r="N12" s="2">
        <v>8</v>
      </c>
      <c r="O12" s="2">
        <v>1</v>
      </c>
    </row>
    <row r="13" spans="2:21" x14ac:dyDescent="0.25">
      <c r="F13" s="2">
        <v>49</v>
      </c>
      <c r="G13" s="2" t="s">
        <v>144</v>
      </c>
      <c r="H13" s="5">
        <f>IF(Systeme!$C$4&lt;&gt;"",COUNTIFS(tblMC_CatMC[MC_Num],tblMC[[#This Row],[MC_Num]],tblMC_CatMC[CatMC_Num],Systeme!$C$4),0)</f>
        <v>0</v>
      </c>
      <c r="N13" s="2">
        <v>10</v>
      </c>
      <c r="O13" s="2">
        <v>3</v>
      </c>
    </row>
    <row r="14" spans="2:21" x14ac:dyDescent="0.25">
      <c r="F14" s="2">
        <v>119</v>
      </c>
      <c r="G14" s="2" t="s">
        <v>145</v>
      </c>
      <c r="H14" s="5">
        <f>IF(Systeme!$C$4&lt;&gt;"",COUNTIFS(tblMC_CatMC[MC_Num],tblMC[[#This Row],[MC_Num]],tblMC_CatMC[CatMC_Num],Systeme!$C$4),0)</f>
        <v>0</v>
      </c>
      <c r="N14" s="2">
        <v>9</v>
      </c>
      <c r="O14" s="2">
        <v>3</v>
      </c>
    </row>
    <row r="15" spans="2:21" x14ac:dyDescent="0.25">
      <c r="F15" s="2">
        <v>133</v>
      </c>
      <c r="G15" s="2" t="s">
        <v>153</v>
      </c>
      <c r="H15" s="5">
        <f>IF(Systeme!$C$4&lt;&gt;"",COUNTIFS(tblMC_CatMC[MC_Num],tblMC[[#This Row],[MC_Num]],tblMC_CatMC[CatMC_Num],Systeme!$C$4),0)</f>
        <v>0</v>
      </c>
      <c r="N15" s="2">
        <v>12</v>
      </c>
      <c r="O15" s="2">
        <v>0</v>
      </c>
    </row>
    <row r="16" spans="2:21" x14ac:dyDescent="0.25">
      <c r="F16" s="2">
        <v>120</v>
      </c>
      <c r="G16" s="2" t="s">
        <v>146</v>
      </c>
      <c r="H16" s="5">
        <f>IF(Systeme!$C$4&lt;&gt;"",COUNTIFS(tblMC_CatMC[MC_Num],tblMC[[#This Row],[MC_Num]],tblMC_CatMC[CatMC_Num],Systeme!$C$4),0)</f>
        <v>0</v>
      </c>
      <c r="N16" s="2">
        <v>13</v>
      </c>
      <c r="O16" s="2">
        <v>0</v>
      </c>
    </row>
    <row r="17" spans="6:15" x14ac:dyDescent="0.25">
      <c r="F17" s="2">
        <v>86</v>
      </c>
      <c r="G17" s="2" t="s">
        <v>104</v>
      </c>
      <c r="H17" s="5">
        <f>IF(Systeme!$C$4&lt;&gt;"",COUNTIFS(tblMC_CatMC[MC_Num],tblMC[[#This Row],[MC_Num]],tblMC_CatMC[CatMC_Num],Systeme!$C$4),0)</f>
        <v>0</v>
      </c>
      <c r="N17" s="2">
        <v>11</v>
      </c>
      <c r="O17" s="2">
        <v>0</v>
      </c>
    </row>
    <row r="18" spans="6:15" x14ac:dyDescent="0.25">
      <c r="F18" s="2">
        <v>130</v>
      </c>
      <c r="G18" s="2" t="s">
        <v>149</v>
      </c>
      <c r="H18" s="5">
        <f>IF(Systeme!$C$4&lt;&gt;"",COUNTIFS(tblMC_CatMC[MC_Num],tblMC[[#This Row],[MC_Num]],tblMC_CatMC[CatMC_Num],Systeme!$C$4),0)</f>
        <v>0</v>
      </c>
      <c r="N18" s="2">
        <v>14</v>
      </c>
      <c r="O18" s="2">
        <v>2</v>
      </c>
    </row>
    <row r="19" spans="6:15" x14ac:dyDescent="0.25">
      <c r="F19" s="2">
        <v>83</v>
      </c>
      <c r="G19" s="2" t="s">
        <v>100</v>
      </c>
      <c r="H19" s="5">
        <f>IF(Systeme!$C$4&lt;&gt;"",COUNTIFS(tblMC_CatMC[MC_Num],tblMC[[#This Row],[MC_Num]],tblMC_CatMC[CatMC_Num],Systeme!$C$4),0)</f>
        <v>0</v>
      </c>
      <c r="N19" s="2">
        <v>16</v>
      </c>
      <c r="O19" s="2">
        <v>2</v>
      </c>
    </row>
    <row r="20" spans="6:15" x14ac:dyDescent="0.25">
      <c r="F20" s="2">
        <v>2</v>
      </c>
      <c r="G20" s="2" t="s">
        <v>15</v>
      </c>
      <c r="H20" s="2">
        <f>IF(Systeme!$C$4&lt;&gt;"",COUNTIFS(tblMC_CatMC[MC_Num],tblMC[[#This Row],[MC_Num]],tblMC_CatMC[CatMC_Num],Systeme!$C$4),0)</f>
        <v>0</v>
      </c>
      <c r="N20" s="2">
        <v>15</v>
      </c>
      <c r="O20" s="2">
        <v>1</v>
      </c>
    </row>
    <row r="21" spans="6:15" x14ac:dyDescent="0.25">
      <c r="F21" s="2">
        <v>124</v>
      </c>
      <c r="G21" s="2" t="s">
        <v>135</v>
      </c>
      <c r="H21" s="5">
        <f>IF(Systeme!$C$4&lt;&gt;"",COUNTIFS(tblMC_CatMC[MC_Num],tblMC[[#This Row],[MC_Num]],tblMC_CatMC[CatMC_Num],Systeme!$C$4),0)</f>
        <v>0</v>
      </c>
      <c r="N21" s="2">
        <v>17</v>
      </c>
      <c r="O21" s="2">
        <v>2</v>
      </c>
    </row>
    <row r="22" spans="6:15" x14ac:dyDescent="0.25">
      <c r="F22" s="2">
        <v>22</v>
      </c>
      <c r="G22" s="2" t="s">
        <v>40</v>
      </c>
      <c r="H22" s="5">
        <f>IF(Systeme!$C$4&lt;&gt;"",COUNTIFS(tblMC_CatMC[MC_Num],tblMC[[#This Row],[MC_Num]],tblMC_CatMC[CatMC_Num],Systeme!$C$4),0)</f>
        <v>0</v>
      </c>
      <c r="N22" s="2">
        <v>18</v>
      </c>
      <c r="O22" s="2">
        <v>1</v>
      </c>
    </row>
    <row r="23" spans="6:15" x14ac:dyDescent="0.25">
      <c r="F23" s="2">
        <v>1</v>
      </c>
      <c r="G23" s="2" t="s">
        <v>14</v>
      </c>
      <c r="H23" s="2">
        <f>IF(Systeme!$C$4&lt;&gt;"",COUNTIFS(tblMC_CatMC[MC_Num],tblMC[[#This Row],[MC_Num]],tblMC_CatMC[CatMC_Num],Systeme!$C$4),0)</f>
        <v>0</v>
      </c>
      <c r="N23" s="2">
        <v>19</v>
      </c>
      <c r="O23" s="2">
        <v>1</v>
      </c>
    </row>
    <row r="24" spans="6:15" x14ac:dyDescent="0.25">
      <c r="F24" s="2">
        <v>33</v>
      </c>
      <c r="G24" s="2" t="s">
        <v>50</v>
      </c>
      <c r="H24" s="5">
        <f>IF(Systeme!$C$4&lt;&gt;"",COUNTIFS(tblMC_CatMC[MC_Num],tblMC[[#This Row],[MC_Num]],tblMC_CatMC[CatMC_Num],Systeme!$C$4),0)</f>
        <v>0</v>
      </c>
      <c r="N24" s="2">
        <v>20</v>
      </c>
      <c r="O24" s="2">
        <v>0</v>
      </c>
    </row>
    <row r="25" spans="6:15" x14ac:dyDescent="0.25">
      <c r="F25" s="2">
        <v>26</v>
      </c>
      <c r="G25" s="2" t="s">
        <v>44</v>
      </c>
      <c r="H25" s="5">
        <f>IF(Systeme!$C$4&lt;&gt;"",COUNTIFS(tblMC_CatMC[MC_Num],tblMC[[#This Row],[MC_Num]],tblMC_CatMC[CatMC_Num],Systeme!$C$4),0)</f>
        <v>0</v>
      </c>
      <c r="N25" s="2">
        <v>21</v>
      </c>
      <c r="O25" s="2">
        <v>1</v>
      </c>
    </row>
    <row r="26" spans="6:15" x14ac:dyDescent="0.25">
      <c r="F26" s="2">
        <v>16</v>
      </c>
      <c r="G26" s="2" t="s">
        <v>34</v>
      </c>
      <c r="H26" s="5">
        <f>IF(Systeme!$C$4&lt;&gt;"",COUNTIFS(tblMC_CatMC[MC_Num],tblMC[[#This Row],[MC_Num]],tblMC_CatMC[CatMC_Num],Systeme!$C$4),0)</f>
        <v>0</v>
      </c>
      <c r="N26" s="2">
        <v>22</v>
      </c>
      <c r="O26" s="2">
        <v>0</v>
      </c>
    </row>
    <row r="27" spans="6:15" x14ac:dyDescent="0.25">
      <c r="F27" s="2">
        <v>76</v>
      </c>
      <c r="G27" s="2" t="s">
        <v>93</v>
      </c>
      <c r="H27" s="5">
        <f>IF(Systeme!$C$4&lt;&gt;"",COUNTIFS(tblMC_CatMC[MC_Num],tblMC[[#This Row],[MC_Num]],tblMC_CatMC[CatMC_Num],Systeme!$C$4),0)</f>
        <v>0</v>
      </c>
      <c r="N27" s="2">
        <v>23</v>
      </c>
      <c r="O27" s="2">
        <v>2</v>
      </c>
    </row>
    <row r="28" spans="6:15" x14ac:dyDescent="0.25">
      <c r="F28" s="2">
        <v>6</v>
      </c>
      <c r="G28" s="2" t="s">
        <v>19</v>
      </c>
      <c r="H28" s="5">
        <f>IF(Systeme!$C$4&lt;&gt;"",COUNTIFS(tblMC_CatMC[MC_Num],tblMC[[#This Row],[MC_Num]],tblMC_CatMC[CatMC_Num],Systeme!$C$4),0)</f>
        <v>0</v>
      </c>
      <c r="N28" s="2">
        <v>24</v>
      </c>
      <c r="O28" s="2">
        <v>0</v>
      </c>
    </row>
    <row r="29" spans="6:15" x14ac:dyDescent="0.25">
      <c r="F29" s="2">
        <v>61</v>
      </c>
      <c r="G29" s="2" t="s">
        <v>78</v>
      </c>
      <c r="H29" s="5">
        <f>IF(Systeme!$C$4&lt;&gt;"",COUNTIFS(tblMC_CatMC[MC_Num],tblMC[[#This Row],[MC_Num]],tblMC_CatMC[CatMC_Num],Systeme!$C$4),0)</f>
        <v>0</v>
      </c>
      <c r="N29" s="2">
        <v>25</v>
      </c>
      <c r="O29" s="2">
        <v>1</v>
      </c>
    </row>
    <row r="30" spans="6:15" x14ac:dyDescent="0.25">
      <c r="F30" s="2">
        <v>62</v>
      </c>
      <c r="G30" s="2" t="s">
        <v>79</v>
      </c>
      <c r="H30" s="5">
        <f>IF(Systeme!$C$4&lt;&gt;"",COUNTIFS(tblMC_CatMC[MC_Num],tblMC[[#This Row],[MC_Num]],tblMC_CatMC[CatMC_Num],Systeme!$C$4),0)</f>
        <v>0</v>
      </c>
      <c r="N30" s="2">
        <v>27</v>
      </c>
      <c r="O30" s="2">
        <v>1</v>
      </c>
    </row>
    <row r="31" spans="6:15" x14ac:dyDescent="0.25">
      <c r="F31" s="2">
        <v>24</v>
      </c>
      <c r="G31" s="2" t="s">
        <v>42</v>
      </c>
      <c r="H31" s="5">
        <f>IF(Systeme!$C$4&lt;&gt;"",COUNTIFS(tblMC_CatMC[MC_Num],tblMC[[#This Row],[MC_Num]],tblMC_CatMC[CatMC_Num],Systeme!$C$4),0)</f>
        <v>0</v>
      </c>
      <c r="N31" s="2">
        <v>26</v>
      </c>
      <c r="O31" s="2">
        <v>1</v>
      </c>
    </row>
    <row r="32" spans="6:15" x14ac:dyDescent="0.25">
      <c r="F32" s="2">
        <v>27</v>
      </c>
      <c r="G32" s="2" t="s">
        <v>45</v>
      </c>
      <c r="H32" s="5">
        <f>IF(Systeme!$C$4&lt;&gt;"",COUNTIFS(tblMC_CatMC[MC_Num],tblMC[[#This Row],[MC_Num]],tblMC_CatMC[CatMC_Num],Systeme!$C$4),0)</f>
        <v>0</v>
      </c>
      <c r="N32" s="2">
        <v>28</v>
      </c>
      <c r="O32" s="2">
        <v>0</v>
      </c>
    </row>
    <row r="33" spans="6:15" x14ac:dyDescent="0.25">
      <c r="F33" s="2">
        <v>90</v>
      </c>
      <c r="G33" s="2" t="s">
        <v>108</v>
      </c>
      <c r="H33" s="5">
        <f>IF(Systeme!$C$4&lt;&gt;"",COUNTIFS(tblMC_CatMC[MC_Num],tblMC[[#This Row],[MC_Num]],tblMC_CatMC[CatMC_Num],Systeme!$C$4),0)</f>
        <v>0</v>
      </c>
      <c r="N33" s="2">
        <v>29</v>
      </c>
      <c r="O33" s="2">
        <v>3</v>
      </c>
    </row>
    <row r="34" spans="6:15" x14ac:dyDescent="0.25">
      <c r="F34" s="2">
        <v>77</v>
      </c>
      <c r="G34" s="2" t="s">
        <v>94</v>
      </c>
      <c r="H34" s="5">
        <f>IF(Systeme!$C$4&lt;&gt;"",COUNTIFS(tblMC_CatMC[MC_Num],tblMC[[#This Row],[MC_Num]],tblMC_CatMC[CatMC_Num],Systeme!$C$4),0)</f>
        <v>0</v>
      </c>
      <c r="N34" s="2">
        <v>31</v>
      </c>
      <c r="O34" s="2">
        <v>1</v>
      </c>
    </row>
    <row r="35" spans="6:15" x14ac:dyDescent="0.25">
      <c r="F35" s="2">
        <v>131</v>
      </c>
      <c r="G35" s="2" t="s">
        <v>150</v>
      </c>
      <c r="H35" s="5">
        <f>IF(Systeme!$C$4&lt;&gt;"",COUNTIFS(tblMC_CatMC[MC_Num],tblMC[[#This Row],[MC_Num]],tblMC_CatMC[CatMC_Num],Systeme!$C$4),0)</f>
        <v>0</v>
      </c>
      <c r="N35" s="2">
        <v>30</v>
      </c>
      <c r="O35" s="2">
        <v>1</v>
      </c>
    </row>
    <row r="36" spans="6:15" x14ac:dyDescent="0.25">
      <c r="F36" s="2">
        <v>114</v>
      </c>
      <c r="G36" s="2" t="s">
        <v>132</v>
      </c>
      <c r="H36" s="5">
        <f>IF(Systeme!$C$4&lt;&gt;"",COUNTIFS(tblMC_CatMC[MC_Num],tblMC[[#This Row],[MC_Num]],tblMC_CatMC[CatMC_Num],Systeme!$C$4),0)</f>
        <v>0</v>
      </c>
      <c r="N36" s="2">
        <v>32</v>
      </c>
      <c r="O36" s="2">
        <v>1</v>
      </c>
    </row>
    <row r="37" spans="6:15" x14ac:dyDescent="0.25">
      <c r="F37" s="2">
        <v>65</v>
      </c>
      <c r="G37" s="2" t="s">
        <v>82</v>
      </c>
      <c r="H37" s="5">
        <f>IF(Systeme!$C$4&lt;&gt;"",COUNTIFS(tblMC_CatMC[MC_Num],tblMC[[#This Row],[MC_Num]],tblMC_CatMC[CatMC_Num],Systeme!$C$4),0)</f>
        <v>0</v>
      </c>
      <c r="N37" s="2">
        <v>33</v>
      </c>
      <c r="O37" s="2">
        <v>0</v>
      </c>
    </row>
    <row r="38" spans="6:15" x14ac:dyDescent="0.25">
      <c r="F38" s="2">
        <v>36</v>
      </c>
      <c r="G38" s="2" t="s">
        <v>53</v>
      </c>
      <c r="H38" s="5">
        <f>IF(Systeme!$C$4&lt;&gt;"",COUNTIFS(tblMC_CatMC[MC_Num],tblMC[[#This Row],[MC_Num]],tblMC_CatMC[CatMC_Num],Systeme!$C$4),0)</f>
        <v>0</v>
      </c>
      <c r="N38" s="2">
        <v>34</v>
      </c>
      <c r="O38" s="2">
        <v>1</v>
      </c>
    </row>
    <row r="39" spans="6:15" x14ac:dyDescent="0.25">
      <c r="F39" s="2">
        <v>42</v>
      </c>
      <c r="G39" s="2" t="s">
        <v>59</v>
      </c>
      <c r="H39" s="5">
        <f>IF(Systeme!$C$4&lt;&gt;"",COUNTIFS(tblMC_CatMC[MC_Num],tblMC[[#This Row],[MC_Num]],tblMC_CatMC[CatMC_Num],Systeme!$C$4),0)</f>
        <v>0</v>
      </c>
      <c r="N39" s="2">
        <v>37</v>
      </c>
      <c r="O39" s="2">
        <v>1</v>
      </c>
    </row>
    <row r="40" spans="6:15" x14ac:dyDescent="0.25">
      <c r="F40" s="2">
        <v>37</v>
      </c>
      <c r="G40" s="2" t="s">
        <v>54</v>
      </c>
      <c r="H40" s="5">
        <f>IF(Systeme!$C$4&lt;&gt;"",COUNTIFS(tblMC_CatMC[MC_Num],tblMC[[#This Row],[MC_Num]],tblMC_CatMC[CatMC_Num],Systeme!$C$4),0)</f>
        <v>0</v>
      </c>
      <c r="N40" s="2">
        <v>36</v>
      </c>
      <c r="O40" s="2">
        <v>1</v>
      </c>
    </row>
    <row r="41" spans="6:15" x14ac:dyDescent="0.25">
      <c r="F41" s="2">
        <v>23</v>
      </c>
      <c r="G41" s="2" t="s">
        <v>41</v>
      </c>
      <c r="H41" s="5">
        <f>IF(Systeme!$C$4&lt;&gt;"",COUNTIFS(tblMC_CatMC[MC_Num],tblMC[[#This Row],[MC_Num]],tblMC_CatMC[CatMC_Num],Systeme!$C$4),0)</f>
        <v>0</v>
      </c>
      <c r="N41" s="2">
        <v>35</v>
      </c>
      <c r="O41" s="2">
        <v>1</v>
      </c>
    </row>
    <row r="42" spans="6:15" x14ac:dyDescent="0.25">
      <c r="F42" s="2">
        <v>4</v>
      </c>
      <c r="G42" s="2" t="s">
        <v>17</v>
      </c>
      <c r="H42" s="2">
        <f>IF(Systeme!$C$4&lt;&gt;"",COUNTIFS(tblMC_CatMC[MC_Num],tblMC[[#This Row],[MC_Num]],tblMC_CatMC[CatMC_Num],Systeme!$C$4),0)</f>
        <v>0</v>
      </c>
      <c r="N42" s="2">
        <v>38</v>
      </c>
      <c r="O42" s="2">
        <v>0</v>
      </c>
    </row>
    <row r="43" spans="6:15" x14ac:dyDescent="0.25">
      <c r="F43" s="2">
        <v>60</v>
      </c>
      <c r="G43" s="2" t="s">
        <v>77</v>
      </c>
      <c r="H43" s="5">
        <f>IF(Systeme!$C$4&lt;&gt;"",COUNTIFS(tblMC_CatMC[MC_Num],tblMC[[#This Row],[MC_Num]],tblMC_CatMC[CatMC_Num],Systeme!$C$4),0)</f>
        <v>0</v>
      </c>
      <c r="N43" s="2">
        <v>39</v>
      </c>
      <c r="O43" s="2">
        <v>0</v>
      </c>
    </row>
    <row r="44" spans="6:15" x14ac:dyDescent="0.25">
      <c r="F44" s="2">
        <v>112</v>
      </c>
      <c r="G44" s="2" t="s">
        <v>130</v>
      </c>
      <c r="H44" s="5">
        <f>IF(Systeme!$C$4&lt;&gt;"",COUNTIFS(tblMC_CatMC[MC_Num],tblMC[[#This Row],[MC_Num]],tblMC_CatMC[CatMC_Num],Systeme!$C$4),0)</f>
        <v>0</v>
      </c>
      <c r="N44" s="2">
        <v>40</v>
      </c>
      <c r="O44" s="2">
        <v>1</v>
      </c>
    </row>
    <row r="45" spans="6:15" x14ac:dyDescent="0.25">
      <c r="F45" s="2">
        <v>93</v>
      </c>
      <c r="G45" s="2" t="s">
        <v>111</v>
      </c>
      <c r="H45" s="5">
        <f>IF(Systeme!$C$4&lt;&gt;"",COUNTIFS(tblMC_CatMC[MC_Num],tblMC[[#This Row],[MC_Num]],tblMC_CatMC[CatMC_Num],Systeme!$C$4),0)</f>
        <v>0</v>
      </c>
      <c r="N45" s="2">
        <v>41</v>
      </c>
      <c r="O45" s="2">
        <v>1</v>
      </c>
    </row>
    <row r="46" spans="6:15" x14ac:dyDescent="0.25">
      <c r="F46" s="2">
        <v>100</v>
      </c>
      <c r="G46" s="2" t="s">
        <v>118</v>
      </c>
      <c r="H46" s="5">
        <f>IF(Systeme!$C$4&lt;&gt;"",COUNTIFS(tblMC_CatMC[MC_Num],tblMC[[#This Row],[MC_Num]],tblMC_CatMC[CatMC_Num],Systeme!$C$4),0)</f>
        <v>0</v>
      </c>
      <c r="N46" s="2">
        <v>43</v>
      </c>
      <c r="O46" s="2">
        <v>1</v>
      </c>
    </row>
    <row r="47" spans="6:15" x14ac:dyDescent="0.25">
      <c r="F47" s="2">
        <v>5</v>
      </c>
      <c r="G47" s="2" t="s">
        <v>18</v>
      </c>
      <c r="H47" s="5">
        <f>IF(Systeme!$C$4&lt;&gt;"",COUNTIFS(tblMC_CatMC[MC_Num],tblMC[[#This Row],[MC_Num]],tblMC_CatMC[CatMC_Num],Systeme!$C$4),0)</f>
        <v>0</v>
      </c>
      <c r="N47" s="2">
        <v>42</v>
      </c>
      <c r="O47" s="2">
        <v>1</v>
      </c>
    </row>
    <row r="48" spans="6:15" x14ac:dyDescent="0.25">
      <c r="F48" s="2">
        <v>9</v>
      </c>
      <c r="G48" s="2" t="s">
        <v>27</v>
      </c>
      <c r="H48" s="5">
        <f>IF(Systeme!$C$4&lt;&gt;"",COUNTIFS(tblMC_CatMC[MC_Num],tblMC[[#This Row],[MC_Num]],tblMC_CatMC[CatMC_Num],Systeme!$C$4),0)</f>
        <v>0</v>
      </c>
      <c r="N48" s="2">
        <v>44</v>
      </c>
      <c r="O48" s="2">
        <v>1</v>
      </c>
    </row>
    <row r="49" spans="6:15" x14ac:dyDescent="0.25">
      <c r="F49" s="2">
        <v>10</v>
      </c>
      <c r="G49" s="2" t="s">
        <v>28</v>
      </c>
      <c r="H49" s="5">
        <f>IF(Systeme!$C$4&lt;&gt;"",COUNTIFS(tblMC_CatMC[MC_Num],tblMC[[#This Row],[MC_Num]],tblMC_CatMC[CatMC_Num],Systeme!$C$4),0)</f>
        <v>0</v>
      </c>
      <c r="N49" s="2">
        <v>45</v>
      </c>
      <c r="O49" s="2">
        <v>0</v>
      </c>
    </row>
    <row r="50" spans="6:15" x14ac:dyDescent="0.25">
      <c r="F50" s="2">
        <v>29</v>
      </c>
      <c r="G50" s="2" t="s">
        <v>61</v>
      </c>
      <c r="H50" s="5">
        <f>IF(Systeme!$C$4&lt;&gt;"",COUNTIFS(tblMC_CatMC[MC_Num],tblMC[[#This Row],[MC_Num]],tblMC_CatMC[CatMC_Num],Systeme!$C$4),0)</f>
        <v>0</v>
      </c>
      <c r="N50" s="2">
        <v>46</v>
      </c>
      <c r="O50" s="2">
        <v>0</v>
      </c>
    </row>
    <row r="51" spans="6:15" x14ac:dyDescent="0.25">
      <c r="F51" s="2">
        <v>57</v>
      </c>
      <c r="G51" s="2" t="s">
        <v>74</v>
      </c>
      <c r="H51" s="5">
        <f>IF(Systeme!$C$4&lt;&gt;"",COUNTIFS(tblMC_CatMC[MC_Num],tblMC[[#This Row],[MC_Num]],tblMC_CatMC[CatMC_Num],Systeme!$C$4),0)</f>
        <v>0</v>
      </c>
      <c r="N51" s="2">
        <v>47</v>
      </c>
      <c r="O51" s="2">
        <v>0</v>
      </c>
    </row>
    <row r="52" spans="6:15" x14ac:dyDescent="0.25">
      <c r="F52" s="2">
        <v>68</v>
      </c>
      <c r="G52" s="2" t="s">
        <v>85</v>
      </c>
      <c r="H52" s="5">
        <f>IF(Systeme!$C$4&lt;&gt;"",COUNTIFS(tblMC_CatMC[MC_Num],tblMC[[#This Row],[MC_Num]],tblMC_CatMC[CatMC_Num],Systeme!$C$4),0)</f>
        <v>0</v>
      </c>
      <c r="N52" s="2">
        <v>48</v>
      </c>
      <c r="O52" s="2">
        <v>2</v>
      </c>
    </row>
    <row r="53" spans="6:15" x14ac:dyDescent="0.25">
      <c r="F53" s="2">
        <v>64</v>
      </c>
      <c r="G53" s="2" t="s">
        <v>81</v>
      </c>
      <c r="H53" s="5">
        <f>IF(Systeme!$C$4&lt;&gt;"",COUNTIFS(tblMC_CatMC[MC_Num],tblMC[[#This Row],[MC_Num]],tblMC_CatMC[CatMC_Num],Systeme!$C$4),0)</f>
        <v>0</v>
      </c>
      <c r="N53" s="2">
        <v>49</v>
      </c>
      <c r="O53" s="2">
        <v>1</v>
      </c>
    </row>
    <row r="54" spans="6:15" x14ac:dyDescent="0.25">
      <c r="F54" s="2">
        <v>69</v>
      </c>
      <c r="G54" s="2" t="s">
        <v>86</v>
      </c>
      <c r="H54" s="5">
        <f>IF(Systeme!$C$4&lt;&gt;"",COUNTIFS(tblMC_CatMC[MC_Num],tblMC[[#This Row],[MC_Num]],tblMC_CatMC[CatMC_Num],Systeme!$C$4),0)</f>
        <v>0</v>
      </c>
      <c r="N54" s="2">
        <v>51</v>
      </c>
      <c r="O54" s="2">
        <v>0</v>
      </c>
    </row>
    <row r="55" spans="6:15" x14ac:dyDescent="0.25">
      <c r="F55" s="2">
        <v>71</v>
      </c>
      <c r="G55" s="2" t="s">
        <v>88</v>
      </c>
      <c r="H55" s="5">
        <f>IF(Systeme!$C$4&lt;&gt;"",COUNTIFS(tblMC_CatMC[MC_Num],tblMC[[#This Row],[MC_Num]],tblMC_CatMC[CatMC_Num],Systeme!$C$4),0)</f>
        <v>0</v>
      </c>
      <c r="N55" s="2">
        <v>50</v>
      </c>
      <c r="O55" s="2">
        <v>0</v>
      </c>
    </row>
    <row r="56" spans="6:15" x14ac:dyDescent="0.25">
      <c r="F56" s="2">
        <v>72</v>
      </c>
      <c r="G56" s="2" t="s">
        <v>89</v>
      </c>
      <c r="H56" s="5">
        <f>IF(Systeme!$C$4&lt;&gt;"",COUNTIFS(tblMC_CatMC[MC_Num],tblMC[[#This Row],[MC_Num]],tblMC_CatMC[CatMC_Num],Systeme!$C$4),0)</f>
        <v>0</v>
      </c>
      <c r="N56" s="2">
        <v>52</v>
      </c>
      <c r="O56" s="2">
        <v>0</v>
      </c>
    </row>
    <row r="57" spans="6:15" x14ac:dyDescent="0.25">
      <c r="F57" s="2">
        <v>126</v>
      </c>
      <c r="G57" s="2" t="s">
        <v>137</v>
      </c>
      <c r="H57" s="5">
        <f>IF(Systeme!$C$4&lt;&gt;"",COUNTIFS(tblMC_CatMC[MC_Num],tblMC[[#This Row],[MC_Num]],tblMC_CatMC[CatMC_Num],Systeme!$C$4),0)</f>
        <v>0</v>
      </c>
      <c r="N57" s="2">
        <v>53</v>
      </c>
      <c r="O57" s="2">
        <v>0</v>
      </c>
    </row>
    <row r="58" spans="6:15" x14ac:dyDescent="0.25">
      <c r="F58" s="2">
        <v>66</v>
      </c>
      <c r="G58" s="2" t="s">
        <v>83</v>
      </c>
      <c r="H58" s="5">
        <f>IF(Systeme!$C$4&lt;&gt;"",COUNTIFS(tblMC_CatMC[MC_Num],tblMC[[#This Row],[MC_Num]],tblMC_CatMC[CatMC_Num],Systeme!$C$4),0)</f>
        <v>0</v>
      </c>
      <c r="N58" s="2">
        <v>54</v>
      </c>
      <c r="O58" s="2">
        <v>0</v>
      </c>
    </row>
    <row r="59" spans="6:15" x14ac:dyDescent="0.25">
      <c r="F59" s="2">
        <v>19</v>
      </c>
      <c r="G59" s="2" t="s">
        <v>37</v>
      </c>
      <c r="H59" s="5">
        <f>IF(Systeme!$C$4&lt;&gt;"",COUNTIFS(tblMC_CatMC[MC_Num],tblMC[[#This Row],[MC_Num]],tblMC_CatMC[CatMC_Num],Systeme!$C$4),0)</f>
        <v>0</v>
      </c>
      <c r="N59" s="2">
        <v>55</v>
      </c>
      <c r="O59" s="2">
        <v>0</v>
      </c>
    </row>
    <row r="60" spans="6:15" x14ac:dyDescent="0.25">
      <c r="F60" s="2">
        <v>104</v>
      </c>
      <c r="G60" s="2" t="s">
        <v>122</v>
      </c>
      <c r="H60" s="5">
        <f>IF(Systeme!$C$4&lt;&gt;"",COUNTIFS(tblMC_CatMC[MC_Num],tblMC[[#This Row],[MC_Num]],tblMC_CatMC[CatMC_Num],Systeme!$C$4),0)</f>
        <v>0</v>
      </c>
      <c r="N60" s="2">
        <v>56</v>
      </c>
      <c r="O60" s="2">
        <v>1</v>
      </c>
    </row>
    <row r="61" spans="6:15" x14ac:dyDescent="0.25">
      <c r="F61" s="2">
        <v>129</v>
      </c>
      <c r="G61" s="2" t="s">
        <v>148</v>
      </c>
      <c r="H61" s="5">
        <f>IF(Systeme!$C$4&lt;&gt;"",COUNTIFS(tblMC_CatMC[MC_Num],tblMC[[#This Row],[MC_Num]],tblMC_CatMC[CatMC_Num],Systeme!$C$4),0)</f>
        <v>0</v>
      </c>
      <c r="N61" s="2">
        <v>57</v>
      </c>
      <c r="O61" s="2">
        <v>1</v>
      </c>
    </row>
    <row r="62" spans="6:15" x14ac:dyDescent="0.25">
      <c r="F62" s="2">
        <v>47</v>
      </c>
      <c r="G62" s="2" t="s">
        <v>65</v>
      </c>
      <c r="H62" s="5">
        <f>IF(Systeme!$C$4&lt;&gt;"",COUNTIFS(tblMC_CatMC[MC_Num],tblMC[[#This Row],[MC_Num]],tblMC_CatMC[CatMC_Num],Systeme!$C$4),0)</f>
        <v>0</v>
      </c>
      <c r="N62" s="2">
        <v>58</v>
      </c>
      <c r="O62" s="2">
        <v>0</v>
      </c>
    </row>
    <row r="63" spans="6:15" x14ac:dyDescent="0.25">
      <c r="F63" s="2">
        <v>46</v>
      </c>
      <c r="G63" s="2" t="s">
        <v>64</v>
      </c>
      <c r="H63" s="5">
        <f>IF(Systeme!$C$4&lt;&gt;"",COUNTIFS(tblMC_CatMC[MC_Num],tblMC[[#This Row],[MC_Num]],tblMC_CatMC[CatMC_Num],Systeme!$C$4),0)</f>
        <v>0</v>
      </c>
      <c r="N63" s="2">
        <v>59</v>
      </c>
      <c r="O63" s="2">
        <v>1</v>
      </c>
    </row>
    <row r="64" spans="6:15" x14ac:dyDescent="0.25">
      <c r="F64" s="2">
        <v>128</v>
      </c>
      <c r="G64" s="2" t="s">
        <v>147</v>
      </c>
      <c r="H64" s="5">
        <f>IF(Systeme!$C$4&lt;&gt;"",COUNTIFS(tblMC_CatMC[MC_Num],tblMC[[#This Row],[MC_Num]],tblMC_CatMC[CatMC_Num],Systeme!$C$4),0)</f>
        <v>0</v>
      </c>
      <c r="N64" s="2">
        <v>60</v>
      </c>
      <c r="O64" s="2">
        <v>1</v>
      </c>
    </row>
    <row r="65" spans="6:15" x14ac:dyDescent="0.25">
      <c r="F65" s="2">
        <v>11</v>
      </c>
      <c r="G65" s="2" t="s">
        <v>29</v>
      </c>
      <c r="H65" s="5">
        <f>IF(Systeme!$C$4&lt;&gt;"",COUNTIFS(tblMC_CatMC[MC_Num],tblMC[[#This Row],[MC_Num]],tblMC_CatMC[CatMC_Num],Systeme!$C$4),0)</f>
        <v>0</v>
      </c>
      <c r="N65" s="2">
        <v>61</v>
      </c>
      <c r="O65" s="2">
        <v>0</v>
      </c>
    </row>
    <row r="66" spans="6:15" x14ac:dyDescent="0.25">
      <c r="F66" s="2">
        <v>106</v>
      </c>
      <c r="G66" s="2" t="s">
        <v>124</v>
      </c>
      <c r="H66" s="5">
        <f>IF(Systeme!$C$4&lt;&gt;"",COUNTIFS(tblMC_CatMC[MC_Num],tblMC[[#This Row],[MC_Num]],tblMC_CatMC[CatMC_Num],Systeme!$C$4),0)</f>
        <v>0</v>
      </c>
      <c r="N66" s="2">
        <v>62</v>
      </c>
      <c r="O66" s="2">
        <v>0</v>
      </c>
    </row>
    <row r="67" spans="6:15" x14ac:dyDescent="0.25">
      <c r="F67" s="2">
        <v>107</v>
      </c>
      <c r="G67" s="2" t="s">
        <v>125</v>
      </c>
      <c r="H67" s="5">
        <f>IF(Systeme!$C$4&lt;&gt;"",COUNTIFS(tblMC_CatMC[MC_Num],tblMC[[#This Row],[MC_Num]],tblMC_CatMC[CatMC_Num],Systeme!$C$4),0)</f>
        <v>0</v>
      </c>
      <c r="N67" s="2">
        <v>63</v>
      </c>
      <c r="O67" s="2">
        <v>1</v>
      </c>
    </row>
    <row r="68" spans="6:15" x14ac:dyDescent="0.25">
      <c r="F68" s="2">
        <v>12</v>
      </c>
      <c r="G68" s="2" t="s">
        <v>30</v>
      </c>
      <c r="H68" s="5">
        <f>IF(Systeme!$C$4&lt;&gt;"",COUNTIFS(tblMC_CatMC[MC_Num],tblMC[[#This Row],[MC_Num]],tblMC_CatMC[CatMC_Num],Systeme!$C$4),0)</f>
        <v>0</v>
      </c>
      <c r="N68" s="2">
        <v>67</v>
      </c>
      <c r="O68" s="2">
        <v>1</v>
      </c>
    </row>
    <row r="69" spans="6:15" x14ac:dyDescent="0.25">
      <c r="F69" s="2">
        <v>13</v>
      </c>
      <c r="G69" s="2" t="s">
        <v>31</v>
      </c>
      <c r="H69" s="5">
        <f>IF(Systeme!$C$4&lt;&gt;"",COUNTIFS(tblMC_CatMC[MC_Num],tblMC[[#This Row],[MC_Num]],tblMC_CatMC[CatMC_Num],Systeme!$C$4),0)</f>
        <v>0</v>
      </c>
      <c r="N69" s="2">
        <v>66</v>
      </c>
      <c r="O69" s="2">
        <v>1</v>
      </c>
    </row>
    <row r="70" spans="6:15" x14ac:dyDescent="0.25">
      <c r="F70" s="2">
        <v>20</v>
      </c>
      <c r="G70" s="2" t="s">
        <v>38</v>
      </c>
      <c r="H70" s="5">
        <f>IF(Systeme!$C$4&lt;&gt;"",COUNTIFS(tblMC_CatMC[MC_Num],tblMC[[#This Row],[MC_Num]],tblMC_CatMC[CatMC_Num],Systeme!$C$4),0)</f>
        <v>0</v>
      </c>
      <c r="N70" s="2">
        <v>66</v>
      </c>
      <c r="O70" s="2">
        <v>2</v>
      </c>
    </row>
    <row r="71" spans="6:15" x14ac:dyDescent="0.25">
      <c r="F71" s="2">
        <v>0</v>
      </c>
      <c r="G71" s="2" t="s">
        <v>13</v>
      </c>
      <c r="H71" s="2">
        <f>IF(Systeme!$C$4&lt;&gt;"",COUNTIFS(tblMC_CatMC[MC_Num],tblMC[[#This Row],[MC_Num]],tblMC_CatMC[CatMC_Num],Systeme!$C$4),0)</f>
        <v>0</v>
      </c>
      <c r="N71" s="2">
        <v>64</v>
      </c>
      <c r="O71" s="2">
        <v>0</v>
      </c>
    </row>
    <row r="72" spans="6:15" x14ac:dyDescent="0.25">
      <c r="F72" s="2">
        <v>28</v>
      </c>
      <c r="G72" s="2" t="s">
        <v>46</v>
      </c>
      <c r="H72" s="5">
        <f>IF(Systeme!$C$4&lt;&gt;"",COUNTIFS(tblMC_CatMC[MC_Num],tblMC[[#This Row],[MC_Num]],tblMC_CatMC[CatMC_Num],Systeme!$C$4),0)</f>
        <v>0</v>
      </c>
      <c r="N72" s="2">
        <v>68</v>
      </c>
      <c r="O72" s="2">
        <v>0</v>
      </c>
    </row>
    <row r="73" spans="6:15" x14ac:dyDescent="0.25">
      <c r="F73" s="2">
        <v>78</v>
      </c>
      <c r="G73" s="2" t="s">
        <v>95</v>
      </c>
      <c r="H73" s="5">
        <f>IF(Systeme!$C$4&lt;&gt;"",COUNTIFS(tblMC_CatMC[MC_Num],tblMC[[#This Row],[MC_Num]],tblMC_CatMC[CatMC_Num],Systeme!$C$4),0)</f>
        <v>0</v>
      </c>
      <c r="N73" s="2">
        <v>69</v>
      </c>
      <c r="O73" s="2">
        <v>0</v>
      </c>
    </row>
    <row r="74" spans="6:15" x14ac:dyDescent="0.25">
      <c r="F74" s="2">
        <v>111</v>
      </c>
      <c r="G74" s="2" t="s">
        <v>129</v>
      </c>
      <c r="H74" s="5">
        <f>IF(Systeme!$C$4&lt;&gt;"",COUNTIFS(tblMC_CatMC[MC_Num],tblMC[[#This Row],[MC_Num]],tblMC_CatMC[CatMC_Num],Systeme!$C$4),0)</f>
        <v>0</v>
      </c>
      <c r="N74" s="2">
        <v>70</v>
      </c>
      <c r="O74" s="2">
        <v>0</v>
      </c>
    </row>
    <row r="75" spans="6:15" x14ac:dyDescent="0.25">
      <c r="F75" s="2">
        <v>94</v>
      </c>
      <c r="G75" s="2" t="s">
        <v>112</v>
      </c>
      <c r="H75" s="5">
        <f>IF(Systeme!$C$4&lt;&gt;"",COUNTIFS(tblMC_CatMC[MC_Num],tblMC[[#This Row],[MC_Num]],tblMC_CatMC[CatMC_Num],Systeme!$C$4),0)</f>
        <v>0</v>
      </c>
      <c r="N75" s="2">
        <v>71</v>
      </c>
      <c r="O75" s="2">
        <v>0</v>
      </c>
    </row>
    <row r="76" spans="6:15" x14ac:dyDescent="0.25">
      <c r="F76" s="2">
        <v>14</v>
      </c>
      <c r="G76" s="2" t="s">
        <v>32</v>
      </c>
      <c r="H76" s="5">
        <f>IF(Systeme!$C$4&lt;&gt;"",COUNTIFS(tblMC_CatMC[MC_Num],tblMC[[#This Row],[MC_Num]],tblMC_CatMC[CatMC_Num],Systeme!$C$4),0)</f>
        <v>0</v>
      </c>
      <c r="N76" s="2">
        <v>72</v>
      </c>
      <c r="O76" s="2">
        <v>0</v>
      </c>
    </row>
    <row r="77" spans="6:15" x14ac:dyDescent="0.25">
      <c r="F77" s="2">
        <v>34</v>
      </c>
      <c r="G77" s="2" t="s">
        <v>51</v>
      </c>
      <c r="H77" s="5">
        <f>IF(Systeme!$C$4&lt;&gt;"",COUNTIFS(tblMC_CatMC[MC_Num],tblMC[[#This Row],[MC_Num]],tblMC_CatMC[CatMC_Num],Systeme!$C$4),0)</f>
        <v>0</v>
      </c>
      <c r="N77" s="2">
        <v>73</v>
      </c>
      <c r="O77" s="2">
        <v>1</v>
      </c>
    </row>
    <row r="78" spans="6:15" x14ac:dyDescent="0.25">
      <c r="F78" s="2">
        <v>105</v>
      </c>
      <c r="G78" s="2" t="s">
        <v>123</v>
      </c>
      <c r="H78" s="5">
        <f>IF(Systeme!$C$4&lt;&gt;"",COUNTIFS(tblMC_CatMC[MC_Num],tblMC[[#This Row],[MC_Num]],tblMC_CatMC[CatMC_Num],Systeme!$C$4),0)</f>
        <v>0</v>
      </c>
      <c r="N78" s="2">
        <v>74</v>
      </c>
      <c r="O78" s="2">
        <v>1</v>
      </c>
    </row>
    <row r="79" spans="6:15" x14ac:dyDescent="0.25">
      <c r="F79" s="2">
        <v>95</v>
      </c>
      <c r="G79" s="2" t="s">
        <v>113</v>
      </c>
      <c r="H79" s="5">
        <f>IF(Systeme!$C$4&lt;&gt;"",COUNTIFS(tblMC_CatMC[MC_Num],tblMC[[#This Row],[MC_Num]],tblMC_CatMC[CatMC_Num],Systeme!$C$4),0)</f>
        <v>0</v>
      </c>
      <c r="N79" s="2">
        <v>75</v>
      </c>
      <c r="O79" s="2">
        <v>1</v>
      </c>
    </row>
    <row r="80" spans="6:15" x14ac:dyDescent="0.25">
      <c r="F80" s="2">
        <v>108</v>
      </c>
      <c r="G80" s="2" t="s">
        <v>126</v>
      </c>
      <c r="H80" s="5">
        <f>IF(Systeme!$C$4&lt;&gt;"",COUNTIFS(tblMC_CatMC[MC_Num],tblMC[[#This Row],[MC_Num]],tblMC_CatMC[CatMC_Num],Systeme!$C$4),0)</f>
        <v>0</v>
      </c>
      <c r="N80" s="2">
        <v>76</v>
      </c>
      <c r="O80" s="2">
        <v>2</v>
      </c>
    </row>
    <row r="81" spans="6:15" x14ac:dyDescent="0.25">
      <c r="F81" s="2">
        <v>73</v>
      </c>
      <c r="G81" s="2" t="s">
        <v>90</v>
      </c>
      <c r="H81" s="5">
        <f>IF(Systeme!$C$4&lt;&gt;"",COUNTIFS(tblMC_CatMC[MC_Num],tblMC[[#This Row],[MC_Num]],tblMC_CatMC[CatMC_Num],Systeme!$C$4),0)</f>
        <v>0</v>
      </c>
      <c r="N81" s="2">
        <v>77</v>
      </c>
      <c r="O81" s="2">
        <v>1</v>
      </c>
    </row>
    <row r="82" spans="6:15" x14ac:dyDescent="0.25">
      <c r="F82" s="2">
        <v>110</v>
      </c>
      <c r="G82" s="2" t="s">
        <v>128</v>
      </c>
      <c r="H82" s="5">
        <f>IF(Systeme!$C$4&lt;&gt;"",COUNTIFS(tblMC_CatMC[MC_Num],tblMC[[#This Row],[MC_Num]],tblMC_CatMC[CatMC_Num],Systeme!$C$4),0)</f>
        <v>0</v>
      </c>
      <c r="N82" s="2">
        <v>78</v>
      </c>
      <c r="O82" s="2">
        <v>1</v>
      </c>
    </row>
    <row r="83" spans="6:15" x14ac:dyDescent="0.25">
      <c r="F83" s="2">
        <v>88</v>
      </c>
      <c r="G83" s="2" t="s">
        <v>106</v>
      </c>
      <c r="H83" s="5">
        <f>IF(Systeme!$C$4&lt;&gt;"",COUNTIFS(tblMC_CatMC[MC_Num],tblMC[[#This Row],[MC_Num]],tblMC_CatMC[CatMC_Num],Systeme!$C$4),0)</f>
        <v>0</v>
      </c>
      <c r="N83" s="2">
        <v>79</v>
      </c>
      <c r="O83" s="2">
        <v>1</v>
      </c>
    </row>
    <row r="84" spans="6:15" x14ac:dyDescent="0.25">
      <c r="F84" s="2">
        <v>113</v>
      </c>
      <c r="G84" s="2" t="s">
        <v>131</v>
      </c>
      <c r="H84" s="5">
        <f>IF(Systeme!$C$4&lt;&gt;"",COUNTIFS(tblMC_CatMC[MC_Num],tblMC[[#This Row],[MC_Num]],tblMC_CatMC[CatMC_Num],Systeme!$C$4),0)</f>
        <v>0</v>
      </c>
      <c r="N84" s="2">
        <v>80</v>
      </c>
      <c r="O84" s="2">
        <v>1</v>
      </c>
    </row>
    <row r="85" spans="6:15" x14ac:dyDescent="0.25">
      <c r="F85" s="2">
        <v>17</v>
      </c>
      <c r="G85" s="2" t="s">
        <v>35</v>
      </c>
      <c r="H85" s="5">
        <f>IF(Systeme!$C$4&lt;&gt;"",COUNTIFS(tblMC_CatMC[MC_Num],tblMC[[#This Row],[MC_Num]],tblMC_CatMC[CatMC_Num],Systeme!$C$4),0)</f>
        <v>0</v>
      </c>
      <c r="N85" s="2">
        <v>81</v>
      </c>
      <c r="O85" s="2">
        <v>1</v>
      </c>
    </row>
    <row r="86" spans="6:15" x14ac:dyDescent="0.25">
      <c r="F86" s="2">
        <v>87</v>
      </c>
      <c r="G86" s="2" t="s">
        <v>105</v>
      </c>
      <c r="H86" s="5">
        <f>IF(Systeme!$C$4&lt;&gt;"",COUNTIFS(tblMC_CatMC[MC_Num],tblMC[[#This Row],[MC_Num]],tblMC_CatMC[CatMC_Num],Systeme!$C$4),0)</f>
        <v>0</v>
      </c>
      <c r="N86" s="2">
        <v>82</v>
      </c>
      <c r="O86" s="2">
        <v>1</v>
      </c>
    </row>
    <row r="87" spans="6:15" x14ac:dyDescent="0.25">
      <c r="F87" s="2">
        <v>67</v>
      </c>
      <c r="G87" s="2" t="s">
        <v>84</v>
      </c>
      <c r="H87" s="5">
        <f>IF(Systeme!$C$4&lt;&gt;"",COUNTIFS(tblMC_CatMC[MC_Num],tblMC[[#This Row],[MC_Num]],tblMC_CatMC[CatMC_Num],Systeme!$C$4),0)</f>
        <v>0</v>
      </c>
      <c r="N87" s="2">
        <v>83</v>
      </c>
      <c r="O87" s="2">
        <v>1</v>
      </c>
    </row>
    <row r="88" spans="6:15" x14ac:dyDescent="0.25">
      <c r="F88" s="2">
        <v>43</v>
      </c>
      <c r="G88" s="2" t="s">
        <v>60</v>
      </c>
      <c r="H88" s="5">
        <f>IF(Systeme!$C$4&lt;&gt;"",COUNTIFS(tblMC_CatMC[MC_Num],tblMC[[#This Row],[MC_Num]],tblMC_CatMC[CatMC_Num],Systeme!$C$4),0)</f>
        <v>0</v>
      </c>
      <c r="N88" s="2">
        <v>84</v>
      </c>
      <c r="O88" s="2">
        <v>1</v>
      </c>
    </row>
    <row r="89" spans="6:15" x14ac:dyDescent="0.25">
      <c r="F89" s="2">
        <v>18</v>
      </c>
      <c r="G89" s="2" t="s">
        <v>36</v>
      </c>
      <c r="H89" s="5">
        <f>IF(Systeme!$C$4&lt;&gt;"",COUNTIFS(tblMC_CatMC[MC_Num],tblMC[[#This Row],[MC_Num]],tblMC_CatMC[CatMC_Num],Systeme!$C$4),0)</f>
        <v>0</v>
      </c>
      <c r="N89" s="2">
        <v>85</v>
      </c>
      <c r="O89" s="2">
        <v>4</v>
      </c>
    </row>
    <row r="90" spans="6:15" x14ac:dyDescent="0.25">
      <c r="F90" s="2">
        <v>3</v>
      </c>
      <c r="G90" s="2" t="s">
        <v>16</v>
      </c>
      <c r="H90" s="2">
        <f>IF(Systeme!$C$4&lt;&gt;"",COUNTIFS(tblMC_CatMC[MC_Num],tblMC[[#This Row],[MC_Num]],tblMC_CatMC[CatMC_Num],Systeme!$C$4),0)</f>
        <v>0</v>
      </c>
      <c r="N90" s="2">
        <v>86</v>
      </c>
      <c r="O90" s="2">
        <v>1</v>
      </c>
    </row>
    <row r="91" spans="6:15" x14ac:dyDescent="0.25">
      <c r="F91" s="2">
        <v>97</v>
      </c>
      <c r="G91" s="2" t="s">
        <v>117</v>
      </c>
      <c r="H91" s="5">
        <f>IF(Systeme!$C$4&lt;&gt;"",COUNTIFS(tblMC_CatMC[MC_Num],tblMC[[#This Row],[MC_Num]],tblMC_CatMC[CatMC_Num],Systeme!$C$4),0)</f>
        <v>0</v>
      </c>
      <c r="N91" s="2">
        <v>87</v>
      </c>
      <c r="O91" s="2">
        <v>1</v>
      </c>
    </row>
    <row r="92" spans="6:15" x14ac:dyDescent="0.25">
      <c r="F92" s="2">
        <v>58</v>
      </c>
      <c r="G92" s="2" t="s">
        <v>75</v>
      </c>
      <c r="H92" s="5">
        <f>IF(Systeme!$C$4&lt;&gt;"",COUNTIFS(tblMC_CatMC[MC_Num],tblMC[[#This Row],[MC_Num]],tblMC_CatMC[CatMC_Num],Systeme!$C$4),0)</f>
        <v>0</v>
      </c>
      <c r="N92" s="2">
        <v>88</v>
      </c>
      <c r="O92" s="2">
        <v>0</v>
      </c>
    </row>
    <row r="93" spans="6:15" x14ac:dyDescent="0.25">
      <c r="F93" s="2">
        <v>54</v>
      </c>
      <c r="G93" s="2" t="s">
        <v>71</v>
      </c>
      <c r="H93" s="5">
        <f>IF(Systeme!$C$4&lt;&gt;"",COUNTIFS(tblMC_CatMC[MC_Num],tblMC[[#This Row],[MC_Num]],tblMC_CatMC[CatMC_Num],Systeme!$C$4),0)</f>
        <v>0</v>
      </c>
      <c r="N93" s="2">
        <v>89</v>
      </c>
      <c r="O93" s="2">
        <v>2</v>
      </c>
    </row>
    <row r="94" spans="6:15" x14ac:dyDescent="0.25">
      <c r="F94" s="2">
        <v>31</v>
      </c>
      <c r="G94" s="2" t="s">
        <v>48</v>
      </c>
      <c r="H94" s="5">
        <f>IF(Systeme!$C$4&lt;&gt;"",COUNTIFS(tblMC_CatMC[MC_Num],tblMC[[#This Row],[MC_Num]],tblMC_CatMC[CatMC_Num],Systeme!$C$4),0)</f>
        <v>0</v>
      </c>
      <c r="N94" s="2">
        <v>90</v>
      </c>
      <c r="O94" s="2">
        <v>1</v>
      </c>
    </row>
    <row r="95" spans="6:15" x14ac:dyDescent="0.25">
      <c r="F95" s="2">
        <v>59</v>
      </c>
      <c r="G95" s="2" t="s">
        <v>76</v>
      </c>
      <c r="H95" s="5">
        <f>IF(Systeme!$C$4&lt;&gt;"",COUNTIFS(tblMC_CatMC[MC_Num],tblMC[[#This Row],[MC_Num]],tblMC_CatMC[CatMC_Num],Systeme!$C$4),0)</f>
        <v>0</v>
      </c>
      <c r="N95" s="2">
        <v>91</v>
      </c>
      <c r="O95" s="2">
        <v>1</v>
      </c>
    </row>
    <row r="96" spans="6:15" x14ac:dyDescent="0.25">
      <c r="F96" s="2">
        <v>30</v>
      </c>
      <c r="G96" s="2" t="s">
        <v>47</v>
      </c>
      <c r="H96" s="5">
        <f>IF(Systeme!$C$4&lt;&gt;"",COUNTIFS(tblMC_CatMC[MC_Num],tblMC[[#This Row],[MC_Num]],tblMC_CatMC[CatMC_Num],Systeme!$C$4),0)</f>
        <v>0</v>
      </c>
      <c r="N96" s="2">
        <v>92</v>
      </c>
      <c r="O96" s="2">
        <v>1</v>
      </c>
    </row>
    <row r="97" spans="6:15" x14ac:dyDescent="0.25">
      <c r="F97" s="2">
        <v>15</v>
      </c>
      <c r="G97" s="2" t="s">
        <v>33</v>
      </c>
      <c r="H97" s="5">
        <f>IF(Systeme!$C$4&lt;&gt;"",COUNTIFS(tblMC_CatMC[MC_Num],tblMC[[#This Row],[MC_Num]],tblMC_CatMC[CatMC_Num],Systeme!$C$4),0)</f>
        <v>0</v>
      </c>
      <c r="N97" s="2">
        <v>93</v>
      </c>
      <c r="O97" s="2">
        <v>1</v>
      </c>
    </row>
    <row r="98" spans="6:15" x14ac:dyDescent="0.25">
      <c r="F98" s="2">
        <v>41</v>
      </c>
      <c r="G98" s="2" t="s">
        <v>58</v>
      </c>
      <c r="H98" s="5">
        <f>IF(Systeme!$C$4&lt;&gt;"",COUNTIFS(tblMC_CatMC[MC_Num],tblMC[[#This Row],[MC_Num]],tblMC_CatMC[CatMC_Num],Systeme!$C$4),0)</f>
        <v>0</v>
      </c>
      <c r="N98" s="2">
        <v>94</v>
      </c>
      <c r="O98" s="2">
        <v>1</v>
      </c>
    </row>
    <row r="99" spans="6:15" x14ac:dyDescent="0.25">
      <c r="F99" s="2">
        <v>44</v>
      </c>
      <c r="G99" s="2" t="s">
        <v>62</v>
      </c>
      <c r="H99" s="5">
        <f>IF(Systeme!$C$4&lt;&gt;"",COUNTIFS(tblMC_CatMC[MC_Num],tblMC[[#This Row],[MC_Num]],tblMC_CatMC[CatMC_Num],Systeme!$C$4),0)</f>
        <v>0</v>
      </c>
      <c r="N99" s="2">
        <v>95</v>
      </c>
      <c r="O99" s="2">
        <v>1</v>
      </c>
    </row>
    <row r="100" spans="6:15" x14ac:dyDescent="0.25">
      <c r="F100" s="2">
        <v>122</v>
      </c>
      <c r="G100" s="2" t="s">
        <v>133</v>
      </c>
      <c r="H100" s="5">
        <f>IF(Systeme!$C$4&lt;&gt;"",COUNTIFS(tblMC_CatMC[MC_Num],tblMC[[#This Row],[MC_Num]],tblMC_CatMC[CatMC_Num],Systeme!$C$4),0)</f>
        <v>0</v>
      </c>
      <c r="N100" s="2">
        <v>96</v>
      </c>
      <c r="O100" s="2">
        <v>1</v>
      </c>
    </row>
    <row r="101" spans="6:15" x14ac:dyDescent="0.25">
      <c r="F101" s="2">
        <v>82</v>
      </c>
      <c r="G101" s="2" t="s">
        <v>99</v>
      </c>
      <c r="H101" s="5">
        <f>IF(Systeme!$C$4&lt;&gt;"",COUNTIFS(tblMC_CatMC[MC_Num],tblMC[[#This Row],[MC_Num]],tblMC_CatMC[CatMC_Num],Systeme!$C$4),0)</f>
        <v>0</v>
      </c>
      <c r="N101" s="2">
        <v>99</v>
      </c>
      <c r="O101" s="2">
        <v>1</v>
      </c>
    </row>
    <row r="102" spans="6:15" x14ac:dyDescent="0.25">
      <c r="F102" s="2">
        <v>52</v>
      </c>
      <c r="G102" s="2" t="s">
        <v>69</v>
      </c>
      <c r="H102" s="5">
        <f>IF(Systeme!$C$4&lt;&gt;"",COUNTIFS(tblMC_CatMC[MC_Num],tblMC[[#This Row],[MC_Num]],tblMC_CatMC[CatMC_Num],Systeme!$C$4),0)</f>
        <v>0</v>
      </c>
      <c r="N102" s="2">
        <v>98</v>
      </c>
      <c r="O102" s="2">
        <v>0</v>
      </c>
    </row>
    <row r="103" spans="6:15" x14ac:dyDescent="0.25">
      <c r="F103" s="2">
        <v>56</v>
      </c>
      <c r="G103" s="2" t="s">
        <v>73</v>
      </c>
      <c r="H103" s="5">
        <f>IF(Systeme!$C$4&lt;&gt;"",COUNTIFS(tblMC_CatMC[MC_Num],tblMC[[#This Row],[MC_Num]],tblMC_CatMC[CatMC_Num],Systeme!$C$4),0)</f>
        <v>0</v>
      </c>
      <c r="N103" s="2">
        <v>97</v>
      </c>
      <c r="O103" s="2">
        <v>3</v>
      </c>
    </row>
    <row r="104" spans="6:15" x14ac:dyDescent="0.25">
      <c r="F104" s="2">
        <v>51</v>
      </c>
      <c r="G104" s="2" t="s">
        <v>68</v>
      </c>
      <c r="H104" s="5">
        <f>IF(Systeme!$C$4&lt;&gt;"",COUNTIFS(tblMC_CatMC[MC_Num],tblMC[[#This Row],[MC_Num]],tblMC_CatMC[CatMC_Num],Systeme!$C$4),0)</f>
        <v>0</v>
      </c>
      <c r="N104" s="2">
        <v>100</v>
      </c>
      <c r="O104" s="2">
        <v>3</v>
      </c>
    </row>
    <row r="105" spans="6:15" x14ac:dyDescent="0.25">
      <c r="F105" s="2">
        <v>50</v>
      </c>
      <c r="G105" s="2" t="s">
        <v>67</v>
      </c>
      <c r="H105" s="5">
        <f>IF(Systeme!$C$4&lt;&gt;"",COUNTIFS(tblMC_CatMC[MC_Num],tblMC[[#This Row],[MC_Num]],tblMC_CatMC[CatMC_Num],Systeme!$C$4),0)</f>
        <v>0</v>
      </c>
      <c r="N105" s="2">
        <v>101</v>
      </c>
      <c r="O105" s="2">
        <v>1</v>
      </c>
    </row>
    <row r="106" spans="6:15" x14ac:dyDescent="0.25">
      <c r="F106" s="2">
        <v>80</v>
      </c>
      <c r="G106" s="2" t="s">
        <v>97</v>
      </c>
      <c r="H106" s="5">
        <f>IF(Systeme!$C$4&lt;&gt;"",COUNTIFS(tblMC_CatMC[MC_Num],tblMC[[#This Row],[MC_Num]],tblMC_CatMC[CatMC_Num],Systeme!$C$4),0)</f>
        <v>0</v>
      </c>
      <c r="N106" s="2">
        <v>102</v>
      </c>
      <c r="O106" s="2">
        <v>0</v>
      </c>
    </row>
    <row r="107" spans="6:15" x14ac:dyDescent="0.25">
      <c r="F107" s="2">
        <v>40</v>
      </c>
      <c r="G107" s="2" t="s">
        <v>57</v>
      </c>
      <c r="H107" s="5">
        <f>IF(Systeme!$C$4&lt;&gt;"",COUNTIFS(tblMC_CatMC[MC_Num],tblMC[[#This Row],[MC_Num]],tblMC_CatMC[CatMC_Num],Systeme!$C$4),0)</f>
        <v>0</v>
      </c>
      <c r="N107" s="2">
        <v>103</v>
      </c>
      <c r="O107" s="2">
        <v>1</v>
      </c>
    </row>
    <row r="108" spans="6:15" x14ac:dyDescent="0.25">
      <c r="F108" s="2">
        <v>132</v>
      </c>
      <c r="G108" s="2" t="s">
        <v>151</v>
      </c>
      <c r="H108" s="5">
        <f>IF(Systeme!$C$4&lt;&gt;"",COUNTIFS(tblMC_CatMC[MC_Num],tblMC[[#This Row],[MC_Num]],tblMC_CatMC[CatMC_Num],Systeme!$C$4),0)</f>
        <v>0</v>
      </c>
      <c r="N108" s="2">
        <v>104</v>
      </c>
      <c r="O108" s="2">
        <v>1</v>
      </c>
    </row>
    <row r="109" spans="6:15" x14ac:dyDescent="0.25">
      <c r="F109" s="2">
        <v>125</v>
      </c>
      <c r="G109" s="2" t="s">
        <v>136</v>
      </c>
      <c r="H109" s="5">
        <f>IF(Systeme!$C$4&lt;&gt;"",COUNTIFS(tblMC_CatMC[MC_Num],tblMC[[#This Row],[MC_Num]],tblMC_CatMC[CatMC_Num],Systeme!$C$4),0)</f>
        <v>0</v>
      </c>
      <c r="N109" s="2">
        <v>105</v>
      </c>
      <c r="O109" s="2">
        <v>1</v>
      </c>
    </row>
    <row r="110" spans="6:15" x14ac:dyDescent="0.25">
      <c r="F110" s="2">
        <v>55</v>
      </c>
      <c r="G110" s="2" t="s">
        <v>72</v>
      </c>
      <c r="H110" s="5">
        <f>IF(Systeme!$C$4&lt;&gt;"",COUNTIFS(tblMC_CatMC[MC_Num],tblMC[[#This Row],[MC_Num]],tblMC_CatMC[CatMC_Num],Systeme!$C$4),0)</f>
        <v>0</v>
      </c>
      <c r="N110" s="2">
        <v>106</v>
      </c>
      <c r="O110" s="2">
        <v>0</v>
      </c>
    </row>
    <row r="111" spans="6:15" x14ac:dyDescent="0.25">
      <c r="F111" s="2">
        <v>25</v>
      </c>
      <c r="G111" s="2" t="s">
        <v>43</v>
      </c>
      <c r="H111" s="5">
        <f>IF(Systeme!$C$4&lt;&gt;"",COUNTIFS(tblMC_CatMC[MC_Num],tblMC[[#This Row],[MC_Num]],tblMC_CatMC[CatMC_Num],Systeme!$C$4),0)</f>
        <v>0</v>
      </c>
      <c r="N111" s="2">
        <v>107</v>
      </c>
      <c r="O111" s="2">
        <v>0</v>
      </c>
    </row>
    <row r="112" spans="6:15" x14ac:dyDescent="0.25">
      <c r="F112" s="2">
        <v>127</v>
      </c>
      <c r="G112" s="2" t="s">
        <v>138</v>
      </c>
      <c r="H112" s="5">
        <f>IF(Systeme!$C$4&lt;&gt;"",COUNTIFS(tblMC_CatMC[MC_Num],tblMC[[#This Row],[MC_Num]],tblMC_CatMC[CatMC_Num],Systeme!$C$4),0)</f>
        <v>0</v>
      </c>
      <c r="N112" s="2">
        <v>108</v>
      </c>
      <c r="O112" s="2">
        <v>0</v>
      </c>
    </row>
    <row r="113" spans="6:15" x14ac:dyDescent="0.25">
      <c r="F113" s="2">
        <v>89</v>
      </c>
      <c r="G113" s="2" t="s">
        <v>107</v>
      </c>
      <c r="H113" s="5">
        <f>IF(Systeme!$C$4&lt;&gt;"",COUNTIFS(tblMC_CatMC[MC_Num],tblMC[[#This Row],[MC_Num]],tblMC_CatMC[CatMC_Num],Systeme!$C$4),0)</f>
        <v>0</v>
      </c>
      <c r="N113" s="2">
        <v>109</v>
      </c>
      <c r="O113" s="2">
        <v>0</v>
      </c>
    </row>
    <row r="114" spans="6:15" x14ac:dyDescent="0.25">
      <c r="F114" s="2">
        <v>7</v>
      </c>
      <c r="G114" s="2" t="s">
        <v>25</v>
      </c>
      <c r="H114" s="5">
        <f>IF(Systeme!$C$4&lt;&gt;"",COUNTIFS(tblMC_CatMC[MC_Num],tblMC[[#This Row],[MC_Num]],tblMC_CatMC[CatMC_Num],Systeme!$C$4),0)</f>
        <v>0</v>
      </c>
      <c r="N114" s="2">
        <v>110</v>
      </c>
      <c r="O114" s="2">
        <v>1</v>
      </c>
    </row>
    <row r="115" spans="6:15" x14ac:dyDescent="0.25">
      <c r="F115" s="2">
        <v>53</v>
      </c>
      <c r="G115" s="2" t="s">
        <v>70</v>
      </c>
      <c r="H115" s="5">
        <f>IF(Systeme!$C$4&lt;&gt;"",COUNTIFS(tblMC_CatMC[MC_Num],tblMC[[#This Row],[MC_Num]],tblMC_CatMC[CatMC_Num],Systeme!$C$4),0)</f>
        <v>0</v>
      </c>
      <c r="N115" s="2">
        <v>111</v>
      </c>
      <c r="O115" s="2">
        <v>4</v>
      </c>
    </row>
    <row r="116" spans="6:15" x14ac:dyDescent="0.25">
      <c r="F116" s="2">
        <v>99</v>
      </c>
      <c r="G116" s="2" t="s">
        <v>115</v>
      </c>
      <c r="H116" s="5">
        <f>IF(Systeme!$C$4&lt;&gt;"",COUNTIFS(tblMC_CatMC[MC_Num],tblMC[[#This Row],[MC_Num]],tblMC_CatMC[CatMC_Num],Systeme!$C$4),0)</f>
        <v>0</v>
      </c>
      <c r="N116" s="2">
        <v>112</v>
      </c>
      <c r="O116" s="2">
        <v>1</v>
      </c>
    </row>
    <row r="117" spans="6:15" x14ac:dyDescent="0.25">
      <c r="F117" s="2">
        <v>81</v>
      </c>
      <c r="G117" s="2" t="s">
        <v>98</v>
      </c>
      <c r="H117" s="5">
        <f>IF(Systeme!$C$4&lt;&gt;"",COUNTIFS(tblMC_CatMC[MC_Num],tblMC[[#This Row],[MC_Num]],tblMC_CatMC[CatMC_Num],Systeme!$C$4),0)</f>
        <v>0</v>
      </c>
      <c r="N117" s="2">
        <v>114</v>
      </c>
      <c r="O117" s="2">
        <v>1</v>
      </c>
    </row>
    <row r="118" spans="6:15" x14ac:dyDescent="0.25">
      <c r="F118" s="2">
        <v>103</v>
      </c>
      <c r="G118" s="2" t="s">
        <v>121</v>
      </c>
      <c r="H118" s="5">
        <f>IF(Systeme!$C$4&lt;&gt;"",COUNTIFS(tblMC_CatMC[MC_Num],tblMC[[#This Row],[MC_Num]],tblMC_CatMC[CatMC_Num],Systeme!$C$4),0)</f>
        <v>0</v>
      </c>
      <c r="N118" s="2">
        <v>113</v>
      </c>
      <c r="O118" s="2">
        <v>1</v>
      </c>
    </row>
    <row r="119" spans="6:15" x14ac:dyDescent="0.25">
      <c r="F119" s="2">
        <v>134</v>
      </c>
      <c r="G119" s="2" t="s">
        <v>152</v>
      </c>
      <c r="H119" s="5">
        <f>IF(Systeme!$C$4&lt;&gt;"",COUNTIFS(tblMC_CatMC[MC_Num],tblMC[[#This Row],[MC_Num]],tblMC_CatMC[CatMC_Num],Systeme!$C$4),0)</f>
        <v>0</v>
      </c>
      <c r="N119" s="2">
        <v>115</v>
      </c>
      <c r="O119" s="2">
        <v>5</v>
      </c>
    </row>
    <row r="120" spans="6:15" x14ac:dyDescent="0.25">
      <c r="F120" s="2">
        <v>35</v>
      </c>
      <c r="G120" s="2" t="s">
        <v>52</v>
      </c>
      <c r="H120" s="5">
        <f>IF(Systeme!$C$4&lt;&gt;"",COUNTIFS(tblMC_CatMC[MC_Num],tblMC[[#This Row],[MC_Num]],tblMC_CatMC[CatMC_Num],Systeme!$C$4),0)</f>
        <v>0</v>
      </c>
      <c r="N120" s="2">
        <v>116</v>
      </c>
      <c r="O120" s="2">
        <v>5</v>
      </c>
    </row>
    <row r="121" spans="6:15" x14ac:dyDescent="0.25">
      <c r="F121" s="2">
        <v>74</v>
      </c>
      <c r="G121" s="2" t="s">
        <v>91</v>
      </c>
      <c r="H121" s="5">
        <f>IF(Systeme!$C$4&lt;&gt;"",COUNTIFS(tblMC_CatMC[MC_Num],tblMC[[#This Row],[MC_Num]],tblMC_CatMC[CatMC_Num],Systeme!$C$4),0)</f>
        <v>0</v>
      </c>
      <c r="N121" s="2">
        <v>117</v>
      </c>
      <c r="O121" s="2">
        <v>5</v>
      </c>
    </row>
    <row r="122" spans="6:15" x14ac:dyDescent="0.25">
      <c r="F122" s="2">
        <v>75</v>
      </c>
      <c r="G122" s="2" t="s">
        <v>92</v>
      </c>
      <c r="H122" s="5">
        <f>IF(Systeme!$C$4&lt;&gt;"",COUNTIFS(tblMC_CatMC[MC_Num],tblMC[[#This Row],[MC_Num]],tblMC_CatMC[CatMC_Num],Systeme!$C$4),0)</f>
        <v>0</v>
      </c>
      <c r="N122" s="2">
        <v>118</v>
      </c>
      <c r="O122" s="2">
        <v>5</v>
      </c>
    </row>
    <row r="123" spans="6:15" x14ac:dyDescent="0.25">
      <c r="F123" s="2">
        <v>63</v>
      </c>
      <c r="G123" s="2" t="s">
        <v>80</v>
      </c>
      <c r="H123" s="5">
        <f>IF(Systeme!$C$4&lt;&gt;"",COUNTIFS(tblMC_CatMC[MC_Num],tblMC[[#This Row],[MC_Num]],tblMC_CatMC[CatMC_Num],Systeme!$C$4),0)</f>
        <v>0</v>
      </c>
      <c r="N123" s="2">
        <v>49</v>
      </c>
      <c r="O123" s="2">
        <v>5</v>
      </c>
    </row>
    <row r="124" spans="6:15" x14ac:dyDescent="0.25">
      <c r="F124" s="2">
        <v>85</v>
      </c>
      <c r="G124" s="2" t="s">
        <v>102</v>
      </c>
      <c r="H124" s="5">
        <f>IF(Systeme!$C$4&lt;&gt;"",COUNTIFS(tblMC_CatMC[MC_Num],tblMC[[#This Row],[MC_Num]],tblMC_CatMC[CatMC_Num],Systeme!$C$4),0)</f>
        <v>0</v>
      </c>
      <c r="N124" s="2">
        <v>119</v>
      </c>
      <c r="O124" s="2">
        <v>5</v>
      </c>
    </row>
    <row r="125" spans="6:15" x14ac:dyDescent="0.25">
      <c r="F125" s="2">
        <v>84</v>
      </c>
      <c r="G125" s="2" t="s">
        <v>101</v>
      </c>
      <c r="H125" s="5">
        <f>IF(Systeme!$C$4&lt;&gt;"",COUNTIFS(tblMC_CatMC[MC_Num],tblMC[[#This Row],[MC_Num]],tblMC_CatMC[CatMC_Num],Systeme!$C$4),0)</f>
        <v>0</v>
      </c>
      <c r="N125" s="2">
        <v>120</v>
      </c>
      <c r="O125" s="2">
        <v>5</v>
      </c>
    </row>
    <row r="126" spans="6:15" x14ac:dyDescent="0.25">
      <c r="F126" s="2">
        <v>79</v>
      </c>
      <c r="G126" s="2" t="s">
        <v>96</v>
      </c>
      <c r="H126" s="5">
        <f>IF(Systeme!$C$4&lt;&gt;"",COUNTIFS(tblMC_CatMC[MC_Num],tblMC[[#This Row],[MC_Num]],tblMC_CatMC[CatMC_Num],Systeme!$C$4),0)</f>
        <v>0</v>
      </c>
      <c r="N126" s="2">
        <v>121</v>
      </c>
      <c r="O126" s="2">
        <v>5</v>
      </c>
    </row>
    <row r="127" spans="6:15" x14ac:dyDescent="0.25">
      <c r="F127" s="2">
        <v>21</v>
      </c>
      <c r="G127" s="2" t="s">
        <v>39</v>
      </c>
      <c r="H127" s="5">
        <f>IF(Systeme!$C$4&lt;&gt;"",COUNTIFS(tblMC_CatMC[MC_Num],tblMC[[#This Row],[MC_Num]],tblMC_CatMC[CatMC_Num],Systeme!$C$4),0)</f>
        <v>0</v>
      </c>
      <c r="N127" s="2">
        <v>122</v>
      </c>
      <c r="O127" s="2">
        <v>1</v>
      </c>
    </row>
    <row r="128" spans="6:15" x14ac:dyDescent="0.25">
      <c r="F128" s="2">
        <v>91</v>
      </c>
      <c r="G128" s="2" t="s">
        <v>109</v>
      </c>
      <c r="H128" s="5">
        <f>IF(Systeme!$C$4&lt;&gt;"",COUNTIFS(tblMC_CatMC[MC_Num],tblMC[[#This Row],[MC_Num]],tblMC_CatMC[CatMC_Num],Systeme!$C$4),0)</f>
        <v>0</v>
      </c>
      <c r="N128" s="2">
        <v>123</v>
      </c>
      <c r="O128" s="2">
        <v>1</v>
      </c>
    </row>
    <row r="129" spans="6:15" x14ac:dyDescent="0.25">
      <c r="F129" s="2">
        <v>92</v>
      </c>
      <c r="G129" s="2" t="s">
        <v>110</v>
      </c>
      <c r="H129" s="5">
        <f>IF(Systeme!$C$4&lt;&gt;"",COUNTIFS(tblMC_CatMC[MC_Num],tblMC[[#This Row],[MC_Num]],tblMC_CatMC[CatMC_Num],Systeme!$C$4),0)</f>
        <v>0</v>
      </c>
      <c r="N129" s="2">
        <v>124</v>
      </c>
      <c r="O129" s="2">
        <v>1</v>
      </c>
    </row>
    <row r="130" spans="6:15" x14ac:dyDescent="0.25">
      <c r="F130" s="2">
        <v>48</v>
      </c>
      <c r="G130" s="2" t="s">
        <v>66</v>
      </c>
      <c r="H130" s="5">
        <f>IF(Systeme!$C$4&lt;&gt;"",COUNTIFS(tblMC_CatMC[MC_Num],tblMC[[#This Row],[MC_Num]],tblMC_CatMC[CatMC_Num],Systeme!$C$4),0)</f>
        <v>0</v>
      </c>
      <c r="N130" s="2">
        <v>125</v>
      </c>
      <c r="O130" s="2">
        <v>1</v>
      </c>
    </row>
    <row r="131" spans="6:15" x14ac:dyDescent="0.25">
      <c r="F131" s="2">
        <v>123</v>
      </c>
      <c r="G131" s="2" t="s">
        <v>134</v>
      </c>
      <c r="H131" s="5">
        <f>IF(Systeme!$C$4&lt;&gt;"",COUNTIFS(tblMC_CatMC[MC_Num],tblMC[[#This Row],[MC_Num]],tblMC_CatMC[CatMC_Num],Systeme!$C$4),0)</f>
        <v>0</v>
      </c>
      <c r="N131" s="2">
        <v>126</v>
      </c>
      <c r="O131" s="2">
        <v>1</v>
      </c>
    </row>
    <row r="132" spans="6:15" x14ac:dyDescent="0.25">
      <c r="F132" s="2">
        <v>101</v>
      </c>
      <c r="G132" s="2" t="s">
        <v>119</v>
      </c>
      <c r="H132" s="5">
        <f>IF(Systeme!$C$4&lt;&gt;"",COUNTIFS(tblMC_CatMC[MC_Num],tblMC[[#This Row],[MC_Num]],tblMC_CatMC[CatMC_Num],Systeme!$C$4),0)</f>
        <v>0</v>
      </c>
      <c r="N132" s="2">
        <v>127</v>
      </c>
      <c r="O132" s="2">
        <v>3</v>
      </c>
    </row>
    <row r="133" spans="6:15" x14ac:dyDescent="0.25">
      <c r="F133" s="2">
        <v>96</v>
      </c>
      <c r="G133" s="2" t="s">
        <v>114</v>
      </c>
      <c r="H133" s="5">
        <f>IF(Systeme!$C$4&lt;&gt;"",COUNTIFS(tblMC_CatMC[MC_Num],tblMC[[#This Row],[MC_Num]],tblMC_CatMC[CatMC_Num],Systeme!$C$4),0)</f>
        <v>0</v>
      </c>
      <c r="N133" s="2">
        <v>128</v>
      </c>
      <c r="O133" s="2">
        <v>1</v>
      </c>
    </row>
    <row r="134" spans="6:15" x14ac:dyDescent="0.25">
      <c r="F134" s="2">
        <v>8</v>
      </c>
      <c r="G134" s="2" t="s">
        <v>26</v>
      </c>
      <c r="H134" s="5">
        <f>IF(Systeme!$C$4&lt;&gt;"",COUNTIFS(tblMC_CatMC[MC_Num],tblMC[[#This Row],[MC_Num]],tblMC_CatMC[CatMC_Num],Systeme!$C$4),0)</f>
        <v>0</v>
      </c>
      <c r="N134" s="2">
        <v>127</v>
      </c>
      <c r="O134" s="2">
        <v>1</v>
      </c>
    </row>
    <row r="135" spans="6:15" x14ac:dyDescent="0.25">
      <c r="F135" s="2">
        <v>32</v>
      </c>
      <c r="G135" s="2" t="s">
        <v>49</v>
      </c>
      <c r="H135" s="5">
        <f>IF(Systeme!$C$4&lt;&gt;"",COUNTIFS(tblMC_CatMC[MC_Num],tblMC[[#This Row],[MC_Num]],tblMC_CatMC[CatMC_Num],Systeme!$C$4),0)</f>
        <v>0</v>
      </c>
      <c r="N135" s="2">
        <v>129</v>
      </c>
      <c r="O135" s="2">
        <v>0</v>
      </c>
    </row>
    <row r="136" spans="6:15" x14ac:dyDescent="0.25">
      <c r="F136" s="2">
        <v>98</v>
      </c>
      <c r="G136" s="2" t="s">
        <v>116</v>
      </c>
      <c r="H136" s="5">
        <f>IF(Systeme!$C$4&lt;&gt;"",COUNTIFS(tblMC_CatMC[MC_Num],tblMC[[#This Row],[MC_Num]],tblMC_CatMC[CatMC_Num],Systeme!$C$4),0)</f>
        <v>0</v>
      </c>
      <c r="N136" s="2">
        <v>130</v>
      </c>
      <c r="O136" s="2">
        <v>3</v>
      </c>
    </row>
    <row r="137" spans="6:15" x14ac:dyDescent="0.25">
      <c r="F137" s="2">
        <v>70</v>
      </c>
      <c r="G137" s="2" t="s">
        <v>87</v>
      </c>
      <c r="H137" s="5">
        <f>IF(Systeme!$C$4&lt;&gt;"",COUNTIFS(tblMC_CatMC[MC_Num],tblMC[[#This Row],[MC_Num]],tblMC_CatMC[CatMC_Num],Systeme!$C$4),0)</f>
        <v>0</v>
      </c>
      <c r="N137" s="2">
        <v>131</v>
      </c>
      <c r="O137" s="2">
        <v>1</v>
      </c>
    </row>
    <row r="138" spans="6:15" x14ac:dyDescent="0.25">
      <c r="F138" s="2">
        <v>109</v>
      </c>
      <c r="G138" s="2" t="s">
        <v>127</v>
      </c>
      <c r="H138" s="5">
        <f>IF(Systeme!$C$4&lt;&gt;"",COUNTIFS(tblMC_CatMC[MC_Num],tblMC[[#This Row],[MC_Num]],tblMC_CatMC[CatMC_Num],Systeme!$C$4),0)</f>
        <v>0</v>
      </c>
      <c r="N138" s="2">
        <v>132</v>
      </c>
      <c r="O138" s="2">
        <v>1</v>
      </c>
    </row>
    <row r="139" spans="6:15" x14ac:dyDescent="0.25">
      <c r="N139" s="2">
        <v>133</v>
      </c>
      <c r="O139" s="2">
        <v>5</v>
      </c>
    </row>
    <row r="140" spans="6:15" x14ac:dyDescent="0.25">
      <c r="N140" s="2">
        <v>134</v>
      </c>
      <c r="O140" s="2">
        <v>1</v>
      </c>
    </row>
  </sheetData>
  <pageMargins left="0.7" right="0.7" top="0.75" bottom="0.75" header="0.3" footer="0.3"/>
  <pageSetup orientation="portrait" verticalDpi="0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d733b9efa6a4465800c390eddadf26b xmlns="07794b35-c7b0-45a0-8c05-ef9fc89269e3">
      <Terms xmlns="http://schemas.microsoft.com/office/infopath/2007/PartnerControls">
        <TermInfo xmlns="http://schemas.microsoft.com/office/infopath/2007/PartnerControls">
          <TermName xmlns="http://schemas.microsoft.com/office/infopath/2007/PartnerControls">21/22</TermName>
          <TermId xmlns="http://schemas.microsoft.com/office/infopath/2007/PartnerControls">f6713a4e-799f-4829-95d7-0202b360ca04</TermId>
        </TermInfo>
      </Terms>
    </bd733b9efa6a4465800c390eddadf26b>
    <TaxCatchAll xmlns="23b3eea1-43b5-4a20-afc0-0f79726898e0">
      <Value>515</Value>
      <Value>2285</Value>
      <Value>23</Value>
    </TaxCatchAll>
    <Liens_x0020_vers_x0020_un_x0020__x00e9_v_x00e8_nement xmlns="e7ea6407-eeb8-4f6b-81d1-dd244b6b63af" xsi:nil="true"/>
    <ibbb3bf5e14549caac06f942c681972e xmlns="07794b35-c7b0-45a0-8c05-ef9fc89269e3">
      <Terms xmlns="http://schemas.microsoft.com/office/infopath/2007/PartnerControls">
        <TermInfo xmlns="http://schemas.microsoft.com/office/infopath/2007/PartnerControls">
          <TermName xmlns="http://schemas.microsoft.com/office/infopath/2007/PartnerControls">G4 Maint 3</TermName>
          <TermId xmlns="http://schemas.microsoft.com/office/infopath/2007/PartnerControls">107c93bb-e0ce-4af3-bc40-ba99a0b49b9a</TermId>
        </TermInfo>
      </Terms>
    </ibbb3bf5e14549caac06f942c681972e>
    <Lien_x0020_vers_x0020_un_x0020_autre_x0020_document_x0020_de_x0020_travail xmlns="e7ea6407-eeb8-4f6b-81d1-dd244b6b63af" xsi:nil="true"/>
    <a5613a92d7b74a3f8bbb2b28d71fd74d xmlns="07794b35-c7b0-45a0-8c05-ef9fc89269e3">
      <Terms xmlns="http://schemas.microsoft.com/office/infopath/2007/PartnerControls">
        <TermInfo xmlns="http://schemas.microsoft.com/office/infopath/2007/PartnerControls">
          <TermName xmlns="http://schemas.microsoft.com/office/infopath/2007/PartnerControls">G4 Maint 3</TermName>
          <TermId xmlns="http://schemas.microsoft.com/office/infopath/2007/PartnerControls">107c93bb-e0ce-4af3-bc40-ba99a0b49b9a</TermId>
        </TermInfo>
      </Terms>
    </a5613a92d7b74a3f8bbb2b28d71fd74d>
    <e82abc5d6dd447a48c215a373a38c168 xmlns="07794b35-c7b0-45a0-8c05-ef9fc89269e3">
      <Terms xmlns="http://schemas.microsoft.com/office/infopath/2007/PartnerControls"/>
    </e82abc5d6dd447a48c215a373a38c168>
    <Sujets xmlns="07794b35-c7b0-45a0-8c05-ef9fc89269e3">Aide mémoire DRMIS</Sujets>
    <DocumentStatus xmlns="http://schemas.microsoft.com/sharepoint/v3/fields">Ébauche</DocumentStatus>
    <ice7857b015541dbae4609376f673714 xmlns="07794b35-c7b0-45a0-8c05-ef9fc89269e3">
      <Terms xmlns="http://schemas.microsoft.com/office/infopath/2007/PartnerControls">
        <TermInfo xmlns="http://schemas.microsoft.com/office/infopath/2007/PartnerControls">
          <TermName xmlns="http://schemas.microsoft.com/office/infopath/2007/PartnerControls">Références</TermName>
          <TermId xmlns="http://schemas.microsoft.com/office/infopath/2007/PartnerControls">a7669c8c-c53d-4d04-919f-2f93657602e7</TermId>
        </TermInfo>
      </Terms>
    </ice7857b015541dbae4609376f673714>
    <Redeployment xmlns="e7ea6407-eeb8-4f6b-81d1-dd244b6b63af">No</Redeployment>
    <_dlc_DocId xmlns="23b3eea1-43b5-4a20-afc0-0f79726898e0">5GBMC-767599037-16422</_dlc_DocId>
    <_dlc_DocIdUrl xmlns="23b3eea1-43b5-4a20-afc0-0f79726898e0">
      <Url>https://acims.mil.ca/org/5_GBMC/QG/_layouts/15/DocIdRedir.aspx?ID=5GBMC-767599037-16422</Url>
      <Description>5GBMC-767599037-16422</Description>
    </_dlc_DocIdUrl>
  </documentManagement>
</p:properties>
</file>

<file path=customXml/item3.xml><?xml version="1.0" encoding="utf-8"?>
<?mso-contentType ?>
<SharedContentType xmlns="Microsoft.SharePoint.Taxonomy.ContentTypeSync" SourceId="79c8ed10-c9bb-404a-bc0b-db39e50bebae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Tra" ma:contentTypeID="0x010100D3A52133C8CFCC4295A203E7A442B8BF0053C52DD222E7034991FABF42FC3C0FF4" ma:contentTypeVersion="24" ma:contentTypeDescription="" ma:contentTypeScope="" ma:versionID="729127c6edbab82a6a21b98787be873a">
  <xsd:schema xmlns:xsd="http://www.w3.org/2001/XMLSchema" xmlns:xs="http://www.w3.org/2001/XMLSchema" xmlns:p="http://schemas.microsoft.com/office/2006/metadata/properties" xmlns:ns2="07794b35-c7b0-45a0-8c05-ef9fc89269e3" xmlns:ns3="http://schemas.microsoft.com/sharepoint/v3/fields" xmlns:ns4="23b3eea1-43b5-4a20-afc0-0f79726898e0" xmlns:ns5="e7ea6407-eeb8-4f6b-81d1-dd244b6b63af" xmlns:ns6="9ceb4885-8d08-416e-b4ee-cc4ef18cedda" targetNamespace="http://schemas.microsoft.com/office/2006/metadata/properties" ma:root="true" ma:fieldsID="afefd72c30a39a759b47268cd5b92415" ns2:_="" ns3:_="" ns4:_="" ns5:_="" ns6:_="">
    <xsd:import namespace="07794b35-c7b0-45a0-8c05-ef9fc89269e3"/>
    <xsd:import namespace="http://schemas.microsoft.com/sharepoint/v3/fields"/>
    <xsd:import namespace="23b3eea1-43b5-4a20-afc0-0f79726898e0"/>
    <xsd:import namespace="e7ea6407-eeb8-4f6b-81d1-dd244b6b63af"/>
    <xsd:import namespace="9ceb4885-8d08-416e-b4ee-cc4ef18cedda"/>
    <xsd:element name="properties">
      <xsd:complexType>
        <xsd:sequence>
          <xsd:element name="documentManagement">
            <xsd:complexType>
              <xsd:all>
                <xsd:element ref="ns2:Sujets" minOccurs="0"/>
                <xsd:element ref="ns3:DocumentStatus" minOccurs="0"/>
                <xsd:element ref="ns4:_dlc_DocIdUrl" minOccurs="0"/>
                <xsd:element ref="ns4:_dlc_DocIdPersistId" minOccurs="0"/>
                <xsd:element ref="ns2:a5613a92d7b74a3f8bbb2b28d71fd74d" minOccurs="0"/>
                <xsd:element ref="ns2:ibbb3bf5e14549caac06f942c681972e" minOccurs="0"/>
                <xsd:element ref="ns2:ice7857b015541dbae4609376f673714" minOccurs="0"/>
                <xsd:element ref="ns2:bd733b9efa6a4465800c390eddadf26b" minOccurs="0"/>
                <xsd:element ref="ns5:Lien_x0020_vers_x0020_un_x0020_autre_x0020_document_x0020_de_x0020_travail" minOccurs="0"/>
                <xsd:element ref="ns5:Liens_x0020_vers_x0020_un_x0020__x00e9_v_x00e8_nement" minOccurs="0"/>
                <xsd:element ref="ns2:e82abc5d6dd447a48c215a373a38c168" minOccurs="0"/>
                <xsd:element ref="ns4:TaxCatchAll" minOccurs="0"/>
                <xsd:element ref="ns4:TaxCatchAllLabel" minOccurs="0"/>
                <xsd:element ref="ns5:Redeployment" minOccurs="0"/>
                <xsd:element ref="ns6:SharedWithUsers" minOccurs="0"/>
                <xsd:element ref="ns4:_dlc_Doc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794b35-c7b0-45a0-8c05-ef9fc89269e3" elementFormDefault="qualified">
    <xsd:import namespace="http://schemas.microsoft.com/office/2006/documentManagement/types"/>
    <xsd:import namespace="http://schemas.microsoft.com/office/infopath/2007/PartnerControls"/>
    <xsd:element name="Sujets" ma:index="4" nillable="true" ma:displayName="Sujet" ma:internalName="Sujets">
      <xsd:simpleType>
        <xsd:restriction base="dms:Text">
          <xsd:maxLength value="255"/>
        </xsd:restriction>
      </xsd:simpleType>
    </xsd:element>
    <xsd:element name="a5613a92d7b74a3f8bbb2b28d71fd74d" ma:index="10" nillable="true" ma:taxonomy="true" ma:internalName="a5613a92d7b74a3f8bbb2b28d71fd74d" ma:taxonomyFieldName="Distribution" ma:displayName="Distribution" ma:readOnly="false" ma:default="" ma:fieldId="{a5613a92-d7b7-4a3f-8bbb-2b28d71fd74d}" ma:taxonomyMulti="true" ma:sspId="79c8ed10-c9bb-404a-bc0b-db39e50bebae" ma:termSetId="6ea05edc-75f1-485a-b5bd-531d998a2064" ma:anchorId="e35267f7-2167-4ecf-b3f2-4e678090d3b1" ma:open="false" ma:isKeyword="false">
      <xsd:complexType>
        <xsd:sequence>
          <xsd:element ref="pc:Terms" minOccurs="0" maxOccurs="1"/>
        </xsd:sequence>
      </xsd:complexType>
    </xsd:element>
    <xsd:element name="ibbb3bf5e14549caac06f942c681972e" ma:index="13" ma:taxonomy="true" ma:internalName="ibbb3bf5e14549caac06f942c681972e" ma:taxonomyFieldName="Origine" ma:displayName="Origine" ma:indexed="true" ma:default="" ma:fieldId="{2bbb3bf5-e145-49ca-ac06-f942c681972e}" ma:sspId="79c8ed10-c9bb-404a-bc0b-db39e50bebae" ma:termSetId="6ea05edc-75f1-485a-b5bd-531d998a2064" ma:anchorId="e35267f7-2167-4ecf-b3f2-4e678090d3b1" ma:open="false" ma:isKeyword="false">
      <xsd:complexType>
        <xsd:sequence>
          <xsd:element ref="pc:Terms" minOccurs="0" maxOccurs="1"/>
        </xsd:sequence>
      </xsd:complexType>
    </xsd:element>
    <xsd:element name="ice7857b015541dbae4609376f673714" ma:index="15" ma:taxonomy="true" ma:internalName="ice7857b015541dbae4609376f673714" ma:taxonomyFieldName="Classement_x0020__x0028_Nouveau_x0029_" ma:displayName="Classement" ma:indexed="true" ma:readOnly="false" ma:default="" ma:fieldId="{2ce7857b-0155-41db-ae46-09376f673714}" ma:sspId="79c8ed10-c9bb-404a-bc0b-db39e50bebae" ma:termSetId="aab6ab0f-599b-48bd-9c18-a098dbc7a93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d733b9efa6a4465800c390eddadf26b" ma:index="16" ma:taxonomy="true" ma:internalName="bd733b9efa6a4465800c390eddadf26b" ma:taxonomyFieldName="Ann_x00e9_e_x0020_fiscale" ma:displayName="Année fiscale" ma:indexed="true" ma:default="2285;#21/22|f6713a4e-799f-4829-95d7-0202b360ca04" ma:fieldId="{bd733b9e-fa6a-4465-800c-390eddadf26b}" ma:sspId="79c8ed10-c9bb-404a-bc0b-db39e50bebae" ma:termSetId="34603169-33d5-45bb-ba14-e44fa3565be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82abc5d6dd447a48c215a373a38c168" ma:index="21" nillable="true" ma:taxonomy="true" ma:internalName="e82abc5d6dd447a48c215a373a38c168" ma:taxonomyFieldName="ExOps" ma:displayName="Exercices et Opérations" ma:indexed="true" ma:readOnly="false" ma:default="" ma:fieldId="{e82abc5d-6dd4-47a4-8c21-5a373a38c168}" ma:sspId="79c8ed10-c9bb-404a-bc0b-db39e50bebae" ma:termSetId="a22c1fe0-0c2e-48f9-be03-fb9a4d543813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DocumentStatus" ma:index="7" nillable="true" ma:displayName="État du document" ma:default="Ébauche" ma:format="Dropdown" ma:internalName="DocumentStatus">
      <xsd:simpleType>
        <xsd:restriction base="dms:Choice">
          <xsd:enumeration value="Ébauche"/>
          <xsd:enumeration value="Document récurrent"/>
          <xsd:enumeration value="À supprimer"/>
          <xsd:enumeration value="À transférer dans Documents officiels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b3eea1-43b5-4a20-afc0-0f79726898e0" elementFormDefault="qualified">
    <xsd:import namespace="http://schemas.microsoft.com/office/2006/documentManagement/types"/>
    <xsd:import namespace="http://schemas.microsoft.com/office/infopath/2007/PartnerControls"/>
    <xsd:element name="_dlc_DocIdUrl" ma:index="8" nillable="true" ma:displayName="ID de document" ma:description="Lien permanent vers ce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9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22" nillable="true" ma:displayName="Taxonomy Catch All Column" ma:hidden="true" ma:list="{a6a43a7d-fd05-40a9-8089-8ff312970841}" ma:internalName="TaxCatchAll" ma:showField="CatchAllData" ma:web="07794b35-c7b0-45a0-8c05-ef9fc89269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3" nillable="true" ma:displayName="Taxonomy Catch All Column1" ma:hidden="true" ma:list="{a6a43a7d-fd05-40a9-8089-8ff312970841}" ma:internalName="TaxCatchAllLabel" ma:readOnly="true" ma:showField="CatchAllDataLabel" ma:web="07794b35-c7b0-45a0-8c05-ef9fc89269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28" nillable="true" ma:displayName="Valeur d’ID de document" ma:description="Valeur de l’ID de document affecté à cet élément." ma:internalName="_dlc_DocId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ea6407-eeb8-4f6b-81d1-dd244b6b63af" elementFormDefault="qualified">
    <xsd:import namespace="http://schemas.microsoft.com/office/2006/documentManagement/types"/>
    <xsd:import namespace="http://schemas.microsoft.com/office/infopath/2007/PartnerControls"/>
    <xsd:element name="Lien_x0020_vers_x0020_un_x0020_autre_x0020_document_x0020_de_x0020_travail" ma:index="18" nillable="true" ma:displayName="Lien vers un autre document de travail" ma:description="Cette colonne permet d'attacher/faire la liaison entre plusieurs documents de travail." ma:hidden="true" ma:list="{E7EA6407-EEB8-4F6B-81D1-DD244B6B63AF}" ma:internalName="Lien_x0020_vers_x0020_un_x0020_autre_x0020_document_x0020_de_x0020_travail" ma:readOnly="false" ma:showField="ID" ma:web="9ceb4885-8d08-416e-b4ee-cc4ef18cedda">
      <xsd:simpleType>
        <xsd:restriction base="dms:Lookup"/>
      </xsd:simpleType>
    </xsd:element>
    <xsd:element name="Liens_x0020_vers_x0020_un_x0020__x00e9_v_x00e8_nement" ma:index="19" nillable="true" ma:displayName="Liens vers un évènement" ma:hidden="true" ma:list="{1141446C-EEA3-48EB-BBA3-565C9EDD4663}" ma:internalName="Liens_x0020_vers_x0020_un_x0020__x00e9_v_x00e8_nement" ma:readOnly="false" ma:showField="ID" ma:web="9ceb4885-8d08-416e-b4ee-cc4ef18cedda">
      <xsd:simpleType>
        <xsd:restriction base="dms:Unknown"/>
      </xsd:simpleType>
    </xsd:element>
    <xsd:element name="Redeployment" ma:index="25" nillable="true" ma:displayName="Redeployment" ma:default="No" ma:format="Dropdown" ma:hidden="true" ma:internalName="Redeployment" ma:readOnly="false">
      <xsd:simpleType>
        <xsd:restriction base="dms:Choice">
          <xsd:enumeration value="Yes"/>
          <xsd:enumeration value="No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eb4885-8d08-416e-b4ee-cc4ef18cedda" elementFormDefault="qualified">
    <xsd:import namespace="http://schemas.microsoft.com/office/2006/documentManagement/types"/>
    <xsd:import namespace="http://schemas.microsoft.com/office/infopath/2007/PartnerControls"/>
    <xsd:element name="SharedWithUsers" ma:index="2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Type de contenu"/>
        <xsd:element ref="dc:title" minOccurs="0" maxOccurs="1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5298EDB9-272A-4BF0-B3DF-AD58F171D9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B3275C-EFA3-4E99-AA5D-C7234F54AAF3}">
  <ds:schemaRefs>
    <ds:schemaRef ds:uri="http://purl.org/dc/elements/1.1/"/>
    <ds:schemaRef ds:uri="07794b35-c7b0-45a0-8c05-ef9fc89269e3"/>
    <ds:schemaRef ds:uri="23b3eea1-43b5-4a20-afc0-0f79726898e0"/>
    <ds:schemaRef ds:uri="e7ea6407-eeb8-4f6b-81d1-dd244b6b63af"/>
    <ds:schemaRef ds:uri="http://purl.org/dc/terms/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9ceb4885-8d08-416e-b4ee-cc4ef18cedd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7DDE471-32B6-468F-B0DE-465551FA6EE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82B7082D-D2D3-4FE7-B25E-92B40F28C0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794b35-c7b0-45a0-8c05-ef9fc89269e3"/>
    <ds:schemaRef ds:uri="http://schemas.microsoft.com/sharepoint/v3/fields"/>
    <ds:schemaRef ds:uri="23b3eea1-43b5-4a20-afc0-0f79726898e0"/>
    <ds:schemaRef ds:uri="e7ea6407-eeb8-4f6b-81d1-dd244b6b63af"/>
    <ds:schemaRef ds:uri="9ceb4885-8d08-416e-b4ee-cc4ef18ced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7EEAA3E3-5C18-4B5D-8BA1-67E4908FB445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Docs</vt:lpstr>
      <vt:lpstr>Systeme</vt:lpstr>
      <vt:lpstr>Menu</vt:lpstr>
      <vt:lpstr>tblDocs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Martin</dc:creator>
  <cp:lastModifiedBy>Martin Raymond</cp:lastModifiedBy>
  <dcterms:created xsi:type="dcterms:W3CDTF">2021-11-11T19:02:22Z</dcterms:created>
  <dcterms:modified xsi:type="dcterms:W3CDTF">2022-02-21T16:20:06Z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0x010100D3A52133C8CFCC4295A203E7A442B8BF0053C52DD222E7034991FABF42FC3C0FF4</vt:lpwstr>
  </property>
  <property fmtid="{D5CDD505-2E9C-101B-9397-08002B2CF9AE}" pid="3" name="_dlc_DocIdItemGuid">
    <vt:lpwstr>b0264417-5c94-43be-8da3-75c659c92ee7</vt:lpwstr>
  </property>
  <property fmtid="{D5CDD505-2E9C-101B-9397-08002B2CF9AE}" pid="4" name="Année fiscale">
    <vt:lpwstr>2285;#21/22|f6713a4e-799f-4829-95d7-0202b360ca04</vt:lpwstr>
  </property>
  <property fmtid="{D5CDD505-2E9C-101B-9397-08002B2CF9AE}" pid="5" name="Distribution">
    <vt:lpwstr>23;#G4 Maint 3|107c93bb-e0ce-4af3-bc40-ba99a0b49b9a</vt:lpwstr>
  </property>
  <property fmtid="{D5CDD505-2E9C-101B-9397-08002B2CF9AE}" pid="6" name="m59fb42281544d8faa6586f4aa9105c5">
    <vt:lpwstr/>
  </property>
  <property fmtid="{D5CDD505-2E9C-101B-9397-08002B2CF9AE}" pid="7" name="ExOps">
    <vt:lpwstr/>
  </property>
  <property fmtid="{D5CDD505-2E9C-101B-9397-08002B2CF9AE}" pid="8" name="g2c548024fe44ec581e139ed28df0c91">
    <vt:lpwstr/>
  </property>
  <property fmtid="{D5CDD505-2E9C-101B-9397-08002B2CF9AE}" pid="9" name="Origine">
    <vt:lpwstr>23;#G4 Maint 3|107c93bb-e0ce-4af3-bc40-ba99a0b49b9a</vt:lpwstr>
  </property>
  <property fmtid="{D5CDD505-2E9C-101B-9397-08002B2CF9AE}" pid="10" name="Classement (Nouveau)">
    <vt:lpwstr>515;#Références|a7669c8c-c53d-4d04-919f-2f93657602e7</vt:lpwstr>
  </property>
  <property fmtid="{D5CDD505-2E9C-101B-9397-08002B2CF9AE}" pid="11" name="Lien Ex/Ops">
    <vt:lpwstr/>
  </property>
  <property fmtid="{D5CDD505-2E9C-101B-9397-08002B2CF9AE}" pid="12" name="Classement">
    <vt:lpwstr/>
  </property>
</Properties>
</file>