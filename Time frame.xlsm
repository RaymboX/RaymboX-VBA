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ymond.mf\Desktop\"/>
    </mc:Choice>
  </mc:AlternateContent>
  <bookViews>
    <workbookView xWindow="0" yWindow="0" windowWidth="28800" windowHeight="12435"/>
  </bookViews>
  <sheets>
    <sheet name="Tâches" sheetId="1" r:id="rId1"/>
    <sheet name="TimeLine" sheetId="2" r:id="rId2"/>
  </sheets>
  <definedNames>
    <definedName name="Segment_Métier1">#N/A</definedName>
  </definedNames>
  <calcPr calcId="152511"/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1" i="1"/>
  <c r="F5" i="1"/>
  <c r="F6" i="1"/>
  <c r="F7" i="1"/>
  <c r="F10" i="1"/>
  <c r="F8" i="1"/>
  <c r="F9" i="1"/>
  <c r="F12" i="1"/>
  <c r="F14" i="1"/>
  <c r="F15" i="1"/>
  <c r="F16" i="1"/>
  <c r="F17" i="1"/>
  <c r="F18" i="1"/>
  <c r="F20" i="1"/>
  <c r="F19" i="1"/>
  <c r="F21" i="1"/>
  <c r="F22" i="1"/>
  <c r="F23" i="1"/>
  <c r="F24" i="1"/>
  <c r="F25" i="1"/>
  <c r="F27" i="1"/>
  <c r="F26" i="1"/>
  <c r="F28" i="1"/>
  <c r="F29" i="1"/>
  <c r="F30" i="1"/>
  <c r="F31" i="1"/>
  <c r="F33" i="1"/>
  <c r="F32" i="1"/>
  <c r="F34" i="1"/>
  <c r="F35" i="1"/>
  <c r="F36" i="1"/>
  <c r="F37" i="1"/>
  <c r="F38" i="1"/>
</calcChain>
</file>

<file path=xl/comments1.xml><?xml version="1.0" encoding="utf-8"?>
<comments xmlns="http://schemas.openxmlformats.org/spreadsheetml/2006/main">
  <authors>
    <author>Raymond.mf</author>
  </authors>
  <commentList>
    <comment ref="H13" authorId="0" shapeId="0">
      <text>
        <r>
          <rPr>
            <b/>
            <sz val="9"/>
            <color indexed="81"/>
            <rFont val="Tahoma"/>
            <charset val="1"/>
          </rPr>
          <t xml:space="preserve">MWC d'exercice
</t>
        </r>
        <r>
          <rPr>
            <b/>
            <sz val="9"/>
            <color indexed="81"/>
            <rFont val="Tahoma"/>
            <family val="2"/>
          </rPr>
          <t>1R22R:                 XQ1B---1
2R22R:                 XQ2B---1
3R22R:                 XQ3B---1
12RBC:                 XQ4B---1
5 RALC:                XQ5B---1
5RGC:                   XQ6B---1
QGET:                   XQ9B---1
5BonSvc 1st line: XQBB---1
5BonSvc 2st line: XQBB---1
Cost center: 9518TJ</t>
        </r>
      </text>
    </comment>
  </commentList>
</comments>
</file>

<file path=xl/comments2.xml><?xml version="1.0" encoding="utf-8"?>
<comments xmlns="http://schemas.openxmlformats.org/spreadsheetml/2006/main">
  <authors>
    <author>Raymond.mf</author>
  </authors>
  <commentList>
    <comment ref="C14" authorId="0" shapeId="0">
      <text>
        <r>
          <rPr>
            <sz val="9"/>
            <color indexed="81"/>
            <rFont val="Tahoma"/>
            <family val="2"/>
          </rPr>
          <t>MWC d'exercice
1R22R:                 XQ1B---1
2R22R:                 XQ2B---1
3R22R:                 XQ3B---1
12RBC:                 XQ4B---1
5 RALC:                XQ5B---1
5RGC:                   XQ6B---1
QGET:                   XQ9B---1
5BonSvc 1st line: XQBB---1
5BonSvc 2st line: XQBB---1
Cost center: 9518TJ</t>
        </r>
      </text>
    </comment>
  </commentList>
</comments>
</file>

<file path=xl/sharedStrings.xml><?xml version="1.0" encoding="utf-8"?>
<sst xmlns="http://schemas.openxmlformats.org/spreadsheetml/2006/main" count="280" uniqueCount="65">
  <si>
    <t>Date de</t>
  </si>
  <si>
    <t>Time frame</t>
  </si>
  <si>
    <t>Métier</t>
  </si>
  <si>
    <t>Maintenance</t>
  </si>
  <si>
    <t>Approvisionnement</t>
  </si>
  <si>
    <t>Tâches</t>
  </si>
  <si>
    <t>Liste des métiers</t>
  </si>
  <si>
    <t>Mois</t>
  </si>
  <si>
    <t>Jour</t>
  </si>
  <si>
    <t>J. sem</t>
  </si>
  <si>
    <t>Date a</t>
  </si>
  <si>
    <t>Année</t>
  </si>
  <si>
    <t>2018</t>
  </si>
  <si>
    <t>août</t>
  </si>
  <si>
    <t>M</t>
  </si>
  <si>
    <t>J</t>
  </si>
  <si>
    <t>V</t>
  </si>
  <si>
    <t>S</t>
  </si>
  <si>
    <t>D</t>
  </si>
  <si>
    <t>L</t>
  </si>
  <si>
    <t>septembre</t>
  </si>
  <si>
    <t>Évènement</t>
  </si>
  <si>
    <t>Système</t>
  </si>
  <si>
    <t>Préparation en vue du chargement du bâteau</t>
  </si>
  <si>
    <t>Déplacement des équipements vers Bécancour</t>
  </si>
  <si>
    <t>Transport</t>
  </si>
  <si>
    <t>Unité</t>
  </si>
  <si>
    <t>octobre</t>
  </si>
  <si>
    <t>novembre</t>
  </si>
  <si>
    <t>G4</t>
  </si>
  <si>
    <t>Fête du travail</t>
  </si>
  <si>
    <t>G8</t>
  </si>
  <si>
    <t>DRMIS: Confirmer PKI et DVPNI</t>
  </si>
  <si>
    <t>Fermeture du camp FREMO</t>
  </si>
  <si>
    <t>Key Date</t>
  </si>
  <si>
    <t>Key (-)</t>
  </si>
  <si>
    <t>ADM IM - DDRMIS / CJOC: DRMIS: Création des ''shipping Pt'' (SP) &amp; Customer Record</t>
  </si>
  <si>
    <t>CM chargé et fermé / load list faite pour départ vers Bécancour</t>
  </si>
  <si>
    <t>DRMIS: Transfert des équipements (MER &amp; EMR) (MIGO 311) et matériel dans les SLOC MRP _S des FE 99XXXX (993521, 992107, 991708, 991779, 992106, 991735)</t>
  </si>
  <si>
    <t>Changement de R&amp;A au besoin 6716 &amp; 6711</t>
  </si>
  <si>
    <t>Transfert des inventaire dans le MRP_P - Provisoning (MIGO 311)</t>
  </si>
  <si>
    <t>Batch Program MRP Type de Z1 à PD pour Reorder pt</t>
  </si>
  <si>
    <t>DRMIS: Demande de changement de centre de coût - Cost Ctr 9518TJ</t>
  </si>
  <si>
    <t>Présentation Appro &amp; Maintenance au membre (date à confirmer)</t>
  </si>
  <si>
    <t xml:space="preserve">O&amp;E Template - Liste du personnel / Psn# Peoplesoft </t>
  </si>
  <si>
    <t>Préparation et transfert Wpns, STANO et Comms contre MRP _S (Target SLOC) - STO avec OBD/HU pour le C17 du 30 Sept - Pool B et C via Cie Appro</t>
  </si>
  <si>
    <t>SAP Personnal Identifer - Cycle ''time Accounting'' 16/7 - TC PA30</t>
  </si>
  <si>
    <t xml:space="preserve">DRMIS MM/FI: Recce Google - VENDOR, DND 2979(Vendor) et 2969 (IBAN#) et Electronic Data Transfer (EDT) pour facturation </t>
  </si>
  <si>
    <t xml:space="preserve">Chargement SEALIFT - BÉCANCOUR </t>
  </si>
  <si>
    <t>SEALIFT / Bécancour au SPOD - Orkanger</t>
  </si>
  <si>
    <t>Cfm du centre de coût pour la phase de support et RF par GL pour la section achat 2e ligne</t>
  </si>
  <si>
    <t>Préparation et transfert Armes pers.  contre MRP _S (Target SLOC) - STO avec OBD/HU pour le C17 du 30 Sept - Pool A via unités</t>
  </si>
  <si>
    <t>Changement de Cost Ctr 9518TJ / 7x MWC X*</t>
  </si>
  <si>
    <t>DRMIS/DFPS: Structure DFPS 5 GBMC est transféré sous le FE EX TJ - 990019</t>
  </si>
  <si>
    <t>DRMIS/PM: PM Reloc - Cost Ctr MER/EMR, FLOC, MWC X*</t>
  </si>
  <si>
    <t>Batch HPR - Priotirization Material Planning - /ISDFPS/PRBL_BACKGR par FE 1e et 2e ligne seulement / DDRMIS MM functional Team</t>
  </si>
  <si>
    <t>Procurement Key 99/Z5 - MRP Type</t>
  </si>
  <si>
    <t>Mouvement des armes, STANO, Crypto, Comms</t>
  </si>
  <si>
    <t>Déploiement + 2x jrs RELOC</t>
  </si>
  <si>
    <t>Force-on-Force EX TJ</t>
  </si>
  <si>
    <t>DRMIS: Transfert des équipements (MER &amp; EMR) (MIGO 311) et matériel dans les SLOC MRP _S des Root FE (3521, 2107, 2106, 1708, 1735, 1779)</t>
  </si>
  <si>
    <t>DL / Consommation Classe V - MIGO Mvt 201</t>
  </si>
  <si>
    <t>KEYDATE (-)</t>
  </si>
  <si>
    <t>Compléter les dernières réparations sur les avis d'unité</t>
  </si>
  <si>
    <t>Transfert des travaux sur avis et ordre d'exercice (vers MWC et cost center d'exercice)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</si>
</sst>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;@"/>
    <numFmt numFmtId="165" formatCode="dd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/>
    <xf numFmtId="49" fontId="1" fillId="0" borderId="0" xfId="0" applyNumberFormat="1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9" fontId="1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15" borderId="0" xfId="0" applyFill="1"/>
    <xf numFmtId="0" fontId="0" fillId="16" borderId="0" xfId="0" applyFill="1"/>
    <xf numFmtId="14" fontId="0" fillId="0" borderId="0" xfId="0" applyNumberFormat="1"/>
    <xf numFmtId="164" fontId="3" fillId="0" borderId="0" xfId="0" applyNumberFormat="1" applyFont="1" applyBorder="1" applyAlignment="1">
      <alignment horizontal="center"/>
    </xf>
    <xf numFmtId="0" fontId="0" fillId="0" borderId="0" xfId="0" applyBorder="1"/>
    <xf numFmtId="1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4" borderId="1" xfId="0" applyFill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5" fontId="1" fillId="0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wrapText="1"/>
    </xf>
    <xf numFmtId="165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0" fillId="17" borderId="0" xfId="0" applyFill="1"/>
  </cellXfs>
  <cellStyles count="1">
    <cellStyle name="Normal" xfId="0" builtinId="0"/>
  </cellStyles>
  <dxfs count="4">
    <dxf>
      <alignment horizontal="general" vertical="bottom" textRotation="0" wrapText="1" indent="0" justifyLastLine="0" shrinkToFit="0" readingOrder="0"/>
    </dxf>
    <dxf>
      <numFmt numFmtId="164" formatCode="yyyy/mm/dd;@"/>
    </dxf>
    <dxf>
      <numFmt numFmtId="164" formatCode="yyyy/mm/dd;@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7/relationships/slicerCache" Target="slicerCaches/slicerCach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</xdr:colOff>
      <xdr:row>4</xdr:row>
      <xdr:rowOff>104775</xdr:rowOff>
    </xdr:from>
    <xdr:to>
      <xdr:col>1</xdr:col>
      <xdr:colOff>1876425</xdr:colOff>
      <xdr:row>16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étie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i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4975" y="876300"/>
              <a:ext cx="1828800" cy="2276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47625</xdr:rowOff>
        </xdr:from>
        <xdr:to>
          <xdr:col>1</xdr:col>
          <xdr:colOff>1924050</xdr:colOff>
          <xdr:row>3</xdr:row>
          <xdr:rowOff>123825</xdr:rowOff>
        </xdr:to>
        <xdr:sp macro="" textlink="">
          <xdr:nvSpPr>
            <xdr:cNvPr id="1037" name="ckbformCalActiv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47625</xdr:rowOff>
        </xdr:from>
        <xdr:to>
          <xdr:col>1</xdr:col>
          <xdr:colOff>828675</xdr:colOff>
          <xdr:row>1</xdr:row>
          <xdr:rowOff>171450</xdr:rowOff>
        </xdr:to>
        <xdr:sp macro="" textlink="">
          <xdr:nvSpPr>
            <xdr:cNvPr id="2050" name="CalRefresh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étier1" sourceName="Métie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étier 1" cache="Segment_Métier1" caption="Métier" rowHeight="241300"/>
</slicers>
</file>

<file path=xl/tables/table1.xml><?xml version="1.0" encoding="utf-8"?>
<table xmlns="http://schemas.openxmlformats.org/spreadsheetml/2006/main" id="1" name="tblTask" displayName="tblTask" ref="D4:H38" totalsRowShown="0">
  <autoFilter ref="D4:H38"/>
  <sortState ref="D5:H38">
    <sortCondition ref="D4:D38"/>
  </sortState>
  <tableColumns count="5">
    <tableColumn id="1" name="Date de" dataDxfId="2"/>
    <tableColumn id="2" name="Date a" dataDxfId="1"/>
    <tableColumn id="5" name="KEYDATE (-)" dataDxfId="3">
      <calculatedColumnFormula>tblTask[[#This Row],[Date de]]-B$19</calculatedColumnFormula>
    </tableColumn>
    <tableColumn id="3" name="Métier"/>
    <tableColumn id="4" name="Tâch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sk"/>
  <dimension ref="A3:H38"/>
  <sheetViews>
    <sheetView tabSelected="1" workbookViewId="0">
      <selection activeCell="B23" sqref="B23"/>
    </sheetView>
  </sheetViews>
  <sheetFormatPr baseColWidth="10" defaultRowHeight="15" x14ac:dyDescent="0.25"/>
  <cols>
    <col min="1" max="1" width="24.85546875" customWidth="1"/>
    <col min="2" max="2" width="30.28515625" customWidth="1"/>
    <col min="3" max="3" width="1.7109375" customWidth="1"/>
    <col min="4" max="4" width="12" style="2" customWidth="1"/>
    <col min="5" max="5" width="12.42578125" style="2" customWidth="1"/>
    <col min="6" max="6" width="14.85546875" style="29" bestFit="1" customWidth="1"/>
    <col min="7" max="7" width="20" customWidth="1"/>
    <col min="8" max="8" width="142.28515625" style="22" customWidth="1"/>
    <col min="9" max="9" width="27.140625" customWidth="1"/>
  </cols>
  <sheetData>
    <row r="3" spans="1:8" ht="15.75" x14ac:dyDescent="0.25">
      <c r="D3" s="32" t="s">
        <v>1</v>
      </c>
      <c r="E3" s="33"/>
      <c r="F3" s="26"/>
      <c r="G3" s="1"/>
    </row>
    <row r="4" spans="1:8" x14ac:dyDescent="0.25">
      <c r="A4" s="8" t="s">
        <v>6</v>
      </c>
      <c r="D4" s="2" t="s">
        <v>0</v>
      </c>
      <c r="E4" s="2" t="s">
        <v>10</v>
      </c>
      <c r="F4" s="3" t="s">
        <v>62</v>
      </c>
      <c r="G4" t="s">
        <v>2</v>
      </c>
      <c r="H4" s="22" t="s">
        <v>5</v>
      </c>
    </row>
    <row r="5" spans="1:8" x14ac:dyDescent="0.25">
      <c r="A5" s="5" t="s">
        <v>3</v>
      </c>
      <c r="D5" s="2">
        <v>43314</v>
      </c>
      <c r="E5" s="2">
        <v>43314</v>
      </c>
      <c r="F5" s="30">
        <f>tblTask[[#This Row],[Date de]]-B$19</f>
        <v>-90</v>
      </c>
      <c r="G5" t="s">
        <v>29</v>
      </c>
      <c r="H5" s="22" t="s">
        <v>36</v>
      </c>
    </row>
    <row r="6" spans="1:8" x14ac:dyDescent="0.25">
      <c r="A6" s="7" t="s">
        <v>4</v>
      </c>
      <c r="D6" s="2">
        <v>43314</v>
      </c>
      <c r="E6" s="2">
        <v>43329</v>
      </c>
      <c r="F6" s="30">
        <f>tblTask[[#This Row],[Date de]]-B$19</f>
        <v>-90</v>
      </c>
      <c r="G6" t="s">
        <v>4</v>
      </c>
      <c r="H6" s="22" t="s">
        <v>37</v>
      </c>
    </row>
    <row r="7" spans="1:8" x14ac:dyDescent="0.25">
      <c r="A7" s="12" t="s">
        <v>21</v>
      </c>
      <c r="D7" s="2">
        <v>43314</v>
      </c>
      <c r="E7" s="2">
        <v>43329</v>
      </c>
      <c r="F7" s="30">
        <f>tblTask[[#This Row],[Date de]]-B$19</f>
        <v>-90</v>
      </c>
      <c r="G7" t="s">
        <v>4</v>
      </c>
      <c r="H7" s="22" t="s">
        <v>38</v>
      </c>
    </row>
    <row r="8" spans="1:8" x14ac:dyDescent="0.25">
      <c r="A8" s="15" t="s">
        <v>26</v>
      </c>
      <c r="D8" s="2">
        <v>43314</v>
      </c>
      <c r="E8" s="2">
        <v>43329</v>
      </c>
      <c r="F8" s="30">
        <f>tblTask[[#This Row],[Date de]]-B$19</f>
        <v>-90</v>
      </c>
      <c r="G8" t="s">
        <v>4</v>
      </c>
      <c r="H8" s="22" t="s">
        <v>40</v>
      </c>
    </row>
    <row r="9" spans="1:8" x14ac:dyDescent="0.25">
      <c r="A9" s="6" t="s">
        <v>22</v>
      </c>
      <c r="D9" s="2">
        <v>43314</v>
      </c>
      <c r="E9" s="2">
        <v>43329</v>
      </c>
      <c r="F9" s="30">
        <f>tblTask[[#This Row],[Date de]]-B$19</f>
        <v>-90</v>
      </c>
      <c r="G9" t="s">
        <v>4</v>
      </c>
      <c r="H9" s="22" t="s">
        <v>41</v>
      </c>
    </row>
    <row r="10" spans="1:8" x14ac:dyDescent="0.25">
      <c r="A10" s="16" t="s">
        <v>25</v>
      </c>
      <c r="D10" s="2">
        <v>43314</v>
      </c>
      <c r="E10" s="2">
        <v>43364</v>
      </c>
      <c r="F10" s="30">
        <f>tblTask[[#This Row],[Date de]]-B$19</f>
        <v>-90</v>
      </c>
      <c r="G10" t="s">
        <v>4</v>
      </c>
      <c r="H10" s="22" t="s">
        <v>39</v>
      </c>
    </row>
    <row r="11" spans="1:8" x14ac:dyDescent="0.25">
      <c r="A11" s="14" t="s">
        <v>29</v>
      </c>
      <c r="D11" s="2">
        <v>43315</v>
      </c>
      <c r="E11" s="2">
        <v>43328</v>
      </c>
      <c r="F11" s="30">
        <f>tblTask[[#This Row],[Date de]]-B$19</f>
        <v>-89</v>
      </c>
      <c r="G11" t="s">
        <v>3</v>
      </c>
      <c r="H11" s="22" t="s">
        <v>63</v>
      </c>
    </row>
    <row r="12" spans="1:8" x14ac:dyDescent="0.25">
      <c r="A12" s="4" t="s">
        <v>31</v>
      </c>
      <c r="D12" s="2">
        <v>43329</v>
      </c>
      <c r="E12" s="2">
        <v>43344</v>
      </c>
      <c r="F12" s="30">
        <f>tblTask[[#This Row],[Date de]]-B$19</f>
        <v>-75</v>
      </c>
      <c r="G12" t="s">
        <v>25</v>
      </c>
      <c r="H12" s="22" t="s">
        <v>24</v>
      </c>
    </row>
    <row r="13" spans="1:8" x14ac:dyDescent="0.25">
      <c r="D13" s="2">
        <v>43329</v>
      </c>
      <c r="E13" s="2">
        <v>43344</v>
      </c>
      <c r="F13" s="30">
        <f>tblTask[[#This Row],[Date de]]-B$19</f>
        <v>-75</v>
      </c>
      <c r="G13" t="s">
        <v>3</v>
      </c>
      <c r="H13" s="22" t="s">
        <v>64</v>
      </c>
    </row>
    <row r="14" spans="1:8" x14ac:dyDescent="0.25">
      <c r="D14" s="2">
        <v>43343</v>
      </c>
      <c r="E14" s="2">
        <v>43346</v>
      </c>
      <c r="F14" s="30">
        <f>tblTask[[#This Row],[Date de]]-B$19</f>
        <v>-61</v>
      </c>
      <c r="G14" t="s">
        <v>21</v>
      </c>
      <c r="H14" s="22" t="s">
        <v>30</v>
      </c>
    </row>
    <row r="15" spans="1:8" x14ac:dyDescent="0.25">
      <c r="D15" s="2">
        <v>43344</v>
      </c>
      <c r="E15" s="2">
        <v>43357</v>
      </c>
      <c r="F15" s="30">
        <f>tblTask[[#This Row],[Date de]]-B$19</f>
        <v>-60</v>
      </c>
      <c r="G15" t="s">
        <v>25</v>
      </c>
      <c r="H15" s="22" t="s">
        <v>23</v>
      </c>
    </row>
    <row r="16" spans="1:8" x14ac:dyDescent="0.25">
      <c r="D16" s="2">
        <v>43350</v>
      </c>
      <c r="E16" s="2">
        <v>43350</v>
      </c>
      <c r="F16" s="30">
        <f>tblTask[[#This Row],[Date de]]-B$19</f>
        <v>-54</v>
      </c>
      <c r="G16" t="s">
        <v>29</v>
      </c>
      <c r="H16" s="22" t="s">
        <v>42</v>
      </c>
    </row>
    <row r="17" spans="2:8" x14ac:dyDescent="0.25">
      <c r="D17" s="2">
        <v>43350</v>
      </c>
      <c r="E17" s="2">
        <v>43350</v>
      </c>
      <c r="F17" s="30">
        <f>tblTask[[#This Row],[Date de]]-B$19</f>
        <v>-54</v>
      </c>
      <c r="G17" t="s">
        <v>26</v>
      </c>
      <c r="H17" s="22" t="s">
        <v>43</v>
      </c>
    </row>
    <row r="18" spans="2:8" x14ac:dyDescent="0.25">
      <c r="B18" s="31" t="s">
        <v>34</v>
      </c>
      <c r="C18" s="27"/>
      <c r="D18" s="2">
        <v>43353</v>
      </c>
      <c r="E18" s="2">
        <v>43364</v>
      </c>
      <c r="F18" s="30">
        <f>tblTask[[#This Row],[Date de]]-B$19</f>
        <v>-51</v>
      </c>
      <c r="G18" t="s">
        <v>26</v>
      </c>
      <c r="H18" s="22" t="s">
        <v>44</v>
      </c>
    </row>
    <row r="19" spans="2:8" x14ac:dyDescent="0.25">
      <c r="B19" s="28">
        <v>43404</v>
      </c>
      <c r="C19" s="27"/>
      <c r="D19" s="2">
        <v>43353</v>
      </c>
      <c r="E19" s="2">
        <v>43364</v>
      </c>
      <c r="F19" s="30">
        <f>tblTask[[#This Row],[Date de]]-B$19</f>
        <v>-51</v>
      </c>
      <c r="G19" t="s">
        <v>3</v>
      </c>
      <c r="H19" s="22" t="s">
        <v>46</v>
      </c>
    </row>
    <row r="20" spans="2:8" x14ac:dyDescent="0.25">
      <c r="D20" s="2">
        <v>43353</v>
      </c>
      <c r="E20" s="2">
        <v>43367</v>
      </c>
      <c r="F20" s="30">
        <f>tblTask[[#This Row],[Date de]]-B$19</f>
        <v>-51</v>
      </c>
      <c r="G20" t="s">
        <v>4</v>
      </c>
      <c r="H20" s="22" t="s">
        <v>45</v>
      </c>
    </row>
    <row r="21" spans="2:8" x14ac:dyDescent="0.25">
      <c r="D21" s="2">
        <v>43357</v>
      </c>
      <c r="E21" s="2">
        <v>43364</v>
      </c>
      <c r="F21" s="30">
        <f>tblTask[[#This Row],[Date de]]-B$19</f>
        <v>-47</v>
      </c>
      <c r="G21" t="s">
        <v>4</v>
      </c>
      <c r="H21" s="22" t="s">
        <v>47</v>
      </c>
    </row>
    <row r="22" spans="2:8" x14ac:dyDescent="0.25">
      <c r="D22" s="2">
        <v>43358</v>
      </c>
      <c r="E22" s="2">
        <v>43359</v>
      </c>
      <c r="F22" s="30">
        <f>tblTask[[#This Row],[Date de]]-B$19</f>
        <v>-46</v>
      </c>
      <c r="G22" t="s">
        <v>21</v>
      </c>
      <c r="H22" s="22" t="s">
        <v>48</v>
      </c>
    </row>
    <row r="23" spans="2:8" x14ac:dyDescent="0.25">
      <c r="D23" s="2">
        <v>43360</v>
      </c>
      <c r="E23" s="2">
        <v>43371</v>
      </c>
      <c r="F23" s="30">
        <f>tblTask[[#This Row],[Date de]]-B$19</f>
        <v>-44</v>
      </c>
      <c r="G23" t="s">
        <v>4</v>
      </c>
      <c r="H23" s="22" t="s">
        <v>32</v>
      </c>
    </row>
    <row r="24" spans="2:8" x14ac:dyDescent="0.25">
      <c r="D24" s="2">
        <v>43360</v>
      </c>
      <c r="E24" s="2">
        <v>43374</v>
      </c>
      <c r="F24" s="30">
        <f>tblTask[[#This Row],[Date de]]-B$19</f>
        <v>-44</v>
      </c>
      <c r="G24" t="s">
        <v>21</v>
      </c>
      <c r="H24" s="22" t="s">
        <v>49</v>
      </c>
    </row>
    <row r="25" spans="2:8" x14ac:dyDescent="0.25">
      <c r="D25" s="2">
        <v>43364</v>
      </c>
      <c r="E25" s="2">
        <v>43364</v>
      </c>
      <c r="F25" s="30">
        <f>tblTask[[#This Row],[Date de]]-B$19</f>
        <v>-40</v>
      </c>
      <c r="G25" t="s">
        <v>31</v>
      </c>
      <c r="H25" s="22" t="s">
        <v>50</v>
      </c>
    </row>
    <row r="26" spans="2:8" x14ac:dyDescent="0.25">
      <c r="D26" s="2">
        <v>43367</v>
      </c>
      <c r="E26" s="2">
        <v>43367</v>
      </c>
      <c r="F26" s="30">
        <f>tblTask[[#This Row],[Date de]]-B$19</f>
        <v>-37</v>
      </c>
      <c r="G26" t="s">
        <v>22</v>
      </c>
      <c r="H26" s="22" t="s">
        <v>52</v>
      </c>
    </row>
    <row r="27" spans="2:8" x14ac:dyDescent="0.25">
      <c r="D27" s="2">
        <v>43367</v>
      </c>
      <c r="E27" s="2">
        <v>43395</v>
      </c>
      <c r="F27" s="30">
        <f>tblTask[[#This Row],[Date de]]-B$19</f>
        <v>-37</v>
      </c>
      <c r="G27" t="s">
        <v>4</v>
      </c>
      <c r="H27" s="22" t="s">
        <v>51</v>
      </c>
    </row>
    <row r="28" spans="2:8" x14ac:dyDescent="0.25">
      <c r="D28" s="2">
        <v>43370</v>
      </c>
      <c r="E28" s="2">
        <v>43371</v>
      </c>
      <c r="F28" s="30">
        <f>tblTask[[#This Row],[Date de]]-B$19</f>
        <v>-34</v>
      </c>
      <c r="G28" t="s">
        <v>22</v>
      </c>
      <c r="H28" s="22" t="s">
        <v>53</v>
      </c>
    </row>
    <row r="29" spans="2:8" x14ac:dyDescent="0.25">
      <c r="D29" s="2">
        <v>43371</v>
      </c>
      <c r="E29" s="2">
        <v>43371</v>
      </c>
      <c r="F29" s="30">
        <f>tblTask[[#This Row],[Date de]]-B$19</f>
        <v>-33</v>
      </c>
      <c r="G29" t="s">
        <v>22</v>
      </c>
      <c r="H29" s="22" t="s">
        <v>54</v>
      </c>
    </row>
    <row r="30" spans="2:8" x14ac:dyDescent="0.25">
      <c r="D30" s="2">
        <v>43371</v>
      </c>
      <c r="E30" s="2">
        <v>43371</v>
      </c>
      <c r="F30" s="30">
        <f>tblTask[[#This Row],[Date de]]-B$19</f>
        <v>-33</v>
      </c>
      <c r="G30" t="s">
        <v>22</v>
      </c>
      <c r="H30" s="22" t="s">
        <v>55</v>
      </c>
    </row>
    <row r="31" spans="2:8" x14ac:dyDescent="0.25">
      <c r="D31" s="2">
        <v>43371</v>
      </c>
      <c r="E31" s="2">
        <v>43371</v>
      </c>
      <c r="F31" s="30">
        <f>tblTask[[#This Row],[Date de]]-B$19</f>
        <v>-33</v>
      </c>
      <c r="G31" t="s">
        <v>22</v>
      </c>
      <c r="H31" s="22" t="s">
        <v>56</v>
      </c>
    </row>
    <row r="32" spans="2:8" x14ac:dyDescent="0.25">
      <c r="D32" s="2">
        <v>43373</v>
      </c>
      <c r="E32" s="2">
        <v>43377</v>
      </c>
      <c r="F32" s="30">
        <f>tblTask[[#This Row],[Date de]]-B$19</f>
        <v>-31</v>
      </c>
      <c r="G32" t="s">
        <v>26</v>
      </c>
      <c r="H32" s="22" t="s">
        <v>58</v>
      </c>
    </row>
    <row r="33" spans="3:8" x14ac:dyDescent="0.25">
      <c r="D33" s="2">
        <v>43373</v>
      </c>
      <c r="E33" s="2">
        <v>43395</v>
      </c>
      <c r="F33" s="30">
        <f>tblTask[[#This Row],[Date de]]-B$19</f>
        <v>-31</v>
      </c>
      <c r="G33" t="s">
        <v>25</v>
      </c>
      <c r="H33" s="22" t="s">
        <v>57</v>
      </c>
    </row>
    <row r="34" spans="3:8" x14ac:dyDescent="0.25">
      <c r="D34" s="2">
        <v>43404</v>
      </c>
      <c r="E34" s="2">
        <v>43411</v>
      </c>
      <c r="F34" s="30">
        <f>tblTask[[#This Row],[Date de]]-B$19</f>
        <v>0</v>
      </c>
      <c r="G34" t="s">
        <v>21</v>
      </c>
      <c r="H34" s="22" t="s">
        <v>59</v>
      </c>
    </row>
    <row r="35" spans="3:8" x14ac:dyDescent="0.25">
      <c r="D35" s="2">
        <v>43411</v>
      </c>
      <c r="E35" s="2">
        <v>43420</v>
      </c>
      <c r="F35" s="30">
        <f>tblTask[[#This Row],[Date de]]-B$19</f>
        <v>7</v>
      </c>
      <c r="G35" t="s">
        <v>4</v>
      </c>
      <c r="H35" s="22" t="s">
        <v>60</v>
      </c>
    </row>
    <row r="36" spans="3:8" x14ac:dyDescent="0.25">
      <c r="D36" s="2">
        <v>43416</v>
      </c>
      <c r="E36" s="2">
        <v>43416</v>
      </c>
      <c r="F36" s="30">
        <f>tblTask[[#This Row],[Date de]]-B$19</f>
        <v>12</v>
      </c>
      <c r="G36" t="s">
        <v>4</v>
      </c>
      <c r="H36" s="22" t="s">
        <v>61</v>
      </c>
    </row>
    <row r="37" spans="3:8" x14ac:dyDescent="0.25">
      <c r="C37" s="25"/>
      <c r="D37" s="2">
        <v>43423</v>
      </c>
      <c r="E37" s="2">
        <v>43423</v>
      </c>
      <c r="F37" s="30">
        <f>tblTask[[#This Row],[Date de]]-B$19</f>
        <v>19</v>
      </c>
      <c r="G37" t="s">
        <v>4</v>
      </c>
      <c r="H37" s="22" t="s">
        <v>37</v>
      </c>
    </row>
    <row r="38" spans="3:8" x14ac:dyDescent="0.25">
      <c r="D38" s="2">
        <v>43427</v>
      </c>
      <c r="E38" s="2">
        <v>43427</v>
      </c>
      <c r="F38" s="30">
        <f>tblTask[[#This Row],[Date de]]-B$19</f>
        <v>23</v>
      </c>
      <c r="G38" t="s">
        <v>26</v>
      </c>
      <c r="H38" s="22" t="s">
        <v>33</v>
      </c>
    </row>
  </sheetData>
  <mergeCells count="1">
    <mergeCell ref="D3:E3"/>
  </mergeCells>
  <dataValidations count="1">
    <dataValidation type="list" allowBlank="1" showInputMessage="1" showErrorMessage="1" sqref="G5:G38">
      <formula1>$A$4:$A$39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kbformCalActive">
          <controlPr defaultSize="0" autoLine="0" r:id="rId5">
            <anchor moveWithCells="1">
              <from>
                <xdr:col>1</xdr:col>
                <xdr:colOff>66675</xdr:colOff>
                <xdr:row>1</xdr:row>
                <xdr:rowOff>47625</xdr:rowOff>
              </from>
              <to>
                <xdr:col>1</xdr:col>
                <xdr:colOff>1924050</xdr:colOff>
                <xdr:row>3</xdr:row>
                <xdr:rowOff>123825</xdr:rowOff>
              </to>
            </anchor>
          </controlPr>
        </control>
      </mc:Choice>
      <mc:Fallback>
        <control shapeId="1037" r:id="rId4" name="ckbformCalActive"/>
      </mc:Fallback>
    </mc:AlternateContent>
  </controls>
  <tableParts count="1"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imeline"/>
  <dimension ref="B1:DO39"/>
  <sheetViews>
    <sheetView workbookViewId="0">
      <pane xSplit="5" ySplit="4" topLeftCell="F5" activePane="bottomRight" state="frozen"/>
      <selection pane="topRight" activeCell="F1" sqref="F1"/>
      <selection pane="bottomLeft" activeCell="A6" sqref="A6"/>
      <selection pane="bottomRight" activeCell="C21" sqref="C21"/>
    </sheetView>
  </sheetViews>
  <sheetFormatPr baseColWidth="10" defaultRowHeight="15" x14ac:dyDescent="0.25"/>
  <cols>
    <col min="1" max="1" width="1.85546875" customWidth="1"/>
    <col min="2" max="2" width="18.85546875" bestFit="1" customWidth="1"/>
    <col min="3" max="3" width="58" style="22" customWidth="1"/>
    <col min="4" max="4" width="9.5703125" customWidth="1"/>
    <col min="5" max="5" width="7.28515625" style="1" customWidth="1"/>
    <col min="6" max="119" width="2.7109375" customWidth="1"/>
  </cols>
  <sheetData>
    <row r="1" spans="2:119" s="10" customFormat="1" x14ac:dyDescent="0.25">
      <c r="C1" s="21"/>
      <c r="E1" s="9" t="s">
        <v>11</v>
      </c>
      <c r="F1" s="10" t="s">
        <v>12</v>
      </c>
    </row>
    <row r="2" spans="2:119" s="11" customFormat="1" x14ac:dyDescent="0.25">
      <c r="C2" s="21"/>
      <c r="E2" s="9" t="s">
        <v>7</v>
      </c>
      <c r="F2" s="11" t="s">
        <v>13</v>
      </c>
      <c r="AJ2" s="11" t="s">
        <v>20</v>
      </c>
      <c r="BN2" s="11" t="s">
        <v>27</v>
      </c>
      <c r="CS2" s="11" t="s">
        <v>28</v>
      </c>
    </row>
    <row r="3" spans="2:119" s="34" customFormat="1" x14ac:dyDescent="0.25">
      <c r="C3" s="35"/>
      <c r="E3" s="34" t="s">
        <v>8</v>
      </c>
      <c r="F3" s="34">
        <v>43314</v>
      </c>
      <c r="G3" s="38">
        <v>43315</v>
      </c>
      <c r="H3" s="34">
        <v>43316</v>
      </c>
      <c r="I3" s="34">
        <v>43317</v>
      </c>
      <c r="J3" s="34">
        <v>43318</v>
      </c>
      <c r="K3" s="34">
        <v>43319</v>
      </c>
      <c r="L3" s="34">
        <v>43320</v>
      </c>
      <c r="M3" s="34">
        <v>43321</v>
      </c>
      <c r="N3" s="34">
        <v>43322</v>
      </c>
      <c r="O3" s="34">
        <v>43323</v>
      </c>
      <c r="P3" s="34">
        <v>43324</v>
      </c>
      <c r="Q3" s="34">
        <v>43325</v>
      </c>
      <c r="R3" s="34">
        <v>43326</v>
      </c>
      <c r="S3" s="34">
        <v>43327</v>
      </c>
      <c r="T3" s="34">
        <v>43328</v>
      </c>
      <c r="U3" s="34">
        <v>43329</v>
      </c>
      <c r="V3" s="34">
        <v>43330</v>
      </c>
      <c r="W3" s="34">
        <v>43331</v>
      </c>
      <c r="X3" s="34">
        <v>43332</v>
      </c>
      <c r="Y3" s="34">
        <v>43333</v>
      </c>
      <c r="Z3" s="34">
        <v>43334</v>
      </c>
      <c r="AA3" s="34">
        <v>43335</v>
      </c>
      <c r="AB3" s="34">
        <v>43336</v>
      </c>
      <c r="AC3" s="34">
        <v>43337</v>
      </c>
      <c r="AD3" s="34">
        <v>43338</v>
      </c>
      <c r="AE3" s="34">
        <v>43339</v>
      </c>
      <c r="AF3" s="34">
        <v>43340</v>
      </c>
      <c r="AG3" s="34">
        <v>43341</v>
      </c>
      <c r="AH3" s="34">
        <v>43342</v>
      </c>
      <c r="AI3" s="34">
        <v>43343</v>
      </c>
      <c r="AJ3" s="34">
        <v>43344</v>
      </c>
      <c r="AK3" s="34">
        <v>43345</v>
      </c>
      <c r="AL3" s="34">
        <v>43346</v>
      </c>
      <c r="AM3" s="34">
        <v>43347</v>
      </c>
      <c r="AN3" s="34">
        <v>43348</v>
      </c>
      <c r="AO3" s="34">
        <v>43349</v>
      </c>
      <c r="AP3" s="34">
        <v>43350</v>
      </c>
      <c r="AQ3" s="34">
        <v>43351</v>
      </c>
      <c r="AR3" s="34">
        <v>43352</v>
      </c>
      <c r="AS3" s="34">
        <v>43353</v>
      </c>
      <c r="AT3" s="34">
        <v>43354</v>
      </c>
      <c r="AU3" s="34">
        <v>43355</v>
      </c>
      <c r="AV3" s="34">
        <v>43356</v>
      </c>
      <c r="AW3" s="34">
        <v>43357</v>
      </c>
      <c r="AX3" s="34">
        <v>43358</v>
      </c>
      <c r="AY3" s="34">
        <v>43359</v>
      </c>
      <c r="AZ3" s="34">
        <v>43360</v>
      </c>
      <c r="BA3" s="34">
        <v>43361</v>
      </c>
      <c r="BB3" s="34">
        <v>43362</v>
      </c>
      <c r="BC3" s="34">
        <v>43363</v>
      </c>
      <c r="BD3" s="34">
        <v>43364</v>
      </c>
      <c r="BE3" s="34">
        <v>43365</v>
      </c>
      <c r="BF3" s="34">
        <v>43366</v>
      </c>
      <c r="BG3" s="34">
        <v>43367</v>
      </c>
      <c r="BH3" s="34">
        <v>43368</v>
      </c>
      <c r="BI3" s="34">
        <v>43369</v>
      </c>
      <c r="BJ3" s="34">
        <v>43370</v>
      </c>
      <c r="BK3" s="34">
        <v>43371</v>
      </c>
      <c r="BL3" s="34">
        <v>43372</v>
      </c>
      <c r="BM3" s="34">
        <v>43373</v>
      </c>
      <c r="BN3" s="34">
        <v>43374</v>
      </c>
      <c r="BO3" s="34">
        <v>43375</v>
      </c>
      <c r="BP3" s="34">
        <v>43376</v>
      </c>
      <c r="BQ3" s="34">
        <v>43377</v>
      </c>
      <c r="BR3" s="34">
        <v>43378</v>
      </c>
      <c r="BS3" s="34">
        <v>43379</v>
      </c>
      <c r="BT3" s="34">
        <v>43380</v>
      </c>
      <c r="BU3" s="34">
        <v>43381</v>
      </c>
      <c r="BV3" s="34">
        <v>43382</v>
      </c>
      <c r="BW3" s="34">
        <v>43383</v>
      </c>
      <c r="BX3" s="34">
        <v>43384</v>
      </c>
      <c r="BY3" s="34">
        <v>43385</v>
      </c>
      <c r="BZ3" s="34">
        <v>43386</v>
      </c>
      <c r="CA3" s="34">
        <v>43387</v>
      </c>
      <c r="CB3" s="34">
        <v>43388</v>
      </c>
      <c r="CC3" s="34">
        <v>43389</v>
      </c>
      <c r="CD3" s="34">
        <v>43390</v>
      </c>
      <c r="CE3" s="34">
        <v>43391</v>
      </c>
      <c r="CF3" s="34">
        <v>43392</v>
      </c>
      <c r="CG3" s="34">
        <v>43393</v>
      </c>
      <c r="CH3" s="34">
        <v>43394</v>
      </c>
      <c r="CI3" s="34">
        <v>43395</v>
      </c>
      <c r="CJ3" s="34">
        <v>43396</v>
      </c>
      <c r="CK3" s="34">
        <v>43397</v>
      </c>
      <c r="CL3" s="34">
        <v>43398</v>
      </c>
      <c r="CM3" s="34">
        <v>43399</v>
      </c>
      <c r="CN3" s="34">
        <v>43400</v>
      </c>
      <c r="CO3" s="34">
        <v>43401</v>
      </c>
      <c r="CP3" s="34">
        <v>43402</v>
      </c>
      <c r="CQ3" s="34">
        <v>43403</v>
      </c>
      <c r="CR3" s="34">
        <v>43404</v>
      </c>
      <c r="CS3" s="34">
        <v>43405</v>
      </c>
      <c r="CT3" s="34">
        <v>43406</v>
      </c>
      <c r="CU3" s="34">
        <v>43407</v>
      </c>
      <c r="CV3" s="34">
        <v>43408</v>
      </c>
      <c r="CW3" s="34">
        <v>43409</v>
      </c>
      <c r="CX3" s="34">
        <v>43410</v>
      </c>
      <c r="CY3" s="34">
        <v>43411</v>
      </c>
      <c r="CZ3" s="34">
        <v>43412</v>
      </c>
      <c r="DA3" s="34">
        <v>43413</v>
      </c>
      <c r="DB3" s="34">
        <v>43414</v>
      </c>
      <c r="DC3" s="34">
        <v>43415</v>
      </c>
      <c r="DD3" s="34">
        <v>43416</v>
      </c>
      <c r="DE3" s="34">
        <v>43417</v>
      </c>
      <c r="DF3" s="34">
        <v>43418</v>
      </c>
      <c r="DG3" s="34">
        <v>43419</v>
      </c>
      <c r="DH3" s="34">
        <v>43420</v>
      </c>
      <c r="DI3" s="34">
        <v>43421</v>
      </c>
      <c r="DJ3" s="34">
        <v>43422</v>
      </c>
      <c r="DK3" s="34">
        <v>43423</v>
      </c>
      <c r="DL3" s="34">
        <v>43424</v>
      </c>
      <c r="DM3" s="34">
        <v>43425</v>
      </c>
      <c r="DN3" s="34">
        <v>43426</v>
      </c>
      <c r="DO3" s="34">
        <v>43427</v>
      </c>
    </row>
    <row r="4" spans="2:119" s="36" customFormat="1" x14ac:dyDescent="0.25">
      <c r="B4" s="36" t="s">
        <v>2</v>
      </c>
      <c r="C4" s="37" t="s">
        <v>5</v>
      </c>
      <c r="D4" s="36" t="s">
        <v>35</v>
      </c>
      <c r="E4" s="36" t="s">
        <v>9</v>
      </c>
      <c r="F4" s="36" t="s">
        <v>15</v>
      </c>
      <c r="G4" s="39" t="s">
        <v>16</v>
      </c>
      <c r="H4" s="36" t="s">
        <v>17</v>
      </c>
      <c r="I4" s="36" t="s">
        <v>18</v>
      </c>
      <c r="J4" s="36" t="s">
        <v>19</v>
      </c>
      <c r="K4" s="36" t="s">
        <v>14</v>
      </c>
      <c r="L4" s="36" t="s">
        <v>14</v>
      </c>
      <c r="M4" s="36" t="s">
        <v>15</v>
      </c>
      <c r="N4" s="36" t="s">
        <v>16</v>
      </c>
      <c r="O4" s="36" t="s">
        <v>17</v>
      </c>
      <c r="P4" s="36" t="s">
        <v>18</v>
      </c>
      <c r="Q4" s="36" t="s">
        <v>19</v>
      </c>
      <c r="R4" s="36" t="s">
        <v>14</v>
      </c>
      <c r="S4" s="36" t="s">
        <v>14</v>
      </c>
      <c r="T4" s="36" t="s">
        <v>15</v>
      </c>
      <c r="U4" s="36" t="s">
        <v>16</v>
      </c>
      <c r="V4" s="36" t="s">
        <v>17</v>
      </c>
      <c r="W4" s="36" t="s">
        <v>18</v>
      </c>
      <c r="X4" s="36" t="s">
        <v>19</v>
      </c>
      <c r="Y4" s="36" t="s">
        <v>14</v>
      </c>
      <c r="Z4" s="36" t="s">
        <v>14</v>
      </c>
      <c r="AA4" s="36" t="s">
        <v>15</v>
      </c>
      <c r="AB4" s="36" t="s">
        <v>16</v>
      </c>
      <c r="AC4" s="36" t="s">
        <v>17</v>
      </c>
      <c r="AD4" s="36" t="s">
        <v>18</v>
      </c>
      <c r="AE4" s="36" t="s">
        <v>19</v>
      </c>
      <c r="AF4" s="36" t="s">
        <v>14</v>
      </c>
      <c r="AG4" s="36" t="s">
        <v>14</v>
      </c>
      <c r="AH4" s="36" t="s">
        <v>15</v>
      </c>
      <c r="AI4" s="36" t="s">
        <v>16</v>
      </c>
      <c r="AJ4" s="36" t="s">
        <v>17</v>
      </c>
      <c r="AK4" s="36" t="s">
        <v>18</v>
      </c>
      <c r="AL4" s="36" t="s">
        <v>19</v>
      </c>
      <c r="AM4" s="36" t="s">
        <v>14</v>
      </c>
      <c r="AN4" s="36" t="s">
        <v>14</v>
      </c>
      <c r="AO4" s="36" t="s">
        <v>15</v>
      </c>
      <c r="AP4" s="36" t="s">
        <v>16</v>
      </c>
      <c r="AQ4" s="36" t="s">
        <v>17</v>
      </c>
      <c r="AR4" s="36" t="s">
        <v>18</v>
      </c>
      <c r="AS4" s="36" t="s">
        <v>19</v>
      </c>
      <c r="AT4" s="36" t="s">
        <v>14</v>
      </c>
      <c r="AU4" s="36" t="s">
        <v>14</v>
      </c>
      <c r="AV4" s="36" t="s">
        <v>15</v>
      </c>
      <c r="AW4" s="36" t="s">
        <v>16</v>
      </c>
      <c r="AX4" s="36" t="s">
        <v>17</v>
      </c>
      <c r="AY4" s="36" t="s">
        <v>18</v>
      </c>
      <c r="AZ4" s="36" t="s">
        <v>19</v>
      </c>
      <c r="BA4" s="36" t="s">
        <v>14</v>
      </c>
      <c r="BB4" s="36" t="s">
        <v>14</v>
      </c>
      <c r="BC4" s="36" t="s">
        <v>15</v>
      </c>
      <c r="BD4" s="36" t="s">
        <v>16</v>
      </c>
      <c r="BE4" s="36" t="s">
        <v>17</v>
      </c>
      <c r="BF4" s="36" t="s">
        <v>18</v>
      </c>
      <c r="BG4" s="36" t="s">
        <v>19</v>
      </c>
      <c r="BH4" s="36" t="s">
        <v>14</v>
      </c>
      <c r="BI4" s="36" t="s">
        <v>14</v>
      </c>
      <c r="BJ4" s="36" t="s">
        <v>15</v>
      </c>
      <c r="BK4" s="36" t="s">
        <v>16</v>
      </c>
      <c r="BL4" s="36" t="s">
        <v>17</v>
      </c>
      <c r="BM4" s="36" t="s">
        <v>18</v>
      </c>
      <c r="BN4" s="36" t="s">
        <v>19</v>
      </c>
      <c r="BO4" s="36" t="s">
        <v>14</v>
      </c>
      <c r="BP4" s="36" t="s">
        <v>14</v>
      </c>
      <c r="BQ4" s="36" t="s">
        <v>15</v>
      </c>
      <c r="BR4" s="36" t="s">
        <v>16</v>
      </c>
      <c r="BS4" s="36" t="s">
        <v>17</v>
      </c>
      <c r="BT4" s="36" t="s">
        <v>18</v>
      </c>
      <c r="BU4" s="36" t="s">
        <v>19</v>
      </c>
      <c r="BV4" s="36" t="s">
        <v>14</v>
      </c>
      <c r="BW4" s="36" t="s">
        <v>14</v>
      </c>
      <c r="BX4" s="36" t="s">
        <v>15</v>
      </c>
      <c r="BY4" s="36" t="s">
        <v>16</v>
      </c>
      <c r="BZ4" s="36" t="s">
        <v>17</v>
      </c>
      <c r="CA4" s="36" t="s">
        <v>18</v>
      </c>
      <c r="CB4" s="36" t="s">
        <v>19</v>
      </c>
      <c r="CC4" s="36" t="s">
        <v>14</v>
      </c>
      <c r="CD4" s="36" t="s">
        <v>14</v>
      </c>
      <c r="CE4" s="36" t="s">
        <v>15</v>
      </c>
      <c r="CF4" s="36" t="s">
        <v>16</v>
      </c>
      <c r="CG4" s="36" t="s">
        <v>17</v>
      </c>
      <c r="CH4" s="36" t="s">
        <v>18</v>
      </c>
      <c r="CI4" s="36" t="s">
        <v>19</v>
      </c>
      <c r="CJ4" s="36" t="s">
        <v>14</v>
      </c>
      <c r="CK4" s="36" t="s">
        <v>14</v>
      </c>
      <c r="CL4" s="36" t="s">
        <v>15</v>
      </c>
      <c r="CM4" s="36" t="s">
        <v>16</v>
      </c>
      <c r="CN4" s="36" t="s">
        <v>17</v>
      </c>
      <c r="CO4" s="36" t="s">
        <v>18</v>
      </c>
      <c r="CP4" s="36" t="s">
        <v>19</v>
      </c>
      <c r="CQ4" s="36" t="s">
        <v>14</v>
      </c>
      <c r="CR4" s="36" t="s">
        <v>14</v>
      </c>
      <c r="CS4" s="36" t="s">
        <v>15</v>
      </c>
      <c r="CT4" s="36" t="s">
        <v>16</v>
      </c>
      <c r="CU4" s="36" t="s">
        <v>17</v>
      </c>
      <c r="CV4" s="36" t="s">
        <v>18</v>
      </c>
      <c r="CW4" s="36" t="s">
        <v>19</v>
      </c>
      <c r="CX4" s="36" t="s">
        <v>14</v>
      </c>
      <c r="CY4" s="36" t="s">
        <v>14</v>
      </c>
      <c r="CZ4" s="36" t="s">
        <v>15</v>
      </c>
      <c r="DA4" s="36" t="s">
        <v>16</v>
      </c>
      <c r="DB4" s="36" t="s">
        <v>17</v>
      </c>
      <c r="DC4" s="36" t="s">
        <v>18</v>
      </c>
      <c r="DD4" s="36" t="s">
        <v>19</v>
      </c>
      <c r="DE4" s="36" t="s">
        <v>14</v>
      </c>
      <c r="DF4" s="36" t="s">
        <v>14</v>
      </c>
      <c r="DG4" s="36" t="s">
        <v>15</v>
      </c>
      <c r="DH4" s="36" t="s">
        <v>16</v>
      </c>
      <c r="DI4" s="36" t="s">
        <v>17</v>
      </c>
      <c r="DJ4" s="36" t="s">
        <v>18</v>
      </c>
      <c r="DK4" s="36" t="s">
        <v>19</v>
      </c>
      <c r="DL4" s="36" t="s">
        <v>14</v>
      </c>
      <c r="DM4" s="36" t="s">
        <v>14</v>
      </c>
      <c r="DN4" s="36" t="s">
        <v>15</v>
      </c>
      <c r="DO4" s="36" t="s">
        <v>16</v>
      </c>
    </row>
    <row r="5" spans="2:119" hidden="1" x14ac:dyDescent="0.25">
      <c r="B5" t="s">
        <v>2</v>
      </c>
      <c r="C5" s="22" t="s">
        <v>5</v>
      </c>
      <c r="F5" s="25">
        <v>43314</v>
      </c>
      <c r="G5" s="25">
        <v>43315</v>
      </c>
      <c r="H5" s="25">
        <v>43316</v>
      </c>
      <c r="I5" s="25">
        <v>43317</v>
      </c>
      <c r="J5" s="25">
        <v>43318</v>
      </c>
      <c r="K5" s="25">
        <v>43319</v>
      </c>
      <c r="L5" s="25">
        <v>43320</v>
      </c>
      <c r="M5" s="25">
        <v>43321</v>
      </c>
      <c r="N5" s="25">
        <v>43322</v>
      </c>
      <c r="O5" s="25">
        <v>43323</v>
      </c>
      <c r="P5" s="25">
        <v>43324</v>
      </c>
      <c r="Q5" s="25">
        <v>43325</v>
      </c>
      <c r="R5" s="25">
        <v>43326</v>
      </c>
      <c r="S5" s="25">
        <v>43327</v>
      </c>
      <c r="T5" s="25">
        <v>43328</v>
      </c>
      <c r="U5" s="25">
        <v>43329</v>
      </c>
      <c r="V5" s="25">
        <v>43330</v>
      </c>
      <c r="W5" s="25">
        <v>43331</v>
      </c>
      <c r="X5" s="25">
        <v>43332</v>
      </c>
      <c r="Y5" s="25">
        <v>43333</v>
      </c>
      <c r="Z5" s="25">
        <v>43334</v>
      </c>
      <c r="AA5" s="25">
        <v>43335</v>
      </c>
      <c r="AB5" s="25">
        <v>43336</v>
      </c>
      <c r="AC5" s="25">
        <v>43337</v>
      </c>
      <c r="AD5" s="25">
        <v>43338</v>
      </c>
      <c r="AE5" s="25">
        <v>43339</v>
      </c>
      <c r="AF5" s="25">
        <v>43340</v>
      </c>
      <c r="AG5" s="25">
        <v>43341</v>
      </c>
      <c r="AH5" s="25">
        <v>43342</v>
      </c>
      <c r="AI5" s="25">
        <v>43343</v>
      </c>
      <c r="AJ5" s="25">
        <v>43344</v>
      </c>
      <c r="AK5" s="25">
        <v>43345</v>
      </c>
      <c r="AL5" s="25">
        <v>43346</v>
      </c>
      <c r="AM5" s="25">
        <v>43347</v>
      </c>
      <c r="AN5" s="25">
        <v>43348</v>
      </c>
      <c r="AO5" s="25">
        <v>43349</v>
      </c>
      <c r="AP5" s="25">
        <v>43350</v>
      </c>
      <c r="AQ5" s="25">
        <v>43351</v>
      </c>
      <c r="AR5" s="25">
        <v>43352</v>
      </c>
      <c r="AS5" s="25">
        <v>43353</v>
      </c>
      <c r="AT5" s="25">
        <v>43354</v>
      </c>
      <c r="AU5" s="25">
        <v>43355</v>
      </c>
      <c r="AV5" s="25">
        <v>43356</v>
      </c>
      <c r="AW5" s="25">
        <v>43357</v>
      </c>
      <c r="AX5" s="25">
        <v>43358</v>
      </c>
      <c r="AY5" s="25">
        <v>43359</v>
      </c>
      <c r="AZ5" s="25">
        <v>43360</v>
      </c>
      <c r="BA5" s="25">
        <v>43361</v>
      </c>
      <c r="BB5" s="25">
        <v>43362</v>
      </c>
      <c r="BC5" s="25">
        <v>43363</v>
      </c>
      <c r="BD5" s="25">
        <v>43364</v>
      </c>
      <c r="BE5" s="25">
        <v>43365</v>
      </c>
      <c r="BF5" s="25">
        <v>43366</v>
      </c>
      <c r="BG5" s="25">
        <v>43367</v>
      </c>
      <c r="BH5" s="25">
        <v>43368</v>
      </c>
      <c r="BI5" s="25">
        <v>43369</v>
      </c>
      <c r="BJ5" s="25">
        <v>43370</v>
      </c>
      <c r="BK5" s="25">
        <v>43371</v>
      </c>
      <c r="BL5" s="25">
        <v>43372</v>
      </c>
      <c r="BM5" s="25">
        <v>43373</v>
      </c>
      <c r="BN5" s="25">
        <v>43374</v>
      </c>
      <c r="BO5" s="25">
        <v>43375</v>
      </c>
      <c r="BP5" s="25">
        <v>43376</v>
      </c>
      <c r="BQ5" s="25">
        <v>43377</v>
      </c>
      <c r="BR5" s="25">
        <v>43378</v>
      </c>
      <c r="BS5" s="25">
        <v>43379</v>
      </c>
      <c r="BT5" s="25">
        <v>43380</v>
      </c>
      <c r="BU5" s="25">
        <v>43381</v>
      </c>
      <c r="BV5" s="25">
        <v>43382</v>
      </c>
      <c r="BW5" s="25">
        <v>43383</v>
      </c>
      <c r="BX5" s="25">
        <v>43384</v>
      </c>
      <c r="BY5" s="25">
        <v>43385</v>
      </c>
      <c r="BZ5" s="25">
        <v>43386</v>
      </c>
      <c r="CA5" s="25">
        <v>43387</v>
      </c>
      <c r="CB5" s="25">
        <v>43388</v>
      </c>
      <c r="CC5" s="25">
        <v>43389</v>
      </c>
      <c r="CD5" s="25">
        <v>43390</v>
      </c>
      <c r="CE5" s="25">
        <v>43391</v>
      </c>
      <c r="CF5" s="25">
        <v>43392</v>
      </c>
      <c r="CG5" s="25">
        <v>43393</v>
      </c>
      <c r="CH5" s="25">
        <v>43394</v>
      </c>
      <c r="CI5" s="25">
        <v>43395</v>
      </c>
      <c r="CJ5" s="25">
        <v>43396</v>
      </c>
      <c r="CK5" s="25">
        <v>43397</v>
      </c>
      <c r="CL5" s="25">
        <v>43398</v>
      </c>
      <c r="CM5" s="25">
        <v>43399</v>
      </c>
      <c r="CN5" s="25">
        <v>43400</v>
      </c>
      <c r="CO5" s="25">
        <v>43401</v>
      </c>
      <c r="CP5" s="25">
        <v>43402</v>
      </c>
      <c r="CQ5" s="25">
        <v>43403</v>
      </c>
      <c r="CR5" s="25">
        <v>43404</v>
      </c>
      <c r="CS5" s="25">
        <v>43405</v>
      </c>
      <c r="CT5" s="25">
        <v>43406</v>
      </c>
      <c r="CU5" s="25">
        <v>43407</v>
      </c>
      <c r="CV5" s="25">
        <v>43408</v>
      </c>
      <c r="CW5" s="25">
        <v>43409</v>
      </c>
      <c r="CX5" s="25">
        <v>43410</v>
      </c>
      <c r="CY5" s="25">
        <v>43411</v>
      </c>
      <c r="CZ5" s="25">
        <v>43412</v>
      </c>
      <c r="DA5" s="25">
        <v>43413</v>
      </c>
      <c r="DB5" s="25">
        <v>43414</v>
      </c>
      <c r="DC5" s="25">
        <v>43415</v>
      </c>
      <c r="DD5" s="25">
        <v>43416</v>
      </c>
      <c r="DE5" s="25">
        <v>43417</v>
      </c>
      <c r="DF5" s="25">
        <v>43418</v>
      </c>
      <c r="DG5" s="25">
        <v>43419</v>
      </c>
      <c r="DH5" s="25">
        <v>43420</v>
      </c>
      <c r="DI5" s="25">
        <v>43421</v>
      </c>
      <c r="DJ5" s="25">
        <v>43422</v>
      </c>
      <c r="DK5" s="25">
        <v>43423</v>
      </c>
      <c r="DL5" s="25">
        <v>43424</v>
      </c>
      <c r="DM5" s="25">
        <v>43425</v>
      </c>
      <c r="DN5" s="25">
        <v>43426</v>
      </c>
      <c r="DO5" s="25">
        <v>43427</v>
      </c>
    </row>
    <row r="6" spans="2:119" ht="30" x14ac:dyDescent="0.25">
      <c r="B6" t="s">
        <v>29</v>
      </c>
      <c r="C6" s="22" t="s">
        <v>36</v>
      </c>
      <c r="D6">
        <v>-90</v>
      </c>
      <c r="F6" s="23"/>
    </row>
    <row r="7" spans="2:119" x14ac:dyDescent="0.25">
      <c r="B7" t="s">
        <v>4</v>
      </c>
      <c r="C7" s="22" t="s">
        <v>37</v>
      </c>
      <c r="D7">
        <v>-90</v>
      </c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119" ht="45" x14ac:dyDescent="0.25">
      <c r="B8" t="s">
        <v>4</v>
      </c>
      <c r="C8" s="22" t="s">
        <v>38</v>
      </c>
      <c r="D8">
        <v>-90</v>
      </c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119" ht="30" x14ac:dyDescent="0.25">
      <c r="B9" t="s">
        <v>4</v>
      </c>
      <c r="C9" s="22" t="s">
        <v>40</v>
      </c>
      <c r="D9">
        <v>-90</v>
      </c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119" x14ac:dyDescent="0.25">
      <c r="B10" t="s">
        <v>4</v>
      </c>
      <c r="C10" s="22" t="s">
        <v>41</v>
      </c>
      <c r="D10">
        <v>-90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119" x14ac:dyDescent="0.25">
      <c r="B11" t="s">
        <v>4</v>
      </c>
      <c r="C11" s="22" t="s">
        <v>39</v>
      </c>
      <c r="D11">
        <v>-90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</row>
    <row r="12" spans="2:119" x14ac:dyDescent="0.25">
      <c r="B12" t="s">
        <v>3</v>
      </c>
      <c r="C12" s="22" t="s">
        <v>63</v>
      </c>
      <c r="D12">
        <v>-89</v>
      </c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2:119" x14ac:dyDescent="0.25">
      <c r="B13" t="s">
        <v>25</v>
      </c>
      <c r="C13" s="22" t="s">
        <v>24</v>
      </c>
      <c r="D13">
        <v>-75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</row>
    <row r="14" spans="2:119" ht="30" x14ac:dyDescent="0.25">
      <c r="B14" t="s">
        <v>3</v>
      </c>
      <c r="C14" s="22" t="s">
        <v>64</v>
      </c>
      <c r="D14">
        <v>-75</v>
      </c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</row>
    <row r="15" spans="2:119" x14ac:dyDescent="0.25">
      <c r="B15" t="s">
        <v>21</v>
      </c>
      <c r="C15" s="22" t="s">
        <v>30</v>
      </c>
      <c r="D15">
        <v>-61</v>
      </c>
      <c r="AI15" s="13"/>
      <c r="AJ15" s="13"/>
      <c r="AK15" s="13"/>
      <c r="AL15" s="13"/>
    </row>
    <row r="16" spans="2:119" x14ac:dyDescent="0.25">
      <c r="B16" t="s">
        <v>25</v>
      </c>
      <c r="C16" s="22" t="s">
        <v>23</v>
      </c>
      <c r="D16">
        <v>-60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2:87" ht="30" x14ac:dyDescent="0.25">
      <c r="B17" t="s">
        <v>29</v>
      </c>
      <c r="C17" s="22" t="s">
        <v>42</v>
      </c>
      <c r="D17">
        <v>-54</v>
      </c>
      <c r="AP17" s="23"/>
    </row>
    <row r="18" spans="2:87" ht="30" x14ac:dyDescent="0.25">
      <c r="B18" t="s">
        <v>26</v>
      </c>
      <c r="C18" s="22" t="s">
        <v>43</v>
      </c>
      <c r="D18">
        <v>-54</v>
      </c>
      <c r="AP18" s="17"/>
    </row>
    <row r="19" spans="2:87" x14ac:dyDescent="0.25">
      <c r="B19" t="s">
        <v>26</v>
      </c>
      <c r="C19" s="22" t="s">
        <v>44</v>
      </c>
      <c r="D19">
        <v>-51</v>
      </c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</row>
    <row r="20" spans="2:87" ht="30" x14ac:dyDescent="0.25">
      <c r="B20" t="s">
        <v>3</v>
      </c>
      <c r="C20" s="22" t="s">
        <v>46</v>
      </c>
      <c r="D20">
        <v>-51</v>
      </c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</row>
    <row r="21" spans="2:87" ht="45" x14ac:dyDescent="0.25">
      <c r="B21" t="s">
        <v>4</v>
      </c>
      <c r="C21" s="22" t="s">
        <v>45</v>
      </c>
      <c r="D21">
        <v>-51</v>
      </c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</row>
    <row r="22" spans="2:87" ht="30" x14ac:dyDescent="0.25">
      <c r="B22" t="s">
        <v>4</v>
      </c>
      <c r="C22" s="22" t="s">
        <v>47</v>
      </c>
      <c r="D22">
        <v>-47</v>
      </c>
      <c r="AW22" s="18"/>
      <c r="AX22" s="18"/>
      <c r="AY22" s="18"/>
      <c r="AZ22" s="18"/>
      <c r="BA22" s="18"/>
      <c r="BB22" s="18"/>
      <c r="BC22" s="18"/>
      <c r="BD22" s="18"/>
    </row>
    <row r="23" spans="2:87" x14ac:dyDescent="0.25">
      <c r="B23" t="s">
        <v>21</v>
      </c>
      <c r="C23" s="22" t="s">
        <v>48</v>
      </c>
      <c r="D23">
        <v>-46</v>
      </c>
      <c r="AX23" s="13"/>
      <c r="AY23" s="13"/>
    </row>
    <row r="24" spans="2:87" x14ac:dyDescent="0.25">
      <c r="B24" t="s">
        <v>4</v>
      </c>
      <c r="C24" s="22" t="s">
        <v>32</v>
      </c>
      <c r="D24">
        <v>-44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</row>
    <row r="25" spans="2:87" x14ac:dyDescent="0.25">
      <c r="B25" t="s">
        <v>21</v>
      </c>
      <c r="C25" s="22" t="s">
        <v>49</v>
      </c>
      <c r="D25">
        <v>-44</v>
      </c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2:87" ht="30" x14ac:dyDescent="0.25">
      <c r="B26" t="s">
        <v>31</v>
      </c>
      <c r="C26" s="22" t="s">
        <v>50</v>
      </c>
      <c r="D26">
        <v>-40</v>
      </c>
      <c r="BD26" s="24"/>
    </row>
    <row r="27" spans="2:87" x14ac:dyDescent="0.25">
      <c r="B27" t="s">
        <v>22</v>
      </c>
      <c r="C27" s="22" t="s">
        <v>52</v>
      </c>
      <c r="D27">
        <v>-37</v>
      </c>
      <c r="BG27" s="20"/>
    </row>
    <row r="28" spans="2:87" ht="45" x14ac:dyDescent="0.25">
      <c r="B28" t="s">
        <v>4</v>
      </c>
      <c r="C28" s="22" t="s">
        <v>51</v>
      </c>
      <c r="D28">
        <v>-37</v>
      </c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</row>
    <row r="29" spans="2:87" ht="30" x14ac:dyDescent="0.25">
      <c r="B29" t="s">
        <v>22</v>
      </c>
      <c r="C29" s="22" t="s">
        <v>53</v>
      </c>
      <c r="D29">
        <v>-34</v>
      </c>
      <c r="BJ29" s="20"/>
      <c r="BK29" s="20"/>
    </row>
    <row r="30" spans="2:87" x14ac:dyDescent="0.25">
      <c r="B30" t="s">
        <v>22</v>
      </c>
      <c r="C30" s="22" t="s">
        <v>54</v>
      </c>
      <c r="D30">
        <v>-33</v>
      </c>
      <c r="BK30" s="20"/>
    </row>
    <row r="31" spans="2:87" ht="45" x14ac:dyDescent="0.25">
      <c r="B31" t="s">
        <v>22</v>
      </c>
      <c r="C31" s="22" t="s">
        <v>55</v>
      </c>
      <c r="D31">
        <v>-33</v>
      </c>
      <c r="BK31" s="20"/>
    </row>
    <row r="32" spans="2:87" x14ac:dyDescent="0.25">
      <c r="B32" t="s">
        <v>22</v>
      </c>
      <c r="C32" s="22" t="s">
        <v>56</v>
      </c>
      <c r="D32">
        <v>-33</v>
      </c>
      <c r="BK32" s="20"/>
    </row>
    <row r="33" spans="2:119" x14ac:dyDescent="0.25">
      <c r="B33" t="s">
        <v>26</v>
      </c>
      <c r="C33" s="22" t="s">
        <v>58</v>
      </c>
      <c r="D33">
        <v>-31</v>
      </c>
      <c r="BM33" s="17"/>
      <c r="BN33" s="17"/>
      <c r="BO33" s="17"/>
      <c r="BP33" s="17"/>
      <c r="BQ33" s="17"/>
    </row>
    <row r="34" spans="2:119" x14ac:dyDescent="0.25">
      <c r="B34" t="s">
        <v>25</v>
      </c>
      <c r="C34" s="22" t="s">
        <v>57</v>
      </c>
      <c r="D34">
        <v>-31</v>
      </c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</row>
    <row r="35" spans="2:119" x14ac:dyDescent="0.25">
      <c r="B35" t="s">
        <v>21</v>
      </c>
      <c r="C35" s="22" t="s">
        <v>59</v>
      </c>
      <c r="D35">
        <v>0</v>
      </c>
      <c r="CR35" s="13"/>
      <c r="CS35" s="13"/>
      <c r="CT35" s="13"/>
      <c r="CU35" s="13"/>
      <c r="CV35" s="13"/>
      <c r="CW35" s="13"/>
      <c r="CX35" s="13"/>
      <c r="CY35" s="13"/>
    </row>
    <row r="36" spans="2:119" ht="45" x14ac:dyDescent="0.25">
      <c r="B36" t="s">
        <v>4</v>
      </c>
      <c r="C36" s="22" t="s">
        <v>60</v>
      </c>
      <c r="D36">
        <v>7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</row>
    <row r="37" spans="2:119" x14ac:dyDescent="0.25">
      <c r="B37" t="s">
        <v>4</v>
      </c>
      <c r="C37" s="22" t="s">
        <v>61</v>
      </c>
      <c r="D37">
        <v>12</v>
      </c>
      <c r="DD37" s="18"/>
    </row>
    <row r="38" spans="2:119" x14ac:dyDescent="0.25">
      <c r="B38" t="s">
        <v>4</v>
      </c>
      <c r="C38" s="22" t="s">
        <v>37</v>
      </c>
      <c r="D38">
        <v>19</v>
      </c>
      <c r="DK38" s="18"/>
    </row>
    <row r="39" spans="2:119" x14ac:dyDescent="0.25">
      <c r="B39" t="s">
        <v>26</v>
      </c>
      <c r="C39" s="22" t="s">
        <v>33</v>
      </c>
      <c r="D39">
        <v>23</v>
      </c>
      <c r="DO39" s="1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alRefresh">
          <controlPr defaultSize="0" autoLine="0" r:id="rId4">
            <anchor moveWithCells="1">
              <from>
                <xdr:col>1</xdr:col>
                <xdr:colOff>76200</xdr:colOff>
                <xdr:row>0</xdr:row>
                <xdr:rowOff>47625</xdr:rowOff>
              </from>
              <to>
                <xdr:col>1</xdr:col>
                <xdr:colOff>828675</xdr:colOff>
                <xdr:row>1</xdr:row>
                <xdr:rowOff>171450</xdr:rowOff>
              </to>
            </anchor>
          </controlPr>
        </control>
      </mc:Choice>
      <mc:Fallback>
        <control shapeId="2050" r:id="rId3" name="CalRefres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Tâches</vt:lpstr>
      <vt:lpstr>TimeLine</vt:lpstr>
    </vt:vector>
  </TitlesOfParts>
  <Company>Department of National Defence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Raymond.mf</dc:creator>
  <cp:lastModifiedBy>Raymond.mf</cp:lastModifiedBy>
  <dcterms:created xsi:type="dcterms:W3CDTF">2018-08-01T13:27:19Z</dcterms:created>
  <dcterms:modified xsi:type="dcterms:W3CDTF">2018-08-03T17:14:38Z</dcterms:modified>
</cp:coreProperties>
</file>