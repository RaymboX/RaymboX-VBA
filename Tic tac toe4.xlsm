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B Desktop\VBA-EXCEL\20 Projet VBA\"/>
    </mc:Choice>
  </mc:AlternateContent>
  <bookViews>
    <workbookView xWindow="360" yWindow="120" windowWidth="13395" windowHeight="1233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I7515" i="2" l="1"/>
  <c r="H7515" i="2"/>
  <c r="G7515" i="2"/>
  <c r="I7514" i="2"/>
  <c r="H7514" i="2"/>
  <c r="G7514" i="2"/>
  <c r="I7513" i="2"/>
  <c r="H7513" i="2"/>
  <c r="G7513" i="2"/>
  <c r="I7512" i="2"/>
  <c r="H7512" i="2"/>
  <c r="G7512" i="2"/>
  <c r="I7511" i="2"/>
  <c r="H7511" i="2"/>
  <c r="G7511" i="2"/>
  <c r="I7510" i="2"/>
  <c r="H7510" i="2"/>
  <c r="G7510" i="2"/>
  <c r="I7509" i="2"/>
  <c r="H7509" i="2"/>
  <c r="G7509" i="2"/>
  <c r="I7508" i="2"/>
  <c r="H7508" i="2"/>
  <c r="G7508" i="2"/>
  <c r="I7507" i="2"/>
  <c r="H7507" i="2"/>
  <c r="G7507" i="2"/>
  <c r="I7506" i="2"/>
  <c r="H7506" i="2"/>
  <c r="G7506" i="2"/>
  <c r="I7505" i="2"/>
  <c r="H7505" i="2"/>
  <c r="G7505" i="2"/>
  <c r="I7504" i="2"/>
  <c r="H7504" i="2"/>
  <c r="G7504" i="2"/>
  <c r="I7503" i="2"/>
  <c r="H7503" i="2"/>
  <c r="G7503" i="2"/>
  <c r="I7502" i="2"/>
  <c r="H7502" i="2"/>
  <c r="G7502" i="2"/>
  <c r="I7501" i="2"/>
  <c r="H7501" i="2"/>
  <c r="G7501" i="2"/>
  <c r="I7500" i="2"/>
  <c r="H7500" i="2"/>
  <c r="G7500" i="2"/>
  <c r="I7499" i="2"/>
  <c r="H7499" i="2"/>
  <c r="G7499" i="2"/>
  <c r="I7498" i="2"/>
  <c r="H7498" i="2"/>
  <c r="G7498" i="2"/>
  <c r="I7497" i="2"/>
  <c r="H7497" i="2"/>
  <c r="G7497" i="2"/>
  <c r="I7496" i="2"/>
  <c r="H7496" i="2"/>
  <c r="G7496" i="2"/>
  <c r="I7495" i="2"/>
  <c r="H7495" i="2"/>
  <c r="G7495" i="2"/>
  <c r="I7494" i="2"/>
  <c r="H7494" i="2"/>
  <c r="G7494" i="2"/>
  <c r="I7493" i="2"/>
  <c r="H7493" i="2"/>
  <c r="G7493" i="2"/>
  <c r="I7492" i="2"/>
  <c r="H7492" i="2"/>
  <c r="G7492" i="2"/>
  <c r="I7491" i="2"/>
  <c r="H7491" i="2"/>
  <c r="G7491" i="2"/>
  <c r="I7490" i="2"/>
  <c r="H7490" i="2"/>
  <c r="G7490" i="2"/>
  <c r="I7489" i="2"/>
  <c r="H7489" i="2"/>
  <c r="G7489" i="2"/>
  <c r="I7488" i="2"/>
  <c r="H7488" i="2"/>
  <c r="G7488" i="2"/>
  <c r="I7487" i="2"/>
  <c r="H7487" i="2"/>
  <c r="G7487" i="2"/>
  <c r="I7486" i="2"/>
  <c r="H7486" i="2"/>
  <c r="G7486" i="2"/>
  <c r="I7485" i="2"/>
  <c r="H7485" i="2"/>
  <c r="G7485" i="2"/>
  <c r="I7484" i="2"/>
  <c r="H7484" i="2"/>
  <c r="G7484" i="2"/>
  <c r="I7483" i="2"/>
  <c r="H7483" i="2"/>
  <c r="G7483" i="2"/>
  <c r="I7482" i="2"/>
  <c r="H7482" i="2"/>
  <c r="G7482" i="2"/>
  <c r="I7481" i="2"/>
  <c r="H7481" i="2"/>
  <c r="G7481" i="2"/>
  <c r="I7480" i="2"/>
  <c r="H7480" i="2"/>
  <c r="G7480" i="2"/>
  <c r="I7479" i="2"/>
  <c r="H7479" i="2"/>
  <c r="G7479" i="2"/>
  <c r="I7478" i="2"/>
  <c r="H7478" i="2"/>
  <c r="G7478" i="2"/>
  <c r="I7477" i="2"/>
  <c r="H7477" i="2"/>
  <c r="G7477" i="2"/>
  <c r="I7476" i="2"/>
  <c r="H7476" i="2"/>
  <c r="G7476" i="2"/>
  <c r="I7475" i="2"/>
  <c r="H7475" i="2"/>
  <c r="G7475" i="2"/>
  <c r="I7474" i="2"/>
  <c r="H7474" i="2"/>
  <c r="G7474" i="2"/>
  <c r="I7473" i="2"/>
  <c r="H7473" i="2"/>
  <c r="G7473" i="2"/>
  <c r="I7472" i="2"/>
  <c r="H7472" i="2"/>
  <c r="G7472" i="2"/>
  <c r="I7471" i="2"/>
  <c r="H7471" i="2"/>
  <c r="G7471" i="2"/>
  <c r="I7470" i="2"/>
  <c r="H7470" i="2"/>
  <c r="G7470" i="2"/>
  <c r="I7469" i="2"/>
  <c r="H7469" i="2"/>
  <c r="G7469" i="2"/>
  <c r="I7468" i="2"/>
  <c r="H7468" i="2"/>
  <c r="G7468" i="2"/>
  <c r="I7467" i="2"/>
  <c r="H7467" i="2"/>
  <c r="G7467" i="2"/>
  <c r="I7466" i="2"/>
  <c r="H7466" i="2"/>
  <c r="G7466" i="2"/>
  <c r="I7465" i="2"/>
  <c r="H7465" i="2"/>
  <c r="G7465" i="2"/>
  <c r="I7464" i="2"/>
  <c r="H7464" i="2"/>
  <c r="G7464" i="2"/>
  <c r="I7463" i="2"/>
  <c r="H7463" i="2"/>
  <c r="G7463" i="2"/>
  <c r="I7462" i="2"/>
  <c r="H7462" i="2"/>
  <c r="G7462" i="2"/>
  <c r="I7461" i="2"/>
  <c r="H7461" i="2"/>
  <c r="G7461" i="2"/>
  <c r="I7460" i="2"/>
  <c r="H7460" i="2"/>
  <c r="G7460" i="2"/>
  <c r="I7459" i="2"/>
  <c r="H7459" i="2"/>
  <c r="G7459" i="2"/>
  <c r="I7458" i="2"/>
  <c r="H7458" i="2"/>
  <c r="G7458" i="2"/>
  <c r="I7457" i="2"/>
  <c r="H7457" i="2"/>
  <c r="G7457" i="2"/>
  <c r="I7456" i="2"/>
  <c r="H7456" i="2"/>
  <c r="G7456" i="2"/>
  <c r="I7455" i="2"/>
  <c r="H7455" i="2"/>
  <c r="G7455" i="2"/>
  <c r="I7454" i="2"/>
  <c r="H7454" i="2"/>
  <c r="G7454" i="2"/>
  <c r="I7453" i="2"/>
  <c r="H7453" i="2"/>
  <c r="G7453" i="2"/>
  <c r="I7452" i="2"/>
  <c r="H7452" i="2"/>
  <c r="G7452" i="2"/>
  <c r="I7451" i="2"/>
  <c r="H7451" i="2"/>
  <c r="G7451" i="2"/>
  <c r="I7450" i="2"/>
  <c r="H7450" i="2"/>
  <c r="G7450" i="2"/>
  <c r="I7449" i="2"/>
  <c r="H7449" i="2"/>
  <c r="G7449" i="2"/>
  <c r="I7448" i="2"/>
  <c r="H7448" i="2"/>
  <c r="G7448" i="2"/>
  <c r="I7447" i="2"/>
  <c r="H7447" i="2"/>
  <c r="G7447" i="2"/>
  <c r="I7446" i="2"/>
  <c r="H7446" i="2"/>
  <c r="G7446" i="2"/>
  <c r="I7445" i="2"/>
  <c r="H7445" i="2"/>
  <c r="G7445" i="2"/>
  <c r="I7444" i="2"/>
  <c r="H7444" i="2"/>
  <c r="G7444" i="2"/>
  <c r="I7443" i="2"/>
  <c r="H7443" i="2"/>
  <c r="G7443" i="2"/>
  <c r="I7442" i="2"/>
  <c r="H7442" i="2"/>
  <c r="G7442" i="2"/>
  <c r="I7441" i="2"/>
  <c r="H7441" i="2"/>
  <c r="G7441" i="2"/>
  <c r="I7440" i="2"/>
  <c r="H7440" i="2"/>
  <c r="G7440" i="2"/>
  <c r="I7439" i="2"/>
  <c r="H7439" i="2"/>
  <c r="G7439" i="2"/>
  <c r="I7438" i="2"/>
  <c r="H7438" i="2"/>
  <c r="G7438" i="2"/>
  <c r="I7437" i="2"/>
  <c r="H7437" i="2"/>
  <c r="G7437" i="2"/>
  <c r="I7436" i="2"/>
  <c r="H7436" i="2"/>
  <c r="G7436" i="2"/>
  <c r="I7435" i="2"/>
  <c r="H7435" i="2"/>
  <c r="G7435" i="2"/>
  <c r="I7434" i="2"/>
  <c r="H7434" i="2"/>
  <c r="G7434" i="2"/>
  <c r="I7433" i="2"/>
  <c r="H7433" i="2"/>
  <c r="G7433" i="2"/>
  <c r="I7432" i="2"/>
  <c r="H7432" i="2"/>
  <c r="G7432" i="2"/>
  <c r="I7431" i="2"/>
  <c r="H7431" i="2"/>
  <c r="G7431" i="2"/>
  <c r="I7430" i="2"/>
  <c r="H7430" i="2"/>
  <c r="G7430" i="2"/>
  <c r="I7429" i="2"/>
  <c r="H7429" i="2"/>
  <c r="G7429" i="2"/>
  <c r="I7428" i="2"/>
  <c r="H7428" i="2"/>
  <c r="G7428" i="2"/>
  <c r="I7427" i="2"/>
  <c r="H7427" i="2"/>
  <c r="G7427" i="2"/>
  <c r="I7426" i="2"/>
  <c r="H7426" i="2"/>
  <c r="G7426" i="2"/>
  <c r="I7425" i="2"/>
  <c r="H7425" i="2"/>
  <c r="G7425" i="2"/>
  <c r="I7424" i="2"/>
  <c r="H7424" i="2"/>
  <c r="G7424" i="2"/>
  <c r="I7423" i="2"/>
  <c r="H7423" i="2"/>
  <c r="G7423" i="2"/>
  <c r="I7422" i="2"/>
  <c r="H7422" i="2"/>
  <c r="G7422" i="2"/>
  <c r="I7421" i="2"/>
  <c r="H7421" i="2"/>
  <c r="G7421" i="2"/>
  <c r="I7420" i="2"/>
  <c r="H7420" i="2"/>
  <c r="G7420" i="2"/>
  <c r="I7419" i="2"/>
  <c r="H7419" i="2"/>
  <c r="G7419" i="2"/>
  <c r="I7418" i="2"/>
  <c r="H7418" i="2"/>
  <c r="G7418" i="2"/>
  <c r="I7417" i="2"/>
  <c r="H7417" i="2"/>
  <c r="G7417" i="2"/>
  <c r="I7416" i="2"/>
  <c r="H7416" i="2"/>
  <c r="G7416" i="2"/>
  <c r="I7415" i="2"/>
  <c r="H7415" i="2"/>
  <c r="G7415" i="2"/>
  <c r="I7414" i="2"/>
  <c r="H7414" i="2"/>
  <c r="G7414" i="2"/>
  <c r="I7413" i="2"/>
  <c r="H7413" i="2"/>
  <c r="G7413" i="2"/>
  <c r="I7412" i="2"/>
  <c r="H7412" i="2"/>
  <c r="G7412" i="2"/>
  <c r="I7411" i="2"/>
  <c r="H7411" i="2"/>
  <c r="G7411" i="2"/>
  <c r="I7410" i="2"/>
  <c r="H7410" i="2"/>
  <c r="G7410" i="2"/>
  <c r="I7409" i="2"/>
  <c r="H7409" i="2"/>
  <c r="G7409" i="2"/>
  <c r="I7408" i="2"/>
  <c r="H7408" i="2"/>
  <c r="G7408" i="2"/>
  <c r="I7407" i="2"/>
  <c r="H7407" i="2"/>
  <c r="G7407" i="2"/>
  <c r="I7406" i="2"/>
  <c r="H7406" i="2"/>
  <c r="G7406" i="2"/>
  <c r="I7405" i="2"/>
  <c r="H7405" i="2"/>
  <c r="G7405" i="2"/>
  <c r="I7404" i="2"/>
  <c r="H7404" i="2"/>
  <c r="G7404" i="2"/>
  <c r="I7403" i="2"/>
  <c r="H7403" i="2"/>
  <c r="G7403" i="2"/>
  <c r="I7402" i="2"/>
  <c r="H7402" i="2"/>
  <c r="G7402" i="2"/>
  <c r="I7401" i="2"/>
  <c r="H7401" i="2"/>
  <c r="G7401" i="2"/>
  <c r="I7400" i="2"/>
  <c r="H7400" i="2"/>
  <c r="G7400" i="2"/>
  <c r="I7399" i="2"/>
  <c r="H7399" i="2"/>
  <c r="G7399" i="2"/>
  <c r="I7398" i="2"/>
  <c r="H7398" i="2"/>
  <c r="G7398" i="2"/>
  <c r="I7397" i="2"/>
  <c r="H7397" i="2"/>
  <c r="G7397" i="2"/>
  <c r="I7396" i="2"/>
  <c r="H7396" i="2"/>
  <c r="G7396" i="2"/>
  <c r="I7395" i="2"/>
  <c r="H7395" i="2"/>
  <c r="G7395" i="2"/>
  <c r="I7394" i="2"/>
  <c r="H7394" i="2"/>
  <c r="G7394" i="2"/>
  <c r="I7393" i="2"/>
  <c r="H7393" i="2"/>
  <c r="G7393" i="2"/>
  <c r="I7392" i="2"/>
  <c r="H7392" i="2"/>
  <c r="G7392" i="2"/>
  <c r="I7391" i="2"/>
  <c r="H7391" i="2"/>
  <c r="G7391" i="2"/>
  <c r="I7390" i="2"/>
  <c r="H7390" i="2"/>
  <c r="G7390" i="2"/>
  <c r="I7389" i="2"/>
  <c r="H7389" i="2"/>
  <c r="G7389" i="2"/>
  <c r="I7388" i="2"/>
  <c r="H7388" i="2"/>
  <c r="G7388" i="2"/>
  <c r="I7387" i="2"/>
  <c r="H7387" i="2"/>
  <c r="G7387" i="2"/>
  <c r="I7386" i="2"/>
  <c r="H7386" i="2"/>
  <c r="G7386" i="2"/>
  <c r="I7385" i="2"/>
  <c r="H7385" i="2"/>
  <c r="G7385" i="2"/>
  <c r="I7384" i="2"/>
  <c r="H7384" i="2"/>
  <c r="G7384" i="2"/>
  <c r="I7383" i="2"/>
  <c r="H7383" i="2"/>
  <c r="G7383" i="2"/>
  <c r="I7382" i="2"/>
  <c r="H7382" i="2"/>
  <c r="G7382" i="2"/>
  <c r="I7381" i="2"/>
  <c r="H7381" i="2"/>
  <c r="G7381" i="2"/>
  <c r="I7380" i="2"/>
  <c r="H7380" i="2"/>
  <c r="G7380" i="2"/>
  <c r="I7379" i="2"/>
  <c r="H7379" i="2"/>
  <c r="G7379" i="2"/>
  <c r="I7378" i="2"/>
  <c r="H7378" i="2"/>
  <c r="G7378" i="2"/>
  <c r="I7377" i="2"/>
  <c r="H7377" i="2"/>
  <c r="G7377" i="2"/>
  <c r="I7376" i="2"/>
  <c r="H7376" i="2"/>
  <c r="G7376" i="2"/>
  <c r="I7375" i="2"/>
  <c r="H7375" i="2"/>
  <c r="G7375" i="2"/>
  <c r="I7374" i="2"/>
  <c r="H7374" i="2"/>
  <c r="G7374" i="2"/>
  <c r="I7373" i="2"/>
  <c r="H7373" i="2"/>
  <c r="G7373" i="2"/>
  <c r="I7372" i="2"/>
  <c r="H7372" i="2"/>
  <c r="G7372" i="2"/>
  <c r="I7371" i="2"/>
  <c r="H7371" i="2"/>
  <c r="G7371" i="2"/>
  <c r="I7370" i="2"/>
  <c r="H7370" i="2"/>
  <c r="G7370" i="2"/>
  <c r="I7369" i="2"/>
  <c r="H7369" i="2"/>
  <c r="G7369" i="2"/>
  <c r="I7368" i="2"/>
  <c r="H7368" i="2"/>
  <c r="G7368" i="2"/>
  <c r="I7367" i="2"/>
  <c r="H7367" i="2"/>
  <c r="G7367" i="2"/>
  <c r="I7366" i="2"/>
  <c r="H7366" i="2"/>
  <c r="G7366" i="2"/>
  <c r="I7365" i="2"/>
  <c r="H7365" i="2"/>
  <c r="G7365" i="2"/>
  <c r="I7364" i="2"/>
  <c r="H7364" i="2"/>
  <c r="G7364" i="2"/>
  <c r="I7363" i="2"/>
  <c r="H7363" i="2"/>
  <c r="G7363" i="2"/>
  <c r="I7362" i="2"/>
  <c r="H7362" i="2"/>
  <c r="G7362" i="2"/>
  <c r="I7361" i="2"/>
  <c r="H7361" i="2"/>
  <c r="G7361" i="2"/>
  <c r="I7360" i="2"/>
  <c r="H7360" i="2"/>
  <c r="G7360" i="2"/>
  <c r="I7359" i="2"/>
  <c r="H7359" i="2"/>
  <c r="G7359" i="2"/>
  <c r="I7358" i="2"/>
  <c r="H7358" i="2"/>
  <c r="G7358" i="2"/>
  <c r="I7357" i="2"/>
  <c r="H7357" i="2"/>
  <c r="G7357" i="2"/>
  <c r="I7356" i="2"/>
  <c r="H7356" i="2"/>
  <c r="G7356" i="2"/>
  <c r="I7355" i="2"/>
  <c r="H7355" i="2"/>
  <c r="G7355" i="2"/>
  <c r="I7354" i="2"/>
  <c r="H7354" i="2"/>
  <c r="G7354" i="2"/>
  <c r="I7353" i="2"/>
  <c r="H7353" i="2"/>
  <c r="G7353" i="2"/>
  <c r="I7352" i="2"/>
  <c r="H7352" i="2"/>
  <c r="G7352" i="2"/>
  <c r="I7351" i="2"/>
  <c r="H7351" i="2"/>
  <c r="G7351" i="2"/>
  <c r="I7350" i="2"/>
  <c r="H7350" i="2"/>
  <c r="G7350" i="2"/>
  <c r="I7349" i="2"/>
  <c r="H7349" i="2"/>
  <c r="G7349" i="2"/>
  <c r="I7348" i="2"/>
  <c r="H7348" i="2"/>
  <c r="G7348" i="2"/>
  <c r="I7347" i="2"/>
  <c r="H7347" i="2"/>
  <c r="G7347" i="2"/>
  <c r="I7346" i="2"/>
  <c r="H7346" i="2"/>
  <c r="G7346" i="2"/>
  <c r="I7345" i="2"/>
  <c r="H7345" i="2"/>
  <c r="G7345" i="2"/>
  <c r="I7344" i="2"/>
  <c r="H7344" i="2"/>
  <c r="G7344" i="2"/>
  <c r="I7343" i="2"/>
  <c r="H7343" i="2"/>
  <c r="G7343" i="2"/>
  <c r="I7342" i="2"/>
  <c r="H7342" i="2"/>
  <c r="G7342" i="2"/>
  <c r="I7341" i="2"/>
  <c r="H7341" i="2"/>
  <c r="G7341" i="2"/>
  <c r="I7340" i="2"/>
  <c r="H7340" i="2"/>
  <c r="G7340" i="2"/>
  <c r="I7339" i="2"/>
  <c r="H7339" i="2"/>
  <c r="G7339" i="2"/>
  <c r="I7338" i="2"/>
  <c r="H7338" i="2"/>
  <c r="G7338" i="2"/>
  <c r="I7337" i="2"/>
  <c r="H7337" i="2"/>
  <c r="G7337" i="2"/>
  <c r="I7336" i="2"/>
  <c r="H7336" i="2"/>
  <c r="G7336" i="2"/>
  <c r="I7335" i="2"/>
  <c r="H7335" i="2"/>
  <c r="G7335" i="2"/>
  <c r="I7334" i="2"/>
  <c r="H7334" i="2"/>
  <c r="G7334" i="2"/>
  <c r="I7333" i="2"/>
  <c r="H7333" i="2"/>
  <c r="G7333" i="2"/>
  <c r="I7332" i="2"/>
  <c r="H7332" i="2"/>
  <c r="G7332" i="2"/>
  <c r="I7331" i="2"/>
  <c r="H7331" i="2"/>
  <c r="G7331" i="2"/>
  <c r="I7330" i="2"/>
  <c r="H7330" i="2"/>
  <c r="G7330" i="2"/>
  <c r="I7329" i="2"/>
  <c r="H7329" i="2"/>
  <c r="G7329" i="2"/>
  <c r="I7328" i="2"/>
  <c r="H7328" i="2"/>
  <c r="G7328" i="2"/>
  <c r="I7327" i="2"/>
  <c r="H7327" i="2"/>
  <c r="G7327" i="2"/>
  <c r="I7326" i="2"/>
  <c r="H7326" i="2"/>
  <c r="G7326" i="2"/>
  <c r="I7325" i="2"/>
  <c r="H7325" i="2"/>
  <c r="G7325" i="2"/>
  <c r="I7324" i="2"/>
  <c r="H7324" i="2"/>
  <c r="G7324" i="2"/>
  <c r="I7323" i="2"/>
  <c r="H7323" i="2"/>
  <c r="G7323" i="2"/>
  <c r="I7322" i="2"/>
  <c r="H7322" i="2"/>
  <c r="G7322" i="2"/>
  <c r="I7321" i="2"/>
  <c r="H7321" i="2"/>
  <c r="G7321" i="2"/>
  <c r="I7320" i="2"/>
  <c r="H7320" i="2"/>
  <c r="G7320" i="2"/>
  <c r="I7319" i="2"/>
  <c r="H7319" i="2"/>
  <c r="G7319" i="2"/>
  <c r="I7318" i="2"/>
  <c r="H7318" i="2"/>
  <c r="G7318" i="2"/>
  <c r="I7317" i="2"/>
  <c r="H7317" i="2"/>
  <c r="G7317" i="2"/>
  <c r="I7316" i="2"/>
  <c r="H7316" i="2"/>
  <c r="G7316" i="2"/>
  <c r="I7315" i="2"/>
  <c r="H7315" i="2"/>
  <c r="G7315" i="2"/>
  <c r="I7314" i="2"/>
  <c r="H7314" i="2"/>
  <c r="G7314" i="2"/>
  <c r="I7313" i="2"/>
  <c r="H7313" i="2"/>
  <c r="G7313" i="2"/>
  <c r="I7312" i="2"/>
  <c r="H7312" i="2"/>
  <c r="G7312" i="2"/>
  <c r="I7311" i="2"/>
  <c r="H7311" i="2"/>
  <c r="G7311" i="2"/>
  <c r="I7310" i="2"/>
  <c r="H7310" i="2"/>
  <c r="G7310" i="2"/>
  <c r="I7309" i="2"/>
  <c r="H7309" i="2"/>
  <c r="G7309" i="2"/>
  <c r="I7308" i="2"/>
  <c r="H7308" i="2"/>
  <c r="G7308" i="2"/>
  <c r="I7307" i="2"/>
  <c r="H7307" i="2"/>
  <c r="G7307" i="2"/>
  <c r="I7306" i="2"/>
  <c r="H7306" i="2"/>
  <c r="G7306" i="2"/>
  <c r="I7305" i="2"/>
  <c r="H7305" i="2"/>
  <c r="G7305" i="2"/>
  <c r="I7304" i="2"/>
  <c r="H7304" i="2"/>
  <c r="G7304" i="2"/>
  <c r="I7303" i="2"/>
  <c r="H7303" i="2"/>
  <c r="G7303" i="2"/>
  <c r="I7302" i="2"/>
  <c r="H7302" i="2"/>
  <c r="G7302" i="2"/>
  <c r="I7301" i="2"/>
  <c r="H7301" i="2"/>
  <c r="G7301" i="2"/>
  <c r="I7300" i="2"/>
  <c r="H7300" i="2"/>
  <c r="G7300" i="2"/>
  <c r="I7299" i="2"/>
  <c r="H7299" i="2"/>
  <c r="G7299" i="2"/>
  <c r="I7298" i="2"/>
  <c r="H7298" i="2"/>
  <c r="G7298" i="2"/>
  <c r="I7297" i="2"/>
  <c r="H7297" i="2"/>
  <c r="G7297" i="2"/>
  <c r="I7296" i="2"/>
  <c r="H7296" i="2"/>
  <c r="G7296" i="2"/>
  <c r="I7295" i="2"/>
  <c r="H7295" i="2"/>
  <c r="G7295" i="2"/>
  <c r="I7294" i="2"/>
  <c r="H7294" i="2"/>
  <c r="G7294" i="2"/>
  <c r="I7293" i="2"/>
  <c r="H7293" i="2"/>
  <c r="G7293" i="2"/>
  <c r="I7292" i="2"/>
  <c r="H7292" i="2"/>
  <c r="G7292" i="2"/>
  <c r="I7291" i="2"/>
  <c r="H7291" i="2"/>
  <c r="G7291" i="2"/>
  <c r="I7290" i="2"/>
  <c r="H7290" i="2"/>
  <c r="G7290" i="2"/>
  <c r="I7289" i="2"/>
  <c r="H7289" i="2"/>
  <c r="G7289" i="2"/>
  <c r="I7288" i="2"/>
  <c r="H7288" i="2"/>
  <c r="G7288" i="2"/>
  <c r="I7287" i="2"/>
  <c r="H7287" i="2"/>
  <c r="G7287" i="2"/>
  <c r="I7286" i="2"/>
  <c r="H7286" i="2"/>
  <c r="G7286" i="2"/>
  <c r="I7285" i="2"/>
  <c r="H7285" i="2"/>
  <c r="G7285" i="2"/>
  <c r="I7284" i="2"/>
  <c r="H7284" i="2"/>
  <c r="G7284" i="2"/>
  <c r="I7283" i="2"/>
  <c r="H7283" i="2"/>
  <c r="G7283" i="2"/>
  <c r="I7282" i="2"/>
  <c r="H7282" i="2"/>
  <c r="G7282" i="2"/>
  <c r="I7281" i="2"/>
  <c r="H7281" i="2"/>
  <c r="G7281" i="2"/>
  <c r="I7280" i="2"/>
  <c r="H7280" i="2"/>
  <c r="G7280" i="2"/>
  <c r="I7279" i="2"/>
  <c r="H7279" i="2"/>
  <c r="G7279" i="2"/>
  <c r="I7278" i="2"/>
  <c r="H7278" i="2"/>
  <c r="G7278" i="2"/>
  <c r="I7277" i="2"/>
  <c r="H7277" i="2"/>
  <c r="G7277" i="2"/>
  <c r="I7276" i="2"/>
  <c r="H7276" i="2"/>
  <c r="G7276" i="2"/>
  <c r="I7275" i="2"/>
  <c r="H7275" i="2"/>
  <c r="G7275" i="2"/>
  <c r="I7274" i="2"/>
  <c r="H7274" i="2"/>
  <c r="G7274" i="2"/>
  <c r="I7273" i="2"/>
  <c r="H7273" i="2"/>
  <c r="G7273" i="2"/>
  <c r="I7272" i="2"/>
  <c r="H7272" i="2"/>
  <c r="G7272" i="2"/>
  <c r="I7271" i="2"/>
  <c r="H7271" i="2"/>
  <c r="G7271" i="2"/>
  <c r="I7270" i="2"/>
  <c r="H7270" i="2"/>
  <c r="G7270" i="2"/>
  <c r="I7269" i="2"/>
  <c r="H7269" i="2"/>
  <c r="G7269" i="2"/>
  <c r="I7268" i="2"/>
  <c r="H7268" i="2"/>
  <c r="G7268" i="2"/>
  <c r="I7267" i="2"/>
  <c r="H7267" i="2"/>
  <c r="G7267" i="2"/>
  <c r="I7266" i="2"/>
  <c r="H7266" i="2"/>
  <c r="G7266" i="2"/>
  <c r="I7265" i="2"/>
  <c r="H7265" i="2"/>
  <c r="G7265" i="2"/>
  <c r="I7264" i="2"/>
  <c r="H7264" i="2"/>
  <c r="G7264" i="2"/>
  <c r="I7263" i="2"/>
  <c r="H7263" i="2"/>
  <c r="G7263" i="2"/>
  <c r="I7262" i="2"/>
  <c r="H7262" i="2"/>
  <c r="G7262" i="2"/>
  <c r="I7261" i="2"/>
  <c r="H7261" i="2"/>
  <c r="G7261" i="2"/>
  <c r="I7260" i="2"/>
  <c r="H7260" i="2"/>
  <c r="G7260" i="2"/>
  <c r="I7259" i="2"/>
  <c r="H7259" i="2"/>
  <c r="G7259" i="2"/>
  <c r="I7258" i="2"/>
  <c r="H7258" i="2"/>
  <c r="G7258" i="2"/>
  <c r="I7257" i="2"/>
  <c r="H7257" i="2"/>
  <c r="G7257" i="2"/>
  <c r="I7256" i="2"/>
  <c r="H7256" i="2"/>
  <c r="G7256" i="2"/>
  <c r="I7255" i="2"/>
  <c r="H7255" i="2"/>
  <c r="G7255" i="2"/>
  <c r="I7254" i="2"/>
  <c r="H7254" i="2"/>
  <c r="G7254" i="2"/>
  <c r="I7253" i="2"/>
  <c r="H7253" i="2"/>
  <c r="G7253" i="2"/>
  <c r="I7252" i="2"/>
  <c r="H7252" i="2"/>
  <c r="G7252" i="2"/>
  <c r="I7251" i="2"/>
  <c r="H7251" i="2"/>
  <c r="G7251" i="2"/>
  <c r="I7250" i="2"/>
  <c r="H7250" i="2"/>
  <c r="G7250" i="2"/>
  <c r="I7249" i="2"/>
  <c r="H7249" i="2"/>
  <c r="G7249" i="2"/>
  <c r="I7248" i="2"/>
  <c r="H7248" i="2"/>
  <c r="G7248" i="2"/>
  <c r="I7247" i="2"/>
  <c r="H7247" i="2"/>
  <c r="G7247" i="2"/>
  <c r="I7246" i="2"/>
  <c r="H7246" i="2"/>
  <c r="G7246" i="2"/>
  <c r="I7245" i="2"/>
  <c r="H7245" i="2"/>
  <c r="G7245" i="2"/>
  <c r="I7244" i="2"/>
  <c r="H7244" i="2"/>
  <c r="G7244" i="2"/>
  <c r="I7243" i="2"/>
  <c r="H7243" i="2"/>
  <c r="G7243" i="2"/>
  <c r="I7242" i="2"/>
  <c r="H7242" i="2"/>
  <c r="G7242" i="2"/>
  <c r="I7241" i="2"/>
  <c r="H7241" i="2"/>
  <c r="G7241" i="2"/>
  <c r="I7240" i="2"/>
  <c r="H7240" i="2"/>
  <c r="G7240" i="2"/>
  <c r="I7239" i="2"/>
  <c r="H7239" i="2"/>
  <c r="G7239" i="2"/>
  <c r="I7238" i="2"/>
  <c r="H7238" i="2"/>
  <c r="G7238" i="2"/>
  <c r="I7237" i="2"/>
  <c r="H7237" i="2"/>
  <c r="G7237" i="2"/>
  <c r="I7236" i="2"/>
  <c r="H7236" i="2"/>
  <c r="G7236" i="2"/>
  <c r="I7235" i="2"/>
  <c r="H7235" i="2"/>
  <c r="G7235" i="2"/>
  <c r="I7234" i="2"/>
  <c r="H7234" i="2"/>
  <c r="G7234" i="2"/>
  <c r="I7233" i="2"/>
  <c r="H7233" i="2"/>
  <c r="G7233" i="2"/>
  <c r="I7232" i="2"/>
  <c r="H7232" i="2"/>
  <c r="G7232" i="2"/>
  <c r="I7231" i="2"/>
  <c r="H7231" i="2"/>
  <c r="G7231" i="2"/>
  <c r="I7230" i="2"/>
  <c r="H7230" i="2"/>
  <c r="G7230" i="2"/>
  <c r="I7229" i="2"/>
  <c r="H7229" i="2"/>
  <c r="G7229" i="2"/>
  <c r="I7228" i="2"/>
  <c r="H7228" i="2"/>
  <c r="G7228" i="2"/>
  <c r="I7227" i="2"/>
  <c r="H7227" i="2"/>
  <c r="G7227" i="2"/>
  <c r="I7226" i="2"/>
  <c r="H7226" i="2"/>
  <c r="G7226" i="2"/>
  <c r="I7225" i="2"/>
  <c r="H7225" i="2"/>
  <c r="G7225" i="2"/>
  <c r="I7224" i="2"/>
  <c r="H7224" i="2"/>
  <c r="G7224" i="2"/>
  <c r="I7223" i="2"/>
  <c r="H7223" i="2"/>
  <c r="G7223" i="2"/>
  <c r="I7222" i="2"/>
  <c r="H7222" i="2"/>
  <c r="G7222" i="2"/>
  <c r="I7221" i="2"/>
  <c r="H7221" i="2"/>
  <c r="G7221" i="2"/>
  <c r="I7220" i="2"/>
  <c r="H7220" i="2"/>
  <c r="G7220" i="2"/>
  <c r="I7219" i="2"/>
  <c r="H7219" i="2"/>
  <c r="G7219" i="2"/>
  <c r="I7218" i="2"/>
  <c r="H7218" i="2"/>
  <c r="G7218" i="2"/>
  <c r="I7217" i="2"/>
  <c r="H7217" i="2"/>
  <c r="G7217" i="2"/>
  <c r="I7216" i="2"/>
  <c r="H7216" i="2"/>
  <c r="G7216" i="2"/>
  <c r="I7215" i="2"/>
  <c r="H7215" i="2"/>
  <c r="G7215" i="2"/>
  <c r="I7214" i="2"/>
  <c r="H7214" i="2"/>
  <c r="G7214" i="2"/>
  <c r="I7213" i="2"/>
  <c r="H7213" i="2"/>
  <c r="G7213" i="2"/>
  <c r="I7212" i="2"/>
  <c r="H7212" i="2"/>
  <c r="G7212" i="2"/>
  <c r="I7211" i="2"/>
  <c r="H7211" i="2"/>
  <c r="G7211" i="2"/>
  <c r="I7210" i="2"/>
  <c r="H7210" i="2"/>
  <c r="G7210" i="2"/>
  <c r="I7209" i="2"/>
  <c r="H7209" i="2"/>
  <c r="G7209" i="2"/>
  <c r="I7208" i="2"/>
  <c r="H7208" i="2"/>
  <c r="G7208" i="2"/>
  <c r="I7207" i="2"/>
  <c r="H7207" i="2"/>
  <c r="G7207" i="2"/>
  <c r="I7206" i="2"/>
  <c r="H7206" i="2"/>
  <c r="G7206" i="2"/>
  <c r="I7205" i="2"/>
  <c r="H7205" i="2"/>
  <c r="G7205" i="2"/>
  <c r="I7204" i="2"/>
  <c r="H7204" i="2"/>
  <c r="G7204" i="2"/>
  <c r="I7203" i="2"/>
  <c r="H7203" i="2"/>
  <c r="G7203" i="2"/>
  <c r="I7202" i="2"/>
  <c r="H7202" i="2"/>
  <c r="G7202" i="2"/>
  <c r="I7201" i="2"/>
  <c r="H7201" i="2"/>
  <c r="G7201" i="2"/>
  <c r="I7200" i="2"/>
  <c r="H7200" i="2"/>
  <c r="G7200" i="2"/>
  <c r="I7199" i="2"/>
  <c r="H7199" i="2"/>
  <c r="G7199" i="2"/>
  <c r="I7198" i="2"/>
  <c r="H7198" i="2"/>
  <c r="G7198" i="2"/>
  <c r="I7197" i="2"/>
  <c r="H7197" i="2"/>
  <c r="G7197" i="2"/>
  <c r="I7196" i="2"/>
  <c r="H7196" i="2"/>
  <c r="G7196" i="2"/>
  <c r="I7195" i="2"/>
  <c r="H7195" i="2"/>
  <c r="G7195" i="2"/>
  <c r="I7194" i="2"/>
  <c r="H7194" i="2"/>
  <c r="G7194" i="2"/>
  <c r="I7193" i="2"/>
  <c r="H7193" i="2"/>
  <c r="G7193" i="2"/>
  <c r="I7192" i="2"/>
  <c r="H7192" i="2"/>
  <c r="G7192" i="2"/>
  <c r="I7191" i="2"/>
  <c r="H7191" i="2"/>
  <c r="G7191" i="2"/>
  <c r="I7190" i="2"/>
  <c r="H7190" i="2"/>
  <c r="G7190" i="2"/>
  <c r="I7189" i="2"/>
  <c r="H7189" i="2"/>
  <c r="G7189" i="2"/>
  <c r="I7188" i="2"/>
  <c r="H7188" i="2"/>
  <c r="G7188" i="2"/>
  <c r="I7187" i="2"/>
  <c r="H7187" i="2"/>
  <c r="G7187" i="2"/>
  <c r="I7186" i="2"/>
  <c r="H7186" i="2"/>
  <c r="G7186" i="2"/>
  <c r="I7185" i="2"/>
  <c r="H7185" i="2"/>
  <c r="G7185" i="2"/>
  <c r="I7184" i="2"/>
  <c r="H7184" i="2"/>
  <c r="G7184" i="2"/>
  <c r="I7183" i="2"/>
  <c r="H7183" i="2"/>
  <c r="G7183" i="2"/>
  <c r="I7182" i="2"/>
  <c r="H7182" i="2"/>
  <c r="G7182" i="2"/>
  <c r="I7181" i="2"/>
  <c r="H7181" i="2"/>
  <c r="G7181" i="2"/>
  <c r="I7180" i="2"/>
  <c r="H7180" i="2"/>
  <c r="G7180" i="2"/>
  <c r="I7179" i="2"/>
  <c r="H7179" i="2"/>
  <c r="G7179" i="2"/>
  <c r="I7178" i="2"/>
  <c r="H7178" i="2"/>
  <c r="G7178" i="2"/>
  <c r="I7177" i="2"/>
  <c r="H7177" i="2"/>
  <c r="G7177" i="2"/>
  <c r="I7176" i="2"/>
  <c r="H7176" i="2"/>
  <c r="G7176" i="2"/>
  <c r="I7175" i="2"/>
  <c r="H7175" i="2"/>
  <c r="G7175" i="2"/>
  <c r="I7174" i="2"/>
  <c r="H7174" i="2"/>
  <c r="G7174" i="2"/>
  <c r="I7173" i="2"/>
  <c r="H7173" i="2"/>
  <c r="G7173" i="2"/>
  <c r="I7172" i="2"/>
  <c r="H7172" i="2"/>
  <c r="G7172" i="2"/>
  <c r="I7171" i="2"/>
  <c r="H7171" i="2"/>
  <c r="G7171" i="2"/>
  <c r="I7170" i="2"/>
  <c r="H7170" i="2"/>
  <c r="G7170" i="2"/>
  <c r="I7169" i="2"/>
  <c r="H7169" i="2"/>
  <c r="G7169" i="2"/>
  <c r="I7168" i="2"/>
  <c r="H7168" i="2"/>
  <c r="G7168" i="2"/>
  <c r="I7167" i="2"/>
  <c r="H7167" i="2"/>
  <c r="G7167" i="2"/>
  <c r="I7166" i="2"/>
  <c r="H7166" i="2"/>
  <c r="G7166" i="2"/>
  <c r="I7165" i="2"/>
  <c r="H7165" i="2"/>
  <c r="G7165" i="2"/>
  <c r="I7164" i="2"/>
  <c r="H7164" i="2"/>
  <c r="G7164" i="2"/>
  <c r="I7163" i="2"/>
  <c r="H7163" i="2"/>
  <c r="G7163" i="2"/>
  <c r="I7162" i="2"/>
  <c r="H7162" i="2"/>
  <c r="G7162" i="2"/>
  <c r="I7161" i="2"/>
  <c r="H7161" i="2"/>
  <c r="G7161" i="2"/>
  <c r="I7160" i="2"/>
  <c r="H7160" i="2"/>
  <c r="G7160" i="2"/>
  <c r="I7159" i="2"/>
  <c r="H7159" i="2"/>
  <c r="G7159" i="2"/>
  <c r="I7158" i="2"/>
  <c r="H7158" i="2"/>
  <c r="G7158" i="2"/>
  <c r="I7157" i="2"/>
  <c r="H7157" i="2"/>
  <c r="G7157" i="2"/>
  <c r="I7156" i="2"/>
  <c r="H7156" i="2"/>
  <c r="G7156" i="2"/>
  <c r="I7155" i="2"/>
  <c r="H7155" i="2"/>
  <c r="G7155" i="2"/>
  <c r="I7154" i="2"/>
  <c r="H7154" i="2"/>
  <c r="G7154" i="2"/>
  <c r="I7153" i="2"/>
  <c r="H7153" i="2"/>
  <c r="G7153" i="2"/>
  <c r="I7152" i="2"/>
  <c r="H7152" i="2"/>
  <c r="G7152" i="2"/>
  <c r="I7151" i="2"/>
  <c r="H7151" i="2"/>
  <c r="G7151" i="2"/>
  <c r="I7150" i="2"/>
  <c r="H7150" i="2"/>
  <c r="G7150" i="2"/>
  <c r="I7149" i="2"/>
  <c r="H7149" i="2"/>
  <c r="G7149" i="2"/>
  <c r="I7148" i="2"/>
  <c r="H7148" i="2"/>
  <c r="G7148" i="2"/>
  <c r="I7147" i="2"/>
  <c r="H7147" i="2"/>
  <c r="G7147" i="2"/>
  <c r="I7146" i="2"/>
  <c r="H7146" i="2"/>
  <c r="G7146" i="2"/>
  <c r="I7145" i="2"/>
  <c r="H7145" i="2"/>
  <c r="G7145" i="2"/>
  <c r="I7144" i="2"/>
  <c r="H7144" i="2"/>
  <c r="G7144" i="2"/>
  <c r="I7143" i="2"/>
  <c r="H7143" i="2"/>
  <c r="G7143" i="2"/>
  <c r="I7142" i="2"/>
  <c r="H7142" i="2"/>
  <c r="G7142" i="2"/>
  <c r="I7141" i="2"/>
  <c r="H7141" i="2"/>
  <c r="G7141" i="2"/>
  <c r="I7140" i="2"/>
  <c r="H7140" i="2"/>
  <c r="G7140" i="2"/>
  <c r="I7139" i="2"/>
  <c r="H7139" i="2"/>
  <c r="G7139" i="2"/>
  <c r="I7138" i="2"/>
  <c r="H7138" i="2"/>
  <c r="G7138" i="2"/>
  <c r="I7137" i="2"/>
  <c r="H7137" i="2"/>
  <c r="G7137" i="2"/>
  <c r="I7136" i="2"/>
  <c r="H7136" i="2"/>
  <c r="G7136" i="2"/>
  <c r="I7135" i="2"/>
  <c r="H7135" i="2"/>
  <c r="G7135" i="2"/>
  <c r="I7134" i="2"/>
  <c r="H7134" i="2"/>
  <c r="G7134" i="2"/>
  <c r="I7133" i="2"/>
  <c r="H7133" i="2"/>
  <c r="G7133" i="2"/>
  <c r="I7132" i="2"/>
  <c r="H7132" i="2"/>
  <c r="G7132" i="2"/>
  <c r="I7131" i="2"/>
  <c r="H7131" i="2"/>
  <c r="G7131" i="2"/>
  <c r="I7130" i="2"/>
  <c r="H7130" i="2"/>
  <c r="G7130" i="2"/>
  <c r="I7129" i="2"/>
  <c r="H7129" i="2"/>
  <c r="G7129" i="2"/>
  <c r="I7128" i="2"/>
  <c r="H7128" i="2"/>
  <c r="G7128" i="2"/>
  <c r="I7127" i="2"/>
  <c r="H7127" i="2"/>
  <c r="G7127" i="2"/>
  <c r="I7126" i="2"/>
  <c r="H7126" i="2"/>
  <c r="G7126" i="2"/>
  <c r="I7125" i="2"/>
  <c r="H7125" i="2"/>
  <c r="G7125" i="2"/>
  <c r="I7124" i="2"/>
  <c r="H7124" i="2"/>
  <c r="G7124" i="2"/>
  <c r="I7123" i="2"/>
  <c r="H7123" i="2"/>
  <c r="G7123" i="2"/>
  <c r="I7122" i="2"/>
  <c r="H7122" i="2"/>
  <c r="G7122" i="2"/>
  <c r="I7121" i="2"/>
  <c r="H7121" i="2"/>
  <c r="G7121" i="2"/>
  <c r="I7120" i="2"/>
  <c r="H7120" i="2"/>
  <c r="G7120" i="2"/>
  <c r="I7119" i="2"/>
  <c r="H7119" i="2"/>
  <c r="G7119" i="2"/>
  <c r="I7118" i="2"/>
  <c r="H7118" i="2"/>
  <c r="G7118" i="2"/>
  <c r="I7117" i="2"/>
  <c r="H7117" i="2"/>
  <c r="G7117" i="2"/>
  <c r="I7116" i="2"/>
  <c r="H7116" i="2"/>
  <c r="G7116" i="2"/>
  <c r="I7115" i="2"/>
  <c r="H7115" i="2"/>
  <c r="G7115" i="2"/>
  <c r="I7114" i="2"/>
  <c r="H7114" i="2"/>
  <c r="G7114" i="2"/>
  <c r="I7113" i="2"/>
  <c r="H7113" i="2"/>
  <c r="G7113" i="2"/>
  <c r="I7112" i="2"/>
  <c r="H7112" i="2"/>
  <c r="G7112" i="2"/>
  <c r="I7111" i="2"/>
  <c r="H7111" i="2"/>
  <c r="G7111" i="2"/>
  <c r="I7110" i="2"/>
  <c r="H7110" i="2"/>
  <c r="G7110" i="2"/>
  <c r="I7109" i="2"/>
  <c r="H7109" i="2"/>
  <c r="G7109" i="2"/>
  <c r="I7108" i="2"/>
  <c r="H7108" i="2"/>
  <c r="G7108" i="2"/>
  <c r="I7107" i="2"/>
  <c r="H7107" i="2"/>
  <c r="G7107" i="2"/>
  <c r="I7106" i="2"/>
  <c r="H7106" i="2"/>
  <c r="G7106" i="2"/>
  <c r="I7105" i="2"/>
  <c r="H7105" i="2"/>
  <c r="G7105" i="2"/>
  <c r="I7104" i="2"/>
  <c r="H7104" i="2"/>
  <c r="G7104" i="2"/>
  <c r="I7103" i="2"/>
  <c r="H7103" i="2"/>
  <c r="G7103" i="2"/>
  <c r="I7102" i="2"/>
  <c r="H7102" i="2"/>
  <c r="G7102" i="2"/>
  <c r="I7101" i="2"/>
  <c r="H7101" i="2"/>
  <c r="G7101" i="2"/>
  <c r="I7100" i="2"/>
  <c r="H7100" i="2"/>
  <c r="G7100" i="2"/>
  <c r="I7099" i="2"/>
  <c r="H7099" i="2"/>
  <c r="G7099" i="2"/>
  <c r="I7098" i="2"/>
  <c r="H7098" i="2"/>
  <c r="G7098" i="2"/>
  <c r="I7097" i="2"/>
  <c r="H7097" i="2"/>
  <c r="G7097" i="2"/>
  <c r="I7096" i="2"/>
  <c r="H7096" i="2"/>
  <c r="G7096" i="2"/>
  <c r="I7095" i="2"/>
  <c r="H7095" i="2"/>
  <c r="G7095" i="2"/>
  <c r="I7094" i="2"/>
  <c r="H7094" i="2"/>
  <c r="G7094" i="2"/>
  <c r="I7093" i="2"/>
  <c r="H7093" i="2"/>
  <c r="G7093" i="2"/>
  <c r="I7092" i="2"/>
  <c r="H7092" i="2"/>
  <c r="G7092" i="2"/>
  <c r="I7091" i="2"/>
  <c r="H7091" i="2"/>
  <c r="G7091" i="2"/>
  <c r="I7090" i="2"/>
  <c r="H7090" i="2"/>
  <c r="G7090" i="2"/>
  <c r="I7089" i="2"/>
  <c r="H7089" i="2"/>
  <c r="G7089" i="2"/>
  <c r="I7088" i="2"/>
  <c r="H7088" i="2"/>
  <c r="G7088" i="2"/>
  <c r="I7087" i="2"/>
  <c r="H7087" i="2"/>
  <c r="G7087" i="2"/>
  <c r="I7086" i="2"/>
  <c r="H7086" i="2"/>
  <c r="G7086" i="2"/>
  <c r="I7085" i="2"/>
  <c r="H7085" i="2"/>
  <c r="G7085" i="2"/>
  <c r="I7084" i="2"/>
  <c r="H7084" i="2"/>
  <c r="G7084" i="2"/>
  <c r="I7083" i="2"/>
  <c r="H7083" i="2"/>
  <c r="G7083" i="2"/>
  <c r="I7082" i="2"/>
  <c r="H7082" i="2"/>
  <c r="G7082" i="2"/>
  <c r="I7081" i="2"/>
  <c r="H7081" i="2"/>
  <c r="G7081" i="2"/>
  <c r="I7080" i="2"/>
  <c r="H7080" i="2"/>
  <c r="G7080" i="2"/>
  <c r="I7079" i="2"/>
  <c r="H7079" i="2"/>
  <c r="G7079" i="2"/>
  <c r="I7078" i="2"/>
  <c r="H7078" i="2"/>
  <c r="G7078" i="2"/>
  <c r="I7077" i="2"/>
  <c r="H7077" i="2"/>
  <c r="G7077" i="2"/>
  <c r="I7076" i="2"/>
  <c r="H7076" i="2"/>
  <c r="G7076" i="2"/>
  <c r="I7075" i="2"/>
  <c r="H7075" i="2"/>
  <c r="G7075" i="2"/>
  <c r="I7074" i="2"/>
  <c r="H7074" i="2"/>
  <c r="G7074" i="2"/>
  <c r="I7073" i="2"/>
  <c r="H7073" i="2"/>
  <c r="G7073" i="2"/>
  <c r="I7072" i="2"/>
  <c r="H7072" i="2"/>
  <c r="G7072" i="2"/>
  <c r="I7071" i="2"/>
  <c r="H7071" i="2"/>
  <c r="G7071" i="2"/>
  <c r="I7070" i="2"/>
  <c r="H7070" i="2"/>
  <c r="G7070" i="2"/>
  <c r="I7069" i="2"/>
  <c r="H7069" i="2"/>
  <c r="G7069" i="2"/>
  <c r="I7068" i="2"/>
  <c r="H7068" i="2"/>
  <c r="G7068" i="2"/>
  <c r="I7067" i="2"/>
  <c r="H7067" i="2"/>
  <c r="G7067" i="2"/>
  <c r="I7066" i="2"/>
  <c r="H7066" i="2"/>
  <c r="G7066" i="2"/>
  <c r="I7065" i="2"/>
  <c r="H7065" i="2"/>
  <c r="G7065" i="2"/>
  <c r="I7064" i="2"/>
  <c r="H7064" i="2"/>
  <c r="G7064" i="2"/>
  <c r="I7063" i="2"/>
  <c r="H7063" i="2"/>
  <c r="G7063" i="2"/>
  <c r="I7062" i="2"/>
  <c r="H7062" i="2"/>
  <c r="G7062" i="2"/>
  <c r="I7061" i="2"/>
  <c r="H7061" i="2"/>
  <c r="G7061" i="2"/>
  <c r="I7060" i="2"/>
  <c r="H7060" i="2"/>
  <c r="G7060" i="2"/>
  <c r="I7059" i="2"/>
  <c r="H7059" i="2"/>
  <c r="G7059" i="2"/>
  <c r="I7058" i="2"/>
  <c r="H7058" i="2"/>
  <c r="G7058" i="2"/>
  <c r="I7057" i="2"/>
  <c r="H7057" i="2"/>
  <c r="G7057" i="2"/>
  <c r="I7056" i="2"/>
  <c r="H7056" i="2"/>
  <c r="G7056" i="2"/>
  <c r="I7055" i="2"/>
  <c r="H7055" i="2"/>
  <c r="G7055" i="2"/>
  <c r="I7054" i="2"/>
  <c r="H7054" i="2"/>
  <c r="G7054" i="2"/>
  <c r="I7053" i="2"/>
  <c r="H7053" i="2"/>
  <c r="G7053" i="2"/>
  <c r="I7052" i="2"/>
  <c r="H7052" i="2"/>
  <c r="G7052" i="2"/>
  <c r="I7051" i="2"/>
  <c r="H7051" i="2"/>
  <c r="G7051" i="2"/>
  <c r="I7050" i="2"/>
  <c r="H7050" i="2"/>
  <c r="G7050" i="2"/>
  <c r="I7049" i="2"/>
  <c r="H7049" i="2"/>
  <c r="G7049" i="2"/>
  <c r="I7048" i="2"/>
  <c r="H7048" i="2"/>
  <c r="G7048" i="2"/>
  <c r="I7047" i="2"/>
  <c r="H7047" i="2"/>
  <c r="G7047" i="2"/>
  <c r="I7046" i="2"/>
  <c r="H7046" i="2"/>
  <c r="G7046" i="2"/>
  <c r="I7045" i="2"/>
  <c r="H7045" i="2"/>
  <c r="G7045" i="2"/>
  <c r="I7044" i="2"/>
  <c r="H7044" i="2"/>
  <c r="G7044" i="2"/>
  <c r="I7043" i="2"/>
  <c r="H7043" i="2"/>
  <c r="G7043" i="2"/>
  <c r="I7042" i="2"/>
  <c r="H7042" i="2"/>
  <c r="G7042" i="2"/>
  <c r="I7041" i="2"/>
  <c r="H7041" i="2"/>
  <c r="G7041" i="2"/>
  <c r="I7040" i="2"/>
  <c r="H7040" i="2"/>
  <c r="G7040" i="2"/>
  <c r="I7039" i="2"/>
  <c r="H7039" i="2"/>
  <c r="G7039" i="2"/>
  <c r="I7038" i="2"/>
  <c r="H7038" i="2"/>
  <c r="G7038" i="2"/>
  <c r="I7037" i="2"/>
  <c r="H7037" i="2"/>
  <c r="G7037" i="2"/>
  <c r="I7036" i="2"/>
  <c r="H7036" i="2"/>
  <c r="G7036" i="2"/>
  <c r="I7035" i="2"/>
  <c r="H7035" i="2"/>
  <c r="G7035" i="2"/>
  <c r="I7034" i="2"/>
  <c r="H7034" i="2"/>
  <c r="G7034" i="2"/>
  <c r="I7033" i="2"/>
  <c r="H7033" i="2"/>
  <c r="G7033" i="2"/>
  <c r="I7032" i="2"/>
  <c r="H7032" i="2"/>
  <c r="G7032" i="2"/>
  <c r="I7031" i="2"/>
  <c r="H7031" i="2"/>
  <c r="G7031" i="2"/>
  <c r="I7030" i="2"/>
  <c r="H7030" i="2"/>
  <c r="G7030" i="2"/>
  <c r="I7029" i="2"/>
  <c r="H7029" i="2"/>
  <c r="G7029" i="2"/>
  <c r="I7028" i="2"/>
  <c r="H7028" i="2"/>
  <c r="G7028" i="2"/>
  <c r="I7027" i="2"/>
  <c r="H7027" i="2"/>
  <c r="G7027" i="2"/>
  <c r="I7026" i="2"/>
  <c r="H7026" i="2"/>
  <c r="G7026" i="2"/>
  <c r="I7025" i="2"/>
  <c r="H7025" i="2"/>
  <c r="G7025" i="2"/>
  <c r="I7024" i="2"/>
  <c r="H7024" i="2"/>
  <c r="G7024" i="2"/>
  <c r="I7023" i="2"/>
  <c r="H7023" i="2"/>
  <c r="G7023" i="2"/>
  <c r="I7022" i="2"/>
  <c r="H7022" i="2"/>
  <c r="G7022" i="2"/>
  <c r="I7021" i="2"/>
  <c r="H7021" i="2"/>
  <c r="G7021" i="2"/>
  <c r="I7020" i="2"/>
  <c r="H7020" i="2"/>
  <c r="G7020" i="2"/>
  <c r="I7019" i="2"/>
  <c r="H7019" i="2"/>
  <c r="G7019" i="2"/>
  <c r="I7018" i="2"/>
  <c r="H7018" i="2"/>
  <c r="G7018" i="2"/>
  <c r="I7017" i="2"/>
  <c r="H7017" i="2"/>
  <c r="G7017" i="2"/>
  <c r="I7016" i="2"/>
  <c r="H7016" i="2"/>
  <c r="G7016" i="2"/>
  <c r="I7015" i="2"/>
  <c r="H7015" i="2"/>
  <c r="G7015" i="2"/>
  <c r="I7014" i="2"/>
  <c r="H7014" i="2"/>
  <c r="G7014" i="2"/>
  <c r="I7013" i="2"/>
  <c r="H7013" i="2"/>
  <c r="G7013" i="2"/>
  <c r="I7012" i="2"/>
  <c r="H7012" i="2"/>
  <c r="G7012" i="2"/>
  <c r="I7011" i="2"/>
  <c r="H7011" i="2"/>
  <c r="G7011" i="2"/>
  <c r="I7010" i="2"/>
  <c r="H7010" i="2"/>
  <c r="G7010" i="2"/>
  <c r="I7009" i="2"/>
  <c r="H7009" i="2"/>
  <c r="G7009" i="2"/>
  <c r="I7008" i="2"/>
  <c r="H7008" i="2"/>
  <c r="G7008" i="2"/>
  <c r="I7007" i="2"/>
  <c r="H7007" i="2"/>
  <c r="G7007" i="2"/>
  <c r="I7006" i="2"/>
  <c r="H7006" i="2"/>
  <c r="G7006" i="2"/>
  <c r="I7005" i="2"/>
  <c r="H7005" i="2"/>
  <c r="G7005" i="2"/>
  <c r="I7004" i="2"/>
  <c r="H7004" i="2"/>
  <c r="G7004" i="2"/>
  <c r="I7003" i="2"/>
  <c r="H7003" i="2"/>
  <c r="G7003" i="2"/>
  <c r="I7002" i="2"/>
  <c r="H7002" i="2"/>
  <c r="G7002" i="2"/>
  <c r="I7001" i="2"/>
  <c r="H7001" i="2"/>
  <c r="G7001" i="2"/>
  <c r="I7000" i="2"/>
  <c r="H7000" i="2"/>
  <c r="G7000" i="2"/>
  <c r="I6999" i="2"/>
  <c r="H6999" i="2"/>
  <c r="G6999" i="2"/>
  <c r="I6998" i="2"/>
  <c r="H6998" i="2"/>
  <c r="G6998" i="2"/>
  <c r="I6997" i="2"/>
  <c r="H6997" i="2"/>
  <c r="G6997" i="2"/>
  <c r="I6996" i="2"/>
  <c r="H6996" i="2"/>
  <c r="G6996" i="2"/>
  <c r="I6995" i="2"/>
  <c r="H6995" i="2"/>
  <c r="G6995" i="2"/>
  <c r="I6994" i="2"/>
  <c r="H6994" i="2"/>
  <c r="G6994" i="2"/>
  <c r="I6993" i="2"/>
  <c r="H6993" i="2"/>
  <c r="G6993" i="2"/>
  <c r="I6992" i="2"/>
  <c r="H6992" i="2"/>
  <c r="G6992" i="2"/>
  <c r="I6991" i="2"/>
  <c r="H6991" i="2"/>
  <c r="G6991" i="2"/>
  <c r="I6990" i="2"/>
  <c r="H6990" i="2"/>
  <c r="G6990" i="2"/>
  <c r="I6989" i="2"/>
  <c r="H6989" i="2"/>
  <c r="G6989" i="2"/>
  <c r="I6988" i="2"/>
  <c r="H6988" i="2"/>
  <c r="G6988" i="2"/>
  <c r="I6987" i="2"/>
  <c r="H6987" i="2"/>
  <c r="G6987" i="2"/>
  <c r="I6986" i="2"/>
  <c r="H6986" i="2"/>
  <c r="G6986" i="2"/>
  <c r="I6985" i="2"/>
  <c r="H6985" i="2"/>
  <c r="G6985" i="2"/>
  <c r="I6984" i="2"/>
  <c r="H6984" i="2"/>
  <c r="G6984" i="2"/>
  <c r="I6983" i="2"/>
  <c r="H6983" i="2"/>
  <c r="G6983" i="2"/>
  <c r="I6982" i="2"/>
  <c r="H6982" i="2"/>
  <c r="G6982" i="2"/>
  <c r="I6981" i="2"/>
  <c r="H6981" i="2"/>
  <c r="G6981" i="2"/>
  <c r="I6980" i="2"/>
  <c r="H6980" i="2"/>
  <c r="G6980" i="2"/>
  <c r="I6979" i="2"/>
  <c r="H6979" i="2"/>
  <c r="G6979" i="2"/>
  <c r="I6978" i="2"/>
  <c r="H6978" i="2"/>
  <c r="G6978" i="2"/>
  <c r="I6977" i="2"/>
  <c r="H6977" i="2"/>
  <c r="G6977" i="2"/>
  <c r="I6976" i="2"/>
  <c r="H6976" i="2"/>
  <c r="G6976" i="2"/>
  <c r="I6975" i="2"/>
  <c r="H6975" i="2"/>
  <c r="G6975" i="2"/>
  <c r="I6974" i="2"/>
  <c r="H6974" i="2"/>
  <c r="G6974" i="2"/>
  <c r="I6973" i="2"/>
  <c r="H6973" i="2"/>
  <c r="G6973" i="2"/>
  <c r="I6972" i="2"/>
  <c r="H6972" i="2"/>
  <c r="G6972" i="2"/>
  <c r="I6971" i="2"/>
  <c r="H6971" i="2"/>
  <c r="G6971" i="2"/>
  <c r="I6970" i="2"/>
  <c r="H6970" i="2"/>
  <c r="G6970" i="2"/>
  <c r="I6969" i="2"/>
  <c r="H6969" i="2"/>
  <c r="G6969" i="2"/>
  <c r="I6968" i="2"/>
  <c r="H6968" i="2"/>
  <c r="G6968" i="2"/>
  <c r="I6967" i="2"/>
  <c r="H6967" i="2"/>
  <c r="G6967" i="2"/>
  <c r="I6966" i="2"/>
  <c r="H6966" i="2"/>
  <c r="G6966" i="2"/>
  <c r="I6965" i="2"/>
  <c r="H6965" i="2"/>
  <c r="G6965" i="2"/>
  <c r="I6964" i="2"/>
  <c r="H6964" i="2"/>
  <c r="G6964" i="2"/>
  <c r="I6963" i="2"/>
  <c r="H6963" i="2"/>
  <c r="G6963" i="2"/>
  <c r="I6962" i="2"/>
  <c r="H6962" i="2"/>
  <c r="G6962" i="2"/>
  <c r="I6961" i="2"/>
  <c r="H6961" i="2"/>
  <c r="G6961" i="2"/>
  <c r="I6960" i="2"/>
  <c r="H6960" i="2"/>
  <c r="G6960" i="2"/>
  <c r="I6959" i="2"/>
  <c r="H6959" i="2"/>
  <c r="G6959" i="2"/>
  <c r="I6958" i="2"/>
  <c r="H6958" i="2"/>
  <c r="G6958" i="2"/>
  <c r="I6957" i="2"/>
  <c r="H6957" i="2"/>
  <c r="G6957" i="2"/>
  <c r="I6956" i="2"/>
  <c r="H6956" i="2"/>
  <c r="G6956" i="2"/>
  <c r="I6955" i="2"/>
  <c r="H6955" i="2"/>
  <c r="G6955" i="2"/>
  <c r="I6954" i="2"/>
  <c r="H6954" i="2"/>
  <c r="G6954" i="2"/>
  <c r="I6953" i="2"/>
  <c r="H6953" i="2"/>
  <c r="G6953" i="2"/>
  <c r="I6952" i="2"/>
  <c r="H6952" i="2"/>
  <c r="G6952" i="2"/>
  <c r="I6951" i="2"/>
  <c r="H6951" i="2"/>
  <c r="G6951" i="2"/>
  <c r="I6950" i="2"/>
  <c r="H6950" i="2"/>
  <c r="G6950" i="2"/>
  <c r="I6949" i="2"/>
  <c r="H6949" i="2"/>
  <c r="G6949" i="2"/>
  <c r="I6948" i="2"/>
  <c r="H6948" i="2"/>
  <c r="G6948" i="2"/>
  <c r="I6947" i="2"/>
  <c r="H6947" i="2"/>
  <c r="G6947" i="2"/>
  <c r="I6946" i="2"/>
  <c r="H6946" i="2"/>
  <c r="G6946" i="2"/>
  <c r="I6945" i="2"/>
  <c r="H6945" i="2"/>
  <c r="G6945" i="2"/>
  <c r="I6944" i="2"/>
  <c r="H6944" i="2"/>
  <c r="G6944" i="2"/>
  <c r="I6943" i="2"/>
  <c r="H6943" i="2"/>
  <c r="G6943" i="2"/>
  <c r="I6942" i="2"/>
  <c r="H6942" i="2"/>
  <c r="G6942" i="2"/>
  <c r="I6941" i="2"/>
  <c r="H6941" i="2"/>
  <c r="G6941" i="2"/>
  <c r="I6940" i="2"/>
  <c r="H6940" i="2"/>
  <c r="G6940" i="2"/>
  <c r="I6939" i="2"/>
  <c r="H6939" i="2"/>
  <c r="G6939" i="2"/>
  <c r="I6938" i="2"/>
  <c r="H6938" i="2"/>
  <c r="G6938" i="2"/>
  <c r="I6937" i="2"/>
  <c r="H6937" i="2"/>
  <c r="G6937" i="2"/>
  <c r="I6936" i="2"/>
  <c r="H6936" i="2"/>
  <c r="G6936" i="2"/>
  <c r="I6935" i="2"/>
  <c r="H6935" i="2"/>
  <c r="G6935" i="2"/>
  <c r="I6934" i="2"/>
  <c r="H6934" i="2"/>
  <c r="G6934" i="2"/>
  <c r="I6933" i="2"/>
  <c r="H6933" i="2"/>
  <c r="G6933" i="2"/>
  <c r="I6932" i="2"/>
  <c r="H6932" i="2"/>
  <c r="G6932" i="2"/>
  <c r="I6931" i="2"/>
  <c r="H6931" i="2"/>
  <c r="G6931" i="2"/>
  <c r="I6930" i="2"/>
  <c r="H6930" i="2"/>
  <c r="G6930" i="2"/>
  <c r="I6929" i="2"/>
  <c r="H6929" i="2"/>
  <c r="G6929" i="2"/>
  <c r="I6928" i="2"/>
  <c r="H6928" i="2"/>
  <c r="G6928" i="2"/>
  <c r="I6927" i="2"/>
  <c r="H6927" i="2"/>
  <c r="G6927" i="2"/>
  <c r="I6926" i="2"/>
  <c r="H6926" i="2"/>
  <c r="G6926" i="2"/>
  <c r="I6925" i="2"/>
  <c r="H6925" i="2"/>
  <c r="G6925" i="2"/>
  <c r="I6924" i="2"/>
  <c r="H6924" i="2"/>
  <c r="G6924" i="2"/>
  <c r="I6923" i="2"/>
  <c r="H6923" i="2"/>
  <c r="G6923" i="2"/>
  <c r="I6922" i="2"/>
  <c r="H6922" i="2"/>
  <c r="G6922" i="2"/>
  <c r="I6921" i="2"/>
  <c r="H6921" i="2"/>
  <c r="G6921" i="2"/>
  <c r="I6920" i="2"/>
  <c r="H6920" i="2"/>
  <c r="G6920" i="2"/>
  <c r="I6919" i="2"/>
  <c r="H6919" i="2"/>
  <c r="G6919" i="2"/>
  <c r="I6918" i="2"/>
  <c r="H6918" i="2"/>
  <c r="G6918" i="2"/>
  <c r="I6917" i="2"/>
  <c r="H6917" i="2"/>
  <c r="G6917" i="2"/>
  <c r="I6916" i="2"/>
  <c r="H6916" i="2"/>
  <c r="G6916" i="2"/>
  <c r="I6915" i="2"/>
  <c r="H6915" i="2"/>
  <c r="G6915" i="2"/>
  <c r="I6914" i="2"/>
  <c r="H6914" i="2"/>
  <c r="G6914" i="2"/>
  <c r="I6913" i="2"/>
  <c r="H6913" i="2"/>
  <c r="G6913" i="2"/>
  <c r="I6912" i="2"/>
  <c r="H6912" i="2"/>
  <c r="G6912" i="2"/>
  <c r="I6911" i="2"/>
  <c r="H6911" i="2"/>
  <c r="G6911" i="2"/>
  <c r="I6910" i="2"/>
  <c r="H6910" i="2"/>
  <c r="G6910" i="2"/>
  <c r="I6909" i="2"/>
  <c r="H6909" i="2"/>
  <c r="G6909" i="2"/>
  <c r="I6908" i="2"/>
  <c r="H6908" i="2"/>
  <c r="G6908" i="2"/>
  <c r="I6907" i="2"/>
  <c r="H6907" i="2"/>
  <c r="G6907" i="2"/>
  <c r="I6906" i="2"/>
  <c r="H6906" i="2"/>
  <c r="G6906" i="2"/>
  <c r="I6905" i="2"/>
  <c r="H6905" i="2"/>
  <c r="G6905" i="2"/>
  <c r="I6904" i="2"/>
  <c r="H6904" i="2"/>
  <c r="G6904" i="2"/>
  <c r="I6903" i="2"/>
  <c r="H6903" i="2"/>
  <c r="G6903" i="2"/>
  <c r="I6902" i="2"/>
  <c r="H6902" i="2"/>
  <c r="G6902" i="2"/>
  <c r="I6901" i="2"/>
  <c r="H6901" i="2"/>
  <c r="G6901" i="2"/>
  <c r="I6900" i="2"/>
  <c r="H6900" i="2"/>
  <c r="G6900" i="2"/>
  <c r="I6899" i="2"/>
  <c r="H6899" i="2"/>
  <c r="G6899" i="2"/>
  <c r="I6898" i="2"/>
  <c r="H6898" i="2"/>
  <c r="G6898" i="2"/>
  <c r="I6897" i="2"/>
  <c r="H6897" i="2"/>
  <c r="G6897" i="2"/>
  <c r="I6896" i="2"/>
  <c r="H6896" i="2"/>
  <c r="G6896" i="2"/>
  <c r="I6895" i="2"/>
  <c r="H6895" i="2"/>
  <c r="G6895" i="2"/>
  <c r="I6894" i="2"/>
  <c r="H6894" i="2"/>
  <c r="G6894" i="2"/>
  <c r="I6893" i="2"/>
  <c r="H6893" i="2"/>
  <c r="G6893" i="2"/>
  <c r="I6892" i="2"/>
  <c r="H6892" i="2"/>
  <c r="G6892" i="2"/>
  <c r="I6891" i="2"/>
  <c r="H6891" i="2"/>
  <c r="G6891" i="2"/>
  <c r="I6890" i="2"/>
  <c r="H6890" i="2"/>
  <c r="G6890" i="2"/>
  <c r="I6889" i="2"/>
  <c r="H6889" i="2"/>
  <c r="G6889" i="2"/>
  <c r="I6888" i="2"/>
  <c r="H6888" i="2"/>
  <c r="G6888" i="2"/>
  <c r="I6887" i="2"/>
  <c r="H6887" i="2"/>
  <c r="G6887" i="2"/>
  <c r="I6886" i="2"/>
  <c r="H6886" i="2"/>
  <c r="G6886" i="2"/>
  <c r="I6885" i="2"/>
  <c r="H6885" i="2"/>
  <c r="G6885" i="2"/>
  <c r="I6884" i="2"/>
  <c r="H6884" i="2"/>
  <c r="G6884" i="2"/>
  <c r="I6883" i="2"/>
  <c r="H6883" i="2"/>
  <c r="G6883" i="2"/>
  <c r="I6882" i="2"/>
  <c r="H6882" i="2"/>
  <c r="G6882" i="2"/>
  <c r="I6881" i="2"/>
  <c r="H6881" i="2"/>
  <c r="G6881" i="2"/>
  <c r="I6880" i="2"/>
  <c r="H6880" i="2"/>
  <c r="G6880" i="2"/>
  <c r="I6879" i="2"/>
  <c r="H6879" i="2"/>
  <c r="G6879" i="2"/>
  <c r="I6878" i="2"/>
  <c r="H6878" i="2"/>
  <c r="G6878" i="2"/>
  <c r="I6877" i="2"/>
  <c r="H6877" i="2"/>
  <c r="G6877" i="2"/>
  <c r="I6876" i="2"/>
  <c r="H6876" i="2"/>
  <c r="G6876" i="2"/>
  <c r="I6875" i="2"/>
  <c r="H6875" i="2"/>
  <c r="G6875" i="2"/>
  <c r="I6874" i="2"/>
  <c r="H6874" i="2"/>
  <c r="G6874" i="2"/>
  <c r="I6873" i="2"/>
  <c r="H6873" i="2"/>
  <c r="G6873" i="2"/>
  <c r="I6872" i="2"/>
  <c r="H6872" i="2"/>
  <c r="G6872" i="2"/>
  <c r="I6871" i="2"/>
  <c r="H6871" i="2"/>
  <c r="G6871" i="2"/>
  <c r="I6870" i="2"/>
  <c r="H6870" i="2"/>
  <c r="G6870" i="2"/>
  <c r="I6869" i="2"/>
  <c r="H6869" i="2"/>
  <c r="G6869" i="2"/>
  <c r="I6868" i="2"/>
  <c r="H6868" i="2"/>
  <c r="G6868" i="2"/>
  <c r="I6867" i="2"/>
  <c r="H6867" i="2"/>
  <c r="G6867" i="2"/>
  <c r="I6866" i="2"/>
  <c r="H6866" i="2"/>
  <c r="G6866" i="2"/>
  <c r="I6865" i="2"/>
  <c r="H6865" i="2"/>
  <c r="G6865" i="2"/>
  <c r="I6864" i="2"/>
  <c r="H6864" i="2"/>
  <c r="G6864" i="2"/>
  <c r="I6863" i="2"/>
  <c r="H6863" i="2"/>
  <c r="G6863" i="2"/>
  <c r="I6862" i="2"/>
  <c r="H6862" i="2"/>
  <c r="G6862" i="2"/>
  <c r="I6861" i="2"/>
  <c r="H6861" i="2"/>
  <c r="G6861" i="2"/>
  <c r="I6860" i="2"/>
  <c r="H6860" i="2"/>
  <c r="G6860" i="2"/>
  <c r="I6859" i="2"/>
  <c r="H6859" i="2"/>
  <c r="G6859" i="2"/>
  <c r="I6858" i="2"/>
  <c r="H6858" i="2"/>
  <c r="G6858" i="2"/>
  <c r="I6857" i="2"/>
  <c r="H6857" i="2"/>
  <c r="G6857" i="2"/>
  <c r="I6856" i="2"/>
  <c r="H6856" i="2"/>
  <c r="G6856" i="2"/>
  <c r="I6855" i="2"/>
  <c r="H6855" i="2"/>
  <c r="G6855" i="2"/>
  <c r="I6854" i="2"/>
  <c r="H6854" i="2"/>
  <c r="G6854" i="2"/>
  <c r="I6853" i="2"/>
  <c r="H6853" i="2"/>
  <c r="G6853" i="2"/>
  <c r="I6852" i="2"/>
  <c r="H6852" i="2"/>
  <c r="G6852" i="2"/>
  <c r="I6851" i="2"/>
  <c r="H6851" i="2"/>
  <c r="G6851" i="2"/>
  <c r="I6850" i="2"/>
  <c r="H6850" i="2"/>
  <c r="G6850" i="2"/>
  <c r="I6849" i="2"/>
  <c r="H6849" i="2"/>
  <c r="G6849" i="2"/>
  <c r="I6848" i="2"/>
  <c r="H6848" i="2"/>
  <c r="G6848" i="2"/>
  <c r="I6847" i="2"/>
  <c r="H6847" i="2"/>
  <c r="G6847" i="2"/>
  <c r="I6846" i="2"/>
  <c r="H6846" i="2"/>
  <c r="G6846" i="2"/>
  <c r="I6845" i="2"/>
  <c r="H6845" i="2"/>
  <c r="G6845" i="2"/>
  <c r="I6844" i="2"/>
  <c r="H6844" i="2"/>
  <c r="G6844" i="2"/>
  <c r="I6843" i="2"/>
  <c r="H6843" i="2"/>
  <c r="G6843" i="2"/>
  <c r="I6842" i="2"/>
  <c r="H6842" i="2"/>
  <c r="G6842" i="2"/>
  <c r="I6841" i="2"/>
  <c r="H6841" i="2"/>
  <c r="G6841" i="2"/>
  <c r="I6840" i="2"/>
  <c r="H6840" i="2"/>
  <c r="G6840" i="2"/>
  <c r="I6839" i="2"/>
  <c r="H6839" i="2"/>
  <c r="G6839" i="2"/>
  <c r="I6838" i="2"/>
  <c r="H6838" i="2"/>
  <c r="G6838" i="2"/>
  <c r="I6837" i="2"/>
  <c r="H6837" i="2"/>
  <c r="G6837" i="2"/>
  <c r="I6836" i="2"/>
  <c r="H6836" i="2"/>
  <c r="G6836" i="2"/>
  <c r="I6835" i="2"/>
  <c r="H6835" i="2"/>
  <c r="G6835" i="2"/>
  <c r="I6834" i="2"/>
  <c r="H6834" i="2"/>
  <c r="G6834" i="2"/>
  <c r="I6833" i="2"/>
  <c r="H6833" i="2"/>
  <c r="G6833" i="2"/>
  <c r="I6832" i="2"/>
  <c r="H6832" i="2"/>
  <c r="G6832" i="2"/>
  <c r="I6831" i="2"/>
  <c r="H6831" i="2"/>
  <c r="G6831" i="2"/>
  <c r="I6830" i="2"/>
  <c r="H6830" i="2"/>
  <c r="G6830" i="2"/>
  <c r="I6829" i="2"/>
  <c r="H6829" i="2"/>
  <c r="G6829" i="2"/>
  <c r="I6828" i="2"/>
  <c r="H6828" i="2"/>
  <c r="G6828" i="2"/>
  <c r="I6827" i="2"/>
  <c r="H6827" i="2"/>
  <c r="G6827" i="2"/>
  <c r="I6826" i="2"/>
  <c r="H6826" i="2"/>
  <c r="G6826" i="2"/>
  <c r="I6825" i="2"/>
  <c r="H6825" i="2"/>
  <c r="G6825" i="2"/>
  <c r="I6824" i="2"/>
  <c r="H6824" i="2"/>
  <c r="G6824" i="2"/>
  <c r="I6823" i="2"/>
  <c r="H6823" i="2"/>
  <c r="G6823" i="2"/>
  <c r="I6822" i="2"/>
  <c r="H6822" i="2"/>
  <c r="G6822" i="2"/>
  <c r="I6821" i="2"/>
  <c r="H6821" i="2"/>
  <c r="G6821" i="2"/>
  <c r="I6820" i="2"/>
  <c r="H6820" i="2"/>
  <c r="G6820" i="2"/>
  <c r="I6819" i="2"/>
  <c r="H6819" i="2"/>
  <c r="G6819" i="2"/>
  <c r="I6818" i="2"/>
  <c r="H6818" i="2"/>
  <c r="G6818" i="2"/>
  <c r="I6817" i="2"/>
  <c r="H6817" i="2"/>
  <c r="G6817" i="2"/>
  <c r="I6816" i="2"/>
  <c r="H6816" i="2"/>
  <c r="G6816" i="2"/>
  <c r="I6815" i="2"/>
  <c r="H6815" i="2"/>
  <c r="G6815" i="2"/>
  <c r="I6814" i="2"/>
  <c r="H6814" i="2"/>
  <c r="G6814" i="2"/>
  <c r="I6813" i="2"/>
  <c r="H6813" i="2"/>
  <c r="G6813" i="2"/>
  <c r="I6812" i="2"/>
  <c r="H6812" i="2"/>
  <c r="G6812" i="2"/>
  <c r="I6811" i="2"/>
  <c r="H6811" i="2"/>
  <c r="G6811" i="2"/>
  <c r="I6810" i="2"/>
  <c r="H6810" i="2"/>
  <c r="G6810" i="2"/>
  <c r="I6809" i="2"/>
  <c r="H6809" i="2"/>
  <c r="G6809" i="2"/>
  <c r="I6808" i="2"/>
  <c r="H6808" i="2"/>
  <c r="G6808" i="2"/>
  <c r="I6807" i="2"/>
  <c r="H6807" i="2"/>
  <c r="G6807" i="2"/>
  <c r="I6806" i="2"/>
  <c r="H6806" i="2"/>
  <c r="G6806" i="2"/>
  <c r="I6805" i="2"/>
  <c r="H6805" i="2"/>
  <c r="G6805" i="2"/>
  <c r="I6804" i="2"/>
  <c r="H6804" i="2"/>
  <c r="G6804" i="2"/>
  <c r="I6803" i="2"/>
  <c r="H6803" i="2"/>
  <c r="G6803" i="2"/>
  <c r="I6802" i="2"/>
  <c r="H6802" i="2"/>
  <c r="G6802" i="2"/>
  <c r="I6801" i="2"/>
  <c r="H6801" i="2"/>
  <c r="G6801" i="2"/>
  <c r="I6800" i="2"/>
  <c r="H6800" i="2"/>
  <c r="G6800" i="2"/>
  <c r="I6799" i="2"/>
  <c r="H6799" i="2"/>
  <c r="G6799" i="2"/>
  <c r="I6798" i="2"/>
  <c r="H6798" i="2"/>
  <c r="G6798" i="2"/>
  <c r="I6797" i="2"/>
  <c r="H6797" i="2"/>
  <c r="G6797" i="2"/>
  <c r="I6796" i="2"/>
  <c r="H6796" i="2"/>
  <c r="G6796" i="2"/>
  <c r="I6795" i="2"/>
  <c r="H6795" i="2"/>
  <c r="G6795" i="2"/>
  <c r="I6794" i="2"/>
  <c r="H6794" i="2"/>
  <c r="G6794" i="2"/>
  <c r="I6793" i="2"/>
  <c r="H6793" i="2"/>
  <c r="G6793" i="2"/>
  <c r="I6792" i="2"/>
  <c r="H6792" i="2"/>
  <c r="G6792" i="2"/>
  <c r="I6791" i="2"/>
  <c r="H6791" i="2"/>
  <c r="G6791" i="2"/>
  <c r="I6790" i="2"/>
  <c r="H6790" i="2"/>
  <c r="G6790" i="2"/>
  <c r="I6789" i="2"/>
  <c r="H6789" i="2"/>
  <c r="G6789" i="2"/>
  <c r="I6788" i="2"/>
  <c r="H6788" i="2"/>
  <c r="G6788" i="2"/>
  <c r="I6787" i="2"/>
  <c r="H6787" i="2"/>
  <c r="G6787" i="2"/>
  <c r="I6786" i="2"/>
  <c r="H6786" i="2"/>
  <c r="G6786" i="2"/>
  <c r="I6785" i="2"/>
  <c r="H6785" i="2"/>
  <c r="G6785" i="2"/>
  <c r="I6784" i="2"/>
  <c r="H6784" i="2"/>
  <c r="G6784" i="2"/>
  <c r="I6783" i="2"/>
  <c r="H6783" i="2"/>
  <c r="G6783" i="2"/>
  <c r="I6782" i="2"/>
  <c r="H6782" i="2"/>
  <c r="G6782" i="2"/>
  <c r="I6781" i="2"/>
  <c r="H6781" i="2"/>
  <c r="G6781" i="2"/>
  <c r="I6780" i="2"/>
  <c r="H6780" i="2"/>
  <c r="G6780" i="2"/>
  <c r="I6779" i="2"/>
  <c r="H6779" i="2"/>
  <c r="G6779" i="2"/>
  <c r="I6778" i="2"/>
  <c r="H6778" i="2"/>
  <c r="G6778" i="2"/>
  <c r="I6777" i="2"/>
  <c r="H6777" i="2"/>
  <c r="G6777" i="2"/>
  <c r="I6776" i="2"/>
  <c r="H6776" i="2"/>
  <c r="G6776" i="2"/>
  <c r="I6775" i="2"/>
  <c r="H6775" i="2"/>
  <c r="G6775" i="2"/>
  <c r="I6774" i="2"/>
  <c r="H6774" i="2"/>
  <c r="G6774" i="2"/>
  <c r="I6773" i="2"/>
  <c r="H6773" i="2"/>
  <c r="G6773" i="2"/>
  <c r="I6772" i="2"/>
  <c r="H6772" i="2"/>
  <c r="G6772" i="2"/>
  <c r="I6771" i="2"/>
  <c r="H6771" i="2"/>
  <c r="G6771" i="2"/>
  <c r="I6770" i="2"/>
  <c r="H6770" i="2"/>
  <c r="G6770" i="2"/>
  <c r="I6769" i="2"/>
  <c r="H6769" i="2"/>
  <c r="G6769" i="2"/>
  <c r="I6768" i="2"/>
  <c r="H6768" i="2"/>
  <c r="G6768" i="2"/>
  <c r="I6767" i="2"/>
  <c r="H6767" i="2"/>
  <c r="G6767" i="2"/>
  <c r="I6766" i="2"/>
  <c r="H6766" i="2"/>
  <c r="G6766" i="2"/>
  <c r="I6765" i="2"/>
  <c r="H6765" i="2"/>
  <c r="G6765" i="2"/>
  <c r="I6764" i="2"/>
  <c r="H6764" i="2"/>
  <c r="G6764" i="2"/>
  <c r="I6763" i="2"/>
  <c r="H6763" i="2"/>
  <c r="G6763" i="2"/>
  <c r="I6762" i="2"/>
  <c r="H6762" i="2"/>
  <c r="G6762" i="2"/>
  <c r="I6761" i="2"/>
  <c r="H6761" i="2"/>
  <c r="G6761" i="2"/>
  <c r="I6760" i="2"/>
  <c r="H6760" i="2"/>
  <c r="G6760" i="2"/>
  <c r="I6759" i="2"/>
  <c r="H6759" i="2"/>
  <c r="G6759" i="2"/>
  <c r="I6758" i="2"/>
  <c r="H6758" i="2"/>
  <c r="G6758" i="2"/>
  <c r="I6757" i="2"/>
  <c r="H6757" i="2"/>
  <c r="G6757" i="2"/>
  <c r="I6756" i="2"/>
  <c r="H6756" i="2"/>
  <c r="G6756" i="2"/>
  <c r="I6755" i="2"/>
  <c r="H6755" i="2"/>
  <c r="G6755" i="2"/>
  <c r="I6754" i="2"/>
  <c r="H6754" i="2"/>
  <c r="G6754" i="2"/>
  <c r="I6753" i="2"/>
  <c r="H6753" i="2"/>
  <c r="G6753" i="2"/>
  <c r="I6752" i="2"/>
  <c r="H6752" i="2"/>
  <c r="G6752" i="2"/>
  <c r="I6751" i="2"/>
  <c r="H6751" i="2"/>
  <c r="G6751" i="2"/>
  <c r="I6750" i="2"/>
  <c r="H6750" i="2"/>
  <c r="G6750" i="2"/>
  <c r="I6749" i="2"/>
  <c r="H6749" i="2"/>
  <c r="G6749" i="2"/>
  <c r="I6748" i="2"/>
  <c r="H6748" i="2"/>
  <c r="G6748" i="2"/>
  <c r="I6747" i="2"/>
  <c r="H6747" i="2"/>
  <c r="G6747" i="2"/>
  <c r="I6746" i="2"/>
  <c r="H6746" i="2"/>
  <c r="G6746" i="2"/>
  <c r="I6745" i="2"/>
  <c r="H6745" i="2"/>
  <c r="G6745" i="2"/>
  <c r="I6744" i="2"/>
  <c r="H6744" i="2"/>
  <c r="G6744" i="2"/>
  <c r="I6743" i="2"/>
  <c r="H6743" i="2"/>
  <c r="G6743" i="2"/>
  <c r="I6742" i="2"/>
  <c r="H6742" i="2"/>
  <c r="G6742" i="2"/>
  <c r="I6741" i="2"/>
  <c r="H6741" i="2"/>
  <c r="G6741" i="2"/>
  <c r="I6740" i="2"/>
  <c r="H6740" i="2"/>
  <c r="G6740" i="2"/>
  <c r="I6739" i="2"/>
  <c r="H6739" i="2"/>
  <c r="G6739" i="2"/>
  <c r="I6738" i="2"/>
  <c r="H6738" i="2"/>
  <c r="G6738" i="2"/>
  <c r="I6737" i="2"/>
  <c r="H6737" i="2"/>
  <c r="G6737" i="2"/>
  <c r="I6736" i="2"/>
  <c r="H6736" i="2"/>
  <c r="G6736" i="2"/>
  <c r="I6735" i="2"/>
  <c r="H6735" i="2"/>
  <c r="G6735" i="2"/>
  <c r="I6734" i="2"/>
  <c r="H6734" i="2"/>
  <c r="G6734" i="2"/>
  <c r="I6733" i="2"/>
  <c r="H6733" i="2"/>
  <c r="G6733" i="2"/>
  <c r="I6732" i="2"/>
  <c r="H6732" i="2"/>
  <c r="G6732" i="2"/>
  <c r="I6731" i="2"/>
  <c r="H6731" i="2"/>
  <c r="G6731" i="2"/>
  <c r="I6730" i="2"/>
  <c r="H6730" i="2"/>
  <c r="G6730" i="2"/>
  <c r="I6729" i="2"/>
  <c r="H6729" i="2"/>
  <c r="G6729" i="2"/>
  <c r="I6728" i="2"/>
  <c r="H6728" i="2"/>
  <c r="G6728" i="2"/>
  <c r="I6727" i="2"/>
  <c r="H6727" i="2"/>
  <c r="G6727" i="2"/>
  <c r="I6726" i="2"/>
  <c r="H6726" i="2"/>
  <c r="G6726" i="2"/>
  <c r="I6725" i="2"/>
  <c r="H6725" i="2"/>
  <c r="G6725" i="2"/>
  <c r="I6724" i="2"/>
  <c r="H6724" i="2"/>
  <c r="G6724" i="2"/>
  <c r="I6723" i="2"/>
  <c r="H6723" i="2"/>
  <c r="G6723" i="2"/>
  <c r="I6722" i="2"/>
  <c r="H6722" i="2"/>
  <c r="G6722" i="2"/>
  <c r="I6721" i="2"/>
  <c r="H6721" i="2"/>
  <c r="G6721" i="2"/>
  <c r="I6720" i="2"/>
  <c r="H6720" i="2"/>
  <c r="G6720" i="2"/>
  <c r="I6719" i="2"/>
  <c r="H6719" i="2"/>
  <c r="G6719" i="2"/>
  <c r="I6718" i="2"/>
  <c r="H6718" i="2"/>
  <c r="G6718" i="2"/>
  <c r="I6717" i="2"/>
  <c r="H6717" i="2"/>
  <c r="G6717" i="2"/>
  <c r="I6716" i="2"/>
  <c r="H6716" i="2"/>
  <c r="G6716" i="2"/>
  <c r="I6715" i="2"/>
  <c r="H6715" i="2"/>
  <c r="G6715" i="2"/>
  <c r="I6714" i="2"/>
  <c r="H6714" i="2"/>
  <c r="G6714" i="2"/>
  <c r="I6713" i="2"/>
  <c r="H6713" i="2"/>
  <c r="G6713" i="2"/>
  <c r="I6712" i="2"/>
  <c r="H6712" i="2"/>
  <c r="G6712" i="2"/>
  <c r="I6711" i="2"/>
  <c r="H6711" i="2"/>
  <c r="G6711" i="2"/>
  <c r="I6710" i="2"/>
  <c r="H6710" i="2"/>
  <c r="G6710" i="2"/>
  <c r="I6709" i="2"/>
  <c r="H6709" i="2"/>
  <c r="G6709" i="2"/>
  <c r="I6708" i="2"/>
  <c r="H6708" i="2"/>
  <c r="G6708" i="2"/>
  <c r="I6707" i="2"/>
  <c r="H6707" i="2"/>
  <c r="G6707" i="2"/>
  <c r="I6706" i="2"/>
  <c r="H6706" i="2"/>
  <c r="G6706" i="2"/>
  <c r="I6705" i="2"/>
  <c r="H6705" i="2"/>
  <c r="G6705" i="2"/>
  <c r="I6704" i="2"/>
  <c r="H6704" i="2"/>
  <c r="G6704" i="2"/>
  <c r="I6703" i="2"/>
  <c r="H6703" i="2"/>
  <c r="G6703" i="2"/>
  <c r="I6702" i="2"/>
  <c r="H6702" i="2"/>
  <c r="G6702" i="2"/>
  <c r="I6701" i="2"/>
  <c r="H6701" i="2"/>
  <c r="G6701" i="2"/>
  <c r="I6700" i="2"/>
  <c r="H6700" i="2"/>
  <c r="G6700" i="2"/>
  <c r="I6699" i="2"/>
  <c r="H6699" i="2"/>
  <c r="G6699" i="2"/>
  <c r="I6698" i="2"/>
  <c r="H6698" i="2"/>
  <c r="G6698" i="2"/>
  <c r="I6697" i="2"/>
  <c r="H6697" i="2"/>
  <c r="G6697" i="2"/>
  <c r="I6696" i="2"/>
  <c r="H6696" i="2"/>
  <c r="G6696" i="2"/>
  <c r="I6695" i="2"/>
  <c r="H6695" i="2"/>
  <c r="G6695" i="2"/>
  <c r="I6694" i="2"/>
  <c r="H6694" i="2"/>
  <c r="G6694" i="2"/>
  <c r="I6693" i="2"/>
  <c r="H6693" i="2"/>
  <c r="G6693" i="2"/>
  <c r="I6692" i="2"/>
  <c r="H6692" i="2"/>
  <c r="G6692" i="2"/>
  <c r="I6691" i="2"/>
  <c r="H6691" i="2"/>
  <c r="G6691" i="2"/>
  <c r="I6690" i="2"/>
  <c r="H6690" i="2"/>
  <c r="G6690" i="2"/>
  <c r="I6689" i="2"/>
  <c r="H6689" i="2"/>
  <c r="G6689" i="2"/>
  <c r="I6688" i="2"/>
  <c r="H6688" i="2"/>
  <c r="G6688" i="2"/>
  <c r="I6687" i="2"/>
  <c r="H6687" i="2"/>
  <c r="G6687" i="2"/>
  <c r="I6686" i="2"/>
  <c r="H6686" i="2"/>
  <c r="G6686" i="2"/>
  <c r="I6685" i="2"/>
  <c r="H6685" i="2"/>
  <c r="G6685" i="2"/>
  <c r="I6684" i="2"/>
  <c r="H6684" i="2"/>
  <c r="G6684" i="2"/>
  <c r="I6683" i="2"/>
  <c r="H6683" i="2"/>
  <c r="G6683" i="2"/>
  <c r="I6682" i="2"/>
  <c r="H6682" i="2"/>
  <c r="G6682" i="2"/>
  <c r="I6681" i="2"/>
  <c r="H6681" i="2"/>
  <c r="G6681" i="2"/>
  <c r="I6680" i="2"/>
  <c r="H6680" i="2"/>
  <c r="G6680" i="2"/>
  <c r="I6679" i="2"/>
  <c r="H6679" i="2"/>
  <c r="G6679" i="2"/>
  <c r="I6678" i="2"/>
  <c r="H6678" i="2"/>
  <c r="G6678" i="2"/>
  <c r="I6677" i="2"/>
  <c r="H6677" i="2"/>
  <c r="G6677" i="2"/>
  <c r="I6676" i="2"/>
  <c r="H6676" i="2"/>
  <c r="G6676" i="2"/>
  <c r="I6675" i="2"/>
  <c r="H6675" i="2"/>
  <c r="G6675" i="2"/>
  <c r="I6674" i="2"/>
  <c r="H6674" i="2"/>
  <c r="G6674" i="2"/>
  <c r="I6673" i="2"/>
  <c r="H6673" i="2"/>
  <c r="G6673" i="2"/>
  <c r="I6672" i="2"/>
  <c r="H6672" i="2"/>
  <c r="G6672" i="2"/>
  <c r="I6671" i="2"/>
  <c r="H6671" i="2"/>
  <c r="G6671" i="2"/>
  <c r="I6670" i="2"/>
  <c r="H6670" i="2"/>
  <c r="G6670" i="2"/>
  <c r="I6669" i="2"/>
  <c r="H6669" i="2"/>
  <c r="G6669" i="2"/>
  <c r="I6668" i="2"/>
  <c r="H6668" i="2"/>
  <c r="G6668" i="2"/>
  <c r="I6667" i="2"/>
  <c r="H6667" i="2"/>
  <c r="G6667" i="2"/>
  <c r="I6666" i="2"/>
  <c r="H6666" i="2"/>
  <c r="G6666" i="2"/>
  <c r="I6665" i="2"/>
  <c r="H6665" i="2"/>
  <c r="G6665" i="2"/>
  <c r="I6664" i="2"/>
  <c r="H6664" i="2"/>
  <c r="G6664" i="2"/>
  <c r="I6663" i="2"/>
  <c r="H6663" i="2"/>
  <c r="G6663" i="2"/>
  <c r="I6662" i="2"/>
  <c r="H6662" i="2"/>
  <c r="G6662" i="2"/>
  <c r="I6661" i="2"/>
  <c r="H6661" i="2"/>
  <c r="G6661" i="2"/>
  <c r="I6660" i="2"/>
  <c r="H6660" i="2"/>
  <c r="G6660" i="2"/>
  <c r="I6659" i="2"/>
  <c r="H6659" i="2"/>
  <c r="G6659" i="2"/>
  <c r="I6658" i="2"/>
  <c r="H6658" i="2"/>
  <c r="G6658" i="2"/>
  <c r="I6657" i="2"/>
  <c r="H6657" i="2"/>
  <c r="G6657" i="2"/>
  <c r="I6656" i="2"/>
  <c r="H6656" i="2"/>
  <c r="G6656" i="2"/>
  <c r="I6655" i="2"/>
  <c r="H6655" i="2"/>
  <c r="G6655" i="2"/>
  <c r="I6654" i="2"/>
  <c r="H6654" i="2"/>
  <c r="G6654" i="2"/>
  <c r="I6653" i="2"/>
  <c r="H6653" i="2"/>
  <c r="G6653" i="2"/>
  <c r="I6652" i="2"/>
  <c r="H6652" i="2"/>
  <c r="G6652" i="2"/>
  <c r="I6651" i="2"/>
  <c r="H6651" i="2"/>
  <c r="G6651" i="2"/>
  <c r="I6650" i="2"/>
  <c r="H6650" i="2"/>
  <c r="G6650" i="2"/>
  <c r="I6649" i="2"/>
  <c r="H6649" i="2"/>
  <c r="G6649" i="2"/>
  <c r="I6648" i="2"/>
  <c r="H6648" i="2"/>
  <c r="G6648" i="2"/>
  <c r="I6647" i="2"/>
  <c r="H6647" i="2"/>
  <c r="G6647" i="2"/>
  <c r="I6646" i="2"/>
  <c r="H6646" i="2"/>
  <c r="G6646" i="2"/>
  <c r="I6645" i="2"/>
  <c r="H6645" i="2"/>
  <c r="G6645" i="2"/>
  <c r="I6644" i="2"/>
  <c r="H6644" i="2"/>
  <c r="G6644" i="2"/>
  <c r="I6643" i="2"/>
  <c r="H6643" i="2"/>
  <c r="G6643" i="2"/>
  <c r="I6642" i="2"/>
  <c r="H6642" i="2"/>
  <c r="G6642" i="2"/>
  <c r="I6641" i="2"/>
  <c r="H6641" i="2"/>
  <c r="G6641" i="2"/>
  <c r="I6640" i="2"/>
  <c r="H6640" i="2"/>
  <c r="G6640" i="2"/>
  <c r="I6639" i="2"/>
  <c r="H6639" i="2"/>
  <c r="G6639" i="2"/>
  <c r="I6638" i="2"/>
  <c r="H6638" i="2"/>
  <c r="G6638" i="2"/>
  <c r="I6637" i="2"/>
  <c r="H6637" i="2"/>
  <c r="G6637" i="2"/>
  <c r="I6636" i="2"/>
  <c r="H6636" i="2"/>
  <c r="G6636" i="2"/>
  <c r="I6635" i="2"/>
  <c r="H6635" i="2"/>
  <c r="G6635" i="2"/>
  <c r="I6634" i="2"/>
  <c r="H6634" i="2"/>
  <c r="G6634" i="2"/>
  <c r="I6633" i="2"/>
  <c r="H6633" i="2"/>
  <c r="G6633" i="2"/>
  <c r="I6632" i="2"/>
  <c r="H6632" i="2"/>
  <c r="G6632" i="2"/>
  <c r="I6631" i="2"/>
  <c r="H6631" i="2"/>
  <c r="G6631" i="2"/>
  <c r="I6630" i="2"/>
  <c r="H6630" i="2"/>
  <c r="G6630" i="2"/>
  <c r="I6629" i="2"/>
  <c r="H6629" i="2"/>
  <c r="G6629" i="2"/>
  <c r="I6628" i="2"/>
  <c r="H6628" i="2"/>
  <c r="G6628" i="2"/>
  <c r="I6627" i="2"/>
  <c r="H6627" i="2"/>
  <c r="G6627" i="2"/>
  <c r="I6626" i="2"/>
  <c r="H6626" i="2"/>
  <c r="G6626" i="2"/>
  <c r="I6625" i="2"/>
  <c r="H6625" i="2"/>
  <c r="G6625" i="2"/>
  <c r="I6624" i="2"/>
  <c r="H6624" i="2"/>
  <c r="G6624" i="2"/>
  <c r="I6623" i="2"/>
  <c r="H6623" i="2"/>
  <c r="G6623" i="2"/>
  <c r="I6622" i="2"/>
  <c r="H6622" i="2"/>
  <c r="G6622" i="2"/>
  <c r="I6621" i="2"/>
  <c r="H6621" i="2"/>
  <c r="G6621" i="2"/>
  <c r="I6620" i="2"/>
  <c r="H6620" i="2"/>
  <c r="G6620" i="2"/>
  <c r="I6619" i="2"/>
  <c r="H6619" i="2"/>
  <c r="G6619" i="2"/>
  <c r="I6618" i="2"/>
  <c r="H6618" i="2"/>
  <c r="G6618" i="2"/>
  <c r="I6617" i="2"/>
  <c r="H6617" i="2"/>
  <c r="G6617" i="2"/>
  <c r="I6616" i="2"/>
  <c r="H6616" i="2"/>
  <c r="G6616" i="2"/>
  <c r="I6615" i="2"/>
  <c r="H6615" i="2"/>
  <c r="G6615" i="2"/>
  <c r="I6614" i="2"/>
  <c r="H6614" i="2"/>
  <c r="G6614" i="2"/>
  <c r="I6613" i="2"/>
  <c r="H6613" i="2"/>
  <c r="G6613" i="2"/>
  <c r="I6612" i="2"/>
  <c r="H6612" i="2"/>
  <c r="G6612" i="2"/>
  <c r="I6611" i="2"/>
  <c r="H6611" i="2"/>
  <c r="G6611" i="2"/>
  <c r="I6610" i="2"/>
  <c r="H6610" i="2"/>
  <c r="G6610" i="2"/>
  <c r="I6609" i="2"/>
  <c r="H6609" i="2"/>
  <c r="G6609" i="2"/>
  <c r="I6608" i="2"/>
  <c r="H6608" i="2"/>
  <c r="G6608" i="2"/>
  <c r="I6607" i="2"/>
  <c r="H6607" i="2"/>
  <c r="G6607" i="2"/>
  <c r="I6606" i="2"/>
  <c r="H6606" i="2"/>
  <c r="G6606" i="2"/>
  <c r="I6605" i="2"/>
  <c r="H6605" i="2"/>
  <c r="G6605" i="2"/>
  <c r="I6604" i="2"/>
  <c r="H6604" i="2"/>
  <c r="G6604" i="2"/>
  <c r="I6603" i="2"/>
  <c r="H6603" i="2"/>
  <c r="G6603" i="2"/>
  <c r="I6602" i="2"/>
  <c r="H6602" i="2"/>
  <c r="G6602" i="2"/>
  <c r="I6601" i="2"/>
  <c r="H6601" i="2"/>
  <c r="G6601" i="2"/>
  <c r="I6600" i="2"/>
  <c r="H6600" i="2"/>
  <c r="G6600" i="2"/>
  <c r="I6599" i="2"/>
  <c r="H6599" i="2"/>
  <c r="G6599" i="2"/>
  <c r="I6598" i="2"/>
  <c r="H6598" i="2"/>
  <c r="G6598" i="2"/>
  <c r="I6597" i="2"/>
  <c r="H6597" i="2"/>
  <c r="G6597" i="2"/>
  <c r="I6596" i="2"/>
  <c r="H6596" i="2"/>
  <c r="G6596" i="2"/>
  <c r="I6595" i="2"/>
  <c r="H6595" i="2"/>
  <c r="G6595" i="2"/>
  <c r="I6594" i="2"/>
  <c r="H6594" i="2"/>
  <c r="G6594" i="2"/>
  <c r="I6593" i="2"/>
  <c r="H6593" i="2"/>
  <c r="G6593" i="2"/>
  <c r="I6592" i="2"/>
  <c r="H6592" i="2"/>
  <c r="G6592" i="2"/>
  <c r="I6591" i="2"/>
  <c r="H6591" i="2"/>
  <c r="G6591" i="2"/>
  <c r="I6590" i="2"/>
  <c r="H6590" i="2"/>
  <c r="G6590" i="2"/>
  <c r="I6589" i="2"/>
  <c r="H6589" i="2"/>
  <c r="G6589" i="2"/>
  <c r="I6588" i="2"/>
  <c r="H6588" i="2"/>
  <c r="G6588" i="2"/>
  <c r="I6587" i="2"/>
  <c r="H6587" i="2"/>
  <c r="G6587" i="2"/>
  <c r="I6586" i="2"/>
  <c r="H6586" i="2"/>
  <c r="G6586" i="2"/>
  <c r="I6585" i="2"/>
  <c r="H6585" i="2"/>
  <c r="G6585" i="2"/>
  <c r="I6584" i="2"/>
  <c r="H6584" i="2"/>
  <c r="G6584" i="2"/>
  <c r="I6583" i="2"/>
  <c r="H6583" i="2"/>
  <c r="G6583" i="2"/>
  <c r="I6582" i="2"/>
  <c r="H6582" i="2"/>
  <c r="G6582" i="2"/>
  <c r="I6581" i="2"/>
  <c r="H6581" i="2"/>
  <c r="G6581" i="2"/>
  <c r="I6580" i="2"/>
  <c r="H6580" i="2"/>
  <c r="G6580" i="2"/>
  <c r="I6579" i="2"/>
  <c r="H6579" i="2"/>
  <c r="G6579" i="2"/>
  <c r="I6578" i="2"/>
  <c r="H6578" i="2"/>
  <c r="G6578" i="2"/>
  <c r="I6577" i="2"/>
  <c r="H6577" i="2"/>
  <c r="G6577" i="2"/>
  <c r="I6576" i="2"/>
  <c r="H6576" i="2"/>
  <c r="G6576" i="2"/>
  <c r="I6575" i="2"/>
  <c r="H6575" i="2"/>
  <c r="G6575" i="2"/>
  <c r="I6574" i="2"/>
  <c r="H6574" i="2"/>
  <c r="G6574" i="2"/>
  <c r="I6573" i="2"/>
  <c r="H6573" i="2"/>
  <c r="G6573" i="2"/>
  <c r="I6572" i="2"/>
  <c r="H6572" i="2"/>
  <c r="G6572" i="2"/>
  <c r="I6571" i="2"/>
  <c r="H6571" i="2"/>
  <c r="G6571" i="2"/>
  <c r="I6570" i="2"/>
  <c r="H6570" i="2"/>
  <c r="G6570" i="2"/>
  <c r="I6569" i="2"/>
  <c r="H6569" i="2"/>
  <c r="G6569" i="2"/>
  <c r="I6568" i="2"/>
  <c r="H6568" i="2"/>
  <c r="G6568" i="2"/>
  <c r="I6567" i="2"/>
  <c r="H6567" i="2"/>
  <c r="G6567" i="2"/>
  <c r="I6566" i="2"/>
  <c r="H6566" i="2"/>
  <c r="G6566" i="2"/>
  <c r="I6565" i="2"/>
  <c r="H6565" i="2"/>
  <c r="G6565" i="2"/>
  <c r="I6564" i="2"/>
  <c r="H6564" i="2"/>
  <c r="G6564" i="2"/>
  <c r="I6563" i="2"/>
  <c r="H6563" i="2"/>
  <c r="G6563" i="2"/>
  <c r="I6562" i="2"/>
  <c r="H6562" i="2"/>
  <c r="G6562" i="2"/>
  <c r="I6561" i="2"/>
  <c r="H6561" i="2"/>
  <c r="G6561" i="2"/>
  <c r="I6560" i="2"/>
  <c r="H6560" i="2"/>
  <c r="G6560" i="2"/>
  <c r="I6559" i="2"/>
  <c r="H6559" i="2"/>
  <c r="G6559" i="2"/>
  <c r="I6558" i="2"/>
  <c r="H6558" i="2"/>
  <c r="G6558" i="2"/>
  <c r="I6557" i="2"/>
  <c r="H6557" i="2"/>
  <c r="G6557" i="2"/>
  <c r="I6556" i="2"/>
  <c r="H6556" i="2"/>
  <c r="G6556" i="2"/>
  <c r="I6555" i="2"/>
  <c r="H6555" i="2"/>
  <c r="G6555" i="2"/>
  <c r="I6554" i="2"/>
  <c r="H6554" i="2"/>
  <c r="G6554" i="2"/>
  <c r="I6553" i="2"/>
  <c r="H6553" i="2"/>
  <c r="G6553" i="2"/>
  <c r="I6552" i="2"/>
  <c r="H6552" i="2"/>
  <c r="G6552" i="2"/>
  <c r="I6551" i="2"/>
  <c r="H6551" i="2"/>
  <c r="G6551" i="2"/>
  <c r="I6550" i="2"/>
  <c r="H6550" i="2"/>
  <c r="G6550" i="2"/>
  <c r="I6549" i="2"/>
  <c r="H6549" i="2"/>
  <c r="G6549" i="2"/>
  <c r="I6548" i="2"/>
  <c r="H6548" i="2"/>
  <c r="G6548" i="2"/>
  <c r="I6547" i="2"/>
  <c r="H6547" i="2"/>
  <c r="G6547" i="2"/>
  <c r="I6546" i="2"/>
  <c r="H6546" i="2"/>
  <c r="G6546" i="2"/>
  <c r="I6545" i="2"/>
  <c r="H6545" i="2"/>
  <c r="G6545" i="2"/>
  <c r="I6544" i="2"/>
  <c r="H6544" i="2"/>
  <c r="G6544" i="2"/>
  <c r="I6543" i="2"/>
  <c r="H6543" i="2"/>
  <c r="G6543" i="2"/>
  <c r="I6542" i="2"/>
  <c r="H6542" i="2"/>
  <c r="G6542" i="2"/>
  <c r="I6541" i="2"/>
  <c r="H6541" i="2"/>
  <c r="G6541" i="2"/>
  <c r="I6540" i="2"/>
  <c r="H6540" i="2"/>
  <c r="G6540" i="2"/>
  <c r="I6539" i="2"/>
  <c r="H6539" i="2"/>
  <c r="G6539" i="2"/>
  <c r="I6538" i="2"/>
  <c r="H6538" i="2"/>
  <c r="G6538" i="2"/>
  <c r="I6537" i="2"/>
  <c r="H6537" i="2"/>
  <c r="G6537" i="2"/>
  <c r="I6536" i="2"/>
  <c r="H6536" i="2"/>
  <c r="G6536" i="2"/>
  <c r="I6535" i="2"/>
  <c r="H6535" i="2"/>
  <c r="G6535" i="2"/>
  <c r="I6534" i="2"/>
  <c r="H6534" i="2"/>
  <c r="G6534" i="2"/>
  <c r="I6533" i="2"/>
  <c r="H6533" i="2"/>
  <c r="G6533" i="2"/>
  <c r="I6532" i="2"/>
  <c r="H6532" i="2"/>
  <c r="G6532" i="2"/>
  <c r="I6531" i="2"/>
  <c r="H6531" i="2"/>
  <c r="G6531" i="2"/>
  <c r="I6530" i="2"/>
  <c r="H6530" i="2"/>
  <c r="G6530" i="2"/>
  <c r="I6529" i="2"/>
  <c r="H6529" i="2"/>
  <c r="G6529" i="2"/>
  <c r="I6528" i="2"/>
  <c r="H6528" i="2"/>
  <c r="G6528" i="2"/>
  <c r="I6527" i="2"/>
  <c r="H6527" i="2"/>
  <c r="G6527" i="2"/>
  <c r="I6526" i="2"/>
  <c r="H6526" i="2"/>
  <c r="G6526" i="2"/>
  <c r="I6525" i="2"/>
  <c r="H6525" i="2"/>
  <c r="G6525" i="2"/>
  <c r="I6524" i="2"/>
  <c r="H6524" i="2"/>
  <c r="G6524" i="2"/>
  <c r="I6523" i="2"/>
  <c r="H6523" i="2"/>
  <c r="G6523" i="2"/>
  <c r="I6522" i="2"/>
  <c r="H6522" i="2"/>
  <c r="G6522" i="2"/>
  <c r="I6521" i="2"/>
  <c r="H6521" i="2"/>
  <c r="G6521" i="2"/>
  <c r="I6520" i="2"/>
  <c r="H6520" i="2"/>
  <c r="G6520" i="2"/>
  <c r="I6519" i="2"/>
  <c r="H6519" i="2"/>
  <c r="G6519" i="2"/>
  <c r="I6518" i="2"/>
  <c r="H6518" i="2"/>
  <c r="G6518" i="2"/>
  <c r="I6517" i="2"/>
  <c r="H6517" i="2"/>
  <c r="G6517" i="2"/>
  <c r="I6516" i="2"/>
  <c r="H6516" i="2"/>
  <c r="G6516" i="2"/>
  <c r="I6515" i="2"/>
  <c r="H6515" i="2"/>
  <c r="G6515" i="2"/>
  <c r="I6514" i="2"/>
  <c r="H6514" i="2"/>
  <c r="G6514" i="2"/>
  <c r="I6513" i="2"/>
  <c r="H6513" i="2"/>
  <c r="G6513" i="2"/>
  <c r="I6512" i="2"/>
  <c r="H6512" i="2"/>
  <c r="G6512" i="2"/>
  <c r="I6511" i="2"/>
  <c r="H6511" i="2"/>
  <c r="G6511" i="2"/>
  <c r="I6510" i="2"/>
  <c r="H6510" i="2"/>
  <c r="G6510" i="2"/>
  <c r="I6509" i="2"/>
  <c r="H6509" i="2"/>
  <c r="G6509" i="2"/>
  <c r="I6508" i="2"/>
  <c r="H6508" i="2"/>
  <c r="G6508" i="2"/>
  <c r="I6507" i="2"/>
  <c r="H6507" i="2"/>
  <c r="G6507" i="2"/>
  <c r="I6506" i="2"/>
  <c r="H6506" i="2"/>
  <c r="G6506" i="2"/>
  <c r="I6505" i="2"/>
  <c r="H6505" i="2"/>
  <c r="G6505" i="2"/>
  <c r="I6504" i="2"/>
  <c r="H6504" i="2"/>
  <c r="G6504" i="2"/>
  <c r="I6503" i="2"/>
  <c r="H6503" i="2"/>
  <c r="G6503" i="2"/>
  <c r="I6502" i="2"/>
  <c r="H6502" i="2"/>
  <c r="G6502" i="2"/>
  <c r="I6501" i="2"/>
  <c r="H6501" i="2"/>
  <c r="G6501" i="2"/>
  <c r="I6500" i="2"/>
  <c r="H6500" i="2"/>
  <c r="G6500" i="2"/>
  <c r="I6499" i="2"/>
  <c r="H6499" i="2"/>
  <c r="G6499" i="2"/>
  <c r="I6498" i="2"/>
  <c r="H6498" i="2"/>
  <c r="G6498" i="2"/>
  <c r="I6497" i="2"/>
  <c r="H6497" i="2"/>
  <c r="G6497" i="2"/>
  <c r="I6496" i="2"/>
  <c r="H6496" i="2"/>
  <c r="G6496" i="2"/>
  <c r="I6495" i="2"/>
  <c r="H6495" i="2"/>
  <c r="G6495" i="2"/>
  <c r="I6494" i="2"/>
  <c r="H6494" i="2"/>
  <c r="G6494" i="2"/>
  <c r="I6493" i="2"/>
  <c r="H6493" i="2"/>
  <c r="G6493" i="2"/>
  <c r="I6492" i="2"/>
  <c r="H6492" i="2"/>
  <c r="G6492" i="2"/>
  <c r="I6491" i="2"/>
  <c r="H6491" i="2"/>
  <c r="G6491" i="2"/>
  <c r="I6490" i="2"/>
  <c r="H6490" i="2"/>
  <c r="G6490" i="2"/>
  <c r="I6489" i="2"/>
  <c r="H6489" i="2"/>
  <c r="G6489" i="2"/>
  <c r="I6488" i="2"/>
  <c r="H6488" i="2"/>
  <c r="G6488" i="2"/>
  <c r="I6487" i="2"/>
  <c r="H6487" i="2"/>
  <c r="G6487" i="2"/>
  <c r="I6486" i="2"/>
  <c r="H6486" i="2"/>
  <c r="G6486" i="2"/>
  <c r="I6485" i="2"/>
  <c r="H6485" i="2"/>
  <c r="G6485" i="2"/>
  <c r="I6484" i="2"/>
  <c r="H6484" i="2"/>
  <c r="G6484" i="2"/>
  <c r="I6483" i="2"/>
  <c r="H6483" i="2"/>
  <c r="G6483" i="2"/>
  <c r="I6482" i="2"/>
  <c r="H6482" i="2"/>
  <c r="G6482" i="2"/>
  <c r="I6481" i="2"/>
  <c r="H6481" i="2"/>
  <c r="G6481" i="2"/>
  <c r="I6480" i="2"/>
  <c r="H6480" i="2"/>
  <c r="G6480" i="2"/>
  <c r="I6479" i="2"/>
  <c r="H6479" i="2"/>
  <c r="G6479" i="2"/>
  <c r="I6478" i="2"/>
  <c r="H6478" i="2"/>
  <c r="G6478" i="2"/>
  <c r="I6477" i="2"/>
  <c r="H6477" i="2"/>
  <c r="G6477" i="2"/>
  <c r="I6476" i="2"/>
  <c r="H6476" i="2"/>
  <c r="G6476" i="2"/>
  <c r="I6475" i="2"/>
  <c r="H6475" i="2"/>
  <c r="G6475" i="2"/>
  <c r="I6474" i="2"/>
  <c r="H6474" i="2"/>
  <c r="G6474" i="2"/>
  <c r="I6473" i="2"/>
  <c r="H6473" i="2"/>
  <c r="G6473" i="2"/>
  <c r="I6472" i="2"/>
  <c r="H6472" i="2"/>
  <c r="G6472" i="2"/>
  <c r="I6471" i="2"/>
  <c r="H6471" i="2"/>
  <c r="G6471" i="2"/>
  <c r="I6470" i="2"/>
  <c r="H6470" i="2"/>
  <c r="G6470" i="2"/>
  <c r="I6469" i="2"/>
  <c r="H6469" i="2"/>
  <c r="G6469" i="2"/>
  <c r="I6468" i="2"/>
  <c r="H6468" i="2"/>
  <c r="G6468" i="2"/>
  <c r="I6467" i="2"/>
  <c r="H6467" i="2"/>
  <c r="G6467" i="2"/>
  <c r="I6466" i="2"/>
  <c r="H6466" i="2"/>
  <c r="G6466" i="2"/>
  <c r="I6465" i="2"/>
  <c r="H6465" i="2"/>
  <c r="G6465" i="2"/>
  <c r="I6464" i="2"/>
  <c r="H6464" i="2"/>
  <c r="G6464" i="2"/>
  <c r="I6463" i="2"/>
  <c r="H6463" i="2"/>
  <c r="G6463" i="2"/>
  <c r="I6462" i="2"/>
  <c r="H6462" i="2"/>
  <c r="G6462" i="2"/>
  <c r="I6461" i="2"/>
  <c r="H6461" i="2"/>
  <c r="G6461" i="2"/>
  <c r="I6460" i="2"/>
  <c r="H6460" i="2"/>
  <c r="G6460" i="2"/>
  <c r="I6459" i="2"/>
  <c r="H6459" i="2"/>
  <c r="G6459" i="2"/>
  <c r="I6458" i="2"/>
  <c r="H6458" i="2"/>
  <c r="G6458" i="2"/>
  <c r="I6457" i="2"/>
  <c r="H6457" i="2"/>
  <c r="G6457" i="2"/>
  <c r="I6456" i="2"/>
  <c r="H6456" i="2"/>
  <c r="G6456" i="2"/>
  <c r="I6455" i="2"/>
  <c r="H6455" i="2"/>
  <c r="G6455" i="2"/>
  <c r="I6454" i="2"/>
  <c r="H6454" i="2"/>
  <c r="G6454" i="2"/>
  <c r="I6453" i="2"/>
  <c r="H6453" i="2"/>
  <c r="G6453" i="2"/>
  <c r="I6452" i="2"/>
  <c r="H6452" i="2"/>
  <c r="G6452" i="2"/>
  <c r="I6451" i="2"/>
  <c r="H6451" i="2"/>
  <c r="G6451" i="2"/>
  <c r="I6450" i="2"/>
  <c r="H6450" i="2"/>
  <c r="G6450" i="2"/>
  <c r="I6449" i="2"/>
  <c r="H6449" i="2"/>
  <c r="G6449" i="2"/>
  <c r="I6448" i="2"/>
  <c r="H6448" i="2"/>
  <c r="G6448" i="2"/>
  <c r="I6447" i="2"/>
  <c r="H6447" i="2"/>
  <c r="G6447" i="2"/>
  <c r="I6446" i="2"/>
  <c r="H6446" i="2"/>
  <c r="G6446" i="2"/>
  <c r="I6445" i="2"/>
  <c r="H6445" i="2"/>
  <c r="G6445" i="2"/>
  <c r="I6444" i="2"/>
  <c r="H6444" i="2"/>
  <c r="G6444" i="2"/>
  <c r="I6443" i="2"/>
  <c r="H6443" i="2"/>
  <c r="G6443" i="2"/>
  <c r="I6442" i="2"/>
  <c r="H6442" i="2"/>
  <c r="G6442" i="2"/>
  <c r="I6441" i="2"/>
  <c r="H6441" i="2"/>
  <c r="G6441" i="2"/>
  <c r="I6440" i="2"/>
  <c r="H6440" i="2"/>
  <c r="G6440" i="2"/>
  <c r="I6439" i="2"/>
  <c r="H6439" i="2"/>
  <c r="G6439" i="2"/>
  <c r="I6438" i="2"/>
  <c r="H6438" i="2"/>
  <c r="G6438" i="2"/>
  <c r="I6437" i="2"/>
  <c r="H6437" i="2"/>
  <c r="G6437" i="2"/>
  <c r="I6436" i="2"/>
  <c r="H6436" i="2"/>
  <c r="G6436" i="2"/>
  <c r="I6435" i="2"/>
  <c r="H6435" i="2"/>
  <c r="G6435" i="2"/>
  <c r="I6434" i="2"/>
  <c r="H6434" i="2"/>
  <c r="G6434" i="2"/>
  <c r="I6433" i="2"/>
  <c r="H6433" i="2"/>
  <c r="G6433" i="2"/>
  <c r="I6432" i="2"/>
  <c r="H6432" i="2"/>
  <c r="G6432" i="2"/>
  <c r="I6431" i="2"/>
  <c r="H6431" i="2"/>
  <c r="G6431" i="2"/>
  <c r="I6430" i="2"/>
  <c r="H6430" i="2"/>
  <c r="G6430" i="2"/>
  <c r="I6429" i="2"/>
  <c r="H6429" i="2"/>
  <c r="G6429" i="2"/>
  <c r="I6428" i="2"/>
  <c r="H6428" i="2"/>
  <c r="G6428" i="2"/>
  <c r="I6427" i="2"/>
  <c r="H6427" i="2"/>
  <c r="G6427" i="2"/>
  <c r="I6426" i="2"/>
  <c r="H6426" i="2"/>
  <c r="G6426" i="2"/>
  <c r="I6425" i="2"/>
  <c r="H6425" i="2"/>
  <c r="G6425" i="2"/>
  <c r="I6424" i="2"/>
  <c r="H6424" i="2"/>
  <c r="G6424" i="2"/>
  <c r="I6423" i="2"/>
  <c r="H6423" i="2"/>
  <c r="G6423" i="2"/>
  <c r="I6422" i="2"/>
  <c r="H6422" i="2"/>
  <c r="G6422" i="2"/>
  <c r="I6421" i="2"/>
  <c r="H6421" i="2"/>
  <c r="G6421" i="2"/>
  <c r="I6420" i="2"/>
  <c r="H6420" i="2"/>
  <c r="G6420" i="2"/>
  <c r="I6419" i="2"/>
  <c r="H6419" i="2"/>
  <c r="G6419" i="2"/>
  <c r="I6418" i="2"/>
  <c r="H6418" i="2"/>
  <c r="G6418" i="2"/>
  <c r="I6417" i="2"/>
  <c r="H6417" i="2"/>
  <c r="G6417" i="2"/>
  <c r="I6416" i="2"/>
  <c r="H6416" i="2"/>
  <c r="G6416" i="2"/>
  <c r="I6415" i="2"/>
  <c r="H6415" i="2"/>
  <c r="G6415" i="2"/>
  <c r="I6414" i="2"/>
  <c r="H6414" i="2"/>
  <c r="G6414" i="2"/>
  <c r="I6413" i="2"/>
  <c r="H6413" i="2"/>
  <c r="G6413" i="2"/>
  <c r="I6412" i="2"/>
  <c r="H6412" i="2"/>
  <c r="G6412" i="2"/>
  <c r="I6411" i="2"/>
  <c r="H6411" i="2"/>
  <c r="G6411" i="2"/>
  <c r="I6410" i="2"/>
  <c r="H6410" i="2"/>
  <c r="G6410" i="2"/>
  <c r="I6409" i="2"/>
  <c r="H6409" i="2"/>
  <c r="G6409" i="2"/>
  <c r="I6408" i="2"/>
  <c r="H6408" i="2"/>
  <c r="G6408" i="2"/>
  <c r="I6407" i="2"/>
  <c r="H6407" i="2"/>
  <c r="G6407" i="2"/>
  <c r="I6406" i="2"/>
  <c r="H6406" i="2"/>
  <c r="G6406" i="2"/>
  <c r="I6405" i="2"/>
  <c r="H6405" i="2"/>
  <c r="G6405" i="2"/>
  <c r="I6404" i="2"/>
  <c r="H6404" i="2"/>
  <c r="G6404" i="2"/>
  <c r="I6403" i="2"/>
  <c r="H6403" i="2"/>
  <c r="G6403" i="2"/>
  <c r="I6402" i="2"/>
  <c r="H6402" i="2"/>
  <c r="G6402" i="2"/>
  <c r="I6401" i="2"/>
  <c r="H6401" i="2"/>
  <c r="G6401" i="2"/>
  <c r="I6400" i="2"/>
  <c r="H6400" i="2"/>
  <c r="G6400" i="2"/>
  <c r="I6399" i="2"/>
  <c r="H6399" i="2"/>
  <c r="G6399" i="2"/>
  <c r="I6398" i="2"/>
  <c r="H6398" i="2"/>
  <c r="G6398" i="2"/>
  <c r="I6397" i="2"/>
  <c r="H6397" i="2"/>
  <c r="G6397" i="2"/>
  <c r="I6396" i="2"/>
  <c r="H6396" i="2"/>
  <c r="G6396" i="2"/>
  <c r="I6395" i="2"/>
  <c r="H6395" i="2"/>
  <c r="G6395" i="2"/>
  <c r="I6394" i="2"/>
  <c r="H6394" i="2"/>
  <c r="G6394" i="2"/>
  <c r="I6393" i="2"/>
  <c r="H6393" i="2"/>
  <c r="G6393" i="2"/>
  <c r="I6392" i="2"/>
  <c r="H6392" i="2"/>
  <c r="G6392" i="2"/>
  <c r="I6391" i="2"/>
  <c r="H6391" i="2"/>
  <c r="G6391" i="2"/>
  <c r="I6390" i="2"/>
  <c r="H6390" i="2"/>
  <c r="G6390" i="2"/>
  <c r="I6389" i="2"/>
  <c r="H6389" i="2"/>
  <c r="G6389" i="2"/>
  <c r="I6388" i="2"/>
  <c r="H6388" i="2"/>
  <c r="G6388" i="2"/>
  <c r="I6387" i="2"/>
  <c r="H6387" i="2"/>
  <c r="G6387" i="2"/>
  <c r="I6386" i="2"/>
  <c r="H6386" i="2"/>
  <c r="G6386" i="2"/>
  <c r="I6385" i="2"/>
  <c r="H6385" i="2"/>
  <c r="G6385" i="2"/>
  <c r="I6384" i="2"/>
  <c r="H6384" i="2"/>
  <c r="G6384" i="2"/>
  <c r="I6383" i="2"/>
  <c r="H6383" i="2"/>
  <c r="G6383" i="2"/>
  <c r="I6382" i="2"/>
  <c r="H6382" i="2"/>
  <c r="G6382" i="2"/>
  <c r="I6381" i="2"/>
  <c r="H6381" i="2"/>
  <c r="G6381" i="2"/>
  <c r="I6380" i="2"/>
  <c r="H6380" i="2"/>
  <c r="G6380" i="2"/>
  <c r="I6379" i="2"/>
  <c r="H6379" i="2"/>
  <c r="G6379" i="2"/>
  <c r="I6378" i="2"/>
  <c r="H6378" i="2"/>
  <c r="G6378" i="2"/>
  <c r="I6377" i="2"/>
  <c r="H6377" i="2"/>
  <c r="G6377" i="2"/>
  <c r="I6376" i="2"/>
  <c r="H6376" i="2"/>
  <c r="G6376" i="2"/>
  <c r="I6375" i="2"/>
  <c r="H6375" i="2"/>
  <c r="G6375" i="2"/>
  <c r="I6374" i="2"/>
  <c r="H6374" i="2"/>
  <c r="G6374" i="2"/>
  <c r="I6373" i="2"/>
  <c r="H6373" i="2"/>
  <c r="G6373" i="2"/>
  <c r="I6372" i="2"/>
  <c r="H6372" i="2"/>
  <c r="G6372" i="2"/>
  <c r="I6371" i="2"/>
  <c r="H6371" i="2"/>
  <c r="G6371" i="2"/>
  <c r="I6370" i="2"/>
  <c r="H6370" i="2"/>
  <c r="G6370" i="2"/>
  <c r="I6369" i="2"/>
  <c r="H6369" i="2"/>
  <c r="G6369" i="2"/>
  <c r="I6368" i="2"/>
  <c r="H6368" i="2"/>
  <c r="G6368" i="2"/>
  <c r="I6367" i="2"/>
  <c r="H6367" i="2"/>
  <c r="G6367" i="2"/>
  <c r="I6366" i="2"/>
  <c r="H6366" i="2"/>
  <c r="G6366" i="2"/>
  <c r="I6365" i="2"/>
  <c r="H6365" i="2"/>
  <c r="G6365" i="2"/>
  <c r="I6364" i="2"/>
  <c r="H6364" i="2"/>
  <c r="G6364" i="2"/>
  <c r="I6363" i="2"/>
  <c r="H6363" i="2"/>
  <c r="G6363" i="2"/>
  <c r="I6362" i="2"/>
  <c r="H6362" i="2"/>
  <c r="G6362" i="2"/>
  <c r="I6361" i="2"/>
  <c r="H6361" i="2"/>
  <c r="G6361" i="2"/>
  <c r="I6360" i="2"/>
  <c r="H6360" i="2"/>
  <c r="G6360" i="2"/>
  <c r="I6359" i="2"/>
  <c r="H6359" i="2"/>
  <c r="G6359" i="2"/>
  <c r="I6358" i="2"/>
  <c r="H6358" i="2"/>
  <c r="G6358" i="2"/>
  <c r="I6357" i="2"/>
  <c r="H6357" i="2"/>
  <c r="G6357" i="2"/>
  <c r="I6356" i="2"/>
  <c r="H6356" i="2"/>
  <c r="G6356" i="2"/>
  <c r="I6355" i="2"/>
  <c r="H6355" i="2"/>
  <c r="G6355" i="2"/>
  <c r="I6354" i="2"/>
  <c r="H6354" i="2"/>
  <c r="G6354" i="2"/>
  <c r="I6353" i="2"/>
  <c r="H6353" i="2"/>
  <c r="G6353" i="2"/>
  <c r="I6352" i="2"/>
  <c r="H6352" i="2"/>
  <c r="G6352" i="2"/>
  <c r="I6351" i="2"/>
  <c r="H6351" i="2"/>
  <c r="G6351" i="2"/>
  <c r="I6350" i="2"/>
  <c r="H6350" i="2"/>
  <c r="G6350" i="2"/>
  <c r="I6349" i="2"/>
  <c r="H6349" i="2"/>
  <c r="G6349" i="2"/>
  <c r="I6348" i="2"/>
  <c r="H6348" i="2"/>
  <c r="G6348" i="2"/>
  <c r="I6347" i="2"/>
  <c r="H6347" i="2"/>
  <c r="G6347" i="2"/>
  <c r="I6346" i="2"/>
  <c r="H6346" i="2"/>
  <c r="G6346" i="2"/>
  <c r="I6345" i="2"/>
  <c r="H6345" i="2"/>
  <c r="G6345" i="2"/>
  <c r="I6344" i="2"/>
  <c r="H6344" i="2"/>
  <c r="G6344" i="2"/>
  <c r="I6343" i="2"/>
  <c r="H6343" i="2"/>
  <c r="G6343" i="2"/>
  <c r="I6342" i="2"/>
  <c r="H6342" i="2"/>
  <c r="G6342" i="2"/>
  <c r="I6341" i="2"/>
  <c r="H6341" i="2"/>
  <c r="G6341" i="2"/>
  <c r="I6340" i="2"/>
  <c r="H6340" i="2"/>
  <c r="G6340" i="2"/>
  <c r="I6339" i="2"/>
  <c r="H6339" i="2"/>
  <c r="G6339" i="2"/>
  <c r="I6338" i="2"/>
  <c r="H6338" i="2"/>
  <c r="G6338" i="2"/>
  <c r="I6337" i="2"/>
  <c r="H6337" i="2"/>
  <c r="G6337" i="2"/>
  <c r="I6336" i="2"/>
  <c r="H6336" i="2"/>
  <c r="G6336" i="2"/>
  <c r="I6335" i="2"/>
  <c r="H6335" i="2"/>
  <c r="G6335" i="2"/>
  <c r="I6334" i="2"/>
  <c r="H6334" i="2"/>
  <c r="G6334" i="2"/>
  <c r="I6333" i="2"/>
  <c r="H6333" i="2"/>
  <c r="G6333" i="2"/>
  <c r="I6332" i="2"/>
  <c r="H6332" i="2"/>
  <c r="G6332" i="2"/>
  <c r="I6331" i="2"/>
  <c r="H6331" i="2"/>
  <c r="G6331" i="2"/>
  <c r="I6330" i="2"/>
  <c r="H6330" i="2"/>
  <c r="G6330" i="2"/>
  <c r="I6329" i="2"/>
  <c r="H6329" i="2"/>
  <c r="G6329" i="2"/>
  <c r="I6328" i="2"/>
  <c r="H6328" i="2"/>
  <c r="G6328" i="2"/>
  <c r="I6327" i="2"/>
  <c r="H6327" i="2"/>
  <c r="G6327" i="2"/>
  <c r="I6326" i="2"/>
  <c r="H6326" i="2"/>
  <c r="G6326" i="2"/>
  <c r="I6325" i="2"/>
  <c r="H6325" i="2"/>
  <c r="G6325" i="2"/>
  <c r="I6324" i="2"/>
  <c r="H6324" i="2"/>
  <c r="G6324" i="2"/>
  <c r="I6323" i="2"/>
  <c r="H6323" i="2"/>
  <c r="G6323" i="2"/>
  <c r="I6322" i="2"/>
  <c r="H6322" i="2"/>
  <c r="G6322" i="2"/>
  <c r="I6321" i="2"/>
  <c r="H6321" i="2"/>
  <c r="G6321" i="2"/>
  <c r="I6320" i="2"/>
  <c r="H6320" i="2"/>
  <c r="G6320" i="2"/>
  <c r="I6319" i="2"/>
  <c r="H6319" i="2"/>
  <c r="G6319" i="2"/>
  <c r="I6318" i="2"/>
  <c r="H6318" i="2"/>
  <c r="G6318" i="2"/>
  <c r="I6317" i="2"/>
  <c r="H6317" i="2"/>
  <c r="G6317" i="2"/>
  <c r="I6316" i="2"/>
  <c r="H6316" i="2"/>
  <c r="G6316" i="2"/>
  <c r="I6315" i="2"/>
  <c r="H6315" i="2"/>
  <c r="G6315" i="2"/>
  <c r="I6314" i="2"/>
  <c r="H6314" i="2"/>
  <c r="G6314" i="2"/>
  <c r="I6313" i="2"/>
  <c r="H6313" i="2"/>
  <c r="G6313" i="2"/>
  <c r="I6312" i="2"/>
  <c r="H6312" i="2"/>
  <c r="G6312" i="2"/>
  <c r="I6311" i="2"/>
  <c r="H6311" i="2"/>
  <c r="G6311" i="2"/>
  <c r="I6310" i="2"/>
  <c r="H6310" i="2"/>
  <c r="G6310" i="2"/>
  <c r="I6309" i="2"/>
  <c r="H6309" i="2"/>
  <c r="G6309" i="2"/>
  <c r="I6308" i="2"/>
  <c r="H6308" i="2"/>
  <c r="G6308" i="2"/>
  <c r="I6307" i="2"/>
  <c r="H6307" i="2"/>
  <c r="G6307" i="2"/>
  <c r="I6306" i="2"/>
  <c r="H6306" i="2"/>
  <c r="G6306" i="2"/>
  <c r="I6305" i="2"/>
  <c r="H6305" i="2"/>
  <c r="G6305" i="2"/>
  <c r="I6304" i="2"/>
  <c r="H6304" i="2"/>
  <c r="G6304" i="2"/>
  <c r="I6303" i="2"/>
  <c r="H6303" i="2"/>
  <c r="G6303" i="2"/>
  <c r="I6302" i="2"/>
  <c r="H6302" i="2"/>
  <c r="G6302" i="2"/>
  <c r="I6301" i="2"/>
  <c r="H6301" i="2"/>
  <c r="G6301" i="2"/>
  <c r="I6300" i="2"/>
  <c r="H6300" i="2"/>
  <c r="G6300" i="2"/>
  <c r="I6299" i="2"/>
  <c r="H6299" i="2"/>
  <c r="G6299" i="2"/>
  <c r="I6298" i="2"/>
  <c r="H6298" i="2"/>
  <c r="G6298" i="2"/>
  <c r="I6297" i="2"/>
  <c r="H6297" i="2"/>
  <c r="G6297" i="2"/>
  <c r="I6296" i="2"/>
  <c r="H6296" i="2"/>
  <c r="G6296" i="2"/>
  <c r="I6295" i="2"/>
  <c r="H6295" i="2"/>
  <c r="G6295" i="2"/>
  <c r="I6294" i="2"/>
  <c r="H6294" i="2"/>
  <c r="G6294" i="2"/>
  <c r="I6293" i="2"/>
  <c r="H6293" i="2"/>
  <c r="G6293" i="2"/>
  <c r="I6292" i="2"/>
  <c r="H6292" i="2"/>
  <c r="G6292" i="2"/>
  <c r="I6291" i="2"/>
  <c r="H6291" i="2"/>
  <c r="G6291" i="2"/>
  <c r="I6290" i="2"/>
  <c r="H6290" i="2"/>
  <c r="G6290" i="2"/>
  <c r="I6289" i="2"/>
  <c r="H6289" i="2"/>
  <c r="G6289" i="2"/>
  <c r="I6288" i="2"/>
  <c r="H6288" i="2"/>
  <c r="G6288" i="2"/>
  <c r="I6287" i="2"/>
  <c r="H6287" i="2"/>
  <c r="G6287" i="2"/>
  <c r="I6286" i="2"/>
  <c r="H6286" i="2"/>
  <c r="G6286" i="2"/>
  <c r="I6285" i="2"/>
  <c r="H6285" i="2"/>
  <c r="G6285" i="2"/>
  <c r="I6284" i="2"/>
  <c r="H6284" i="2"/>
  <c r="G6284" i="2"/>
  <c r="I6283" i="2"/>
  <c r="H6283" i="2"/>
  <c r="G6283" i="2"/>
  <c r="I6282" i="2"/>
  <c r="H6282" i="2"/>
  <c r="G6282" i="2"/>
  <c r="I6281" i="2"/>
  <c r="H6281" i="2"/>
  <c r="G6281" i="2"/>
  <c r="I6280" i="2"/>
  <c r="H6280" i="2"/>
  <c r="G6280" i="2"/>
  <c r="I6279" i="2"/>
  <c r="H6279" i="2"/>
  <c r="G6279" i="2"/>
  <c r="I6278" i="2"/>
  <c r="H6278" i="2"/>
  <c r="G6278" i="2"/>
  <c r="I6277" i="2"/>
  <c r="H6277" i="2"/>
  <c r="G6277" i="2"/>
  <c r="I6276" i="2"/>
  <c r="H6276" i="2"/>
  <c r="G6276" i="2"/>
  <c r="I6275" i="2"/>
  <c r="H6275" i="2"/>
  <c r="G6275" i="2"/>
  <c r="I6274" i="2"/>
  <c r="H6274" i="2"/>
  <c r="G6274" i="2"/>
  <c r="I6273" i="2"/>
  <c r="H6273" i="2"/>
  <c r="G6273" i="2"/>
  <c r="I6272" i="2"/>
  <c r="H6272" i="2"/>
  <c r="G6272" i="2"/>
  <c r="I6271" i="2"/>
  <c r="H6271" i="2"/>
  <c r="G6271" i="2"/>
  <c r="I6270" i="2"/>
  <c r="H6270" i="2"/>
  <c r="G6270" i="2"/>
  <c r="I6269" i="2"/>
  <c r="H6269" i="2"/>
  <c r="G6269" i="2"/>
  <c r="I6268" i="2"/>
  <c r="H6268" i="2"/>
  <c r="G6268" i="2"/>
  <c r="I6267" i="2"/>
  <c r="H6267" i="2"/>
  <c r="G6267" i="2"/>
  <c r="I6266" i="2"/>
  <c r="H6266" i="2"/>
  <c r="G6266" i="2"/>
  <c r="I6265" i="2"/>
  <c r="H6265" i="2"/>
  <c r="G6265" i="2"/>
  <c r="I6264" i="2"/>
  <c r="H6264" i="2"/>
  <c r="G6264" i="2"/>
  <c r="I6263" i="2"/>
  <c r="H6263" i="2"/>
  <c r="G6263" i="2"/>
  <c r="I6262" i="2"/>
  <c r="H6262" i="2"/>
  <c r="G6262" i="2"/>
  <c r="I6261" i="2"/>
  <c r="H6261" i="2"/>
  <c r="G6261" i="2"/>
  <c r="I6260" i="2"/>
  <c r="H6260" i="2"/>
  <c r="G6260" i="2"/>
  <c r="I6259" i="2"/>
  <c r="H6259" i="2"/>
  <c r="G6259" i="2"/>
  <c r="I6258" i="2"/>
  <c r="H6258" i="2"/>
  <c r="G6258" i="2"/>
  <c r="I6257" i="2"/>
  <c r="H6257" i="2"/>
  <c r="G6257" i="2"/>
  <c r="I6256" i="2"/>
  <c r="H6256" i="2"/>
  <c r="G6256" i="2"/>
  <c r="I6255" i="2"/>
  <c r="H6255" i="2"/>
  <c r="G6255" i="2"/>
  <c r="I6254" i="2"/>
  <c r="H6254" i="2"/>
  <c r="G6254" i="2"/>
  <c r="I6253" i="2"/>
  <c r="H6253" i="2"/>
  <c r="G6253" i="2"/>
  <c r="I6252" i="2"/>
  <c r="H6252" i="2"/>
  <c r="G6252" i="2"/>
  <c r="I6251" i="2"/>
  <c r="H6251" i="2"/>
  <c r="G6251" i="2"/>
  <c r="I6250" i="2"/>
  <c r="H6250" i="2"/>
  <c r="G6250" i="2"/>
  <c r="I6249" i="2"/>
  <c r="H6249" i="2"/>
  <c r="G6249" i="2"/>
  <c r="I6248" i="2"/>
  <c r="H6248" i="2"/>
  <c r="G6248" i="2"/>
  <c r="I6247" i="2"/>
  <c r="H6247" i="2"/>
  <c r="G6247" i="2"/>
  <c r="I6246" i="2"/>
  <c r="H6246" i="2"/>
  <c r="G6246" i="2"/>
  <c r="I6245" i="2"/>
  <c r="H6245" i="2"/>
  <c r="G6245" i="2"/>
  <c r="I6244" i="2"/>
  <c r="H6244" i="2"/>
  <c r="G6244" i="2"/>
  <c r="I6243" i="2"/>
  <c r="H6243" i="2"/>
  <c r="G6243" i="2"/>
  <c r="I6242" i="2"/>
  <c r="H6242" i="2"/>
  <c r="G6242" i="2"/>
  <c r="I6241" i="2"/>
  <c r="H6241" i="2"/>
  <c r="G6241" i="2"/>
  <c r="I6240" i="2"/>
  <c r="H6240" i="2"/>
  <c r="G6240" i="2"/>
  <c r="I6239" i="2"/>
  <c r="H6239" i="2"/>
  <c r="G6239" i="2"/>
  <c r="I6238" i="2"/>
  <c r="H6238" i="2"/>
  <c r="G6238" i="2"/>
  <c r="I6237" i="2"/>
  <c r="H6237" i="2"/>
  <c r="G6237" i="2"/>
  <c r="I6236" i="2"/>
  <c r="H6236" i="2"/>
  <c r="G6236" i="2"/>
  <c r="I6235" i="2"/>
  <c r="H6235" i="2"/>
  <c r="G6235" i="2"/>
  <c r="I6234" i="2"/>
  <c r="H6234" i="2"/>
  <c r="G6234" i="2"/>
  <c r="I6233" i="2"/>
  <c r="H6233" i="2"/>
  <c r="G6233" i="2"/>
  <c r="I6232" i="2"/>
  <c r="H6232" i="2"/>
  <c r="G6232" i="2"/>
  <c r="I6231" i="2"/>
  <c r="H6231" i="2"/>
  <c r="G6231" i="2"/>
  <c r="I6230" i="2"/>
  <c r="H6230" i="2"/>
  <c r="G6230" i="2"/>
  <c r="I6229" i="2"/>
  <c r="H6229" i="2"/>
  <c r="G6229" i="2"/>
  <c r="I6228" i="2"/>
  <c r="H6228" i="2"/>
  <c r="G6228" i="2"/>
  <c r="I6227" i="2"/>
  <c r="H6227" i="2"/>
  <c r="G6227" i="2"/>
  <c r="I6226" i="2"/>
  <c r="H6226" i="2"/>
  <c r="G6226" i="2"/>
  <c r="I6225" i="2"/>
  <c r="H6225" i="2"/>
  <c r="G6225" i="2"/>
  <c r="I6224" i="2"/>
  <c r="H6224" i="2"/>
  <c r="G6224" i="2"/>
  <c r="I6223" i="2"/>
  <c r="H6223" i="2"/>
  <c r="G6223" i="2"/>
  <c r="I6222" i="2"/>
  <c r="H6222" i="2"/>
  <c r="G6222" i="2"/>
  <c r="I6221" i="2"/>
  <c r="H6221" i="2"/>
  <c r="G6221" i="2"/>
  <c r="I6220" i="2"/>
  <c r="H6220" i="2"/>
  <c r="G6220" i="2"/>
  <c r="I6219" i="2"/>
  <c r="H6219" i="2"/>
  <c r="G6219" i="2"/>
  <c r="I6218" i="2"/>
  <c r="H6218" i="2"/>
  <c r="G6218" i="2"/>
  <c r="I6217" i="2"/>
  <c r="H6217" i="2"/>
  <c r="G6217" i="2"/>
  <c r="I6216" i="2"/>
  <c r="H6216" i="2"/>
  <c r="G6216" i="2"/>
  <c r="I6215" i="2"/>
  <c r="H6215" i="2"/>
  <c r="G6215" i="2"/>
  <c r="I6214" i="2"/>
  <c r="H6214" i="2"/>
  <c r="G6214" i="2"/>
  <c r="I6213" i="2"/>
  <c r="H6213" i="2"/>
  <c r="G6213" i="2"/>
  <c r="I6212" i="2"/>
  <c r="H6212" i="2"/>
  <c r="G6212" i="2"/>
  <c r="I6211" i="2"/>
  <c r="H6211" i="2"/>
  <c r="G6211" i="2"/>
  <c r="I6210" i="2"/>
  <c r="H6210" i="2"/>
  <c r="G6210" i="2"/>
  <c r="I6209" i="2"/>
  <c r="H6209" i="2"/>
  <c r="G6209" i="2"/>
  <c r="I6208" i="2"/>
  <c r="H6208" i="2"/>
  <c r="G6208" i="2"/>
  <c r="I6207" i="2"/>
  <c r="H6207" i="2"/>
  <c r="G6207" i="2"/>
  <c r="I6206" i="2"/>
  <c r="H6206" i="2"/>
  <c r="G6206" i="2"/>
  <c r="I6205" i="2"/>
  <c r="H6205" i="2"/>
  <c r="G6205" i="2"/>
  <c r="I6204" i="2"/>
  <c r="H6204" i="2"/>
  <c r="G6204" i="2"/>
  <c r="I6203" i="2"/>
  <c r="H6203" i="2"/>
  <c r="G6203" i="2"/>
  <c r="I6202" i="2"/>
  <c r="H6202" i="2"/>
  <c r="G6202" i="2"/>
  <c r="I6201" i="2"/>
  <c r="H6201" i="2"/>
  <c r="G6201" i="2"/>
  <c r="I6200" i="2"/>
  <c r="H6200" i="2"/>
  <c r="G6200" i="2"/>
  <c r="I6199" i="2"/>
  <c r="H6199" i="2"/>
  <c r="G6199" i="2"/>
  <c r="I6198" i="2"/>
  <c r="H6198" i="2"/>
  <c r="G6198" i="2"/>
  <c r="I6197" i="2"/>
  <c r="H6197" i="2"/>
  <c r="G6197" i="2"/>
  <c r="I6196" i="2"/>
  <c r="H6196" i="2"/>
  <c r="G6196" i="2"/>
  <c r="I6195" i="2"/>
  <c r="H6195" i="2"/>
  <c r="G6195" i="2"/>
  <c r="I6194" i="2"/>
  <c r="H6194" i="2"/>
  <c r="G6194" i="2"/>
  <c r="I6193" i="2"/>
  <c r="H6193" i="2"/>
  <c r="G6193" i="2"/>
  <c r="I6192" i="2"/>
  <c r="H6192" i="2"/>
  <c r="G6192" i="2"/>
  <c r="I6191" i="2"/>
  <c r="H6191" i="2"/>
  <c r="G6191" i="2"/>
  <c r="I6190" i="2"/>
  <c r="H6190" i="2"/>
  <c r="G6190" i="2"/>
  <c r="I6189" i="2"/>
  <c r="H6189" i="2"/>
  <c r="G6189" i="2"/>
  <c r="I6188" i="2"/>
  <c r="H6188" i="2"/>
  <c r="G6188" i="2"/>
  <c r="I6187" i="2"/>
  <c r="H6187" i="2"/>
  <c r="G6187" i="2"/>
  <c r="I6186" i="2"/>
  <c r="H6186" i="2"/>
  <c r="G6186" i="2"/>
  <c r="I6185" i="2"/>
  <c r="H6185" i="2"/>
  <c r="G6185" i="2"/>
  <c r="I6184" i="2"/>
  <c r="H6184" i="2"/>
  <c r="G6184" i="2"/>
  <c r="I6183" i="2"/>
  <c r="H6183" i="2"/>
  <c r="G6183" i="2"/>
  <c r="I6182" i="2"/>
  <c r="H6182" i="2"/>
  <c r="G6182" i="2"/>
  <c r="I6181" i="2"/>
  <c r="H6181" i="2"/>
  <c r="G6181" i="2"/>
  <c r="I6180" i="2"/>
  <c r="H6180" i="2"/>
  <c r="G6180" i="2"/>
  <c r="I6179" i="2"/>
  <c r="H6179" i="2"/>
  <c r="G6179" i="2"/>
  <c r="I6178" i="2"/>
  <c r="H6178" i="2"/>
  <c r="G6178" i="2"/>
  <c r="I6177" i="2"/>
  <c r="H6177" i="2"/>
  <c r="G6177" i="2"/>
  <c r="I6176" i="2"/>
  <c r="H6176" i="2"/>
  <c r="G6176" i="2"/>
  <c r="I6175" i="2"/>
  <c r="H6175" i="2"/>
  <c r="G6175" i="2"/>
  <c r="I6174" i="2"/>
  <c r="H6174" i="2"/>
  <c r="G6174" i="2"/>
  <c r="I6173" i="2"/>
  <c r="H6173" i="2"/>
  <c r="G6173" i="2"/>
  <c r="I6172" i="2"/>
  <c r="H6172" i="2"/>
  <c r="G6172" i="2"/>
  <c r="I6171" i="2"/>
  <c r="H6171" i="2"/>
  <c r="G6171" i="2"/>
  <c r="I6170" i="2"/>
  <c r="H6170" i="2"/>
  <c r="G6170" i="2"/>
  <c r="I6169" i="2"/>
  <c r="H6169" i="2"/>
  <c r="G6169" i="2"/>
  <c r="I6168" i="2"/>
  <c r="H6168" i="2"/>
  <c r="G6168" i="2"/>
  <c r="I6167" i="2"/>
  <c r="H6167" i="2"/>
  <c r="G6167" i="2"/>
  <c r="I6166" i="2"/>
  <c r="H6166" i="2"/>
  <c r="G6166" i="2"/>
  <c r="I6165" i="2"/>
  <c r="H6165" i="2"/>
  <c r="G6165" i="2"/>
  <c r="I6164" i="2"/>
  <c r="H6164" i="2"/>
  <c r="G6164" i="2"/>
  <c r="I6163" i="2"/>
  <c r="H6163" i="2"/>
  <c r="G6163" i="2"/>
  <c r="I6162" i="2"/>
  <c r="H6162" i="2"/>
  <c r="G6162" i="2"/>
  <c r="I6161" i="2"/>
  <c r="H6161" i="2"/>
  <c r="G6161" i="2"/>
  <c r="I6160" i="2"/>
  <c r="H6160" i="2"/>
  <c r="G6160" i="2"/>
  <c r="I6159" i="2"/>
  <c r="H6159" i="2"/>
  <c r="G6159" i="2"/>
  <c r="I6158" i="2"/>
  <c r="H6158" i="2"/>
  <c r="G6158" i="2"/>
  <c r="I6157" i="2"/>
  <c r="H6157" i="2"/>
  <c r="G6157" i="2"/>
  <c r="I6156" i="2"/>
  <c r="H6156" i="2"/>
  <c r="G6156" i="2"/>
  <c r="I6155" i="2"/>
  <c r="H6155" i="2"/>
  <c r="G6155" i="2"/>
  <c r="I6154" i="2"/>
  <c r="H6154" i="2"/>
  <c r="G6154" i="2"/>
  <c r="I6153" i="2"/>
  <c r="H6153" i="2"/>
  <c r="G6153" i="2"/>
  <c r="I6152" i="2"/>
  <c r="H6152" i="2"/>
  <c r="G6152" i="2"/>
  <c r="I6151" i="2"/>
  <c r="H6151" i="2"/>
  <c r="G6151" i="2"/>
  <c r="I6150" i="2"/>
  <c r="H6150" i="2"/>
  <c r="G6150" i="2"/>
  <c r="I6149" i="2"/>
  <c r="H6149" i="2"/>
  <c r="G6149" i="2"/>
  <c r="I6148" i="2"/>
  <c r="H6148" i="2"/>
  <c r="G6148" i="2"/>
  <c r="I6147" i="2"/>
  <c r="H6147" i="2"/>
  <c r="G6147" i="2"/>
  <c r="I6146" i="2"/>
  <c r="H6146" i="2"/>
  <c r="G6146" i="2"/>
  <c r="I6145" i="2"/>
  <c r="H6145" i="2"/>
  <c r="G6145" i="2"/>
  <c r="I6144" i="2"/>
  <c r="H6144" i="2"/>
  <c r="G6144" i="2"/>
  <c r="I6143" i="2"/>
  <c r="H6143" i="2"/>
  <c r="G6143" i="2"/>
  <c r="I6142" i="2"/>
  <c r="H6142" i="2"/>
  <c r="G6142" i="2"/>
  <c r="I6141" i="2"/>
  <c r="H6141" i="2"/>
  <c r="G6141" i="2"/>
  <c r="I6140" i="2"/>
  <c r="H6140" i="2"/>
  <c r="G6140" i="2"/>
  <c r="I6139" i="2"/>
  <c r="H6139" i="2"/>
  <c r="G6139" i="2"/>
  <c r="I6138" i="2"/>
  <c r="H6138" i="2"/>
  <c r="G6138" i="2"/>
  <c r="I6137" i="2"/>
  <c r="H6137" i="2"/>
  <c r="G6137" i="2"/>
  <c r="I6136" i="2"/>
  <c r="H6136" i="2"/>
  <c r="G6136" i="2"/>
  <c r="I6135" i="2"/>
  <c r="H6135" i="2"/>
  <c r="G6135" i="2"/>
  <c r="I6134" i="2"/>
  <c r="H6134" i="2"/>
  <c r="G6134" i="2"/>
  <c r="I6133" i="2"/>
  <c r="H6133" i="2"/>
  <c r="G6133" i="2"/>
  <c r="I6132" i="2"/>
  <c r="H6132" i="2"/>
  <c r="G6132" i="2"/>
  <c r="I6131" i="2"/>
  <c r="H6131" i="2"/>
  <c r="G6131" i="2"/>
  <c r="I6130" i="2"/>
  <c r="H6130" i="2"/>
  <c r="G6130" i="2"/>
  <c r="I6129" i="2"/>
  <c r="H6129" i="2"/>
  <c r="G6129" i="2"/>
  <c r="I6128" i="2"/>
  <c r="H6128" i="2"/>
  <c r="G6128" i="2"/>
  <c r="I6127" i="2"/>
  <c r="H6127" i="2"/>
  <c r="G6127" i="2"/>
  <c r="I6126" i="2"/>
  <c r="H6126" i="2"/>
  <c r="G6126" i="2"/>
  <c r="I6125" i="2"/>
  <c r="H6125" i="2"/>
  <c r="G6125" i="2"/>
  <c r="I6124" i="2"/>
  <c r="H6124" i="2"/>
  <c r="G6124" i="2"/>
  <c r="I6123" i="2"/>
  <c r="H6123" i="2"/>
  <c r="G6123" i="2"/>
  <c r="I6122" i="2"/>
  <c r="H6122" i="2"/>
  <c r="G6122" i="2"/>
  <c r="I6121" i="2"/>
  <c r="H6121" i="2"/>
  <c r="G6121" i="2"/>
  <c r="I6120" i="2"/>
  <c r="H6120" i="2"/>
  <c r="G6120" i="2"/>
  <c r="I6119" i="2"/>
  <c r="H6119" i="2"/>
  <c r="G6119" i="2"/>
  <c r="I6118" i="2"/>
  <c r="H6118" i="2"/>
  <c r="G6118" i="2"/>
  <c r="I6117" i="2"/>
  <c r="H6117" i="2"/>
  <c r="G6117" i="2"/>
  <c r="I6116" i="2"/>
  <c r="H6116" i="2"/>
  <c r="G6116" i="2"/>
  <c r="I6115" i="2"/>
  <c r="H6115" i="2"/>
  <c r="G6115" i="2"/>
  <c r="I6114" i="2"/>
  <c r="H6114" i="2"/>
  <c r="G6114" i="2"/>
  <c r="I6113" i="2"/>
  <c r="H6113" i="2"/>
  <c r="G6113" i="2"/>
  <c r="I6112" i="2"/>
  <c r="H6112" i="2"/>
  <c r="G6112" i="2"/>
  <c r="I6111" i="2"/>
  <c r="H6111" i="2"/>
  <c r="G6111" i="2"/>
  <c r="I6110" i="2"/>
  <c r="H6110" i="2"/>
  <c r="G6110" i="2"/>
  <c r="I6109" i="2"/>
  <c r="H6109" i="2"/>
  <c r="G6109" i="2"/>
  <c r="I6108" i="2"/>
  <c r="H6108" i="2"/>
  <c r="G6108" i="2"/>
  <c r="I6107" i="2"/>
  <c r="H6107" i="2"/>
  <c r="G6107" i="2"/>
  <c r="I6106" i="2"/>
  <c r="H6106" i="2"/>
  <c r="G6106" i="2"/>
  <c r="I6105" i="2"/>
  <c r="H6105" i="2"/>
  <c r="G6105" i="2"/>
  <c r="I6104" i="2"/>
  <c r="H6104" i="2"/>
  <c r="G6104" i="2"/>
  <c r="I6103" i="2"/>
  <c r="H6103" i="2"/>
  <c r="G6103" i="2"/>
  <c r="I6102" i="2"/>
  <c r="H6102" i="2"/>
  <c r="G6102" i="2"/>
  <c r="I6101" i="2"/>
  <c r="H6101" i="2"/>
  <c r="G6101" i="2"/>
  <c r="I6100" i="2"/>
  <c r="H6100" i="2"/>
  <c r="G6100" i="2"/>
  <c r="I6099" i="2"/>
  <c r="H6099" i="2"/>
  <c r="G6099" i="2"/>
  <c r="I6098" i="2"/>
  <c r="H6098" i="2"/>
  <c r="G6098" i="2"/>
  <c r="I6097" i="2"/>
  <c r="H6097" i="2"/>
  <c r="G6097" i="2"/>
  <c r="I6096" i="2"/>
  <c r="H6096" i="2"/>
  <c r="G6096" i="2"/>
  <c r="I6095" i="2"/>
  <c r="H6095" i="2"/>
  <c r="G6095" i="2"/>
  <c r="I6094" i="2"/>
  <c r="H6094" i="2"/>
  <c r="G6094" i="2"/>
  <c r="I6093" i="2"/>
  <c r="H6093" i="2"/>
  <c r="G6093" i="2"/>
  <c r="I6092" i="2"/>
  <c r="H6092" i="2"/>
  <c r="G6092" i="2"/>
  <c r="I6091" i="2"/>
  <c r="H6091" i="2"/>
  <c r="G6091" i="2"/>
  <c r="I6090" i="2"/>
  <c r="H6090" i="2"/>
  <c r="G6090" i="2"/>
  <c r="I6089" i="2"/>
  <c r="H6089" i="2"/>
  <c r="G6089" i="2"/>
  <c r="I6088" i="2"/>
  <c r="H6088" i="2"/>
  <c r="G6088" i="2"/>
  <c r="I6087" i="2"/>
  <c r="H6087" i="2"/>
  <c r="G6087" i="2"/>
  <c r="I6086" i="2"/>
  <c r="H6086" i="2"/>
  <c r="G6086" i="2"/>
  <c r="I6085" i="2"/>
  <c r="H6085" i="2"/>
  <c r="G6085" i="2"/>
  <c r="I6084" i="2"/>
  <c r="H6084" i="2"/>
  <c r="G6084" i="2"/>
  <c r="I6083" i="2"/>
  <c r="H6083" i="2"/>
  <c r="G6083" i="2"/>
  <c r="I6082" i="2"/>
  <c r="H6082" i="2"/>
  <c r="G6082" i="2"/>
  <c r="I6081" i="2"/>
  <c r="H6081" i="2"/>
  <c r="G6081" i="2"/>
  <c r="I6080" i="2"/>
  <c r="H6080" i="2"/>
  <c r="G6080" i="2"/>
  <c r="I6079" i="2"/>
  <c r="H6079" i="2"/>
  <c r="G6079" i="2"/>
  <c r="I6078" i="2"/>
  <c r="H6078" i="2"/>
  <c r="G6078" i="2"/>
  <c r="I6077" i="2"/>
  <c r="H6077" i="2"/>
  <c r="G6077" i="2"/>
  <c r="I6076" i="2"/>
  <c r="H6076" i="2"/>
  <c r="G6076" i="2"/>
  <c r="I6075" i="2"/>
  <c r="H6075" i="2"/>
  <c r="G6075" i="2"/>
  <c r="I6074" i="2"/>
  <c r="H6074" i="2"/>
  <c r="G6074" i="2"/>
  <c r="I6073" i="2"/>
  <c r="H6073" i="2"/>
  <c r="G6073" i="2"/>
  <c r="I6072" i="2"/>
  <c r="H6072" i="2"/>
  <c r="G6072" i="2"/>
  <c r="I6071" i="2"/>
  <c r="H6071" i="2"/>
  <c r="G6071" i="2"/>
  <c r="I6070" i="2"/>
  <c r="H6070" i="2"/>
  <c r="G6070" i="2"/>
  <c r="I6069" i="2"/>
  <c r="H6069" i="2"/>
  <c r="G6069" i="2"/>
  <c r="I6068" i="2"/>
  <c r="H6068" i="2"/>
  <c r="G6068" i="2"/>
  <c r="I6067" i="2"/>
  <c r="H6067" i="2"/>
  <c r="G6067" i="2"/>
  <c r="I6066" i="2"/>
  <c r="H6066" i="2"/>
  <c r="G6066" i="2"/>
  <c r="I6065" i="2"/>
  <c r="H6065" i="2"/>
  <c r="G6065" i="2"/>
  <c r="I6064" i="2"/>
  <c r="H6064" i="2"/>
  <c r="G6064" i="2"/>
  <c r="I6063" i="2"/>
  <c r="H6063" i="2"/>
  <c r="G6063" i="2"/>
  <c r="I6062" i="2"/>
  <c r="H6062" i="2"/>
  <c r="G6062" i="2"/>
  <c r="I6061" i="2"/>
  <c r="H6061" i="2"/>
  <c r="G6061" i="2"/>
  <c r="I6060" i="2"/>
  <c r="H6060" i="2"/>
  <c r="G6060" i="2"/>
  <c r="I6059" i="2"/>
  <c r="H6059" i="2"/>
  <c r="G6059" i="2"/>
  <c r="I6058" i="2"/>
  <c r="H6058" i="2"/>
  <c r="G6058" i="2"/>
  <c r="I6057" i="2"/>
  <c r="H6057" i="2"/>
  <c r="G6057" i="2"/>
  <c r="I6056" i="2"/>
  <c r="H6056" i="2"/>
  <c r="G6056" i="2"/>
  <c r="I6055" i="2"/>
  <c r="H6055" i="2"/>
  <c r="G6055" i="2"/>
  <c r="I6054" i="2"/>
  <c r="H6054" i="2"/>
  <c r="G6054" i="2"/>
  <c r="I6053" i="2"/>
  <c r="H6053" i="2"/>
  <c r="G6053" i="2"/>
  <c r="I6052" i="2"/>
  <c r="H6052" i="2"/>
  <c r="G6052" i="2"/>
  <c r="I6051" i="2"/>
  <c r="H6051" i="2"/>
  <c r="G6051" i="2"/>
  <c r="I6050" i="2"/>
  <c r="H6050" i="2"/>
  <c r="G6050" i="2"/>
  <c r="I6049" i="2"/>
  <c r="H6049" i="2"/>
  <c r="G6049" i="2"/>
  <c r="I6048" i="2"/>
  <c r="H6048" i="2"/>
  <c r="G6048" i="2"/>
  <c r="I6047" i="2"/>
  <c r="H6047" i="2"/>
  <c r="G6047" i="2"/>
  <c r="I6046" i="2"/>
  <c r="H6046" i="2"/>
  <c r="G6046" i="2"/>
  <c r="I6045" i="2"/>
  <c r="H6045" i="2"/>
  <c r="G6045" i="2"/>
  <c r="I6044" i="2"/>
  <c r="H6044" i="2"/>
  <c r="G6044" i="2"/>
  <c r="I6043" i="2"/>
  <c r="H6043" i="2"/>
  <c r="G6043" i="2"/>
  <c r="I6042" i="2"/>
  <c r="H6042" i="2"/>
  <c r="G6042" i="2"/>
  <c r="I6041" i="2"/>
  <c r="H6041" i="2"/>
  <c r="G6041" i="2"/>
  <c r="I6040" i="2"/>
  <c r="H6040" i="2"/>
  <c r="G6040" i="2"/>
  <c r="I6039" i="2"/>
  <c r="H6039" i="2"/>
  <c r="G6039" i="2"/>
  <c r="I6038" i="2"/>
  <c r="H6038" i="2"/>
  <c r="G6038" i="2"/>
  <c r="I6037" i="2"/>
  <c r="H6037" i="2"/>
  <c r="G6037" i="2"/>
  <c r="I6036" i="2"/>
  <c r="H6036" i="2"/>
  <c r="G6036" i="2"/>
  <c r="I6035" i="2"/>
  <c r="H6035" i="2"/>
  <c r="G6035" i="2"/>
  <c r="I6034" i="2"/>
  <c r="H6034" i="2"/>
  <c r="G6034" i="2"/>
  <c r="I6033" i="2"/>
  <c r="H6033" i="2"/>
  <c r="G6033" i="2"/>
  <c r="I6032" i="2"/>
  <c r="H6032" i="2"/>
  <c r="G6032" i="2"/>
  <c r="I6031" i="2"/>
  <c r="H6031" i="2"/>
  <c r="G6031" i="2"/>
  <c r="I6030" i="2"/>
  <c r="H6030" i="2"/>
  <c r="G6030" i="2"/>
  <c r="I6029" i="2"/>
  <c r="H6029" i="2"/>
  <c r="G6029" i="2"/>
  <c r="I6028" i="2"/>
  <c r="H6028" i="2"/>
  <c r="G6028" i="2"/>
  <c r="I6027" i="2"/>
  <c r="H6027" i="2"/>
  <c r="G6027" i="2"/>
  <c r="I6026" i="2"/>
  <c r="H6026" i="2"/>
  <c r="G6026" i="2"/>
  <c r="I6025" i="2"/>
  <c r="H6025" i="2"/>
  <c r="G6025" i="2"/>
  <c r="I6024" i="2"/>
  <c r="H6024" i="2"/>
  <c r="G6024" i="2"/>
  <c r="I6023" i="2"/>
  <c r="H6023" i="2"/>
  <c r="G6023" i="2"/>
  <c r="I6022" i="2"/>
  <c r="H6022" i="2"/>
  <c r="G6022" i="2"/>
  <c r="I6021" i="2"/>
  <c r="H6021" i="2"/>
  <c r="G6021" i="2"/>
  <c r="I6020" i="2"/>
  <c r="H6020" i="2"/>
  <c r="G6020" i="2"/>
  <c r="I6019" i="2"/>
  <c r="H6019" i="2"/>
  <c r="G6019" i="2"/>
  <c r="I6018" i="2"/>
  <c r="H6018" i="2"/>
  <c r="G6018" i="2"/>
  <c r="I6017" i="2"/>
  <c r="H6017" i="2"/>
  <c r="G6017" i="2"/>
  <c r="I6016" i="2"/>
  <c r="H6016" i="2"/>
  <c r="G6016" i="2"/>
  <c r="I6015" i="2"/>
  <c r="H6015" i="2"/>
  <c r="G6015" i="2"/>
  <c r="I6014" i="2"/>
  <c r="H6014" i="2"/>
  <c r="G6014" i="2"/>
  <c r="I6013" i="2"/>
  <c r="H6013" i="2"/>
  <c r="G6013" i="2"/>
  <c r="I6012" i="2"/>
  <c r="H6012" i="2"/>
  <c r="G6012" i="2"/>
  <c r="I6011" i="2"/>
  <c r="H6011" i="2"/>
  <c r="G6011" i="2"/>
  <c r="I6010" i="2"/>
  <c r="H6010" i="2"/>
  <c r="G6010" i="2"/>
  <c r="I6009" i="2"/>
  <c r="H6009" i="2"/>
  <c r="G6009" i="2"/>
  <c r="I6008" i="2"/>
  <c r="H6008" i="2"/>
  <c r="G6008" i="2"/>
  <c r="I6007" i="2"/>
  <c r="H6007" i="2"/>
  <c r="G6007" i="2"/>
  <c r="I6006" i="2"/>
  <c r="H6006" i="2"/>
  <c r="G6006" i="2"/>
  <c r="I6005" i="2"/>
  <c r="H6005" i="2"/>
  <c r="G6005" i="2"/>
  <c r="I6004" i="2"/>
  <c r="H6004" i="2"/>
  <c r="G6004" i="2"/>
  <c r="I6003" i="2"/>
  <c r="H6003" i="2"/>
  <c r="G6003" i="2"/>
  <c r="I6002" i="2"/>
  <c r="H6002" i="2"/>
  <c r="G6002" i="2"/>
  <c r="I6001" i="2"/>
  <c r="H6001" i="2"/>
  <c r="G6001" i="2"/>
  <c r="I6000" i="2"/>
  <c r="H6000" i="2"/>
  <c r="G6000" i="2"/>
  <c r="I5999" i="2"/>
  <c r="H5999" i="2"/>
  <c r="G5999" i="2"/>
  <c r="I5998" i="2"/>
  <c r="H5998" i="2"/>
  <c r="G5998" i="2"/>
  <c r="I5997" i="2"/>
  <c r="H5997" i="2"/>
  <c r="G5997" i="2"/>
  <c r="I5996" i="2"/>
  <c r="H5996" i="2"/>
  <c r="G5996" i="2"/>
  <c r="I5995" i="2"/>
  <c r="H5995" i="2"/>
  <c r="G5995" i="2"/>
  <c r="I5994" i="2"/>
  <c r="H5994" i="2"/>
  <c r="G5994" i="2"/>
  <c r="I5993" i="2"/>
  <c r="H5993" i="2"/>
  <c r="G5993" i="2"/>
  <c r="I5992" i="2"/>
  <c r="H5992" i="2"/>
  <c r="G5992" i="2"/>
  <c r="I5991" i="2"/>
  <c r="H5991" i="2"/>
  <c r="G5991" i="2"/>
  <c r="I5990" i="2"/>
  <c r="H5990" i="2"/>
  <c r="G5990" i="2"/>
  <c r="I5989" i="2"/>
  <c r="H5989" i="2"/>
  <c r="G5989" i="2"/>
  <c r="I5988" i="2"/>
  <c r="H5988" i="2"/>
  <c r="G5988" i="2"/>
  <c r="I5987" i="2"/>
  <c r="H5987" i="2"/>
  <c r="G5987" i="2"/>
  <c r="I5986" i="2"/>
  <c r="H5986" i="2"/>
  <c r="G5986" i="2"/>
  <c r="I5985" i="2"/>
  <c r="H5985" i="2"/>
  <c r="G5985" i="2"/>
  <c r="I5984" i="2"/>
  <c r="H5984" i="2"/>
  <c r="G5984" i="2"/>
  <c r="I5983" i="2"/>
  <c r="H5983" i="2"/>
  <c r="G5983" i="2"/>
  <c r="I5982" i="2"/>
  <c r="H5982" i="2"/>
  <c r="G5982" i="2"/>
  <c r="I5981" i="2"/>
  <c r="H5981" i="2"/>
  <c r="G5981" i="2"/>
  <c r="I5980" i="2"/>
  <c r="H5980" i="2"/>
  <c r="G5980" i="2"/>
  <c r="I5979" i="2"/>
  <c r="H5979" i="2"/>
  <c r="G5979" i="2"/>
  <c r="I5978" i="2"/>
  <c r="H5978" i="2"/>
  <c r="G5978" i="2"/>
  <c r="I5977" i="2"/>
  <c r="H5977" i="2"/>
  <c r="G5977" i="2"/>
  <c r="I5976" i="2"/>
  <c r="H5976" i="2"/>
  <c r="G5976" i="2"/>
  <c r="I5975" i="2"/>
  <c r="H5975" i="2"/>
  <c r="G5975" i="2"/>
  <c r="I5974" i="2"/>
  <c r="H5974" i="2"/>
  <c r="G5974" i="2"/>
  <c r="I5973" i="2"/>
  <c r="H5973" i="2"/>
  <c r="G5973" i="2"/>
  <c r="I5972" i="2"/>
  <c r="H5972" i="2"/>
  <c r="G5972" i="2"/>
  <c r="I5971" i="2"/>
  <c r="H5971" i="2"/>
  <c r="G5971" i="2"/>
  <c r="I5970" i="2"/>
  <c r="H5970" i="2"/>
  <c r="G5970" i="2"/>
  <c r="I5969" i="2"/>
  <c r="H5969" i="2"/>
  <c r="G5969" i="2"/>
  <c r="I5968" i="2"/>
  <c r="H5968" i="2"/>
  <c r="G5968" i="2"/>
  <c r="I5967" i="2"/>
  <c r="H5967" i="2"/>
  <c r="G5967" i="2"/>
  <c r="I5966" i="2"/>
  <c r="H5966" i="2"/>
  <c r="G5966" i="2"/>
  <c r="I5965" i="2"/>
  <c r="H5965" i="2"/>
  <c r="G5965" i="2"/>
  <c r="I5964" i="2"/>
  <c r="H5964" i="2"/>
  <c r="G5964" i="2"/>
  <c r="I5963" i="2"/>
  <c r="H5963" i="2"/>
  <c r="G5963" i="2"/>
  <c r="I5962" i="2"/>
  <c r="H5962" i="2"/>
  <c r="G5962" i="2"/>
  <c r="I5961" i="2"/>
  <c r="H5961" i="2"/>
  <c r="G5961" i="2"/>
  <c r="I5960" i="2"/>
  <c r="H5960" i="2"/>
  <c r="G5960" i="2"/>
  <c r="I5959" i="2"/>
  <c r="H5959" i="2"/>
  <c r="G5959" i="2"/>
  <c r="I5958" i="2"/>
  <c r="H5958" i="2"/>
  <c r="G5958" i="2"/>
  <c r="I5957" i="2"/>
  <c r="H5957" i="2"/>
  <c r="G5957" i="2"/>
  <c r="I5956" i="2"/>
  <c r="H5956" i="2"/>
  <c r="G5956" i="2"/>
  <c r="I5955" i="2"/>
  <c r="H5955" i="2"/>
  <c r="G5955" i="2"/>
  <c r="I5954" i="2"/>
  <c r="H5954" i="2"/>
  <c r="G5954" i="2"/>
  <c r="I5953" i="2"/>
  <c r="H5953" i="2"/>
  <c r="G5953" i="2"/>
  <c r="I5952" i="2"/>
  <c r="H5952" i="2"/>
  <c r="G5952" i="2"/>
  <c r="I5951" i="2"/>
  <c r="H5951" i="2"/>
  <c r="G5951" i="2"/>
  <c r="I5950" i="2"/>
  <c r="H5950" i="2"/>
  <c r="G5950" i="2"/>
  <c r="I5949" i="2"/>
  <c r="H5949" i="2"/>
  <c r="G5949" i="2"/>
  <c r="I5948" i="2"/>
  <c r="H5948" i="2"/>
  <c r="G5948" i="2"/>
  <c r="I5947" i="2"/>
  <c r="H5947" i="2"/>
  <c r="G5947" i="2"/>
  <c r="I5946" i="2"/>
  <c r="H5946" i="2"/>
  <c r="G5946" i="2"/>
  <c r="I5945" i="2"/>
  <c r="H5945" i="2"/>
  <c r="G5945" i="2"/>
  <c r="I5944" i="2"/>
  <c r="H5944" i="2"/>
  <c r="G5944" i="2"/>
  <c r="I5943" i="2"/>
  <c r="H5943" i="2"/>
  <c r="G5943" i="2"/>
  <c r="I5942" i="2"/>
  <c r="H5942" i="2"/>
  <c r="G5942" i="2"/>
  <c r="I5941" i="2"/>
  <c r="H5941" i="2"/>
  <c r="G5941" i="2"/>
  <c r="I5940" i="2"/>
  <c r="H5940" i="2"/>
  <c r="G5940" i="2"/>
  <c r="I5939" i="2"/>
  <c r="H5939" i="2"/>
  <c r="G5939" i="2"/>
  <c r="I5938" i="2"/>
  <c r="H5938" i="2"/>
  <c r="G5938" i="2"/>
  <c r="I5937" i="2"/>
  <c r="H5937" i="2"/>
  <c r="G5937" i="2"/>
  <c r="I5936" i="2"/>
  <c r="H5936" i="2"/>
  <c r="G5936" i="2"/>
  <c r="I5935" i="2"/>
  <c r="H5935" i="2"/>
  <c r="G5935" i="2"/>
  <c r="I5934" i="2"/>
  <c r="H5934" i="2"/>
  <c r="G5934" i="2"/>
  <c r="I5933" i="2"/>
  <c r="H5933" i="2"/>
  <c r="G5933" i="2"/>
  <c r="I5932" i="2"/>
  <c r="H5932" i="2"/>
  <c r="G5932" i="2"/>
  <c r="I5931" i="2"/>
  <c r="H5931" i="2"/>
  <c r="G5931" i="2"/>
  <c r="I5930" i="2"/>
  <c r="H5930" i="2"/>
  <c r="G5930" i="2"/>
  <c r="I5929" i="2"/>
  <c r="H5929" i="2"/>
  <c r="G5929" i="2"/>
  <c r="I5928" i="2"/>
  <c r="H5928" i="2"/>
  <c r="G5928" i="2"/>
  <c r="I5927" i="2"/>
  <c r="H5927" i="2"/>
  <c r="G5927" i="2"/>
  <c r="I5926" i="2"/>
  <c r="H5926" i="2"/>
  <c r="G5926" i="2"/>
  <c r="I5925" i="2"/>
  <c r="H5925" i="2"/>
  <c r="G5925" i="2"/>
  <c r="I5924" i="2"/>
  <c r="H5924" i="2"/>
  <c r="G5924" i="2"/>
  <c r="I5923" i="2"/>
  <c r="H5923" i="2"/>
  <c r="G5923" i="2"/>
  <c r="I5922" i="2"/>
  <c r="H5922" i="2"/>
  <c r="G5922" i="2"/>
  <c r="I5921" i="2"/>
  <c r="H5921" i="2"/>
  <c r="G5921" i="2"/>
  <c r="I5920" i="2"/>
  <c r="H5920" i="2"/>
  <c r="G5920" i="2"/>
  <c r="I5919" i="2"/>
  <c r="H5919" i="2"/>
  <c r="G5919" i="2"/>
  <c r="I5918" i="2"/>
  <c r="H5918" i="2"/>
  <c r="G5918" i="2"/>
  <c r="I5917" i="2"/>
  <c r="H5917" i="2"/>
  <c r="G5917" i="2"/>
  <c r="I5916" i="2"/>
  <c r="H5916" i="2"/>
  <c r="G5916" i="2"/>
  <c r="I5915" i="2"/>
  <c r="H5915" i="2"/>
  <c r="G5915" i="2"/>
  <c r="I5914" i="2"/>
  <c r="H5914" i="2"/>
  <c r="G5914" i="2"/>
  <c r="I5913" i="2"/>
  <c r="H5913" i="2"/>
  <c r="G5913" i="2"/>
  <c r="I5912" i="2"/>
  <c r="H5912" i="2"/>
  <c r="G5912" i="2"/>
  <c r="I5911" i="2"/>
  <c r="H5911" i="2"/>
  <c r="G5911" i="2"/>
  <c r="I5910" i="2"/>
  <c r="H5910" i="2"/>
  <c r="G5910" i="2"/>
  <c r="I5909" i="2"/>
  <c r="H5909" i="2"/>
  <c r="G5909" i="2"/>
  <c r="I5908" i="2"/>
  <c r="H5908" i="2"/>
  <c r="G5908" i="2"/>
  <c r="I5907" i="2"/>
  <c r="H5907" i="2"/>
  <c r="G5907" i="2"/>
  <c r="I5906" i="2"/>
  <c r="H5906" i="2"/>
  <c r="G5906" i="2"/>
  <c r="I5905" i="2"/>
  <c r="H5905" i="2"/>
  <c r="G5905" i="2"/>
  <c r="I5904" i="2"/>
  <c r="H5904" i="2"/>
  <c r="G5904" i="2"/>
  <c r="I5903" i="2"/>
  <c r="H5903" i="2"/>
  <c r="G5903" i="2"/>
  <c r="I5902" i="2"/>
  <c r="H5902" i="2"/>
  <c r="G5902" i="2"/>
  <c r="I5901" i="2"/>
  <c r="H5901" i="2"/>
  <c r="G5901" i="2"/>
  <c r="I5900" i="2"/>
  <c r="H5900" i="2"/>
  <c r="G5900" i="2"/>
  <c r="I5899" i="2"/>
  <c r="H5899" i="2"/>
  <c r="G5899" i="2"/>
  <c r="I5898" i="2"/>
  <c r="H5898" i="2"/>
  <c r="G5898" i="2"/>
  <c r="I5897" i="2"/>
  <c r="H5897" i="2"/>
  <c r="G5897" i="2"/>
  <c r="I5896" i="2"/>
  <c r="H5896" i="2"/>
  <c r="G5896" i="2"/>
  <c r="I5895" i="2"/>
  <c r="H5895" i="2"/>
  <c r="G5895" i="2"/>
  <c r="I5894" i="2"/>
  <c r="H5894" i="2"/>
  <c r="G5894" i="2"/>
  <c r="I5893" i="2"/>
  <c r="H5893" i="2"/>
  <c r="G5893" i="2"/>
  <c r="I5892" i="2"/>
  <c r="H5892" i="2"/>
  <c r="G5892" i="2"/>
  <c r="I5891" i="2"/>
  <c r="H5891" i="2"/>
  <c r="G5891" i="2"/>
  <c r="I5890" i="2"/>
  <c r="H5890" i="2"/>
  <c r="G5890" i="2"/>
  <c r="I5889" i="2"/>
  <c r="H5889" i="2"/>
  <c r="G5889" i="2"/>
  <c r="I5888" i="2"/>
  <c r="H5888" i="2"/>
  <c r="G5888" i="2"/>
  <c r="I5887" i="2"/>
  <c r="H5887" i="2"/>
  <c r="G5887" i="2"/>
  <c r="I5886" i="2"/>
  <c r="H5886" i="2"/>
  <c r="G5886" i="2"/>
  <c r="I5885" i="2"/>
  <c r="H5885" i="2"/>
  <c r="G5885" i="2"/>
  <c r="I5884" i="2"/>
  <c r="H5884" i="2"/>
  <c r="G5884" i="2"/>
  <c r="I5883" i="2"/>
  <c r="H5883" i="2"/>
  <c r="G5883" i="2"/>
  <c r="I5882" i="2"/>
  <c r="H5882" i="2"/>
  <c r="G5882" i="2"/>
  <c r="I5881" i="2"/>
  <c r="H5881" i="2"/>
  <c r="G5881" i="2"/>
  <c r="I5880" i="2"/>
  <c r="H5880" i="2"/>
  <c r="G5880" i="2"/>
  <c r="I5879" i="2"/>
  <c r="H5879" i="2"/>
  <c r="G5879" i="2"/>
  <c r="I5878" i="2"/>
  <c r="H5878" i="2"/>
  <c r="G5878" i="2"/>
  <c r="I5877" i="2"/>
  <c r="H5877" i="2"/>
  <c r="G5877" i="2"/>
  <c r="I5876" i="2"/>
  <c r="H5876" i="2"/>
  <c r="G5876" i="2"/>
  <c r="I5875" i="2"/>
  <c r="H5875" i="2"/>
  <c r="G5875" i="2"/>
  <c r="I5874" i="2"/>
  <c r="H5874" i="2"/>
  <c r="G5874" i="2"/>
  <c r="I5873" i="2"/>
  <c r="H5873" i="2"/>
  <c r="G5873" i="2"/>
  <c r="I5872" i="2"/>
  <c r="H5872" i="2"/>
  <c r="G5872" i="2"/>
  <c r="I5871" i="2"/>
  <c r="H5871" i="2"/>
  <c r="G5871" i="2"/>
  <c r="I5870" i="2"/>
  <c r="H5870" i="2"/>
  <c r="G5870" i="2"/>
  <c r="I5869" i="2"/>
  <c r="H5869" i="2"/>
  <c r="G5869" i="2"/>
  <c r="I5868" i="2"/>
  <c r="H5868" i="2"/>
  <c r="G5868" i="2"/>
  <c r="I5867" i="2"/>
  <c r="H5867" i="2"/>
  <c r="G5867" i="2"/>
  <c r="I5866" i="2"/>
  <c r="H5866" i="2"/>
  <c r="G5866" i="2"/>
  <c r="I5865" i="2"/>
  <c r="H5865" i="2"/>
  <c r="G5865" i="2"/>
  <c r="I5864" i="2"/>
  <c r="H5864" i="2"/>
  <c r="G5864" i="2"/>
  <c r="I5863" i="2"/>
  <c r="H5863" i="2"/>
  <c r="G5863" i="2"/>
  <c r="I5862" i="2"/>
  <c r="H5862" i="2"/>
  <c r="G5862" i="2"/>
  <c r="I5861" i="2"/>
  <c r="H5861" i="2"/>
  <c r="G5861" i="2"/>
  <c r="I5860" i="2"/>
  <c r="H5860" i="2"/>
  <c r="G5860" i="2"/>
  <c r="I5859" i="2"/>
  <c r="H5859" i="2"/>
  <c r="G5859" i="2"/>
  <c r="I5858" i="2"/>
  <c r="H5858" i="2"/>
  <c r="G5858" i="2"/>
  <c r="I5857" i="2"/>
  <c r="H5857" i="2"/>
  <c r="G5857" i="2"/>
  <c r="I5856" i="2"/>
  <c r="H5856" i="2"/>
  <c r="G5856" i="2"/>
  <c r="I5855" i="2"/>
  <c r="H5855" i="2"/>
  <c r="G5855" i="2"/>
  <c r="I5854" i="2"/>
  <c r="H5854" i="2"/>
  <c r="G5854" i="2"/>
  <c r="I5853" i="2"/>
  <c r="H5853" i="2"/>
  <c r="G5853" i="2"/>
  <c r="I5852" i="2"/>
  <c r="H5852" i="2"/>
  <c r="G5852" i="2"/>
  <c r="I5851" i="2"/>
  <c r="H5851" i="2"/>
  <c r="G5851" i="2"/>
  <c r="I5850" i="2"/>
  <c r="H5850" i="2"/>
  <c r="G5850" i="2"/>
  <c r="I5849" i="2"/>
  <c r="H5849" i="2"/>
  <c r="G5849" i="2"/>
  <c r="I5848" i="2"/>
  <c r="H5848" i="2"/>
  <c r="G5848" i="2"/>
  <c r="I5847" i="2"/>
  <c r="H5847" i="2"/>
  <c r="G5847" i="2"/>
  <c r="I5846" i="2"/>
  <c r="H5846" i="2"/>
  <c r="G5846" i="2"/>
  <c r="I5845" i="2"/>
  <c r="H5845" i="2"/>
  <c r="G5845" i="2"/>
  <c r="I5844" i="2"/>
  <c r="H5844" i="2"/>
  <c r="G5844" i="2"/>
  <c r="I5843" i="2"/>
  <c r="H5843" i="2"/>
  <c r="G5843" i="2"/>
  <c r="I5842" i="2"/>
  <c r="H5842" i="2"/>
  <c r="G5842" i="2"/>
  <c r="I5841" i="2"/>
  <c r="H5841" i="2"/>
  <c r="G5841" i="2"/>
  <c r="I5840" i="2"/>
  <c r="H5840" i="2"/>
  <c r="G5840" i="2"/>
  <c r="I5839" i="2"/>
  <c r="H5839" i="2"/>
  <c r="G5839" i="2"/>
  <c r="I5838" i="2"/>
  <c r="H5838" i="2"/>
  <c r="G5838" i="2"/>
  <c r="I5837" i="2"/>
  <c r="H5837" i="2"/>
  <c r="G5837" i="2"/>
  <c r="I5836" i="2"/>
  <c r="H5836" i="2"/>
  <c r="G5836" i="2"/>
  <c r="I5835" i="2"/>
  <c r="H5835" i="2"/>
  <c r="G5835" i="2"/>
  <c r="I5834" i="2"/>
  <c r="H5834" i="2"/>
  <c r="G5834" i="2"/>
  <c r="I5833" i="2"/>
  <c r="H5833" i="2"/>
  <c r="G5833" i="2"/>
  <c r="I5832" i="2"/>
  <c r="H5832" i="2"/>
  <c r="G5832" i="2"/>
  <c r="I5831" i="2"/>
  <c r="H5831" i="2"/>
  <c r="G5831" i="2"/>
  <c r="I5830" i="2"/>
  <c r="H5830" i="2"/>
  <c r="G5830" i="2"/>
  <c r="I5829" i="2"/>
  <c r="H5829" i="2"/>
  <c r="G5829" i="2"/>
  <c r="I5828" i="2"/>
  <c r="H5828" i="2"/>
  <c r="G5828" i="2"/>
  <c r="I5827" i="2"/>
  <c r="H5827" i="2"/>
  <c r="G5827" i="2"/>
  <c r="I5826" i="2"/>
  <c r="H5826" i="2"/>
  <c r="G5826" i="2"/>
  <c r="I5825" i="2"/>
  <c r="H5825" i="2"/>
  <c r="G5825" i="2"/>
  <c r="I5824" i="2"/>
  <c r="H5824" i="2"/>
  <c r="G5824" i="2"/>
  <c r="I5823" i="2"/>
  <c r="H5823" i="2"/>
  <c r="G5823" i="2"/>
  <c r="I5822" i="2"/>
  <c r="H5822" i="2"/>
  <c r="G5822" i="2"/>
  <c r="I5821" i="2"/>
  <c r="H5821" i="2"/>
  <c r="G5821" i="2"/>
  <c r="I5820" i="2"/>
  <c r="H5820" i="2"/>
  <c r="G5820" i="2"/>
  <c r="I5819" i="2"/>
  <c r="H5819" i="2"/>
  <c r="G5819" i="2"/>
  <c r="I5818" i="2"/>
  <c r="H5818" i="2"/>
  <c r="G5818" i="2"/>
  <c r="I5817" i="2"/>
  <c r="H5817" i="2"/>
  <c r="G5817" i="2"/>
  <c r="I5816" i="2"/>
  <c r="H5816" i="2"/>
  <c r="G5816" i="2"/>
  <c r="I5815" i="2"/>
  <c r="H5815" i="2"/>
  <c r="G5815" i="2"/>
  <c r="I5814" i="2"/>
  <c r="H5814" i="2"/>
  <c r="G5814" i="2"/>
  <c r="I5813" i="2"/>
  <c r="H5813" i="2"/>
  <c r="G5813" i="2"/>
  <c r="I5812" i="2"/>
  <c r="H5812" i="2"/>
  <c r="G5812" i="2"/>
  <c r="I5811" i="2"/>
  <c r="H5811" i="2"/>
  <c r="G5811" i="2"/>
  <c r="I5810" i="2"/>
  <c r="H5810" i="2"/>
  <c r="G5810" i="2"/>
  <c r="I5809" i="2"/>
  <c r="H5809" i="2"/>
  <c r="G5809" i="2"/>
  <c r="I5808" i="2"/>
  <c r="H5808" i="2"/>
  <c r="G5808" i="2"/>
  <c r="I5807" i="2"/>
  <c r="H5807" i="2"/>
  <c r="G5807" i="2"/>
  <c r="I5806" i="2"/>
  <c r="H5806" i="2"/>
  <c r="G5806" i="2"/>
  <c r="I5805" i="2"/>
  <c r="H5805" i="2"/>
  <c r="G5805" i="2"/>
  <c r="I5804" i="2"/>
  <c r="H5804" i="2"/>
  <c r="G5804" i="2"/>
  <c r="I5803" i="2"/>
  <c r="H5803" i="2"/>
  <c r="G5803" i="2"/>
  <c r="I5802" i="2"/>
  <c r="H5802" i="2"/>
  <c r="G5802" i="2"/>
  <c r="I5801" i="2"/>
  <c r="H5801" i="2"/>
  <c r="G5801" i="2"/>
  <c r="I5800" i="2"/>
  <c r="H5800" i="2"/>
  <c r="G5800" i="2"/>
  <c r="I5799" i="2"/>
  <c r="H5799" i="2"/>
  <c r="G5799" i="2"/>
  <c r="I5798" i="2"/>
  <c r="H5798" i="2"/>
  <c r="G5798" i="2"/>
  <c r="I5797" i="2"/>
  <c r="H5797" i="2"/>
  <c r="G5797" i="2"/>
  <c r="I5796" i="2"/>
  <c r="H5796" i="2"/>
  <c r="G5796" i="2"/>
  <c r="I5795" i="2"/>
  <c r="H5795" i="2"/>
  <c r="G5795" i="2"/>
  <c r="I5794" i="2"/>
  <c r="H5794" i="2"/>
  <c r="G5794" i="2"/>
  <c r="I5793" i="2"/>
  <c r="H5793" i="2"/>
  <c r="G5793" i="2"/>
  <c r="I5792" i="2"/>
  <c r="H5792" i="2"/>
  <c r="G5792" i="2"/>
  <c r="I5791" i="2"/>
  <c r="H5791" i="2"/>
  <c r="G5791" i="2"/>
  <c r="I5790" i="2"/>
  <c r="H5790" i="2"/>
  <c r="G5790" i="2"/>
  <c r="I5789" i="2"/>
  <c r="H5789" i="2"/>
  <c r="G5789" i="2"/>
  <c r="I5788" i="2"/>
  <c r="H5788" i="2"/>
  <c r="G5788" i="2"/>
  <c r="I5787" i="2"/>
  <c r="H5787" i="2"/>
  <c r="G5787" i="2"/>
  <c r="I5786" i="2"/>
  <c r="H5786" i="2"/>
  <c r="G5786" i="2"/>
  <c r="I5785" i="2"/>
  <c r="H5785" i="2"/>
  <c r="G5785" i="2"/>
  <c r="I5784" i="2"/>
  <c r="H5784" i="2"/>
  <c r="G5784" i="2"/>
  <c r="I5783" i="2"/>
  <c r="H5783" i="2"/>
  <c r="G5783" i="2"/>
  <c r="I5782" i="2"/>
  <c r="H5782" i="2"/>
  <c r="G5782" i="2"/>
  <c r="I5781" i="2"/>
  <c r="H5781" i="2"/>
  <c r="G5781" i="2"/>
  <c r="I5780" i="2"/>
  <c r="H5780" i="2"/>
  <c r="G5780" i="2"/>
  <c r="I5779" i="2"/>
  <c r="H5779" i="2"/>
  <c r="G5779" i="2"/>
  <c r="I5778" i="2"/>
  <c r="H5778" i="2"/>
  <c r="G5778" i="2"/>
  <c r="I5777" i="2"/>
  <c r="H5777" i="2"/>
  <c r="G5777" i="2"/>
  <c r="I5776" i="2"/>
  <c r="H5776" i="2"/>
  <c r="G5776" i="2"/>
  <c r="I5775" i="2"/>
  <c r="H5775" i="2"/>
  <c r="G5775" i="2"/>
  <c r="I5774" i="2"/>
  <c r="H5774" i="2"/>
  <c r="G5774" i="2"/>
  <c r="I5773" i="2"/>
  <c r="H5773" i="2"/>
  <c r="G5773" i="2"/>
  <c r="I5772" i="2"/>
  <c r="H5772" i="2"/>
  <c r="G5772" i="2"/>
  <c r="I5771" i="2"/>
  <c r="H5771" i="2"/>
  <c r="G5771" i="2"/>
  <c r="I5770" i="2"/>
  <c r="H5770" i="2"/>
  <c r="G5770" i="2"/>
  <c r="I5769" i="2"/>
  <c r="H5769" i="2"/>
  <c r="G5769" i="2"/>
  <c r="I5768" i="2"/>
  <c r="H5768" i="2"/>
  <c r="G5768" i="2"/>
  <c r="I5767" i="2"/>
  <c r="H5767" i="2"/>
  <c r="G5767" i="2"/>
  <c r="I5766" i="2"/>
  <c r="H5766" i="2"/>
  <c r="G5766" i="2"/>
  <c r="I5765" i="2"/>
  <c r="H5765" i="2"/>
  <c r="G5765" i="2"/>
  <c r="I5764" i="2"/>
  <c r="H5764" i="2"/>
  <c r="G5764" i="2"/>
  <c r="I5763" i="2"/>
  <c r="H5763" i="2"/>
  <c r="G5763" i="2"/>
  <c r="I5762" i="2"/>
  <c r="H5762" i="2"/>
  <c r="G5762" i="2"/>
  <c r="I5761" i="2"/>
  <c r="H5761" i="2"/>
  <c r="G5761" i="2"/>
  <c r="I5760" i="2"/>
  <c r="H5760" i="2"/>
  <c r="G5760" i="2"/>
  <c r="I5759" i="2"/>
  <c r="H5759" i="2"/>
  <c r="G5759" i="2"/>
  <c r="I5758" i="2"/>
  <c r="H5758" i="2"/>
  <c r="G5758" i="2"/>
  <c r="I5757" i="2"/>
  <c r="H5757" i="2"/>
  <c r="G5757" i="2"/>
  <c r="I5756" i="2"/>
  <c r="H5756" i="2"/>
  <c r="G5756" i="2"/>
  <c r="I5755" i="2"/>
  <c r="H5755" i="2"/>
  <c r="G5755" i="2"/>
  <c r="I5754" i="2"/>
  <c r="H5754" i="2"/>
  <c r="G5754" i="2"/>
  <c r="I5753" i="2"/>
  <c r="H5753" i="2"/>
  <c r="G5753" i="2"/>
  <c r="I5752" i="2"/>
  <c r="H5752" i="2"/>
  <c r="G5752" i="2"/>
  <c r="I5751" i="2"/>
  <c r="H5751" i="2"/>
  <c r="G5751" i="2"/>
  <c r="I5750" i="2"/>
  <c r="H5750" i="2"/>
  <c r="G5750" i="2"/>
  <c r="I5749" i="2"/>
  <c r="H5749" i="2"/>
  <c r="G5749" i="2"/>
  <c r="I5748" i="2"/>
  <c r="H5748" i="2"/>
  <c r="G5748" i="2"/>
  <c r="I5747" i="2"/>
  <c r="H5747" i="2"/>
  <c r="G5747" i="2"/>
  <c r="I5746" i="2"/>
  <c r="H5746" i="2"/>
  <c r="G5746" i="2"/>
  <c r="I5745" i="2"/>
  <c r="H5745" i="2"/>
  <c r="G5745" i="2"/>
  <c r="I5744" i="2"/>
  <c r="H5744" i="2"/>
  <c r="G5744" i="2"/>
  <c r="I5743" i="2"/>
  <c r="H5743" i="2"/>
  <c r="G5743" i="2"/>
  <c r="I5742" i="2"/>
  <c r="H5742" i="2"/>
  <c r="G5742" i="2"/>
  <c r="I5741" i="2"/>
  <c r="H5741" i="2"/>
  <c r="G5741" i="2"/>
  <c r="I5740" i="2"/>
  <c r="H5740" i="2"/>
  <c r="G5740" i="2"/>
  <c r="I5739" i="2"/>
  <c r="H5739" i="2"/>
  <c r="G5739" i="2"/>
  <c r="I5738" i="2"/>
  <c r="H5738" i="2"/>
  <c r="G5738" i="2"/>
  <c r="I5737" i="2"/>
  <c r="H5737" i="2"/>
  <c r="G5737" i="2"/>
  <c r="I5736" i="2"/>
  <c r="H5736" i="2"/>
  <c r="G5736" i="2"/>
  <c r="I5735" i="2"/>
  <c r="H5735" i="2"/>
  <c r="G5735" i="2"/>
  <c r="I5734" i="2"/>
  <c r="H5734" i="2"/>
  <c r="G5734" i="2"/>
  <c r="I5733" i="2"/>
  <c r="H5733" i="2"/>
  <c r="G5733" i="2"/>
  <c r="I5732" i="2"/>
  <c r="H5732" i="2"/>
  <c r="G5732" i="2"/>
  <c r="I5731" i="2"/>
  <c r="H5731" i="2"/>
  <c r="G5731" i="2"/>
  <c r="I5730" i="2"/>
  <c r="H5730" i="2"/>
  <c r="G5730" i="2"/>
  <c r="I5729" i="2"/>
  <c r="H5729" i="2"/>
  <c r="G5729" i="2"/>
  <c r="I5728" i="2"/>
  <c r="H5728" i="2"/>
  <c r="G5728" i="2"/>
  <c r="I5727" i="2"/>
  <c r="H5727" i="2"/>
  <c r="G5727" i="2"/>
  <c r="I5726" i="2"/>
  <c r="H5726" i="2"/>
  <c r="G5726" i="2"/>
  <c r="I5725" i="2"/>
  <c r="H5725" i="2"/>
  <c r="G5725" i="2"/>
  <c r="I5724" i="2"/>
  <c r="H5724" i="2"/>
  <c r="G5724" i="2"/>
  <c r="I5723" i="2"/>
  <c r="H5723" i="2"/>
  <c r="G5723" i="2"/>
  <c r="I5722" i="2"/>
  <c r="H5722" i="2"/>
  <c r="G5722" i="2"/>
  <c r="I5721" i="2"/>
  <c r="H5721" i="2"/>
  <c r="G5721" i="2"/>
  <c r="I5720" i="2"/>
  <c r="H5720" i="2"/>
  <c r="G5720" i="2"/>
  <c r="I5719" i="2"/>
  <c r="H5719" i="2"/>
  <c r="G5719" i="2"/>
  <c r="I5718" i="2"/>
  <c r="H5718" i="2"/>
  <c r="G5718" i="2"/>
  <c r="I5717" i="2"/>
  <c r="H5717" i="2"/>
  <c r="G5717" i="2"/>
  <c r="I5716" i="2"/>
  <c r="H5716" i="2"/>
  <c r="G5716" i="2"/>
  <c r="I5715" i="2"/>
  <c r="H5715" i="2"/>
  <c r="G5715" i="2"/>
  <c r="I5714" i="2"/>
  <c r="H5714" i="2"/>
  <c r="G5714" i="2"/>
  <c r="I5713" i="2"/>
  <c r="H5713" i="2"/>
  <c r="G5713" i="2"/>
  <c r="I5712" i="2"/>
  <c r="H5712" i="2"/>
  <c r="G5712" i="2"/>
  <c r="I5711" i="2"/>
  <c r="H5711" i="2"/>
  <c r="G5711" i="2"/>
  <c r="I5710" i="2"/>
  <c r="H5710" i="2"/>
  <c r="G5710" i="2"/>
  <c r="I5709" i="2"/>
  <c r="H5709" i="2"/>
  <c r="G5709" i="2"/>
  <c r="I5708" i="2"/>
  <c r="H5708" i="2"/>
  <c r="G5708" i="2"/>
  <c r="I5707" i="2"/>
  <c r="H5707" i="2"/>
  <c r="G5707" i="2"/>
  <c r="I5706" i="2"/>
  <c r="H5706" i="2"/>
  <c r="G5706" i="2"/>
  <c r="I5705" i="2"/>
  <c r="H5705" i="2"/>
  <c r="G5705" i="2"/>
  <c r="I5704" i="2"/>
  <c r="H5704" i="2"/>
  <c r="G5704" i="2"/>
  <c r="I5703" i="2"/>
  <c r="H5703" i="2"/>
  <c r="G5703" i="2"/>
  <c r="I5702" i="2"/>
  <c r="H5702" i="2"/>
  <c r="G5702" i="2"/>
  <c r="I5701" i="2"/>
  <c r="H5701" i="2"/>
  <c r="G5701" i="2"/>
  <c r="I5700" i="2"/>
  <c r="H5700" i="2"/>
  <c r="G5700" i="2"/>
  <c r="I5699" i="2"/>
  <c r="H5699" i="2"/>
  <c r="G5699" i="2"/>
  <c r="I5698" i="2"/>
  <c r="H5698" i="2"/>
  <c r="G5698" i="2"/>
  <c r="I5697" i="2"/>
  <c r="H5697" i="2"/>
  <c r="G5697" i="2"/>
  <c r="I5696" i="2"/>
  <c r="H5696" i="2"/>
  <c r="G5696" i="2"/>
  <c r="I5695" i="2"/>
  <c r="H5695" i="2"/>
  <c r="G5695" i="2"/>
  <c r="I5694" i="2"/>
  <c r="H5694" i="2"/>
  <c r="G5694" i="2"/>
  <c r="I5693" i="2"/>
  <c r="H5693" i="2"/>
  <c r="G5693" i="2"/>
  <c r="I5692" i="2"/>
  <c r="H5692" i="2"/>
  <c r="G5692" i="2"/>
  <c r="I5691" i="2"/>
  <c r="H5691" i="2"/>
  <c r="G5691" i="2"/>
  <c r="I5690" i="2"/>
  <c r="H5690" i="2"/>
  <c r="G5690" i="2"/>
  <c r="I5689" i="2"/>
  <c r="H5689" i="2"/>
  <c r="G5689" i="2"/>
  <c r="I5688" i="2"/>
  <c r="H5688" i="2"/>
  <c r="G5688" i="2"/>
  <c r="I5687" i="2"/>
  <c r="H5687" i="2"/>
  <c r="G5687" i="2"/>
  <c r="I5686" i="2"/>
  <c r="H5686" i="2"/>
  <c r="G5686" i="2"/>
  <c r="I5685" i="2"/>
  <c r="H5685" i="2"/>
  <c r="G5685" i="2"/>
  <c r="I5684" i="2"/>
  <c r="H5684" i="2"/>
  <c r="G5684" i="2"/>
  <c r="I5683" i="2"/>
  <c r="H5683" i="2"/>
  <c r="G5683" i="2"/>
  <c r="I5682" i="2"/>
  <c r="H5682" i="2"/>
  <c r="G5682" i="2"/>
  <c r="I5681" i="2"/>
  <c r="H5681" i="2"/>
  <c r="G5681" i="2"/>
  <c r="I5680" i="2"/>
  <c r="H5680" i="2"/>
  <c r="G5680" i="2"/>
  <c r="I5679" i="2"/>
  <c r="H5679" i="2"/>
  <c r="G5679" i="2"/>
  <c r="I5678" i="2"/>
  <c r="H5678" i="2"/>
  <c r="G5678" i="2"/>
  <c r="I5677" i="2"/>
  <c r="H5677" i="2"/>
  <c r="G5677" i="2"/>
  <c r="I5676" i="2"/>
  <c r="H5676" i="2"/>
  <c r="G5676" i="2"/>
  <c r="I5675" i="2"/>
  <c r="H5675" i="2"/>
  <c r="G5675" i="2"/>
  <c r="I5674" i="2"/>
  <c r="H5674" i="2"/>
  <c r="G5674" i="2"/>
  <c r="I5673" i="2"/>
  <c r="H5673" i="2"/>
  <c r="G5673" i="2"/>
  <c r="I5672" i="2"/>
  <c r="H5672" i="2"/>
  <c r="G5672" i="2"/>
  <c r="I5671" i="2"/>
  <c r="H5671" i="2"/>
  <c r="G5671" i="2"/>
  <c r="I5670" i="2"/>
  <c r="H5670" i="2"/>
  <c r="G5670" i="2"/>
  <c r="I5669" i="2"/>
  <c r="H5669" i="2"/>
  <c r="G5669" i="2"/>
  <c r="I5668" i="2"/>
  <c r="H5668" i="2"/>
  <c r="G5668" i="2"/>
  <c r="I5667" i="2"/>
  <c r="H5667" i="2"/>
  <c r="G5667" i="2"/>
  <c r="I5666" i="2"/>
  <c r="H5666" i="2"/>
  <c r="G5666" i="2"/>
  <c r="I5665" i="2"/>
  <c r="H5665" i="2"/>
  <c r="G5665" i="2"/>
  <c r="I5664" i="2"/>
  <c r="H5664" i="2"/>
  <c r="G5664" i="2"/>
  <c r="I5663" i="2"/>
  <c r="H5663" i="2"/>
  <c r="G5663" i="2"/>
  <c r="I5662" i="2"/>
  <c r="H5662" i="2"/>
  <c r="G5662" i="2"/>
  <c r="I5661" i="2"/>
  <c r="H5661" i="2"/>
  <c r="G5661" i="2"/>
  <c r="I5660" i="2"/>
  <c r="H5660" i="2"/>
  <c r="G5660" i="2"/>
  <c r="I5659" i="2"/>
  <c r="H5659" i="2"/>
  <c r="G5659" i="2"/>
  <c r="I5658" i="2"/>
  <c r="H5658" i="2"/>
  <c r="G5658" i="2"/>
  <c r="I5657" i="2"/>
  <c r="H5657" i="2"/>
  <c r="G5657" i="2"/>
  <c r="I5656" i="2"/>
  <c r="H5656" i="2"/>
  <c r="G5656" i="2"/>
  <c r="I5655" i="2"/>
  <c r="H5655" i="2"/>
  <c r="G5655" i="2"/>
  <c r="I5654" i="2"/>
  <c r="H5654" i="2"/>
  <c r="G5654" i="2"/>
  <c r="I5653" i="2"/>
  <c r="H5653" i="2"/>
  <c r="G5653" i="2"/>
  <c r="I5652" i="2"/>
  <c r="H5652" i="2"/>
  <c r="G5652" i="2"/>
  <c r="I5651" i="2"/>
  <c r="H5651" i="2"/>
  <c r="G5651" i="2"/>
  <c r="I5650" i="2"/>
  <c r="H5650" i="2"/>
  <c r="G5650" i="2"/>
  <c r="I5649" i="2"/>
  <c r="H5649" i="2"/>
  <c r="G5649" i="2"/>
  <c r="I5648" i="2"/>
  <c r="H5648" i="2"/>
  <c r="G5648" i="2"/>
  <c r="I5647" i="2"/>
  <c r="H5647" i="2"/>
  <c r="G5647" i="2"/>
  <c r="I5646" i="2"/>
  <c r="H5646" i="2"/>
  <c r="G5646" i="2"/>
  <c r="I5645" i="2"/>
  <c r="H5645" i="2"/>
  <c r="G5645" i="2"/>
  <c r="I5644" i="2"/>
  <c r="H5644" i="2"/>
  <c r="G5644" i="2"/>
  <c r="I5643" i="2"/>
  <c r="H5643" i="2"/>
  <c r="G5643" i="2"/>
  <c r="I5642" i="2"/>
  <c r="H5642" i="2"/>
  <c r="G5642" i="2"/>
  <c r="I5641" i="2"/>
  <c r="H5641" i="2"/>
  <c r="G5641" i="2"/>
  <c r="I5640" i="2"/>
  <c r="H5640" i="2"/>
  <c r="G5640" i="2"/>
  <c r="I5639" i="2"/>
  <c r="H5639" i="2"/>
  <c r="G5639" i="2"/>
  <c r="I5638" i="2"/>
  <c r="H5638" i="2"/>
  <c r="G5638" i="2"/>
  <c r="I5637" i="2"/>
  <c r="H5637" i="2"/>
  <c r="G5637" i="2"/>
  <c r="I5636" i="2"/>
  <c r="H5636" i="2"/>
  <c r="G5636" i="2"/>
  <c r="I5635" i="2"/>
  <c r="H5635" i="2"/>
  <c r="G5635" i="2"/>
  <c r="I5634" i="2"/>
  <c r="H5634" i="2"/>
  <c r="G5634" i="2"/>
  <c r="I5633" i="2"/>
  <c r="H5633" i="2"/>
  <c r="G5633" i="2"/>
  <c r="I5632" i="2"/>
  <c r="H5632" i="2"/>
  <c r="G5632" i="2"/>
  <c r="I5631" i="2"/>
  <c r="H5631" i="2"/>
  <c r="G5631" i="2"/>
  <c r="I5630" i="2"/>
  <c r="H5630" i="2"/>
  <c r="G5630" i="2"/>
  <c r="I5629" i="2"/>
  <c r="H5629" i="2"/>
  <c r="G5629" i="2"/>
  <c r="I5628" i="2"/>
  <c r="H5628" i="2"/>
  <c r="G5628" i="2"/>
  <c r="I5627" i="2"/>
  <c r="H5627" i="2"/>
  <c r="G5627" i="2"/>
  <c r="I5626" i="2"/>
  <c r="H5626" i="2"/>
  <c r="G5626" i="2"/>
  <c r="I5625" i="2"/>
  <c r="H5625" i="2"/>
  <c r="G5625" i="2"/>
  <c r="I5624" i="2"/>
  <c r="H5624" i="2"/>
  <c r="G5624" i="2"/>
  <c r="I5623" i="2"/>
  <c r="H5623" i="2"/>
  <c r="G5623" i="2"/>
  <c r="I5622" i="2"/>
  <c r="H5622" i="2"/>
  <c r="G5622" i="2"/>
  <c r="I5621" i="2"/>
  <c r="H5621" i="2"/>
  <c r="G5621" i="2"/>
  <c r="I5620" i="2"/>
  <c r="H5620" i="2"/>
  <c r="G5620" i="2"/>
  <c r="I5619" i="2"/>
  <c r="H5619" i="2"/>
  <c r="G5619" i="2"/>
  <c r="I5618" i="2"/>
  <c r="H5618" i="2"/>
  <c r="G5618" i="2"/>
  <c r="I5617" i="2"/>
  <c r="H5617" i="2"/>
  <c r="G5617" i="2"/>
  <c r="I5616" i="2"/>
  <c r="H5616" i="2"/>
  <c r="G5616" i="2"/>
  <c r="I5615" i="2"/>
  <c r="H5615" i="2"/>
  <c r="G5615" i="2"/>
  <c r="I5614" i="2"/>
  <c r="H5614" i="2"/>
  <c r="G5614" i="2"/>
  <c r="I5613" i="2"/>
  <c r="H5613" i="2"/>
  <c r="G5613" i="2"/>
  <c r="I5612" i="2"/>
  <c r="H5612" i="2"/>
  <c r="G5612" i="2"/>
  <c r="I5611" i="2"/>
  <c r="H5611" i="2"/>
  <c r="G5611" i="2"/>
  <c r="I5610" i="2"/>
  <c r="H5610" i="2"/>
  <c r="G5610" i="2"/>
  <c r="I5609" i="2"/>
  <c r="H5609" i="2"/>
  <c r="G5609" i="2"/>
  <c r="I5608" i="2"/>
  <c r="H5608" i="2"/>
  <c r="G5608" i="2"/>
  <c r="I5607" i="2"/>
  <c r="H5607" i="2"/>
  <c r="G5607" i="2"/>
  <c r="I5606" i="2"/>
  <c r="H5606" i="2"/>
  <c r="G5606" i="2"/>
  <c r="I5605" i="2"/>
  <c r="H5605" i="2"/>
  <c r="G5605" i="2"/>
  <c r="I5604" i="2"/>
  <c r="H5604" i="2"/>
  <c r="G5604" i="2"/>
  <c r="I5603" i="2"/>
  <c r="H5603" i="2"/>
  <c r="G5603" i="2"/>
  <c r="I5602" i="2"/>
  <c r="H5602" i="2"/>
  <c r="G5602" i="2"/>
  <c r="I5601" i="2"/>
  <c r="H5601" i="2"/>
  <c r="G5601" i="2"/>
  <c r="I5600" i="2"/>
  <c r="H5600" i="2"/>
  <c r="G5600" i="2"/>
  <c r="I5599" i="2"/>
  <c r="H5599" i="2"/>
  <c r="G5599" i="2"/>
  <c r="I5598" i="2"/>
  <c r="H5598" i="2"/>
  <c r="G5598" i="2"/>
  <c r="I5597" i="2"/>
  <c r="H5597" i="2"/>
  <c r="G5597" i="2"/>
  <c r="I5596" i="2"/>
  <c r="H5596" i="2"/>
  <c r="G5596" i="2"/>
  <c r="I5595" i="2"/>
  <c r="H5595" i="2"/>
  <c r="G5595" i="2"/>
  <c r="I5594" i="2"/>
  <c r="H5594" i="2"/>
  <c r="G5594" i="2"/>
  <c r="I5593" i="2"/>
  <c r="H5593" i="2"/>
  <c r="G5593" i="2"/>
  <c r="I5592" i="2"/>
  <c r="H5592" i="2"/>
  <c r="G5592" i="2"/>
  <c r="I5591" i="2"/>
  <c r="H5591" i="2"/>
  <c r="G5591" i="2"/>
  <c r="I5590" i="2"/>
  <c r="H5590" i="2"/>
  <c r="G5590" i="2"/>
  <c r="I5589" i="2"/>
  <c r="H5589" i="2"/>
  <c r="G5589" i="2"/>
  <c r="I5588" i="2"/>
  <c r="H5588" i="2"/>
  <c r="G5588" i="2"/>
  <c r="I5587" i="2"/>
  <c r="H5587" i="2"/>
  <c r="G5587" i="2"/>
  <c r="I5586" i="2"/>
  <c r="H5586" i="2"/>
  <c r="G5586" i="2"/>
  <c r="I5585" i="2"/>
  <c r="H5585" i="2"/>
  <c r="G5585" i="2"/>
  <c r="I5584" i="2"/>
  <c r="H5584" i="2"/>
  <c r="G5584" i="2"/>
  <c r="I5583" i="2"/>
  <c r="H5583" i="2"/>
  <c r="G5583" i="2"/>
  <c r="I5582" i="2"/>
  <c r="H5582" i="2"/>
  <c r="G5582" i="2"/>
  <c r="I5581" i="2"/>
  <c r="H5581" i="2"/>
  <c r="G5581" i="2"/>
  <c r="I5580" i="2"/>
  <c r="H5580" i="2"/>
  <c r="G5580" i="2"/>
  <c r="I5579" i="2"/>
  <c r="H5579" i="2"/>
  <c r="G5579" i="2"/>
  <c r="I5578" i="2"/>
  <c r="H5578" i="2"/>
  <c r="G5578" i="2"/>
  <c r="I5577" i="2"/>
  <c r="H5577" i="2"/>
  <c r="G5577" i="2"/>
  <c r="I5576" i="2"/>
  <c r="H5576" i="2"/>
  <c r="G5576" i="2"/>
  <c r="I5575" i="2"/>
  <c r="H5575" i="2"/>
  <c r="G5575" i="2"/>
  <c r="I5574" i="2"/>
  <c r="H5574" i="2"/>
  <c r="G5574" i="2"/>
  <c r="I5573" i="2"/>
  <c r="H5573" i="2"/>
  <c r="G5573" i="2"/>
  <c r="I5572" i="2"/>
  <c r="H5572" i="2"/>
  <c r="G5572" i="2"/>
  <c r="I5571" i="2"/>
  <c r="H5571" i="2"/>
  <c r="G5571" i="2"/>
  <c r="I5570" i="2"/>
  <c r="H5570" i="2"/>
  <c r="G5570" i="2"/>
  <c r="I5569" i="2"/>
  <c r="H5569" i="2"/>
  <c r="G5569" i="2"/>
  <c r="I5568" i="2"/>
  <c r="H5568" i="2"/>
  <c r="G5568" i="2"/>
  <c r="I5567" i="2"/>
  <c r="H5567" i="2"/>
  <c r="G5567" i="2"/>
  <c r="I5566" i="2"/>
  <c r="H5566" i="2"/>
  <c r="G5566" i="2"/>
  <c r="I5565" i="2"/>
  <c r="H5565" i="2"/>
  <c r="G5565" i="2"/>
  <c r="I5564" i="2"/>
  <c r="H5564" i="2"/>
  <c r="G5564" i="2"/>
  <c r="I5563" i="2"/>
  <c r="H5563" i="2"/>
  <c r="G5563" i="2"/>
  <c r="I5562" i="2"/>
  <c r="H5562" i="2"/>
  <c r="G5562" i="2"/>
  <c r="I5561" i="2"/>
  <c r="H5561" i="2"/>
  <c r="G5561" i="2"/>
  <c r="I5560" i="2"/>
  <c r="H5560" i="2"/>
  <c r="G5560" i="2"/>
  <c r="I5559" i="2"/>
  <c r="H5559" i="2"/>
  <c r="G5559" i="2"/>
  <c r="I5558" i="2"/>
  <c r="H5558" i="2"/>
  <c r="G5558" i="2"/>
  <c r="I5557" i="2"/>
  <c r="H5557" i="2"/>
  <c r="G5557" i="2"/>
  <c r="I5556" i="2"/>
  <c r="H5556" i="2"/>
  <c r="G5556" i="2"/>
  <c r="I5555" i="2"/>
  <c r="H5555" i="2"/>
  <c r="G5555" i="2"/>
  <c r="I5554" i="2"/>
  <c r="H5554" i="2"/>
  <c r="G5554" i="2"/>
  <c r="I5553" i="2"/>
  <c r="H5553" i="2"/>
  <c r="G5553" i="2"/>
  <c r="I5552" i="2"/>
  <c r="H5552" i="2"/>
  <c r="G5552" i="2"/>
  <c r="I5551" i="2"/>
  <c r="H5551" i="2"/>
  <c r="G5551" i="2"/>
  <c r="I5550" i="2"/>
  <c r="H5550" i="2"/>
  <c r="G5550" i="2"/>
  <c r="I5549" i="2"/>
  <c r="H5549" i="2"/>
  <c r="G5549" i="2"/>
  <c r="I5548" i="2"/>
  <c r="H5548" i="2"/>
  <c r="G5548" i="2"/>
  <c r="I5547" i="2"/>
  <c r="H5547" i="2"/>
  <c r="G5547" i="2"/>
  <c r="I5546" i="2"/>
  <c r="H5546" i="2"/>
  <c r="G5546" i="2"/>
  <c r="I5545" i="2"/>
  <c r="H5545" i="2"/>
  <c r="G5545" i="2"/>
  <c r="I5544" i="2"/>
  <c r="H5544" i="2"/>
  <c r="G5544" i="2"/>
  <c r="I5543" i="2"/>
  <c r="H5543" i="2"/>
  <c r="G5543" i="2"/>
  <c r="I5542" i="2"/>
  <c r="H5542" i="2"/>
  <c r="G5542" i="2"/>
  <c r="I5541" i="2"/>
  <c r="H5541" i="2"/>
  <c r="G5541" i="2"/>
  <c r="I5540" i="2"/>
  <c r="H5540" i="2"/>
  <c r="G5540" i="2"/>
  <c r="I5539" i="2"/>
  <c r="H5539" i="2"/>
  <c r="G5539" i="2"/>
  <c r="I5538" i="2"/>
  <c r="H5538" i="2"/>
  <c r="G5538" i="2"/>
  <c r="I5537" i="2"/>
  <c r="H5537" i="2"/>
  <c r="G5537" i="2"/>
  <c r="I5536" i="2"/>
  <c r="H5536" i="2"/>
  <c r="G5536" i="2"/>
  <c r="I5535" i="2"/>
  <c r="H5535" i="2"/>
  <c r="G5535" i="2"/>
  <c r="I5534" i="2"/>
  <c r="H5534" i="2"/>
  <c r="G5534" i="2"/>
  <c r="I5533" i="2"/>
  <c r="H5533" i="2"/>
  <c r="G5533" i="2"/>
  <c r="I5532" i="2"/>
  <c r="H5532" i="2"/>
  <c r="G5532" i="2"/>
  <c r="I5531" i="2"/>
  <c r="H5531" i="2"/>
  <c r="G5531" i="2"/>
  <c r="I5530" i="2"/>
  <c r="H5530" i="2"/>
  <c r="G5530" i="2"/>
  <c r="I5529" i="2"/>
  <c r="H5529" i="2"/>
  <c r="G5529" i="2"/>
  <c r="I5528" i="2"/>
  <c r="H5528" i="2"/>
  <c r="G5528" i="2"/>
  <c r="I5527" i="2"/>
  <c r="H5527" i="2"/>
  <c r="G5527" i="2"/>
  <c r="I5526" i="2"/>
  <c r="H5526" i="2"/>
  <c r="G5526" i="2"/>
  <c r="I5525" i="2"/>
  <c r="H5525" i="2"/>
  <c r="G5525" i="2"/>
  <c r="I5524" i="2"/>
  <c r="H5524" i="2"/>
  <c r="G5524" i="2"/>
  <c r="I5523" i="2"/>
  <c r="H5523" i="2"/>
  <c r="G5523" i="2"/>
  <c r="I5522" i="2"/>
  <c r="H5522" i="2"/>
  <c r="G5522" i="2"/>
  <c r="I5521" i="2"/>
  <c r="H5521" i="2"/>
  <c r="G5521" i="2"/>
  <c r="I5520" i="2"/>
  <c r="H5520" i="2"/>
  <c r="G5520" i="2"/>
  <c r="I5519" i="2"/>
  <c r="H5519" i="2"/>
  <c r="G5519" i="2"/>
  <c r="I5518" i="2"/>
  <c r="H5518" i="2"/>
  <c r="G5518" i="2"/>
  <c r="I5517" i="2"/>
  <c r="H5517" i="2"/>
  <c r="G5517" i="2"/>
  <c r="I5516" i="2"/>
  <c r="H5516" i="2"/>
  <c r="G5516" i="2"/>
  <c r="I5515" i="2"/>
  <c r="H5515" i="2"/>
  <c r="G5515" i="2"/>
  <c r="I5514" i="2"/>
  <c r="H5514" i="2"/>
  <c r="G5514" i="2"/>
  <c r="I5513" i="2"/>
  <c r="H5513" i="2"/>
  <c r="G5513" i="2"/>
  <c r="I5512" i="2"/>
  <c r="H5512" i="2"/>
  <c r="G5512" i="2"/>
  <c r="I5511" i="2"/>
  <c r="H5511" i="2"/>
  <c r="G5511" i="2"/>
  <c r="I5510" i="2"/>
  <c r="H5510" i="2"/>
  <c r="G5510" i="2"/>
  <c r="I5509" i="2"/>
  <c r="H5509" i="2"/>
  <c r="G5509" i="2"/>
  <c r="I5508" i="2"/>
  <c r="H5508" i="2"/>
  <c r="G5508" i="2"/>
  <c r="I5507" i="2"/>
  <c r="H5507" i="2"/>
  <c r="G5507" i="2"/>
  <c r="I5506" i="2"/>
  <c r="H5506" i="2"/>
  <c r="G5506" i="2"/>
  <c r="I5505" i="2"/>
  <c r="H5505" i="2"/>
  <c r="G5505" i="2"/>
  <c r="I5504" i="2"/>
  <c r="H5504" i="2"/>
  <c r="G5504" i="2"/>
  <c r="I5503" i="2"/>
  <c r="H5503" i="2"/>
  <c r="G5503" i="2"/>
  <c r="I5502" i="2"/>
  <c r="H5502" i="2"/>
  <c r="G5502" i="2"/>
  <c r="I5501" i="2"/>
  <c r="H5501" i="2"/>
  <c r="G5501" i="2"/>
  <c r="I5500" i="2"/>
  <c r="H5500" i="2"/>
  <c r="G5500" i="2"/>
  <c r="I5499" i="2"/>
  <c r="H5499" i="2"/>
  <c r="G5499" i="2"/>
  <c r="I5498" i="2"/>
  <c r="H5498" i="2"/>
  <c r="G5498" i="2"/>
  <c r="I5497" i="2"/>
  <c r="H5497" i="2"/>
  <c r="G5497" i="2"/>
  <c r="I5496" i="2"/>
  <c r="H5496" i="2"/>
  <c r="G5496" i="2"/>
  <c r="I5495" i="2"/>
  <c r="H5495" i="2"/>
  <c r="G5495" i="2"/>
  <c r="I5494" i="2"/>
  <c r="H5494" i="2"/>
  <c r="G5494" i="2"/>
  <c r="I5493" i="2"/>
  <c r="H5493" i="2"/>
  <c r="G5493" i="2"/>
  <c r="I5492" i="2"/>
  <c r="H5492" i="2"/>
  <c r="G5492" i="2"/>
  <c r="I5491" i="2"/>
  <c r="H5491" i="2"/>
  <c r="G5491" i="2"/>
  <c r="I5490" i="2"/>
  <c r="H5490" i="2"/>
  <c r="G5490" i="2"/>
  <c r="I5489" i="2"/>
  <c r="H5489" i="2"/>
  <c r="G5489" i="2"/>
  <c r="I5488" i="2"/>
  <c r="H5488" i="2"/>
  <c r="G5488" i="2"/>
  <c r="I5487" i="2"/>
  <c r="H5487" i="2"/>
  <c r="G5487" i="2"/>
  <c r="I5486" i="2"/>
  <c r="H5486" i="2"/>
  <c r="G5486" i="2"/>
  <c r="I5485" i="2"/>
  <c r="H5485" i="2"/>
  <c r="G5485" i="2"/>
  <c r="I5484" i="2"/>
  <c r="H5484" i="2"/>
  <c r="G5484" i="2"/>
  <c r="I5483" i="2"/>
  <c r="H5483" i="2"/>
  <c r="G5483" i="2"/>
  <c r="I5482" i="2"/>
  <c r="H5482" i="2"/>
  <c r="G5482" i="2"/>
  <c r="I5481" i="2"/>
  <c r="H5481" i="2"/>
  <c r="G5481" i="2"/>
  <c r="I5480" i="2"/>
  <c r="H5480" i="2"/>
  <c r="G5480" i="2"/>
  <c r="I5479" i="2"/>
  <c r="H5479" i="2"/>
  <c r="G5479" i="2"/>
  <c r="I5478" i="2"/>
  <c r="H5478" i="2"/>
  <c r="G5478" i="2"/>
  <c r="I5477" i="2"/>
  <c r="H5477" i="2"/>
  <c r="G5477" i="2"/>
  <c r="I5476" i="2"/>
  <c r="H5476" i="2"/>
  <c r="G5476" i="2"/>
  <c r="I5475" i="2"/>
  <c r="H5475" i="2"/>
  <c r="G5475" i="2"/>
  <c r="I5474" i="2"/>
  <c r="H5474" i="2"/>
  <c r="G5474" i="2"/>
  <c r="I5473" i="2"/>
  <c r="H5473" i="2"/>
  <c r="G5473" i="2"/>
  <c r="I5472" i="2"/>
  <c r="H5472" i="2"/>
  <c r="G5472" i="2"/>
  <c r="I5471" i="2"/>
  <c r="H5471" i="2"/>
  <c r="G5471" i="2"/>
  <c r="I5470" i="2"/>
  <c r="H5470" i="2"/>
  <c r="G5470" i="2"/>
  <c r="I5469" i="2"/>
  <c r="H5469" i="2"/>
  <c r="G5469" i="2"/>
  <c r="I5468" i="2"/>
  <c r="H5468" i="2"/>
  <c r="G5468" i="2"/>
  <c r="I5467" i="2"/>
  <c r="H5467" i="2"/>
  <c r="G5467" i="2"/>
  <c r="I5466" i="2"/>
  <c r="H5466" i="2"/>
  <c r="G5466" i="2"/>
  <c r="I5465" i="2"/>
  <c r="H5465" i="2"/>
  <c r="G5465" i="2"/>
  <c r="I5464" i="2"/>
  <c r="H5464" i="2"/>
  <c r="G5464" i="2"/>
  <c r="I5463" i="2"/>
  <c r="H5463" i="2"/>
  <c r="G5463" i="2"/>
  <c r="I5462" i="2"/>
  <c r="H5462" i="2"/>
  <c r="G5462" i="2"/>
  <c r="I5461" i="2"/>
  <c r="H5461" i="2"/>
  <c r="G5461" i="2"/>
  <c r="I5460" i="2"/>
  <c r="H5460" i="2"/>
  <c r="G5460" i="2"/>
  <c r="I5459" i="2"/>
  <c r="H5459" i="2"/>
  <c r="G5459" i="2"/>
  <c r="I5458" i="2"/>
  <c r="H5458" i="2"/>
  <c r="G5458" i="2"/>
  <c r="I5457" i="2"/>
  <c r="H5457" i="2"/>
  <c r="G5457" i="2"/>
  <c r="I5456" i="2"/>
  <c r="H5456" i="2"/>
  <c r="G5456" i="2"/>
  <c r="I5455" i="2"/>
  <c r="H5455" i="2"/>
  <c r="G5455" i="2"/>
  <c r="I5454" i="2"/>
  <c r="H5454" i="2"/>
  <c r="G5454" i="2"/>
  <c r="I5453" i="2"/>
  <c r="H5453" i="2"/>
  <c r="G5453" i="2"/>
  <c r="I5452" i="2"/>
  <c r="H5452" i="2"/>
  <c r="G5452" i="2"/>
  <c r="I5451" i="2"/>
  <c r="H5451" i="2"/>
  <c r="G5451" i="2"/>
  <c r="I5450" i="2"/>
  <c r="H5450" i="2"/>
  <c r="G5450" i="2"/>
  <c r="I5449" i="2"/>
  <c r="H5449" i="2"/>
  <c r="G5449" i="2"/>
  <c r="I5448" i="2"/>
  <c r="H5448" i="2"/>
  <c r="G5448" i="2"/>
  <c r="I5447" i="2"/>
  <c r="H5447" i="2"/>
  <c r="G5447" i="2"/>
  <c r="I5446" i="2"/>
  <c r="H5446" i="2"/>
  <c r="G5446" i="2"/>
  <c r="I5445" i="2"/>
  <c r="H5445" i="2"/>
  <c r="G5445" i="2"/>
  <c r="I5444" i="2"/>
  <c r="H5444" i="2"/>
  <c r="G5444" i="2"/>
  <c r="I5443" i="2"/>
  <c r="H5443" i="2"/>
  <c r="G5443" i="2"/>
  <c r="I5442" i="2"/>
  <c r="H5442" i="2"/>
  <c r="G5442" i="2"/>
  <c r="I5441" i="2"/>
  <c r="H5441" i="2"/>
  <c r="G5441" i="2"/>
  <c r="I5440" i="2"/>
  <c r="H5440" i="2"/>
  <c r="G5440" i="2"/>
  <c r="I5439" i="2"/>
  <c r="H5439" i="2"/>
  <c r="G5439" i="2"/>
  <c r="I5438" i="2"/>
  <c r="H5438" i="2"/>
  <c r="G5438" i="2"/>
  <c r="I5437" i="2"/>
  <c r="H5437" i="2"/>
  <c r="G5437" i="2"/>
  <c r="I5436" i="2"/>
  <c r="H5436" i="2"/>
  <c r="G5436" i="2"/>
  <c r="I5435" i="2"/>
  <c r="H5435" i="2"/>
  <c r="G5435" i="2"/>
  <c r="I5434" i="2"/>
  <c r="H5434" i="2"/>
  <c r="G5434" i="2"/>
  <c r="I5433" i="2"/>
  <c r="H5433" i="2"/>
  <c r="G5433" i="2"/>
  <c r="I5432" i="2"/>
  <c r="H5432" i="2"/>
  <c r="G5432" i="2"/>
  <c r="I5431" i="2"/>
  <c r="H5431" i="2"/>
  <c r="G5431" i="2"/>
  <c r="I5430" i="2"/>
  <c r="H5430" i="2"/>
  <c r="G5430" i="2"/>
  <c r="I5429" i="2"/>
  <c r="H5429" i="2"/>
  <c r="G5429" i="2"/>
  <c r="I5428" i="2"/>
  <c r="H5428" i="2"/>
  <c r="G5428" i="2"/>
  <c r="I5427" i="2"/>
  <c r="H5427" i="2"/>
  <c r="G5427" i="2"/>
  <c r="I5426" i="2"/>
  <c r="H5426" i="2"/>
  <c r="G5426" i="2"/>
  <c r="I5425" i="2"/>
  <c r="H5425" i="2"/>
  <c r="G5425" i="2"/>
  <c r="I5424" i="2"/>
  <c r="H5424" i="2"/>
  <c r="G5424" i="2"/>
  <c r="I5423" i="2"/>
  <c r="H5423" i="2"/>
  <c r="G5423" i="2"/>
  <c r="I5422" i="2"/>
  <c r="H5422" i="2"/>
  <c r="G5422" i="2"/>
  <c r="I5421" i="2"/>
  <c r="H5421" i="2"/>
  <c r="G5421" i="2"/>
  <c r="I5420" i="2"/>
  <c r="H5420" i="2"/>
  <c r="G5420" i="2"/>
  <c r="I5419" i="2"/>
  <c r="H5419" i="2"/>
  <c r="G5419" i="2"/>
  <c r="I5418" i="2"/>
  <c r="H5418" i="2"/>
  <c r="G5418" i="2"/>
  <c r="I5417" i="2"/>
  <c r="H5417" i="2"/>
  <c r="G5417" i="2"/>
  <c r="I5416" i="2"/>
  <c r="H5416" i="2"/>
  <c r="G5416" i="2"/>
  <c r="I5415" i="2"/>
  <c r="H5415" i="2"/>
  <c r="G5415" i="2"/>
  <c r="I5414" i="2"/>
  <c r="H5414" i="2"/>
  <c r="G5414" i="2"/>
  <c r="I5413" i="2"/>
  <c r="H5413" i="2"/>
  <c r="G5413" i="2"/>
  <c r="I5412" i="2"/>
  <c r="H5412" i="2"/>
  <c r="G5412" i="2"/>
  <c r="I5411" i="2"/>
  <c r="H5411" i="2"/>
  <c r="G5411" i="2"/>
  <c r="I5410" i="2"/>
  <c r="H5410" i="2"/>
  <c r="G5410" i="2"/>
  <c r="I5409" i="2"/>
  <c r="H5409" i="2"/>
  <c r="G5409" i="2"/>
  <c r="I5408" i="2"/>
  <c r="H5408" i="2"/>
  <c r="G5408" i="2"/>
  <c r="I5407" i="2"/>
  <c r="H5407" i="2"/>
  <c r="G5407" i="2"/>
  <c r="I5406" i="2"/>
  <c r="H5406" i="2"/>
  <c r="G5406" i="2"/>
  <c r="I5405" i="2"/>
  <c r="H5405" i="2"/>
  <c r="G5405" i="2"/>
  <c r="I5404" i="2"/>
  <c r="H5404" i="2"/>
  <c r="G5404" i="2"/>
  <c r="I5403" i="2"/>
  <c r="H5403" i="2"/>
  <c r="G5403" i="2"/>
  <c r="I5402" i="2"/>
  <c r="H5402" i="2"/>
  <c r="G5402" i="2"/>
  <c r="I5401" i="2"/>
  <c r="H5401" i="2"/>
  <c r="G5401" i="2"/>
  <c r="I5400" i="2"/>
  <c r="H5400" i="2"/>
  <c r="G5400" i="2"/>
  <c r="I5399" i="2"/>
  <c r="H5399" i="2"/>
  <c r="G5399" i="2"/>
  <c r="I5398" i="2"/>
  <c r="H5398" i="2"/>
  <c r="G5398" i="2"/>
  <c r="I5397" i="2"/>
  <c r="H5397" i="2"/>
  <c r="G5397" i="2"/>
  <c r="I5396" i="2"/>
  <c r="H5396" i="2"/>
  <c r="G5396" i="2"/>
  <c r="I5395" i="2"/>
  <c r="H5395" i="2"/>
  <c r="G5395" i="2"/>
  <c r="I5394" i="2"/>
  <c r="H5394" i="2"/>
  <c r="G5394" i="2"/>
  <c r="I5393" i="2"/>
  <c r="H5393" i="2"/>
  <c r="G5393" i="2"/>
  <c r="I5392" i="2"/>
  <c r="H5392" i="2"/>
  <c r="G5392" i="2"/>
  <c r="I5391" i="2"/>
  <c r="H5391" i="2"/>
  <c r="G5391" i="2"/>
  <c r="I5390" i="2"/>
  <c r="H5390" i="2"/>
  <c r="G5390" i="2"/>
  <c r="I5389" i="2"/>
  <c r="H5389" i="2"/>
  <c r="G5389" i="2"/>
  <c r="I5388" i="2"/>
  <c r="H5388" i="2"/>
  <c r="G5388" i="2"/>
  <c r="I5387" i="2"/>
  <c r="H5387" i="2"/>
  <c r="G5387" i="2"/>
  <c r="I5386" i="2"/>
  <c r="H5386" i="2"/>
  <c r="G5386" i="2"/>
  <c r="I5385" i="2"/>
  <c r="H5385" i="2"/>
  <c r="G5385" i="2"/>
  <c r="I5384" i="2"/>
  <c r="H5384" i="2"/>
  <c r="G5384" i="2"/>
  <c r="I5383" i="2"/>
  <c r="H5383" i="2"/>
  <c r="G5383" i="2"/>
  <c r="I5382" i="2"/>
  <c r="H5382" i="2"/>
  <c r="G5382" i="2"/>
  <c r="I5381" i="2"/>
  <c r="H5381" i="2"/>
  <c r="G5381" i="2"/>
  <c r="I5380" i="2"/>
  <c r="H5380" i="2"/>
  <c r="G5380" i="2"/>
  <c r="I5379" i="2"/>
  <c r="H5379" i="2"/>
  <c r="G5379" i="2"/>
  <c r="I5378" i="2"/>
  <c r="H5378" i="2"/>
  <c r="G5378" i="2"/>
  <c r="I5377" i="2"/>
  <c r="H5377" i="2"/>
  <c r="G5377" i="2"/>
  <c r="I5376" i="2"/>
  <c r="H5376" i="2"/>
  <c r="G5376" i="2"/>
  <c r="I5375" i="2"/>
  <c r="H5375" i="2"/>
  <c r="G5375" i="2"/>
  <c r="I5374" i="2"/>
  <c r="H5374" i="2"/>
  <c r="G5374" i="2"/>
  <c r="I5373" i="2"/>
  <c r="H5373" i="2"/>
  <c r="G5373" i="2"/>
  <c r="I5372" i="2"/>
  <c r="H5372" i="2"/>
  <c r="G5372" i="2"/>
  <c r="I5371" i="2"/>
  <c r="H5371" i="2"/>
  <c r="G5371" i="2"/>
  <c r="I5370" i="2"/>
  <c r="H5370" i="2"/>
  <c r="G5370" i="2"/>
  <c r="I5369" i="2"/>
  <c r="H5369" i="2"/>
  <c r="G5369" i="2"/>
  <c r="I5368" i="2"/>
  <c r="H5368" i="2"/>
  <c r="G5368" i="2"/>
  <c r="I5367" i="2"/>
  <c r="H5367" i="2"/>
  <c r="G5367" i="2"/>
  <c r="I5366" i="2"/>
  <c r="H5366" i="2"/>
  <c r="G5366" i="2"/>
  <c r="I5365" i="2"/>
  <c r="H5365" i="2"/>
  <c r="G5365" i="2"/>
  <c r="I5364" i="2"/>
  <c r="H5364" i="2"/>
  <c r="G5364" i="2"/>
  <c r="I5363" i="2"/>
  <c r="H5363" i="2"/>
  <c r="G5363" i="2"/>
  <c r="I5362" i="2"/>
  <c r="H5362" i="2"/>
  <c r="G5362" i="2"/>
  <c r="I5361" i="2"/>
  <c r="H5361" i="2"/>
  <c r="G5361" i="2"/>
  <c r="I5360" i="2"/>
  <c r="H5360" i="2"/>
  <c r="G5360" i="2"/>
  <c r="I5359" i="2"/>
  <c r="H5359" i="2"/>
  <c r="G5359" i="2"/>
  <c r="I5358" i="2"/>
  <c r="H5358" i="2"/>
  <c r="G5358" i="2"/>
  <c r="I5357" i="2"/>
  <c r="H5357" i="2"/>
  <c r="G5357" i="2"/>
  <c r="I5356" i="2"/>
  <c r="H5356" i="2"/>
  <c r="G5356" i="2"/>
  <c r="I5355" i="2"/>
  <c r="H5355" i="2"/>
  <c r="G5355" i="2"/>
  <c r="I5354" i="2"/>
  <c r="H5354" i="2"/>
  <c r="G5354" i="2"/>
  <c r="I5353" i="2"/>
  <c r="H5353" i="2"/>
  <c r="G5353" i="2"/>
  <c r="I5352" i="2"/>
  <c r="H5352" i="2"/>
  <c r="G5352" i="2"/>
  <c r="I5351" i="2"/>
  <c r="H5351" i="2"/>
  <c r="G5351" i="2"/>
  <c r="I5350" i="2"/>
  <c r="H5350" i="2"/>
  <c r="G5350" i="2"/>
  <c r="I5349" i="2"/>
  <c r="H5349" i="2"/>
  <c r="G5349" i="2"/>
  <c r="I5348" i="2"/>
  <c r="H5348" i="2"/>
  <c r="G5348" i="2"/>
  <c r="I5347" i="2"/>
  <c r="H5347" i="2"/>
  <c r="G5347" i="2"/>
  <c r="I5346" i="2"/>
  <c r="H5346" i="2"/>
  <c r="G5346" i="2"/>
  <c r="I5345" i="2"/>
  <c r="H5345" i="2"/>
  <c r="G5345" i="2"/>
  <c r="I5344" i="2"/>
  <c r="H5344" i="2"/>
  <c r="G5344" i="2"/>
  <c r="I5343" i="2"/>
  <c r="H5343" i="2"/>
  <c r="G5343" i="2"/>
  <c r="I5342" i="2"/>
  <c r="H5342" i="2"/>
  <c r="G5342" i="2"/>
  <c r="I5341" i="2"/>
  <c r="H5341" i="2"/>
  <c r="G5341" i="2"/>
  <c r="I5340" i="2"/>
  <c r="H5340" i="2"/>
  <c r="G5340" i="2"/>
  <c r="I5339" i="2"/>
  <c r="H5339" i="2"/>
  <c r="G5339" i="2"/>
  <c r="I5338" i="2"/>
  <c r="H5338" i="2"/>
  <c r="G5338" i="2"/>
  <c r="I5337" i="2"/>
  <c r="H5337" i="2"/>
  <c r="G5337" i="2"/>
  <c r="I5336" i="2"/>
  <c r="H5336" i="2"/>
  <c r="G5336" i="2"/>
  <c r="I5335" i="2"/>
  <c r="H5335" i="2"/>
  <c r="G5335" i="2"/>
  <c r="I5334" i="2"/>
  <c r="H5334" i="2"/>
  <c r="G5334" i="2"/>
  <c r="I5333" i="2"/>
  <c r="H5333" i="2"/>
  <c r="G5333" i="2"/>
  <c r="I5332" i="2"/>
  <c r="H5332" i="2"/>
  <c r="G5332" i="2"/>
  <c r="I5331" i="2"/>
  <c r="H5331" i="2"/>
  <c r="G5331" i="2"/>
  <c r="I5330" i="2"/>
  <c r="H5330" i="2"/>
  <c r="G5330" i="2"/>
  <c r="I5329" i="2"/>
  <c r="H5329" i="2"/>
  <c r="G5329" i="2"/>
  <c r="I5328" i="2"/>
  <c r="H5328" i="2"/>
  <c r="G5328" i="2"/>
  <c r="I5327" i="2"/>
  <c r="H5327" i="2"/>
  <c r="G5327" i="2"/>
  <c r="I5326" i="2"/>
  <c r="H5326" i="2"/>
  <c r="G5326" i="2"/>
  <c r="I5325" i="2"/>
  <c r="H5325" i="2"/>
  <c r="G5325" i="2"/>
  <c r="I5324" i="2"/>
  <c r="H5324" i="2"/>
  <c r="G5324" i="2"/>
  <c r="I5323" i="2"/>
  <c r="H5323" i="2"/>
  <c r="G5323" i="2"/>
  <c r="I5322" i="2"/>
  <c r="H5322" i="2"/>
  <c r="G5322" i="2"/>
  <c r="I5321" i="2"/>
  <c r="H5321" i="2"/>
  <c r="G5321" i="2"/>
  <c r="I5320" i="2"/>
  <c r="H5320" i="2"/>
  <c r="G5320" i="2"/>
  <c r="I5319" i="2"/>
  <c r="H5319" i="2"/>
  <c r="G5319" i="2"/>
  <c r="I5318" i="2"/>
  <c r="H5318" i="2"/>
  <c r="G5318" i="2"/>
  <c r="I5317" i="2"/>
  <c r="H5317" i="2"/>
  <c r="G5317" i="2"/>
  <c r="I5316" i="2"/>
  <c r="H5316" i="2"/>
  <c r="G5316" i="2"/>
  <c r="I5315" i="2"/>
  <c r="H5315" i="2"/>
  <c r="G5315" i="2"/>
  <c r="I5314" i="2"/>
  <c r="H5314" i="2"/>
  <c r="G5314" i="2"/>
  <c r="I5313" i="2"/>
  <c r="H5313" i="2"/>
  <c r="G5313" i="2"/>
  <c r="I5312" i="2"/>
  <c r="H5312" i="2"/>
  <c r="G5312" i="2"/>
  <c r="I5311" i="2"/>
  <c r="H5311" i="2"/>
  <c r="G5311" i="2"/>
  <c r="I5310" i="2"/>
  <c r="H5310" i="2"/>
  <c r="G5310" i="2"/>
  <c r="I5309" i="2"/>
  <c r="H5309" i="2"/>
  <c r="G5309" i="2"/>
  <c r="I5308" i="2"/>
  <c r="H5308" i="2"/>
  <c r="G5308" i="2"/>
  <c r="I5307" i="2"/>
  <c r="H5307" i="2"/>
  <c r="G5307" i="2"/>
  <c r="I5306" i="2"/>
  <c r="H5306" i="2"/>
  <c r="G5306" i="2"/>
  <c r="I5305" i="2"/>
  <c r="H5305" i="2"/>
  <c r="G5305" i="2"/>
  <c r="I5304" i="2"/>
  <c r="H5304" i="2"/>
  <c r="G5304" i="2"/>
  <c r="I5303" i="2"/>
  <c r="H5303" i="2"/>
  <c r="G5303" i="2"/>
  <c r="I5302" i="2"/>
  <c r="H5302" i="2"/>
  <c r="G5302" i="2"/>
  <c r="I5301" i="2"/>
  <c r="H5301" i="2"/>
  <c r="G5301" i="2"/>
  <c r="I5300" i="2"/>
  <c r="H5300" i="2"/>
  <c r="G5300" i="2"/>
  <c r="I5299" i="2"/>
  <c r="H5299" i="2"/>
  <c r="G5299" i="2"/>
  <c r="I5298" i="2"/>
  <c r="H5298" i="2"/>
  <c r="G5298" i="2"/>
  <c r="I5297" i="2"/>
  <c r="H5297" i="2"/>
  <c r="G5297" i="2"/>
  <c r="I5296" i="2"/>
  <c r="H5296" i="2"/>
  <c r="G5296" i="2"/>
  <c r="I5295" i="2"/>
  <c r="H5295" i="2"/>
  <c r="G5295" i="2"/>
  <c r="I5294" i="2"/>
  <c r="H5294" i="2"/>
  <c r="G5294" i="2"/>
  <c r="I5293" i="2"/>
  <c r="H5293" i="2"/>
  <c r="G5293" i="2"/>
  <c r="I5292" i="2"/>
  <c r="H5292" i="2"/>
  <c r="G5292" i="2"/>
  <c r="I5291" i="2"/>
  <c r="H5291" i="2"/>
  <c r="G5291" i="2"/>
  <c r="I5290" i="2"/>
  <c r="H5290" i="2"/>
  <c r="G5290" i="2"/>
  <c r="I5289" i="2"/>
  <c r="H5289" i="2"/>
  <c r="G5289" i="2"/>
  <c r="I5288" i="2"/>
  <c r="H5288" i="2"/>
  <c r="G5288" i="2"/>
  <c r="I5287" i="2"/>
  <c r="H5287" i="2"/>
  <c r="G5287" i="2"/>
  <c r="I5286" i="2"/>
  <c r="H5286" i="2"/>
  <c r="G5286" i="2"/>
  <c r="I5285" i="2"/>
  <c r="H5285" i="2"/>
  <c r="G5285" i="2"/>
  <c r="I5284" i="2"/>
  <c r="H5284" i="2"/>
  <c r="G5284" i="2"/>
  <c r="I5283" i="2"/>
  <c r="H5283" i="2"/>
  <c r="G5283" i="2"/>
  <c r="I5282" i="2"/>
  <c r="H5282" i="2"/>
  <c r="G5282" i="2"/>
  <c r="I5281" i="2"/>
  <c r="H5281" i="2"/>
  <c r="G5281" i="2"/>
  <c r="I5280" i="2"/>
  <c r="H5280" i="2"/>
  <c r="G5280" i="2"/>
  <c r="I5279" i="2"/>
  <c r="H5279" i="2"/>
  <c r="G5279" i="2"/>
  <c r="I5278" i="2"/>
  <c r="H5278" i="2"/>
  <c r="G5278" i="2"/>
  <c r="I5277" i="2"/>
  <c r="H5277" i="2"/>
  <c r="G5277" i="2"/>
  <c r="I5276" i="2"/>
  <c r="H5276" i="2"/>
  <c r="G5276" i="2"/>
  <c r="I5275" i="2"/>
  <c r="H5275" i="2"/>
  <c r="G5275" i="2"/>
  <c r="I5274" i="2"/>
  <c r="H5274" i="2"/>
  <c r="G5274" i="2"/>
  <c r="I5273" i="2"/>
  <c r="H5273" i="2"/>
  <c r="G5273" i="2"/>
  <c r="I5272" i="2"/>
  <c r="H5272" i="2"/>
  <c r="G5272" i="2"/>
  <c r="I5271" i="2"/>
  <c r="H5271" i="2"/>
  <c r="G5271" i="2"/>
  <c r="I5270" i="2"/>
  <c r="H5270" i="2"/>
  <c r="G5270" i="2"/>
  <c r="I5269" i="2"/>
  <c r="H5269" i="2"/>
  <c r="G5269" i="2"/>
  <c r="I5268" i="2"/>
  <c r="H5268" i="2"/>
  <c r="G5268" i="2"/>
  <c r="I5267" i="2"/>
  <c r="H5267" i="2"/>
  <c r="G5267" i="2"/>
  <c r="I5266" i="2"/>
  <c r="H5266" i="2"/>
  <c r="G5266" i="2"/>
  <c r="I5265" i="2"/>
  <c r="H5265" i="2"/>
  <c r="G5265" i="2"/>
  <c r="I5264" i="2"/>
  <c r="H5264" i="2"/>
  <c r="G5264" i="2"/>
  <c r="I5263" i="2"/>
  <c r="H5263" i="2"/>
  <c r="G5263" i="2"/>
  <c r="I5262" i="2"/>
  <c r="H5262" i="2"/>
  <c r="G5262" i="2"/>
  <c r="I5261" i="2"/>
  <c r="H5261" i="2"/>
  <c r="G5261" i="2"/>
  <c r="I5260" i="2"/>
  <c r="H5260" i="2"/>
  <c r="G5260" i="2"/>
  <c r="I5259" i="2"/>
  <c r="H5259" i="2"/>
  <c r="G5259" i="2"/>
  <c r="I5258" i="2"/>
  <c r="H5258" i="2"/>
  <c r="G5258" i="2"/>
  <c r="I5257" i="2"/>
  <c r="H5257" i="2"/>
  <c r="G5257" i="2"/>
  <c r="I5256" i="2"/>
  <c r="H5256" i="2"/>
  <c r="G5256" i="2"/>
  <c r="I5255" i="2"/>
  <c r="H5255" i="2"/>
  <c r="G5255" i="2"/>
  <c r="I5254" i="2"/>
  <c r="H5254" i="2"/>
  <c r="G5254" i="2"/>
  <c r="I5253" i="2"/>
  <c r="H5253" i="2"/>
  <c r="G5253" i="2"/>
  <c r="I5252" i="2"/>
  <c r="H5252" i="2"/>
  <c r="G5252" i="2"/>
  <c r="I5251" i="2"/>
  <c r="H5251" i="2"/>
  <c r="G5251" i="2"/>
  <c r="I5250" i="2"/>
  <c r="H5250" i="2"/>
  <c r="G5250" i="2"/>
  <c r="I5249" i="2"/>
  <c r="H5249" i="2"/>
  <c r="G5249" i="2"/>
  <c r="I5248" i="2"/>
  <c r="H5248" i="2"/>
  <c r="G5248" i="2"/>
  <c r="I5247" i="2"/>
  <c r="H5247" i="2"/>
  <c r="G5247" i="2"/>
  <c r="I5246" i="2"/>
  <c r="H5246" i="2"/>
  <c r="G5246" i="2"/>
  <c r="I5245" i="2"/>
  <c r="H5245" i="2"/>
  <c r="G5245" i="2"/>
  <c r="I5244" i="2"/>
  <c r="H5244" i="2"/>
  <c r="G5244" i="2"/>
  <c r="I5243" i="2"/>
  <c r="H5243" i="2"/>
  <c r="G5243" i="2"/>
  <c r="I5242" i="2"/>
  <c r="H5242" i="2"/>
  <c r="G5242" i="2"/>
  <c r="I5241" i="2"/>
  <c r="H5241" i="2"/>
  <c r="G5241" i="2"/>
  <c r="I5240" i="2"/>
  <c r="H5240" i="2"/>
  <c r="G5240" i="2"/>
  <c r="I5239" i="2"/>
  <c r="H5239" i="2"/>
  <c r="G5239" i="2"/>
  <c r="I5238" i="2"/>
  <c r="H5238" i="2"/>
  <c r="G5238" i="2"/>
  <c r="I5237" i="2"/>
  <c r="H5237" i="2"/>
  <c r="G5237" i="2"/>
  <c r="I5236" i="2"/>
  <c r="H5236" i="2"/>
  <c r="G5236" i="2"/>
  <c r="I5235" i="2"/>
  <c r="H5235" i="2"/>
  <c r="G5235" i="2"/>
  <c r="I5234" i="2"/>
  <c r="H5234" i="2"/>
  <c r="G5234" i="2"/>
  <c r="I5233" i="2"/>
  <c r="H5233" i="2"/>
  <c r="G5233" i="2"/>
  <c r="I5232" i="2"/>
  <c r="H5232" i="2"/>
  <c r="G5232" i="2"/>
  <c r="I5231" i="2"/>
  <c r="H5231" i="2"/>
  <c r="G5231" i="2"/>
  <c r="I5230" i="2"/>
  <c r="H5230" i="2"/>
  <c r="G5230" i="2"/>
  <c r="I5229" i="2"/>
  <c r="H5229" i="2"/>
  <c r="G5229" i="2"/>
  <c r="I5228" i="2"/>
  <c r="H5228" i="2"/>
  <c r="G5228" i="2"/>
  <c r="I5227" i="2"/>
  <c r="H5227" i="2"/>
  <c r="G5227" i="2"/>
  <c r="I5226" i="2"/>
  <c r="H5226" i="2"/>
  <c r="G5226" i="2"/>
  <c r="I5225" i="2"/>
  <c r="H5225" i="2"/>
  <c r="G5225" i="2"/>
  <c r="I5224" i="2"/>
  <c r="H5224" i="2"/>
  <c r="G5224" i="2"/>
  <c r="I5223" i="2"/>
  <c r="H5223" i="2"/>
  <c r="G5223" i="2"/>
  <c r="I5222" i="2"/>
  <c r="H5222" i="2"/>
  <c r="G5222" i="2"/>
  <c r="I5221" i="2"/>
  <c r="H5221" i="2"/>
  <c r="G5221" i="2"/>
  <c r="I5220" i="2"/>
  <c r="H5220" i="2"/>
  <c r="G5220" i="2"/>
  <c r="I5219" i="2"/>
  <c r="H5219" i="2"/>
  <c r="G5219" i="2"/>
  <c r="I5218" i="2"/>
  <c r="H5218" i="2"/>
  <c r="G5218" i="2"/>
  <c r="I5217" i="2"/>
  <c r="H5217" i="2"/>
  <c r="G5217" i="2"/>
  <c r="I5216" i="2"/>
  <c r="H5216" i="2"/>
  <c r="G5216" i="2"/>
  <c r="I5215" i="2"/>
  <c r="H5215" i="2"/>
  <c r="G5215" i="2"/>
  <c r="I5214" i="2"/>
  <c r="H5214" i="2"/>
  <c r="G5214" i="2"/>
  <c r="I5213" i="2"/>
  <c r="H5213" i="2"/>
  <c r="G5213" i="2"/>
  <c r="I5212" i="2"/>
  <c r="H5212" i="2"/>
  <c r="G5212" i="2"/>
  <c r="I5211" i="2"/>
  <c r="H5211" i="2"/>
  <c r="G5211" i="2"/>
  <c r="I5210" i="2"/>
  <c r="H5210" i="2"/>
  <c r="G5210" i="2"/>
  <c r="I5209" i="2"/>
  <c r="H5209" i="2"/>
  <c r="G5209" i="2"/>
  <c r="I5208" i="2"/>
  <c r="H5208" i="2"/>
  <c r="G5208" i="2"/>
  <c r="I5207" i="2"/>
  <c r="H5207" i="2"/>
  <c r="G5207" i="2"/>
  <c r="I5206" i="2"/>
  <c r="H5206" i="2"/>
  <c r="G5206" i="2"/>
  <c r="I5205" i="2"/>
  <c r="H5205" i="2"/>
  <c r="G5205" i="2"/>
  <c r="I5204" i="2"/>
  <c r="H5204" i="2"/>
  <c r="G5204" i="2"/>
  <c r="I5203" i="2"/>
  <c r="H5203" i="2"/>
  <c r="G5203" i="2"/>
  <c r="I5202" i="2"/>
  <c r="H5202" i="2"/>
  <c r="G5202" i="2"/>
  <c r="I5201" i="2"/>
  <c r="H5201" i="2"/>
  <c r="G5201" i="2"/>
  <c r="I5200" i="2"/>
  <c r="H5200" i="2"/>
  <c r="G5200" i="2"/>
  <c r="I5199" i="2"/>
  <c r="H5199" i="2"/>
  <c r="G5199" i="2"/>
  <c r="I5198" i="2"/>
  <c r="H5198" i="2"/>
  <c r="G5198" i="2"/>
  <c r="I5197" i="2"/>
  <c r="H5197" i="2"/>
  <c r="G5197" i="2"/>
  <c r="I5196" i="2"/>
  <c r="H5196" i="2"/>
  <c r="G5196" i="2"/>
  <c r="I5195" i="2"/>
  <c r="H5195" i="2"/>
  <c r="G5195" i="2"/>
  <c r="I5194" i="2"/>
  <c r="H5194" i="2"/>
  <c r="G5194" i="2"/>
  <c r="I5193" i="2"/>
  <c r="H5193" i="2"/>
  <c r="G5193" i="2"/>
  <c r="I5192" i="2"/>
  <c r="H5192" i="2"/>
  <c r="G5192" i="2"/>
  <c r="I5191" i="2"/>
  <c r="H5191" i="2"/>
  <c r="G5191" i="2"/>
  <c r="I5190" i="2"/>
  <c r="H5190" i="2"/>
  <c r="G5190" i="2"/>
  <c r="I5189" i="2"/>
  <c r="H5189" i="2"/>
  <c r="G5189" i="2"/>
  <c r="I5188" i="2"/>
  <c r="H5188" i="2"/>
  <c r="G5188" i="2"/>
  <c r="I5187" i="2"/>
  <c r="H5187" i="2"/>
  <c r="G5187" i="2"/>
  <c r="I5186" i="2"/>
  <c r="H5186" i="2"/>
  <c r="G5186" i="2"/>
  <c r="I5185" i="2"/>
  <c r="H5185" i="2"/>
  <c r="G5185" i="2"/>
  <c r="I5184" i="2"/>
  <c r="H5184" i="2"/>
  <c r="G5184" i="2"/>
  <c r="I5183" i="2"/>
  <c r="H5183" i="2"/>
  <c r="G5183" i="2"/>
  <c r="I5182" i="2"/>
  <c r="H5182" i="2"/>
  <c r="G5182" i="2"/>
  <c r="I5181" i="2"/>
  <c r="H5181" i="2"/>
  <c r="G5181" i="2"/>
  <c r="I5180" i="2"/>
  <c r="H5180" i="2"/>
  <c r="G5180" i="2"/>
  <c r="I5179" i="2"/>
  <c r="H5179" i="2"/>
  <c r="G5179" i="2"/>
  <c r="I5178" i="2"/>
  <c r="H5178" i="2"/>
  <c r="G5178" i="2"/>
  <c r="I5177" i="2"/>
  <c r="H5177" i="2"/>
  <c r="G5177" i="2"/>
  <c r="I5176" i="2"/>
  <c r="H5176" i="2"/>
  <c r="G5176" i="2"/>
  <c r="I5175" i="2"/>
  <c r="H5175" i="2"/>
  <c r="G5175" i="2"/>
  <c r="I5174" i="2"/>
  <c r="H5174" i="2"/>
  <c r="G5174" i="2"/>
  <c r="I5173" i="2"/>
  <c r="H5173" i="2"/>
  <c r="G5173" i="2"/>
  <c r="I5172" i="2"/>
  <c r="H5172" i="2"/>
  <c r="G5172" i="2"/>
  <c r="I5171" i="2"/>
  <c r="H5171" i="2"/>
  <c r="G5171" i="2"/>
  <c r="I5170" i="2"/>
  <c r="H5170" i="2"/>
  <c r="G5170" i="2"/>
  <c r="I5169" i="2"/>
  <c r="H5169" i="2"/>
  <c r="G5169" i="2"/>
  <c r="I5168" i="2"/>
  <c r="H5168" i="2"/>
  <c r="G5168" i="2"/>
  <c r="I5167" i="2"/>
  <c r="H5167" i="2"/>
  <c r="G5167" i="2"/>
  <c r="I5166" i="2"/>
  <c r="H5166" i="2"/>
  <c r="G5166" i="2"/>
  <c r="I5165" i="2"/>
  <c r="H5165" i="2"/>
  <c r="G5165" i="2"/>
  <c r="I5164" i="2"/>
  <c r="H5164" i="2"/>
  <c r="G5164" i="2"/>
  <c r="I5163" i="2"/>
  <c r="H5163" i="2"/>
  <c r="G5163" i="2"/>
  <c r="I5162" i="2"/>
  <c r="H5162" i="2"/>
  <c r="G5162" i="2"/>
  <c r="I5161" i="2"/>
  <c r="H5161" i="2"/>
  <c r="G5161" i="2"/>
  <c r="I5160" i="2"/>
  <c r="H5160" i="2"/>
  <c r="G5160" i="2"/>
  <c r="I5159" i="2"/>
  <c r="H5159" i="2"/>
  <c r="G5159" i="2"/>
  <c r="I5158" i="2"/>
  <c r="H5158" i="2"/>
  <c r="G5158" i="2"/>
  <c r="I5157" i="2"/>
  <c r="H5157" i="2"/>
  <c r="G5157" i="2"/>
  <c r="I5156" i="2"/>
  <c r="H5156" i="2"/>
  <c r="G5156" i="2"/>
  <c r="I5155" i="2"/>
  <c r="H5155" i="2"/>
  <c r="G5155" i="2"/>
  <c r="I5154" i="2"/>
  <c r="H5154" i="2"/>
  <c r="G5154" i="2"/>
  <c r="I5153" i="2"/>
  <c r="H5153" i="2"/>
  <c r="G5153" i="2"/>
  <c r="I5152" i="2"/>
  <c r="H5152" i="2"/>
  <c r="G5152" i="2"/>
  <c r="I5151" i="2"/>
  <c r="H5151" i="2"/>
  <c r="G5151" i="2"/>
  <c r="I5150" i="2"/>
  <c r="H5150" i="2"/>
  <c r="G5150" i="2"/>
  <c r="I5149" i="2"/>
  <c r="H5149" i="2"/>
  <c r="G5149" i="2"/>
  <c r="I5148" i="2"/>
  <c r="H5148" i="2"/>
  <c r="G5148" i="2"/>
  <c r="I5147" i="2"/>
  <c r="H5147" i="2"/>
  <c r="G5147" i="2"/>
  <c r="I5146" i="2"/>
  <c r="H5146" i="2"/>
  <c r="G5146" i="2"/>
  <c r="I5145" i="2"/>
  <c r="H5145" i="2"/>
  <c r="G5145" i="2"/>
  <c r="I5144" i="2"/>
  <c r="H5144" i="2"/>
  <c r="G5144" i="2"/>
  <c r="I5143" i="2"/>
  <c r="H5143" i="2"/>
  <c r="G5143" i="2"/>
  <c r="I5142" i="2"/>
  <c r="H5142" i="2"/>
  <c r="G5142" i="2"/>
  <c r="I5141" i="2"/>
  <c r="H5141" i="2"/>
  <c r="G5141" i="2"/>
  <c r="I5140" i="2"/>
  <c r="H5140" i="2"/>
  <c r="G5140" i="2"/>
  <c r="I5139" i="2"/>
  <c r="H5139" i="2"/>
  <c r="G5139" i="2"/>
  <c r="I5138" i="2"/>
  <c r="H5138" i="2"/>
  <c r="G5138" i="2"/>
  <c r="I5137" i="2"/>
  <c r="H5137" i="2"/>
  <c r="G5137" i="2"/>
  <c r="I5136" i="2"/>
  <c r="H5136" i="2"/>
  <c r="G5136" i="2"/>
  <c r="I5135" i="2"/>
  <c r="H5135" i="2"/>
  <c r="G5135" i="2"/>
  <c r="I5134" i="2"/>
  <c r="H5134" i="2"/>
  <c r="G5134" i="2"/>
  <c r="I5133" i="2"/>
  <c r="H5133" i="2"/>
  <c r="G5133" i="2"/>
  <c r="I5132" i="2"/>
  <c r="H5132" i="2"/>
  <c r="G5132" i="2"/>
  <c r="I5131" i="2"/>
  <c r="H5131" i="2"/>
  <c r="G5131" i="2"/>
  <c r="I5130" i="2"/>
  <c r="H5130" i="2"/>
  <c r="G5130" i="2"/>
  <c r="I5129" i="2"/>
  <c r="H5129" i="2"/>
  <c r="G5129" i="2"/>
  <c r="I5128" i="2"/>
  <c r="H5128" i="2"/>
  <c r="G5128" i="2"/>
  <c r="I5127" i="2"/>
  <c r="H5127" i="2"/>
  <c r="G5127" i="2"/>
  <c r="I5126" i="2"/>
  <c r="H5126" i="2"/>
  <c r="G5126" i="2"/>
  <c r="I5125" i="2"/>
  <c r="H5125" i="2"/>
  <c r="G5125" i="2"/>
  <c r="I5124" i="2"/>
  <c r="H5124" i="2"/>
  <c r="G5124" i="2"/>
  <c r="I5123" i="2"/>
  <c r="H5123" i="2"/>
  <c r="G5123" i="2"/>
  <c r="I5122" i="2"/>
  <c r="H5122" i="2"/>
  <c r="G5122" i="2"/>
  <c r="I5121" i="2"/>
  <c r="H5121" i="2"/>
  <c r="G5121" i="2"/>
  <c r="I5120" i="2"/>
  <c r="H5120" i="2"/>
  <c r="G5120" i="2"/>
  <c r="I5119" i="2"/>
  <c r="H5119" i="2"/>
  <c r="G5119" i="2"/>
  <c r="I5118" i="2"/>
  <c r="H5118" i="2"/>
  <c r="G5118" i="2"/>
  <c r="I5117" i="2"/>
  <c r="H5117" i="2"/>
  <c r="G5117" i="2"/>
  <c r="I5116" i="2"/>
  <c r="H5116" i="2"/>
  <c r="G5116" i="2"/>
  <c r="I5115" i="2"/>
  <c r="H5115" i="2"/>
  <c r="G5115" i="2"/>
  <c r="I5114" i="2"/>
  <c r="H5114" i="2"/>
  <c r="G5114" i="2"/>
  <c r="I5113" i="2"/>
  <c r="H5113" i="2"/>
  <c r="G5113" i="2"/>
  <c r="I5112" i="2"/>
  <c r="H5112" i="2"/>
  <c r="G5112" i="2"/>
  <c r="I5111" i="2"/>
  <c r="H5111" i="2"/>
  <c r="G5111" i="2"/>
  <c r="I5110" i="2"/>
  <c r="H5110" i="2"/>
  <c r="G5110" i="2"/>
  <c r="I5109" i="2"/>
  <c r="H5109" i="2"/>
  <c r="G5109" i="2"/>
  <c r="I5108" i="2"/>
  <c r="H5108" i="2"/>
  <c r="G5108" i="2"/>
  <c r="I5107" i="2"/>
  <c r="H5107" i="2"/>
  <c r="G5107" i="2"/>
  <c r="I5106" i="2"/>
  <c r="H5106" i="2"/>
  <c r="G5106" i="2"/>
  <c r="I5105" i="2"/>
  <c r="H5105" i="2"/>
  <c r="G5105" i="2"/>
  <c r="I5104" i="2"/>
  <c r="H5104" i="2"/>
  <c r="G5104" i="2"/>
  <c r="I5103" i="2"/>
  <c r="H5103" i="2"/>
  <c r="G5103" i="2"/>
  <c r="I5102" i="2"/>
  <c r="H5102" i="2"/>
  <c r="G5102" i="2"/>
  <c r="I5101" i="2"/>
  <c r="H5101" i="2"/>
  <c r="G5101" i="2"/>
  <c r="I5100" i="2"/>
  <c r="H5100" i="2"/>
  <c r="G5100" i="2"/>
  <c r="I5099" i="2"/>
  <c r="H5099" i="2"/>
  <c r="G5099" i="2"/>
  <c r="I5098" i="2"/>
  <c r="H5098" i="2"/>
  <c r="G5098" i="2"/>
  <c r="I5097" i="2"/>
  <c r="H5097" i="2"/>
  <c r="G5097" i="2"/>
  <c r="I5096" i="2"/>
  <c r="H5096" i="2"/>
  <c r="G5096" i="2"/>
  <c r="I5095" i="2"/>
  <c r="H5095" i="2"/>
  <c r="G5095" i="2"/>
  <c r="I5094" i="2"/>
  <c r="H5094" i="2"/>
  <c r="G5094" i="2"/>
  <c r="I5093" i="2"/>
  <c r="H5093" i="2"/>
  <c r="G5093" i="2"/>
  <c r="I5092" i="2"/>
  <c r="H5092" i="2"/>
  <c r="G5092" i="2"/>
  <c r="I5091" i="2"/>
  <c r="H5091" i="2"/>
  <c r="G5091" i="2"/>
  <c r="I5090" i="2"/>
  <c r="H5090" i="2"/>
  <c r="G5090" i="2"/>
  <c r="I5089" i="2"/>
  <c r="H5089" i="2"/>
  <c r="G5089" i="2"/>
  <c r="I5088" i="2"/>
  <c r="H5088" i="2"/>
  <c r="G5088" i="2"/>
  <c r="I5087" i="2"/>
  <c r="H5087" i="2"/>
  <c r="G5087" i="2"/>
  <c r="I5086" i="2"/>
  <c r="H5086" i="2"/>
  <c r="G5086" i="2"/>
  <c r="I5085" i="2"/>
  <c r="H5085" i="2"/>
  <c r="G5085" i="2"/>
  <c r="I5084" i="2"/>
  <c r="H5084" i="2"/>
  <c r="G5084" i="2"/>
  <c r="I5083" i="2"/>
  <c r="H5083" i="2"/>
  <c r="G5083" i="2"/>
  <c r="I5082" i="2"/>
  <c r="H5082" i="2"/>
  <c r="G5082" i="2"/>
  <c r="I5081" i="2"/>
  <c r="H5081" i="2"/>
  <c r="G5081" i="2"/>
  <c r="I5080" i="2"/>
  <c r="H5080" i="2"/>
  <c r="G5080" i="2"/>
  <c r="I5079" i="2"/>
  <c r="H5079" i="2"/>
  <c r="G5079" i="2"/>
  <c r="I5078" i="2"/>
  <c r="H5078" i="2"/>
  <c r="G5078" i="2"/>
  <c r="I5077" i="2"/>
  <c r="H5077" i="2"/>
  <c r="G5077" i="2"/>
  <c r="I5076" i="2"/>
  <c r="H5076" i="2"/>
  <c r="G5076" i="2"/>
  <c r="I5075" i="2"/>
  <c r="H5075" i="2"/>
  <c r="G5075" i="2"/>
  <c r="I5074" i="2"/>
  <c r="H5074" i="2"/>
  <c r="G5074" i="2"/>
  <c r="I5073" i="2"/>
  <c r="H5073" i="2"/>
  <c r="G5073" i="2"/>
  <c r="I5072" i="2"/>
  <c r="H5072" i="2"/>
  <c r="G5072" i="2"/>
  <c r="I5071" i="2"/>
  <c r="H5071" i="2"/>
  <c r="G5071" i="2"/>
  <c r="I5070" i="2"/>
  <c r="H5070" i="2"/>
  <c r="G5070" i="2"/>
  <c r="I5069" i="2"/>
  <c r="H5069" i="2"/>
  <c r="G5069" i="2"/>
  <c r="I5068" i="2"/>
  <c r="H5068" i="2"/>
  <c r="G5068" i="2"/>
  <c r="I5067" i="2"/>
  <c r="H5067" i="2"/>
  <c r="G5067" i="2"/>
  <c r="I5066" i="2"/>
  <c r="H5066" i="2"/>
  <c r="G5066" i="2"/>
  <c r="I5065" i="2"/>
  <c r="H5065" i="2"/>
  <c r="G5065" i="2"/>
  <c r="I5064" i="2"/>
  <c r="H5064" i="2"/>
  <c r="G5064" i="2"/>
  <c r="I5063" i="2"/>
  <c r="H5063" i="2"/>
  <c r="G5063" i="2"/>
  <c r="I5062" i="2"/>
  <c r="H5062" i="2"/>
  <c r="G5062" i="2"/>
  <c r="I5061" i="2"/>
  <c r="H5061" i="2"/>
  <c r="G5061" i="2"/>
  <c r="I5060" i="2"/>
  <c r="H5060" i="2"/>
  <c r="G5060" i="2"/>
  <c r="I5059" i="2"/>
  <c r="H5059" i="2"/>
  <c r="G5059" i="2"/>
  <c r="I5058" i="2"/>
  <c r="H5058" i="2"/>
  <c r="G5058" i="2"/>
  <c r="I5057" i="2"/>
  <c r="H5057" i="2"/>
  <c r="G5057" i="2"/>
  <c r="I5056" i="2"/>
  <c r="H5056" i="2"/>
  <c r="G5056" i="2"/>
  <c r="I5055" i="2"/>
  <c r="H5055" i="2"/>
  <c r="G5055" i="2"/>
  <c r="I5054" i="2"/>
  <c r="H5054" i="2"/>
  <c r="G5054" i="2"/>
  <c r="I5053" i="2"/>
  <c r="H5053" i="2"/>
  <c r="G5053" i="2"/>
  <c r="I5052" i="2"/>
  <c r="H5052" i="2"/>
  <c r="G5052" i="2"/>
  <c r="I5051" i="2"/>
  <c r="H5051" i="2"/>
  <c r="G5051" i="2"/>
  <c r="I5050" i="2"/>
  <c r="H5050" i="2"/>
  <c r="G5050" i="2"/>
  <c r="I5049" i="2"/>
  <c r="H5049" i="2"/>
  <c r="G5049" i="2"/>
  <c r="I5048" i="2"/>
  <c r="H5048" i="2"/>
  <c r="G5048" i="2"/>
  <c r="I5047" i="2"/>
  <c r="H5047" i="2"/>
  <c r="G5047" i="2"/>
  <c r="I5046" i="2"/>
  <c r="H5046" i="2"/>
  <c r="G5046" i="2"/>
  <c r="I5045" i="2"/>
  <c r="H5045" i="2"/>
  <c r="G5045" i="2"/>
  <c r="I5044" i="2"/>
  <c r="H5044" i="2"/>
  <c r="G5044" i="2"/>
  <c r="I5043" i="2"/>
  <c r="H5043" i="2"/>
  <c r="G5043" i="2"/>
  <c r="I5042" i="2"/>
  <c r="H5042" i="2"/>
  <c r="G5042" i="2"/>
  <c r="I5041" i="2"/>
  <c r="H5041" i="2"/>
  <c r="G5041" i="2"/>
  <c r="I5040" i="2"/>
  <c r="H5040" i="2"/>
  <c r="G5040" i="2"/>
  <c r="I5039" i="2"/>
  <c r="H5039" i="2"/>
  <c r="G5039" i="2"/>
  <c r="I5038" i="2"/>
  <c r="H5038" i="2"/>
  <c r="G5038" i="2"/>
  <c r="I5037" i="2"/>
  <c r="H5037" i="2"/>
  <c r="G5037" i="2"/>
  <c r="I5036" i="2"/>
  <c r="H5036" i="2"/>
  <c r="G5036" i="2"/>
  <c r="I5035" i="2"/>
  <c r="H5035" i="2"/>
  <c r="G5035" i="2"/>
  <c r="I5034" i="2"/>
  <c r="H5034" i="2"/>
  <c r="G5034" i="2"/>
  <c r="I5033" i="2"/>
  <c r="H5033" i="2"/>
  <c r="G5033" i="2"/>
  <c r="I5032" i="2"/>
  <c r="H5032" i="2"/>
  <c r="G5032" i="2"/>
  <c r="I5031" i="2"/>
  <c r="H5031" i="2"/>
  <c r="G5031" i="2"/>
  <c r="I5030" i="2"/>
  <c r="H5030" i="2"/>
  <c r="G5030" i="2"/>
  <c r="I5029" i="2"/>
  <c r="H5029" i="2"/>
  <c r="G5029" i="2"/>
  <c r="I5028" i="2"/>
  <c r="H5028" i="2"/>
  <c r="G5028" i="2"/>
  <c r="I5027" i="2"/>
  <c r="H5027" i="2"/>
  <c r="G5027" i="2"/>
  <c r="I5026" i="2"/>
  <c r="H5026" i="2"/>
  <c r="G5026" i="2"/>
  <c r="I5025" i="2"/>
  <c r="H5025" i="2"/>
  <c r="G5025" i="2"/>
  <c r="I5024" i="2"/>
  <c r="H5024" i="2"/>
  <c r="G5024" i="2"/>
  <c r="I5023" i="2"/>
  <c r="H5023" i="2"/>
  <c r="G5023" i="2"/>
  <c r="I5022" i="2"/>
  <c r="H5022" i="2"/>
  <c r="G5022" i="2"/>
  <c r="I5021" i="2"/>
  <c r="H5021" i="2"/>
  <c r="G5021" i="2"/>
  <c r="I5020" i="2"/>
  <c r="H5020" i="2"/>
  <c r="G5020" i="2"/>
  <c r="I5019" i="2"/>
  <c r="H5019" i="2"/>
  <c r="G5019" i="2"/>
  <c r="I5018" i="2"/>
  <c r="H5018" i="2"/>
  <c r="G5018" i="2"/>
  <c r="I5017" i="2"/>
  <c r="H5017" i="2"/>
  <c r="G5017" i="2"/>
  <c r="I5016" i="2"/>
  <c r="H5016" i="2"/>
  <c r="G5016" i="2"/>
  <c r="I5015" i="2"/>
  <c r="H5015" i="2"/>
  <c r="G5015" i="2"/>
  <c r="I5014" i="2"/>
  <c r="H5014" i="2"/>
  <c r="G5014" i="2"/>
  <c r="I5013" i="2"/>
  <c r="H5013" i="2"/>
  <c r="G5013" i="2"/>
  <c r="I5012" i="2"/>
  <c r="H5012" i="2"/>
  <c r="G5012" i="2"/>
  <c r="I5011" i="2"/>
  <c r="H5011" i="2"/>
  <c r="G5011" i="2"/>
  <c r="I5010" i="2"/>
  <c r="H5010" i="2"/>
  <c r="G5010" i="2"/>
  <c r="I5009" i="2"/>
  <c r="H5009" i="2"/>
  <c r="G5009" i="2"/>
  <c r="I5008" i="2"/>
  <c r="H5008" i="2"/>
  <c r="G5008" i="2"/>
  <c r="I5007" i="2"/>
  <c r="H5007" i="2"/>
  <c r="G5007" i="2"/>
  <c r="I5006" i="2"/>
  <c r="H5006" i="2"/>
  <c r="G5006" i="2"/>
  <c r="I5005" i="2"/>
  <c r="H5005" i="2"/>
  <c r="G5005" i="2"/>
  <c r="I5004" i="2"/>
  <c r="H5004" i="2"/>
  <c r="G5004" i="2"/>
  <c r="I5003" i="2"/>
  <c r="H5003" i="2"/>
  <c r="G5003" i="2"/>
  <c r="I5002" i="2"/>
  <c r="H5002" i="2"/>
  <c r="G5002" i="2"/>
  <c r="I5001" i="2"/>
  <c r="H5001" i="2"/>
  <c r="G5001" i="2"/>
  <c r="I5000" i="2"/>
  <c r="H5000" i="2"/>
  <c r="G5000" i="2"/>
  <c r="I4999" i="2"/>
  <c r="H4999" i="2"/>
  <c r="G4999" i="2"/>
  <c r="I4998" i="2"/>
  <c r="H4998" i="2"/>
  <c r="G4998" i="2"/>
  <c r="I4997" i="2"/>
  <c r="H4997" i="2"/>
  <c r="G4997" i="2"/>
  <c r="I4996" i="2"/>
  <c r="H4996" i="2"/>
  <c r="G4996" i="2"/>
  <c r="I4995" i="2"/>
  <c r="H4995" i="2"/>
  <c r="G4995" i="2"/>
  <c r="I4994" i="2"/>
  <c r="H4994" i="2"/>
  <c r="G4994" i="2"/>
  <c r="I4993" i="2"/>
  <c r="H4993" i="2"/>
  <c r="G4993" i="2"/>
  <c r="I4992" i="2"/>
  <c r="H4992" i="2"/>
  <c r="G4992" i="2"/>
  <c r="I4991" i="2"/>
  <c r="H4991" i="2"/>
  <c r="G4991" i="2"/>
  <c r="I4990" i="2"/>
  <c r="H4990" i="2"/>
  <c r="G4990" i="2"/>
  <c r="I4989" i="2"/>
  <c r="H4989" i="2"/>
  <c r="G4989" i="2"/>
  <c r="I4988" i="2"/>
  <c r="H4988" i="2"/>
  <c r="G4988" i="2"/>
  <c r="I4987" i="2"/>
  <c r="H4987" i="2"/>
  <c r="G4987" i="2"/>
  <c r="I4986" i="2"/>
  <c r="H4986" i="2"/>
  <c r="G4986" i="2"/>
  <c r="I4985" i="2"/>
  <c r="H4985" i="2"/>
  <c r="G4985" i="2"/>
  <c r="I4984" i="2"/>
  <c r="H4984" i="2"/>
  <c r="G4984" i="2"/>
  <c r="I4983" i="2"/>
  <c r="H4983" i="2"/>
  <c r="G4983" i="2"/>
  <c r="I4982" i="2"/>
  <c r="H4982" i="2"/>
  <c r="G4982" i="2"/>
  <c r="I4981" i="2"/>
  <c r="H4981" i="2"/>
  <c r="G4981" i="2"/>
  <c r="I4980" i="2"/>
  <c r="H4980" i="2"/>
  <c r="G4980" i="2"/>
  <c r="I4979" i="2"/>
  <c r="H4979" i="2"/>
  <c r="G4979" i="2"/>
  <c r="I4978" i="2"/>
  <c r="H4978" i="2"/>
  <c r="G4978" i="2"/>
  <c r="I4977" i="2"/>
  <c r="H4977" i="2"/>
  <c r="G4977" i="2"/>
  <c r="I4976" i="2"/>
  <c r="H4976" i="2"/>
  <c r="G4976" i="2"/>
  <c r="I4975" i="2"/>
  <c r="H4975" i="2"/>
  <c r="G4975" i="2"/>
  <c r="I4974" i="2"/>
  <c r="H4974" i="2"/>
  <c r="G4974" i="2"/>
  <c r="I4973" i="2"/>
  <c r="H4973" i="2"/>
  <c r="G4973" i="2"/>
  <c r="I4972" i="2"/>
  <c r="H4972" i="2"/>
  <c r="G4972" i="2"/>
  <c r="I4971" i="2"/>
  <c r="H4971" i="2"/>
  <c r="G4971" i="2"/>
  <c r="I4970" i="2"/>
  <c r="H4970" i="2"/>
  <c r="G4970" i="2"/>
  <c r="I4969" i="2"/>
  <c r="H4969" i="2"/>
  <c r="G4969" i="2"/>
  <c r="I4968" i="2"/>
  <c r="H4968" i="2"/>
  <c r="G4968" i="2"/>
  <c r="I4967" i="2"/>
  <c r="H4967" i="2"/>
  <c r="G4967" i="2"/>
  <c r="I4966" i="2"/>
  <c r="H4966" i="2"/>
  <c r="G4966" i="2"/>
  <c r="I4965" i="2"/>
  <c r="H4965" i="2"/>
  <c r="G4965" i="2"/>
  <c r="I4964" i="2"/>
  <c r="H4964" i="2"/>
  <c r="G4964" i="2"/>
  <c r="I4963" i="2"/>
  <c r="H4963" i="2"/>
  <c r="G4963" i="2"/>
  <c r="I4962" i="2"/>
  <c r="H4962" i="2"/>
  <c r="G4962" i="2"/>
  <c r="I4961" i="2"/>
  <c r="H4961" i="2"/>
  <c r="G4961" i="2"/>
  <c r="I4960" i="2"/>
  <c r="H4960" i="2"/>
  <c r="G4960" i="2"/>
  <c r="I4959" i="2"/>
  <c r="H4959" i="2"/>
  <c r="G4959" i="2"/>
  <c r="I4958" i="2"/>
  <c r="H4958" i="2"/>
  <c r="G4958" i="2"/>
  <c r="I4957" i="2"/>
  <c r="H4957" i="2"/>
  <c r="G4957" i="2"/>
  <c r="I4956" i="2"/>
  <c r="H4956" i="2"/>
  <c r="G4956" i="2"/>
  <c r="I4955" i="2"/>
  <c r="H4955" i="2"/>
  <c r="G4955" i="2"/>
  <c r="I4954" i="2"/>
  <c r="H4954" i="2"/>
  <c r="G4954" i="2"/>
  <c r="I4953" i="2"/>
  <c r="H4953" i="2"/>
  <c r="G4953" i="2"/>
  <c r="I4952" i="2"/>
  <c r="H4952" i="2"/>
  <c r="G4952" i="2"/>
  <c r="I4951" i="2"/>
  <c r="H4951" i="2"/>
  <c r="G4951" i="2"/>
  <c r="I4950" i="2"/>
  <c r="H4950" i="2"/>
  <c r="G4950" i="2"/>
  <c r="I4949" i="2"/>
  <c r="H4949" i="2"/>
  <c r="G4949" i="2"/>
  <c r="I4948" i="2"/>
  <c r="H4948" i="2"/>
  <c r="G4948" i="2"/>
  <c r="I4947" i="2"/>
  <c r="H4947" i="2"/>
  <c r="G4947" i="2"/>
  <c r="I4946" i="2"/>
  <c r="H4946" i="2"/>
  <c r="G4946" i="2"/>
  <c r="I4945" i="2"/>
  <c r="H4945" i="2"/>
  <c r="G4945" i="2"/>
  <c r="I4944" i="2"/>
  <c r="H4944" i="2"/>
  <c r="G4944" i="2"/>
  <c r="I4943" i="2"/>
  <c r="H4943" i="2"/>
  <c r="G4943" i="2"/>
  <c r="I4942" i="2"/>
  <c r="H4942" i="2"/>
  <c r="G4942" i="2"/>
  <c r="I4941" i="2"/>
  <c r="H4941" i="2"/>
  <c r="G4941" i="2"/>
  <c r="I4940" i="2"/>
  <c r="H4940" i="2"/>
  <c r="G4940" i="2"/>
  <c r="I4939" i="2"/>
  <c r="H4939" i="2"/>
  <c r="G4939" i="2"/>
  <c r="I4938" i="2"/>
  <c r="H4938" i="2"/>
  <c r="G4938" i="2"/>
  <c r="I4937" i="2"/>
  <c r="H4937" i="2"/>
  <c r="G4937" i="2"/>
  <c r="I4936" i="2"/>
  <c r="H4936" i="2"/>
  <c r="G4936" i="2"/>
  <c r="I4935" i="2"/>
  <c r="H4935" i="2"/>
  <c r="G4935" i="2"/>
  <c r="I4934" i="2"/>
  <c r="H4934" i="2"/>
  <c r="G4934" i="2"/>
  <c r="I4933" i="2"/>
  <c r="H4933" i="2"/>
  <c r="G4933" i="2"/>
  <c r="I4932" i="2"/>
  <c r="H4932" i="2"/>
  <c r="G4932" i="2"/>
  <c r="I4931" i="2"/>
  <c r="H4931" i="2"/>
  <c r="G4931" i="2"/>
  <c r="I4930" i="2"/>
  <c r="H4930" i="2"/>
  <c r="G4930" i="2"/>
  <c r="I4929" i="2"/>
  <c r="H4929" i="2"/>
  <c r="G4929" i="2"/>
  <c r="I4928" i="2"/>
  <c r="H4928" i="2"/>
  <c r="G4928" i="2"/>
  <c r="I4927" i="2"/>
  <c r="H4927" i="2"/>
  <c r="G4927" i="2"/>
  <c r="I4926" i="2"/>
  <c r="H4926" i="2"/>
  <c r="G4926" i="2"/>
  <c r="I4925" i="2"/>
  <c r="H4925" i="2"/>
  <c r="G4925" i="2"/>
  <c r="I4924" i="2"/>
  <c r="H4924" i="2"/>
  <c r="G4924" i="2"/>
  <c r="I4923" i="2"/>
  <c r="H4923" i="2"/>
  <c r="G4923" i="2"/>
  <c r="I4922" i="2"/>
  <c r="H4922" i="2"/>
  <c r="G4922" i="2"/>
  <c r="I4921" i="2"/>
  <c r="H4921" i="2"/>
  <c r="G4921" i="2"/>
  <c r="I4920" i="2"/>
  <c r="H4920" i="2"/>
  <c r="G4920" i="2"/>
  <c r="I4919" i="2"/>
  <c r="H4919" i="2"/>
  <c r="G4919" i="2"/>
  <c r="I4918" i="2"/>
  <c r="H4918" i="2"/>
  <c r="G4918" i="2"/>
  <c r="I4917" i="2"/>
  <c r="H4917" i="2"/>
  <c r="G4917" i="2"/>
  <c r="I4916" i="2"/>
  <c r="H4916" i="2"/>
  <c r="G4916" i="2"/>
  <c r="I4915" i="2"/>
  <c r="H4915" i="2"/>
  <c r="G4915" i="2"/>
  <c r="I4914" i="2"/>
  <c r="H4914" i="2"/>
  <c r="G4914" i="2"/>
  <c r="I4913" i="2"/>
  <c r="H4913" i="2"/>
  <c r="G4913" i="2"/>
  <c r="I4912" i="2"/>
  <c r="H4912" i="2"/>
  <c r="G4912" i="2"/>
  <c r="I4911" i="2"/>
  <c r="H4911" i="2"/>
  <c r="G4911" i="2"/>
  <c r="I4910" i="2"/>
  <c r="H4910" i="2"/>
  <c r="G4910" i="2"/>
  <c r="I4909" i="2"/>
  <c r="H4909" i="2"/>
  <c r="G4909" i="2"/>
  <c r="I4908" i="2"/>
  <c r="H4908" i="2"/>
  <c r="G4908" i="2"/>
  <c r="I4907" i="2"/>
  <c r="H4907" i="2"/>
  <c r="G4907" i="2"/>
  <c r="I4906" i="2"/>
  <c r="H4906" i="2"/>
  <c r="G4906" i="2"/>
  <c r="I4905" i="2"/>
  <c r="H4905" i="2"/>
  <c r="G4905" i="2"/>
  <c r="I4904" i="2"/>
  <c r="H4904" i="2"/>
  <c r="G4904" i="2"/>
  <c r="I4903" i="2"/>
  <c r="H4903" i="2"/>
  <c r="G4903" i="2"/>
  <c r="I4902" i="2"/>
  <c r="H4902" i="2"/>
  <c r="G4902" i="2"/>
  <c r="I4901" i="2"/>
  <c r="H4901" i="2"/>
  <c r="G4901" i="2"/>
  <c r="I4900" i="2"/>
  <c r="H4900" i="2"/>
  <c r="G4900" i="2"/>
  <c r="I4899" i="2"/>
  <c r="H4899" i="2"/>
  <c r="G4899" i="2"/>
  <c r="I4898" i="2"/>
  <c r="H4898" i="2"/>
  <c r="G4898" i="2"/>
  <c r="I4897" i="2"/>
  <c r="H4897" i="2"/>
  <c r="G4897" i="2"/>
  <c r="I4896" i="2"/>
  <c r="H4896" i="2"/>
  <c r="G4896" i="2"/>
  <c r="I4895" i="2"/>
  <c r="H4895" i="2"/>
  <c r="G4895" i="2"/>
  <c r="I4894" i="2"/>
  <c r="H4894" i="2"/>
  <c r="G4894" i="2"/>
  <c r="I4893" i="2"/>
  <c r="H4893" i="2"/>
  <c r="G4893" i="2"/>
  <c r="I4892" i="2"/>
  <c r="H4892" i="2"/>
  <c r="G4892" i="2"/>
  <c r="I4891" i="2"/>
  <c r="H4891" i="2"/>
  <c r="G4891" i="2"/>
  <c r="I4890" i="2"/>
  <c r="H4890" i="2"/>
  <c r="G4890" i="2"/>
  <c r="I4889" i="2"/>
  <c r="H4889" i="2"/>
  <c r="G4889" i="2"/>
  <c r="I4888" i="2"/>
  <c r="H4888" i="2"/>
  <c r="G4888" i="2"/>
  <c r="I4887" i="2"/>
  <c r="H4887" i="2"/>
  <c r="G4887" i="2"/>
  <c r="I4886" i="2"/>
  <c r="H4886" i="2"/>
  <c r="G4886" i="2"/>
  <c r="I4885" i="2"/>
  <c r="H4885" i="2"/>
  <c r="G4885" i="2"/>
  <c r="I4884" i="2"/>
  <c r="H4884" i="2"/>
  <c r="G4884" i="2"/>
  <c r="I4883" i="2"/>
  <c r="H4883" i="2"/>
  <c r="G4883" i="2"/>
  <c r="I4882" i="2"/>
  <c r="H4882" i="2"/>
  <c r="G4882" i="2"/>
  <c r="I4881" i="2"/>
  <c r="H4881" i="2"/>
  <c r="G4881" i="2"/>
  <c r="I4880" i="2"/>
  <c r="H4880" i="2"/>
  <c r="G4880" i="2"/>
  <c r="I4879" i="2"/>
  <c r="H4879" i="2"/>
  <c r="G4879" i="2"/>
  <c r="I4878" i="2"/>
  <c r="H4878" i="2"/>
  <c r="G4878" i="2"/>
  <c r="I4877" i="2"/>
  <c r="H4877" i="2"/>
  <c r="G4877" i="2"/>
  <c r="I4876" i="2"/>
  <c r="H4876" i="2"/>
  <c r="G4876" i="2"/>
  <c r="I4875" i="2"/>
  <c r="H4875" i="2"/>
  <c r="G4875" i="2"/>
  <c r="I4874" i="2"/>
  <c r="H4874" i="2"/>
  <c r="G4874" i="2"/>
  <c r="I4873" i="2"/>
  <c r="H4873" i="2"/>
  <c r="G4873" i="2"/>
  <c r="I4872" i="2"/>
  <c r="H4872" i="2"/>
  <c r="G4872" i="2"/>
  <c r="I4871" i="2"/>
  <c r="H4871" i="2"/>
  <c r="G4871" i="2"/>
  <c r="I4870" i="2"/>
  <c r="H4870" i="2"/>
  <c r="G4870" i="2"/>
  <c r="I4869" i="2"/>
  <c r="H4869" i="2"/>
  <c r="G4869" i="2"/>
  <c r="I4868" i="2"/>
  <c r="H4868" i="2"/>
  <c r="G4868" i="2"/>
  <c r="I4867" i="2"/>
  <c r="H4867" i="2"/>
  <c r="G4867" i="2"/>
  <c r="I4866" i="2"/>
  <c r="H4866" i="2"/>
  <c r="G4866" i="2"/>
  <c r="I4865" i="2"/>
  <c r="H4865" i="2"/>
  <c r="G4865" i="2"/>
  <c r="I4864" i="2"/>
  <c r="H4864" i="2"/>
  <c r="G4864" i="2"/>
  <c r="I4863" i="2"/>
  <c r="H4863" i="2"/>
  <c r="G4863" i="2"/>
  <c r="I4862" i="2"/>
  <c r="H4862" i="2"/>
  <c r="G4862" i="2"/>
  <c r="I4861" i="2"/>
  <c r="H4861" i="2"/>
  <c r="G4861" i="2"/>
  <c r="I4860" i="2"/>
  <c r="H4860" i="2"/>
  <c r="G4860" i="2"/>
  <c r="I4859" i="2"/>
  <c r="H4859" i="2"/>
  <c r="G4859" i="2"/>
  <c r="I4858" i="2"/>
  <c r="H4858" i="2"/>
  <c r="G4858" i="2"/>
  <c r="I4857" i="2"/>
  <c r="H4857" i="2"/>
  <c r="G4857" i="2"/>
  <c r="I4856" i="2"/>
  <c r="H4856" i="2"/>
  <c r="G4856" i="2"/>
  <c r="I4855" i="2"/>
  <c r="H4855" i="2"/>
  <c r="G4855" i="2"/>
  <c r="I4854" i="2"/>
  <c r="H4854" i="2"/>
  <c r="G4854" i="2"/>
  <c r="I4853" i="2"/>
  <c r="H4853" i="2"/>
  <c r="G4853" i="2"/>
  <c r="I4852" i="2"/>
  <c r="H4852" i="2"/>
  <c r="G4852" i="2"/>
  <c r="I4851" i="2"/>
  <c r="H4851" i="2"/>
  <c r="G4851" i="2"/>
  <c r="I4850" i="2"/>
  <c r="H4850" i="2"/>
  <c r="G4850" i="2"/>
  <c r="I4849" i="2"/>
  <c r="H4849" i="2"/>
  <c r="G4849" i="2"/>
  <c r="I4848" i="2"/>
  <c r="H4848" i="2"/>
  <c r="G4848" i="2"/>
  <c r="I4847" i="2"/>
  <c r="H4847" i="2"/>
  <c r="G4847" i="2"/>
  <c r="I4846" i="2"/>
  <c r="H4846" i="2"/>
  <c r="G4846" i="2"/>
  <c r="I4845" i="2"/>
  <c r="H4845" i="2"/>
  <c r="G4845" i="2"/>
  <c r="I4844" i="2"/>
  <c r="H4844" i="2"/>
  <c r="G4844" i="2"/>
  <c r="I4843" i="2"/>
  <c r="H4843" i="2"/>
  <c r="G4843" i="2"/>
  <c r="I4842" i="2"/>
  <c r="H4842" i="2"/>
  <c r="G4842" i="2"/>
  <c r="I4841" i="2"/>
  <c r="H4841" i="2"/>
  <c r="G4841" i="2"/>
  <c r="I4840" i="2"/>
  <c r="H4840" i="2"/>
  <c r="G4840" i="2"/>
  <c r="I4839" i="2"/>
  <c r="H4839" i="2"/>
  <c r="G4839" i="2"/>
  <c r="I4838" i="2"/>
  <c r="H4838" i="2"/>
  <c r="G4838" i="2"/>
  <c r="I4837" i="2"/>
  <c r="H4837" i="2"/>
  <c r="G4837" i="2"/>
  <c r="I4836" i="2"/>
  <c r="H4836" i="2"/>
  <c r="G4836" i="2"/>
  <c r="I4835" i="2"/>
  <c r="H4835" i="2"/>
  <c r="G4835" i="2"/>
  <c r="I4834" i="2"/>
  <c r="H4834" i="2"/>
  <c r="G4834" i="2"/>
  <c r="I4833" i="2"/>
  <c r="H4833" i="2"/>
  <c r="G4833" i="2"/>
  <c r="I4832" i="2"/>
  <c r="H4832" i="2"/>
  <c r="G4832" i="2"/>
  <c r="I4831" i="2"/>
  <c r="H4831" i="2"/>
  <c r="G4831" i="2"/>
  <c r="I4830" i="2"/>
  <c r="H4830" i="2"/>
  <c r="G4830" i="2"/>
  <c r="I4829" i="2"/>
  <c r="H4829" i="2"/>
  <c r="G4829" i="2"/>
  <c r="I4828" i="2"/>
  <c r="H4828" i="2"/>
  <c r="G4828" i="2"/>
  <c r="I4827" i="2"/>
  <c r="H4827" i="2"/>
  <c r="G4827" i="2"/>
  <c r="I4826" i="2"/>
  <c r="H4826" i="2"/>
  <c r="G4826" i="2"/>
  <c r="I4825" i="2"/>
  <c r="H4825" i="2"/>
  <c r="G4825" i="2"/>
  <c r="I4824" i="2"/>
  <c r="H4824" i="2"/>
  <c r="G4824" i="2"/>
  <c r="I4823" i="2"/>
  <c r="H4823" i="2"/>
  <c r="G4823" i="2"/>
  <c r="I4822" i="2"/>
  <c r="H4822" i="2"/>
  <c r="G4822" i="2"/>
  <c r="I4821" i="2"/>
  <c r="H4821" i="2"/>
  <c r="G4821" i="2"/>
  <c r="I4820" i="2"/>
  <c r="H4820" i="2"/>
  <c r="G4820" i="2"/>
  <c r="I4819" i="2"/>
  <c r="H4819" i="2"/>
  <c r="G4819" i="2"/>
  <c r="I4818" i="2"/>
  <c r="H4818" i="2"/>
  <c r="G4818" i="2"/>
  <c r="I4817" i="2"/>
  <c r="H4817" i="2"/>
  <c r="G4817" i="2"/>
  <c r="I4816" i="2"/>
  <c r="H4816" i="2"/>
  <c r="G4816" i="2"/>
  <c r="I4815" i="2"/>
  <c r="H4815" i="2"/>
  <c r="G4815" i="2"/>
  <c r="I4814" i="2"/>
  <c r="H4814" i="2"/>
  <c r="G4814" i="2"/>
  <c r="I4813" i="2"/>
  <c r="H4813" i="2"/>
  <c r="G4813" i="2"/>
  <c r="I4812" i="2"/>
  <c r="H4812" i="2"/>
  <c r="G4812" i="2"/>
  <c r="I4811" i="2"/>
  <c r="H4811" i="2"/>
  <c r="G4811" i="2"/>
  <c r="I4810" i="2"/>
  <c r="H4810" i="2"/>
  <c r="G4810" i="2"/>
  <c r="I4809" i="2"/>
  <c r="H4809" i="2"/>
  <c r="G4809" i="2"/>
  <c r="I4808" i="2"/>
  <c r="H4808" i="2"/>
  <c r="G4808" i="2"/>
  <c r="I4807" i="2"/>
  <c r="H4807" i="2"/>
  <c r="G4807" i="2"/>
  <c r="I4806" i="2"/>
  <c r="H4806" i="2"/>
  <c r="G4806" i="2"/>
  <c r="I4805" i="2"/>
  <c r="H4805" i="2"/>
  <c r="G4805" i="2"/>
  <c r="I4804" i="2"/>
  <c r="H4804" i="2"/>
  <c r="G4804" i="2"/>
  <c r="I4803" i="2"/>
  <c r="H4803" i="2"/>
  <c r="G4803" i="2"/>
  <c r="I4802" i="2"/>
  <c r="H4802" i="2"/>
  <c r="G4802" i="2"/>
  <c r="I4801" i="2"/>
  <c r="H4801" i="2"/>
  <c r="G4801" i="2"/>
  <c r="I4800" i="2"/>
  <c r="H4800" i="2"/>
  <c r="G4800" i="2"/>
  <c r="I4799" i="2"/>
  <c r="H4799" i="2"/>
  <c r="G4799" i="2"/>
  <c r="I4798" i="2"/>
  <c r="H4798" i="2"/>
  <c r="G4798" i="2"/>
  <c r="I4797" i="2"/>
  <c r="H4797" i="2"/>
  <c r="G4797" i="2"/>
  <c r="I4796" i="2"/>
  <c r="H4796" i="2"/>
  <c r="G4796" i="2"/>
  <c r="I4795" i="2"/>
  <c r="H4795" i="2"/>
  <c r="G4795" i="2"/>
  <c r="I4794" i="2"/>
  <c r="H4794" i="2"/>
  <c r="G4794" i="2"/>
  <c r="I4793" i="2"/>
  <c r="H4793" i="2"/>
  <c r="G4793" i="2"/>
  <c r="I4792" i="2"/>
  <c r="H4792" i="2"/>
  <c r="G4792" i="2"/>
  <c r="I4791" i="2"/>
  <c r="H4791" i="2"/>
  <c r="G4791" i="2"/>
  <c r="I4790" i="2"/>
  <c r="H4790" i="2"/>
  <c r="G4790" i="2"/>
  <c r="I4789" i="2"/>
  <c r="H4789" i="2"/>
  <c r="G4789" i="2"/>
  <c r="I4788" i="2"/>
  <c r="H4788" i="2"/>
  <c r="G4788" i="2"/>
  <c r="I4787" i="2"/>
  <c r="H4787" i="2"/>
  <c r="G4787" i="2"/>
  <c r="I4786" i="2"/>
  <c r="H4786" i="2"/>
  <c r="G4786" i="2"/>
  <c r="I4785" i="2"/>
  <c r="H4785" i="2"/>
  <c r="G4785" i="2"/>
  <c r="I4784" i="2"/>
  <c r="H4784" i="2"/>
  <c r="G4784" i="2"/>
  <c r="I4783" i="2"/>
  <c r="H4783" i="2"/>
  <c r="G4783" i="2"/>
  <c r="I4782" i="2"/>
  <c r="H4782" i="2"/>
  <c r="G4782" i="2"/>
  <c r="I4781" i="2"/>
  <c r="H4781" i="2"/>
  <c r="G4781" i="2"/>
  <c r="I4780" i="2"/>
  <c r="H4780" i="2"/>
  <c r="G4780" i="2"/>
  <c r="I4779" i="2"/>
  <c r="H4779" i="2"/>
  <c r="G4779" i="2"/>
  <c r="I4778" i="2"/>
  <c r="H4778" i="2"/>
  <c r="G4778" i="2"/>
  <c r="I4777" i="2"/>
  <c r="H4777" i="2"/>
  <c r="G4777" i="2"/>
  <c r="I4776" i="2"/>
  <c r="H4776" i="2"/>
  <c r="G4776" i="2"/>
  <c r="I4775" i="2"/>
  <c r="H4775" i="2"/>
  <c r="G4775" i="2"/>
  <c r="I4774" i="2"/>
  <c r="H4774" i="2"/>
  <c r="G4774" i="2"/>
  <c r="I4773" i="2"/>
  <c r="H4773" i="2"/>
  <c r="G4773" i="2"/>
  <c r="I4772" i="2"/>
  <c r="H4772" i="2"/>
  <c r="G4772" i="2"/>
  <c r="I4771" i="2"/>
  <c r="H4771" i="2"/>
  <c r="G4771" i="2"/>
  <c r="I4770" i="2"/>
  <c r="H4770" i="2"/>
  <c r="G4770" i="2"/>
  <c r="I4769" i="2"/>
  <c r="H4769" i="2"/>
  <c r="G4769" i="2"/>
  <c r="I4768" i="2"/>
  <c r="H4768" i="2"/>
  <c r="G4768" i="2"/>
  <c r="I4767" i="2"/>
  <c r="H4767" i="2"/>
  <c r="G4767" i="2"/>
  <c r="I4766" i="2"/>
  <c r="H4766" i="2"/>
  <c r="G4766" i="2"/>
  <c r="I4765" i="2"/>
  <c r="H4765" i="2"/>
  <c r="G4765" i="2"/>
  <c r="I4764" i="2"/>
  <c r="H4764" i="2"/>
  <c r="G4764" i="2"/>
  <c r="I4763" i="2"/>
  <c r="H4763" i="2"/>
  <c r="G4763" i="2"/>
  <c r="I4762" i="2"/>
  <c r="H4762" i="2"/>
  <c r="G4762" i="2"/>
  <c r="I4761" i="2"/>
  <c r="H4761" i="2"/>
  <c r="G4761" i="2"/>
  <c r="I4760" i="2"/>
  <c r="H4760" i="2"/>
  <c r="G4760" i="2"/>
  <c r="I4759" i="2"/>
  <c r="H4759" i="2"/>
  <c r="G4759" i="2"/>
  <c r="I4758" i="2"/>
  <c r="H4758" i="2"/>
  <c r="G4758" i="2"/>
  <c r="I4757" i="2"/>
  <c r="H4757" i="2"/>
  <c r="G4757" i="2"/>
  <c r="I4756" i="2"/>
  <c r="H4756" i="2"/>
  <c r="G4756" i="2"/>
  <c r="I4755" i="2"/>
  <c r="H4755" i="2"/>
  <c r="G4755" i="2"/>
  <c r="I4754" i="2"/>
  <c r="H4754" i="2"/>
  <c r="G4754" i="2"/>
  <c r="I4753" i="2"/>
  <c r="H4753" i="2"/>
  <c r="G4753" i="2"/>
  <c r="I4752" i="2"/>
  <c r="H4752" i="2"/>
  <c r="G4752" i="2"/>
  <c r="I4751" i="2"/>
  <c r="H4751" i="2"/>
  <c r="G4751" i="2"/>
  <c r="I4750" i="2"/>
  <c r="H4750" i="2"/>
  <c r="G4750" i="2"/>
  <c r="I4749" i="2"/>
  <c r="H4749" i="2"/>
  <c r="G4749" i="2"/>
  <c r="I4748" i="2"/>
  <c r="H4748" i="2"/>
  <c r="G4748" i="2"/>
  <c r="I4747" i="2"/>
  <c r="H4747" i="2"/>
  <c r="G4747" i="2"/>
  <c r="I4746" i="2"/>
  <c r="H4746" i="2"/>
  <c r="G4746" i="2"/>
  <c r="I4745" i="2"/>
  <c r="H4745" i="2"/>
  <c r="G4745" i="2"/>
  <c r="I4744" i="2"/>
  <c r="H4744" i="2"/>
  <c r="G4744" i="2"/>
  <c r="I4743" i="2"/>
  <c r="H4743" i="2"/>
  <c r="G4743" i="2"/>
  <c r="I4742" i="2"/>
  <c r="H4742" i="2"/>
  <c r="G4742" i="2"/>
  <c r="I4741" i="2"/>
  <c r="H4741" i="2"/>
  <c r="G4741" i="2"/>
  <c r="I4740" i="2"/>
  <c r="H4740" i="2"/>
  <c r="G4740" i="2"/>
  <c r="I4739" i="2"/>
  <c r="H4739" i="2"/>
  <c r="G4739" i="2"/>
  <c r="I4738" i="2"/>
  <c r="H4738" i="2"/>
  <c r="G4738" i="2"/>
  <c r="I4737" i="2"/>
  <c r="H4737" i="2"/>
  <c r="G4737" i="2"/>
  <c r="I4736" i="2"/>
  <c r="H4736" i="2"/>
  <c r="G4736" i="2"/>
  <c r="I4735" i="2"/>
  <c r="H4735" i="2"/>
  <c r="G4735" i="2"/>
  <c r="I4734" i="2"/>
  <c r="H4734" i="2"/>
  <c r="G4734" i="2"/>
  <c r="I4733" i="2"/>
  <c r="H4733" i="2"/>
  <c r="G4733" i="2"/>
  <c r="I4732" i="2"/>
  <c r="H4732" i="2"/>
  <c r="G4732" i="2"/>
  <c r="I4731" i="2"/>
  <c r="H4731" i="2"/>
  <c r="G4731" i="2"/>
  <c r="I4730" i="2"/>
  <c r="H4730" i="2"/>
  <c r="G4730" i="2"/>
  <c r="I4729" i="2"/>
  <c r="H4729" i="2"/>
  <c r="G4729" i="2"/>
  <c r="I4728" i="2"/>
  <c r="H4728" i="2"/>
  <c r="G4728" i="2"/>
  <c r="I4727" i="2"/>
  <c r="H4727" i="2"/>
  <c r="G4727" i="2"/>
  <c r="I4726" i="2"/>
  <c r="H4726" i="2"/>
  <c r="G4726" i="2"/>
  <c r="I4725" i="2"/>
  <c r="H4725" i="2"/>
  <c r="G4725" i="2"/>
  <c r="I4724" i="2"/>
  <c r="H4724" i="2"/>
  <c r="G4724" i="2"/>
  <c r="I4723" i="2"/>
  <c r="H4723" i="2"/>
  <c r="G4723" i="2"/>
  <c r="I4722" i="2"/>
  <c r="H4722" i="2"/>
  <c r="G4722" i="2"/>
  <c r="I4721" i="2"/>
  <c r="H4721" i="2"/>
  <c r="G4721" i="2"/>
  <c r="I4720" i="2"/>
  <c r="H4720" i="2"/>
  <c r="G4720" i="2"/>
  <c r="I4719" i="2"/>
  <c r="H4719" i="2"/>
  <c r="G4719" i="2"/>
  <c r="I4718" i="2"/>
  <c r="H4718" i="2"/>
  <c r="G4718" i="2"/>
  <c r="I4717" i="2"/>
  <c r="H4717" i="2"/>
  <c r="G4717" i="2"/>
  <c r="I4716" i="2"/>
  <c r="H4716" i="2"/>
  <c r="G4716" i="2"/>
  <c r="I4715" i="2"/>
  <c r="H4715" i="2"/>
  <c r="G4715" i="2"/>
  <c r="I4714" i="2"/>
  <c r="H4714" i="2"/>
  <c r="G4714" i="2"/>
  <c r="I4713" i="2"/>
  <c r="H4713" i="2"/>
  <c r="G4713" i="2"/>
  <c r="I4712" i="2"/>
  <c r="H4712" i="2"/>
  <c r="G4712" i="2"/>
  <c r="I4711" i="2"/>
  <c r="H4711" i="2"/>
  <c r="G4711" i="2"/>
  <c r="I4710" i="2"/>
  <c r="H4710" i="2"/>
  <c r="G4710" i="2"/>
  <c r="I4709" i="2"/>
  <c r="H4709" i="2"/>
  <c r="G4709" i="2"/>
  <c r="I4708" i="2"/>
  <c r="H4708" i="2"/>
  <c r="G4708" i="2"/>
  <c r="I4707" i="2"/>
  <c r="H4707" i="2"/>
  <c r="G4707" i="2"/>
  <c r="I4706" i="2"/>
  <c r="H4706" i="2"/>
  <c r="G4706" i="2"/>
  <c r="I4705" i="2"/>
  <c r="H4705" i="2"/>
  <c r="G4705" i="2"/>
  <c r="I4704" i="2"/>
  <c r="H4704" i="2"/>
  <c r="G4704" i="2"/>
  <c r="I4703" i="2"/>
  <c r="H4703" i="2"/>
  <c r="G4703" i="2"/>
  <c r="I4702" i="2"/>
  <c r="H4702" i="2"/>
  <c r="G4702" i="2"/>
  <c r="I4701" i="2"/>
  <c r="H4701" i="2"/>
  <c r="G4701" i="2"/>
  <c r="I4700" i="2"/>
  <c r="H4700" i="2"/>
  <c r="G4700" i="2"/>
  <c r="I4699" i="2"/>
  <c r="H4699" i="2"/>
  <c r="G4699" i="2"/>
  <c r="I4698" i="2"/>
  <c r="H4698" i="2"/>
  <c r="G4698" i="2"/>
  <c r="I4697" i="2"/>
  <c r="H4697" i="2"/>
  <c r="G4697" i="2"/>
  <c r="I4696" i="2"/>
  <c r="H4696" i="2"/>
  <c r="G4696" i="2"/>
  <c r="I4695" i="2"/>
  <c r="H4695" i="2"/>
  <c r="G4695" i="2"/>
  <c r="I4694" i="2"/>
  <c r="H4694" i="2"/>
  <c r="G4694" i="2"/>
  <c r="I4693" i="2"/>
  <c r="H4693" i="2"/>
  <c r="G4693" i="2"/>
  <c r="I4692" i="2"/>
  <c r="H4692" i="2"/>
  <c r="G4692" i="2"/>
  <c r="I4691" i="2"/>
  <c r="H4691" i="2"/>
  <c r="G4691" i="2"/>
  <c r="I4690" i="2"/>
  <c r="H4690" i="2"/>
  <c r="G4690" i="2"/>
  <c r="I4689" i="2"/>
  <c r="H4689" i="2"/>
  <c r="G4689" i="2"/>
  <c r="I4688" i="2"/>
  <c r="H4688" i="2"/>
  <c r="G4688" i="2"/>
  <c r="I4687" i="2"/>
  <c r="H4687" i="2"/>
  <c r="G4687" i="2"/>
  <c r="I4686" i="2"/>
  <c r="H4686" i="2"/>
  <c r="G4686" i="2"/>
  <c r="I4685" i="2"/>
  <c r="H4685" i="2"/>
  <c r="G4685" i="2"/>
  <c r="I4684" i="2"/>
  <c r="H4684" i="2"/>
  <c r="G4684" i="2"/>
  <c r="I4683" i="2"/>
  <c r="H4683" i="2"/>
  <c r="G4683" i="2"/>
  <c r="I4682" i="2"/>
  <c r="H4682" i="2"/>
  <c r="G4682" i="2"/>
  <c r="I4681" i="2"/>
  <c r="H4681" i="2"/>
  <c r="G4681" i="2"/>
  <c r="I4680" i="2"/>
  <c r="H4680" i="2"/>
  <c r="G4680" i="2"/>
  <c r="I4679" i="2"/>
  <c r="H4679" i="2"/>
  <c r="G4679" i="2"/>
  <c r="I4678" i="2"/>
  <c r="H4678" i="2"/>
  <c r="G4678" i="2"/>
  <c r="I4677" i="2"/>
  <c r="H4677" i="2"/>
  <c r="G4677" i="2"/>
  <c r="I4676" i="2"/>
  <c r="H4676" i="2"/>
  <c r="G4676" i="2"/>
  <c r="I4675" i="2"/>
  <c r="H4675" i="2"/>
  <c r="G4675" i="2"/>
  <c r="I4674" i="2"/>
  <c r="H4674" i="2"/>
  <c r="G4674" i="2"/>
  <c r="I4673" i="2"/>
  <c r="H4673" i="2"/>
  <c r="G4673" i="2"/>
  <c r="I4672" i="2"/>
  <c r="H4672" i="2"/>
  <c r="G4672" i="2"/>
  <c r="I4671" i="2"/>
  <c r="H4671" i="2"/>
  <c r="G4671" i="2"/>
  <c r="I4670" i="2"/>
  <c r="H4670" i="2"/>
  <c r="G4670" i="2"/>
  <c r="I4669" i="2"/>
  <c r="H4669" i="2"/>
  <c r="G4669" i="2"/>
  <c r="I4668" i="2"/>
  <c r="H4668" i="2"/>
  <c r="G4668" i="2"/>
  <c r="I4667" i="2"/>
  <c r="H4667" i="2"/>
  <c r="G4667" i="2"/>
  <c r="I4666" i="2"/>
  <c r="H4666" i="2"/>
  <c r="G4666" i="2"/>
  <c r="I4665" i="2"/>
  <c r="H4665" i="2"/>
  <c r="G4665" i="2"/>
  <c r="I4664" i="2"/>
  <c r="H4664" i="2"/>
  <c r="G4664" i="2"/>
  <c r="I4663" i="2"/>
  <c r="H4663" i="2"/>
  <c r="G4663" i="2"/>
  <c r="I4662" i="2"/>
  <c r="H4662" i="2"/>
  <c r="G4662" i="2"/>
  <c r="I4661" i="2"/>
  <c r="H4661" i="2"/>
  <c r="G4661" i="2"/>
  <c r="I4660" i="2"/>
  <c r="H4660" i="2"/>
  <c r="G4660" i="2"/>
  <c r="I4659" i="2"/>
  <c r="H4659" i="2"/>
  <c r="G4659" i="2"/>
  <c r="I4658" i="2"/>
  <c r="H4658" i="2"/>
  <c r="G4658" i="2"/>
  <c r="I4657" i="2"/>
  <c r="H4657" i="2"/>
  <c r="G4657" i="2"/>
  <c r="I4656" i="2"/>
  <c r="H4656" i="2"/>
  <c r="G4656" i="2"/>
  <c r="I4655" i="2"/>
  <c r="H4655" i="2"/>
  <c r="G4655" i="2"/>
  <c r="I4654" i="2"/>
  <c r="H4654" i="2"/>
  <c r="G4654" i="2"/>
  <c r="I4653" i="2"/>
  <c r="H4653" i="2"/>
  <c r="G4653" i="2"/>
  <c r="I4652" i="2"/>
  <c r="H4652" i="2"/>
  <c r="G4652" i="2"/>
  <c r="I4651" i="2"/>
  <c r="H4651" i="2"/>
  <c r="G4651" i="2"/>
  <c r="I4650" i="2"/>
  <c r="H4650" i="2"/>
  <c r="G4650" i="2"/>
  <c r="I4649" i="2"/>
  <c r="H4649" i="2"/>
  <c r="G4649" i="2"/>
  <c r="I4648" i="2"/>
  <c r="H4648" i="2"/>
  <c r="G4648" i="2"/>
  <c r="I4647" i="2"/>
  <c r="H4647" i="2"/>
  <c r="G4647" i="2"/>
  <c r="I4646" i="2"/>
  <c r="H4646" i="2"/>
  <c r="G4646" i="2"/>
  <c r="I4645" i="2"/>
  <c r="H4645" i="2"/>
  <c r="G4645" i="2"/>
  <c r="I4644" i="2"/>
  <c r="H4644" i="2"/>
  <c r="G4644" i="2"/>
  <c r="I4643" i="2"/>
  <c r="H4643" i="2"/>
  <c r="G4643" i="2"/>
  <c r="I4642" i="2"/>
  <c r="H4642" i="2"/>
  <c r="G4642" i="2"/>
  <c r="I4641" i="2"/>
  <c r="H4641" i="2"/>
  <c r="G4641" i="2"/>
  <c r="I4640" i="2"/>
  <c r="H4640" i="2"/>
  <c r="G4640" i="2"/>
  <c r="I4639" i="2"/>
  <c r="H4639" i="2"/>
  <c r="G4639" i="2"/>
  <c r="I4638" i="2"/>
  <c r="H4638" i="2"/>
  <c r="G4638" i="2"/>
  <c r="I4637" i="2"/>
  <c r="H4637" i="2"/>
  <c r="G4637" i="2"/>
  <c r="I4636" i="2"/>
  <c r="H4636" i="2"/>
  <c r="G4636" i="2"/>
  <c r="I4635" i="2"/>
  <c r="H4635" i="2"/>
  <c r="G4635" i="2"/>
  <c r="I4634" i="2"/>
  <c r="H4634" i="2"/>
  <c r="G4634" i="2"/>
  <c r="I4633" i="2"/>
  <c r="H4633" i="2"/>
  <c r="G4633" i="2"/>
  <c r="I4632" i="2"/>
  <c r="H4632" i="2"/>
  <c r="G4632" i="2"/>
  <c r="I4631" i="2"/>
  <c r="H4631" i="2"/>
  <c r="G4631" i="2"/>
  <c r="I4630" i="2"/>
  <c r="H4630" i="2"/>
  <c r="G4630" i="2"/>
  <c r="I4629" i="2"/>
  <c r="H4629" i="2"/>
  <c r="G4629" i="2"/>
  <c r="I4628" i="2"/>
  <c r="H4628" i="2"/>
  <c r="G4628" i="2"/>
  <c r="I4627" i="2"/>
  <c r="H4627" i="2"/>
  <c r="G4627" i="2"/>
  <c r="I4626" i="2"/>
  <c r="H4626" i="2"/>
  <c r="G4626" i="2"/>
  <c r="I4625" i="2"/>
  <c r="H4625" i="2"/>
  <c r="G4625" i="2"/>
  <c r="I4624" i="2"/>
  <c r="H4624" i="2"/>
  <c r="G4624" i="2"/>
  <c r="I4623" i="2"/>
  <c r="H4623" i="2"/>
  <c r="G4623" i="2"/>
  <c r="I4622" i="2"/>
  <c r="H4622" i="2"/>
  <c r="G4622" i="2"/>
  <c r="I4621" i="2"/>
  <c r="H4621" i="2"/>
  <c r="G4621" i="2"/>
  <c r="I4620" i="2"/>
  <c r="H4620" i="2"/>
  <c r="G4620" i="2"/>
  <c r="I4619" i="2"/>
  <c r="H4619" i="2"/>
  <c r="G4619" i="2"/>
  <c r="I4618" i="2"/>
  <c r="H4618" i="2"/>
  <c r="G4618" i="2"/>
  <c r="I4617" i="2"/>
  <c r="H4617" i="2"/>
  <c r="G4617" i="2"/>
  <c r="I4616" i="2"/>
  <c r="H4616" i="2"/>
  <c r="G4616" i="2"/>
  <c r="I4615" i="2"/>
  <c r="H4615" i="2"/>
  <c r="G4615" i="2"/>
  <c r="I4614" i="2"/>
  <c r="H4614" i="2"/>
  <c r="G4614" i="2"/>
  <c r="I4613" i="2"/>
  <c r="H4613" i="2"/>
  <c r="G4613" i="2"/>
  <c r="I4612" i="2"/>
  <c r="H4612" i="2"/>
  <c r="G4612" i="2"/>
  <c r="I4611" i="2"/>
  <c r="H4611" i="2"/>
  <c r="G4611" i="2"/>
  <c r="I4610" i="2"/>
  <c r="H4610" i="2"/>
  <c r="G4610" i="2"/>
  <c r="I4609" i="2"/>
  <c r="H4609" i="2"/>
  <c r="G4609" i="2"/>
  <c r="I4608" i="2"/>
  <c r="H4608" i="2"/>
  <c r="G4608" i="2"/>
  <c r="I4607" i="2"/>
  <c r="H4607" i="2"/>
  <c r="G4607" i="2"/>
  <c r="I4606" i="2"/>
  <c r="H4606" i="2"/>
  <c r="G4606" i="2"/>
  <c r="I4605" i="2"/>
  <c r="H4605" i="2"/>
  <c r="G4605" i="2"/>
  <c r="I4604" i="2"/>
  <c r="H4604" i="2"/>
  <c r="G4604" i="2"/>
  <c r="I4603" i="2"/>
  <c r="H4603" i="2"/>
  <c r="G4603" i="2"/>
  <c r="I4602" i="2"/>
  <c r="H4602" i="2"/>
  <c r="G4602" i="2"/>
  <c r="I4601" i="2"/>
  <c r="H4601" i="2"/>
  <c r="G4601" i="2"/>
  <c r="I4600" i="2"/>
  <c r="H4600" i="2"/>
  <c r="G4600" i="2"/>
  <c r="I4599" i="2"/>
  <c r="H4599" i="2"/>
  <c r="G4599" i="2"/>
  <c r="I4598" i="2"/>
  <c r="H4598" i="2"/>
  <c r="G4598" i="2"/>
  <c r="I4597" i="2"/>
  <c r="H4597" i="2"/>
  <c r="G4597" i="2"/>
  <c r="I4596" i="2"/>
  <c r="H4596" i="2"/>
  <c r="G4596" i="2"/>
  <c r="I4595" i="2"/>
  <c r="H4595" i="2"/>
  <c r="G4595" i="2"/>
  <c r="I4594" i="2"/>
  <c r="H4594" i="2"/>
  <c r="G4594" i="2"/>
  <c r="I4593" i="2"/>
  <c r="H4593" i="2"/>
  <c r="G4593" i="2"/>
  <c r="I4592" i="2"/>
  <c r="H4592" i="2"/>
  <c r="G4592" i="2"/>
  <c r="I4591" i="2"/>
  <c r="H4591" i="2"/>
  <c r="G4591" i="2"/>
  <c r="I4590" i="2"/>
  <c r="H4590" i="2"/>
  <c r="G4590" i="2"/>
  <c r="I4589" i="2"/>
  <c r="H4589" i="2"/>
  <c r="G4589" i="2"/>
  <c r="I4588" i="2"/>
  <c r="H4588" i="2"/>
  <c r="G4588" i="2"/>
  <c r="I4587" i="2"/>
  <c r="H4587" i="2"/>
  <c r="G4587" i="2"/>
  <c r="I4586" i="2"/>
  <c r="H4586" i="2"/>
  <c r="G4586" i="2"/>
  <c r="I4585" i="2"/>
  <c r="H4585" i="2"/>
  <c r="G4585" i="2"/>
  <c r="I4584" i="2"/>
  <c r="H4584" i="2"/>
  <c r="G4584" i="2"/>
  <c r="I4583" i="2"/>
  <c r="H4583" i="2"/>
  <c r="G4583" i="2"/>
  <c r="I4582" i="2"/>
  <c r="H4582" i="2"/>
  <c r="G4582" i="2"/>
  <c r="I4581" i="2"/>
  <c r="H4581" i="2"/>
  <c r="G4581" i="2"/>
  <c r="I4580" i="2"/>
  <c r="H4580" i="2"/>
  <c r="G4580" i="2"/>
  <c r="I4579" i="2"/>
  <c r="H4579" i="2"/>
  <c r="G4579" i="2"/>
  <c r="I4578" i="2"/>
  <c r="H4578" i="2"/>
  <c r="G4578" i="2"/>
  <c r="I4577" i="2"/>
  <c r="H4577" i="2"/>
  <c r="G4577" i="2"/>
  <c r="I4576" i="2"/>
  <c r="H4576" i="2"/>
  <c r="G4576" i="2"/>
  <c r="I4575" i="2"/>
  <c r="H4575" i="2"/>
  <c r="G4575" i="2"/>
  <c r="I4574" i="2"/>
  <c r="H4574" i="2"/>
  <c r="G4574" i="2"/>
  <c r="I4573" i="2"/>
  <c r="H4573" i="2"/>
  <c r="G4573" i="2"/>
  <c r="I4572" i="2"/>
  <c r="H4572" i="2"/>
  <c r="G4572" i="2"/>
  <c r="I4571" i="2"/>
  <c r="H4571" i="2"/>
  <c r="G4571" i="2"/>
  <c r="I4570" i="2"/>
  <c r="H4570" i="2"/>
  <c r="G4570" i="2"/>
  <c r="I4569" i="2"/>
  <c r="H4569" i="2"/>
  <c r="G4569" i="2"/>
  <c r="I4568" i="2"/>
  <c r="H4568" i="2"/>
  <c r="G4568" i="2"/>
  <c r="I4567" i="2"/>
  <c r="H4567" i="2"/>
  <c r="G4567" i="2"/>
  <c r="I4566" i="2"/>
  <c r="H4566" i="2"/>
  <c r="G4566" i="2"/>
  <c r="I4565" i="2"/>
  <c r="H4565" i="2"/>
  <c r="G4565" i="2"/>
  <c r="I4564" i="2"/>
  <c r="H4564" i="2"/>
  <c r="G4564" i="2"/>
  <c r="I4563" i="2"/>
  <c r="H4563" i="2"/>
  <c r="G4563" i="2"/>
  <c r="I4562" i="2"/>
  <c r="H4562" i="2"/>
  <c r="G4562" i="2"/>
  <c r="I4561" i="2"/>
  <c r="H4561" i="2"/>
  <c r="G4561" i="2"/>
  <c r="I4560" i="2"/>
  <c r="H4560" i="2"/>
  <c r="G4560" i="2"/>
  <c r="I4559" i="2"/>
  <c r="H4559" i="2"/>
  <c r="G4559" i="2"/>
  <c r="I4558" i="2"/>
  <c r="H4558" i="2"/>
  <c r="G4558" i="2"/>
  <c r="I4557" i="2"/>
  <c r="H4557" i="2"/>
  <c r="G4557" i="2"/>
  <c r="I4556" i="2"/>
  <c r="H4556" i="2"/>
  <c r="G4556" i="2"/>
  <c r="I4555" i="2"/>
  <c r="H4555" i="2"/>
  <c r="G4555" i="2"/>
  <c r="I4554" i="2"/>
  <c r="H4554" i="2"/>
  <c r="G4554" i="2"/>
  <c r="I4553" i="2"/>
  <c r="H4553" i="2"/>
  <c r="G4553" i="2"/>
  <c r="I4552" i="2"/>
  <c r="H4552" i="2"/>
  <c r="G4552" i="2"/>
  <c r="I4551" i="2"/>
  <c r="H4551" i="2"/>
  <c r="G4551" i="2"/>
  <c r="I4550" i="2"/>
  <c r="H4550" i="2"/>
  <c r="G4550" i="2"/>
  <c r="I4549" i="2"/>
  <c r="H4549" i="2"/>
  <c r="G4549" i="2"/>
  <c r="I4548" i="2"/>
  <c r="H4548" i="2"/>
  <c r="G4548" i="2"/>
  <c r="I4547" i="2"/>
  <c r="H4547" i="2"/>
  <c r="G4547" i="2"/>
  <c r="I4546" i="2"/>
  <c r="H4546" i="2"/>
  <c r="G4546" i="2"/>
  <c r="I4545" i="2"/>
  <c r="H4545" i="2"/>
  <c r="G4545" i="2"/>
  <c r="I4544" i="2"/>
  <c r="H4544" i="2"/>
  <c r="G4544" i="2"/>
  <c r="I4543" i="2"/>
  <c r="H4543" i="2"/>
  <c r="G4543" i="2"/>
  <c r="I4542" i="2"/>
  <c r="H4542" i="2"/>
  <c r="G4542" i="2"/>
  <c r="I4541" i="2"/>
  <c r="H4541" i="2"/>
  <c r="G4541" i="2"/>
  <c r="I4540" i="2"/>
  <c r="H4540" i="2"/>
  <c r="G4540" i="2"/>
  <c r="I4539" i="2"/>
  <c r="H4539" i="2"/>
  <c r="G4539" i="2"/>
  <c r="I4538" i="2"/>
  <c r="H4538" i="2"/>
  <c r="G4538" i="2"/>
  <c r="I4537" i="2"/>
  <c r="H4537" i="2"/>
  <c r="G4537" i="2"/>
  <c r="I4536" i="2"/>
  <c r="H4536" i="2"/>
  <c r="G4536" i="2"/>
  <c r="I4535" i="2"/>
  <c r="H4535" i="2"/>
  <c r="G4535" i="2"/>
  <c r="I4534" i="2"/>
  <c r="H4534" i="2"/>
  <c r="G4534" i="2"/>
  <c r="I4533" i="2"/>
  <c r="H4533" i="2"/>
  <c r="G4533" i="2"/>
  <c r="I4532" i="2"/>
  <c r="H4532" i="2"/>
  <c r="G4532" i="2"/>
  <c r="I4531" i="2"/>
  <c r="H4531" i="2"/>
  <c r="G4531" i="2"/>
  <c r="I4530" i="2"/>
  <c r="H4530" i="2"/>
  <c r="G4530" i="2"/>
  <c r="I4529" i="2"/>
  <c r="H4529" i="2"/>
  <c r="G4529" i="2"/>
  <c r="I4528" i="2"/>
  <c r="H4528" i="2"/>
  <c r="G4528" i="2"/>
  <c r="I4527" i="2"/>
  <c r="H4527" i="2"/>
  <c r="G4527" i="2"/>
  <c r="I4526" i="2"/>
  <c r="H4526" i="2"/>
  <c r="G4526" i="2"/>
  <c r="I4525" i="2"/>
  <c r="H4525" i="2"/>
  <c r="G4525" i="2"/>
  <c r="I4524" i="2"/>
  <c r="H4524" i="2"/>
  <c r="G4524" i="2"/>
  <c r="I4523" i="2"/>
  <c r="H4523" i="2"/>
  <c r="G4523" i="2"/>
  <c r="I4522" i="2"/>
  <c r="H4522" i="2"/>
  <c r="G4522" i="2"/>
  <c r="I4521" i="2"/>
  <c r="H4521" i="2"/>
  <c r="G4521" i="2"/>
  <c r="I4520" i="2"/>
  <c r="H4520" i="2"/>
  <c r="G4520" i="2"/>
  <c r="I4519" i="2"/>
  <c r="H4519" i="2"/>
  <c r="G4519" i="2"/>
  <c r="I4518" i="2"/>
  <c r="H4518" i="2"/>
  <c r="G4518" i="2"/>
  <c r="I4517" i="2"/>
  <c r="H4517" i="2"/>
  <c r="G4517" i="2"/>
  <c r="I4516" i="2"/>
  <c r="H4516" i="2"/>
  <c r="G4516" i="2"/>
  <c r="I4515" i="2"/>
  <c r="H4515" i="2"/>
  <c r="G4515" i="2"/>
  <c r="I4514" i="2"/>
  <c r="H4514" i="2"/>
  <c r="G4514" i="2"/>
  <c r="I4513" i="2"/>
  <c r="H4513" i="2"/>
  <c r="G4513" i="2"/>
  <c r="I4512" i="2"/>
  <c r="H4512" i="2"/>
  <c r="G4512" i="2"/>
  <c r="I4511" i="2"/>
  <c r="H4511" i="2"/>
  <c r="G4511" i="2"/>
  <c r="I4510" i="2"/>
  <c r="H4510" i="2"/>
  <c r="G4510" i="2"/>
  <c r="I4509" i="2"/>
  <c r="H4509" i="2"/>
  <c r="G4509" i="2"/>
  <c r="I4508" i="2"/>
  <c r="H4508" i="2"/>
  <c r="G4508" i="2"/>
  <c r="I4507" i="2"/>
  <c r="H4507" i="2"/>
  <c r="G4507" i="2"/>
  <c r="I4506" i="2"/>
  <c r="H4506" i="2"/>
  <c r="G4506" i="2"/>
  <c r="I4505" i="2"/>
  <c r="H4505" i="2"/>
  <c r="G4505" i="2"/>
  <c r="I4504" i="2"/>
  <c r="H4504" i="2"/>
  <c r="G4504" i="2"/>
  <c r="I4503" i="2"/>
  <c r="H4503" i="2"/>
  <c r="G4503" i="2"/>
  <c r="I4502" i="2"/>
  <c r="H4502" i="2"/>
  <c r="G4502" i="2"/>
  <c r="I4501" i="2"/>
  <c r="H4501" i="2"/>
  <c r="G4501" i="2"/>
  <c r="I4500" i="2"/>
  <c r="H4500" i="2"/>
  <c r="G4500" i="2"/>
  <c r="I4499" i="2"/>
  <c r="H4499" i="2"/>
  <c r="G4499" i="2"/>
  <c r="I4498" i="2"/>
  <c r="H4498" i="2"/>
  <c r="G4498" i="2"/>
  <c r="I4497" i="2"/>
  <c r="H4497" i="2"/>
  <c r="G4497" i="2"/>
  <c r="I4496" i="2"/>
  <c r="H4496" i="2"/>
  <c r="G4496" i="2"/>
  <c r="I4495" i="2"/>
  <c r="H4495" i="2"/>
  <c r="G4495" i="2"/>
  <c r="I4494" i="2"/>
  <c r="H4494" i="2"/>
  <c r="G4494" i="2"/>
  <c r="I4493" i="2"/>
  <c r="H4493" i="2"/>
  <c r="G4493" i="2"/>
  <c r="I4492" i="2"/>
  <c r="H4492" i="2"/>
  <c r="G4492" i="2"/>
  <c r="I4491" i="2"/>
  <c r="H4491" i="2"/>
  <c r="G4491" i="2"/>
  <c r="I4490" i="2"/>
  <c r="H4490" i="2"/>
  <c r="G4490" i="2"/>
  <c r="I4489" i="2"/>
  <c r="H4489" i="2"/>
  <c r="G4489" i="2"/>
  <c r="I4488" i="2"/>
  <c r="H4488" i="2"/>
  <c r="G4488" i="2"/>
  <c r="I4487" i="2"/>
  <c r="H4487" i="2"/>
  <c r="G4487" i="2"/>
  <c r="I4486" i="2"/>
  <c r="H4486" i="2"/>
  <c r="G4486" i="2"/>
  <c r="I4485" i="2"/>
  <c r="H4485" i="2"/>
  <c r="G4485" i="2"/>
  <c r="I4484" i="2"/>
  <c r="H4484" i="2"/>
  <c r="G4484" i="2"/>
  <c r="I4483" i="2"/>
  <c r="H4483" i="2"/>
  <c r="G4483" i="2"/>
  <c r="I4482" i="2"/>
  <c r="H4482" i="2"/>
  <c r="G4482" i="2"/>
  <c r="I4481" i="2"/>
  <c r="H4481" i="2"/>
  <c r="G4481" i="2"/>
  <c r="I4480" i="2"/>
  <c r="H4480" i="2"/>
  <c r="G4480" i="2"/>
  <c r="I4479" i="2"/>
  <c r="H4479" i="2"/>
  <c r="G4479" i="2"/>
  <c r="I4478" i="2"/>
  <c r="H4478" i="2"/>
  <c r="G4478" i="2"/>
  <c r="I4477" i="2"/>
  <c r="H4477" i="2"/>
  <c r="G4477" i="2"/>
  <c r="I4476" i="2"/>
  <c r="H4476" i="2"/>
  <c r="G4476" i="2"/>
  <c r="I4475" i="2"/>
  <c r="H4475" i="2"/>
  <c r="G4475" i="2"/>
  <c r="I4474" i="2"/>
  <c r="H4474" i="2"/>
  <c r="G4474" i="2"/>
  <c r="I4473" i="2"/>
  <c r="H4473" i="2"/>
  <c r="G4473" i="2"/>
  <c r="I4472" i="2"/>
  <c r="H4472" i="2"/>
  <c r="G4472" i="2"/>
  <c r="I4471" i="2"/>
  <c r="H4471" i="2"/>
  <c r="G4471" i="2"/>
  <c r="I4470" i="2"/>
  <c r="H4470" i="2"/>
  <c r="G4470" i="2"/>
  <c r="I4469" i="2"/>
  <c r="H4469" i="2"/>
  <c r="G4469" i="2"/>
  <c r="I4468" i="2"/>
  <c r="H4468" i="2"/>
  <c r="G4468" i="2"/>
  <c r="I4467" i="2"/>
  <c r="H4467" i="2"/>
  <c r="G4467" i="2"/>
  <c r="I4466" i="2"/>
  <c r="H4466" i="2"/>
  <c r="G4466" i="2"/>
  <c r="I4465" i="2"/>
  <c r="H4465" i="2"/>
  <c r="G4465" i="2"/>
  <c r="I4464" i="2"/>
  <c r="H4464" i="2"/>
  <c r="G4464" i="2"/>
  <c r="I4463" i="2"/>
  <c r="H4463" i="2"/>
  <c r="G4463" i="2"/>
  <c r="I4462" i="2"/>
  <c r="H4462" i="2"/>
  <c r="G4462" i="2"/>
  <c r="I4461" i="2"/>
  <c r="H4461" i="2"/>
  <c r="G4461" i="2"/>
  <c r="I4460" i="2"/>
  <c r="H4460" i="2"/>
  <c r="G4460" i="2"/>
  <c r="I4459" i="2"/>
  <c r="H4459" i="2"/>
  <c r="G4459" i="2"/>
  <c r="I4458" i="2"/>
  <c r="H4458" i="2"/>
  <c r="G4458" i="2"/>
  <c r="I4457" i="2"/>
  <c r="H4457" i="2"/>
  <c r="G4457" i="2"/>
  <c r="I4456" i="2"/>
  <c r="H4456" i="2"/>
  <c r="G4456" i="2"/>
  <c r="I4455" i="2"/>
  <c r="H4455" i="2"/>
  <c r="G4455" i="2"/>
  <c r="I4454" i="2"/>
  <c r="H4454" i="2"/>
  <c r="G4454" i="2"/>
  <c r="I4453" i="2"/>
  <c r="H4453" i="2"/>
  <c r="G4453" i="2"/>
  <c r="I4452" i="2"/>
  <c r="H4452" i="2"/>
  <c r="G4452" i="2"/>
  <c r="I4451" i="2"/>
  <c r="H4451" i="2"/>
  <c r="G4451" i="2"/>
  <c r="I4450" i="2"/>
  <c r="H4450" i="2"/>
  <c r="G4450" i="2"/>
  <c r="I4449" i="2"/>
  <c r="H4449" i="2"/>
  <c r="G4449" i="2"/>
  <c r="I4448" i="2"/>
  <c r="H4448" i="2"/>
  <c r="G4448" i="2"/>
  <c r="I4447" i="2"/>
  <c r="H4447" i="2"/>
  <c r="G4447" i="2"/>
  <c r="I4446" i="2"/>
  <c r="H4446" i="2"/>
  <c r="G4446" i="2"/>
  <c r="I4445" i="2"/>
  <c r="H4445" i="2"/>
  <c r="G4445" i="2"/>
  <c r="I4444" i="2"/>
  <c r="H4444" i="2"/>
  <c r="G4444" i="2"/>
  <c r="I4443" i="2"/>
  <c r="H4443" i="2"/>
  <c r="G4443" i="2"/>
  <c r="I4442" i="2"/>
  <c r="H4442" i="2"/>
  <c r="G4442" i="2"/>
  <c r="I4441" i="2"/>
  <c r="H4441" i="2"/>
  <c r="G4441" i="2"/>
  <c r="I4440" i="2"/>
  <c r="H4440" i="2"/>
  <c r="G4440" i="2"/>
  <c r="I4439" i="2"/>
  <c r="H4439" i="2"/>
  <c r="G4439" i="2"/>
  <c r="I4438" i="2"/>
  <c r="H4438" i="2"/>
  <c r="G4438" i="2"/>
  <c r="I4437" i="2"/>
  <c r="H4437" i="2"/>
  <c r="G4437" i="2"/>
  <c r="I4436" i="2"/>
  <c r="H4436" i="2"/>
  <c r="G4436" i="2"/>
  <c r="I4435" i="2"/>
  <c r="H4435" i="2"/>
  <c r="G4435" i="2"/>
  <c r="I4434" i="2"/>
  <c r="H4434" i="2"/>
  <c r="G4434" i="2"/>
  <c r="I4433" i="2"/>
  <c r="H4433" i="2"/>
  <c r="G4433" i="2"/>
  <c r="I4432" i="2"/>
  <c r="H4432" i="2"/>
  <c r="G4432" i="2"/>
  <c r="I4431" i="2"/>
  <c r="H4431" i="2"/>
  <c r="G4431" i="2"/>
  <c r="I4430" i="2"/>
  <c r="H4430" i="2"/>
  <c r="G4430" i="2"/>
  <c r="I4429" i="2"/>
  <c r="H4429" i="2"/>
  <c r="G4429" i="2"/>
  <c r="I4428" i="2"/>
  <c r="H4428" i="2"/>
  <c r="G4428" i="2"/>
  <c r="I4427" i="2"/>
  <c r="H4427" i="2"/>
  <c r="G4427" i="2"/>
  <c r="I4426" i="2"/>
  <c r="H4426" i="2"/>
  <c r="G4426" i="2"/>
  <c r="I4425" i="2"/>
  <c r="H4425" i="2"/>
  <c r="G4425" i="2"/>
  <c r="I4424" i="2"/>
  <c r="H4424" i="2"/>
  <c r="G4424" i="2"/>
  <c r="I4423" i="2"/>
  <c r="H4423" i="2"/>
  <c r="G4423" i="2"/>
  <c r="I4422" i="2"/>
  <c r="H4422" i="2"/>
  <c r="G4422" i="2"/>
  <c r="I4421" i="2"/>
  <c r="H4421" i="2"/>
  <c r="G4421" i="2"/>
  <c r="I4420" i="2"/>
  <c r="H4420" i="2"/>
  <c r="G4420" i="2"/>
  <c r="I4419" i="2"/>
  <c r="H4419" i="2"/>
  <c r="G4419" i="2"/>
  <c r="I4418" i="2"/>
  <c r="H4418" i="2"/>
  <c r="G4418" i="2"/>
  <c r="I4417" i="2"/>
  <c r="H4417" i="2"/>
  <c r="G4417" i="2"/>
  <c r="I4416" i="2"/>
  <c r="H4416" i="2"/>
  <c r="G4416" i="2"/>
  <c r="I4415" i="2"/>
  <c r="H4415" i="2"/>
  <c r="G4415" i="2"/>
  <c r="I4414" i="2"/>
  <c r="H4414" i="2"/>
  <c r="G4414" i="2"/>
  <c r="I4413" i="2"/>
  <c r="H4413" i="2"/>
  <c r="G4413" i="2"/>
  <c r="I4412" i="2"/>
  <c r="H4412" i="2"/>
  <c r="G4412" i="2"/>
  <c r="I4411" i="2"/>
  <c r="H4411" i="2"/>
  <c r="G4411" i="2"/>
  <c r="I4410" i="2"/>
  <c r="H4410" i="2"/>
  <c r="G4410" i="2"/>
  <c r="I4409" i="2"/>
  <c r="H4409" i="2"/>
  <c r="G4409" i="2"/>
  <c r="I4408" i="2"/>
  <c r="H4408" i="2"/>
  <c r="G4408" i="2"/>
  <c r="I4407" i="2"/>
  <c r="H4407" i="2"/>
  <c r="G4407" i="2"/>
  <c r="I4406" i="2"/>
  <c r="H4406" i="2"/>
  <c r="G4406" i="2"/>
  <c r="I4405" i="2"/>
  <c r="H4405" i="2"/>
  <c r="G4405" i="2"/>
  <c r="I4404" i="2"/>
  <c r="H4404" i="2"/>
  <c r="G4404" i="2"/>
  <c r="I4403" i="2"/>
  <c r="H4403" i="2"/>
  <c r="G4403" i="2"/>
  <c r="I4402" i="2"/>
  <c r="H4402" i="2"/>
  <c r="G4402" i="2"/>
  <c r="I4401" i="2"/>
  <c r="H4401" i="2"/>
  <c r="G4401" i="2"/>
  <c r="I4400" i="2"/>
  <c r="H4400" i="2"/>
  <c r="G4400" i="2"/>
  <c r="I4399" i="2"/>
  <c r="H4399" i="2"/>
  <c r="G4399" i="2"/>
  <c r="I4398" i="2"/>
  <c r="H4398" i="2"/>
  <c r="G4398" i="2"/>
  <c r="I4397" i="2"/>
  <c r="H4397" i="2"/>
  <c r="G4397" i="2"/>
  <c r="I4396" i="2"/>
  <c r="H4396" i="2"/>
  <c r="G4396" i="2"/>
  <c r="I4395" i="2"/>
  <c r="H4395" i="2"/>
  <c r="G4395" i="2"/>
  <c r="I4394" i="2"/>
  <c r="H4394" i="2"/>
  <c r="G4394" i="2"/>
  <c r="I4393" i="2"/>
  <c r="H4393" i="2"/>
  <c r="G4393" i="2"/>
  <c r="I4392" i="2"/>
  <c r="H4392" i="2"/>
  <c r="G4392" i="2"/>
  <c r="I4391" i="2"/>
  <c r="H4391" i="2"/>
  <c r="G4391" i="2"/>
  <c r="I4390" i="2"/>
  <c r="H4390" i="2"/>
  <c r="G4390" i="2"/>
  <c r="I4389" i="2"/>
  <c r="H4389" i="2"/>
  <c r="G4389" i="2"/>
  <c r="I4388" i="2"/>
  <c r="H4388" i="2"/>
  <c r="G4388" i="2"/>
  <c r="I4387" i="2"/>
  <c r="H4387" i="2"/>
  <c r="G4387" i="2"/>
  <c r="I4386" i="2"/>
  <c r="H4386" i="2"/>
  <c r="G4386" i="2"/>
  <c r="I4385" i="2"/>
  <c r="H4385" i="2"/>
  <c r="G4385" i="2"/>
  <c r="I4384" i="2"/>
  <c r="H4384" i="2"/>
  <c r="G4384" i="2"/>
  <c r="I4383" i="2"/>
  <c r="H4383" i="2"/>
  <c r="G4383" i="2"/>
  <c r="I4382" i="2"/>
  <c r="H4382" i="2"/>
  <c r="G4382" i="2"/>
  <c r="I4381" i="2"/>
  <c r="H4381" i="2"/>
  <c r="G4381" i="2"/>
  <c r="I4380" i="2"/>
  <c r="H4380" i="2"/>
  <c r="G4380" i="2"/>
  <c r="I4379" i="2"/>
  <c r="H4379" i="2"/>
  <c r="G4379" i="2"/>
  <c r="I4378" i="2"/>
  <c r="H4378" i="2"/>
  <c r="G4378" i="2"/>
  <c r="I4377" i="2"/>
  <c r="H4377" i="2"/>
  <c r="G4377" i="2"/>
  <c r="I4376" i="2"/>
  <c r="H4376" i="2"/>
  <c r="G4376" i="2"/>
  <c r="I4375" i="2"/>
  <c r="H4375" i="2"/>
  <c r="G4375" i="2"/>
  <c r="I4374" i="2"/>
  <c r="H4374" i="2"/>
  <c r="G4374" i="2"/>
  <c r="I4373" i="2"/>
  <c r="H4373" i="2"/>
  <c r="G4373" i="2"/>
  <c r="I4372" i="2"/>
  <c r="H4372" i="2"/>
  <c r="G4372" i="2"/>
  <c r="I4371" i="2"/>
  <c r="H4371" i="2"/>
  <c r="G4371" i="2"/>
  <c r="I4370" i="2"/>
  <c r="H4370" i="2"/>
  <c r="G4370" i="2"/>
  <c r="I4369" i="2"/>
  <c r="H4369" i="2"/>
  <c r="G4369" i="2"/>
  <c r="I4368" i="2"/>
  <c r="H4368" i="2"/>
  <c r="G4368" i="2"/>
  <c r="I4367" i="2"/>
  <c r="H4367" i="2"/>
  <c r="G4367" i="2"/>
  <c r="I4366" i="2"/>
  <c r="H4366" i="2"/>
  <c r="G4366" i="2"/>
  <c r="I4365" i="2"/>
  <c r="H4365" i="2"/>
  <c r="G4365" i="2"/>
  <c r="I4364" i="2"/>
  <c r="H4364" i="2"/>
  <c r="G4364" i="2"/>
  <c r="I4363" i="2"/>
  <c r="H4363" i="2"/>
  <c r="G4363" i="2"/>
  <c r="I4362" i="2"/>
  <c r="H4362" i="2"/>
  <c r="G4362" i="2"/>
  <c r="I4361" i="2"/>
  <c r="H4361" i="2"/>
  <c r="G4361" i="2"/>
  <c r="I4360" i="2"/>
  <c r="H4360" i="2"/>
  <c r="G4360" i="2"/>
  <c r="I4359" i="2"/>
  <c r="H4359" i="2"/>
  <c r="G4359" i="2"/>
  <c r="I4358" i="2"/>
  <c r="H4358" i="2"/>
  <c r="G4358" i="2"/>
  <c r="I4357" i="2"/>
  <c r="H4357" i="2"/>
  <c r="G4357" i="2"/>
  <c r="I4356" i="2"/>
  <c r="H4356" i="2"/>
  <c r="G4356" i="2"/>
  <c r="I4355" i="2"/>
  <c r="H4355" i="2"/>
  <c r="G4355" i="2"/>
  <c r="I4354" i="2"/>
  <c r="H4354" i="2"/>
  <c r="G4354" i="2"/>
  <c r="I4353" i="2"/>
  <c r="H4353" i="2"/>
  <c r="G4353" i="2"/>
  <c r="I4352" i="2"/>
  <c r="H4352" i="2"/>
  <c r="G4352" i="2"/>
  <c r="I4351" i="2"/>
  <c r="H4351" i="2"/>
  <c r="G4351" i="2"/>
  <c r="I4350" i="2"/>
  <c r="H4350" i="2"/>
  <c r="G4350" i="2"/>
  <c r="I4349" i="2"/>
  <c r="H4349" i="2"/>
  <c r="G4349" i="2"/>
  <c r="I4348" i="2"/>
  <c r="H4348" i="2"/>
  <c r="G4348" i="2"/>
  <c r="I4347" i="2"/>
  <c r="H4347" i="2"/>
  <c r="G4347" i="2"/>
  <c r="I4346" i="2"/>
  <c r="H4346" i="2"/>
  <c r="G4346" i="2"/>
  <c r="I4345" i="2"/>
  <c r="H4345" i="2"/>
  <c r="G4345" i="2"/>
  <c r="I4344" i="2"/>
  <c r="H4344" i="2"/>
  <c r="G4344" i="2"/>
  <c r="I4343" i="2"/>
  <c r="H4343" i="2"/>
  <c r="G4343" i="2"/>
  <c r="I4342" i="2"/>
  <c r="H4342" i="2"/>
  <c r="G4342" i="2"/>
  <c r="I4341" i="2"/>
  <c r="H4341" i="2"/>
  <c r="G4341" i="2"/>
  <c r="I4340" i="2"/>
  <c r="H4340" i="2"/>
  <c r="G4340" i="2"/>
  <c r="I4339" i="2"/>
  <c r="H4339" i="2"/>
  <c r="G4339" i="2"/>
  <c r="I4338" i="2"/>
  <c r="H4338" i="2"/>
  <c r="G4338" i="2"/>
  <c r="I4337" i="2"/>
  <c r="H4337" i="2"/>
  <c r="G4337" i="2"/>
  <c r="I4336" i="2"/>
  <c r="H4336" i="2"/>
  <c r="G4336" i="2"/>
  <c r="I4335" i="2"/>
  <c r="H4335" i="2"/>
  <c r="G4335" i="2"/>
  <c r="I4334" i="2"/>
  <c r="H4334" i="2"/>
  <c r="G4334" i="2"/>
  <c r="I4333" i="2"/>
  <c r="H4333" i="2"/>
  <c r="G4333" i="2"/>
  <c r="I4332" i="2"/>
  <c r="H4332" i="2"/>
  <c r="G4332" i="2"/>
  <c r="I4331" i="2"/>
  <c r="H4331" i="2"/>
  <c r="G4331" i="2"/>
  <c r="I4330" i="2"/>
  <c r="H4330" i="2"/>
  <c r="G4330" i="2"/>
  <c r="I4329" i="2"/>
  <c r="H4329" i="2"/>
  <c r="G4329" i="2"/>
  <c r="I4328" i="2"/>
  <c r="H4328" i="2"/>
  <c r="G4328" i="2"/>
  <c r="I4327" i="2"/>
  <c r="H4327" i="2"/>
  <c r="G4327" i="2"/>
  <c r="I4326" i="2"/>
  <c r="H4326" i="2"/>
  <c r="G4326" i="2"/>
  <c r="I4325" i="2"/>
  <c r="H4325" i="2"/>
  <c r="G4325" i="2"/>
  <c r="I4324" i="2"/>
  <c r="H4324" i="2"/>
  <c r="G4324" i="2"/>
  <c r="I4323" i="2"/>
  <c r="H4323" i="2"/>
  <c r="G4323" i="2"/>
  <c r="I4322" i="2"/>
  <c r="H4322" i="2"/>
  <c r="G4322" i="2"/>
  <c r="I4321" i="2"/>
  <c r="H4321" i="2"/>
  <c r="G4321" i="2"/>
  <c r="I4320" i="2"/>
  <c r="H4320" i="2"/>
  <c r="G4320" i="2"/>
  <c r="I4319" i="2"/>
  <c r="H4319" i="2"/>
  <c r="G4319" i="2"/>
  <c r="I4318" i="2"/>
  <c r="H4318" i="2"/>
  <c r="G4318" i="2"/>
  <c r="I4317" i="2"/>
  <c r="H4317" i="2"/>
  <c r="G4317" i="2"/>
  <c r="I4316" i="2"/>
  <c r="H4316" i="2"/>
  <c r="G4316" i="2"/>
  <c r="I4315" i="2"/>
  <c r="H4315" i="2"/>
  <c r="G4315" i="2"/>
  <c r="I4314" i="2"/>
  <c r="H4314" i="2"/>
  <c r="G4314" i="2"/>
  <c r="I4313" i="2"/>
  <c r="H4313" i="2"/>
  <c r="G4313" i="2"/>
  <c r="I4312" i="2"/>
  <c r="H4312" i="2"/>
  <c r="G4312" i="2"/>
  <c r="I4311" i="2"/>
  <c r="H4311" i="2"/>
  <c r="G4311" i="2"/>
  <c r="I4310" i="2"/>
  <c r="H4310" i="2"/>
  <c r="G4310" i="2"/>
  <c r="I4309" i="2"/>
  <c r="H4309" i="2"/>
  <c r="G4309" i="2"/>
  <c r="I4308" i="2"/>
  <c r="H4308" i="2"/>
  <c r="G4308" i="2"/>
  <c r="I4307" i="2"/>
  <c r="H4307" i="2"/>
  <c r="G4307" i="2"/>
  <c r="I4306" i="2"/>
  <c r="H4306" i="2"/>
  <c r="G4306" i="2"/>
  <c r="I4305" i="2"/>
  <c r="H4305" i="2"/>
  <c r="G4305" i="2"/>
  <c r="I4304" i="2"/>
  <c r="H4304" i="2"/>
  <c r="G4304" i="2"/>
  <c r="I4303" i="2"/>
  <c r="H4303" i="2"/>
  <c r="G4303" i="2"/>
  <c r="I4302" i="2"/>
  <c r="H4302" i="2"/>
  <c r="G4302" i="2"/>
  <c r="I4301" i="2"/>
  <c r="H4301" i="2"/>
  <c r="G4301" i="2"/>
  <c r="I4300" i="2"/>
  <c r="H4300" i="2"/>
  <c r="G4300" i="2"/>
  <c r="I4299" i="2"/>
  <c r="H4299" i="2"/>
  <c r="G4299" i="2"/>
  <c r="I4298" i="2"/>
  <c r="H4298" i="2"/>
  <c r="G4298" i="2"/>
  <c r="I4297" i="2"/>
  <c r="H4297" i="2"/>
  <c r="G4297" i="2"/>
  <c r="I4296" i="2"/>
  <c r="H4296" i="2"/>
  <c r="G4296" i="2"/>
  <c r="I4295" i="2"/>
  <c r="H4295" i="2"/>
  <c r="G4295" i="2"/>
  <c r="I4294" i="2"/>
  <c r="H4294" i="2"/>
  <c r="G4294" i="2"/>
  <c r="I4293" i="2"/>
  <c r="H4293" i="2"/>
  <c r="G4293" i="2"/>
  <c r="I4292" i="2"/>
  <c r="H4292" i="2"/>
  <c r="G4292" i="2"/>
  <c r="I4291" i="2"/>
  <c r="H4291" i="2"/>
  <c r="G4291" i="2"/>
  <c r="I4290" i="2"/>
  <c r="H4290" i="2"/>
  <c r="G4290" i="2"/>
  <c r="I4289" i="2"/>
  <c r="H4289" i="2"/>
  <c r="G4289" i="2"/>
  <c r="I4288" i="2"/>
  <c r="H4288" i="2"/>
  <c r="G4288" i="2"/>
  <c r="I4287" i="2"/>
  <c r="H4287" i="2"/>
  <c r="G4287" i="2"/>
  <c r="I4286" i="2"/>
  <c r="H4286" i="2"/>
  <c r="G4286" i="2"/>
  <c r="I4285" i="2"/>
  <c r="H4285" i="2"/>
  <c r="G4285" i="2"/>
  <c r="I4284" i="2"/>
  <c r="H4284" i="2"/>
  <c r="G4284" i="2"/>
  <c r="I4283" i="2"/>
  <c r="H4283" i="2"/>
  <c r="G4283" i="2"/>
  <c r="I4282" i="2"/>
  <c r="H4282" i="2"/>
  <c r="G4282" i="2"/>
  <c r="I4281" i="2"/>
  <c r="H4281" i="2"/>
  <c r="G4281" i="2"/>
  <c r="I4280" i="2"/>
  <c r="H4280" i="2"/>
  <c r="G4280" i="2"/>
  <c r="I4279" i="2"/>
  <c r="H4279" i="2"/>
  <c r="G4279" i="2"/>
  <c r="I4278" i="2"/>
  <c r="H4278" i="2"/>
  <c r="G4278" i="2"/>
  <c r="I4277" i="2"/>
  <c r="H4277" i="2"/>
  <c r="G4277" i="2"/>
  <c r="I4276" i="2"/>
  <c r="H4276" i="2"/>
  <c r="G4276" i="2"/>
  <c r="I4275" i="2"/>
  <c r="H4275" i="2"/>
  <c r="G4275" i="2"/>
  <c r="I4274" i="2"/>
  <c r="H4274" i="2"/>
  <c r="G4274" i="2"/>
  <c r="I4273" i="2"/>
  <c r="H4273" i="2"/>
  <c r="G4273" i="2"/>
  <c r="I4272" i="2"/>
  <c r="H4272" i="2"/>
  <c r="G4272" i="2"/>
  <c r="I4271" i="2"/>
  <c r="H4271" i="2"/>
  <c r="G4271" i="2"/>
  <c r="I4270" i="2"/>
  <c r="H4270" i="2"/>
  <c r="G4270" i="2"/>
  <c r="I4269" i="2"/>
  <c r="H4269" i="2"/>
  <c r="G4269" i="2"/>
  <c r="I4268" i="2"/>
  <c r="H4268" i="2"/>
  <c r="G4268" i="2"/>
  <c r="I4267" i="2"/>
  <c r="H4267" i="2"/>
  <c r="G4267" i="2"/>
  <c r="I4266" i="2"/>
  <c r="H4266" i="2"/>
  <c r="G4266" i="2"/>
  <c r="I4265" i="2"/>
  <c r="H4265" i="2"/>
  <c r="G4265" i="2"/>
  <c r="I4264" i="2"/>
  <c r="H4264" i="2"/>
  <c r="G4264" i="2"/>
  <c r="I4263" i="2"/>
  <c r="H4263" i="2"/>
  <c r="G4263" i="2"/>
  <c r="I4262" i="2"/>
  <c r="H4262" i="2"/>
  <c r="G4262" i="2"/>
  <c r="I4261" i="2"/>
  <c r="H4261" i="2"/>
  <c r="G4261" i="2"/>
  <c r="I4260" i="2"/>
  <c r="H4260" i="2"/>
  <c r="G4260" i="2"/>
  <c r="I4259" i="2"/>
  <c r="H4259" i="2"/>
  <c r="G4259" i="2"/>
  <c r="I4258" i="2"/>
  <c r="H4258" i="2"/>
  <c r="G4258" i="2"/>
  <c r="I4257" i="2"/>
  <c r="H4257" i="2"/>
  <c r="G4257" i="2"/>
  <c r="I4256" i="2"/>
  <c r="H4256" i="2"/>
  <c r="G4256" i="2"/>
  <c r="I4255" i="2"/>
  <c r="H4255" i="2"/>
  <c r="G4255" i="2"/>
  <c r="I4254" i="2"/>
  <c r="H4254" i="2"/>
  <c r="G4254" i="2"/>
  <c r="I4253" i="2"/>
  <c r="H4253" i="2"/>
  <c r="G4253" i="2"/>
  <c r="I4252" i="2"/>
  <c r="H4252" i="2"/>
  <c r="G4252" i="2"/>
  <c r="I4251" i="2"/>
  <c r="H4251" i="2"/>
  <c r="G4251" i="2"/>
  <c r="I4250" i="2"/>
  <c r="H4250" i="2"/>
  <c r="G4250" i="2"/>
  <c r="I4249" i="2"/>
  <c r="H4249" i="2"/>
  <c r="G4249" i="2"/>
  <c r="I4248" i="2"/>
  <c r="H4248" i="2"/>
  <c r="G4248" i="2"/>
  <c r="I4247" i="2"/>
  <c r="H4247" i="2"/>
  <c r="G4247" i="2"/>
  <c r="I4246" i="2"/>
  <c r="H4246" i="2"/>
  <c r="G4246" i="2"/>
  <c r="I4245" i="2"/>
  <c r="H4245" i="2"/>
  <c r="G4245" i="2"/>
  <c r="I4244" i="2"/>
  <c r="H4244" i="2"/>
  <c r="G4244" i="2"/>
  <c r="I4243" i="2"/>
  <c r="H4243" i="2"/>
  <c r="G4243" i="2"/>
  <c r="I4242" i="2"/>
  <c r="H4242" i="2"/>
  <c r="G4242" i="2"/>
  <c r="I4241" i="2"/>
  <c r="H4241" i="2"/>
  <c r="G4241" i="2"/>
  <c r="I4240" i="2"/>
  <c r="H4240" i="2"/>
  <c r="G4240" i="2"/>
  <c r="I4239" i="2"/>
  <c r="H4239" i="2"/>
  <c r="G4239" i="2"/>
  <c r="I4238" i="2"/>
  <c r="H4238" i="2"/>
  <c r="G4238" i="2"/>
  <c r="I4237" i="2"/>
  <c r="H4237" i="2"/>
  <c r="G4237" i="2"/>
  <c r="I4236" i="2"/>
  <c r="H4236" i="2"/>
  <c r="G4236" i="2"/>
  <c r="I4235" i="2"/>
  <c r="H4235" i="2"/>
  <c r="G4235" i="2"/>
  <c r="I4234" i="2"/>
  <c r="H4234" i="2"/>
  <c r="G4234" i="2"/>
  <c r="I4233" i="2"/>
  <c r="H4233" i="2"/>
  <c r="G4233" i="2"/>
  <c r="I4232" i="2"/>
  <c r="H4232" i="2"/>
  <c r="G4232" i="2"/>
  <c r="I4231" i="2"/>
  <c r="H4231" i="2"/>
  <c r="G4231" i="2"/>
  <c r="I4230" i="2"/>
  <c r="H4230" i="2"/>
  <c r="G4230" i="2"/>
  <c r="I4229" i="2"/>
  <c r="H4229" i="2"/>
  <c r="G4229" i="2"/>
  <c r="I4228" i="2"/>
  <c r="H4228" i="2"/>
  <c r="G4228" i="2"/>
  <c r="I4227" i="2"/>
  <c r="H4227" i="2"/>
  <c r="G4227" i="2"/>
  <c r="I4226" i="2"/>
  <c r="H4226" i="2"/>
  <c r="G4226" i="2"/>
  <c r="I4225" i="2"/>
  <c r="H4225" i="2"/>
  <c r="G4225" i="2"/>
  <c r="I4224" i="2"/>
  <c r="H4224" i="2"/>
  <c r="G4224" i="2"/>
  <c r="I4223" i="2"/>
  <c r="H4223" i="2"/>
  <c r="G4223" i="2"/>
  <c r="I4222" i="2"/>
  <c r="H4222" i="2"/>
  <c r="G4222" i="2"/>
  <c r="I4221" i="2"/>
  <c r="H4221" i="2"/>
  <c r="G4221" i="2"/>
  <c r="I4220" i="2"/>
  <c r="H4220" i="2"/>
  <c r="G4220" i="2"/>
  <c r="I4219" i="2"/>
  <c r="H4219" i="2"/>
  <c r="G4219" i="2"/>
  <c r="I4218" i="2"/>
  <c r="H4218" i="2"/>
  <c r="G4218" i="2"/>
  <c r="I4217" i="2"/>
  <c r="H4217" i="2"/>
  <c r="G4217" i="2"/>
  <c r="I4216" i="2"/>
  <c r="H4216" i="2"/>
  <c r="G4216" i="2"/>
  <c r="I4215" i="2"/>
  <c r="H4215" i="2"/>
  <c r="G4215" i="2"/>
  <c r="I4214" i="2"/>
  <c r="H4214" i="2"/>
  <c r="G4214" i="2"/>
  <c r="I4213" i="2"/>
  <c r="H4213" i="2"/>
  <c r="G4213" i="2"/>
  <c r="I4212" i="2"/>
  <c r="H4212" i="2"/>
  <c r="G4212" i="2"/>
  <c r="I4211" i="2"/>
  <c r="H4211" i="2"/>
  <c r="G4211" i="2"/>
  <c r="I4210" i="2"/>
  <c r="H4210" i="2"/>
  <c r="G4210" i="2"/>
  <c r="I4209" i="2"/>
  <c r="H4209" i="2"/>
  <c r="G4209" i="2"/>
  <c r="I4208" i="2"/>
  <c r="H4208" i="2"/>
  <c r="G4208" i="2"/>
  <c r="I4207" i="2"/>
  <c r="H4207" i="2"/>
  <c r="G4207" i="2"/>
  <c r="I4206" i="2"/>
  <c r="H4206" i="2"/>
  <c r="G4206" i="2"/>
  <c r="I4205" i="2"/>
  <c r="H4205" i="2"/>
  <c r="G4205" i="2"/>
  <c r="I4204" i="2"/>
  <c r="H4204" i="2"/>
  <c r="G4204" i="2"/>
  <c r="I4203" i="2"/>
  <c r="H4203" i="2"/>
  <c r="G4203" i="2"/>
  <c r="I4202" i="2"/>
  <c r="H4202" i="2"/>
  <c r="G4202" i="2"/>
  <c r="I4201" i="2"/>
  <c r="H4201" i="2"/>
  <c r="G4201" i="2"/>
  <c r="I4200" i="2"/>
  <c r="H4200" i="2"/>
  <c r="G4200" i="2"/>
  <c r="I4199" i="2"/>
  <c r="H4199" i="2"/>
  <c r="G4199" i="2"/>
  <c r="I4198" i="2"/>
  <c r="H4198" i="2"/>
  <c r="G4198" i="2"/>
  <c r="I4197" i="2"/>
  <c r="H4197" i="2"/>
  <c r="G4197" i="2"/>
  <c r="I4196" i="2"/>
  <c r="H4196" i="2"/>
  <c r="G4196" i="2"/>
  <c r="I4195" i="2"/>
  <c r="H4195" i="2"/>
  <c r="G4195" i="2"/>
  <c r="I4194" i="2"/>
  <c r="H4194" i="2"/>
  <c r="G4194" i="2"/>
  <c r="I4193" i="2"/>
  <c r="H4193" i="2"/>
  <c r="G4193" i="2"/>
  <c r="I4192" i="2"/>
  <c r="H4192" i="2"/>
  <c r="G4192" i="2"/>
  <c r="I4191" i="2"/>
  <c r="H4191" i="2"/>
  <c r="G4191" i="2"/>
  <c r="I4190" i="2"/>
  <c r="H4190" i="2"/>
  <c r="G4190" i="2"/>
  <c r="I4189" i="2"/>
  <c r="H4189" i="2"/>
  <c r="G4189" i="2"/>
  <c r="I4188" i="2"/>
  <c r="H4188" i="2"/>
  <c r="G4188" i="2"/>
  <c r="I4187" i="2"/>
  <c r="H4187" i="2"/>
  <c r="G4187" i="2"/>
  <c r="I4186" i="2"/>
  <c r="H4186" i="2"/>
  <c r="G4186" i="2"/>
  <c r="I4185" i="2"/>
  <c r="H4185" i="2"/>
  <c r="G4185" i="2"/>
  <c r="I4184" i="2"/>
  <c r="H4184" i="2"/>
  <c r="G4184" i="2"/>
  <c r="I4183" i="2"/>
  <c r="H4183" i="2"/>
  <c r="G4183" i="2"/>
  <c r="I4182" i="2"/>
  <c r="H4182" i="2"/>
  <c r="G4182" i="2"/>
  <c r="I4181" i="2"/>
  <c r="H4181" i="2"/>
  <c r="G4181" i="2"/>
  <c r="I4180" i="2"/>
  <c r="H4180" i="2"/>
  <c r="G4180" i="2"/>
  <c r="I4179" i="2"/>
  <c r="H4179" i="2"/>
  <c r="G4179" i="2"/>
  <c r="I4178" i="2"/>
  <c r="H4178" i="2"/>
  <c r="G4178" i="2"/>
  <c r="I4177" i="2"/>
  <c r="H4177" i="2"/>
  <c r="G4177" i="2"/>
  <c r="I4176" i="2"/>
  <c r="H4176" i="2"/>
  <c r="G4176" i="2"/>
  <c r="I4175" i="2"/>
  <c r="H4175" i="2"/>
  <c r="G4175" i="2"/>
  <c r="I4174" i="2"/>
  <c r="H4174" i="2"/>
  <c r="G4174" i="2"/>
  <c r="I4173" i="2"/>
  <c r="H4173" i="2"/>
  <c r="G4173" i="2"/>
  <c r="I4172" i="2"/>
  <c r="H4172" i="2"/>
  <c r="G4172" i="2"/>
  <c r="I4171" i="2"/>
  <c r="H4171" i="2"/>
  <c r="G4171" i="2"/>
  <c r="I4170" i="2"/>
  <c r="H4170" i="2"/>
  <c r="G4170" i="2"/>
  <c r="I4169" i="2"/>
  <c r="H4169" i="2"/>
  <c r="G4169" i="2"/>
  <c r="I4168" i="2"/>
  <c r="H4168" i="2"/>
  <c r="G4168" i="2"/>
  <c r="I4167" i="2"/>
  <c r="H4167" i="2"/>
  <c r="G4167" i="2"/>
  <c r="I4166" i="2"/>
  <c r="H4166" i="2"/>
  <c r="G4166" i="2"/>
  <c r="I4165" i="2"/>
  <c r="H4165" i="2"/>
  <c r="G4165" i="2"/>
  <c r="I4164" i="2"/>
  <c r="H4164" i="2"/>
  <c r="G4164" i="2"/>
  <c r="I4163" i="2"/>
  <c r="H4163" i="2"/>
  <c r="G4163" i="2"/>
  <c r="I4162" i="2"/>
  <c r="H4162" i="2"/>
  <c r="G4162" i="2"/>
  <c r="I4161" i="2"/>
  <c r="H4161" i="2"/>
  <c r="G4161" i="2"/>
  <c r="I4160" i="2"/>
  <c r="H4160" i="2"/>
  <c r="G4160" i="2"/>
  <c r="I4159" i="2"/>
  <c r="H4159" i="2"/>
  <c r="G4159" i="2"/>
  <c r="I4158" i="2"/>
  <c r="H4158" i="2"/>
  <c r="G4158" i="2"/>
  <c r="I4157" i="2"/>
  <c r="H4157" i="2"/>
  <c r="G4157" i="2"/>
  <c r="I4156" i="2"/>
  <c r="H4156" i="2"/>
  <c r="G4156" i="2"/>
  <c r="I4155" i="2"/>
  <c r="H4155" i="2"/>
  <c r="G4155" i="2"/>
  <c r="I4154" i="2"/>
  <c r="H4154" i="2"/>
  <c r="G4154" i="2"/>
  <c r="I4153" i="2"/>
  <c r="H4153" i="2"/>
  <c r="G4153" i="2"/>
  <c r="I4152" i="2"/>
  <c r="H4152" i="2"/>
  <c r="G4152" i="2"/>
  <c r="I4151" i="2"/>
  <c r="H4151" i="2"/>
  <c r="G4151" i="2"/>
  <c r="I4150" i="2"/>
  <c r="H4150" i="2"/>
  <c r="G4150" i="2"/>
  <c r="I4149" i="2"/>
  <c r="H4149" i="2"/>
  <c r="G4149" i="2"/>
  <c r="I4148" i="2"/>
  <c r="H4148" i="2"/>
  <c r="G4148" i="2"/>
  <c r="I4147" i="2"/>
  <c r="H4147" i="2"/>
  <c r="G4147" i="2"/>
  <c r="I4146" i="2"/>
  <c r="H4146" i="2"/>
  <c r="G4146" i="2"/>
  <c r="I4145" i="2"/>
  <c r="H4145" i="2"/>
  <c r="G4145" i="2"/>
  <c r="I4144" i="2"/>
  <c r="H4144" i="2"/>
  <c r="G4144" i="2"/>
  <c r="I4143" i="2"/>
  <c r="H4143" i="2"/>
  <c r="G4143" i="2"/>
  <c r="I4142" i="2"/>
  <c r="H4142" i="2"/>
  <c r="G4142" i="2"/>
  <c r="I4141" i="2"/>
  <c r="H4141" i="2"/>
  <c r="G4141" i="2"/>
  <c r="I4140" i="2"/>
  <c r="H4140" i="2"/>
  <c r="G4140" i="2"/>
  <c r="I4139" i="2"/>
  <c r="H4139" i="2"/>
  <c r="G4139" i="2"/>
  <c r="I4138" i="2"/>
  <c r="H4138" i="2"/>
  <c r="G4138" i="2"/>
  <c r="I4137" i="2"/>
  <c r="H4137" i="2"/>
  <c r="G4137" i="2"/>
  <c r="I4136" i="2"/>
  <c r="H4136" i="2"/>
  <c r="G4136" i="2"/>
  <c r="I4135" i="2"/>
  <c r="H4135" i="2"/>
  <c r="G4135" i="2"/>
  <c r="I4134" i="2"/>
  <c r="H4134" i="2"/>
  <c r="G4134" i="2"/>
  <c r="I4133" i="2"/>
  <c r="H4133" i="2"/>
  <c r="G4133" i="2"/>
  <c r="I4132" i="2"/>
  <c r="H4132" i="2"/>
  <c r="G4132" i="2"/>
  <c r="I4131" i="2"/>
  <c r="H4131" i="2"/>
  <c r="G4131" i="2"/>
  <c r="I4130" i="2"/>
  <c r="H4130" i="2"/>
  <c r="G4130" i="2"/>
  <c r="I4129" i="2"/>
  <c r="H4129" i="2"/>
  <c r="G4129" i="2"/>
  <c r="I4128" i="2"/>
  <c r="H4128" i="2"/>
  <c r="G4128" i="2"/>
  <c r="I4127" i="2"/>
  <c r="H4127" i="2"/>
  <c r="G4127" i="2"/>
  <c r="I4126" i="2"/>
  <c r="H4126" i="2"/>
  <c r="G4126" i="2"/>
  <c r="I4125" i="2"/>
  <c r="H4125" i="2"/>
  <c r="G4125" i="2"/>
  <c r="I4124" i="2"/>
  <c r="H4124" i="2"/>
  <c r="G4124" i="2"/>
  <c r="I4123" i="2"/>
  <c r="H4123" i="2"/>
  <c r="G4123" i="2"/>
  <c r="I4122" i="2"/>
  <c r="H4122" i="2"/>
  <c r="G4122" i="2"/>
  <c r="I4121" i="2"/>
  <c r="H4121" i="2"/>
  <c r="G4121" i="2"/>
  <c r="I4120" i="2"/>
  <c r="H4120" i="2"/>
  <c r="G4120" i="2"/>
  <c r="I4119" i="2"/>
  <c r="H4119" i="2"/>
  <c r="G4119" i="2"/>
  <c r="I4118" i="2"/>
  <c r="H4118" i="2"/>
  <c r="G4118" i="2"/>
  <c r="I4117" i="2"/>
  <c r="H4117" i="2"/>
  <c r="G4117" i="2"/>
  <c r="I4116" i="2"/>
  <c r="H4116" i="2"/>
  <c r="G4116" i="2"/>
  <c r="I4115" i="2"/>
  <c r="H4115" i="2"/>
  <c r="G4115" i="2"/>
  <c r="I4114" i="2"/>
  <c r="H4114" i="2"/>
  <c r="G4114" i="2"/>
  <c r="I4113" i="2"/>
  <c r="H4113" i="2"/>
  <c r="G4113" i="2"/>
  <c r="I4112" i="2"/>
  <c r="H4112" i="2"/>
  <c r="G4112" i="2"/>
  <c r="I4111" i="2"/>
  <c r="H4111" i="2"/>
  <c r="G4111" i="2"/>
  <c r="I4110" i="2"/>
  <c r="H4110" i="2"/>
  <c r="G4110" i="2"/>
  <c r="I4109" i="2"/>
  <c r="H4109" i="2"/>
  <c r="G4109" i="2"/>
  <c r="I4108" i="2"/>
  <c r="H4108" i="2"/>
  <c r="G4108" i="2"/>
  <c r="I4107" i="2"/>
  <c r="H4107" i="2"/>
  <c r="G4107" i="2"/>
  <c r="I4106" i="2"/>
  <c r="H4106" i="2"/>
  <c r="G4106" i="2"/>
  <c r="I4105" i="2"/>
  <c r="H4105" i="2"/>
  <c r="G4105" i="2"/>
  <c r="I4104" i="2"/>
  <c r="H4104" i="2"/>
  <c r="G4104" i="2"/>
  <c r="I4103" i="2"/>
  <c r="H4103" i="2"/>
  <c r="G4103" i="2"/>
  <c r="I4102" i="2"/>
  <c r="H4102" i="2"/>
  <c r="G4102" i="2"/>
  <c r="I4101" i="2"/>
  <c r="H4101" i="2"/>
  <c r="G4101" i="2"/>
  <c r="I4100" i="2"/>
  <c r="H4100" i="2"/>
  <c r="G4100" i="2"/>
  <c r="I4099" i="2"/>
  <c r="H4099" i="2"/>
  <c r="G4099" i="2"/>
  <c r="I4098" i="2"/>
  <c r="H4098" i="2"/>
  <c r="G4098" i="2"/>
  <c r="I4097" i="2"/>
  <c r="H4097" i="2"/>
  <c r="G4097" i="2"/>
  <c r="I4096" i="2"/>
  <c r="H4096" i="2"/>
  <c r="G4096" i="2"/>
  <c r="I4095" i="2"/>
  <c r="H4095" i="2"/>
  <c r="G4095" i="2"/>
  <c r="I4094" i="2"/>
  <c r="H4094" i="2"/>
  <c r="G4094" i="2"/>
  <c r="I4093" i="2"/>
  <c r="H4093" i="2"/>
  <c r="G4093" i="2"/>
  <c r="I4092" i="2"/>
  <c r="H4092" i="2"/>
  <c r="G4092" i="2"/>
  <c r="I4091" i="2"/>
  <c r="H4091" i="2"/>
  <c r="G4091" i="2"/>
  <c r="I4090" i="2"/>
  <c r="H4090" i="2"/>
  <c r="G4090" i="2"/>
  <c r="I4089" i="2"/>
  <c r="H4089" i="2"/>
  <c r="G4089" i="2"/>
  <c r="I4088" i="2"/>
  <c r="H4088" i="2"/>
  <c r="G4088" i="2"/>
  <c r="I4087" i="2"/>
  <c r="H4087" i="2"/>
  <c r="G4087" i="2"/>
  <c r="I4086" i="2"/>
  <c r="H4086" i="2"/>
  <c r="G4086" i="2"/>
  <c r="I4085" i="2"/>
  <c r="H4085" i="2"/>
  <c r="G4085" i="2"/>
  <c r="I4084" i="2"/>
  <c r="H4084" i="2"/>
  <c r="G4084" i="2"/>
  <c r="I4083" i="2"/>
  <c r="H4083" i="2"/>
  <c r="G4083" i="2"/>
  <c r="I4082" i="2"/>
  <c r="H4082" i="2"/>
  <c r="G4082" i="2"/>
  <c r="I4081" i="2"/>
  <c r="H4081" i="2"/>
  <c r="G4081" i="2"/>
  <c r="I4080" i="2"/>
  <c r="H4080" i="2"/>
  <c r="G4080" i="2"/>
  <c r="I4079" i="2"/>
  <c r="H4079" i="2"/>
  <c r="G4079" i="2"/>
  <c r="I4078" i="2"/>
  <c r="H4078" i="2"/>
  <c r="G4078" i="2"/>
  <c r="I4077" i="2"/>
  <c r="H4077" i="2"/>
  <c r="G4077" i="2"/>
  <c r="I4076" i="2"/>
  <c r="H4076" i="2"/>
  <c r="G4076" i="2"/>
  <c r="I4075" i="2"/>
  <c r="H4075" i="2"/>
  <c r="G4075" i="2"/>
  <c r="I4074" i="2"/>
  <c r="H4074" i="2"/>
  <c r="G4074" i="2"/>
  <c r="I4073" i="2"/>
  <c r="H4073" i="2"/>
  <c r="G4073" i="2"/>
  <c r="I4072" i="2"/>
  <c r="H4072" i="2"/>
  <c r="G4072" i="2"/>
  <c r="I4071" i="2"/>
  <c r="H4071" i="2"/>
  <c r="G4071" i="2"/>
  <c r="I4070" i="2"/>
  <c r="H4070" i="2"/>
  <c r="G4070" i="2"/>
  <c r="I4069" i="2"/>
  <c r="H4069" i="2"/>
  <c r="G4069" i="2"/>
  <c r="I4068" i="2"/>
  <c r="H4068" i="2"/>
  <c r="G4068" i="2"/>
  <c r="I4067" i="2"/>
  <c r="H4067" i="2"/>
  <c r="G4067" i="2"/>
  <c r="I4066" i="2"/>
  <c r="H4066" i="2"/>
  <c r="G4066" i="2"/>
  <c r="I4065" i="2"/>
  <c r="H4065" i="2"/>
  <c r="G4065" i="2"/>
  <c r="I4064" i="2"/>
  <c r="H4064" i="2"/>
  <c r="G4064" i="2"/>
  <c r="I4063" i="2"/>
  <c r="H4063" i="2"/>
  <c r="G4063" i="2"/>
  <c r="I4062" i="2"/>
  <c r="H4062" i="2"/>
  <c r="G4062" i="2"/>
  <c r="I4061" i="2"/>
  <c r="H4061" i="2"/>
  <c r="G4061" i="2"/>
  <c r="I4060" i="2"/>
  <c r="H4060" i="2"/>
  <c r="G4060" i="2"/>
  <c r="I4059" i="2"/>
  <c r="H4059" i="2"/>
  <c r="G4059" i="2"/>
  <c r="I4058" i="2"/>
  <c r="H4058" i="2"/>
  <c r="G4058" i="2"/>
  <c r="I4057" i="2"/>
  <c r="H4057" i="2"/>
  <c r="G4057" i="2"/>
  <c r="I4056" i="2"/>
  <c r="H4056" i="2"/>
  <c r="G4056" i="2"/>
  <c r="I4055" i="2"/>
  <c r="H4055" i="2"/>
  <c r="G4055" i="2"/>
  <c r="I4054" i="2"/>
  <c r="H4054" i="2"/>
  <c r="G4054" i="2"/>
  <c r="I4053" i="2"/>
  <c r="H4053" i="2"/>
  <c r="G4053" i="2"/>
  <c r="I4052" i="2"/>
  <c r="H4052" i="2"/>
  <c r="G4052" i="2"/>
  <c r="I4051" i="2"/>
  <c r="H4051" i="2"/>
  <c r="G4051" i="2"/>
  <c r="I4050" i="2"/>
  <c r="H4050" i="2"/>
  <c r="G4050" i="2"/>
  <c r="I4049" i="2"/>
  <c r="H4049" i="2"/>
  <c r="G4049" i="2"/>
  <c r="I4048" i="2"/>
  <c r="H4048" i="2"/>
  <c r="G4048" i="2"/>
  <c r="I4047" i="2"/>
  <c r="H4047" i="2"/>
  <c r="G4047" i="2"/>
  <c r="I4046" i="2"/>
  <c r="H4046" i="2"/>
  <c r="G4046" i="2"/>
  <c r="I4045" i="2"/>
  <c r="H4045" i="2"/>
  <c r="G4045" i="2"/>
  <c r="I4044" i="2"/>
  <c r="H4044" i="2"/>
  <c r="G4044" i="2"/>
  <c r="I4043" i="2"/>
  <c r="H4043" i="2"/>
  <c r="G4043" i="2"/>
  <c r="I4042" i="2"/>
  <c r="H4042" i="2"/>
  <c r="G4042" i="2"/>
  <c r="I4041" i="2"/>
  <c r="H4041" i="2"/>
  <c r="G4041" i="2"/>
  <c r="I4040" i="2"/>
  <c r="H4040" i="2"/>
  <c r="G4040" i="2"/>
  <c r="I4039" i="2"/>
  <c r="H4039" i="2"/>
  <c r="G4039" i="2"/>
  <c r="I4038" i="2"/>
  <c r="H4038" i="2"/>
  <c r="G4038" i="2"/>
  <c r="I4037" i="2"/>
  <c r="H4037" i="2"/>
  <c r="G4037" i="2"/>
  <c r="I4036" i="2"/>
  <c r="H4036" i="2"/>
  <c r="G4036" i="2"/>
  <c r="I4035" i="2"/>
  <c r="H4035" i="2"/>
  <c r="G4035" i="2"/>
  <c r="I4034" i="2"/>
  <c r="H4034" i="2"/>
  <c r="G4034" i="2"/>
  <c r="I4033" i="2"/>
  <c r="H4033" i="2"/>
  <c r="G4033" i="2"/>
  <c r="I4032" i="2"/>
  <c r="H4032" i="2"/>
  <c r="G4032" i="2"/>
  <c r="I4031" i="2"/>
  <c r="H4031" i="2"/>
  <c r="G4031" i="2"/>
  <c r="I4030" i="2"/>
  <c r="H4030" i="2"/>
  <c r="G4030" i="2"/>
  <c r="I4029" i="2"/>
  <c r="H4029" i="2"/>
  <c r="G4029" i="2"/>
  <c r="I4028" i="2"/>
  <c r="H4028" i="2"/>
  <c r="G4028" i="2"/>
  <c r="I4027" i="2"/>
  <c r="H4027" i="2"/>
  <c r="G4027" i="2"/>
  <c r="I4026" i="2"/>
  <c r="H4026" i="2"/>
  <c r="G4026" i="2"/>
  <c r="I4025" i="2"/>
  <c r="H4025" i="2"/>
  <c r="G4025" i="2"/>
  <c r="I4024" i="2"/>
  <c r="H4024" i="2"/>
  <c r="G4024" i="2"/>
  <c r="I4023" i="2"/>
  <c r="H4023" i="2"/>
  <c r="G4023" i="2"/>
  <c r="I4022" i="2"/>
  <c r="H4022" i="2"/>
  <c r="G4022" i="2"/>
  <c r="I4021" i="2"/>
  <c r="H4021" i="2"/>
  <c r="G4021" i="2"/>
  <c r="I4020" i="2"/>
  <c r="H4020" i="2"/>
  <c r="G4020" i="2"/>
  <c r="I4019" i="2"/>
  <c r="H4019" i="2"/>
  <c r="G4019" i="2"/>
  <c r="I4018" i="2"/>
  <c r="H4018" i="2"/>
  <c r="G4018" i="2"/>
  <c r="I4017" i="2"/>
  <c r="H4017" i="2"/>
  <c r="G4017" i="2"/>
  <c r="I4016" i="2"/>
  <c r="H4016" i="2"/>
  <c r="G4016" i="2"/>
  <c r="I4015" i="2"/>
  <c r="H4015" i="2"/>
  <c r="G4015" i="2"/>
  <c r="I4014" i="2"/>
  <c r="H4014" i="2"/>
  <c r="G4014" i="2"/>
  <c r="I4013" i="2"/>
  <c r="H4013" i="2"/>
  <c r="G4013" i="2"/>
  <c r="I4012" i="2"/>
  <c r="H4012" i="2"/>
  <c r="G4012" i="2"/>
  <c r="I4011" i="2"/>
  <c r="H4011" i="2"/>
  <c r="G4011" i="2"/>
  <c r="I4010" i="2"/>
  <c r="H4010" i="2"/>
  <c r="G4010" i="2"/>
  <c r="I4009" i="2"/>
  <c r="H4009" i="2"/>
  <c r="G4009" i="2"/>
  <c r="I4008" i="2"/>
  <c r="H4008" i="2"/>
  <c r="G4008" i="2"/>
  <c r="I4007" i="2"/>
  <c r="H4007" i="2"/>
  <c r="G4007" i="2"/>
  <c r="I4006" i="2"/>
  <c r="H4006" i="2"/>
  <c r="G4006" i="2"/>
  <c r="I4005" i="2"/>
  <c r="H4005" i="2"/>
  <c r="G4005" i="2"/>
  <c r="I4004" i="2"/>
  <c r="H4004" i="2"/>
  <c r="G4004" i="2"/>
  <c r="I4003" i="2"/>
  <c r="H4003" i="2"/>
  <c r="G4003" i="2"/>
  <c r="I4002" i="2"/>
  <c r="H4002" i="2"/>
  <c r="G4002" i="2"/>
  <c r="I4001" i="2"/>
  <c r="H4001" i="2"/>
  <c r="G4001" i="2"/>
  <c r="I4000" i="2"/>
  <c r="H4000" i="2"/>
  <c r="G4000" i="2"/>
  <c r="I3999" i="2"/>
  <c r="H3999" i="2"/>
  <c r="G3999" i="2"/>
  <c r="I3998" i="2"/>
  <c r="H3998" i="2"/>
  <c r="G3998" i="2"/>
  <c r="I3997" i="2"/>
  <c r="H3997" i="2"/>
  <c r="G3997" i="2"/>
  <c r="I3996" i="2"/>
  <c r="H3996" i="2"/>
  <c r="G3996" i="2"/>
  <c r="I3995" i="2"/>
  <c r="H3995" i="2"/>
  <c r="G3995" i="2"/>
  <c r="I3994" i="2"/>
  <c r="H3994" i="2"/>
  <c r="G3994" i="2"/>
  <c r="I3993" i="2"/>
  <c r="H3993" i="2"/>
  <c r="G3993" i="2"/>
  <c r="I3992" i="2"/>
  <c r="H3992" i="2"/>
  <c r="G3992" i="2"/>
  <c r="I3991" i="2"/>
  <c r="H3991" i="2"/>
  <c r="G3991" i="2"/>
  <c r="I3990" i="2"/>
  <c r="H3990" i="2"/>
  <c r="G3990" i="2"/>
  <c r="I3989" i="2"/>
  <c r="H3989" i="2"/>
  <c r="G3989" i="2"/>
  <c r="I3988" i="2"/>
  <c r="H3988" i="2"/>
  <c r="G3988" i="2"/>
  <c r="I3987" i="2"/>
  <c r="H3987" i="2"/>
  <c r="G3987" i="2"/>
  <c r="I3986" i="2"/>
  <c r="H3986" i="2"/>
  <c r="G3986" i="2"/>
  <c r="I3985" i="2"/>
  <c r="H3985" i="2"/>
  <c r="G3985" i="2"/>
  <c r="I3984" i="2"/>
  <c r="H3984" i="2"/>
  <c r="G3984" i="2"/>
  <c r="I3983" i="2"/>
  <c r="H3983" i="2"/>
  <c r="G3983" i="2"/>
  <c r="I3982" i="2"/>
  <c r="H3982" i="2"/>
  <c r="G3982" i="2"/>
  <c r="I3981" i="2"/>
  <c r="H3981" i="2"/>
  <c r="G3981" i="2"/>
  <c r="I3980" i="2"/>
  <c r="H3980" i="2"/>
  <c r="G3980" i="2"/>
  <c r="I3979" i="2"/>
  <c r="H3979" i="2"/>
  <c r="G3979" i="2"/>
  <c r="I3978" i="2"/>
  <c r="H3978" i="2"/>
  <c r="G3978" i="2"/>
  <c r="I3977" i="2"/>
  <c r="H3977" i="2"/>
  <c r="G3977" i="2"/>
  <c r="I3976" i="2"/>
  <c r="H3976" i="2"/>
  <c r="G3976" i="2"/>
  <c r="I3975" i="2"/>
  <c r="H3975" i="2"/>
  <c r="G3975" i="2"/>
  <c r="I3974" i="2"/>
  <c r="H3974" i="2"/>
  <c r="G3974" i="2"/>
  <c r="I3973" i="2"/>
  <c r="H3973" i="2"/>
  <c r="G3973" i="2"/>
  <c r="I3972" i="2"/>
  <c r="H3972" i="2"/>
  <c r="G3972" i="2"/>
  <c r="I3971" i="2"/>
  <c r="H3971" i="2"/>
  <c r="G3971" i="2"/>
  <c r="I3970" i="2"/>
  <c r="H3970" i="2"/>
  <c r="G3970" i="2"/>
  <c r="I3969" i="2"/>
  <c r="H3969" i="2"/>
  <c r="G3969" i="2"/>
  <c r="I3968" i="2"/>
  <c r="H3968" i="2"/>
  <c r="G3968" i="2"/>
  <c r="I3967" i="2"/>
  <c r="H3967" i="2"/>
  <c r="G3967" i="2"/>
  <c r="I3966" i="2"/>
  <c r="H3966" i="2"/>
  <c r="G3966" i="2"/>
  <c r="I3965" i="2"/>
  <c r="H3965" i="2"/>
  <c r="G3965" i="2"/>
  <c r="I3964" i="2"/>
  <c r="H3964" i="2"/>
  <c r="G3964" i="2"/>
  <c r="I3963" i="2"/>
  <c r="H3963" i="2"/>
  <c r="G3963" i="2"/>
  <c r="I3962" i="2"/>
  <c r="H3962" i="2"/>
  <c r="G3962" i="2"/>
  <c r="I3961" i="2"/>
  <c r="H3961" i="2"/>
  <c r="G3961" i="2"/>
  <c r="I3960" i="2"/>
  <c r="H3960" i="2"/>
  <c r="G3960" i="2"/>
  <c r="I3959" i="2"/>
  <c r="H3959" i="2"/>
  <c r="G3959" i="2"/>
  <c r="I3958" i="2"/>
  <c r="H3958" i="2"/>
  <c r="G3958" i="2"/>
  <c r="I3957" i="2"/>
  <c r="H3957" i="2"/>
  <c r="G3957" i="2"/>
  <c r="I3956" i="2"/>
  <c r="H3956" i="2"/>
  <c r="G3956" i="2"/>
  <c r="I3955" i="2"/>
  <c r="H3955" i="2"/>
  <c r="G3955" i="2"/>
  <c r="I3954" i="2"/>
  <c r="H3954" i="2"/>
  <c r="G3954" i="2"/>
  <c r="I3953" i="2"/>
  <c r="H3953" i="2"/>
  <c r="G3953" i="2"/>
  <c r="I3952" i="2"/>
  <c r="H3952" i="2"/>
  <c r="G3952" i="2"/>
  <c r="I3951" i="2"/>
  <c r="H3951" i="2"/>
  <c r="G3951" i="2"/>
  <c r="I3950" i="2"/>
  <c r="H3950" i="2"/>
  <c r="G3950" i="2"/>
  <c r="I3949" i="2"/>
  <c r="H3949" i="2"/>
  <c r="G3949" i="2"/>
  <c r="I3948" i="2"/>
  <c r="H3948" i="2"/>
  <c r="G3948" i="2"/>
  <c r="I3947" i="2"/>
  <c r="H3947" i="2"/>
  <c r="G3947" i="2"/>
  <c r="I3946" i="2"/>
  <c r="H3946" i="2"/>
  <c r="G3946" i="2"/>
  <c r="I3945" i="2"/>
  <c r="H3945" i="2"/>
  <c r="G3945" i="2"/>
  <c r="I3944" i="2"/>
  <c r="H3944" i="2"/>
  <c r="G3944" i="2"/>
  <c r="I3943" i="2"/>
  <c r="H3943" i="2"/>
  <c r="G3943" i="2"/>
  <c r="I3942" i="2"/>
  <c r="H3942" i="2"/>
  <c r="G3942" i="2"/>
  <c r="I3941" i="2"/>
  <c r="H3941" i="2"/>
  <c r="G3941" i="2"/>
  <c r="I3940" i="2"/>
  <c r="H3940" i="2"/>
  <c r="G3940" i="2"/>
  <c r="I3939" i="2"/>
  <c r="H3939" i="2"/>
  <c r="G3939" i="2"/>
  <c r="I3938" i="2"/>
  <c r="H3938" i="2"/>
  <c r="G3938" i="2"/>
  <c r="I3937" i="2"/>
  <c r="H3937" i="2"/>
  <c r="G3937" i="2"/>
  <c r="I3936" i="2"/>
  <c r="H3936" i="2"/>
  <c r="G3936" i="2"/>
  <c r="I3935" i="2"/>
  <c r="H3935" i="2"/>
  <c r="G3935" i="2"/>
  <c r="I3934" i="2"/>
  <c r="H3934" i="2"/>
  <c r="G3934" i="2"/>
  <c r="I3933" i="2"/>
  <c r="H3933" i="2"/>
  <c r="G3933" i="2"/>
  <c r="I3932" i="2"/>
  <c r="H3932" i="2"/>
  <c r="G3932" i="2"/>
  <c r="I3931" i="2"/>
  <c r="H3931" i="2"/>
  <c r="G3931" i="2"/>
  <c r="I3930" i="2"/>
  <c r="H3930" i="2"/>
  <c r="G3930" i="2"/>
  <c r="I3929" i="2"/>
  <c r="H3929" i="2"/>
  <c r="G3929" i="2"/>
  <c r="I3928" i="2"/>
  <c r="H3928" i="2"/>
  <c r="G3928" i="2"/>
  <c r="I3927" i="2"/>
  <c r="H3927" i="2"/>
  <c r="G3927" i="2"/>
  <c r="I3926" i="2"/>
  <c r="H3926" i="2"/>
  <c r="G3926" i="2"/>
  <c r="I3925" i="2"/>
  <c r="H3925" i="2"/>
  <c r="G3925" i="2"/>
  <c r="I3924" i="2"/>
  <c r="H3924" i="2"/>
  <c r="G3924" i="2"/>
  <c r="I3923" i="2"/>
  <c r="H3923" i="2"/>
  <c r="G3923" i="2"/>
  <c r="I3922" i="2"/>
  <c r="H3922" i="2"/>
  <c r="G3922" i="2"/>
  <c r="I3921" i="2"/>
  <c r="H3921" i="2"/>
  <c r="G3921" i="2"/>
  <c r="I3920" i="2"/>
  <c r="H3920" i="2"/>
  <c r="G3920" i="2"/>
  <c r="I3919" i="2"/>
  <c r="H3919" i="2"/>
  <c r="G3919" i="2"/>
  <c r="I3918" i="2"/>
  <c r="H3918" i="2"/>
  <c r="G3918" i="2"/>
  <c r="I3917" i="2"/>
  <c r="H3917" i="2"/>
  <c r="G3917" i="2"/>
  <c r="I3916" i="2"/>
  <c r="H3916" i="2"/>
  <c r="G3916" i="2"/>
  <c r="I3915" i="2"/>
  <c r="H3915" i="2"/>
  <c r="G3915" i="2"/>
  <c r="I3914" i="2"/>
  <c r="H3914" i="2"/>
  <c r="G3914" i="2"/>
  <c r="I3913" i="2"/>
  <c r="H3913" i="2"/>
  <c r="G3913" i="2"/>
  <c r="I3912" i="2"/>
  <c r="H3912" i="2"/>
  <c r="G3912" i="2"/>
  <c r="I3911" i="2"/>
  <c r="H3911" i="2"/>
  <c r="G3911" i="2"/>
  <c r="I3910" i="2"/>
  <c r="H3910" i="2"/>
  <c r="G3910" i="2"/>
  <c r="I3909" i="2"/>
  <c r="H3909" i="2"/>
  <c r="G3909" i="2"/>
  <c r="I3908" i="2"/>
  <c r="H3908" i="2"/>
  <c r="G3908" i="2"/>
  <c r="I3907" i="2"/>
  <c r="H3907" i="2"/>
  <c r="G3907" i="2"/>
  <c r="I3906" i="2"/>
  <c r="H3906" i="2"/>
  <c r="G3906" i="2"/>
  <c r="I3905" i="2"/>
  <c r="H3905" i="2"/>
  <c r="G3905" i="2"/>
  <c r="I3904" i="2"/>
  <c r="H3904" i="2"/>
  <c r="G3904" i="2"/>
  <c r="I3903" i="2"/>
  <c r="H3903" i="2"/>
  <c r="G3903" i="2"/>
  <c r="I3902" i="2"/>
  <c r="H3902" i="2"/>
  <c r="G3902" i="2"/>
  <c r="I3901" i="2"/>
  <c r="H3901" i="2"/>
  <c r="G3901" i="2"/>
  <c r="I3900" i="2"/>
  <c r="H3900" i="2"/>
  <c r="G3900" i="2"/>
  <c r="I3899" i="2"/>
  <c r="H3899" i="2"/>
  <c r="G3899" i="2"/>
  <c r="I3898" i="2"/>
  <c r="H3898" i="2"/>
  <c r="G3898" i="2"/>
  <c r="I3897" i="2"/>
  <c r="H3897" i="2"/>
  <c r="G3897" i="2"/>
  <c r="I3896" i="2"/>
  <c r="H3896" i="2"/>
  <c r="G3896" i="2"/>
  <c r="I3895" i="2"/>
  <c r="H3895" i="2"/>
  <c r="G3895" i="2"/>
  <c r="I3894" i="2"/>
  <c r="H3894" i="2"/>
  <c r="G3894" i="2"/>
  <c r="I3893" i="2"/>
  <c r="H3893" i="2"/>
  <c r="G3893" i="2"/>
  <c r="I3892" i="2"/>
  <c r="H3892" i="2"/>
  <c r="G3892" i="2"/>
  <c r="I3891" i="2"/>
  <c r="H3891" i="2"/>
  <c r="G3891" i="2"/>
  <c r="I3890" i="2"/>
  <c r="H3890" i="2"/>
  <c r="G3890" i="2"/>
  <c r="I3889" i="2"/>
  <c r="H3889" i="2"/>
  <c r="G3889" i="2"/>
  <c r="I3888" i="2"/>
  <c r="H3888" i="2"/>
  <c r="G3888" i="2"/>
  <c r="I3887" i="2"/>
  <c r="H3887" i="2"/>
  <c r="G3887" i="2"/>
  <c r="I3886" i="2"/>
  <c r="H3886" i="2"/>
  <c r="G3886" i="2"/>
  <c r="I3885" i="2"/>
  <c r="H3885" i="2"/>
  <c r="G3885" i="2"/>
  <c r="I3884" i="2"/>
  <c r="H3884" i="2"/>
  <c r="G3884" i="2"/>
  <c r="I3883" i="2"/>
  <c r="H3883" i="2"/>
  <c r="G3883" i="2"/>
  <c r="I3882" i="2"/>
  <c r="H3882" i="2"/>
  <c r="G3882" i="2"/>
  <c r="I3881" i="2"/>
  <c r="H3881" i="2"/>
  <c r="G3881" i="2"/>
  <c r="I3880" i="2"/>
  <c r="H3880" i="2"/>
  <c r="G3880" i="2"/>
  <c r="I3879" i="2"/>
  <c r="H3879" i="2"/>
  <c r="G3879" i="2"/>
  <c r="I3878" i="2"/>
  <c r="H3878" i="2"/>
  <c r="G3878" i="2"/>
  <c r="I3877" i="2"/>
  <c r="H3877" i="2"/>
  <c r="G3877" i="2"/>
  <c r="I3876" i="2"/>
  <c r="H3876" i="2"/>
  <c r="G3876" i="2"/>
  <c r="I3875" i="2"/>
  <c r="H3875" i="2"/>
  <c r="G3875" i="2"/>
  <c r="I3874" i="2"/>
  <c r="H3874" i="2"/>
  <c r="G3874" i="2"/>
  <c r="I3873" i="2"/>
  <c r="H3873" i="2"/>
  <c r="G3873" i="2"/>
  <c r="I3872" i="2"/>
  <c r="H3872" i="2"/>
  <c r="G3872" i="2"/>
  <c r="I3871" i="2"/>
  <c r="H3871" i="2"/>
  <c r="G3871" i="2"/>
  <c r="I3870" i="2"/>
  <c r="H3870" i="2"/>
  <c r="G3870" i="2"/>
  <c r="I3869" i="2"/>
  <c r="H3869" i="2"/>
  <c r="G3869" i="2"/>
  <c r="I3868" i="2"/>
  <c r="H3868" i="2"/>
  <c r="G3868" i="2"/>
  <c r="I3867" i="2"/>
  <c r="H3867" i="2"/>
  <c r="G3867" i="2"/>
  <c r="I3866" i="2"/>
  <c r="H3866" i="2"/>
  <c r="G3866" i="2"/>
  <c r="I3865" i="2"/>
  <c r="H3865" i="2"/>
  <c r="G3865" i="2"/>
  <c r="I3864" i="2"/>
  <c r="H3864" i="2"/>
  <c r="G3864" i="2"/>
  <c r="I3863" i="2"/>
  <c r="H3863" i="2"/>
  <c r="G3863" i="2"/>
  <c r="I3862" i="2"/>
  <c r="H3862" i="2"/>
  <c r="G3862" i="2"/>
  <c r="I3861" i="2"/>
  <c r="H3861" i="2"/>
  <c r="G3861" i="2"/>
  <c r="I3860" i="2"/>
  <c r="H3860" i="2"/>
  <c r="G3860" i="2"/>
  <c r="I3859" i="2"/>
  <c r="H3859" i="2"/>
  <c r="G3859" i="2"/>
  <c r="I3858" i="2"/>
  <c r="H3858" i="2"/>
  <c r="G3858" i="2"/>
  <c r="I3857" i="2"/>
  <c r="H3857" i="2"/>
  <c r="G3857" i="2"/>
  <c r="I3856" i="2"/>
  <c r="H3856" i="2"/>
  <c r="G3856" i="2"/>
  <c r="I3855" i="2"/>
  <c r="H3855" i="2"/>
  <c r="G3855" i="2"/>
  <c r="I3854" i="2"/>
  <c r="H3854" i="2"/>
  <c r="G3854" i="2"/>
  <c r="I3853" i="2"/>
  <c r="H3853" i="2"/>
  <c r="G3853" i="2"/>
  <c r="I3852" i="2"/>
  <c r="H3852" i="2"/>
  <c r="G3852" i="2"/>
  <c r="I3851" i="2"/>
  <c r="H3851" i="2"/>
  <c r="G3851" i="2"/>
  <c r="I3850" i="2"/>
  <c r="H3850" i="2"/>
  <c r="G3850" i="2"/>
  <c r="I3849" i="2"/>
  <c r="H3849" i="2"/>
  <c r="G3849" i="2"/>
  <c r="I3848" i="2"/>
  <c r="H3848" i="2"/>
  <c r="G3848" i="2"/>
  <c r="I3847" i="2"/>
  <c r="H3847" i="2"/>
  <c r="G3847" i="2"/>
  <c r="I3846" i="2"/>
  <c r="H3846" i="2"/>
  <c r="G3846" i="2"/>
  <c r="I3845" i="2"/>
  <c r="H3845" i="2"/>
  <c r="G3845" i="2"/>
  <c r="I3844" i="2"/>
  <c r="H3844" i="2"/>
  <c r="G3844" i="2"/>
  <c r="I3843" i="2"/>
  <c r="H3843" i="2"/>
  <c r="G3843" i="2"/>
  <c r="I3842" i="2"/>
  <c r="H3842" i="2"/>
  <c r="G3842" i="2"/>
  <c r="I3841" i="2"/>
  <c r="H3841" i="2"/>
  <c r="G3841" i="2"/>
  <c r="I3840" i="2"/>
  <c r="H3840" i="2"/>
  <c r="G3840" i="2"/>
  <c r="I3839" i="2"/>
  <c r="H3839" i="2"/>
  <c r="G3839" i="2"/>
  <c r="I3838" i="2"/>
  <c r="H3838" i="2"/>
  <c r="G3838" i="2"/>
  <c r="I3837" i="2"/>
  <c r="H3837" i="2"/>
  <c r="G3837" i="2"/>
  <c r="I3836" i="2"/>
  <c r="H3836" i="2"/>
  <c r="G3836" i="2"/>
  <c r="I3835" i="2"/>
  <c r="H3835" i="2"/>
  <c r="G3835" i="2"/>
  <c r="I3834" i="2"/>
  <c r="H3834" i="2"/>
  <c r="G3834" i="2"/>
  <c r="I3833" i="2"/>
  <c r="H3833" i="2"/>
  <c r="G3833" i="2"/>
  <c r="I3832" i="2"/>
  <c r="H3832" i="2"/>
  <c r="G3832" i="2"/>
  <c r="I3831" i="2"/>
  <c r="H3831" i="2"/>
  <c r="G3831" i="2"/>
  <c r="I3830" i="2"/>
  <c r="H3830" i="2"/>
  <c r="G3830" i="2"/>
  <c r="I3829" i="2"/>
  <c r="H3829" i="2"/>
  <c r="G3829" i="2"/>
  <c r="I3828" i="2"/>
  <c r="H3828" i="2"/>
  <c r="G3828" i="2"/>
  <c r="I3827" i="2"/>
  <c r="H3827" i="2"/>
  <c r="G3827" i="2"/>
  <c r="I3826" i="2"/>
  <c r="H3826" i="2"/>
  <c r="G3826" i="2"/>
  <c r="I3825" i="2"/>
  <c r="H3825" i="2"/>
  <c r="G3825" i="2"/>
  <c r="I3824" i="2"/>
  <c r="H3824" i="2"/>
  <c r="G3824" i="2"/>
  <c r="I3823" i="2"/>
  <c r="H3823" i="2"/>
  <c r="G3823" i="2"/>
  <c r="I3822" i="2"/>
  <c r="H3822" i="2"/>
  <c r="G3822" i="2"/>
  <c r="I3821" i="2"/>
  <c r="H3821" i="2"/>
  <c r="G3821" i="2"/>
  <c r="I3820" i="2"/>
  <c r="H3820" i="2"/>
  <c r="G3820" i="2"/>
  <c r="I3819" i="2"/>
  <c r="H3819" i="2"/>
  <c r="G3819" i="2"/>
  <c r="I3818" i="2"/>
  <c r="H3818" i="2"/>
  <c r="G3818" i="2"/>
  <c r="I3817" i="2"/>
  <c r="H3817" i="2"/>
  <c r="G3817" i="2"/>
  <c r="I3816" i="2"/>
  <c r="H3816" i="2"/>
  <c r="G3816" i="2"/>
  <c r="I3815" i="2"/>
  <c r="H3815" i="2"/>
  <c r="G3815" i="2"/>
  <c r="I3814" i="2"/>
  <c r="H3814" i="2"/>
  <c r="G3814" i="2"/>
  <c r="I3813" i="2"/>
  <c r="H3813" i="2"/>
  <c r="G3813" i="2"/>
  <c r="I3812" i="2"/>
  <c r="H3812" i="2"/>
  <c r="G3812" i="2"/>
  <c r="I3811" i="2"/>
  <c r="H3811" i="2"/>
  <c r="G3811" i="2"/>
  <c r="I3810" i="2"/>
  <c r="H3810" i="2"/>
  <c r="G3810" i="2"/>
  <c r="I3809" i="2"/>
  <c r="H3809" i="2"/>
  <c r="G3809" i="2"/>
  <c r="I3808" i="2"/>
  <c r="H3808" i="2"/>
  <c r="G3808" i="2"/>
  <c r="I3807" i="2"/>
  <c r="H3807" i="2"/>
  <c r="G3807" i="2"/>
  <c r="I3806" i="2"/>
  <c r="H3806" i="2"/>
  <c r="G3806" i="2"/>
  <c r="I3805" i="2"/>
  <c r="H3805" i="2"/>
  <c r="G3805" i="2"/>
  <c r="I3804" i="2"/>
  <c r="H3804" i="2"/>
  <c r="G3804" i="2"/>
  <c r="I3803" i="2"/>
  <c r="H3803" i="2"/>
  <c r="G3803" i="2"/>
  <c r="I3802" i="2"/>
  <c r="H3802" i="2"/>
  <c r="G3802" i="2"/>
  <c r="I3801" i="2"/>
  <c r="H3801" i="2"/>
  <c r="G3801" i="2"/>
  <c r="I3800" i="2"/>
  <c r="H3800" i="2"/>
  <c r="G3800" i="2"/>
  <c r="I3799" i="2"/>
  <c r="H3799" i="2"/>
  <c r="G3799" i="2"/>
  <c r="I3798" i="2"/>
  <c r="H3798" i="2"/>
  <c r="G3798" i="2"/>
  <c r="I3797" i="2"/>
  <c r="H3797" i="2"/>
  <c r="G3797" i="2"/>
  <c r="I3796" i="2"/>
  <c r="H3796" i="2"/>
  <c r="G3796" i="2"/>
  <c r="I3795" i="2"/>
  <c r="H3795" i="2"/>
  <c r="G3795" i="2"/>
  <c r="I3794" i="2"/>
  <c r="H3794" i="2"/>
  <c r="G3794" i="2"/>
  <c r="I3793" i="2"/>
  <c r="H3793" i="2"/>
  <c r="G3793" i="2"/>
  <c r="I3792" i="2"/>
  <c r="H3792" i="2"/>
  <c r="G3792" i="2"/>
  <c r="I3791" i="2"/>
  <c r="H3791" i="2"/>
  <c r="G3791" i="2"/>
  <c r="I3790" i="2"/>
  <c r="H3790" i="2"/>
  <c r="G3790" i="2"/>
  <c r="I3789" i="2"/>
  <c r="H3789" i="2"/>
  <c r="G3789" i="2"/>
  <c r="I3788" i="2"/>
  <c r="H3788" i="2"/>
  <c r="G3788" i="2"/>
  <c r="I3787" i="2"/>
  <c r="H3787" i="2"/>
  <c r="G3787" i="2"/>
  <c r="I3786" i="2"/>
  <c r="H3786" i="2"/>
  <c r="G3786" i="2"/>
  <c r="I3785" i="2"/>
  <c r="H3785" i="2"/>
  <c r="G3785" i="2"/>
  <c r="I3784" i="2"/>
  <c r="H3784" i="2"/>
  <c r="G3784" i="2"/>
  <c r="I3783" i="2"/>
  <c r="H3783" i="2"/>
  <c r="G3783" i="2"/>
  <c r="I3782" i="2"/>
  <c r="H3782" i="2"/>
  <c r="G3782" i="2"/>
  <c r="I3781" i="2"/>
  <c r="H3781" i="2"/>
  <c r="G3781" i="2"/>
  <c r="I3780" i="2"/>
  <c r="H3780" i="2"/>
  <c r="G3780" i="2"/>
  <c r="I3779" i="2"/>
  <c r="H3779" i="2"/>
  <c r="G3779" i="2"/>
  <c r="I3778" i="2"/>
  <c r="H3778" i="2"/>
  <c r="G3778" i="2"/>
  <c r="I3777" i="2"/>
  <c r="H3777" i="2"/>
  <c r="G3777" i="2"/>
  <c r="I3776" i="2"/>
  <c r="H3776" i="2"/>
  <c r="G3776" i="2"/>
  <c r="I3775" i="2"/>
  <c r="H3775" i="2"/>
  <c r="G3775" i="2"/>
  <c r="I3774" i="2"/>
  <c r="H3774" i="2"/>
  <c r="G3774" i="2"/>
  <c r="I3773" i="2"/>
  <c r="H3773" i="2"/>
  <c r="G3773" i="2"/>
  <c r="I3772" i="2"/>
  <c r="H3772" i="2"/>
  <c r="G3772" i="2"/>
  <c r="I3771" i="2"/>
  <c r="H3771" i="2"/>
  <c r="G3771" i="2"/>
  <c r="I3770" i="2"/>
  <c r="H3770" i="2"/>
  <c r="G3770" i="2"/>
  <c r="I3769" i="2"/>
  <c r="H3769" i="2"/>
  <c r="G3769" i="2"/>
  <c r="I3768" i="2"/>
  <c r="H3768" i="2"/>
  <c r="G3768" i="2"/>
  <c r="I3767" i="2"/>
  <c r="H3767" i="2"/>
  <c r="G3767" i="2"/>
  <c r="I3766" i="2"/>
  <c r="H3766" i="2"/>
  <c r="G3766" i="2"/>
  <c r="I3765" i="2"/>
  <c r="H3765" i="2"/>
  <c r="G3765" i="2"/>
  <c r="I3764" i="2"/>
  <c r="H3764" i="2"/>
  <c r="G3764" i="2"/>
  <c r="I3763" i="2"/>
  <c r="H3763" i="2"/>
  <c r="G3763" i="2"/>
  <c r="I3762" i="2"/>
  <c r="H3762" i="2"/>
  <c r="G3762" i="2"/>
  <c r="I3761" i="2"/>
  <c r="H3761" i="2"/>
  <c r="G3761" i="2"/>
  <c r="I3760" i="2"/>
  <c r="H3760" i="2"/>
  <c r="G3760" i="2"/>
  <c r="I3759" i="2"/>
  <c r="H3759" i="2"/>
  <c r="G3759" i="2"/>
  <c r="I3758" i="2"/>
  <c r="H3758" i="2"/>
  <c r="G3758" i="2"/>
  <c r="I3757" i="2"/>
  <c r="H3757" i="2"/>
  <c r="G3757" i="2"/>
  <c r="I3756" i="2"/>
  <c r="H3756" i="2"/>
  <c r="G3756" i="2"/>
  <c r="I3755" i="2"/>
  <c r="H3755" i="2"/>
  <c r="G3755" i="2"/>
  <c r="I3754" i="2"/>
  <c r="H3754" i="2"/>
  <c r="G3754" i="2"/>
  <c r="I3753" i="2"/>
  <c r="H3753" i="2"/>
  <c r="G3753" i="2"/>
  <c r="I3752" i="2"/>
  <c r="H3752" i="2"/>
  <c r="G3752" i="2"/>
  <c r="I3751" i="2"/>
  <c r="H3751" i="2"/>
  <c r="G3751" i="2"/>
  <c r="I3750" i="2"/>
  <c r="H3750" i="2"/>
  <c r="G3750" i="2"/>
  <c r="I3749" i="2"/>
  <c r="H3749" i="2"/>
  <c r="G3749" i="2"/>
  <c r="I3748" i="2"/>
  <c r="H3748" i="2"/>
  <c r="G3748" i="2"/>
  <c r="I3747" i="2"/>
  <c r="H3747" i="2"/>
  <c r="G3747" i="2"/>
  <c r="I3746" i="2"/>
  <c r="H3746" i="2"/>
  <c r="G3746" i="2"/>
  <c r="I3745" i="2"/>
  <c r="H3745" i="2"/>
  <c r="G3745" i="2"/>
  <c r="I3744" i="2"/>
  <c r="H3744" i="2"/>
  <c r="G3744" i="2"/>
  <c r="I3743" i="2"/>
  <c r="H3743" i="2"/>
  <c r="G3743" i="2"/>
  <c r="I3742" i="2"/>
  <c r="H3742" i="2"/>
  <c r="G3742" i="2"/>
  <c r="I3741" i="2"/>
  <c r="H3741" i="2"/>
  <c r="G3741" i="2"/>
  <c r="I3740" i="2"/>
  <c r="H3740" i="2"/>
  <c r="G3740" i="2"/>
  <c r="I3739" i="2"/>
  <c r="H3739" i="2"/>
  <c r="G3739" i="2"/>
  <c r="I3738" i="2"/>
  <c r="H3738" i="2"/>
  <c r="G3738" i="2"/>
  <c r="I3737" i="2"/>
  <c r="H3737" i="2"/>
  <c r="G3737" i="2"/>
  <c r="I3736" i="2"/>
  <c r="H3736" i="2"/>
  <c r="G3736" i="2"/>
  <c r="I3735" i="2"/>
  <c r="H3735" i="2"/>
  <c r="G3735" i="2"/>
  <c r="I3734" i="2"/>
  <c r="H3734" i="2"/>
  <c r="G3734" i="2"/>
  <c r="I3733" i="2"/>
  <c r="H3733" i="2"/>
  <c r="G3733" i="2"/>
  <c r="I3732" i="2"/>
  <c r="H3732" i="2"/>
  <c r="G3732" i="2"/>
  <c r="I3731" i="2"/>
  <c r="H3731" i="2"/>
  <c r="G3731" i="2"/>
  <c r="I3730" i="2"/>
  <c r="H3730" i="2"/>
  <c r="G3730" i="2"/>
  <c r="I3729" i="2"/>
  <c r="H3729" i="2"/>
  <c r="G3729" i="2"/>
  <c r="I3728" i="2"/>
  <c r="H3728" i="2"/>
  <c r="G3728" i="2"/>
  <c r="I3727" i="2"/>
  <c r="H3727" i="2"/>
  <c r="G3727" i="2"/>
  <c r="I3726" i="2"/>
  <c r="H3726" i="2"/>
  <c r="G3726" i="2"/>
  <c r="I3725" i="2"/>
  <c r="H3725" i="2"/>
  <c r="G3725" i="2"/>
  <c r="I3724" i="2"/>
  <c r="H3724" i="2"/>
  <c r="G3724" i="2"/>
  <c r="I3723" i="2"/>
  <c r="H3723" i="2"/>
  <c r="G3723" i="2"/>
  <c r="I3722" i="2"/>
  <c r="H3722" i="2"/>
  <c r="G3722" i="2"/>
  <c r="I3721" i="2"/>
  <c r="H3721" i="2"/>
  <c r="G3721" i="2"/>
  <c r="I3720" i="2"/>
  <c r="H3720" i="2"/>
  <c r="G3720" i="2"/>
  <c r="I3719" i="2"/>
  <c r="H3719" i="2"/>
  <c r="G3719" i="2"/>
  <c r="I3718" i="2"/>
  <c r="H3718" i="2"/>
  <c r="G3718" i="2"/>
  <c r="I3717" i="2"/>
  <c r="H3717" i="2"/>
  <c r="G3717" i="2"/>
  <c r="I3716" i="2"/>
  <c r="H3716" i="2"/>
  <c r="G3716" i="2"/>
  <c r="I3715" i="2"/>
  <c r="H3715" i="2"/>
  <c r="G3715" i="2"/>
  <c r="I3714" i="2"/>
  <c r="H3714" i="2"/>
  <c r="G3714" i="2"/>
  <c r="I3713" i="2"/>
  <c r="H3713" i="2"/>
  <c r="G3713" i="2"/>
  <c r="I3712" i="2"/>
  <c r="H3712" i="2"/>
  <c r="G3712" i="2"/>
  <c r="I3711" i="2"/>
  <c r="H3711" i="2"/>
  <c r="G3711" i="2"/>
  <c r="I3710" i="2"/>
  <c r="H3710" i="2"/>
  <c r="G3710" i="2"/>
  <c r="I3709" i="2"/>
  <c r="H3709" i="2"/>
  <c r="G3709" i="2"/>
  <c r="I3708" i="2"/>
  <c r="H3708" i="2"/>
  <c r="G3708" i="2"/>
  <c r="I3707" i="2"/>
  <c r="H3707" i="2"/>
  <c r="G3707" i="2"/>
  <c r="I3706" i="2"/>
  <c r="H3706" i="2"/>
  <c r="G3706" i="2"/>
  <c r="I3705" i="2"/>
  <c r="H3705" i="2"/>
  <c r="G3705" i="2"/>
  <c r="I3704" i="2"/>
  <c r="H3704" i="2"/>
  <c r="G3704" i="2"/>
  <c r="I3703" i="2"/>
  <c r="H3703" i="2"/>
  <c r="G3703" i="2"/>
  <c r="I3702" i="2"/>
  <c r="H3702" i="2"/>
  <c r="G3702" i="2"/>
  <c r="I3701" i="2"/>
  <c r="H3701" i="2"/>
  <c r="G3701" i="2"/>
  <c r="I3700" i="2"/>
  <c r="H3700" i="2"/>
  <c r="G3700" i="2"/>
  <c r="I3699" i="2"/>
  <c r="H3699" i="2"/>
  <c r="G3699" i="2"/>
  <c r="I3698" i="2"/>
  <c r="H3698" i="2"/>
  <c r="G3698" i="2"/>
  <c r="I3697" i="2"/>
  <c r="H3697" i="2"/>
  <c r="G3697" i="2"/>
  <c r="I3696" i="2"/>
  <c r="H3696" i="2"/>
  <c r="G3696" i="2"/>
  <c r="I3695" i="2"/>
  <c r="H3695" i="2"/>
  <c r="G3695" i="2"/>
  <c r="I3694" i="2"/>
  <c r="H3694" i="2"/>
  <c r="G3694" i="2"/>
  <c r="I3693" i="2"/>
  <c r="H3693" i="2"/>
  <c r="G3693" i="2"/>
  <c r="I3692" i="2"/>
  <c r="H3692" i="2"/>
  <c r="G3692" i="2"/>
  <c r="I3691" i="2"/>
  <c r="H3691" i="2"/>
  <c r="G3691" i="2"/>
  <c r="I3690" i="2"/>
  <c r="H3690" i="2"/>
  <c r="G3690" i="2"/>
  <c r="I3689" i="2"/>
  <c r="H3689" i="2"/>
  <c r="G3689" i="2"/>
  <c r="I3688" i="2"/>
  <c r="H3688" i="2"/>
  <c r="G3688" i="2"/>
  <c r="I3687" i="2"/>
  <c r="H3687" i="2"/>
  <c r="G3687" i="2"/>
  <c r="I3686" i="2"/>
  <c r="H3686" i="2"/>
  <c r="G3686" i="2"/>
  <c r="I3685" i="2"/>
  <c r="H3685" i="2"/>
  <c r="G3685" i="2"/>
  <c r="I3684" i="2"/>
  <c r="H3684" i="2"/>
  <c r="G3684" i="2"/>
  <c r="I3683" i="2"/>
  <c r="H3683" i="2"/>
  <c r="G3683" i="2"/>
  <c r="I3682" i="2"/>
  <c r="H3682" i="2"/>
  <c r="G3682" i="2"/>
  <c r="I3681" i="2"/>
  <c r="H3681" i="2"/>
  <c r="G3681" i="2"/>
  <c r="I3680" i="2"/>
  <c r="H3680" i="2"/>
  <c r="G3680" i="2"/>
  <c r="I3679" i="2"/>
  <c r="H3679" i="2"/>
  <c r="G3679" i="2"/>
  <c r="I3678" i="2"/>
  <c r="H3678" i="2"/>
  <c r="G3678" i="2"/>
  <c r="I3677" i="2"/>
  <c r="H3677" i="2"/>
  <c r="G3677" i="2"/>
  <c r="I3676" i="2"/>
  <c r="H3676" i="2"/>
  <c r="G3676" i="2"/>
  <c r="I3675" i="2"/>
  <c r="H3675" i="2"/>
  <c r="G3675" i="2"/>
  <c r="I3674" i="2"/>
  <c r="H3674" i="2"/>
  <c r="G3674" i="2"/>
  <c r="I3673" i="2"/>
  <c r="H3673" i="2"/>
  <c r="G3673" i="2"/>
  <c r="I3672" i="2"/>
  <c r="H3672" i="2"/>
  <c r="G3672" i="2"/>
  <c r="I3671" i="2"/>
  <c r="H3671" i="2"/>
  <c r="G3671" i="2"/>
  <c r="I3670" i="2"/>
  <c r="H3670" i="2"/>
  <c r="G3670" i="2"/>
  <c r="I3669" i="2"/>
  <c r="H3669" i="2"/>
  <c r="G3669" i="2"/>
  <c r="I3668" i="2"/>
  <c r="H3668" i="2"/>
  <c r="G3668" i="2"/>
  <c r="I3667" i="2"/>
  <c r="H3667" i="2"/>
  <c r="G3667" i="2"/>
  <c r="I3666" i="2"/>
  <c r="H3666" i="2"/>
  <c r="G3666" i="2"/>
  <c r="I3665" i="2"/>
  <c r="H3665" i="2"/>
  <c r="G3665" i="2"/>
  <c r="I3664" i="2"/>
  <c r="H3664" i="2"/>
  <c r="G3664" i="2"/>
  <c r="I3663" i="2"/>
  <c r="H3663" i="2"/>
  <c r="G3663" i="2"/>
  <c r="I3662" i="2"/>
  <c r="H3662" i="2"/>
  <c r="G3662" i="2"/>
  <c r="I3661" i="2"/>
  <c r="H3661" i="2"/>
  <c r="G3661" i="2"/>
  <c r="I3660" i="2"/>
  <c r="H3660" i="2"/>
  <c r="G3660" i="2"/>
  <c r="I3659" i="2"/>
  <c r="H3659" i="2"/>
  <c r="G3659" i="2"/>
  <c r="I3658" i="2"/>
  <c r="H3658" i="2"/>
  <c r="G3658" i="2"/>
  <c r="I3657" i="2"/>
  <c r="H3657" i="2"/>
  <c r="G3657" i="2"/>
  <c r="I3656" i="2"/>
  <c r="H3656" i="2"/>
  <c r="G3656" i="2"/>
  <c r="I3655" i="2"/>
  <c r="H3655" i="2"/>
  <c r="G3655" i="2"/>
  <c r="I3654" i="2"/>
  <c r="H3654" i="2"/>
  <c r="G3654" i="2"/>
  <c r="I3653" i="2"/>
  <c r="H3653" i="2"/>
  <c r="G3653" i="2"/>
  <c r="I3652" i="2"/>
  <c r="H3652" i="2"/>
  <c r="G3652" i="2"/>
  <c r="I3651" i="2"/>
  <c r="H3651" i="2"/>
  <c r="G3651" i="2"/>
  <c r="I3650" i="2"/>
  <c r="H3650" i="2"/>
  <c r="G3650" i="2"/>
  <c r="I3649" i="2"/>
  <c r="H3649" i="2"/>
  <c r="G3649" i="2"/>
  <c r="I3648" i="2"/>
  <c r="H3648" i="2"/>
  <c r="G3648" i="2"/>
  <c r="I3647" i="2"/>
  <c r="H3647" i="2"/>
  <c r="G3647" i="2"/>
  <c r="I3646" i="2"/>
  <c r="H3646" i="2"/>
  <c r="G3646" i="2"/>
  <c r="I3645" i="2"/>
  <c r="H3645" i="2"/>
  <c r="G3645" i="2"/>
  <c r="I3644" i="2"/>
  <c r="H3644" i="2"/>
  <c r="G3644" i="2"/>
  <c r="I3643" i="2"/>
  <c r="H3643" i="2"/>
  <c r="G3643" i="2"/>
  <c r="I3642" i="2"/>
  <c r="H3642" i="2"/>
  <c r="G3642" i="2"/>
  <c r="I3641" i="2"/>
  <c r="H3641" i="2"/>
  <c r="G3641" i="2"/>
  <c r="I3640" i="2"/>
  <c r="H3640" i="2"/>
  <c r="G3640" i="2"/>
  <c r="I3639" i="2"/>
  <c r="H3639" i="2"/>
  <c r="G3639" i="2"/>
  <c r="I3638" i="2"/>
  <c r="H3638" i="2"/>
  <c r="G3638" i="2"/>
  <c r="I3637" i="2"/>
  <c r="H3637" i="2"/>
  <c r="G3637" i="2"/>
  <c r="I3636" i="2"/>
  <c r="H3636" i="2"/>
  <c r="G3636" i="2"/>
  <c r="I3635" i="2"/>
  <c r="H3635" i="2"/>
  <c r="G3635" i="2"/>
  <c r="I3634" i="2"/>
  <c r="H3634" i="2"/>
  <c r="G3634" i="2"/>
  <c r="I3633" i="2"/>
  <c r="H3633" i="2"/>
  <c r="G3633" i="2"/>
  <c r="I3632" i="2"/>
  <c r="H3632" i="2"/>
  <c r="G3632" i="2"/>
  <c r="I3631" i="2"/>
  <c r="H3631" i="2"/>
  <c r="G3631" i="2"/>
  <c r="I3630" i="2"/>
  <c r="H3630" i="2"/>
  <c r="G3630" i="2"/>
  <c r="I3629" i="2"/>
  <c r="H3629" i="2"/>
  <c r="G3629" i="2"/>
  <c r="I3628" i="2"/>
  <c r="H3628" i="2"/>
  <c r="G3628" i="2"/>
  <c r="I3627" i="2"/>
  <c r="H3627" i="2"/>
  <c r="G3627" i="2"/>
  <c r="I3626" i="2"/>
  <c r="H3626" i="2"/>
  <c r="G3626" i="2"/>
  <c r="I3625" i="2"/>
  <c r="H3625" i="2"/>
  <c r="G3625" i="2"/>
  <c r="I3624" i="2"/>
  <c r="H3624" i="2"/>
  <c r="G3624" i="2"/>
  <c r="I3623" i="2"/>
  <c r="H3623" i="2"/>
  <c r="G3623" i="2"/>
  <c r="I3622" i="2"/>
  <c r="H3622" i="2"/>
  <c r="G3622" i="2"/>
  <c r="I3621" i="2"/>
  <c r="H3621" i="2"/>
  <c r="G3621" i="2"/>
  <c r="I3620" i="2"/>
  <c r="H3620" i="2"/>
  <c r="G3620" i="2"/>
  <c r="I3619" i="2"/>
  <c r="H3619" i="2"/>
  <c r="G3619" i="2"/>
  <c r="I3618" i="2"/>
  <c r="H3618" i="2"/>
  <c r="G3618" i="2"/>
  <c r="I3617" i="2"/>
  <c r="H3617" i="2"/>
  <c r="G3617" i="2"/>
  <c r="I3616" i="2"/>
  <c r="H3616" i="2"/>
  <c r="G3616" i="2"/>
  <c r="I3615" i="2"/>
  <c r="H3615" i="2"/>
  <c r="G3615" i="2"/>
  <c r="I3614" i="2"/>
  <c r="H3614" i="2"/>
  <c r="G3614" i="2"/>
  <c r="I3613" i="2"/>
  <c r="H3613" i="2"/>
  <c r="G3613" i="2"/>
  <c r="I3612" i="2"/>
  <c r="H3612" i="2"/>
  <c r="G3612" i="2"/>
  <c r="I3611" i="2"/>
  <c r="H3611" i="2"/>
  <c r="G3611" i="2"/>
  <c r="I3610" i="2"/>
  <c r="H3610" i="2"/>
  <c r="G3610" i="2"/>
  <c r="I3609" i="2"/>
  <c r="H3609" i="2"/>
  <c r="G3609" i="2"/>
  <c r="I3608" i="2"/>
  <c r="H3608" i="2"/>
  <c r="G3608" i="2"/>
  <c r="I3607" i="2"/>
  <c r="H3607" i="2"/>
  <c r="G3607" i="2"/>
  <c r="I3606" i="2"/>
  <c r="H3606" i="2"/>
  <c r="G3606" i="2"/>
  <c r="I3605" i="2"/>
  <c r="H3605" i="2"/>
  <c r="G3605" i="2"/>
  <c r="I3604" i="2"/>
  <c r="H3604" i="2"/>
  <c r="G3604" i="2"/>
  <c r="I3603" i="2"/>
  <c r="H3603" i="2"/>
  <c r="G3603" i="2"/>
  <c r="I3602" i="2"/>
  <c r="H3602" i="2"/>
  <c r="G3602" i="2"/>
  <c r="I3601" i="2"/>
  <c r="H3601" i="2"/>
  <c r="G3601" i="2"/>
  <c r="I3600" i="2"/>
  <c r="H3600" i="2"/>
  <c r="G3600" i="2"/>
  <c r="I3599" i="2"/>
  <c r="H3599" i="2"/>
  <c r="G3599" i="2"/>
  <c r="I3598" i="2"/>
  <c r="H3598" i="2"/>
  <c r="G3598" i="2"/>
  <c r="I3597" i="2"/>
  <c r="H3597" i="2"/>
  <c r="G3597" i="2"/>
  <c r="I3596" i="2"/>
  <c r="H3596" i="2"/>
  <c r="G3596" i="2"/>
  <c r="I3595" i="2"/>
  <c r="H3595" i="2"/>
  <c r="G3595" i="2"/>
  <c r="I3594" i="2"/>
  <c r="H3594" i="2"/>
  <c r="G3594" i="2"/>
  <c r="I3593" i="2"/>
  <c r="H3593" i="2"/>
  <c r="G3593" i="2"/>
  <c r="I3592" i="2"/>
  <c r="H3592" i="2"/>
  <c r="G3592" i="2"/>
  <c r="I3591" i="2"/>
  <c r="H3591" i="2"/>
  <c r="G3591" i="2"/>
  <c r="I3590" i="2"/>
  <c r="H3590" i="2"/>
  <c r="G3590" i="2"/>
  <c r="I3589" i="2"/>
  <c r="H3589" i="2"/>
  <c r="G3589" i="2"/>
  <c r="I3588" i="2"/>
  <c r="H3588" i="2"/>
  <c r="G3588" i="2"/>
  <c r="I3587" i="2"/>
  <c r="H3587" i="2"/>
  <c r="G3587" i="2"/>
  <c r="I3586" i="2"/>
  <c r="H3586" i="2"/>
  <c r="G3586" i="2"/>
  <c r="I3585" i="2"/>
  <c r="H3585" i="2"/>
  <c r="G3585" i="2"/>
  <c r="I3584" i="2"/>
  <c r="H3584" i="2"/>
  <c r="G3584" i="2"/>
  <c r="I3583" i="2"/>
  <c r="H3583" i="2"/>
  <c r="G3583" i="2"/>
  <c r="I3582" i="2"/>
  <c r="H3582" i="2"/>
  <c r="G3582" i="2"/>
  <c r="I3581" i="2"/>
  <c r="H3581" i="2"/>
  <c r="G3581" i="2"/>
  <c r="I3580" i="2"/>
  <c r="H3580" i="2"/>
  <c r="G3580" i="2"/>
  <c r="I3579" i="2"/>
  <c r="H3579" i="2"/>
  <c r="G3579" i="2"/>
  <c r="I3578" i="2"/>
  <c r="H3578" i="2"/>
  <c r="G3578" i="2"/>
  <c r="I3577" i="2"/>
  <c r="H3577" i="2"/>
  <c r="G3577" i="2"/>
  <c r="I3576" i="2"/>
  <c r="H3576" i="2"/>
  <c r="G3576" i="2"/>
  <c r="I3575" i="2"/>
  <c r="H3575" i="2"/>
  <c r="G3575" i="2"/>
  <c r="I3574" i="2"/>
  <c r="H3574" i="2"/>
  <c r="G3574" i="2"/>
  <c r="I3573" i="2"/>
  <c r="H3573" i="2"/>
  <c r="G3573" i="2"/>
  <c r="I3572" i="2"/>
  <c r="H3572" i="2"/>
  <c r="G3572" i="2"/>
  <c r="I3571" i="2"/>
  <c r="H3571" i="2"/>
  <c r="G3571" i="2"/>
  <c r="I3570" i="2"/>
  <c r="H3570" i="2"/>
  <c r="G3570" i="2"/>
  <c r="I3569" i="2"/>
  <c r="H3569" i="2"/>
  <c r="G3569" i="2"/>
  <c r="I3568" i="2"/>
  <c r="H3568" i="2"/>
  <c r="G3568" i="2"/>
  <c r="I3567" i="2"/>
  <c r="H3567" i="2"/>
  <c r="G3567" i="2"/>
  <c r="I3566" i="2"/>
  <c r="H3566" i="2"/>
  <c r="G3566" i="2"/>
  <c r="I3565" i="2"/>
  <c r="H3565" i="2"/>
  <c r="G3565" i="2"/>
  <c r="I3564" i="2"/>
  <c r="H3564" i="2"/>
  <c r="G3564" i="2"/>
  <c r="I3563" i="2"/>
  <c r="H3563" i="2"/>
  <c r="G3563" i="2"/>
  <c r="I3562" i="2"/>
  <c r="H3562" i="2"/>
  <c r="G3562" i="2"/>
  <c r="I3561" i="2"/>
  <c r="H3561" i="2"/>
  <c r="G3561" i="2"/>
  <c r="I3560" i="2"/>
  <c r="H3560" i="2"/>
  <c r="G3560" i="2"/>
  <c r="I3559" i="2"/>
  <c r="H3559" i="2"/>
  <c r="G3559" i="2"/>
  <c r="I3558" i="2"/>
  <c r="H3558" i="2"/>
  <c r="G3558" i="2"/>
  <c r="I3557" i="2"/>
  <c r="H3557" i="2"/>
  <c r="G3557" i="2"/>
  <c r="I3556" i="2"/>
  <c r="H3556" i="2"/>
  <c r="G3556" i="2"/>
  <c r="I3555" i="2"/>
  <c r="H3555" i="2"/>
  <c r="G3555" i="2"/>
  <c r="I3554" i="2"/>
  <c r="H3554" i="2"/>
  <c r="G3554" i="2"/>
  <c r="I3553" i="2"/>
  <c r="H3553" i="2"/>
  <c r="G3553" i="2"/>
  <c r="I3552" i="2"/>
  <c r="H3552" i="2"/>
  <c r="G3552" i="2"/>
  <c r="I3551" i="2"/>
  <c r="H3551" i="2"/>
  <c r="G3551" i="2"/>
  <c r="I3550" i="2"/>
  <c r="H3550" i="2"/>
  <c r="G3550" i="2"/>
  <c r="I3549" i="2"/>
  <c r="H3549" i="2"/>
  <c r="G3549" i="2"/>
  <c r="I3548" i="2"/>
  <c r="H3548" i="2"/>
  <c r="G3548" i="2"/>
  <c r="I3547" i="2"/>
  <c r="H3547" i="2"/>
  <c r="G3547" i="2"/>
  <c r="I3546" i="2"/>
  <c r="H3546" i="2"/>
  <c r="G3546" i="2"/>
  <c r="I3545" i="2"/>
  <c r="H3545" i="2"/>
  <c r="G3545" i="2"/>
  <c r="I3544" i="2"/>
  <c r="H3544" i="2"/>
  <c r="G3544" i="2"/>
  <c r="I3543" i="2"/>
  <c r="H3543" i="2"/>
  <c r="G3543" i="2"/>
  <c r="I3542" i="2"/>
  <c r="H3542" i="2"/>
  <c r="G3542" i="2"/>
  <c r="I3541" i="2"/>
  <c r="H3541" i="2"/>
  <c r="G3541" i="2"/>
  <c r="I3540" i="2"/>
  <c r="H3540" i="2"/>
  <c r="G3540" i="2"/>
  <c r="I3539" i="2"/>
  <c r="H3539" i="2"/>
  <c r="G3539" i="2"/>
  <c r="I3538" i="2"/>
  <c r="H3538" i="2"/>
  <c r="G3538" i="2"/>
  <c r="I3537" i="2"/>
  <c r="H3537" i="2"/>
  <c r="G3537" i="2"/>
  <c r="I3536" i="2"/>
  <c r="H3536" i="2"/>
  <c r="G3536" i="2"/>
  <c r="I3535" i="2"/>
  <c r="H3535" i="2"/>
  <c r="G3535" i="2"/>
  <c r="I3534" i="2"/>
  <c r="H3534" i="2"/>
  <c r="G3534" i="2"/>
  <c r="I3533" i="2"/>
  <c r="H3533" i="2"/>
  <c r="G3533" i="2"/>
  <c r="I3532" i="2"/>
  <c r="H3532" i="2"/>
  <c r="G3532" i="2"/>
  <c r="I3531" i="2"/>
  <c r="H3531" i="2"/>
  <c r="G3531" i="2"/>
  <c r="I3530" i="2"/>
  <c r="H3530" i="2"/>
  <c r="G3530" i="2"/>
  <c r="I3529" i="2"/>
  <c r="H3529" i="2"/>
  <c r="G3529" i="2"/>
  <c r="I3528" i="2"/>
  <c r="H3528" i="2"/>
  <c r="G3528" i="2"/>
  <c r="I3527" i="2"/>
  <c r="H3527" i="2"/>
  <c r="G3527" i="2"/>
  <c r="I3526" i="2"/>
  <c r="H3526" i="2"/>
  <c r="G3526" i="2"/>
  <c r="I3525" i="2"/>
  <c r="H3525" i="2"/>
  <c r="G3525" i="2"/>
  <c r="I3524" i="2"/>
  <c r="H3524" i="2"/>
  <c r="G3524" i="2"/>
  <c r="I3523" i="2"/>
  <c r="H3523" i="2"/>
  <c r="G3523" i="2"/>
  <c r="I3522" i="2"/>
  <c r="H3522" i="2"/>
  <c r="G3522" i="2"/>
  <c r="I3521" i="2"/>
  <c r="H3521" i="2"/>
  <c r="G3521" i="2"/>
  <c r="I3520" i="2"/>
  <c r="H3520" i="2"/>
  <c r="G3520" i="2"/>
  <c r="I3519" i="2"/>
  <c r="H3519" i="2"/>
  <c r="G3519" i="2"/>
  <c r="I3518" i="2"/>
  <c r="H3518" i="2"/>
  <c r="G3518" i="2"/>
  <c r="I3517" i="2"/>
  <c r="H3517" i="2"/>
  <c r="G3517" i="2"/>
  <c r="I3516" i="2"/>
  <c r="H3516" i="2"/>
  <c r="G3516" i="2"/>
  <c r="I3515" i="2"/>
  <c r="H3515" i="2"/>
  <c r="G3515" i="2"/>
  <c r="I3514" i="2"/>
  <c r="H3514" i="2"/>
  <c r="G3514" i="2"/>
  <c r="I3513" i="2"/>
  <c r="H3513" i="2"/>
  <c r="G3513" i="2"/>
  <c r="I3512" i="2"/>
  <c r="H3512" i="2"/>
  <c r="G3512" i="2"/>
  <c r="I3511" i="2"/>
  <c r="H3511" i="2"/>
  <c r="G3511" i="2"/>
  <c r="I3510" i="2"/>
  <c r="H3510" i="2"/>
  <c r="G3510" i="2"/>
  <c r="I3509" i="2"/>
  <c r="H3509" i="2"/>
  <c r="G3509" i="2"/>
  <c r="I3508" i="2"/>
  <c r="H3508" i="2"/>
  <c r="G3508" i="2"/>
  <c r="I3507" i="2"/>
  <c r="H3507" i="2"/>
  <c r="G3507" i="2"/>
  <c r="I3506" i="2"/>
  <c r="H3506" i="2"/>
  <c r="G3506" i="2"/>
  <c r="I3505" i="2"/>
  <c r="H3505" i="2"/>
  <c r="G3505" i="2"/>
  <c r="I3504" i="2"/>
  <c r="H3504" i="2"/>
  <c r="G3504" i="2"/>
  <c r="I3503" i="2"/>
  <c r="H3503" i="2"/>
  <c r="G3503" i="2"/>
  <c r="I3502" i="2"/>
  <c r="H3502" i="2"/>
  <c r="G3502" i="2"/>
  <c r="I3501" i="2"/>
  <c r="H3501" i="2"/>
  <c r="G3501" i="2"/>
  <c r="I3500" i="2"/>
  <c r="H3500" i="2"/>
  <c r="G3500" i="2"/>
  <c r="I3499" i="2"/>
  <c r="H3499" i="2"/>
  <c r="G3499" i="2"/>
  <c r="I3498" i="2"/>
  <c r="H3498" i="2"/>
  <c r="G3498" i="2"/>
  <c r="I3497" i="2"/>
  <c r="H3497" i="2"/>
  <c r="G3497" i="2"/>
  <c r="I3496" i="2"/>
  <c r="H3496" i="2"/>
  <c r="G3496" i="2"/>
  <c r="I3495" i="2"/>
  <c r="H3495" i="2"/>
  <c r="G3495" i="2"/>
  <c r="I3494" i="2"/>
  <c r="H3494" i="2"/>
  <c r="G3494" i="2"/>
  <c r="I3493" i="2"/>
  <c r="H3493" i="2"/>
  <c r="G3493" i="2"/>
  <c r="I3492" i="2"/>
  <c r="H3492" i="2"/>
  <c r="G3492" i="2"/>
  <c r="I3491" i="2"/>
  <c r="H3491" i="2"/>
  <c r="G3491" i="2"/>
  <c r="I3490" i="2"/>
  <c r="H3490" i="2"/>
  <c r="G3490" i="2"/>
  <c r="I3489" i="2"/>
  <c r="H3489" i="2"/>
  <c r="G3489" i="2"/>
  <c r="I3488" i="2"/>
  <c r="H3488" i="2"/>
  <c r="G3488" i="2"/>
  <c r="I3487" i="2"/>
  <c r="H3487" i="2"/>
  <c r="G3487" i="2"/>
  <c r="I3486" i="2"/>
  <c r="H3486" i="2"/>
  <c r="G3486" i="2"/>
  <c r="I3485" i="2"/>
  <c r="H3485" i="2"/>
  <c r="G3485" i="2"/>
  <c r="I3484" i="2"/>
  <c r="H3484" i="2"/>
  <c r="G3484" i="2"/>
  <c r="I3483" i="2"/>
  <c r="H3483" i="2"/>
  <c r="G3483" i="2"/>
  <c r="I3482" i="2"/>
  <c r="H3482" i="2"/>
  <c r="G3482" i="2"/>
  <c r="I3481" i="2"/>
  <c r="H3481" i="2"/>
  <c r="G3481" i="2"/>
  <c r="I3480" i="2"/>
  <c r="H3480" i="2"/>
  <c r="G3480" i="2"/>
  <c r="I3479" i="2"/>
  <c r="H3479" i="2"/>
  <c r="G3479" i="2"/>
  <c r="I3478" i="2"/>
  <c r="H3478" i="2"/>
  <c r="G3478" i="2"/>
  <c r="I3477" i="2"/>
  <c r="H3477" i="2"/>
  <c r="G3477" i="2"/>
  <c r="I3476" i="2"/>
  <c r="H3476" i="2"/>
  <c r="G3476" i="2"/>
  <c r="I3475" i="2"/>
  <c r="H3475" i="2"/>
  <c r="G3475" i="2"/>
  <c r="I3474" i="2"/>
  <c r="H3474" i="2"/>
  <c r="G3474" i="2"/>
  <c r="I3473" i="2"/>
  <c r="H3473" i="2"/>
  <c r="G3473" i="2"/>
  <c r="I3472" i="2"/>
  <c r="H3472" i="2"/>
  <c r="G3472" i="2"/>
  <c r="I3471" i="2"/>
  <c r="H3471" i="2"/>
  <c r="G3471" i="2"/>
  <c r="I3470" i="2"/>
  <c r="H3470" i="2"/>
  <c r="G3470" i="2"/>
  <c r="I3469" i="2"/>
  <c r="H3469" i="2"/>
  <c r="G3469" i="2"/>
  <c r="I3468" i="2"/>
  <c r="H3468" i="2"/>
  <c r="G3468" i="2"/>
  <c r="I3467" i="2"/>
  <c r="H3467" i="2"/>
  <c r="G3467" i="2"/>
  <c r="I3466" i="2"/>
  <c r="H3466" i="2"/>
  <c r="G3466" i="2"/>
  <c r="I3465" i="2"/>
  <c r="H3465" i="2"/>
  <c r="G3465" i="2"/>
  <c r="I3464" i="2"/>
  <c r="H3464" i="2"/>
  <c r="G3464" i="2"/>
  <c r="I3463" i="2"/>
  <c r="H3463" i="2"/>
  <c r="G3463" i="2"/>
  <c r="I3462" i="2"/>
  <c r="H3462" i="2"/>
  <c r="G3462" i="2"/>
  <c r="I3461" i="2"/>
  <c r="H3461" i="2"/>
  <c r="G3461" i="2"/>
  <c r="I3460" i="2"/>
  <c r="H3460" i="2"/>
  <c r="G3460" i="2"/>
  <c r="I3459" i="2"/>
  <c r="H3459" i="2"/>
  <c r="G3459" i="2"/>
  <c r="I3458" i="2"/>
  <c r="H3458" i="2"/>
  <c r="G3458" i="2"/>
  <c r="I3457" i="2"/>
  <c r="H3457" i="2"/>
  <c r="G3457" i="2"/>
  <c r="I3456" i="2"/>
  <c r="H3456" i="2"/>
  <c r="G3456" i="2"/>
  <c r="I3455" i="2"/>
  <c r="H3455" i="2"/>
  <c r="G3455" i="2"/>
  <c r="I3454" i="2"/>
  <c r="H3454" i="2"/>
  <c r="G3454" i="2"/>
  <c r="I3453" i="2"/>
  <c r="H3453" i="2"/>
  <c r="G3453" i="2"/>
  <c r="I3452" i="2"/>
  <c r="H3452" i="2"/>
  <c r="G3452" i="2"/>
  <c r="I3451" i="2"/>
  <c r="H3451" i="2"/>
  <c r="G3451" i="2"/>
  <c r="I3450" i="2"/>
  <c r="H3450" i="2"/>
  <c r="G3450" i="2"/>
  <c r="I3449" i="2"/>
  <c r="H3449" i="2"/>
  <c r="G3449" i="2"/>
  <c r="I3448" i="2"/>
  <c r="H3448" i="2"/>
  <c r="G3448" i="2"/>
  <c r="I3447" i="2"/>
  <c r="H3447" i="2"/>
  <c r="G3447" i="2"/>
  <c r="I3446" i="2"/>
  <c r="H3446" i="2"/>
  <c r="G3446" i="2"/>
  <c r="I3445" i="2"/>
  <c r="H3445" i="2"/>
  <c r="G3445" i="2"/>
  <c r="I3444" i="2"/>
  <c r="H3444" i="2"/>
  <c r="G3444" i="2"/>
  <c r="I3443" i="2"/>
  <c r="H3443" i="2"/>
  <c r="G3443" i="2"/>
  <c r="I3442" i="2"/>
  <c r="H3442" i="2"/>
  <c r="G3442" i="2"/>
  <c r="I3441" i="2"/>
  <c r="H3441" i="2"/>
  <c r="G3441" i="2"/>
  <c r="I3440" i="2"/>
  <c r="H3440" i="2"/>
  <c r="G3440" i="2"/>
  <c r="I3439" i="2"/>
  <c r="H3439" i="2"/>
  <c r="G3439" i="2"/>
  <c r="I3438" i="2"/>
  <c r="H3438" i="2"/>
  <c r="G3438" i="2"/>
  <c r="I3437" i="2"/>
  <c r="H3437" i="2"/>
  <c r="G3437" i="2"/>
  <c r="I3436" i="2"/>
  <c r="H3436" i="2"/>
  <c r="G3436" i="2"/>
  <c r="I3435" i="2"/>
  <c r="H3435" i="2"/>
  <c r="G3435" i="2"/>
  <c r="I3434" i="2"/>
  <c r="H3434" i="2"/>
  <c r="G3434" i="2"/>
  <c r="I3433" i="2"/>
  <c r="H3433" i="2"/>
  <c r="G3433" i="2"/>
  <c r="I3432" i="2"/>
  <c r="H3432" i="2"/>
  <c r="G3432" i="2"/>
  <c r="I3431" i="2"/>
  <c r="H3431" i="2"/>
  <c r="G3431" i="2"/>
  <c r="I3430" i="2"/>
  <c r="H3430" i="2"/>
  <c r="G3430" i="2"/>
  <c r="I3429" i="2"/>
  <c r="H3429" i="2"/>
  <c r="G3429" i="2"/>
  <c r="I3428" i="2"/>
  <c r="H3428" i="2"/>
  <c r="G3428" i="2"/>
  <c r="I3427" i="2"/>
  <c r="H3427" i="2"/>
  <c r="G3427" i="2"/>
  <c r="I3426" i="2"/>
  <c r="H3426" i="2"/>
  <c r="G3426" i="2"/>
  <c r="I3425" i="2"/>
  <c r="H3425" i="2"/>
  <c r="G3425" i="2"/>
  <c r="I3424" i="2"/>
  <c r="H3424" i="2"/>
  <c r="G3424" i="2"/>
  <c r="I3423" i="2"/>
  <c r="H3423" i="2"/>
  <c r="G3423" i="2"/>
  <c r="I3422" i="2"/>
  <c r="H3422" i="2"/>
  <c r="G3422" i="2"/>
  <c r="I3421" i="2"/>
  <c r="H3421" i="2"/>
  <c r="G3421" i="2"/>
  <c r="I3420" i="2"/>
  <c r="H3420" i="2"/>
  <c r="G3420" i="2"/>
  <c r="I3419" i="2"/>
  <c r="H3419" i="2"/>
  <c r="G3419" i="2"/>
  <c r="I3418" i="2"/>
  <c r="H3418" i="2"/>
  <c r="G3418" i="2"/>
  <c r="I3417" i="2"/>
  <c r="H3417" i="2"/>
  <c r="G3417" i="2"/>
  <c r="I3416" i="2"/>
  <c r="H3416" i="2"/>
  <c r="G3416" i="2"/>
  <c r="I3415" i="2"/>
  <c r="H3415" i="2"/>
  <c r="G3415" i="2"/>
  <c r="I3414" i="2"/>
  <c r="H3414" i="2"/>
  <c r="G3414" i="2"/>
  <c r="I3413" i="2"/>
  <c r="H3413" i="2"/>
  <c r="G3413" i="2"/>
  <c r="I3412" i="2"/>
  <c r="H3412" i="2"/>
  <c r="G3412" i="2"/>
  <c r="I3411" i="2"/>
  <c r="H3411" i="2"/>
  <c r="G3411" i="2"/>
  <c r="I3410" i="2"/>
  <c r="H3410" i="2"/>
  <c r="G3410" i="2"/>
  <c r="I3409" i="2"/>
  <c r="H3409" i="2"/>
  <c r="G3409" i="2"/>
  <c r="I3408" i="2"/>
  <c r="H3408" i="2"/>
  <c r="G3408" i="2"/>
  <c r="I3407" i="2"/>
  <c r="H3407" i="2"/>
  <c r="G3407" i="2"/>
  <c r="I3406" i="2"/>
  <c r="H3406" i="2"/>
  <c r="G3406" i="2"/>
  <c r="I3405" i="2"/>
  <c r="H3405" i="2"/>
  <c r="G3405" i="2"/>
  <c r="I3404" i="2"/>
  <c r="H3404" i="2"/>
  <c r="G3404" i="2"/>
  <c r="I3403" i="2"/>
  <c r="H3403" i="2"/>
  <c r="G3403" i="2"/>
  <c r="I3402" i="2"/>
  <c r="H3402" i="2"/>
  <c r="G3402" i="2"/>
  <c r="I3401" i="2"/>
  <c r="H3401" i="2"/>
  <c r="G3401" i="2"/>
  <c r="I3400" i="2"/>
  <c r="H3400" i="2"/>
  <c r="G3400" i="2"/>
  <c r="I3399" i="2"/>
  <c r="H3399" i="2"/>
  <c r="G3399" i="2"/>
  <c r="I3398" i="2"/>
  <c r="H3398" i="2"/>
  <c r="G3398" i="2"/>
  <c r="I3397" i="2"/>
  <c r="H3397" i="2"/>
  <c r="G3397" i="2"/>
  <c r="I3396" i="2"/>
  <c r="H3396" i="2"/>
  <c r="G3396" i="2"/>
  <c r="I3395" i="2"/>
  <c r="H3395" i="2"/>
  <c r="G3395" i="2"/>
  <c r="I3394" i="2"/>
  <c r="H3394" i="2"/>
  <c r="G3394" i="2"/>
  <c r="I3393" i="2"/>
  <c r="H3393" i="2"/>
  <c r="G3393" i="2"/>
  <c r="I3392" i="2"/>
  <c r="H3392" i="2"/>
  <c r="G3392" i="2"/>
  <c r="I3391" i="2"/>
  <c r="H3391" i="2"/>
  <c r="G3391" i="2"/>
  <c r="I3390" i="2"/>
  <c r="H3390" i="2"/>
  <c r="G3390" i="2"/>
  <c r="I3389" i="2"/>
  <c r="H3389" i="2"/>
  <c r="G3389" i="2"/>
  <c r="I3388" i="2"/>
  <c r="H3388" i="2"/>
  <c r="G3388" i="2"/>
  <c r="I3387" i="2"/>
  <c r="H3387" i="2"/>
  <c r="G3387" i="2"/>
  <c r="I3386" i="2"/>
  <c r="H3386" i="2"/>
  <c r="G3386" i="2"/>
  <c r="I3385" i="2"/>
  <c r="H3385" i="2"/>
  <c r="G3385" i="2"/>
  <c r="I3384" i="2"/>
  <c r="H3384" i="2"/>
  <c r="G3384" i="2"/>
  <c r="I3383" i="2"/>
  <c r="H3383" i="2"/>
  <c r="G3383" i="2"/>
  <c r="I3382" i="2"/>
  <c r="H3382" i="2"/>
  <c r="G3382" i="2"/>
  <c r="I3381" i="2"/>
  <c r="H3381" i="2"/>
  <c r="G3381" i="2"/>
  <c r="I3380" i="2"/>
  <c r="H3380" i="2"/>
  <c r="G3380" i="2"/>
  <c r="I3379" i="2"/>
  <c r="H3379" i="2"/>
  <c r="G3379" i="2"/>
  <c r="I3378" i="2"/>
  <c r="H3378" i="2"/>
  <c r="G3378" i="2"/>
  <c r="I3377" i="2"/>
  <c r="H3377" i="2"/>
  <c r="G3377" i="2"/>
  <c r="I3376" i="2"/>
  <c r="H3376" i="2"/>
  <c r="G3376" i="2"/>
  <c r="I3375" i="2"/>
  <c r="H3375" i="2"/>
  <c r="G3375" i="2"/>
  <c r="I3374" i="2"/>
  <c r="H3374" i="2"/>
  <c r="G3374" i="2"/>
  <c r="I3373" i="2"/>
  <c r="H3373" i="2"/>
  <c r="G3373" i="2"/>
  <c r="I3372" i="2"/>
  <c r="H3372" i="2"/>
  <c r="G3372" i="2"/>
  <c r="I3371" i="2"/>
  <c r="H3371" i="2"/>
  <c r="G3371" i="2"/>
  <c r="I3370" i="2"/>
  <c r="H3370" i="2"/>
  <c r="G3370" i="2"/>
  <c r="I3369" i="2"/>
  <c r="H3369" i="2"/>
  <c r="G3369" i="2"/>
  <c r="I3368" i="2"/>
  <c r="H3368" i="2"/>
  <c r="G3368" i="2"/>
  <c r="I3367" i="2"/>
  <c r="H3367" i="2"/>
  <c r="G3367" i="2"/>
  <c r="I3366" i="2"/>
  <c r="H3366" i="2"/>
  <c r="G3366" i="2"/>
  <c r="I3365" i="2"/>
  <c r="H3365" i="2"/>
  <c r="G3365" i="2"/>
  <c r="I3364" i="2"/>
  <c r="H3364" i="2"/>
  <c r="G3364" i="2"/>
  <c r="I3363" i="2"/>
  <c r="H3363" i="2"/>
  <c r="G3363" i="2"/>
  <c r="I3362" i="2"/>
  <c r="H3362" i="2"/>
  <c r="G3362" i="2"/>
  <c r="I3361" i="2"/>
  <c r="H3361" i="2"/>
  <c r="G3361" i="2"/>
  <c r="I3360" i="2"/>
  <c r="H3360" i="2"/>
  <c r="G3360" i="2"/>
  <c r="I3359" i="2"/>
  <c r="H3359" i="2"/>
  <c r="G3359" i="2"/>
  <c r="I3358" i="2"/>
  <c r="H3358" i="2"/>
  <c r="G3358" i="2"/>
  <c r="I3357" i="2"/>
  <c r="H3357" i="2"/>
  <c r="G3357" i="2"/>
  <c r="I3356" i="2"/>
  <c r="H3356" i="2"/>
  <c r="G3356" i="2"/>
  <c r="I3355" i="2"/>
  <c r="H3355" i="2"/>
  <c r="G3355" i="2"/>
  <c r="I3354" i="2"/>
  <c r="H3354" i="2"/>
  <c r="G3354" i="2"/>
  <c r="I3353" i="2"/>
  <c r="H3353" i="2"/>
  <c r="G3353" i="2"/>
  <c r="I3352" i="2"/>
  <c r="H3352" i="2"/>
  <c r="G3352" i="2"/>
  <c r="I3351" i="2"/>
  <c r="H3351" i="2"/>
  <c r="G3351" i="2"/>
  <c r="I3350" i="2"/>
  <c r="H3350" i="2"/>
  <c r="G3350" i="2"/>
  <c r="I3349" i="2"/>
  <c r="H3349" i="2"/>
  <c r="G3349" i="2"/>
  <c r="I3348" i="2"/>
  <c r="H3348" i="2"/>
  <c r="G3348" i="2"/>
  <c r="I3347" i="2"/>
  <c r="H3347" i="2"/>
  <c r="G3347" i="2"/>
  <c r="I3346" i="2"/>
  <c r="H3346" i="2"/>
  <c r="G3346" i="2"/>
  <c r="I3345" i="2"/>
  <c r="H3345" i="2"/>
  <c r="G3345" i="2"/>
  <c r="I3344" i="2"/>
  <c r="H3344" i="2"/>
  <c r="G3344" i="2"/>
  <c r="I3343" i="2"/>
  <c r="H3343" i="2"/>
  <c r="G3343" i="2"/>
  <c r="I3342" i="2"/>
  <c r="H3342" i="2"/>
  <c r="G3342" i="2"/>
  <c r="I3341" i="2"/>
  <c r="H3341" i="2"/>
  <c r="G3341" i="2"/>
  <c r="I3340" i="2"/>
  <c r="H3340" i="2"/>
  <c r="G3340" i="2"/>
  <c r="I3339" i="2"/>
  <c r="H3339" i="2"/>
  <c r="G3339" i="2"/>
  <c r="I3338" i="2"/>
  <c r="H3338" i="2"/>
  <c r="G3338" i="2"/>
  <c r="I3337" i="2"/>
  <c r="H3337" i="2"/>
  <c r="G3337" i="2"/>
  <c r="I3336" i="2"/>
  <c r="H3336" i="2"/>
  <c r="G3336" i="2"/>
  <c r="I3335" i="2"/>
  <c r="H3335" i="2"/>
  <c r="G3335" i="2"/>
  <c r="I3334" i="2"/>
  <c r="H3334" i="2"/>
  <c r="G3334" i="2"/>
  <c r="I3333" i="2"/>
  <c r="H3333" i="2"/>
  <c r="G3333" i="2"/>
  <c r="I3332" i="2"/>
  <c r="H3332" i="2"/>
  <c r="G3332" i="2"/>
  <c r="I3331" i="2"/>
  <c r="H3331" i="2"/>
  <c r="G3331" i="2"/>
  <c r="I3330" i="2"/>
  <c r="H3330" i="2"/>
  <c r="G3330" i="2"/>
  <c r="I3329" i="2"/>
  <c r="H3329" i="2"/>
  <c r="G3329" i="2"/>
  <c r="I3328" i="2"/>
  <c r="H3328" i="2"/>
  <c r="G3328" i="2"/>
  <c r="I3327" i="2"/>
  <c r="H3327" i="2"/>
  <c r="G3327" i="2"/>
  <c r="I3326" i="2"/>
  <c r="H3326" i="2"/>
  <c r="G3326" i="2"/>
  <c r="I3325" i="2"/>
  <c r="H3325" i="2"/>
  <c r="G3325" i="2"/>
  <c r="I3324" i="2"/>
  <c r="H3324" i="2"/>
  <c r="G3324" i="2"/>
  <c r="I3323" i="2"/>
  <c r="H3323" i="2"/>
  <c r="G3323" i="2"/>
  <c r="I3322" i="2"/>
  <c r="H3322" i="2"/>
  <c r="G3322" i="2"/>
  <c r="I3321" i="2"/>
  <c r="H3321" i="2"/>
  <c r="G3321" i="2"/>
  <c r="I3320" i="2"/>
  <c r="H3320" i="2"/>
  <c r="G3320" i="2"/>
  <c r="I3319" i="2"/>
  <c r="H3319" i="2"/>
  <c r="G3319" i="2"/>
  <c r="I3318" i="2"/>
  <c r="H3318" i="2"/>
  <c r="G3318" i="2"/>
  <c r="I3317" i="2"/>
  <c r="H3317" i="2"/>
  <c r="G3317" i="2"/>
  <c r="I3316" i="2"/>
  <c r="H3316" i="2"/>
  <c r="G3316" i="2"/>
  <c r="I3315" i="2"/>
  <c r="H3315" i="2"/>
  <c r="G3315" i="2"/>
  <c r="I3314" i="2"/>
  <c r="H3314" i="2"/>
  <c r="G3314" i="2"/>
  <c r="I3313" i="2"/>
  <c r="H3313" i="2"/>
  <c r="G3313" i="2"/>
  <c r="I3312" i="2"/>
  <c r="H3312" i="2"/>
  <c r="G3312" i="2"/>
  <c r="I3311" i="2"/>
  <c r="H3311" i="2"/>
  <c r="G3311" i="2"/>
  <c r="I3310" i="2"/>
  <c r="H3310" i="2"/>
  <c r="G3310" i="2"/>
  <c r="I3309" i="2"/>
  <c r="H3309" i="2"/>
  <c r="G3309" i="2"/>
  <c r="I3308" i="2"/>
  <c r="H3308" i="2"/>
  <c r="G3308" i="2"/>
  <c r="I3307" i="2"/>
  <c r="H3307" i="2"/>
  <c r="G3307" i="2"/>
  <c r="I3306" i="2"/>
  <c r="H3306" i="2"/>
  <c r="G3306" i="2"/>
  <c r="I3305" i="2"/>
  <c r="H3305" i="2"/>
  <c r="G3305" i="2"/>
  <c r="I3304" i="2"/>
  <c r="H3304" i="2"/>
  <c r="G3304" i="2"/>
  <c r="I3303" i="2"/>
  <c r="H3303" i="2"/>
  <c r="G3303" i="2"/>
  <c r="I3302" i="2"/>
  <c r="H3302" i="2"/>
  <c r="G3302" i="2"/>
  <c r="I3301" i="2"/>
  <c r="H3301" i="2"/>
  <c r="G3301" i="2"/>
  <c r="I3300" i="2"/>
  <c r="H3300" i="2"/>
  <c r="G3300" i="2"/>
  <c r="I3299" i="2"/>
  <c r="H3299" i="2"/>
  <c r="G3299" i="2"/>
  <c r="I3298" i="2"/>
  <c r="H3298" i="2"/>
  <c r="G3298" i="2"/>
  <c r="I3297" i="2"/>
  <c r="H3297" i="2"/>
  <c r="G3297" i="2"/>
  <c r="I3296" i="2"/>
  <c r="H3296" i="2"/>
  <c r="G3296" i="2"/>
  <c r="I3295" i="2"/>
  <c r="H3295" i="2"/>
  <c r="G3295" i="2"/>
  <c r="I3294" i="2"/>
  <c r="H3294" i="2"/>
  <c r="G3294" i="2"/>
  <c r="I3293" i="2"/>
  <c r="H3293" i="2"/>
  <c r="G3293" i="2"/>
  <c r="I3292" i="2"/>
  <c r="H3292" i="2"/>
  <c r="G3292" i="2"/>
  <c r="I3291" i="2"/>
  <c r="H3291" i="2"/>
  <c r="G3291" i="2"/>
  <c r="I3290" i="2"/>
  <c r="H3290" i="2"/>
  <c r="G3290" i="2"/>
  <c r="I3289" i="2"/>
  <c r="H3289" i="2"/>
  <c r="G3289" i="2"/>
  <c r="I3288" i="2"/>
  <c r="H3288" i="2"/>
  <c r="G3288" i="2"/>
  <c r="I3287" i="2"/>
  <c r="H3287" i="2"/>
  <c r="G3287" i="2"/>
  <c r="I3286" i="2"/>
  <c r="H3286" i="2"/>
  <c r="G3286" i="2"/>
  <c r="I3285" i="2"/>
  <c r="H3285" i="2"/>
  <c r="G3285" i="2"/>
  <c r="I3284" i="2"/>
  <c r="H3284" i="2"/>
  <c r="G3284" i="2"/>
  <c r="I3283" i="2"/>
  <c r="H3283" i="2"/>
  <c r="G3283" i="2"/>
  <c r="I3282" i="2"/>
  <c r="H3282" i="2"/>
  <c r="G3282" i="2"/>
  <c r="I3281" i="2"/>
  <c r="H3281" i="2"/>
  <c r="G3281" i="2"/>
  <c r="I3280" i="2"/>
  <c r="H3280" i="2"/>
  <c r="G3280" i="2"/>
  <c r="I3279" i="2"/>
  <c r="H3279" i="2"/>
  <c r="G3279" i="2"/>
  <c r="I3278" i="2"/>
  <c r="H3278" i="2"/>
  <c r="G3278" i="2"/>
  <c r="I3277" i="2"/>
  <c r="H3277" i="2"/>
  <c r="G3277" i="2"/>
  <c r="I3276" i="2"/>
  <c r="H3276" i="2"/>
  <c r="G3276" i="2"/>
  <c r="I3275" i="2"/>
  <c r="H3275" i="2"/>
  <c r="G3275" i="2"/>
  <c r="I3274" i="2"/>
  <c r="H3274" i="2"/>
  <c r="G3274" i="2"/>
  <c r="I3273" i="2"/>
  <c r="H3273" i="2"/>
  <c r="G3273" i="2"/>
  <c r="I3272" i="2"/>
  <c r="H3272" i="2"/>
  <c r="G3272" i="2"/>
  <c r="I3271" i="2"/>
  <c r="H3271" i="2"/>
  <c r="G3271" i="2"/>
  <c r="I3270" i="2"/>
  <c r="H3270" i="2"/>
  <c r="G3270" i="2"/>
  <c r="I3269" i="2"/>
  <c r="H3269" i="2"/>
  <c r="G3269" i="2"/>
  <c r="I3268" i="2"/>
  <c r="H3268" i="2"/>
  <c r="G3268" i="2"/>
  <c r="I3267" i="2"/>
  <c r="H3267" i="2"/>
  <c r="G3267" i="2"/>
  <c r="I3266" i="2"/>
  <c r="H3266" i="2"/>
  <c r="G3266" i="2"/>
  <c r="I3265" i="2"/>
  <c r="H3265" i="2"/>
  <c r="G3265" i="2"/>
  <c r="I3264" i="2"/>
  <c r="H3264" i="2"/>
  <c r="G3264" i="2"/>
  <c r="I3263" i="2"/>
  <c r="H3263" i="2"/>
  <c r="G3263" i="2"/>
  <c r="I3262" i="2"/>
  <c r="H3262" i="2"/>
  <c r="G3262" i="2"/>
  <c r="I3261" i="2"/>
  <c r="H3261" i="2"/>
  <c r="G3261" i="2"/>
  <c r="I3260" i="2"/>
  <c r="H3260" i="2"/>
  <c r="G3260" i="2"/>
  <c r="I3259" i="2"/>
  <c r="H3259" i="2"/>
  <c r="G3259" i="2"/>
  <c r="I3258" i="2"/>
  <c r="H3258" i="2"/>
  <c r="G3258" i="2"/>
  <c r="I3257" i="2"/>
  <c r="H3257" i="2"/>
  <c r="G3257" i="2"/>
  <c r="I3256" i="2"/>
  <c r="H3256" i="2"/>
  <c r="G3256" i="2"/>
  <c r="I3255" i="2"/>
  <c r="H3255" i="2"/>
  <c r="G3255" i="2"/>
  <c r="I3254" i="2"/>
  <c r="H3254" i="2"/>
  <c r="G3254" i="2"/>
  <c r="I3253" i="2"/>
  <c r="H3253" i="2"/>
  <c r="G3253" i="2"/>
  <c r="I3252" i="2"/>
  <c r="H3252" i="2"/>
  <c r="G3252" i="2"/>
  <c r="I3251" i="2"/>
  <c r="H3251" i="2"/>
  <c r="G3251" i="2"/>
  <c r="I3250" i="2"/>
  <c r="H3250" i="2"/>
  <c r="G3250" i="2"/>
  <c r="I3249" i="2"/>
  <c r="H3249" i="2"/>
  <c r="G3249" i="2"/>
  <c r="I3248" i="2"/>
  <c r="H3248" i="2"/>
  <c r="G3248" i="2"/>
  <c r="I3247" i="2"/>
  <c r="H3247" i="2"/>
  <c r="G3247" i="2"/>
  <c r="I3246" i="2"/>
  <c r="H3246" i="2"/>
  <c r="G3246" i="2"/>
  <c r="I3245" i="2"/>
  <c r="H3245" i="2"/>
  <c r="G3245" i="2"/>
  <c r="I3244" i="2"/>
  <c r="H3244" i="2"/>
  <c r="G3244" i="2"/>
  <c r="I3243" i="2"/>
  <c r="H3243" i="2"/>
  <c r="G3243" i="2"/>
  <c r="I3242" i="2"/>
  <c r="H3242" i="2"/>
  <c r="G3242" i="2"/>
  <c r="I3241" i="2"/>
  <c r="H3241" i="2"/>
  <c r="G3241" i="2"/>
  <c r="I3240" i="2"/>
  <c r="H3240" i="2"/>
  <c r="G3240" i="2"/>
  <c r="I3239" i="2"/>
  <c r="H3239" i="2"/>
  <c r="G3239" i="2"/>
  <c r="I3238" i="2"/>
  <c r="H3238" i="2"/>
  <c r="G3238" i="2"/>
  <c r="I3237" i="2"/>
  <c r="H3237" i="2"/>
  <c r="G3237" i="2"/>
  <c r="I3236" i="2"/>
  <c r="H3236" i="2"/>
  <c r="G3236" i="2"/>
  <c r="I3235" i="2"/>
  <c r="H3235" i="2"/>
  <c r="G3235" i="2"/>
  <c r="I3234" i="2"/>
  <c r="H3234" i="2"/>
  <c r="G3234" i="2"/>
  <c r="I3233" i="2"/>
  <c r="H3233" i="2"/>
  <c r="G3233" i="2"/>
  <c r="I3232" i="2"/>
  <c r="H3232" i="2"/>
  <c r="G3232" i="2"/>
  <c r="I3231" i="2"/>
  <c r="H3231" i="2"/>
  <c r="G3231" i="2"/>
  <c r="I3230" i="2"/>
  <c r="H3230" i="2"/>
  <c r="G3230" i="2"/>
  <c r="I3229" i="2"/>
  <c r="H3229" i="2"/>
  <c r="G3229" i="2"/>
  <c r="I3228" i="2"/>
  <c r="H3228" i="2"/>
  <c r="G3228" i="2"/>
  <c r="I3227" i="2"/>
  <c r="H3227" i="2"/>
  <c r="G3227" i="2"/>
  <c r="I3226" i="2"/>
  <c r="H3226" i="2"/>
  <c r="G3226" i="2"/>
  <c r="I3225" i="2"/>
  <c r="H3225" i="2"/>
  <c r="G3225" i="2"/>
  <c r="I3224" i="2"/>
  <c r="H3224" i="2"/>
  <c r="G3224" i="2"/>
  <c r="I3223" i="2"/>
  <c r="H3223" i="2"/>
  <c r="G3223" i="2"/>
  <c r="I3222" i="2"/>
  <c r="H3222" i="2"/>
  <c r="G3222" i="2"/>
  <c r="I3221" i="2"/>
  <c r="H3221" i="2"/>
  <c r="G3221" i="2"/>
  <c r="I3220" i="2"/>
  <c r="H3220" i="2"/>
  <c r="G3220" i="2"/>
  <c r="I3219" i="2"/>
  <c r="H3219" i="2"/>
  <c r="G3219" i="2"/>
  <c r="I3218" i="2"/>
  <c r="H3218" i="2"/>
  <c r="G3218" i="2"/>
  <c r="I3217" i="2"/>
  <c r="H3217" i="2"/>
  <c r="G3217" i="2"/>
  <c r="I3216" i="2"/>
  <c r="H3216" i="2"/>
  <c r="G3216" i="2"/>
  <c r="I3215" i="2"/>
  <c r="H3215" i="2"/>
  <c r="G3215" i="2"/>
  <c r="I3214" i="2"/>
  <c r="H3214" i="2"/>
  <c r="G3214" i="2"/>
  <c r="I3213" i="2"/>
  <c r="H3213" i="2"/>
  <c r="G3213" i="2"/>
  <c r="I3212" i="2"/>
  <c r="H3212" i="2"/>
  <c r="G3212" i="2"/>
  <c r="I3211" i="2"/>
  <c r="H3211" i="2"/>
  <c r="G3211" i="2"/>
  <c r="I3210" i="2"/>
  <c r="H3210" i="2"/>
  <c r="G3210" i="2"/>
  <c r="I3209" i="2"/>
  <c r="H3209" i="2"/>
  <c r="G3209" i="2"/>
  <c r="I3208" i="2"/>
  <c r="H3208" i="2"/>
  <c r="G3208" i="2"/>
  <c r="I3207" i="2"/>
  <c r="H3207" i="2"/>
  <c r="G3207" i="2"/>
  <c r="I3206" i="2"/>
  <c r="H3206" i="2"/>
  <c r="G3206" i="2"/>
  <c r="I3205" i="2"/>
  <c r="H3205" i="2"/>
  <c r="G3205" i="2"/>
  <c r="I3204" i="2"/>
  <c r="H3204" i="2"/>
  <c r="G3204" i="2"/>
  <c r="I3203" i="2"/>
  <c r="H3203" i="2"/>
  <c r="G3203" i="2"/>
  <c r="I3202" i="2"/>
  <c r="H3202" i="2"/>
  <c r="G3202" i="2"/>
  <c r="I3201" i="2"/>
  <c r="H3201" i="2"/>
  <c r="G3201" i="2"/>
  <c r="I3200" i="2"/>
  <c r="H3200" i="2"/>
  <c r="G3200" i="2"/>
  <c r="I3199" i="2"/>
  <c r="H3199" i="2"/>
  <c r="G3199" i="2"/>
  <c r="I3198" i="2"/>
  <c r="H3198" i="2"/>
  <c r="G3198" i="2"/>
  <c r="I3197" i="2"/>
  <c r="H3197" i="2"/>
  <c r="G3197" i="2"/>
  <c r="I3196" i="2"/>
  <c r="H3196" i="2"/>
  <c r="G3196" i="2"/>
  <c r="I3195" i="2"/>
  <c r="H3195" i="2"/>
  <c r="G3195" i="2"/>
  <c r="I3194" i="2"/>
  <c r="H3194" i="2"/>
  <c r="G3194" i="2"/>
  <c r="I3193" i="2"/>
  <c r="H3193" i="2"/>
  <c r="G3193" i="2"/>
  <c r="I3192" i="2"/>
  <c r="H3192" i="2"/>
  <c r="G3192" i="2"/>
  <c r="I3191" i="2"/>
  <c r="H3191" i="2"/>
  <c r="G3191" i="2"/>
  <c r="I3190" i="2"/>
  <c r="H3190" i="2"/>
  <c r="G3190" i="2"/>
  <c r="I3189" i="2"/>
  <c r="H3189" i="2"/>
  <c r="G3189" i="2"/>
  <c r="I3188" i="2"/>
  <c r="H3188" i="2"/>
  <c r="G3188" i="2"/>
  <c r="I3187" i="2"/>
  <c r="H3187" i="2"/>
  <c r="G3187" i="2"/>
  <c r="I3186" i="2"/>
  <c r="H3186" i="2"/>
  <c r="G3186" i="2"/>
  <c r="I3185" i="2"/>
  <c r="H3185" i="2"/>
  <c r="G3185" i="2"/>
  <c r="I3184" i="2"/>
  <c r="H3184" i="2"/>
  <c r="G3184" i="2"/>
  <c r="I3183" i="2"/>
  <c r="H3183" i="2"/>
  <c r="G3183" i="2"/>
  <c r="I3182" i="2"/>
  <c r="H3182" i="2"/>
  <c r="G3182" i="2"/>
  <c r="I3181" i="2"/>
  <c r="H3181" i="2"/>
  <c r="G3181" i="2"/>
  <c r="I3180" i="2"/>
  <c r="H3180" i="2"/>
  <c r="G3180" i="2"/>
  <c r="I3179" i="2"/>
  <c r="H3179" i="2"/>
  <c r="G3179" i="2"/>
  <c r="I3178" i="2"/>
  <c r="H3178" i="2"/>
  <c r="G3178" i="2"/>
  <c r="I3177" i="2"/>
  <c r="H3177" i="2"/>
  <c r="G3177" i="2"/>
  <c r="I3176" i="2"/>
  <c r="H3176" i="2"/>
  <c r="G3176" i="2"/>
  <c r="I3175" i="2"/>
  <c r="H3175" i="2"/>
  <c r="G3175" i="2"/>
  <c r="I3174" i="2"/>
  <c r="H3174" i="2"/>
  <c r="G3174" i="2"/>
  <c r="I3173" i="2"/>
  <c r="H3173" i="2"/>
  <c r="G3173" i="2"/>
  <c r="I3172" i="2"/>
  <c r="H3172" i="2"/>
  <c r="G3172" i="2"/>
  <c r="I3171" i="2"/>
  <c r="H3171" i="2"/>
  <c r="G3171" i="2"/>
  <c r="I3170" i="2"/>
  <c r="H3170" i="2"/>
  <c r="G3170" i="2"/>
  <c r="I3169" i="2"/>
  <c r="H3169" i="2"/>
  <c r="G3169" i="2"/>
  <c r="I3168" i="2"/>
  <c r="H3168" i="2"/>
  <c r="G3168" i="2"/>
  <c r="I3167" i="2"/>
  <c r="H3167" i="2"/>
  <c r="G3167" i="2"/>
  <c r="I3166" i="2"/>
  <c r="H3166" i="2"/>
  <c r="G3166" i="2"/>
  <c r="I3165" i="2"/>
  <c r="H3165" i="2"/>
  <c r="G3165" i="2"/>
  <c r="I3164" i="2"/>
  <c r="H3164" i="2"/>
  <c r="G3164" i="2"/>
  <c r="I3163" i="2"/>
  <c r="H3163" i="2"/>
  <c r="G3163" i="2"/>
  <c r="I3162" i="2"/>
  <c r="H3162" i="2"/>
  <c r="G3162" i="2"/>
  <c r="I3161" i="2"/>
  <c r="H3161" i="2"/>
  <c r="G3161" i="2"/>
  <c r="I3160" i="2"/>
  <c r="H3160" i="2"/>
  <c r="G3160" i="2"/>
  <c r="I3159" i="2"/>
  <c r="H3159" i="2"/>
  <c r="G3159" i="2"/>
  <c r="I3158" i="2"/>
  <c r="H3158" i="2"/>
  <c r="G3158" i="2"/>
  <c r="I3157" i="2"/>
  <c r="H3157" i="2"/>
  <c r="G3157" i="2"/>
  <c r="I3156" i="2"/>
  <c r="H3156" i="2"/>
  <c r="G3156" i="2"/>
  <c r="I3155" i="2"/>
  <c r="H3155" i="2"/>
  <c r="G3155" i="2"/>
  <c r="I3154" i="2"/>
  <c r="H3154" i="2"/>
  <c r="G3154" i="2"/>
  <c r="I3153" i="2"/>
  <c r="H3153" i="2"/>
  <c r="G3153" i="2"/>
  <c r="I3152" i="2"/>
  <c r="H3152" i="2"/>
  <c r="G3152" i="2"/>
  <c r="I3151" i="2"/>
  <c r="H3151" i="2"/>
  <c r="G3151" i="2"/>
  <c r="I3150" i="2"/>
  <c r="H3150" i="2"/>
  <c r="G3150" i="2"/>
  <c r="I3149" i="2"/>
  <c r="H3149" i="2"/>
  <c r="G3149" i="2"/>
  <c r="I3148" i="2"/>
  <c r="H3148" i="2"/>
  <c r="G3148" i="2"/>
  <c r="I3147" i="2"/>
  <c r="H3147" i="2"/>
  <c r="G3147" i="2"/>
  <c r="I3146" i="2"/>
  <c r="H3146" i="2"/>
  <c r="G3146" i="2"/>
  <c r="I3145" i="2"/>
  <c r="H3145" i="2"/>
  <c r="G3145" i="2"/>
  <c r="I3144" i="2"/>
  <c r="H3144" i="2"/>
  <c r="G3144" i="2"/>
  <c r="I3143" i="2"/>
  <c r="H3143" i="2"/>
  <c r="G3143" i="2"/>
  <c r="I3142" i="2"/>
  <c r="H3142" i="2"/>
  <c r="G3142" i="2"/>
  <c r="I3141" i="2"/>
  <c r="H3141" i="2"/>
  <c r="G3141" i="2"/>
  <c r="I3140" i="2"/>
  <c r="H3140" i="2"/>
  <c r="G3140" i="2"/>
  <c r="I3139" i="2"/>
  <c r="H3139" i="2"/>
  <c r="G3139" i="2"/>
  <c r="I3138" i="2"/>
  <c r="H3138" i="2"/>
  <c r="G3138" i="2"/>
  <c r="I3137" i="2"/>
  <c r="H3137" i="2"/>
  <c r="G3137" i="2"/>
  <c r="I3136" i="2"/>
  <c r="H3136" i="2"/>
  <c r="G3136" i="2"/>
  <c r="I3135" i="2"/>
  <c r="H3135" i="2"/>
  <c r="G3135" i="2"/>
  <c r="I3134" i="2"/>
  <c r="H3134" i="2"/>
  <c r="G3134" i="2"/>
  <c r="I3133" i="2"/>
  <c r="H3133" i="2"/>
  <c r="G3133" i="2"/>
  <c r="I3132" i="2"/>
  <c r="H3132" i="2"/>
  <c r="G3132" i="2"/>
  <c r="I3131" i="2"/>
  <c r="H3131" i="2"/>
  <c r="G3131" i="2"/>
  <c r="I3130" i="2"/>
  <c r="H3130" i="2"/>
  <c r="G3130" i="2"/>
  <c r="I3129" i="2"/>
  <c r="H3129" i="2"/>
  <c r="G3129" i="2"/>
  <c r="I3128" i="2"/>
  <c r="H3128" i="2"/>
  <c r="G3128" i="2"/>
  <c r="I3127" i="2"/>
  <c r="H3127" i="2"/>
  <c r="G3127" i="2"/>
  <c r="I3126" i="2"/>
  <c r="H3126" i="2"/>
  <c r="G3126" i="2"/>
  <c r="I3125" i="2"/>
  <c r="H3125" i="2"/>
  <c r="G3125" i="2"/>
  <c r="I3124" i="2"/>
  <c r="H3124" i="2"/>
  <c r="G3124" i="2"/>
  <c r="I3123" i="2"/>
  <c r="H3123" i="2"/>
  <c r="G3123" i="2"/>
  <c r="I3122" i="2"/>
  <c r="H3122" i="2"/>
  <c r="G3122" i="2"/>
  <c r="I3121" i="2"/>
  <c r="H3121" i="2"/>
  <c r="G3121" i="2"/>
  <c r="I3120" i="2"/>
  <c r="H3120" i="2"/>
  <c r="G3120" i="2"/>
  <c r="I3119" i="2"/>
  <c r="H3119" i="2"/>
  <c r="G3119" i="2"/>
  <c r="I3118" i="2"/>
  <c r="H3118" i="2"/>
  <c r="G3118" i="2"/>
  <c r="I3117" i="2"/>
  <c r="H3117" i="2"/>
  <c r="G3117" i="2"/>
  <c r="I3116" i="2"/>
  <c r="H3116" i="2"/>
  <c r="G3116" i="2"/>
  <c r="I3115" i="2"/>
  <c r="H3115" i="2"/>
  <c r="G3115" i="2"/>
  <c r="I3114" i="2"/>
  <c r="H3114" i="2"/>
  <c r="G3114" i="2"/>
  <c r="I3113" i="2"/>
  <c r="H3113" i="2"/>
  <c r="G3113" i="2"/>
  <c r="I3112" i="2"/>
  <c r="H3112" i="2"/>
  <c r="G3112" i="2"/>
  <c r="I3111" i="2"/>
  <c r="H3111" i="2"/>
  <c r="G3111" i="2"/>
  <c r="I3110" i="2"/>
  <c r="H3110" i="2"/>
  <c r="G3110" i="2"/>
  <c r="I3109" i="2"/>
  <c r="H3109" i="2"/>
  <c r="G3109" i="2"/>
  <c r="I3108" i="2"/>
  <c r="H3108" i="2"/>
  <c r="G3108" i="2"/>
  <c r="I3107" i="2"/>
  <c r="H3107" i="2"/>
  <c r="G3107" i="2"/>
  <c r="I3106" i="2"/>
  <c r="H3106" i="2"/>
  <c r="G3106" i="2"/>
  <c r="I3105" i="2"/>
  <c r="H3105" i="2"/>
  <c r="G3105" i="2"/>
  <c r="I3104" i="2"/>
  <c r="H3104" i="2"/>
  <c r="G3104" i="2"/>
  <c r="I3103" i="2"/>
  <c r="H3103" i="2"/>
  <c r="G3103" i="2"/>
  <c r="I3102" i="2"/>
  <c r="H3102" i="2"/>
  <c r="G3102" i="2"/>
  <c r="I3101" i="2"/>
  <c r="H3101" i="2"/>
  <c r="G3101" i="2"/>
  <c r="I3100" i="2"/>
  <c r="H3100" i="2"/>
  <c r="G3100" i="2"/>
  <c r="I3099" i="2"/>
  <c r="H3099" i="2"/>
  <c r="G3099" i="2"/>
  <c r="I3098" i="2"/>
  <c r="H3098" i="2"/>
  <c r="G3098" i="2"/>
  <c r="I3097" i="2"/>
  <c r="H3097" i="2"/>
  <c r="G3097" i="2"/>
  <c r="I3096" i="2"/>
  <c r="H3096" i="2"/>
  <c r="G3096" i="2"/>
  <c r="I3095" i="2"/>
  <c r="H3095" i="2"/>
  <c r="G3095" i="2"/>
  <c r="I3094" i="2"/>
  <c r="H3094" i="2"/>
  <c r="G3094" i="2"/>
  <c r="I3093" i="2"/>
  <c r="H3093" i="2"/>
  <c r="G3093" i="2"/>
  <c r="I3092" i="2"/>
  <c r="H3092" i="2"/>
  <c r="G3092" i="2"/>
  <c r="I3091" i="2"/>
  <c r="H3091" i="2"/>
  <c r="G3091" i="2"/>
  <c r="I3090" i="2"/>
  <c r="H3090" i="2"/>
  <c r="G3090" i="2"/>
  <c r="I3089" i="2"/>
  <c r="H3089" i="2"/>
  <c r="G3089" i="2"/>
  <c r="I3088" i="2"/>
  <c r="H3088" i="2"/>
  <c r="G3088" i="2"/>
  <c r="I3087" i="2"/>
  <c r="H3087" i="2"/>
  <c r="G3087" i="2"/>
  <c r="I3086" i="2"/>
  <c r="H3086" i="2"/>
  <c r="G3086" i="2"/>
  <c r="I3085" i="2"/>
  <c r="H3085" i="2"/>
  <c r="G3085" i="2"/>
  <c r="I3084" i="2"/>
  <c r="H3084" i="2"/>
  <c r="G3084" i="2"/>
  <c r="I3083" i="2"/>
  <c r="H3083" i="2"/>
  <c r="G3083" i="2"/>
  <c r="I3082" i="2"/>
  <c r="H3082" i="2"/>
  <c r="G3082" i="2"/>
  <c r="I3081" i="2"/>
  <c r="H3081" i="2"/>
  <c r="G3081" i="2"/>
  <c r="I3080" i="2"/>
  <c r="H3080" i="2"/>
  <c r="G3080" i="2"/>
  <c r="I3079" i="2"/>
  <c r="H3079" i="2"/>
  <c r="G3079" i="2"/>
  <c r="I3078" i="2"/>
  <c r="H3078" i="2"/>
  <c r="G3078" i="2"/>
  <c r="I3077" i="2"/>
  <c r="H3077" i="2"/>
  <c r="G3077" i="2"/>
  <c r="I3076" i="2"/>
  <c r="H3076" i="2"/>
  <c r="G3076" i="2"/>
  <c r="I3075" i="2"/>
  <c r="H3075" i="2"/>
  <c r="G3075" i="2"/>
  <c r="I3074" i="2"/>
  <c r="H3074" i="2"/>
  <c r="G3074" i="2"/>
  <c r="I3073" i="2"/>
  <c r="H3073" i="2"/>
  <c r="G3073" i="2"/>
  <c r="I3072" i="2"/>
  <c r="H3072" i="2"/>
  <c r="G3072" i="2"/>
  <c r="I3071" i="2"/>
  <c r="H3071" i="2"/>
  <c r="G3071" i="2"/>
  <c r="I3070" i="2"/>
  <c r="H3070" i="2"/>
  <c r="G3070" i="2"/>
  <c r="I3069" i="2"/>
  <c r="H3069" i="2"/>
  <c r="G3069" i="2"/>
  <c r="I3068" i="2"/>
  <c r="H3068" i="2"/>
  <c r="G3068" i="2"/>
  <c r="I3067" i="2"/>
  <c r="H3067" i="2"/>
  <c r="G3067" i="2"/>
  <c r="I3066" i="2"/>
  <c r="H3066" i="2"/>
  <c r="G3066" i="2"/>
  <c r="I3065" i="2"/>
  <c r="H3065" i="2"/>
  <c r="G3065" i="2"/>
  <c r="I3064" i="2"/>
  <c r="H3064" i="2"/>
  <c r="G3064" i="2"/>
  <c r="I3063" i="2"/>
  <c r="H3063" i="2"/>
  <c r="G3063" i="2"/>
  <c r="I3062" i="2"/>
  <c r="H3062" i="2"/>
  <c r="G3062" i="2"/>
  <c r="I3061" i="2"/>
  <c r="H3061" i="2"/>
  <c r="G3061" i="2"/>
  <c r="I3060" i="2"/>
  <c r="H3060" i="2"/>
  <c r="G3060" i="2"/>
  <c r="I3059" i="2"/>
  <c r="H3059" i="2"/>
  <c r="G3059" i="2"/>
  <c r="I3058" i="2"/>
  <c r="H3058" i="2"/>
  <c r="G3058" i="2"/>
  <c r="I3057" i="2"/>
  <c r="H3057" i="2"/>
  <c r="G3057" i="2"/>
  <c r="I3056" i="2"/>
  <c r="H3056" i="2"/>
  <c r="G3056" i="2"/>
  <c r="I3055" i="2"/>
  <c r="H3055" i="2"/>
  <c r="G3055" i="2"/>
  <c r="I3054" i="2"/>
  <c r="H3054" i="2"/>
  <c r="G3054" i="2"/>
  <c r="I3053" i="2"/>
  <c r="H3053" i="2"/>
  <c r="G3053" i="2"/>
  <c r="I3052" i="2"/>
  <c r="H3052" i="2"/>
  <c r="G3052" i="2"/>
  <c r="I3051" i="2"/>
  <c r="H3051" i="2"/>
  <c r="G3051" i="2"/>
  <c r="I3050" i="2"/>
  <c r="H3050" i="2"/>
  <c r="G3050" i="2"/>
  <c r="I3049" i="2"/>
  <c r="H3049" i="2"/>
  <c r="G3049" i="2"/>
  <c r="I3048" i="2"/>
  <c r="H3048" i="2"/>
  <c r="G3048" i="2"/>
  <c r="I3047" i="2"/>
  <c r="H3047" i="2"/>
  <c r="G3047" i="2"/>
  <c r="I3046" i="2"/>
  <c r="H3046" i="2"/>
  <c r="G3046" i="2"/>
  <c r="I3045" i="2"/>
  <c r="H3045" i="2"/>
  <c r="G3045" i="2"/>
  <c r="I3044" i="2"/>
  <c r="H3044" i="2"/>
  <c r="G3044" i="2"/>
  <c r="I3043" i="2"/>
  <c r="H3043" i="2"/>
  <c r="G3043" i="2"/>
  <c r="I3042" i="2"/>
  <c r="H3042" i="2"/>
  <c r="G3042" i="2"/>
  <c r="I3041" i="2"/>
  <c r="H3041" i="2"/>
  <c r="G3041" i="2"/>
  <c r="I3040" i="2"/>
  <c r="H3040" i="2"/>
  <c r="G3040" i="2"/>
  <c r="I3039" i="2"/>
  <c r="H3039" i="2"/>
  <c r="G3039" i="2"/>
  <c r="I3038" i="2"/>
  <c r="H3038" i="2"/>
  <c r="G3038" i="2"/>
  <c r="I3037" i="2"/>
  <c r="H3037" i="2"/>
  <c r="G3037" i="2"/>
  <c r="I3036" i="2"/>
  <c r="H3036" i="2"/>
  <c r="G3036" i="2"/>
  <c r="I3035" i="2"/>
  <c r="H3035" i="2"/>
  <c r="G3035" i="2"/>
  <c r="I3034" i="2"/>
  <c r="H3034" i="2"/>
  <c r="G3034" i="2"/>
  <c r="I3033" i="2"/>
  <c r="H3033" i="2"/>
  <c r="G3033" i="2"/>
  <c r="I3032" i="2"/>
  <c r="H3032" i="2"/>
  <c r="G3032" i="2"/>
  <c r="I3031" i="2"/>
  <c r="H3031" i="2"/>
  <c r="G3031" i="2"/>
  <c r="I3030" i="2"/>
  <c r="H3030" i="2"/>
  <c r="G3030" i="2"/>
  <c r="I3029" i="2"/>
  <c r="H3029" i="2"/>
  <c r="G3029" i="2"/>
  <c r="I3028" i="2"/>
  <c r="H3028" i="2"/>
  <c r="G3028" i="2"/>
  <c r="I3027" i="2"/>
  <c r="H3027" i="2"/>
  <c r="G3027" i="2"/>
  <c r="I3026" i="2"/>
  <c r="H3026" i="2"/>
  <c r="G3026" i="2"/>
  <c r="I3025" i="2"/>
  <c r="H3025" i="2"/>
  <c r="G3025" i="2"/>
  <c r="I3024" i="2"/>
  <c r="H3024" i="2"/>
  <c r="G3024" i="2"/>
  <c r="I3023" i="2"/>
  <c r="H3023" i="2"/>
  <c r="G3023" i="2"/>
  <c r="I3022" i="2"/>
  <c r="H3022" i="2"/>
  <c r="G3022" i="2"/>
  <c r="I3021" i="2"/>
  <c r="H3021" i="2"/>
  <c r="G3021" i="2"/>
  <c r="I3020" i="2"/>
  <c r="H3020" i="2"/>
  <c r="G3020" i="2"/>
  <c r="I3019" i="2"/>
  <c r="H3019" i="2"/>
  <c r="G3019" i="2"/>
  <c r="I3018" i="2"/>
  <c r="H3018" i="2"/>
  <c r="G3018" i="2"/>
  <c r="I3017" i="2"/>
  <c r="H3017" i="2"/>
  <c r="G3017" i="2"/>
  <c r="I3016" i="2"/>
  <c r="H3016" i="2"/>
  <c r="G3016" i="2"/>
  <c r="I3015" i="2"/>
  <c r="H3015" i="2"/>
  <c r="G3015" i="2"/>
  <c r="I3014" i="2"/>
  <c r="H3014" i="2"/>
  <c r="G3014" i="2"/>
  <c r="I3013" i="2"/>
  <c r="H3013" i="2"/>
  <c r="G3013" i="2"/>
  <c r="I3012" i="2"/>
  <c r="H3012" i="2"/>
  <c r="G3012" i="2"/>
  <c r="I3011" i="2"/>
  <c r="H3011" i="2"/>
  <c r="G3011" i="2"/>
  <c r="I3010" i="2"/>
  <c r="H3010" i="2"/>
  <c r="G3010" i="2"/>
  <c r="I3009" i="2"/>
  <c r="H3009" i="2"/>
  <c r="G3009" i="2"/>
  <c r="I3008" i="2"/>
  <c r="H3008" i="2"/>
  <c r="G3008" i="2"/>
  <c r="I3007" i="2"/>
  <c r="H3007" i="2"/>
  <c r="G3007" i="2"/>
  <c r="I3006" i="2"/>
  <c r="H3006" i="2"/>
  <c r="G3006" i="2"/>
  <c r="I3005" i="2"/>
  <c r="H3005" i="2"/>
  <c r="G3005" i="2"/>
  <c r="I3004" i="2"/>
  <c r="H3004" i="2"/>
  <c r="G3004" i="2"/>
  <c r="I3003" i="2"/>
  <c r="H3003" i="2"/>
  <c r="G3003" i="2"/>
  <c r="I3002" i="2"/>
  <c r="H3002" i="2"/>
  <c r="G3002" i="2"/>
  <c r="I3001" i="2"/>
  <c r="H3001" i="2"/>
  <c r="G3001" i="2"/>
  <c r="I3000" i="2"/>
  <c r="H3000" i="2"/>
  <c r="G3000" i="2"/>
  <c r="I2999" i="2"/>
  <c r="H2999" i="2"/>
  <c r="G2999" i="2"/>
  <c r="I2998" i="2"/>
  <c r="H2998" i="2"/>
  <c r="G2998" i="2"/>
  <c r="I2997" i="2"/>
  <c r="H2997" i="2"/>
  <c r="G2997" i="2"/>
  <c r="I2996" i="2"/>
  <c r="H2996" i="2"/>
  <c r="G2996" i="2"/>
  <c r="I2995" i="2"/>
  <c r="H2995" i="2"/>
  <c r="G2995" i="2"/>
  <c r="I2994" i="2"/>
  <c r="H2994" i="2"/>
  <c r="G2994" i="2"/>
  <c r="I2993" i="2"/>
  <c r="H2993" i="2"/>
  <c r="G2993" i="2"/>
  <c r="I2992" i="2"/>
  <c r="H2992" i="2"/>
  <c r="G2992" i="2"/>
  <c r="I2991" i="2"/>
  <c r="H2991" i="2"/>
  <c r="G2991" i="2"/>
  <c r="I2990" i="2"/>
  <c r="H2990" i="2"/>
  <c r="G2990" i="2"/>
  <c r="I2989" i="2"/>
  <c r="H2989" i="2"/>
  <c r="G2989" i="2"/>
  <c r="I2988" i="2"/>
  <c r="H2988" i="2"/>
  <c r="G2988" i="2"/>
  <c r="I2987" i="2"/>
  <c r="H2987" i="2"/>
  <c r="G2987" i="2"/>
  <c r="I2986" i="2"/>
  <c r="H2986" i="2"/>
  <c r="G2986" i="2"/>
  <c r="I2985" i="2"/>
  <c r="H2985" i="2"/>
  <c r="G2985" i="2"/>
  <c r="I2984" i="2"/>
  <c r="H2984" i="2"/>
  <c r="G2984" i="2"/>
  <c r="I2983" i="2"/>
  <c r="H2983" i="2"/>
  <c r="G2983" i="2"/>
  <c r="I2982" i="2"/>
  <c r="H2982" i="2"/>
  <c r="G2982" i="2"/>
  <c r="I2981" i="2"/>
  <c r="H2981" i="2"/>
  <c r="G2981" i="2"/>
  <c r="I2980" i="2"/>
  <c r="H2980" i="2"/>
  <c r="G2980" i="2"/>
  <c r="I2979" i="2"/>
  <c r="H2979" i="2"/>
  <c r="G2979" i="2"/>
  <c r="I2978" i="2"/>
  <c r="H2978" i="2"/>
  <c r="G2978" i="2"/>
  <c r="I2977" i="2"/>
  <c r="H2977" i="2"/>
  <c r="G2977" i="2"/>
  <c r="I2976" i="2"/>
  <c r="H2976" i="2"/>
  <c r="G2976" i="2"/>
  <c r="I2975" i="2"/>
  <c r="H2975" i="2"/>
  <c r="G2975" i="2"/>
  <c r="I2974" i="2"/>
  <c r="H2974" i="2"/>
  <c r="G2974" i="2"/>
  <c r="I2973" i="2"/>
  <c r="H2973" i="2"/>
  <c r="G2973" i="2"/>
  <c r="I2972" i="2"/>
  <c r="H2972" i="2"/>
  <c r="G2972" i="2"/>
  <c r="I2971" i="2"/>
  <c r="H2971" i="2"/>
  <c r="G2971" i="2"/>
  <c r="I2970" i="2"/>
  <c r="H2970" i="2"/>
  <c r="G2970" i="2"/>
  <c r="I2969" i="2"/>
  <c r="H2969" i="2"/>
  <c r="G2969" i="2"/>
  <c r="I2968" i="2"/>
  <c r="H2968" i="2"/>
  <c r="G2968" i="2"/>
  <c r="I2967" i="2"/>
  <c r="H2967" i="2"/>
  <c r="G2967" i="2"/>
  <c r="I2966" i="2"/>
  <c r="H2966" i="2"/>
  <c r="G2966" i="2"/>
  <c r="I2965" i="2"/>
  <c r="H2965" i="2"/>
  <c r="G2965" i="2"/>
  <c r="I2964" i="2"/>
  <c r="H2964" i="2"/>
  <c r="G2964" i="2"/>
  <c r="I2963" i="2"/>
  <c r="H2963" i="2"/>
  <c r="G2963" i="2"/>
  <c r="I2962" i="2"/>
  <c r="H2962" i="2"/>
  <c r="G2962" i="2"/>
  <c r="I2961" i="2"/>
  <c r="H2961" i="2"/>
  <c r="G2961" i="2"/>
  <c r="I2960" i="2"/>
  <c r="H2960" i="2"/>
  <c r="G2960" i="2"/>
  <c r="I2959" i="2"/>
  <c r="H2959" i="2"/>
  <c r="G2959" i="2"/>
  <c r="I2958" i="2"/>
  <c r="H2958" i="2"/>
  <c r="G2958" i="2"/>
  <c r="I2957" i="2"/>
  <c r="H2957" i="2"/>
  <c r="G2957" i="2"/>
  <c r="I2956" i="2"/>
  <c r="H2956" i="2"/>
  <c r="G2956" i="2"/>
  <c r="I2955" i="2"/>
  <c r="H2955" i="2"/>
  <c r="G2955" i="2"/>
  <c r="I2954" i="2"/>
  <c r="H2954" i="2"/>
  <c r="G2954" i="2"/>
  <c r="I2953" i="2"/>
  <c r="H2953" i="2"/>
  <c r="G2953" i="2"/>
  <c r="I2952" i="2"/>
  <c r="H2952" i="2"/>
  <c r="G2952" i="2"/>
  <c r="I2951" i="2"/>
  <c r="H2951" i="2"/>
  <c r="G2951" i="2"/>
  <c r="I2950" i="2"/>
  <c r="H2950" i="2"/>
  <c r="G2950" i="2"/>
  <c r="I2949" i="2"/>
  <c r="H2949" i="2"/>
  <c r="G2949" i="2"/>
  <c r="I2948" i="2"/>
  <c r="H2948" i="2"/>
  <c r="G2948" i="2"/>
  <c r="I2947" i="2"/>
  <c r="H2947" i="2"/>
  <c r="G2947" i="2"/>
  <c r="I2946" i="2"/>
  <c r="H2946" i="2"/>
  <c r="G2946" i="2"/>
  <c r="I2945" i="2"/>
  <c r="H2945" i="2"/>
  <c r="G2945" i="2"/>
  <c r="I2944" i="2"/>
  <c r="H2944" i="2"/>
  <c r="G2944" i="2"/>
  <c r="I2943" i="2"/>
  <c r="H2943" i="2"/>
  <c r="G2943" i="2"/>
  <c r="I2942" i="2"/>
  <c r="H2942" i="2"/>
  <c r="G2942" i="2"/>
  <c r="I2941" i="2"/>
  <c r="H2941" i="2"/>
  <c r="G2941" i="2"/>
  <c r="I2940" i="2"/>
  <c r="H2940" i="2"/>
  <c r="G2940" i="2"/>
  <c r="I2939" i="2"/>
  <c r="H2939" i="2"/>
  <c r="G2939" i="2"/>
  <c r="I2938" i="2"/>
  <c r="H2938" i="2"/>
  <c r="G2938" i="2"/>
  <c r="I2937" i="2"/>
  <c r="H2937" i="2"/>
  <c r="G2937" i="2"/>
  <c r="I2936" i="2"/>
  <c r="H2936" i="2"/>
  <c r="G2936" i="2"/>
  <c r="I2935" i="2"/>
  <c r="H2935" i="2"/>
  <c r="G2935" i="2"/>
  <c r="I2934" i="2"/>
  <c r="H2934" i="2"/>
  <c r="G2934" i="2"/>
  <c r="I2933" i="2"/>
  <c r="H2933" i="2"/>
  <c r="G2933" i="2"/>
  <c r="I2932" i="2"/>
  <c r="H2932" i="2"/>
  <c r="G2932" i="2"/>
  <c r="I2931" i="2"/>
  <c r="H2931" i="2"/>
  <c r="G2931" i="2"/>
  <c r="I2930" i="2"/>
  <c r="H2930" i="2"/>
  <c r="G2930" i="2"/>
  <c r="I2929" i="2"/>
  <c r="H2929" i="2"/>
  <c r="G2929" i="2"/>
  <c r="I2928" i="2"/>
  <c r="H2928" i="2"/>
  <c r="G2928" i="2"/>
  <c r="I2927" i="2"/>
  <c r="H2927" i="2"/>
  <c r="G2927" i="2"/>
  <c r="I2926" i="2"/>
  <c r="H2926" i="2"/>
  <c r="G2926" i="2"/>
  <c r="I2925" i="2"/>
  <c r="H2925" i="2"/>
  <c r="G2925" i="2"/>
  <c r="I2924" i="2"/>
  <c r="H2924" i="2"/>
  <c r="G2924" i="2"/>
  <c r="I2923" i="2"/>
  <c r="H2923" i="2"/>
  <c r="G2923" i="2"/>
  <c r="I2922" i="2"/>
  <c r="H2922" i="2"/>
  <c r="G2922" i="2"/>
  <c r="I2921" i="2"/>
  <c r="H2921" i="2"/>
  <c r="G2921" i="2"/>
  <c r="I2920" i="2"/>
  <c r="H2920" i="2"/>
  <c r="G2920" i="2"/>
  <c r="I2919" i="2"/>
  <c r="H2919" i="2"/>
  <c r="G2919" i="2"/>
  <c r="I2918" i="2"/>
  <c r="H2918" i="2"/>
  <c r="G2918" i="2"/>
  <c r="I2917" i="2"/>
  <c r="H2917" i="2"/>
  <c r="G2917" i="2"/>
  <c r="I2916" i="2"/>
  <c r="H2916" i="2"/>
  <c r="G2916" i="2"/>
  <c r="I2915" i="2"/>
  <c r="H2915" i="2"/>
  <c r="G2915" i="2"/>
  <c r="I2914" i="2"/>
  <c r="H2914" i="2"/>
  <c r="G2914" i="2"/>
  <c r="I2913" i="2"/>
  <c r="H2913" i="2"/>
  <c r="G2913" i="2"/>
  <c r="I2912" i="2"/>
  <c r="H2912" i="2"/>
  <c r="G2912" i="2"/>
  <c r="I2911" i="2"/>
  <c r="H2911" i="2"/>
  <c r="G2911" i="2"/>
  <c r="I2910" i="2"/>
  <c r="H2910" i="2"/>
  <c r="G2910" i="2"/>
  <c r="I2909" i="2"/>
  <c r="H2909" i="2"/>
  <c r="G2909" i="2"/>
  <c r="I2908" i="2"/>
  <c r="H2908" i="2"/>
  <c r="G2908" i="2"/>
  <c r="I2907" i="2"/>
  <c r="H2907" i="2"/>
  <c r="G2907" i="2"/>
  <c r="I2906" i="2"/>
  <c r="H2906" i="2"/>
  <c r="G2906" i="2"/>
  <c r="I2905" i="2"/>
  <c r="H2905" i="2"/>
  <c r="G2905" i="2"/>
  <c r="I2904" i="2"/>
  <c r="H2904" i="2"/>
  <c r="G2904" i="2"/>
  <c r="I2903" i="2"/>
  <c r="H2903" i="2"/>
  <c r="G2903" i="2"/>
  <c r="I2902" i="2"/>
  <c r="H2902" i="2"/>
  <c r="G2902" i="2"/>
  <c r="I2901" i="2"/>
  <c r="H2901" i="2"/>
  <c r="G2901" i="2"/>
  <c r="I2900" i="2"/>
  <c r="H2900" i="2"/>
  <c r="G2900" i="2"/>
  <c r="I2899" i="2"/>
  <c r="H2899" i="2"/>
  <c r="G2899" i="2"/>
  <c r="I2898" i="2"/>
  <c r="H2898" i="2"/>
  <c r="G2898" i="2"/>
  <c r="I2897" i="2"/>
  <c r="H2897" i="2"/>
  <c r="G2897" i="2"/>
  <c r="I2896" i="2"/>
  <c r="H2896" i="2"/>
  <c r="G2896" i="2"/>
  <c r="I2895" i="2"/>
  <c r="H2895" i="2"/>
  <c r="G2895" i="2"/>
  <c r="I2894" i="2"/>
  <c r="H2894" i="2"/>
  <c r="G2894" i="2"/>
  <c r="I2893" i="2"/>
  <c r="H2893" i="2"/>
  <c r="G2893" i="2"/>
  <c r="I2892" i="2"/>
  <c r="H2892" i="2"/>
  <c r="G2892" i="2"/>
  <c r="I2891" i="2"/>
  <c r="H2891" i="2"/>
  <c r="G2891" i="2"/>
  <c r="I2890" i="2"/>
  <c r="H2890" i="2"/>
  <c r="G2890" i="2"/>
  <c r="I2889" i="2"/>
  <c r="H2889" i="2"/>
  <c r="G2889" i="2"/>
  <c r="I2888" i="2"/>
  <c r="H2888" i="2"/>
  <c r="G2888" i="2"/>
  <c r="I2887" i="2"/>
  <c r="H2887" i="2"/>
  <c r="G2887" i="2"/>
  <c r="I2886" i="2"/>
  <c r="H2886" i="2"/>
  <c r="G2886" i="2"/>
  <c r="I2885" i="2"/>
  <c r="H2885" i="2"/>
  <c r="G2885" i="2"/>
  <c r="I2884" i="2"/>
  <c r="H2884" i="2"/>
  <c r="G2884" i="2"/>
  <c r="I2883" i="2"/>
  <c r="H2883" i="2"/>
  <c r="G2883" i="2"/>
  <c r="I2882" i="2"/>
  <c r="H2882" i="2"/>
  <c r="G2882" i="2"/>
  <c r="I2881" i="2"/>
  <c r="H2881" i="2"/>
  <c r="G2881" i="2"/>
  <c r="I2880" i="2"/>
  <c r="H2880" i="2"/>
  <c r="G2880" i="2"/>
  <c r="I2879" i="2"/>
  <c r="H2879" i="2"/>
  <c r="G2879" i="2"/>
  <c r="I2878" i="2"/>
  <c r="H2878" i="2"/>
  <c r="G2878" i="2"/>
  <c r="I2877" i="2"/>
  <c r="H2877" i="2"/>
  <c r="G2877" i="2"/>
  <c r="I2876" i="2"/>
  <c r="H2876" i="2"/>
  <c r="G2876" i="2"/>
  <c r="I2875" i="2"/>
  <c r="H2875" i="2"/>
  <c r="G2875" i="2"/>
  <c r="I2874" i="2"/>
  <c r="H2874" i="2"/>
  <c r="G2874" i="2"/>
  <c r="I2873" i="2"/>
  <c r="H2873" i="2"/>
  <c r="G2873" i="2"/>
  <c r="I2872" i="2"/>
  <c r="H2872" i="2"/>
  <c r="G2872" i="2"/>
  <c r="I2871" i="2"/>
  <c r="H2871" i="2"/>
  <c r="G2871" i="2"/>
  <c r="I2870" i="2"/>
  <c r="H2870" i="2"/>
  <c r="G2870" i="2"/>
  <c r="I2869" i="2"/>
  <c r="H2869" i="2"/>
  <c r="G2869" i="2"/>
  <c r="I2868" i="2"/>
  <c r="H2868" i="2"/>
  <c r="G2868" i="2"/>
  <c r="I2867" i="2"/>
  <c r="H2867" i="2"/>
  <c r="G2867" i="2"/>
  <c r="I2866" i="2"/>
  <c r="H2866" i="2"/>
  <c r="G2866" i="2"/>
  <c r="I2865" i="2"/>
  <c r="H2865" i="2"/>
  <c r="G2865" i="2"/>
  <c r="I2864" i="2"/>
  <c r="H2864" i="2"/>
  <c r="G2864" i="2"/>
  <c r="I2863" i="2"/>
  <c r="H2863" i="2"/>
  <c r="G2863" i="2"/>
  <c r="I2862" i="2"/>
  <c r="H2862" i="2"/>
  <c r="G2862" i="2"/>
  <c r="I2861" i="2"/>
  <c r="H2861" i="2"/>
  <c r="G2861" i="2"/>
  <c r="I2860" i="2"/>
  <c r="H2860" i="2"/>
  <c r="G2860" i="2"/>
  <c r="I2859" i="2"/>
  <c r="H2859" i="2"/>
  <c r="G2859" i="2"/>
  <c r="I2858" i="2"/>
  <c r="H2858" i="2"/>
  <c r="G2858" i="2"/>
  <c r="I2857" i="2"/>
  <c r="H2857" i="2"/>
  <c r="G2857" i="2"/>
  <c r="I2856" i="2"/>
  <c r="H2856" i="2"/>
  <c r="G2856" i="2"/>
  <c r="I2855" i="2"/>
  <c r="H2855" i="2"/>
  <c r="G2855" i="2"/>
  <c r="I2854" i="2"/>
  <c r="H2854" i="2"/>
  <c r="G2854" i="2"/>
  <c r="I2853" i="2"/>
  <c r="H2853" i="2"/>
  <c r="G2853" i="2"/>
  <c r="I2852" i="2"/>
  <c r="H2852" i="2"/>
  <c r="G2852" i="2"/>
  <c r="I2851" i="2"/>
  <c r="H2851" i="2"/>
  <c r="G2851" i="2"/>
  <c r="I2850" i="2"/>
  <c r="H2850" i="2"/>
  <c r="G2850" i="2"/>
  <c r="I2849" i="2"/>
  <c r="H2849" i="2"/>
  <c r="G2849" i="2"/>
  <c r="I2848" i="2"/>
  <c r="H2848" i="2"/>
  <c r="G2848" i="2"/>
  <c r="I2847" i="2"/>
  <c r="H2847" i="2"/>
  <c r="G2847" i="2"/>
  <c r="I2846" i="2"/>
  <c r="H2846" i="2"/>
  <c r="G2846" i="2"/>
  <c r="I2845" i="2"/>
  <c r="H2845" i="2"/>
  <c r="G2845" i="2"/>
  <c r="I2844" i="2"/>
  <c r="H2844" i="2"/>
  <c r="G2844" i="2"/>
  <c r="I2843" i="2"/>
  <c r="H2843" i="2"/>
  <c r="G2843" i="2"/>
  <c r="I2842" i="2"/>
  <c r="H2842" i="2"/>
  <c r="G2842" i="2"/>
  <c r="I2841" i="2"/>
  <c r="H2841" i="2"/>
  <c r="G2841" i="2"/>
  <c r="I2840" i="2"/>
  <c r="H2840" i="2"/>
  <c r="G2840" i="2"/>
  <c r="I2839" i="2"/>
  <c r="H2839" i="2"/>
  <c r="G2839" i="2"/>
  <c r="I2838" i="2"/>
  <c r="H2838" i="2"/>
  <c r="G2838" i="2"/>
  <c r="I2837" i="2"/>
  <c r="H2837" i="2"/>
  <c r="G2837" i="2"/>
  <c r="I2836" i="2"/>
  <c r="H2836" i="2"/>
  <c r="G2836" i="2"/>
  <c r="I2835" i="2"/>
  <c r="H2835" i="2"/>
  <c r="G2835" i="2"/>
  <c r="I2834" i="2"/>
  <c r="H2834" i="2"/>
  <c r="G2834" i="2"/>
  <c r="I2833" i="2"/>
  <c r="H2833" i="2"/>
  <c r="G2833" i="2"/>
  <c r="I2832" i="2"/>
  <c r="H2832" i="2"/>
  <c r="G2832" i="2"/>
  <c r="I2831" i="2"/>
  <c r="H2831" i="2"/>
  <c r="G2831" i="2"/>
  <c r="I2830" i="2"/>
  <c r="H2830" i="2"/>
  <c r="G2830" i="2"/>
  <c r="I2829" i="2"/>
  <c r="H2829" i="2"/>
  <c r="G2829" i="2"/>
  <c r="I2828" i="2"/>
  <c r="H2828" i="2"/>
  <c r="G2828" i="2"/>
  <c r="I2827" i="2"/>
  <c r="H2827" i="2"/>
  <c r="G2827" i="2"/>
  <c r="I2826" i="2"/>
  <c r="H2826" i="2"/>
  <c r="G2826" i="2"/>
  <c r="I2825" i="2"/>
  <c r="H2825" i="2"/>
  <c r="G2825" i="2"/>
  <c r="I2824" i="2"/>
  <c r="H2824" i="2"/>
  <c r="G2824" i="2"/>
  <c r="I2823" i="2"/>
  <c r="H2823" i="2"/>
  <c r="G2823" i="2"/>
  <c r="I2822" i="2"/>
  <c r="H2822" i="2"/>
  <c r="G2822" i="2"/>
  <c r="I2821" i="2"/>
  <c r="H2821" i="2"/>
  <c r="G2821" i="2"/>
  <c r="I2820" i="2"/>
  <c r="H2820" i="2"/>
  <c r="G2820" i="2"/>
  <c r="I2819" i="2"/>
  <c r="H2819" i="2"/>
  <c r="G2819" i="2"/>
  <c r="I2818" i="2"/>
  <c r="H2818" i="2"/>
  <c r="G2818" i="2"/>
  <c r="I2817" i="2"/>
  <c r="H2817" i="2"/>
  <c r="G2817" i="2"/>
  <c r="I2816" i="2"/>
  <c r="H2816" i="2"/>
  <c r="G2816" i="2"/>
  <c r="I2815" i="2"/>
  <c r="H2815" i="2"/>
  <c r="G2815" i="2"/>
  <c r="I2814" i="2"/>
  <c r="H2814" i="2"/>
  <c r="G2814" i="2"/>
  <c r="I2813" i="2"/>
  <c r="H2813" i="2"/>
  <c r="G2813" i="2"/>
  <c r="I2812" i="2"/>
  <c r="H2812" i="2"/>
  <c r="G2812" i="2"/>
  <c r="I2811" i="2"/>
  <c r="H2811" i="2"/>
  <c r="G2811" i="2"/>
  <c r="I2810" i="2"/>
  <c r="H2810" i="2"/>
  <c r="G2810" i="2"/>
  <c r="I2809" i="2"/>
  <c r="H2809" i="2"/>
  <c r="G2809" i="2"/>
  <c r="I2808" i="2"/>
  <c r="H2808" i="2"/>
  <c r="G2808" i="2"/>
  <c r="I2807" i="2"/>
  <c r="H2807" i="2"/>
  <c r="G2807" i="2"/>
  <c r="I2806" i="2"/>
  <c r="H2806" i="2"/>
  <c r="G2806" i="2"/>
  <c r="I2805" i="2"/>
  <c r="H2805" i="2"/>
  <c r="G2805" i="2"/>
  <c r="I2804" i="2"/>
  <c r="H2804" i="2"/>
  <c r="G2804" i="2"/>
  <c r="I2803" i="2"/>
  <c r="H2803" i="2"/>
  <c r="G2803" i="2"/>
  <c r="I2802" i="2"/>
  <c r="H2802" i="2"/>
  <c r="G2802" i="2"/>
  <c r="I2801" i="2"/>
  <c r="H2801" i="2"/>
  <c r="G2801" i="2"/>
  <c r="I2800" i="2"/>
  <c r="H2800" i="2"/>
  <c r="G2800" i="2"/>
  <c r="I2799" i="2"/>
  <c r="H2799" i="2"/>
  <c r="G2799" i="2"/>
  <c r="I2798" i="2"/>
  <c r="H2798" i="2"/>
  <c r="G2798" i="2"/>
  <c r="I2797" i="2"/>
  <c r="H2797" i="2"/>
  <c r="G2797" i="2"/>
  <c r="I2796" i="2"/>
  <c r="H2796" i="2"/>
  <c r="G2796" i="2"/>
  <c r="I2795" i="2"/>
  <c r="H2795" i="2"/>
  <c r="G2795" i="2"/>
  <c r="I2794" i="2"/>
  <c r="H2794" i="2"/>
  <c r="G2794" i="2"/>
  <c r="I2793" i="2"/>
  <c r="H2793" i="2"/>
  <c r="G2793" i="2"/>
  <c r="I2792" i="2"/>
  <c r="H2792" i="2"/>
  <c r="G2792" i="2"/>
  <c r="I2791" i="2"/>
  <c r="H2791" i="2"/>
  <c r="G2791" i="2"/>
  <c r="I2790" i="2"/>
  <c r="H2790" i="2"/>
  <c r="G2790" i="2"/>
  <c r="I2789" i="2"/>
  <c r="H2789" i="2"/>
  <c r="G2789" i="2"/>
  <c r="I2788" i="2"/>
  <c r="H2788" i="2"/>
  <c r="G2788" i="2"/>
  <c r="I2787" i="2"/>
  <c r="H2787" i="2"/>
  <c r="G2787" i="2"/>
  <c r="I2786" i="2"/>
  <c r="H2786" i="2"/>
  <c r="G2786" i="2"/>
  <c r="I2785" i="2"/>
  <c r="H2785" i="2"/>
  <c r="G2785" i="2"/>
  <c r="I2784" i="2"/>
  <c r="H2784" i="2"/>
  <c r="G2784" i="2"/>
  <c r="I2783" i="2"/>
  <c r="H2783" i="2"/>
  <c r="G2783" i="2"/>
  <c r="I2782" i="2"/>
  <c r="H2782" i="2"/>
  <c r="G2782" i="2"/>
  <c r="I2781" i="2"/>
  <c r="H2781" i="2"/>
  <c r="G2781" i="2"/>
  <c r="I2780" i="2"/>
  <c r="H2780" i="2"/>
  <c r="G2780" i="2"/>
  <c r="I2779" i="2"/>
  <c r="H2779" i="2"/>
  <c r="G2779" i="2"/>
  <c r="I2778" i="2"/>
  <c r="H2778" i="2"/>
  <c r="G2778" i="2"/>
  <c r="I2777" i="2"/>
  <c r="H2777" i="2"/>
  <c r="G2777" i="2"/>
  <c r="I2776" i="2"/>
  <c r="H2776" i="2"/>
  <c r="G2776" i="2"/>
  <c r="I2775" i="2"/>
  <c r="H2775" i="2"/>
  <c r="G2775" i="2"/>
  <c r="I2774" i="2"/>
  <c r="H2774" i="2"/>
  <c r="G2774" i="2"/>
  <c r="I2773" i="2"/>
  <c r="H2773" i="2"/>
  <c r="G2773" i="2"/>
  <c r="I2772" i="2"/>
  <c r="H2772" i="2"/>
  <c r="G2772" i="2"/>
  <c r="I2771" i="2"/>
  <c r="H2771" i="2"/>
  <c r="G2771" i="2"/>
  <c r="I2770" i="2"/>
  <c r="H2770" i="2"/>
  <c r="G2770" i="2"/>
  <c r="I2769" i="2"/>
  <c r="H2769" i="2"/>
  <c r="G2769" i="2"/>
  <c r="I2768" i="2"/>
  <c r="H2768" i="2"/>
  <c r="G2768" i="2"/>
  <c r="I2767" i="2"/>
  <c r="H2767" i="2"/>
  <c r="G2767" i="2"/>
  <c r="I2766" i="2"/>
  <c r="H2766" i="2"/>
  <c r="G2766" i="2"/>
  <c r="I2765" i="2"/>
  <c r="H2765" i="2"/>
  <c r="G2765" i="2"/>
  <c r="I2764" i="2"/>
  <c r="H2764" i="2"/>
  <c r="G2764" i="2"/>
  <c r="I2763" i="2"/>
  <c r="H2763" i="2"/>
  <c r="G2763" i="2"/>
  <c r="I2762" i="2"/>
  <c r="H2762" i="2"/>
  <c r="G2762" i="2"/>
  <c r="I2761" i="2"/>
  <c r="H2761" i="2"/>
  <c r="G2761" i="2"/>
  <c r="I2760" i="2"/>
  <c r="H2760" i="2"/>
  <c r="G2760" i="2"/>
  <c r="I2759" i="2"/>
  <c r="H2759" i="2"/>
  <c r="G2759" i="2"/>
  <c r="I2758" i="2"/>
  <c r="H2758" i="2"/>
  <c r="G2758" i="2"/>
  <c r="I2757" i="2"/>
  <c r="H2757" i="2"/>
  <c r="G2757" i="2"/>
  <c r="I2756" i="2"/>
  <c r="H2756" i="2"/>
  <c r="G2756" i="2"/>
  <c r="I2755" i="2"/>
  <c r="H2755" i="2"/>
  <c r="G2755" i="2"/>
  <c r="I2754" i="2"/>
  <c r="H2754" i="2"/>
  <c r="G2754" i="2"/>
  <c r="I2753" i="2"/>
  <c r="H2753" i="2"/>
  <c r="G2753" i="2"/>
  <c r="I2752" i="2"/>
  <c r="H2752" i="2"/>
  <c r="G2752" i="2"/>
  <c r="I2751" i="2"/>
  <c r="H2751" i="2"/>
  <c r="G2751" i="2"/>
  <c r="I2750" i="2"/>
  <c r="H2750" i="2"/>
  <c r="G2750" i="2"/>
  <c r="I2749" i="2"/>
  <c r="H2749" i="2"/>
  <c r="G2749" i="2"/>
  <c r="I2748" i="2"/>
  <c r="H2748" i="2"/>
  <c r="G2748" i="2"/>
  <c r="I2747" i="2"/>
  <c r="H2747" i="2"/>
  <c r="G2747" i="2"/>
  <c r="I2746" i="2"/>
  <c r="H2746" i="2"/>
  <c r="G2746" i="2"/>
  <c r="I2745" i="2"/>
  <c r="H2745" i="2"/>
  <c r="G2745" i="2"/>
  <c r="I2744" i="2"/>
  <c r="H2744" i="2"/>
  <c r="G2744" i="2"/>
  <c r="I2743" i="2"/>
  <c r="H2743" i="2"/>
  <c r="G2743" i="2"/>
  <c r="I2742" i="2"/>
  <c r="H2742" i="2"/>
  <c r="G2742" i="2"/>
  <c r="I2741" i="2"/>
  <c r="H2741" i="2"/>
  <c r="G2741" i="2"/>
  <c r="I2740" i="2"/>
  <c r="H2740" i="2"/>
  <c r="G2740" i="2"/>
  <c r="I2739" i="2"/>
  <c r="H2739" i="2"/>
  <c r="G2739" i="2"/>
  <c r="I2738" i="2"/>
  <c r="H2738" i="2"/>
  <c r="G2738" i="2"/>
  <c r="I2737" i="2"/>
  <c r="H2737" i="2"/>
  <c r="G2737" i="2"/>
  <c r="I2736" i="2"/>
  <c r="H2736" i="2"/>
  <c r="G2736" i="2"/>
  <c r="I2735" i="2"/>
  <c r="H2735" i="2"/>
  <c r="G2735" i="2"/>
  <c r="I2734" i="2"/>
  <c r="H2734" i="2"/>
  <c r="G2734" i="2"/>
  <c r="I2733" i="2"/>
  <c r="H2733" i="2"/>
  <c r="G2733" i="2"/>
  <c r="I2732" i="2"/>
  <c r="H2732" i="2"/>
  <c r="G2732" i="2"/>
  <c r="I2731" i="2"/>
  <c r="H2731" i="2"/>
  <c r="G2731" i="2"/>
  <c r="I2730" i="2"/>
  <c r="H2730" i="2"/>
  <c r="G2730" i="2"/>
  <c r="I2729" i="2"/>
  <c r="H2729" i="2"/>
  <c r="G2729" i="2"/>
  <c r="I2728" i="2"/>
  <c r="H2728" i="2"/>
  <c r="G2728" i="2"/>
  <c r="I2727" i="2"/>
  <c r="H2727" i="2"/>
  <c r="G2727" i="2"/>
  <c r="I2726" i="2"/>
  <c r="H2726" i="2"/>
  <c r="G2726" i="2"/>
  <c r="I2725" i="2"/>
  <c r="H2725" i="2"/>
  <c r="G2725" i="2"/>
  <c r="I2724" i="2"/>
  <c r="H2724" i="2"/>
  <c r="G2724" i="2"/>
  <c r="I2723" i="2"/>
  <c r="H2723" i="2"/>
  <c r="G2723" i="2"/>
  <c r="I2722" i="2"/>
  <c r="H2722" i="2"/>
  <c r="G2722" i="2"/>
  <c r="I2721" i="2"/>
  <c r="H2721" i="2"/>
  <c r="G2721" i="2"/>
  <c r="I2720" i="2"/>
  <c r="H2720" i="2"/>
  <c r="G2720" i="2"/>
  <c r="I2719" i="2"/>
  <c r="H2719" i="2"/>
  <c r="G2719" i="2"/>
  <c r="I2718" i="2"/>
  <c r="H2718" i="2"/>
  <c r="G2718" i="2"/>
  <c r="I2717" i="2"/>
  <c r="H2717" i="2"/>
  <c r="G2717" i="2"/>
  <c r="I2716" i="2"/>
  <c r="H2716" i="2"/>
  <c r="G2716" i="2"/>
  <c r="I2715" i="2"/>
  <c r="H2715" i="2"/>
  <c r="G2715" i="2"/>
  <c r="I2714" i="2"/>
  <c r="H2714" i="2"/>
  <c r="G2714" i="2"/>
  <c r="I2713" i="2"/>
  <c r="H2713" i="2"/>
  <c r="G2713" i="2"/>
  <c r="I2712" i="2"/>
  <c r="H2712" i="2"/>
  <c r="G2712" i="2"/>
  <c r="I2711" i="2"/>
  <c r="H2711" i="2"/>
  <c r="G2711" i="2"/>
  <c r="I2710" i="2"/>
  <c r="H2710" i="2"/>
  <c r="G2710" i="2"/>
  <c r="I2709" i="2"/>
  <c r="H2709" i="2"/>
  <c r="G2709" i="2"/>
  <c r="I2708" i="2"/>
  <c r="H2708" i="2"/>
  <c r="G2708" i="2"/>
  <c r="I2707" i="2"/>
  <c r="H2707" i="2"/>
  <c r="G2707" i="2"/>
  <c r="I2706" i="2"/>
  <c r="H2706" i="2"/>
  <c r="G2706" i="2"/>
  <c r="I2705" i="2"/>
  <c r="H2705" i="2"/>
  <c r="G2705" i="2"/>
  <c r="I2704" i="2"/>
  <c r="H2704" i="2"/>
  <c r="G2704" i="2"/>
  <c r="I2703" i="2"/>
  <c r="H2703" i="2"/>
  <c r="G2703" i="2"/>
  <c r="I2702" i="2"/>
  <c r="H2702" i="2"/>
  <c r="G2702" i="2"/>
  <c r="I2701" i="2"/>
  <c r="H2701" i="2"/>
  <c r="G2701" i="2"/>
  <c r="I2700" i="2"/>
  <c r="H2700" i="2"/>
  <c r="G2700" i="2"/>
  <c r="I2699" i="2"/>
  <c r="H2699" i="2"/>
  <c r="G2699" i="2"/>
  <c r="I2698" i="2"/>
  <c r="H2698" i="2"/>
  <c r="G2698" i="2"/>
  <c r="I2697" i="2"/>
  <c r="H2697" i="2"/>
  <c r="G2697" i="2"/>
  <c r="I2696" i="2"/>
  <c r="H2696" i="2"/>
  <c r="G2696" i="2"/>
  <c r="I2695" i="2"/>
  <c r="H2695" i="2"/>
  <c r="G2695" i="2"/>
  <c r="I2694" i="2"/>
  <c r="H2694" i="2"/>
  <c r="G2694" i="2"/>
  <c r="I2693" i="2"/>
  <c r="H2693" i="2"/>
  <c r="G2693" i="2"/>
  <c r="I2692" i="2"/>
  <c r="H2692" i="2"/>
  <c r="G2692" i="2"/>
  <c r="I2691" i="2"/>
  <c r="H2691" i="2"/>
  <c r="G2691" i="2"/>
  <c r="I2690" i="2"/>
  <c r="H2690" i="2"/>
  <c r="G2690" i="2"/>
  <c r="I2689" i="2"/>
  <c r="H2689" i="2"/>
  <c r="G2689" i="2"/>
  <c r="I2688" i="2"/>
  <c r="H2688" i="2"/>
  <c r="G2688" i="2"/>
  <c r="I2687" i="2"/>
  <c r="H2687" i="2"/>
  <c r="G2687" i="2"/>
  <c r="I2686" i="2"/>
  <c r="H2686" i="2"/>
  <c r="G2686" i="2"/>
  <c r="I2685" i="2"/>
  <c r="H2685" i="2"/>
  <c r="G2685" i="2"/>
  <c r="I2684" i="2"/>
  <c r="H2684" i="2"/>
  <c r="G2684" i="2"/>
  <c r="I2683" i="2"/>
  <c r="H2683" i="2"/>
  <c r="G2683" i="2"/>
  <c r="I2682" i="2"/>
  <c r="H2682" i="2"/>
  <c r="G2682" i="2"/>
  <c r="I2681" i="2"/>
  <c r="H2681" i="2"/>
  <c r="G2681" i="2"/>
  <c r="I2680" i="2"/>
  <c r="H2680" i="2"/>
  <c r="G2680" i="2"/>
  <c r="I2679" i="2"/>
  <c r="H2679" i="2"/>
  <c r="G2679" i="2"/>
  <c r="I2678" i="2"/>
  <c r="H2678" i="2"/>
  <c r="G2678" i="2"/>
  <c r="I2677" i="2"/>
  <c r="H2677" i="2"/>
  <c r="G2677" i="2"/>
  <c r="I2676" i="2"/>
  <c r="H2676" i="2"/>
  <c r="G2676" i="2"/>
  <c r="I2675" i="2"/>
  <c r="H2675" i="2"/>
  <c r="G2675" i="2"/>
  <c r="I2674" i="2"/>
  <c r="H2674" i="2"/>
  <c r="G2674" i="2"/>
  <c r="I2673" i="2"/>
  <c r="H2673" i="2"/>
  <c r="G2673" i="2"/>
  <c r="I2672" i="2"/>
  <c r="H2672" i="2"/>
  <c r="G2672" i="2"/>
  <c r="I2671" i="2"/>
  <c r="H2671" i="2"/>
  <c r="G2671" i="2"/>
  <c r="I2670" i="2"/>
  <c r="H2670" i="2"/>
  <c r="G2670" i="2"/>
  <c r="I2669" i="2"/>
  <c r="H2669" i="2"/>
  <c r="G2669" i="2"/>
  <c r="I2668" i="2"/>
  <c r="H2668" i="2"/>
  <c r="G2668" i="2"/>
  <c r="I2667" i="2"/>
  <c r="H2667" i="2"/>
  <c r="G2667" i="2"/>
  <c r="I2666" i="2"/>
  <c r="H2666" i="2"/>
  <c r="G2666" i="2"/>
  <c r="I2665" i="2"/>
  <c r="H2665" i="2"/>
  <c r="G2665" i="2"/>
  <c r="I2664" i="2"/>
  <c r="H2664" i="2"/>
  <c r="G2664" i="2"/>
  <c r="I2663" i="2"/>
  <c r="H2663" i="2"/>
  <c r="G2663" i="2"/>
  <c r="I2662" i="2"/>
  <c r="H2662" i="2"/>
  <c r="G2662" i="2"/>
  <c r="I2661" i="2"/>
  <c r="H2661" i="2"/>
  <c r="G2661" i="2"/>
  <c r="I2660" i="2"/>
  <c r="H2660" i="2"/>
  <c r="G2660" i="2"/>
  <c r="I2659" i="2"/>
  <c r="H2659" i="2"/>
  <c r="G2659" i="2"/>
  <c r="I2658" i="2"/>
  <c r="H2658" i="2"/>
  <c r="G2658" i="2"/>
  <c r="I2657" i="2"/>
  <c r="H2657" i="2"/>
  <c r="G2657" i="2"/>
  <c r="I2656" i="2"/>
  <c r="H2656" i="2"/>
  <c r="G2656" i="2"/>
  <c r="I2655" i="2"/>
  <c r="H2655" i="2"/>
  <c r="G2655" i="2"/>
  <c r="I2654" i="2"/>
  <c r="H2654" i="2"/>
  <c r="G2654" i="2"/>
  <c r="I2653" i="2"/>
  <c r="H2653" i="2"/>
  <c r="G2653" i="2"/>
  <c r="I2652" i="2"/>
  <c r="H2652" i="2"/>
  <c r="G2652" i="2"/>
  <c r="I2651" i="2"/>
  <c r="H2651" i="2"/>
  <c r="G2651" i="2"/>
  <c r="I2650" i="2"/>
  <c r="H2650" i="2"/>
  <c r="G2650" i="2"/>
  <c r="I2649" i="2"/>
  <c r="H2649" i="2"/>
  <c r="G2649" i="2"/>
  <c r="I2648" i="2"/>
  <c r="H2648" i="2"/>
  <c r="G2648" i="2"/>
  <c r="I2647" i="2"/>
  <c r="H2647" i="2"/>
  <c r="G2647" i="2"/>
  <c r="I2646" i="2"/>
  <c r="H2646" i="2"/>
  <c r="G2646" i="2"/>
  <c r="I2645" i="2"/>
  <c r="H2645" i="2"/>
  <c r="G2645" i="2"/>
  <c r="I2644" i="2"/>
  <c r="H2644" i="2"/>
  <c r="G2644" i="2"/>
  <c r="I2643" i="2"/>
  <c r="H2643" i="2"/>
  <c r="G2643" i="2"/>
  <c r="I2642" i="2"/>
  <c r="H2642" i="2"/>
  <c r="G2642" i="2"/>
  <c r="I2641" i="2"/>
  <c r="H2641" i="2"/>
  <c r="G2641" i="2"/>
  <c r="I2640" i="2"/>
  <c r="H2640" i="2"/>
  <c r="G2640" i="2"/>
  <c r="I2639" i="2"/>
  <c r="H2639" i="2"/>
  <c r="G2639" i="2"/>
  <c r="I2638" i="2"/>
  <c r="H2638" i="2"/>
  <c r="G2638" i="2"/>
  <c r="I2637" i="2"/>
  <c r="H2637" i="2"/>
  <c r="G2637" i="2"/>
  <c r="I2636" i="2"/>
  <c r="H2636" i="2"/>
  <c r="G2636" i="2"/>
  <c r="I2635" i="2"/>
  <c r="H2635" i="2"/>
  <c r="G2635" i="2"/>
  <c r="I2634" i="2"/>
  <c r="H2634" i="2"/>
  <c r="G2634" i="2"/>
  <c r="I2633" i="2"/>
  <c r="H2633" i="2"/>
  <c r="G2633" i="2"/>
  <c r="I2632" i="2"/>
  <c r="H2632" i="2"/>
  <c r="G2632" i="2"/>
  <c r="I2631" i="2"/>
  <c r="H2631" i="2"/>
  <c r="G2631" i="2"/>
  <c r="I2630" i="2"/>
  <c r="H2630" i="2"/>
  <c r="G2630" i="2"/>
  <c r="I2629" i="2"/>
  <c r="H2629" i="2"/>
  <c r="G2629" i="2"/>
  <c r="I2628" i="2"/>
  <c r="H2628" i="2"/>
  <c r="G2628" i="2"/>
  <c r="I2627" i="2"/>
  <c r="H2627" i="2"/>
  <c r="G2627" i="2"/>
  <c r="I2626" i="2"/>
  <c r="H2626" i="2"/>
  <c r="G2626" i="2"/>
  <c r="I2625" i="2"/>
  <c r="H2625" i="2"/>
  <c r="G2625" i="2"/>
  <c r="I2624" i="2"/>
  <c r="H2624" i="2"/>
  <c r="G2624" i="2"/>
  <c r="I2623" i="2"/>
  <c r="H2623" i="2"/>
  <c r="G2623" i="2"/>
  <c r="I2622" i="2"/>
  <c r="H2622" i="2"/>
  <c r="G2622" i="2"/>
  <c r="I2621" i="2"/>
  <c r="H2621" i="2"/>
  <c r="G2621" i="2"/>
  <c r="I2620" i="2"/>
  <c r="H2620" i="2"/>
  <c r="G2620" i="2"/>
  <c r="I2619" i="2"/>
  <c r="H2619" i="2"/>
  <c r="G2619" i="2"/>
  <c r="I2618" i="2"/>
  <c r="H2618" i="2"/>
  <c r="G2618" i="2"/>
  <c r="I2617" i="2"/>
  <c r="H2617" i="2"/>
  <c r="G2617" i="2"/>
  <c r="I2616" i="2"/>
  <c r="H2616" i="2"/>
  <c r="G2616" i="2"/>
  <c r="I2615" i="2"/>
  <c r="H2615" i="2"/>
  <c r="G2615" i="2"/>
  <c r="I2614" i="2"/>
  <c r="H2614" i="2"/>
  <c r="G2614" i="2"/>
  <c r="I2613" i="2"/>
  <c r="H2613" i="2"/>
  <c r="G2613" i="2"/>
  <c r="I2612" i="2"/>
  <c r="H2612" i="2"/>
  <c r="G2612" i="2"/>
  <c r="I2611" i="2"/>
  <c r="H2611" i="2"/>
  <c r="G2611" i="2"/>
  <c r="I2610" i="2"/>
  <c r="H2610" i="2"/>
  <c r="G2610" i="2"/>
  <c r="I2609" i="2"/>
  <c r="H2609" i="2"/>
  <c r="G2609" i="2"/>
  <c r="I2608" i="2"/>
  <c r="H2608" i="2"/>
  <c r="G2608" i="2"/>
  <c r="I2607" i="2"/>
  <c r="H2607" i="2"/>
  <c r="G2607" i="2"/>
  <c r="I2606" i="2"/>
  <c r="H2606" i="2"/>
  <c r="G2606" i="2"/>
  <c r="I2605" i="2"/>
  <c r="H2605" i="2"/>
  <c r="G2605" i="2"/>
  <c r="I2604" i="2"/>
  <c r="H2604" i="2"/>
  <c r="G2604" i="2"/>
  <c r="I2603" i="2"/>
  <c r="H2603" i="2"/>
  <c r="G2603" i="2"/>
  <c r="I2602" i="2"/>
  <c r="H2602" i="2"/>
  <c r="G2602" i="2"/>
  <c r="I2601" i="2"/>
  <c r="H2601" i="2"/>
  <c r="G2601" i="2"/>
  <c r="I2600" i="2"/>
  <c r="H2600" i="2"/>
  <c r="G2600" i="2"/>
  <c r="I2599" i="2"/>
  <c r="H2599" i="2"/>
  <c r="G2599" i="2"/>
  <c r="I2598" i="2"/>
  <c r="H2598" i="2"/>
  <c r="G2598" i="2"/>
  <c r="I2597" i="2"/>
  <c r="H2597" i="2"/>
  <c r="G2597" i="2"/>
  <c r="I2596" i="2"/>
  <c r="H2596" i="2"/>
  <c r="G2596" i="2"/>
  <c r="I2595" i="2"/>
  <c r="H2595" i="2"/>
  <c r="G2595" i="2"/>
  <c r="I2594" i="2"/>
  <c r="H2594" i="2"/>
  <c r="G2594" i="2"/>
  <c r="I2593" i="2"/>
  <c r="H2593" i="2"/>
  <c r="G2593" i="2"/>
  <c r="I2592" i="2"/>
  <c r="H2592" i="2"/>
  <c r="G2592" i="2"/>
  <c r="I2591" i="2"/>
  <c r="H2591" i="2"/>
  <c r="G2591" i="2"/>
  <c r="I2590" i="2"/>
  <c r="H2590" i="2"/>
  <c r="G2590" i="2"/>
  <c r="I2589" i="2"/>
  <c r="H2589" i="2"/>
  <c r="G2589" i="2"/>
  <c r="I2588" i="2"/>
  <c r="H2588" i="2"/>
  <c r="G2588" i="2"/>
  <c r="I2587" i="2"/>
  <c r="H2587" i="2"/>
  <c r="G2587" i="2"/>
  <c r="I2586" i="2"/>
  <c r="H2586" i="2"/>
  <c r="G2586" i="2"/>
  <c r="I2585" i="2"/>
  <c r="H2585" i="2"/>
  <c r="G2585" i="2"/>
  <c r="I2584" i="2"/>
  <c r="H2584" i="2"/>
  <c r="G2584" i="2"/>
  <c r="I2583" i="2"/>
  <c r="H2583" i="2"/>
  <c r="G2583" i="2"/>
  <c r="I2582" i="2"/>
  <c r="H2582" i="2"/>
  <c r="G2582" i="2"/>
  <c r="I2581" i="2"/>
  <c r="H2581" i="2"/>
  <c r="G2581" i="2"/>
  <c r="I2580" i="2"/>
  <c r="H2580" i="2"/>
  <c r="G2580" i="2"/>
  <c r="I2579" i="2"/>
  <c r="H2579" i="2"/>
  <c r="G2579" i="2"/>
  <c r="I2578" i="2"/>
  <c r="H2578" i="2"/>
  <c r="G2578" i="2"/>
  <c r="I2577" i="2"/>
  <c r="H2577" i="2"/>
  <c r="G2577" i="2"/>
  <c r="I2576" i="2"/>
  <c r="H2576" i="2"/>
  <c r="G2576" i="2"/>
  <c r="I2575" i="2"/>
  <c r="H2575" i="2"/>
  <c r="G2575" i="2"/>
  <c r="I2574" i="2"/>
  <c r="H2574" i="2"/>
  <c r="G2574" i="2"/>
  <c r="I2573" i="2"/>
  <c r="H2573" i="2"/>
  <c r="G2573" i="2"/>
  <c r="I2572" i="2"/>
  <c r="H2572" i="2"/>
  <c r="G2572" i="2"/>
  <c r="I2571" i="2"/>
  <c r="H2571" i="2"/>
  <c r="G2571" i="2"/>
  <c r="I2570" i="2"/>
  <c r="H2570" i="2"/>
  <c r="G2570" i="2"/>
  <c r="I2569" i="2"/>
  <c r="H2569" i="2"/>
  <c r="G2569" i="2"/>
  <c r="I2568" i="2"/>
  <c r="H2568" i="2"/>
  <c r="G2568" i="2"/>
  <c r="I2567" i="2"/>
  <c r="H2567" i="2"/>
  <c r="G2567" i="2"/>
  <c r="I2566" i="2"/>
  <c r="H2566" i="2"/>
  <c r="G2566" i="2"/>
  <c r="I2565" i="2"/>
  <c r="H2565" i="2"/>
  <c r="G2565" i="2"/>
  <c r="I2564" i="2"/>
  <c r="H2564" i="2"/>
  <c r="G2564" i="2"/>
  <c r="I2563" i="2"/>
  <c r="H2563" i="2"/>
  <c r="G2563" i="2"/>
  <c r="I2562" i="2"/>
  <c r="H2562" i="2"/>
  <c r="G2562" i="2"/>
  <c r="I2561" i="2"/>
  <c r="H2561" i="2"/>
  <c r="G2561" i="2"/>
  <c r="I2560" i="2"/>
  <c r="H2560" i="2"/>
  <c r="G2560" i="2"/>
  <c r="I2559" i="2"/>
  <c r="H2559" i="2"/>
  <c r="G2559" i="2"/>
  <c r="I2558" i="2"/>
  <c r="H2558" i="2"/>
  <c r="G2558" i="2"/>
  <c r="I2557" i="2"/>
  <c r="H2557" i="2"/>
  <c r="G2557" i="2"/>
  <c r="I2556" i="2"/>
  <c r="H2556" i="2"/>
  <c r="G2556" i="2"/>
  <c r="I2555" i="2"/>
  <c r="H2555" i="2"/>
  <c r="G2555" i="2"/>
  <c r="I2554" i="2"/>
  <c r="H2554" i="2"/>
  <c r="G2554" i="2"/>
  <c r="I2553" i="2"/>
  <c r="H2553" i="2"/>
  <c r="G2553" i="2"/>
  <c r="I2552" i="2"/>
  <c r="H2552" i="2"/>
  <c r="G2552" i="2"/>
  <c r="I2551" i="2"/>
  <c r="H2551" i="2"/>
  <c r="G2551" i="2"/>
  <c r="I2550" i="2"/>
  <c r="H2550" i="2"/>
  <c r="G2550" i="2"/>
  <c r="I2549" i="2"/>
  <c r="H2549" i="2"/>
  <c r="G2549" i="2"/>
  <c r="I2548" i="2"/>
  <c r="H2548" i="2"/>
  <c r="G2548" i="2"/>
  <c r="I2547" i="2"/>
  <c r="H2547" i="2"/>
  <c r="G2547" i="2"/>
  <c r="I2546" i="2"/>
  <c r="H2546" i="2"/>
  <c r="G2546" i="2"/>
  <c r="I2545" i="2"/>
  <c r="H2545" i="2"/>
  <c r="G2545" i="2"/>
  <c r="I2544" i="2"/>
  <c r="H2544" i="2"/>
  <c r="G2544" i="2"/>
  <c r="I2543" i="2"/>
  <c r="H2543" i="2"/>
  <c r="G2543" i="2"/>
  <c r="I2542" i="2"/>
  <c r="H2542" i="2"/>
  <c r="G2542" i="2"/>
  <c r="I2541" i="2"/>
  <c r="H2541" i="2"/>
  <c r="G2541" i="2"/>
  <c r="I2540" i="2"/>
  <c r="H2540" i="2"/>
  <c r="G2540" i="2"/>
  <c r="I2539" i="2"/>
  <c r="H2539" i="2"/>
  <c r="G2539" i="2"/>
  <c r="I2538" i="2"/>
  <c r="H2538" i="2"/>
  <c r="G2538" i="2"/>
  <c r="I2537" i="2"/>
  <c r="H2537" i="2"/>
  <c r="G2537" i="2"/>
  <c r="I2536" i="2"/>
  <c r="H2536" i="2"/>
  <c r="G2536" i="2"/>
  <c r="I2535" i="2"/>
  <c r="H2535" i="2"/>
  <c r="G2535" i="2"/>
  <c r="I2534" i="2"/>
  <c r="H2534" i="2"/>
  <c r="G2534" i="2"/>
  <c r="I2533" i="2"/>
  <c r="H2533" i="2"/>
  <c r="G2533" i="2"/>
  <c r="I2532" i="2"/>
  <c r="H2532" i="2"/>
  <c r="G2532" i="2"/>
  <c r="I2531" i="2"/>
  <c r="H2531" i="2"/>
  <c r="G2531" i="2"/>
  <c r="I2530" i="2"/>
  <c r="H2530" i="2"/>
  <c r="G2530" i="2"/>
  <c r="I2529" i="2"/>
  <c r="H2529" i="2"/>
  <c r="G2529" i="2"/>
  <c r="I2528" i="2"/>
  <c r="H2528" i="2"/>
  <c r="G2528" i="2"/>
  <c r="I2527" i="2"/>
  <c r="H2527" i="2"/>
  <c r="G2527" i="2"/>
  <c r="I2526" i="2"/>
  <c r="H2526" i="2"/>
  <c r="G2526" i="2"/>
  <c r="I2525" i="2"/>
  <c r="H2525" i="2"/>
  <c r="G2525" i="2"/>
  <c r="I2524" i="2"/>
  <c r="H2524" i="2"/>
  <c r="G2524" i="2"/>
  <c r="I2523" i="2"/>
  <c r="H2523" i="2"/>
  <c r="G2523" i="2"/>
  <c r="I2522" i="2"/>
  <c r="H2522" i="2"/>
  <c r="G2522" i="2"/>
  <c r="I2521" i="2"/>
  <c r="H2521" i="2"/>
  <c r="G2521" i="2"/>
  <c r="I2520" i="2"/>
  <c r="H2520" i="2"/>
  <c r="G2520" i="2"/>
  <c r="I2519" i="2"/>
  <c r="H2519" i="2"/>
  <c r="G2519" i="2"/>
  <c r="I2518" i="2"/>
  <c r="H2518" i="2"/>
  <c r="G2518" i="2"/>
  <c r="I2517" i="2"/>
  <c r="H2517" i="2"/>
  <c r="G2517" i="2"/>
  <c r="I2516" i="2"/>
  <c r="H2516" i="2"/>
  <c r="G2516" i="2"/>
  <c r="I2515" i="2"/>
  <c r="H2515" i="2"/>
  <c r="G2515" i="2"/>
  <c r="I2514" i="2"/>
  <c r="H2514" i="2"/>
  <c r="G2514" i="2"/>
  <c r="I2513" i="2"/>
  <c r="H2513" i="2"/>
  <c r="G2513" i="2"/>
  <c r="I2512" i="2"/>
  <c r="H2512" i="2"/>
  <c r="G2512" i="2"/>
  <c r="I2511" i="2"/>
  <c r="H2511" i="2"/>
  <c r="G2511" i="2"/>
  <c r="I2510" i="2"/>
  <c r="H2510" i="2"/>
  <c r="G2510" i="2"/>
  <c r="I2509" i="2"/>
  <c r="H2509" i="2"/>
  <c r="G2509" i="2"/>
  <c r="I2508" i="2"/>
  <c r="H2508" i="2"/>
  <c r="G2508" i="2"/>
  <c r="I2507" i="2"/>
  <c r="H2507" i="2"/>
  <c r="G2507" i="2"/>
  <c r="I2506" i="2"/>
  <c r="H2506" i="2"/>
  <c r="G2506" i="2"/>
  <c r="I2505" i="2"/>
  <c r="H2505" i="2"/>
  <c r="G2505" i="2"/>
  <c r="I2504" i="2"/>
  <c r="H2504" i="2"/>
  <c r="G2504" i="2"/>
  <c r="I2503" i="2"/>
  <c r="H2503" i="2"/>
  <c r="G2503" i="2"/>
  <c r="I2502" i="2"/>
  <c r="H2502" i="2"/>
  <c r="G2502" i="2"/>
  <c r="I2501" i="2"/>
  <c r="H2501" i="2"/>
  <c r="G2501" i="2"/>
  <c r="I2500" i="2"/>
  <c r="H2500" i="2"/>
  <c r="G2500" i="2"/>
  <c r="I2499" i="2"/>
  <c r="H2499" i="2"/>
  <c r="G2499" i="2"/>
  <c r="I2498" i="2"/>
  <c r="H2498" i="2"/>
  <c r="G2498" i="2"/>
  <c r="I2497" i="2"/>
  <c r="H2497" i="2"/>
  <c r="G2497" i="2"/>
  <c r="I2496" i="2"/>
  <c r="H2496" i="2"/>
  <c r="G2496" i="2"/>
  <c r="I2495" i="2"/>
  <c r="H2495" i="2"/>
  <c r="G2495" i="2"/>
  <c r="I2494" i="2"/>
  <c r="H2494" i="2"/>
  <c r="G2494" i="2"/>
  <c r="I2493" i="2"/>
  <c r="H2493" i="2"/>
  <c r="G2493" i="2"/>
  <c r="I2492" i="2"/>
  <c r="H2492" i="2"/>
  <c r="G2492" i="2"/>
  <c r="I2491" i="2"/>
  <c r="H2491" i="2"/>
  <c r="G2491" i="2"/>
  <c r="I2490" i="2"/>
  <c r="H2490" i="2"/>
  <c r="G2490" i="2"/>
  <c r="I2489" i="2"/>
  <c r="H2489" i="2"/>
  <c r="G2489" i="2"/>
  <c r="I2488" i="2"/>
  <c r="H2488" i="2"/>
  <c r="G2488" i="2"/>
  <c r="I2487" i="2"/>
  <c r="H2487" i="2"/>
  <c r="G2487" i="2"/>
  <c r="I2486" i="2"/>
  <c r="H2486" i="2"/>
  <c r="G2486" i="2"/>
  <c r="I2485" i="2"/>
  <c r="H2485" i="2"/>
  <c r="G2485" i="2"/>
  <c r="I2484" i="2"/>
  <c r="H2484" i="2"/>
  <c r="G2484" i="2"/>
  <c r="I2483" i="2"/>
  <c r="H2483" i="2"/>
  <c r="G2483" i="2"/>
  <c r="I2482" i="2"/>
  <c r="H2482" i="2"/>
  <c r="G2482" i="2"/>
  <c r="I2481" i="2"/>
  <c r="H2481" i="2"/>
  <c r="G2481" i="2"/>
  <c r="I2480" i="2"/>
  <c r="H2480" i="2"/>
  <c r="G2480" i="2"/>
  <c r="I2479" i="2"/>
  <c r="H2479" i="2"/>
  <c r="G2479" i="2"/>
  <c r="I2478" i="2"/>
  <c r="H2478" i="2"/>
  <c r="G2478" i="2"/>
  <c r="I2477" i="2"/>
  <c r="H2477" i="2"/>
  <c r="G2477" i="2"/>
  <c r="I2476" i="2"/>
  <c r="H2476" i="2"/>
  <c r="G2476" i="2"/>
  <c r="I2475" i="2"/>
  <c r="H2475" i="2"/>
  <c r="G2475" i="2"/>
  <c r="I2474" i="2"/>
  <c r="H2474" i="2"/>
  <c r="G2474" i="2"/>
  <c r="I2473" i="2"/>
  <c r="H2473" i="2"/>
  <c r="G2473" i="2"/>
  <c r="I2472" i="2"/>
  <c r="H2472" i="2"/>
  <c r="G2472" i="2"/>
  <c r="I2471" i="2"/>
  <c r="H2471" i="2"/>
  <c r="G2471" i="2"/>
  <c r="I2470" i="2"/>
  <c r="H2470" i="2"/>
  <c r="G2470" i="2"/>
  <c r="I2469" i="2"/>
  <c r="H2469" i="2"/>
  <c r="G2469" i="2"/>
  <c r="I2468" i="2"/>
  <c r="H2468" i="2"/>
  <c r="G2468" i="2"/>
  <c r="I2467" i="2"/>
  <c r="H2467" i="2"/>
  <c r="G2467" i="2"/>
  <c r="I2466" i="2"/>
  <c r="H2466" i="2"/>
  <c r="G2466" i="2"/>
  <c r="I2465" i="2"/>
  <c r="H2465" i="2"/>
  <c r="G2465" i="2"/>
  <c r="I2464" i="2"/>
  <c r="H2464" i="2"/>
  <c r="G2464" i="2"/>
  <c r="I2463" i="2"/>
  <c r="H2463" i="2"/>
  <c r="G2463" i="2"/>
  <c r="I2462" i="2"/>
  <c r="H2462" i="2"/>
  <c r="G2462" i="2"/>
  <c r="I2461" i="2"/>
  <c r="H2461" i="2"/>
  <c r="G2461" i="2"/>
  <c r="I2460" i="2"/>
  <c r="H2460" i="2"/>
  <c r="G2460" i="2"/>
  <c r="I2459" i="2"/>
  <c r="H2459" i="2"/>
  <c r="G2459" i="2"/>
  <c r="I2458" i="2"/>
  <c r="H2458" i="2"/>
  <c r="G2458" i="2"/>
  <c r="I2457" i="2"/>
  <c r="H2457" i="2"/>
  <c r="G2457" i="2"/>
  <c r="I2456" i="2"/>
  <c r="H2456" i="2"/>
  <c r="G2456" i="2"/>
  <c r="I2455" i="2"/>
  <c r="H2455" i="2"/>
  <c r="G2455" i="2"/>
  <c r="I2454" i="2"/>
  <c r="H2454" i="2"/>
  <c r="G2454" i="2"/>
  <c r="I2453" i="2"/>
  <c r="H2453" i="2"/>
  <c r="G2453" i="2"/>
  <c r="I2452" i="2"/>
  <c r="H2452" i="2"/>
  <c r="G2452" i="2"/>
  <c r="I2451" i="2"/>
  <c r="H2451" i="2"/>
  <c r="G2451" i="2"/>
  <c r="I2450" i="2"/>
  <c r="H2450" i="2"/>
  <c r="G2450" i="2"/>
  <c r="I2449" i="2"/>
  <c r="H2449" i="2"/>
  <c r="G2449" i="2"/>
  <c r="I2448" i="2"/>
  <c r="H2448" i="2"/>
  <c r="G2448" i="2"/>
  <c r="I2447" i="2"/>
  <c r="H2447" i="2"/>
  <c r="G2447" i="2"/>
  <c r="I2446" i="2"/>
  <c r="H2446" i="2"/>
  <c r="G2446" i="2"/>
  <c r="I2445" i="2"/>
  <c r="H2445" i="2"/>
  <c r="G2445" i="2"/>
  <c r="I2444" i="2"/>
  <c r="H2444" i="2"/>
  <c r="G2444" i="2"/>
  <c r="I2443" i="2"/>
  <c r="H2443" i="2"/>
  <c r="G2443" i="2"/>
  <c r="I2442" i="2"/>
  <c r="H2442" i="2"/>
  <c r="G2442" i="2"/>
  <c r="I2441" i="2"/>
  <c r="H2441" i="2"/>
  <c r="G2441" i="2"/>
  <c r="I2440" i="2"/>
  <c r="H2440" i="2"/>
  <c r="G2440" i="2"/>
  <c r="I2439" i="2"/>
  <c r="H2439" i="2"/>
  <c r="G2439" i="2"/>
  <c r="I2438" i="2"/>
  <c r="H2438" i="2"/>
  <c r="G2438" i="2"/>
  <c r="I2437" i="2"/>
  <c r="H2437" i="2"/>
  <c r="G2437" i="2"/>
  <c r="I2436" i="2"/>
  <c r="H2436" i="2"/>
  <c r="G2436" i="2"/>
  <c r="I2435" i="2"/>
  <c r="H2435" i="2"/>
  <c r="G2435" i="2"/>
  <c r="I2434" i="2"/>
  <c r="H2434" i="2"/>
  <c r="G2434" i="2"/>
  <c r="I2433" i="2"/>
  <c r="H2433" i="2"/>
  <c r="G2433" i="2"/>
  <c r="I2432" i="2"/>
  <c r="H2432" i="2"/>
  <c r="G2432" i="2"/>
  <c r="I2431" i="2"/>
  <c r="H2431" i="2"/>
  <c r="G2431" i="2"/>
  <c r="I2430" i="2"/>
  <c r="H2430" i="2"/>
  <c r="G2430" i="2"/>
  <c r="I2429" i="2"/>
  <c r="H2429" i="2"/>
  <c r="G2429" i="2"/>
  <c r="I2428" i="2"/>
  <c r="H2428" i="2"/>
  <c r="G2428" i="2"/>
  <c r="I2427" i="2"/>
  <c r="H2427" i="2"/>
  <c r="G2427" i="2"/>
  <c r="I2426" i="2"/>
  <c r="H2426" i="2"/>
  <c r="G2426" i="2"/>
  <c r="I2425" i="2"/>
  <c r="H2425" i="2"/>
  <c r="G2425" i="2"/>
  <c r="I2424" i="2"/>
  <c r="H2424" i="2"/>
  <c r="G2424" i="2"/>
  <c r="I2423" i="2"/>
  <c r="H2423" i="2"/>
  <c r="G2423" i="2"/>
  <c r="I2422" i="2"/>
  <c r="H2422" i="2"/>
  <c r="G2422" i="2"/>
  <c r="I2421" i="2"/>
  <c r="H2421" i="2"/>
  <c r="G2421" i="2"/>
  <c r="I2420" i="2"/>
  <c r="H2420" i="2"/>
  <c r="G2420" i="2"/>
  <c r="I2419" i="2"/>
  <c r="H2419" i="2"/>
  <c r="G2419" i="2"/>
  <c r="I2418" i="2"/>
  <c r="H2418" i="2"/>
  <c r="G2418" i="2"/>
  <c r="I2417" i="2"/>
  <c r="H2417" i="2"/>
  <c r="G2417" i="2"/>
  <c r="I2416" i="2"/>
  <c r="H2416" i="2"/>
  <c r="G2416" i="2"/>
  <c r="I2415" i="2"/>
  <c r="H2415" i="2"/>
  <c r="G2415" i="2"/>
  <c r="I2414" i="2"/>
  <c r="H2414" i="2"/>
  <c r="G2414" i="2"/>
  <c r="I2413" i="2"/>
  <c r="H2413" i="2"/>
  <c r="G2413" i="2"/>
  <c r="I2412" i="2"/>
  <c r="H2412" i="2"/>
  <c r="G2412" i="2"/>
  <c r="I2411" i="2"/>
  <c r="H2411" i="2"/>
  <c r="G2411" i="2"/>
  <c r="I2410" i="2"/>
  <c r="H2410" i="2"/>
  <c r="G2410" i="2"/>
  <c r="I2409" i="2"/>
  <c r="H2409" i="2"/>
  <c r="G2409" i="2"/>
  <c r="I2408" i="2"/>
  <c r="H2408" i="2"/>
  <c r="G2408" i="2"/>
  <c r="I2407" i="2"/>
  <c r="H2407" i="2"/>
  <c r="G2407" i="2"/>
  <c r="I2406" i="2"/>
  <c r="H2406" i="2"/>
  <c r="G2406" i="2"/>
  <c r="I2405" i="2"/>
  <c r="H2405" i="2"/>
  <c r="G2405" i="2"/>
  <c r="I2404" i="2"/>
  <c r="H2404" i="2"/>
  <c r="G2404" i="2"/>
  <c r="I2403" i="2"/>
  <c r="H2403" i="2"/>
  <c r="G2403" i="2"/>
  <c r="I2402" i="2"/>
  <c r="H2402" i="2"/>
  <c r="G2402" i="2"/>
  <c r="I2401" i="2"/>
  <c r="H2401" i="2"/>
  <c r="G2401" i="2"/>
  <c r="I2400" i="2"/>
  <c r="H2400" i="2"/>
  <c r="G2400" i="2"/>
  <c r="I2399" i="2"/>
  <c r="H2399" i="2"/>
  <c r="G2399" i="2"/>
  <c r="I2398" i="2"/>
  <c r="H2398" i="2"/>
  <c r="G2398" i="2"/>
  <c r="I2397" i="2"/>
  <c r="H2397" i="2"/>
  <c r="G2397" i="2"/>
  <c r="I2396" i="2"/>
  <c r="H2396" i="2"/>
  <c r="G2396" i="2"/>
  <c r="I2395" i="2"/>
  <c r="H2395" i="2"/>
  <c r="G2395" i="2"/>
  <c r="I2394" i="2"/>
  <c r="H2394" i="2"/>
  <c r="G2394" i="2"/>
  <c r="I2393" i="2"/>
  <c r="H2393" i="2"/>
  <c r="G2393" i="2"/>
  <c r="I2392" i="2"/>
  <c r="H2392" i="2"/>
  <c r="G2392" i="2"/>
  <c r="I2391" i="2"/>
  <c r="H2391" i="2"/>
  <c r="G2391" i="2"/>
  <c r="I2390" i="2"/>
  <c r="H2390" i="2"/>
  <c r="G2390" i="2"/>
  <c r="I2389" i="2"/>
  <c r="H2389" i="2"/>
  <c r="G2389" i="2"/>
  <c r="I2388" i="2"/>
  <c r="H2388" i="2"/>
  <c r="G2388" i="2"/>
  <c r="I2387" i="2"/>
  <c r="H2387" i="2"/>
  <c r="G2387" i="2"/>
  <c r="I2386" i="2"/>
  <c r="H2386" i="2"/>
  <c r="G2386" i="2"/>
  <c r="I2385" i="2"/>
  <c r="H2385" i="2"/>
  <c r="G2385" i="2"/>
  <c r="I2384" i="2"/>
  <c r="H2384" i="2"/>
  <c r="G2384" i="2"/>
  <c r="I2383" i="2"/>
  <c r="H2383" i="2"/>
  <c r="G2383" i="2"/>
  <c r="I2382" i="2"/>
  <c r="H2382" i="2"/>
  <c r="G2382" i="2"/>
  <c r="I2381" i="2"/>
  <c r="H2381" i="2"/>
  <c r="G2381" i="2"/>
  <c r="I2380" i="2"/>
  <c r="H2380" i="2"/>
  <c r="G2380" i="2"/>
  <c r="I2379" i="2"/>
  <c r="H2379" i="2"/>
  <c r="G2379" i="2"/>
  <c r="I2378" i="2"/>
  <c r="H2378" i="2"/>
  <c r="G2378" i="2"/>
  <c r="I2377" i="2"/>
  <c r="H2377" i="2"/>
  <c r="G2377" i="2"/>
  <c r="I2376" i="2"/>
  <c r="H2376" i="2"/>
  <c r="G2376" i="2"/>
  <c r="I2375" i="2"/>
  <c r="H2375" i="2"/>
  <c r="G2375" i="2"/>
  <c r="I2374" i="2"/>
  <c r="H2374" i="2"/>
  <c r="G2374" i="2"/>
  <c r="I2373" i="2"/>
  <c r="H2373" i="2"/>
  <c r="G2373" i="2"/>
  <c r="I2372" i="2"/>
  <c r="H2372" i="2"/>
  <c r="G2372" i="2"/>
  <c r="I2371" i="2"/>
  <c r="H2371" i="2"/>
  <c r="G2371" i="2"/>
  <c r="I2370" i="2"/>
  <c r="H2370" i="2"/>
  <c r="G2370" i="2"/>
  <c r="I2369" i="2"/>
  <c r="H2369" i="2"/>
  <c r="G2369" i="2"/>
  <c r="I2368" i="2"/>
  <c r="H2368" i="2"/>
  <c r="G2368" i="2"/>
  <c r="I2367" i="2"/>
  <c r="H2367" i="2"/>
  <c r="G2367" i="2"/>
  <c r="I2366" i="2"/>
  <c r="H2366" i="2"/>
  <c r="G2366" i="2"/>
  <c r="I2365" i="2"/>
  <c r="H2365" i="2"/>
  <c r="G2365" i="2"/>
  <c r="I2364" i="2"/>
  <c r="H2364" i="2"/>
  <c r="G2364" i="2"/>
  <c r="I2363" i="2"/>
  <c r="H2363" i="2"/>
  <c r="G2363" i="2"/>
  <c r="I2362" i="2"/>
  <c r="H2362" i="2"/>
  <c r="G2362" i="2"/>
  <c r="I2361" i="2"/>
  <c r="H2361" i="2"/>
  <c r="G2361" i="2"/>
  <c r="I2360" i="2"/>
  <c r="H2360" i="2"/>
  <c r="G2360" i="2"/>
  <c r="I2359" i="2"/>
  <c r="H2359" i="2"/>
  <c r="G2359" i="2"/>
  <c r="I2358" i="2"/>
  <c r="H2358" i="2"/>
  <c r="G2358" i="2"/>
  <c r="I2357" i="2"/>
  <c r="H2357" i="2"/>
  <c r="G2357" i="2"/>
  <c r="I2356" i="2"/>
  <c r="H2356" i="2"/>
  <c r="G2356" i="2"/>
  <c r="I2355" i="2"/>
  <c r="H2355" i="2"/>
  <c r="G2355" i="2"/>
  <c r="I2354" i="2"/>
  <c r="H2354" i="2"/>
  <c r="G2354" i="2"/>
  <c r="I2353" i="2"/>
  <c r="H2353" i="2"/>
  <c r="G2353" i="2"/>
  <c r="I2352" i="2"/>
  <c r="H2352" i="2"/>
  <c r="G2352" i="2"/>
  <c r="I2351" i="2"/>
  <c r="H2351" i="2"/>
  <c r="G2351" i="2"/>
  <c r="I2350" i="2"/>
  <c r="H2350" i="2"/>
  <c r="G2350" i="2"/>
  <c r="I2349" i="2"/>
  <c r="H2349" i="2"/>
  <c r="G2349" i="2"/>
  <c r="I2348" i="2"/>
  <c r="H2348" i="2"/>
  <c r="G2348" i="2"/>
  <c r="I2347" i="2"/>
  <c r="H2347" i="2"/>
  <c r="G2347" i="2"/>
  <c r="I2346" i="2"/>
  <c r="H2346" i="2"/>
  <c r="G2346" i="2"/>
  <c r="I2345" i="2"/>
  <c r="H2345" i="2"/>
  <c r="G2345" i="2"/>
  <c r="I2344" i="2"/>
  <c r="H2344" i="2"/>
  <c r="G2344" i="2"/>
  <c r="I2343" i="2"/>
  <c r="H2343" i="2"/>
  <c r="G2343" i="2"/>
  <c r="I2342" i="2"/>
  <c r="H2342" i="2"/>
  <c r="G2342" i="2"/>
  <c r="I2341" i="2"/>
  <c r="H2341" i="2"/>
  <c r="G2341" i="2"/>
  <c r="I2340" i="2"/>
  <c r="H2340" i="2"/>
  <c r="G2340" i="2"/>
  <c r="I2339" i="2"/>
  <c r="H2339" i="2"/>
  <c r="G2339" i="2"/>
  <c r="I2338" i="2"/>
  <c r="H2338" i="2"/>
  <c r="G2338" i="2"/>
  <c r="I2337" i="2"/>
  <c r="H2337" i="2"/>
  <c r="G2337" i="2"/>
  <c r="I2336" i="2"/>
  <c r="H2336" i="2"/>
  <c r="G2336" i="2"/>
  <c r="I2335" i="2"/>
  <c r="H2335" i="2"/>
  <c r="G2335" i="2"/>
  <c r="I2334" i="2"/>
  <c r="H2334" i="2"/>
  <c r="G2334" i="2"/>
  <c r="I2333" i="2"/>
  <c r="H2333" i="2"/>
  <c r="G2333" i="2"/>
  <c r="I2332" i="2"/>
  <c r="H2332" i="2"/>
  <c r="G2332" i="2"/>
  <c r="I2331" i="2"/>
  <c r="H2331" i="2"/>
  <c r="G2331" i="2"/>
  <c r="I2330" i="2"/>
  <c r="H2330" i="2"/>
  <c r="G2330" i="2"/>
  <c r="I2329" i="2"/>
  <c r="H2329" i="2"/>
  <c r="G2329" i="2"/>
  <c r="I2328" i="2"/>
  <c r="H2328" i="2"/>
  <c r="G2328" i="2"/>
  <c r="I2327" i="2"/>
  <c r="H2327" i="2"/>
  <c r="G2327" i="2"/>
  <c r="I2326" i="2"/>
  <c r="H2326" i="2"/>
  <c r="G2326" i="2"/>
  <c r="I2325" i="2"/>
  <c r="H2325" i="2"/>
  <c r="G2325" i="2"/>
  <c r="I2324" i="2"/>
  <c r="H2324" i="2"/>
  <c r="G2324" i="2"/>
  <c r="I2323" i="2"/>
  <c r="H2323" i="2"/>
  <c r="G2323" i="2"/>
  <c r="I2322" i="2"/>
  <c r="H2322" i="2"/>
  <c r="G2322" i="2"/>
  <c r="I2321" i="2"/>
  <c r="H2321" i="2"/>
  <c r="G2321" i="2"/>
  <c r="I2320" i="2"/>
  <c r="H2320" i="2"/>
  <c r="G2320" i="2"/>
  <c r="I2319" i="2"/>
  <c r="H2319" i="2"/>
  <c r="G2319" i="2"/>
  <c r="I2318" i="2"/>
  <c r="H2318" i="2"/>
  <c r="G2318" i="2"/>
  <c r="I2317" i="2"/>
  <c r="H2317" i="2"/>
  <c r="G2317" i="2"/>
  <c r="I2316" i="2"/>
  <c r="H2316" i="2"/>
  <c r="G2316" i="2"/>
  <c r="I2315" i="2"/>
  <c r="H2315" i="2"/>
  <c r="G2315" i="2"/>
  <c r="I2314" i="2"/>
  <c r="H2314" i="2"/>
  <c r="G2314" i="2"/>
  <c r="I2313" i="2"/>
  <c r="H2313" i="2"/>
  <c r="G2313" i="2"/>
  <c r="I2312" i="2"/>
  <c r="H2312" i="2"/>
  <c r="G2312" i="2"/>
  <c r="I2311" i="2"/>
  <c r="H2311" i="2"/>
  <c r="G2311" i="2"/>
  <c r="I2310" i="2"/>
  <c r="H2310" i="2"/>
  <c r="G2310" i="2"/>
  <c r="I2309" i="2"/>
  <c r="H2309" i="2"/>
  <c r="G2309" i="2"/>
  <c r="I2308" i="2"/>
  <c r="H2308" i="2"/>
  <c r="G2308" i="2"/>
  <c r="I2307" i="2"/>
  <c r="H2307" i="2"/>
  <c r="G2307" i="2"/>
  <c r="I2306" i="2"/>
  <c r="H2306" i="2"/>
  <c r="G2306" i="2"/>
  <c r="I2305" i="2"/>
  <c r="H2305" i="2"/>
  <c r="G2305" i="2"/>
  <c r="I2304" i="2"/>
  <c r="H2304" i="2"/>
  <c r="G2304" i="2"/>
  <c r="I2303" i="2"/>
  <c r="H2303" i="2"/>
  <c r="G2303" i="2"/>
  <c r="I2302" i="2"/>
  <c r="H2302" i="2"/>
  <c r="G2302" i="2"/>
  <c r="I2301" i="2"/>
  <c r="H2301" i="2"/>
  <c r="G2301" i="2"/>
  <c r="I2300" i="2"/>
  <c r="H2300" i="2"/>
  <c r="G2300" i="2"/>
  <c r="I2299" i="2"/>
  <c r="H2299" i="2"/>
  <c r="G2299" i="2"/>
  <c r="I2298" i="2"/>
  <c r="H2298" i="2"/>
  <c r="G2298" i="2"/>
  <c r="I2297" i="2"/>
  <c r="H2297" i="2"/>
  <c r="G2297" i="2"/>
  <c r="I2296" i="2"/>
  <c r="H2296" i="2"/>
  <c r="G2296" i="2"/>
  <c r="I2295" i="2"/>
  <c r="H2295" i="2"/>
  <c r="G2295" i="2"/>
  <c r="I2294" i="2"/>
  <c r="H2294" i="2"/>
  <c r="G2294" i="2"/>
  <c r="I2293" i="2"/>
  <c r="H2293" i="2"/>
  <c r="G2293" i="2"/>
  <c r="I2292" i="2"/>
  <c r="H2292" i="2"/>
  <c r="G2292" i="2"/>
  <c r="I2291" i="2"/>
  <c r="H2291" i="2"/>
  <c r="G2291" i="2"/>
  <c r="I2290" i="2"/>
  <c r="H2290" i="2"/>
  <c r="G2290" i="2"/>
  <c r="I2289" i="2"/>
  <c r="H2289" i="2"/>
  <c r="G2289" i="2"/>
  <c r="I2288" i="2"/>
  <c r="H2288" i="2"/>
  <c r="G2288" i="2"/>
  <c r="I2287" i="2"/>
  <c r="H2287" i="2"/>
  <c r="G2287" i="2"/>
  <c r="I2286" i="2"/>
  <c r="H2286" i="2"/>
  <c r="G2286" i="2"/>
  <c r="I2285" i="2"/>
  <c r="H2285" i="2"/>
  <c r="G2285" i="2"/>
  <c r="I2284" i="2"/>
  <c r="H2284" i="2"/>
  <c r="G2284" i="2"/>
  <c r="I2283" i="2"/>
  <c r="H2283" i="2"/>
  <c r="G2283" i="2"/>
  <c r="I2282" i="2"/>
  <c r="H2282" i="2"/>
  <c r="G2282" i="2"/>
  <c r="I2281" i="2"/>
  <c r="H2281" i="2"/>
  <c r="G2281" i="2"/>
  <c r="I2280" i="2"/>
  <c r="H2280" i="2"/>
  <c r="G2280" i="2"/>
  <c r="I2279" i="2"/>
  <c r="H2279" i="2"/>
  <c r="G2279" i="2"/>
  <c r="I2278" i="2"/>
  <c r="H2278" i="2"/>
  <c r="G2278" i="2"/>
  <c r="I2277" i="2"/>
  <c r="H2277" i="2"/>
  <c r="G2277" i="2"/>
  <c r="I2276" i="2"/>
  <c r="H2276" i="2"/>
  <c r="G2276" i="2"/>
  <c r="I2275" i="2"/>
  <c r="H2275" i="2"/>
  <c r="G2275" i="2"/>
  <c r="I2274" i="2"/>
  <c r="H2274" i="2"/>
  <c r="G2274" i="2"/>
  <c r="I2273" i="2"/>
  <c r="H2273" i="2"/>
  <c r="G2273" i="2"/>
  <c r="I2272" i="2"/>
  <c r="H2272" i="2"/>
  <c r="G2272" i="2"/>
  <c r="I2271" i="2"/>
  <c r="H2271" i="2"/>
  <c r="G2271" i="2"/>
  <c r="I2270" i="2"/>
  <c r="H2270" i="2"/>
  <c r="G2270" i="2"/>
  <c r="I2269" i="2"/>
  <c r="H2269" i="2"/>
  <c r="G2269" i="2"/>
  <c r="I2268" i="2"/>
  <c r="H2268" i="2"/>
  <c r="G2268" i="2"/>
  <c r="I2267" i="2"/>
  <c r="H2267" i="2"/>
  <c r="G2267" i="2"/>
  <c r="I2266" i="2"/>
  <c r="H2266" i="2"/>
  <c r="G2266" i="2"/>
  <c r="I2265" i="2"/>
  <c r="H2265" i="2"/>
  <c r="G2265" i="2"/>
  <c r="I2264" i="2"/>
  <c r="H2264" i="2"/>
  <c r="G2264" i="2"/>
  <c r="I2263" i="2"/>
  <c r="H2263" i="2"/>
  <c r="G2263" i="2"/>
  <c r="I2262" i="2"/>
  <c r="H2262" i="2"/>
  <c r="G2262" i="2"/>
  <c r="I2261" i="2"/>
  <c r="H2261" i="2"/>
  <c r="G2261" i="2"/>
  <c r="I2260" i="2"/>
  <c r="H2260" i="2"/>
  <c r="G2260" i="2"/>
  <c r="I2259" i="2"/>
  <c r="H2259" i="2"/>
  <c r="G2259" i="2"/>
  <c r="I2258" i="2"/>
  <c r="H2258" i="2"/>
  <c r="G2258" i="2"/>
  <c r="I2257" i="2"/>
  <c r="H2257" i="2"/>
  <c r="G2257" i="2"/>
  <c r="I2256" i="2"/>
  <c r="H2256" i="2"/>
  <c r="G2256" i="2"/>
  <c r="I2255" i="2"/>
  <c r="H2255" i="2"/>
  <c r="G2255" i="2"/>
  <c r="I2254" i="2"/>
  <c r="H2254" i="2"/>
  <c r="G2254" i="2"/>
  <c r="I2253" i="2"/>
  <c r="H2253" i="2"/>
  <c r="G2253" i="2"/>
  <c r="I2252" i="2"/>
  <c r="H2252" i="2"/>
  <c r="G2252" i="2"/>
  <c r="I2251" i="2"/>
  <c r="H2251" i="2"/>
  <c r="G2251" i="2"/>
  <c r="I2250" i="2"/>
  <c r="H2250" i="2"/>
  <c r="G2250" i="2"/>
  <c r="I2249" i="2"/>
  <c r="H2249" i="2"/>
  <c r="G2249" i="2"/>
  <c r="I2248" i="2"/>
  <c r="H2248" i="2"/>
  <c r="G2248" i="2"/>
  <c r="I2247" i="2"/>
  <c r="H2247" i="2"/>
  <c r="G2247" i="2"/>
  <c r="I2246" i="2"/>
  <c r="H2246" i="2"/>
  <c r="G2246" i="2"/>
  <c r="I2245" i="2"/>
  <c r="H2245" i="2"/>
  <c r="G2245" i="2"/>
  <c r="I2244" i="2"/>
  <c r="H2244" i="2"/>
  <c r="G2244" i="2"/>
  <c r="I2243" i="2"/>
  <c r="H2243" i="2"/>
  <c r="G2243" i="2"/>
  <c r="I2242" i="2"/>
  <c r="H2242" i="2"/>
  <c r="G2242" i="2"/>
  <c r="I2241" i="2"/>
  <c r="H2241" i="2"/>
  <c r="G2241" i="2"/>
  <c r="I2240" i="2"/>
  <c r="H2240" i="2"/>
  <c r="G2240" i="2"/>
  <c r="I2239" i="2"/>
  <c r="H2239" i="2"/>
  <c r="G2239" i="2"/>
  <c r="I2238" i="2"/>
  <c r="H2238" i="2"/>
  <c r="G2238" i="2"/>
  <c r="I2237" i="2"/>
  <c r="H2237" i="2"/>
  <c r="G2237" i="2"/>
  <c r="I2236" i="2"/>
  <c r="H2236" i="2"/>
  <c r="G2236" i="2"/>
  <c r="I2235" i="2"/>
  <c r="H2235" i="2"/>
  <c r="G2235" i="2"/>
  <c r="I2234" i="2"/>
  <c r="H2234" i="2"/>
  <c r="G2234" i="2"/>
  <c r="I2233" i="2"/>
  <c r="H2233" i="2"/>
  <c r="G2233" i="2"/>
  <c r="I2232" i="2"/>
  <c r="H2232" i="2"/>
  <c r="G2232" i="2"/>
  <c r="I2231" i="2"/>
  <c r="H2231" i="2"/>
  <c r="G2231" i="2"/>
  <c r="I2230" i="2"/>
  <c r="H2230" i="2"/>
  <c r="G2230" i="2"/>
  <c r="I2229" i="2"/>
  <c r="H2229" i="2"/>
  <c r="G2229" i="2"/>
  <c r="I2228" i="2"/>
  <c r="H2228" i="2"/>
  <c r="G2228" i="2"/>
  <c r="I2227" i="2"/>
  <c r="H2227" i="2"/>
  <c r="G2227" i="2"/>
  <c r="I2226" i="2"/>
  <c r="H2226" i="2"/>
  <c r="G2226" i="2"/>
  <c r="I2225" i="2"/>
  <c r="H2225" i="2"/>
  <c r="G2225" i="2"/>
  <c r="I2224" i="2"/>
  <c r="H2224" i="2"/>
  <c r="G2224" i="2"/>
  <c r="I2223" i="2"/>
  <c r="H2223" i="2"/>
  <c r="G2223" i="2"/>
  <c r="I2222" i="2"/>
  <c r="H2222" i="2"/>
  <c r="G2222" i="2"/>
  <c r="I2221" i="2"/>
  <c r="H2221" i="2"/>
  <c r="G2221" i="2"/>
  <c r="I2220" i="2"/>
  <c r="H2220" i="2"/>
  <c r="G2220" i="2"/>
  <c r="I2219" i="2"/>
  <c r="H2219" i="2"/>
  <c r="G2219" i="2"/>
  <c r="I2218" i="2"/>
  <c r="H2218" i="2"/>
  <c r="G2218" i="2"/>
  <c r="I2217" i="2"/>
  <c r="H2217" i="2"/>
  <c r="G2217" i="2"/>
  <c r="I2216" i="2"/>
  <c r="H2216" i="2"/>
  <c r="G2216" i="2"/>
  <c r="I2215" i="2"/>
  <c r="H2215" i="2"/>
  <c r="G2215" i="2"/>
  <c r="I2214" i="2"/>
  <c r="H2214" i="2"/>
  <c r="G2214" i="2"/>
  <c r="I2213" i="2"/>
  <c r="H2213" i="2"/>
  <c r="G2213" i="2"/>
  <c r="I2212" i="2"/>
  <c r="H2212" i="2"/>
  <c r="G2212" i="2"/>
  <c r="I2211" i="2"/>
  <c r="H2211" i="2"/>
  <c r="G2211" i="2"/>
  <c r="I2210" i="2"/>
  <c r="H2210" i="2"/>
  <c r="G2210" i="2"/>
  <c r="I2209" i="2"/>
  <c r="H2209" i="2"/>
  <c r="G2209" i="2"/>
  <c r="I2208" i="2"/>
  <c r="H2208" i="2"/>
  <c r="G2208" i="2"/>
  <c r="I2207" i="2"/>
  <c r="H2207" i="2"/>
  <c r="G2207" i="2"/>
  <c r="I2206" i="2"/>
  <c r="H2206" i="2"/>
  <c r="G2206" i="2"/>
  <c r="I2205" i="2"/>
  <c r="H2205" i="2"/>
  <c r="G2205" i="2"/>
  <c r="I2204" i="2"/>
  <c r="H2204" i="2"/>
  <c r="G2204" i="2"/>
  <c r="I2203" i="2"/>
  <c r="H2203" i="2"/>
  <c r="G2203" i="2"/>
  <c r="I2202" i="2"/>
  <c r="H2202" i="2"/>
  <c r="G2202" i="2"/>
  <c r="I2201" i="2"/>
  <c r="H2201" i="2"/>
  <c r="G2201" i="2"/>
  <c r="I2200" i="2"/>
  <c r="H2200" i="2"/>
  <c r="G2200" i="2"/>
  <c r="I2199" i="2"/>
  <c r="H2199" i="2"/>
  <c r="G2199" i="2"/>
  <c r="I2198" i="2"/>
  <c r="H2198" i="2"/>
  <c r="G2198" i="2"/>
  <c r="I2197" i="2"/>
  <c r="H2197" i="2"/>
  <c r="G2197" i="2"/>
  <c r="I2196" i="2"/>
  <c r="H2196" i="2"/>
  <c r="G2196" i="2"/>
  <c r="I2195" i="2"/>
  <c r="H2195" i="2"/>
  <c r="G2195" i="2"/>
  <c r="I2194" i="2"/>
  <c r="H2194" i="2"/>
  <c r="G2194" i="2"/>
  <c r="I2193" i="2"/>
  <c r="H2193" i="2"/>
  <c r="G2193" i="2"/>
  <c r="I2192" i="2"/>
  <c r="H2192" i="2"/>
  <c r="G2192" i="2"/>
  <c r="I2191" i="2"/>
  <c r="H2191" i="2"/>
  <c r="G2191" i="2"/>
  <c r="I2190" i="2"/>
  <c r="H2190" i="2"/>
  <c r="G2190" i="2"/>
  <c r="I2189" i="2"/>
  <c r="H2189" i="2"/>
  <c r="G2189" i="2"/>
  <c r="I2188" i="2"/>
  <c r="H2188" i="2"/>
  <c r="G2188" i="2"/>
  <c r="I2187" i="2"/>
  <c r="H2187" i="2"/>
  <c r="G2187" i="2"/>
  <c r="I2186" i="2"/>
  <c r="H2186" i="2"/>
  <c r="G2186" i="2"/>
  <c r="I2185" i="2"/>
  <c r="H2185" i="2"/>
  <c r="G2185" i="2"/>
  <c r="I2184" i="2"/>
  <c r="H2184" i="2"/>
  <c r="G2184" i="2"/>
  <c r="I2183" i="2"/>
  <c r="H2183" i="2"/>
  <c r="G2183" i="2"/>
  <c r="I2182" i="2"/>
  <c r="H2182" i="2"/>
  <c r="G2182" i="2"/>
  <c r="I2181" i="2"/>
  <c r="H2181" i="2"/>
  <c r="G2181" i="2"/>
  <c r="I2180" i="2"/>
  <c r="H2180" i="2"/>
  <c r="G2180" i="2"/>
  <c r="I2179" i="2"/>
  <c r="H2179" i="2"/>
  <c r="G2179" i="2"/>
  <c r="I2178" i="2"/>
  <c r="H2178" i="2"/>
  <c r="G2178" i="2"/>
  <c r="I2177" i="2"/>
  <c r="H2177" i="2"/>
  <c r="G2177" i="2"/>
  <c r="I2176" i="2"/>
  <c r="H2176" i="2"/>
  <c r="G2176" i="2"/>
  <c r="I2175" i="2"/>
  <c r="H2175" i="2"/>
  <c r="G2175" i="2"/>
  <c r="I2174" i="2"/>
  <c r="H2174" i="2"/>
  <c r="G2174" i="2"/>
  <c r="I2173" i="2"/>
  <c r="H2173" i="2"/>
  <c r="G2173" i="2"/>
  <c r="I2172" i="2"/>
  <c r="H2172" i="2"/>
  <c r="G2172" i="2"/>
  <c r="I2171" i="2"/>
  <c r="H2171" i="2"/>
  <c r="G2171" i="2"/>
  <c r="I2170" i="2"/>
  <c r="H2170" i="2"/>
  <c r="G2170" i="2"/>
  <c r="I2169" i="2"/>
  <c r="H2169" i="2"/>
  <c r="G2169" i="2"/>
  <c r="I2168" i="2"/>
  <c r="H2168" i="2"/>
  <c r="G2168" i="2"/>
  <c r="I2167" i="2"/>
  <c r="H2167" i="2"/>
  <c r="G2167" i="2"/>
  <c r="I2166" i="2"/>
  <c r="H2166" i="2"/>
  <c r="G2166" i="2"/>
  <c r="I2165" i="2"/>
  <c r="H2165" i="2"/>
  <c r="G2165" i="2"/>
  <c r="I2164" i="2"/>
  <c r="H2164" i="2"/>
  <c r="G2164" i="2"/>
  <c r="I2163" i="2"/>
  <c r="H2163" i="2"/>
  <c r="G2163" i="2"/>
  <c r="I2162" i="2"/>
  <c r="H2162" i="2"/>
  <c r="G2162" i="2"/>
  <c r="I2161" i="2"/>
  <c r="H2161" i="2"/>
  <c r="G2161" i="2"/>
  <c r="I2160" i="2"/>
  <c r="H2160" i="2"/>
  <c r="G2160" i="2"/>
  <c r="I2159" i="2"/>
  <c r="H2159" i="2"/>
  <c r="G2159" i="2"/>
  <c r="I2158" i="2"/>
  <c r="H2158" i="2"/>
  <c r="G2158" i="2"/>
  <c r="I2157" i="2"/>
  <c r="H2157" i="2"/>
  <c r="G2157" i="2"/>
  <c r="I2156" i="2"/>
  <c r="H2156" i="2"/>
  <c r="G2156" i="2"/>
  <c r="I2155" i="2"/>
  <c r="H2155" i="2"/>
  <c r="G2155" i="2"/>
  <c r="I2154" i="2"/>
  <c r="H2154" i="2"/>
  <c r="G2154" i="2"/>
  <c r="I2153" i="2"/>
  <c r="H2153" i="2"/>
  <c r="G2153" i="2"/>
  <c r="I2152" i="2"/>
  <c r="H2152" i="2"/>
  <c r="G2152" i="2"/>
  <c r="I2151" i="2"/>
  <c r="H2151" i="2"/>
  <c r="G2151" i="2"/>
  <c r="I2150" i="2"/>
  <c r="H2150" i="2"/>
  <c r="G2150" i="2"/>
  <c r="I2149" i="2"/>
  <c r="H2149" i="2"/>
  <c r="G2149" i="2"/>
  <c r="I2148" i="2"/>
  <c r="H2148" i="2"/>
  <c r="G2148" i="2"/>
  <c r="I2147" i="2"/>
  <c r="H2147" i="2"/>
  <c r="G2147" i="2"/>
  <c r="I2146" i="2"/>
  <c r="H2146" i="2"/>
  <c r="G2146" i="2"/>
  <c r="I2145" i="2"/>
  <c r="H2145" i="2"/>
  <c r="G2145" i="2"/>
  <c r="I2144" i="2"/>
  <c r="H2144" i="2"/>
  <c r="G2144" i="2"/>
  <c r="I2143" i="2"/>
  <c r="H2143" i="2"/>
  <c r="G2143" i="2"/>
  <c r="I2142" i="2"/>
  <c r="H2142" i="2"/>
  <c r="G2142" i="2"/>
  <c r="I2141" i="2"/>
  <c r="H2141" i="2"/>
  <c r="G2141" i="2"/>
  <c r="I2140" i="2"/>
  <c r="H2140" i="2"/>
  <c r="G2140" i="2"/>
  <c r="I2139" i="2"/>
  <c r="H2139" i="2"/>
  <c r="G2139" i="2"/>
  <c r="I2138" i="2"/>
  <c r="H2138" i="2"/>
  <c r="G2138" i="2"/>
  <c r="I2137" i="2"/>
  <c r="H2137" i="2"/>
  <c r="G2137" i="2"/>
  <c r="I2136" i="2"/>
  <c r="H2136" i="2"/>
  <c r="G2136" i="2"/>
  <c r="I2135" i="2"/>
  <c r="H2135" i="2"/>
  <c r="G2135" i="2"/>
  <c r="I2134" i="2"/>
  <c r="H2134" i="2"/>
  <c r="G2134" i="2"/>
  <c r="I2133" i="2"/>
  <c r="H2133" i="2"/>
  <c r="G2133" i="2"/>
  <c r="I2132" i="2"/>
  <c r="H2132" i="2"/>
  <c r="G2132" i="2"/>
  <c r="I2131" i="2"/>
  <c r="H2131" i="2"/>
  <c r="G2131" i="2"/>
  <c r="I2130" i="2"/>
  <c r="H2130" i="2"/>
  <c r="G2130" i="2"/>
  <c r="I2129" i="2"/>
  <c r="H2129" i="2"/>
  <c r="G2129" i="2"/>
  <c r="I2128" i="2"/>
  <c r="H2128" i="2"/>
  <c r="G2128" i="2"/>
  <c r="I2127" i="2"/>
  <c r="H2127" i="2"/>
  <c r="G2127" i="2"/>
  <c r="I2126" i="2"/>
  <c r="H2126" i="2"/>
  <c r="G2126" i="2"/>
  <c r="I2125" i="2"/>
  <c r="H2125" i="2"/>
  <c r="G2125" i="2"/>
  <c r="I2124" i="2"/>
  <c r="H2124" i="2"/>
  <c r="G2124" i="2"/>
  <c r="I2123" i="2"/>
  <c r="H2123" i="2"/>
  <c r="G2123" i="2"/>
  <c r="I2122" i="2"/>
  <c r="H2122" i="2"/>
  <c r="G2122" i="2"/>
  <c r="I2121" i="2"/>
  <c r="H2121" i="2"/>
  <c r="G2121" i="2"/>
  <c r="I2120" i="2"/>
  <c r="H2120" i="2"/>
  <c r="G2120" i="2"/>
  <c r="I2119" i="2"/>
  <c r="H2119" i="2"/>
  <c r="G2119" i="2"/>
  <c r="I2118" i="2"/>
  <c r="H2118" i="2"/>
  <c r="G2118" i="2"/>
  <c r="I2117" i="2"/>
  <c r="H2117" i="2"/>
  <c r="G2117" i="2"/>
  <c r="I2116" i="2"/>
  <c r="H2116" i="2"/>
  <c r="G2116" i="2"/>
  <c r="I2115" i="2"/>
  <c r="H2115" i="2"/>
  <c r="G2115" i="2"/>
  <c r="I2114" i="2"/>
  <c r="H2114" i="2"/>
  <c r="G2114" i="2"/>
  <c r="I2113" i="2"/>
  <c r="H2113" i="2"/>
  <c r="G2113" i="2"/>
  <c r="I2112" i="2"/>
  <c r="H2112" i="2"/>
  <c r="G2112" i="2"/>
  <c r="I2111" i="2"/>
  <c r="H2111" i="2"/>
  <c r="G2111" i="2"/>
  <c r="I2110" i="2"/>
  <c r="H2110" i="2"/>
  <c r="G2110" i="2"/>
  <c r="I2109" i="2"/>
  <c r="H2109" i="2"/>
  <c r="G2109" i="2"/>
  <c r="I2108" i="2"/>
  <c r="H2108" i="2"/>
  <c r="G2108" i="2"/>
  <c r="I2107" i="2"/>
  <c r="H2107" i="2"/>
  <c r="G2107" i="2"/>
  <c r="I2106" i="2"/>
  <c r="H2106" i="2"/>
  <c r="G2106" i="2"/>
  <c r="I2105" i="2"/>
  <c r="H2105" i="2"/>
  <c r="G2105" i="2"/>
  <c r="I2104" i="2"/>
  <c r="H2104" i="2"/>
  <c r="G2104" i="2"/>
  <c r="I2103" i="2"/>
  <c r="H2103" i="2"/>
  <c r="G2103" i="2"/>
  <c r="I2102" i="2"/>
  <c r="H2102" i="2"/>
  <c r="G2102" i="2"/>
  <c r="I2101" i="2"/>
  <c r="H2101" i="2"/>
  <c r="G2101" i="2"/>
  <c r="I2100" i="2"/>
  <c r="H2100" i="2"/>
  <c r="G2100" i="2"/>
  <c r="I2099" i="2"/>
  <c r="H2099" i="2"/>
  <c r="G2099" i="2"/>
  <c r="I2098" i="2"/>
  <c r="H2098" i="2"/>
  <c r="G2098" i="2"/>
  <c r="I2097" i="2"/>
  <c r="H2097" i="2"/>
  <c r="G2097" i="2"/>
  <c r="I2096" i="2"/>
  <c r="H2096" i="2"/>
  <c r="G2096" i="2"/>
  <c r="I2095" i="2"/>
  <c r="H2095" i="2"/>
  <c r="G2095" i="2"/>
  <c r="I2094" i="2"/>
  <c r="H2094" i="2"/>
  <c r="G2094" i="2"/>
  <c r="I2093" i="2"/>
  <c r="H2093" i="2"/>
  <c r="G2093" i="2"/>
  <c r="I2092" i="2"/>
  <c r="H2092" i="2"/>
  <c r="G2092" i="2"/>
  <c r="I2091" i="2"/>
  <c r="H2091" i="2"/>
  <c r="G2091" i="2"/>
  <c r="I2090" i="2"/>
  <c r="H2090" i="2"/>
  <c r="G2090" i="2"/>
  <c r="I2089" i="2"/>
  <c r="H2089" i="2"/>
  <c r="G2089" i="2"/>
  <c r="I2088" i="2"/>
  <c r="H2088" i="2"/>
  <c r="G2088" i="2"/>
  <c r="I2087" i="2"/>
  <c r="H2087" i="2"/>
  <c r="G2087" i="2"/>
  <c r="I2086" i="2"/>
  <c r="H2086" i="2"/>
  <c r="G2086" i="2"/>
  <c r="I2085" i="2"/>
  <c r="H2085" i="2"/>
  <c r="G2085" i="2"/>
  <c r="I2084" i="2"/>
  <c r="H2084" i="2"/>
  <c r="G2084" i="2"/>
  <c r="I2083" i="2"/>
  <c r="H2083" i="2"/>
  <c r="G2083" i="2"/>
  <c r="I2082" i="2"/>
  <c r="H2082" i="2"/>
  <c r="G2082" i="2"/>
  <c r="I2081" i="2"/>
  <c r="H2081" i="2"/>
  <c r="G2081" i="2"/>
  <c r="I2080" i="2"/>
  <c r="H2080" i="2"/>
  <c r="G2080" i="2"/>
  <c r="I2079" i="2"/>
  <c r="H2079" i="2"/>
  <c r="G2079" i="2"/>
  <c r="I2078" i="2"/>
  <c r="H2078" i="2"/>
  <c r="G2078" i="2"/>
  <c r="I2077" i="2"/>
  <c r="H2077" i="2"/>
  <c r="G2077" i="2"/>
  <c r="I2076" i="2"/>
  <c r="H2076" i="2"/>
  <c r="G2076" i="2"/>
  <c r="I2075" i="2"/>
  <c r="H2075" i="2"/>
  <c r="G2075" i="2"/>
  <c r="I2074" i="2"/>
  <c r="H2074" i="2"/>
  <c r="G2074" i="2"/>
  <c r="I2073" i="2"/>
  <c r="H2073" i="2"/>
  <c r="G2073" i="2"/>
  <c r="I2072" i="2"/>
  <c r="H2072" i="2"/>
  <c r="G2072" i="2"/>
  <c r="I2071" i="2"/>
  <c r="H2071" i="2"/>
  <c r="G2071" i="2"/>
  <c r="I2070" i="2"/>
  <c r="H2070" i="2"/>
  <c r="G2070" i="2"/>
  <c r="I2069" i="2"/>
  <c r="H2069" i="2"/>
  <c r="G2069" i="2"/>
  <c r="I2068" i="2"/>
  <c r="H2068" i="2"/>
  <c r="G2068" i="2"/>
  <c r="I2067" i="2"/>
  <c r="H2067" i="2"/>
  <c r="G2067" i="2"/>
  <c r="I2066" i="2"/>
  <c r="H2066" i="2"/>
  <c r="G2066" i="2"/>
  <c r="I2065" i="2"/>
  <c r="H2065" i="2"/>
  <c r="G2065" i="2"/>
  <c r="I2064" i="2"/>
  <c r="H2064" i="2"/>
  <c r="G2064" i="2"/>
  <c r="I2063" i="2"/>
  <c r="H2063" i="2"/>
  <c r="G2063" i="2"/>
  <c r="I2062" i="2"/>
  <c r="H2062" i="2"/>
  <c r="G2062" i="2"/>
  <c r="I2061" i="2"/>
  <c r="H2061" i="2"/>
  <c r="G2061" i="2"/>
  <c r="I2060" i="2"/>
  <c r="H2060" i="2"/>
  <c r="G2060" i="2"/>
  <c r="I2059" i="2"/>
  <c r="H2059" i="2"/>
  <c r="G2059" i="2"/>
  <c r="I2058" i="2"/>
  <c r="H2058" i="2"/>
  <c r="G2058" i="2"/>
  <c r="I2057" i="2"/>
  <c r="H2057" i="2"/>
  <c r="G2057" i="2"/>
  <c r="I2056" i="2"/>
  <c r="H2056" i="2"/>
  <c r="G2056" i="2"/>
  <c r="I2055" i="2"/>
  <c r="H2055" i="2"/>
  <c r="G2055" i="2"/>
  <c r="I2054" i="2"/>
  <c r="H2054" i="2"/>
  <c r="G2054" i="2"/>
  <c r="I2053" i="2"/>
  <c r="H2053" i="2"/>
  <c r="G2053" i="2"/>
  <c r="I2052" i="2"/>
  <c r="H2052" i="2"/>
  <c r="G2052" i="2"/>
  <c r="I2051" i="2"/>
  <c r="H2051" i="2"/>
  <c r="G2051" i="2"/>
  <c r="I2050" i="2"/>
  <c r="H2050" i="2"/>
  <c r="G2050" i="2"/>
  <c r="I2049" i="2"/>
  <c r="H2049" i="2"/>
  <c r="G2049" i="2"/>
  <c r="I2048" i="2"/>
  <c r="H2048" i="2"/>
  <c r="G2048" i="2"/>
  <c r="I2047" i="2"/>
  <c r="H2047" i="2"/>
  <c r="G2047" i="2"/>
  <c r="I2046" i="2"/>
  <c r="H2046" i="2"/>
  <c r="G2046" i="2"/>
  <c r="I2045" i="2"/>
  <c r="H2045" i="2"/>
  <c r="G2045" i="2"/>
  <c r="I2044" i="2"/>
  <c r="H2044" i="2"/>
  <c r="G2044" i="2"/>
  <c r="I2043" i="2"/>
  <c r="H2043" i="2"/>
  <c r="G2043" i="2"/>
  <c r="I2042" i="2"/>
  <c r="H2042" i="2"/>
  <c r="G2042" i="2"/>
  <c r="I2041" i="2"/>
  <c r="H2041" i="2"/>
  <c r="G2041" i="2"/>
  <c r="I2040" i="2"/>
  <c r="H2040" i="2"/>
  <c r="G2040" i="2"/>
  <c r="I2039" i="2"/>
  <c r="H2039" i="2"/>
  <c r="G2039" i="2"/>
  <c r="I2038" i="2"/>
  <c r="H2038" i="2"/>
  <c r="G2038" i="2"/>
  <c r="I2037" i="2"/>
  <c r="H2037" i="2"/>
  <c r="G2037" i="2"/>
  <c r="I2036" i="2"/>
  <c r="H2036" i="2"/>
  <c r="G2036" i="2"/>
  <c r="I2035" i="2"/>
  <c r="H2035" i="2"/>
  <c r="G2035" i="2"/>
  <c r="I2034" i="2"/>
  <c r="H2034" i="2"/>
  <c r="G2034" i="2"/>
  <c r="I2033" i="2"/>
  <c r="H2033" i="2"/>
  <c r="G2033" i="2"/>
  <c r="I2032" i="2"/>
  <c r="H2032" i="2"/>
  <c r="G2032" i="2"/>
  <c r="I2031" i="2"/>
  <c r="H2031" i="2"/>
  <c r="G2031" i="2"/>
  <c r="I2030" i="2"/>
  <c r="H2030" i="2"/>
  <c r="G2030" i="2"/>
  <c r="I2029" i="2"/>
  <c r="H2029" i="2"/>
  <c r="G2029" i="2"/>
  <c r="I2028" i="2"/>
  <c r="H2028" i="2"/>
  <c r="G2028" i="2"/>
  <c r="I2027" i="2"/>
  <c r="H2027" i="2"/>
  <c r="G2027" i="2"/>
  <c r="I2026" i="2"/>
  <c r="H2026" i="2"/>
  <c r="G2026" i="2"/>
  <c r="I2025" i="2"/>
  <c r="H2025" i="2"/>
  <c r="G2025" i="2"/>
  <c r="I2024" i="2"/>
  <c r="H2024" i="2"/>
  <c r="G2024" i="2"/>
  <c r="I2023" i="2"/>
  <c r="H2023" i="2"/>
  <c r="G2023" i="2"/>
  <c r="I2022" i="2"/>
  <c r="H2022" i="2"/>
  <c r="G2022" i="2"/>
  <c r="I2021" i="2"/>
  <c r="H2021" i="2"/>
  <c r="G2021" i="2"/>
  <c r="I2020" i="2"/>
  <c r="H2020" i="2"/>
  <c r="G2020" i="2"/>
  <c r="I2019" i="2"/>
  <c r="H2019" i="2"/>
  <c r="G2019" i="2"/>
  <c r="I2018" i="2"/>
  <c r="H2018" i="2"/>
  <c r="G2018" i="2"/>
  <c r="I2017" i="2"/>
  <c r="H2017" i="2"/>
  <c r="G2017" i="2"/>
  <c r="I2016" i="2"/>
  <c r="H2016" i="2"/>
  <c r="G2016" i="2"/>
  <c r="I2015" i="2"/>
  <c r="H2015" i="2"/>
  <c r="G2015" i="2"/>
  <c r="I2014" i="2"/>
  <c r="H2014" i="2"/>
  <c r="G2014" i="2"/>
  <c r="I2013" i="2"/>
  <c r="H2013" i="2"/>
  <c r="G2013" i="2"/>
  <c r="I2012" i="2"/>
  <c r="H2012" i="2"/>
  <c r="G2012" i="2"/>
  <c r="I2011" i="2"/>
  <c r="H2011" i="2"/>
  <c r="G2011" i="2"/>
  <c r="I2010" i="2"/>
  <c r="H2010" i="2"/>
  <c r="G2010" i="2"/>
  <c r="I2009" i="2"/>
  <c r="H2009" i="2"/>
  <c r="G2009" i="2"/>
  <c r="I2008" i="2"/>
  <c r="H2008" i="2"/>
  <c r="G2008" i="2"/>
  <c r="I2007" i="2"/>
  <c r="H2007" i="2"/>
  <c r="G2007" i="2"/>
  <c r="I2006" i="2"/>
  <c r="H2006" i="2"/>
  <c r="G2006" i="2"/>
  <c r="I2005" i="2"/>
  <c r="H2005" i="2"/>
  <c r="G2005" i="2"/>
  <c r="I2004" i="2"/>
  <c r="H2004" i="2"/>
  <c r="G2004" i="2"/>
  <c r="I2003" i="2"/>
  <c r="H2003" i="2"/>
  <c r="G2003" i="2"/>
  <c r="I2002" i="2"/>
  <c r="H2002" i="2"/>
  <c r="G2002" i="2"/>
  <c r="I2001" i="2"/>
  <c r="H2001" i="2"/>
  <c r="G2001" i="2"/>
  <c r="I2000" i="2"/>
  <c r="H2000" i="2"/>
  <c r="G2000" i="2"/>
  <c r="I1999" i="2"/>
  <c r="H1999" i="2"/>
  <c r="G1999" i="2"/>
  <c r="I1998" i="2"/>
  <c r="H1998" i="2"/>
  <c r="G1998" i="2"/>
  <c r="I1997" i="2"/>
  <c r="H1997" i="2"/>
  <c r="G1997" i="2"/>
  <c r="I1996" i="2"/>
  <c r="H1996" i="2"/>
  <c r="G1996" i="2"/>
  <c r="I1995" i="2"/>
  <c r="H1995" i="2"/>
  <c r="G1995" i="2"/>
  <c r="I1994" i="2"/>
  <c r="H1994" i="2"/>
  <c r="G1994" i="2"/>
  <c r="I1993" i="2"/>
  <c r="H1993" i="2"/>
  <c r="G1993" i="2"/>
  <c r="I1992" i="2"/>
  <c r="H1992" i="2"/>
  <c r="G1992" i="2"/>
  <c r="I1991" i="2"/>
  <c r="H1991" i="2"/>
  <c r="G1991" i="2"/>
  <c r="I1990" i="2"/>
  <c r="H1990" i="2"/>
  <c r="G1990" i="2"/>
  <c r="I1989" i="2"/>
  <c r="H1989" i="2"/>
  <c r="G1989" i="2"/>
  <c r="I1988" i="2"/>
  <c r="H1988" i="2"/>
  <c r="G1988" i="2"/>
  <c r="I1987" i="2"/>
  <c r="H1987" i="2"/>
  <c r="G1987" i="2"/>
  <c r="I1986" i="2"/>
  <c r="H1986" i="2"/>
  <c r="G1986" i="2"/>
  <c r="I1985" i="2"/>
  <c r="H1985" i="2"/>
  <c r="G1985" i="2"/>
  <c r="I1984" i="2"/>
  <c r="H1984" i="2"/>
  <c r="G1984" i="2"/>
  <c r="I1983" i="2"/>
  <c r="H1983" i="2"/>
  <c r="G1983" i="2"/>
  <c r="I1982" i="2"/>
  <c r="H1982" i="2"/>
  <c r="G1982" i="2"/>
  <c r="I1981" i="2"/>
  <c r="H1981" i="2"/>
  <c r="G1981" i="2"/>
  <c r="I1980" i="2"/>
  <c r="H1980" i="2"/>
  <c r="G1980" i="2"/>
  <c r="I1979" i="2"/>
  <c r="H1979" i="2"/>
  <c r="G1979" i="2"/>
  <c r="I1978" i="2"/>
  <c r="H1978" i="2"/>
  <c r="G1978" i="2"/>
  <c r="I1977" i="2"/>
  <c r="H1977" i="2"/>
  <c r="G1977" i="2"/>
  <c r="I1976" i="2"/>
  <c r="H1976" i="2"/>
  <c r="G1976" i="2"/>
  <c r="I1975" i="2"/>
  <c r="H1975" i="2"/>
  <c r="G1975" i="2"/>
  <c r="I1974" i="2"/>
  <c r="H1974" i="2"/>
  <c r="G1974" i="2"/>
  <c r="I1973" i="2"/>
  <c r="H1973" i="2"/>
  <c r="G1973" i="2"/>
  <c r="I1972" i="2"/>
  <c r="H1972" i="2"/>
  <c r="G1972" i="2"/>
  <c r="I1971" i="2"/>
  <c r="H1971" i="2"/>
  <c r="G1971" i="2"/>
  <c r="I1970" i="2"/>
  <c r="H1970" i="2"/>
  <c r="G1970" i="2"/>
  <c r="I1969" i="2"/>
  <c r="H1969" i="2"/>
  <c r="G1969" i="2"/>
  <c r="I1968" i="2"/>
  <c r="H1968" i="2"/>
  <c r="G1968" i="2"/>
  <c r="I1967" i="2"/>
  <c r="H1967" i="2"/>
  <c r="G1967" i="2"/>
  <c r="I1966" i="2"/>
  <c r="H1966" i="2"/>
  <c r="G1966" i="2"/>
  <c r="I1965" i="2"/>
  <c r="H1965" i="2"/>
  <c r="G1965" i="2"/>
  <c r="I1964" i="2"/>
  <c r="H1964" i="2"/>
  <c r="G1964" i="2"/>
  <c r="I1963" i="2"/>
  <c r="H1963" i="2"/>
  <c r="G1963" i="2"/>
  <c r="I1962" i="2"/>
  <c r="H1962" i="2"/>
  <c r="G1962" i="2"/>
  <c r="I1961" i="2"/>
  <c r="H1961" i="2"/>
  <c r="G1961" i="2"/>
  <c r="I1960" i="2"/>
  <c r="H1960" i="2"/>
  <c r="G1960" i="2"/>
  <c r="I1959" i="2"/>
  <c r="H1959" i="2"/>
  <c r="G1959" i="2"/>
  <c r="I1958" i="2"/>
  <c r="H1958" i="2"/>
  <c r="G1958" i="2"/>
  <c r="I1957" i="2"/>
  <c r="H1957" i="2"/>
  <c r="G1957" i="2"/>
  <c r="I1956" i="2"/>
  <c r="H1956" i="2"/>
  <c r="G1956" i="2"/>
  <c r="I1955" i="2"/>
  <c r="H1955" i="2"/>
  <c r="G1955" i="2"/>
  <c r="I1954" i="2"/>
  <c r="H1954" i="2"/>
  <c r="G1954" i="2"/>
  <c r="I1953" i="2"/>
  <c r="H1953" i="2"/>
  <c r="G1953" i="2"/>
  <c r="I1952" i="2"/>
  <c r="H1952" i="2"/>
  <c r="G1952" i="2"/>
  <c r="I1951" i="2"/>
  <c r="H1951" i="2"/>
  <c r="G1951" i="2"/>
  <c r="I1950" i="2"/>
  <c r="H1950" i="2"/>
  <c r="G1950" i="2"/>
  <c r="I1949" i="2"/>
  <c r="H1949" i="2"/>
  <c r="G1949" i="2"/>
  <c r="I1948" i="2"/>
  <c r="H1948" i="2"/>
  <c r="G1948" i="2"/>
  <c r="I1947" i="2"/>
  <c r="H1947" i="2"/>
  <c r="G1947" i="2"/>
  <c r="I1946" i="2"/>
  <c r="H1946" i="2"/>
  <c r="G1946" i="2"/>
  <c r="I1945" i="2"/>
  <c r="H1945" i="2"/>
  <c r="G1945" i="2"/>
  <c r="I1944" i="2"/>
  <c r="H1944" i="2"/>
  <c r="G1944" i="2"/>
  <c r="I1943" i="2"/>
  <c r="H1943" i="2"/>
  <c r="G1943" i="2"/>
  <c r="I1942" i="2"/>
  <c r="H1942" i="2"/>
  <c r="G1942" i="2"/>
  <c r="I1941" i="2"/>
  <c r="H1941" i="2"/>
  <c r="G1941" i="2"/>
  <c r="I1940" i="2"/>
  <c r="H1940" i="2"/>
  <c r="G1940" i="2"/>
  <c r="I1939" i="2"/>
  <c r="H1939" i="2"/>
  <c r="G1939" i="2"/>
  <c r="I1938" i="2"/>
  <c r="H1938" i="2"/>
  <c r="G1938" i="2"/>
  <c r="I1937" i="2"/>
  <c r="H1937" i="2"/>
  <c r="G1937" i="2"/>
  <c r="I1936" i="2"/>
  <c r="H1936" i="2"/>
  <c r="G1936" i="2"/>
  <c r="I1935" i="2"/>
  <c r="H1935" i="2"/>
  <c r="G1935" i="2"/>
  <c r="I1934" i="2"/>
  <c r="H1934" i="2"/>
  <c r="G1934" i="2"/>
  <c r="I1933" i="2"/>
  <c r="H1933" i="2"/>
  <c r="G1933" i="2"/>
  <c r="I1932" i="2"/>
  <c r="H1932" i="2"/>
  <c r="G1932" i="2"/>
  <c r="I1931" i="2"/>
  <c r="H1931" i="2"/>
  <c r="G1931" i="2"/>
  <c r="I1930" i="2"/>
  <c r="H1930" i="2"/>
  <c r="G1930" i="2"/>
  <c r="I1929" i="2"/>
  <c r="H1929" i="2"/>
  <c r="G1929" i="2"/>
  <c r="I1928" i="2"/>
  <c r="H1928" i="2"/>
  <c r="G1928" i="2"/>
  <c r="I1927" i="2"/>
  <c r="H1927" i="2"/>
  <c r="G1927" i="2"/>
  <c r="I1926" i="2"/>
  <c r="H1926" i="2"/>
  <c r="G1926" i="2"/>
  <c r="I1925" i="2"/>
  <c r="H1925" i="2"/>
  <c r="G1925" i="2"/>
  <c r="I1924" i="2"/>
  <c r="H1924" i="2"/>
  <c r="G1924" i="2"/>
  <c r="I1923" i="2"/>
  <c r="H1923" i="2"/>
  <c r="G1923" i="2"/>
  <c r="I1922" i="2"/>
  <c r="H1922" i="2"/>
  <c r="G1922" i="2"/>
  <c r="I1921" i="2"/>
  <c r="H1921" i="2"/>
  <c r="G1921" i="2"/>
  <c r="I1920" i="2"/>
  <c r="H1920" i="2"/>
  <c r="G1920" i="2"/>
  <c r="I1919" i="2"/>
  <c r="H1919" i="2"/>
  <c r="G1919" i="2"/>
  <c r="I1918" i="2"/>
  <c r="H1918" i="2"/>
  <c r="G1918" i="2"/>
  <c r="I1917" i="2"/>
  <c r="H1917" i="2"/>
  <c r="G1917" i="2"/>
  <c r="I1916" i="2"/>
  <c r="H1916" i="2"/>
  <c r="G1916" i="2"/>
  <c r="I1915" i="2"/>
  <c r="H1915" i="2"/>
  <c r="G1915" i="2"/>
  <c r="I1914" i="2"/>
  <c r="H1914" i="2"/>
  <c r="G1914" i="2"/>
  <c r="I1913" i="2"/>
  <c r="H1913" i="2"/>
  <c r="G1913" i="2"/>
  <c r="I1912" i="2"/>
  <c r="H1912" i="2"/>
  <c r="G1912" i="2"/>
  <c r="I1911" i="2"/>
  <c r="H1911" i="2"/>
  <c r="G1911" i="2"/>
  <c r="I1910" i="2"/>
  <c r="H1910" i="2"/>
  <c r="G1910" i="2"/>
  <c r="I1909" i="2"/>
  <c r="H1909" i="2"/>
  <c r="G1909" i="2"/>
  <c r="I1908" i="2"/>
  <c r="H1908" i="2"/>
  <c r="G1908" i="2"/>
  <c r="I1907" i="2"/>
  <c r="H1907" i="2"/>
  <c r="G1907" i="2"/>
  <c r="I1906" i="2"/>
  <c r="H1906" i="2"/>
  <c r="G1906" i="2"/>
  <c r="I1905" i="2"/>
  <c r="H1905" i="2"/>
  <c r="G1905" i="2"/>
  <c r="I1904" i="2"/>
  <c r="H1904" i="2"/>
  <c r="G1904" i="2"/>
  <c r="I1903" i="2"/>
  <c r="H1903" i="2"/>
  <c r="G1903" i="2"/>
  <c r="I1902" i="2"/>
  <c r="H1902" i="2"/>
  <c r="G1902" i="2"/>
  <c r="I1901" i="2"/>
  <c r="H1901" i="2"/>
  <c r="G1901" i="2"/>
  <c r="I1900" i="2"/>
  <c r="H1900" i="2"/>
  <c r="G1900" i="2"/>
  <c r="I1899" i="2"/>
  <c r="H1899" i="2"/>
  <c r="G1899" i="2"/>
  <c r="I1898" i="2"/>
  <c r="H1898" i="2"/>
  <c r="G1898" i="2"/>
  <c r="I1897" i="2"/>
  <c r="H1897" i="2"/>
  <c r="G1897" i="2"/>
  <c r="I1896" i="2"/>
  <c r="H1896" i="2"/>
  <c r="G1896" i="2"/>
  <c r="I1895" i="2"/>
  <c r="H1895" i="2"/>
  <c r="G1895" i="2"/>
  <c r="I1894" i="2"/>
  <c r="H1894" i="2"/>
  <c r="G1894" i="2"/>
  <c r="I1893" i="2"/>
  <c r="H1893" i="2"/>
  <c r="G1893" i="2"/>
  <c r="I1892" i="2"/>
  <c r="H1892" i="2"/>
  <c r="G1892" i="2"/>
  <c r="I1891" i="2"/>
  <c r="H1891" i="2"/>
  <c r="G1891" i="2"/>
  <c r="I1890" i="2"/>
  <c r="H1890" i="2"/>
  <c r="G1890" i="2"/>
  <c r="I1889" i="2"/>
  <c r="H1889" i="2"/>
  <c r="G1889" i="2"/>
  <c r="I1888" i="2"/>
  <c r="H1888" i="2"/>
  <c r="G1888" i="2"/>
  <c r="I1887" i="2"/>
  <c r="H1887" i="2"/>
  <c r="G1887" i="2"/>
  <c r="I1886" i="2"/>
  <c r="H1886" i="2"/>
  <c r="G1886" i="2"/>
  <c r="I1885" i="2"/>
  <c r="H1885" i="2"/>
  <c r="G1885" i="2"/>
  <c r="I1884" i="2"/>
  <c r="H1884" i="2"/>
  <c r="G1884" i="2"/>
  <c r="I1883" i="2"/>
  <c r="H1883" i="2"/>
  <c r="G1883" i="2"/>
  <c r="I1882" i="2"/>
  <c r="H1882" i="2"/>
  <c r="G1882" i="2"/>
  <c r="I1881" i="2"/>
  <c r="H1881" i="2"/>
  <c r="G1881" i="2"/>
  <c r="I1880" i="2"/>
  <c r="H1880" i="2"/>
  <c r="G1880" i="2"/>
  <c r="I1879" i="2"/>
  <c r="H1879" i="2"/>
  <c r="G1879" i="2"/>
  <c r="I1878" i="2"/>
  <c r="H1878" i="2"/>
  <c r="G1878" i="2"/>
  <c r="I1877" i="2"/>
  <c r="H1877" i="2"/>
  <c r="G1877" i="2"/>
  <c r="I1876" i="2"/>
  <c r="H1876" i="2"/>
  <c r="G1876" i="2"/>
  <c r="I1875" i="2"/>
  <c r="H1875" i="2"/>
  <c r="G1875" i="2"/>
  <c r="I1874" i="2"/>
  <c r="H1874" i="2"/>
  <c r="G1874" i="2"/>
  <c r="I1873" i="2"/>
  <c r="H1873" i="2"/>
  <c r="G1873" i="2"/>
  <c r="I1872" i="2"/>
  <c r="H1872" i="2"/>
  <c r="G1872" i="2"/>
  <c r="I1871" i="2"/>
  <c r="H1871" i="2"/>
  <c r="G1871" i="2"/>
  <c r="I1870" i="2"/>
  <c r="H1870" i="2"/>
  <c r="G1870" i="2"/>
  <c r="I1869" i="2"/>
  <c r="H1869" i="2"/>
  <c r="G1869" i="2"/>
  <c r="I1868" i="2"/>
  <c r="H1868" i="2"/>
  <c r="G1868" i="2"/>
  <c r="I1867" i="2"/>
  <c r="H1867" i="2"/>
  <c r="G1867" i="2"/>
  <c r="I1866" i="2"/>
  <c r="H1866" i="2"/>
  <c r="G1866" i="2"/>
  <c r="I1865" i="2"/>
  <c r="H1865" i="2"/>
  <c r="G1865" i="2"/>
  <c r="I1864" i="2"/>
  <c r="H1864" i="2"/>
  <c r="G1864" i="2"/>
  <c r="I1863" i="2"/>
  <c r="H1863" i="2"/>
  <c r="G1863" i="2"/>
  <c r="I1862" i="2"/>
  <c r="H1862" i="2"/>
  <c r="G1862" i="2"/>
  <c r="I1861" i="2"/>
  <c r="H1861" i="2"/>
  <c r="G1861" i="2"/>
  <c r="I1860" i="2"/>
  <c r="H1860" i="2"/>
  <c r="G1860" i="2"/>
  <c r="I1859" i="2"/>
  <c r="H1859" i="2"/>
  <c r="G1859" i="2"/>
  <c r="I1858" i="2"/>
  <c r="H1858" i="2"/>
  <c r="G1858" i="2"/>
  <c r="I1857" i="2"/>
  <c r="H1857" i="2"/>
  <c r="G1857" i="2"/>
  <c r="I1856" i="2"/>
  <c r="H1856" i="2"/>
  <c r="G1856" i="2"/>
  <c r="I1855" i="2"/>
  <c r="H1855" i="2"/>
  <c r="G1855" i="2"/>
  <c r="I1854" i="2"/>
  <c r="H1854" i="2"/>
  <c r="G1854" i="2"/>
  <c r="I1853" i="2"/>
  <c r="H1853" i="2"/>
  <c r="G1853" i="2"/>
  <c r="I1852" i="2"/>
  <c r="H1852" i="2"/>
  <c r="G1852" i="2"/>
  <c r="I1851" i="2"/>
  <c r="H1851" i="2"/>
  <c r="G1851" i="2"/>
  <c r="I1850" i="2"/>
  <c r="H1850" i="2"/>
  <c r="G1850" i="2"/>
  <c r="I1849" i="2"/>
  <c r="H1849" i="2"/>
  <c r="G1849" i="2"/>
  <c r="I1848" i="2"/>
  <c r="H1848" i="2"/>
  <c r="G1848" i="2"/>
  <c r="I1847" i="2"/>
  <c r="H1847" i="2"/>
  <c r="G1847" i="2"/>
  <c r="I1846" i="2"/>
  <c r="H1846" i="2"/>
  <c r="G1846" i="2"/>
  <c r="I1845" i="2"/>
  <c r="H1845" i="2"/>
  <c r="G1845" i="2"/>
  <c r="I1844" i="2"/>
  <c r="H1844" i="2"/>
  <c r="G1844" i="2"/>
  <c r="I1843" i="2"/>
  <c r="H1843" i="2"/>
  <c r="G1843" i="2"/>
  <c r="I1842" i="2"/>
  <c r="H1842" i="2"/>
  <c r="G1842" i="2"/>
  <c r="I1841" i="2"/>
  <c r="H1841" i="2"/>
  <c r="G1841" i="2"/>
  <c r="I1840" i="2"/>
  <c r="H1840" i="2"/>
  <c r="G1840" i="2"/>
  <c r="I1839" i="2"/>
  <c r="H1839" i="2"/>
  <c r="G1839" i="2"/>
  <c r="I1838" i="2"/>
  <c r="H1838" i="2"/>
  <c r="G1838" i="2"/>
  <c r="I1837" i="2"/>
  <c r="H1837" i="2"/>
  <c r="G1837" i="2"/>
  <c r="I1836" i="2"/>
  <c r="H1836" i="2"/>
  <c r="G1836" i="2"/>
  <c r="I1835" i="2"/>
  <c r="H1835" i="2"/>
  <c r="G1835" i="2"/>
  <c r="I1834" i="2"/>
  <c r="H1834" i="2"/>
  <c r="G1834" i="2"/>
  <c r="I1833" i="2"/>
  <c r="H1833" i="2"/>
  <c r="G1833" i="2"/>
  <c r="I1832" i="2"/>
  <c r="H1832" i="2"/>
  <c r="G1832" i="2"/>
  <c r="I1831" i="2"/>
  <c r="H1831" i="2"/>
  <c r="G1831" i="2"/>
  <c r="I1830" i="2"/>
  <c r="H1830" i="2"/>
  <c r="G1830" i="2"/>
  <c r="I1829" i="2"/>
  <c r="H1829" i="2"/>
  <c r="G1829" i="2"/>
  <c r="I1828" i="2"/>
  <c r="H1828" i="2"/>
  <c r="G1828" i="2"/>
  <c r="I1827" i="2"/>
  <c r="H1827" i="2"/>
  <c r="G1827" i="2"/>
  <c r="I1826" i="2"/>
  <c r="H1826" i="2"/>
  <c r="G1826" i="2"/>
  <c r="I1825" i="2"/>
  <c r="H1825" i="2"/>
  <c r="G1825" i="2"/>
  <c r="I1824" i="2"/>
  <c r="H1824" i="2"/>
  <c r="G1824" i="2"/>
  <c r="I1823" i="2"/>
  <c r="H1823" i="2"/>
  <c r="G1823" i="2"/>
  <c r="I1822" i="2"/>
  <c r="H1822" i="2"/>
  <c r="G1822" i="2"/>
  <c r="I1821" i="2"/>
  <c r="H1821" i="2"/>
  <c r="G1821" i="2"/>
  <c r="I1820" i="2"/>
  <c r="H1820" i="2"/>
  <c r="G1820" i="2"/>
  <c r="I1819" i="2"/>
  <c r="H1819" i="2"/>
  <c r="G1819" i="2"/>
  <c r="I1818" i="2"/>
  <c r="H1818" i="2"/>
  <c r="G1818" i="2"/>
  <c r="I1817" i="2"/>
  <c r="H1817" i="2"/>
  <c r="G1817" i="2"/>
  <c r="I1816" i="2"/>
  <c r="H1816" i="2"/>
  <c r="G1816" i="2"/>
  <c r="I1815" i="2"/>
  <c r="H1815" i="2"/>
  <c r="G1815" i="2"/>
  <c r="I1814" i="2"/>
  <c r="H1814" i="2"/>
  <c r="G1814" i="2"/>
  <c r="I1813" i="2"/>
  <c r="H1813" i="2"/>
  <c r="G1813" i="2"/>
  <c r="I1812" i="2"/>
  <c r="H1812" i="2"/>
  <c r="G1812" i="2"/>
  <c r="I1811" i="2"/>
  <c r="H1811" i="2"/>
  <c r="G1811" i="2"/>
  <c r="I1810" i="2"/>
  <c r="H1810" i="2"/>
  <c r="G1810" i="2"/>
  <c r="I1809" i="2"/>
  <c r="H1809" i="2"/>
  <c r="G1809" i="2"/>
  <c r="I1808" i="2"/>
  <c r="H1808" i="2"/>
  <c r="G1808" i="2"/>
  <c r="I1807" i="2"/>
  <c r="H1807" i="2"/>
  <c r="G1807" i="2"/>
  <c r="I1806" i="2"/>
  <c r="H1806" i="2"/>
  <c r="G1806" i="2"/>
  <c r="I1805" i="2"/>
  <c r="H1805" i="2"/>
  <c r="G1805" i="2"/>
  <c r="I1804" i="2"/>
  <c r="H1804" i="2"/>
  <c r="G1804" i="2"/>
  <c r="I1803" i="2"/>
  <c r="H1803" i="2"/>
  <c r="G1803" i="2"/>
  <c r="I1802" i="2"/>
  <c r="H1802" i="2"/>
  <c r="G1802" i="2"/>
  <c r="I1801" i="2"/>
  <c r="H1801" i="2"/>
  <c r="G1801" i="2"/>
  <c r="I1800" i="2"/>
  <c r="H1800" i="2"/>
  <c r="G1800" i="2"/>
  <c r="I1799" i="2"/>
  <c r="H1799" i="2"/>
  <c r="G1799" i="2"/>
  <c r="I1798" i="2"/>
  <c r="H1798" i="2"/>
  <c r="G1798" i="2"/>
  <c r="I1797" i="2"/>
  <c r="H1797" i="2"/>
  <c r="G1797" i="2"/>
  <c r="I1796" i="2"/>
  <c r="H1796" i="2"/>
  <c r="G1796" i="2"/>
  <c r="I1795" i="2"/>
  <c r="H1795" i="2"/>
  <c r="G1795" i="2"/>
  <c r="I1794" i="2"/>
  <c r="H1794" i="2"/>
  <c r="G1794" i="2"/>
  <c r="I1793" i="2"/>
  <c r="H1793" i="2"/>
  <c r="G1793" i="2"/>
  <c r="I1792" i="2"/>
  <c r="H1792" i="2"/>
  <c r="G1792" i="2"/>
  <c r="I1791" i="2"/>
  <c r="H1791" i="2"/>
  <c r="G1791" i="2"/>
  <c r="I1790" i="2"/>
  <c r="H1790" i="2"/>
  <c r="G1790" i="2"/>
  <c r="I1789" i="2"/>
  <c r="H1789" i="2"/>
  <c r="G1789" i="2"/>
  <c r="I1788" i="2"/>
  <c r="H1788" i="2"/>
  <c r="G1788" i="2"/>
  <c r="I1787" i="2"/>
  <c r="H1787" i="2"/>
  <c r="G1787" i="2"/>
  <c r="I1786" i="2"/>
  <c r="H1786" i="2"/>
  <c r="G1786" i="2"/>
  <c r="I1785" i="2"/>
  <c r="H1785" i="2"/>
  <c r="G1785" i="2"/>
  <c r="I1784" i="2"/>
  <c r="H1784" i="2"/>
  <c r="G1784" i="2"/>
  <c r="I1783" i="2"/>
  <c r="H1783" i="2"/>
  <c r="G1783" i="2"/>
  <c r="I1782" i="2"/>
  <c r="H1782" i="2"/>
  <c r="G1782" i="2"/>
  <c r="I1781" i="2"/>
  <c r="H1781" i="2"/>
  <c r="G1781" i="2"/>
  <c r="I1780" i="2"/>
  <c r="H1780" i="2"/>
  <c r="G1780" i="2"/>
  <c r="I1779" i="2"/>
  <c r="H1779" i="2"/>
  <c r="G1779" i="2"/>
  <c r="I1778" i="2"/>
  <c r="H1778" i="2"/>
  <c r="G1778" i="2"/>
  <c r="I1777" i="2"/>
  <c r="H1777" i="2"/>
  <c r="G1777" i="2"/>
  <c r="I1776" i="2"/>
  <c r="H1776" i="2"/>
  <c r="G1776" i="2"/>
  <c r="I1775" i="2"/>
  <c r="H1775" i="2"/>
  <c r="G1775" i="2"/>
  <c r="I1774" i="2"/>
  <c r="H1774" i="2"/>
  <c r="G1774" i="2"/>
  <c r="I1773" i="2"/>
  <c r="H1773" i="2"/>
  <c r="G1773" i="2"/>
  <c r="I1772" i="2"/>
  <c r="H1772" i="2"/>
  <c r="G1772" i="2"/>
  <c r="I1771" i="2"/>
  <c r="H1771" i="2"/>
  <c r="G1771" i="2"/>
  <c r="I1770" i="2"/>
  <c r="H1770" i="2"/>
  <c r="G1770" i="2"/>
  <c r="I1769" i="2"/>
  <c r="H1769" i="2"/>
  <c r="G1769" i="2"/>
  <c r="I1768" i="2"/>
  <c r="H1768" i="2"/>
  <c r="G1768" i="2"/>
  <c r="I1767" i="2"/>
  <c r="H1767" i="2"/>
  <c r="G1767" i="2"/>
  <c r="I1766" i="2"/>
  <c r="H1766" i="2"/>
  <c r="G1766" i="2"/>
  <c r="I1765" i="2"/>
  <c r="H1765" i="2"/>
  <c r="G1765" i="2"/>
  <c r="I1764" i="2"/>
  <c r="H1764" i="2"/>
  <c r="G1764" i="2"/>
  <c r="I1763" i="2"/>
  <c r="H1763" i="2"/>
  <c r="G1763" i="2"/>
  <c r="I1762" i="2"/>
  <c r="H1762" i="2"/>
  <c r="G1762" i="2"/>
  <c r="I1761" i="2"/>
  <c r="H1761" i="2"/>
  <c r="G1761" i="2"/>
  <c r="I1760" i="2"/>
  <c r="H1760" i="2"/>
  <c r="G1760" i="2"/>
  <c r="I1759" i="2"/>
  <c r="H1759" i="2"/>
  <c r="G1759" i="2"/>
  <c r="I1758" i="2"/>
  <c r="H1758" i="2"/>
  <c r="G1758" i="2"/>
  <c r="I1757" i="2"/>
  <c r="H1757" i="2"/>
  <c r="G1757" i="2"/>
  <c r="I1756" i="2"/>
  <c r="H1756" i="2"/>
  <c r="G1756" i="2"/>
  <c r="I1755" i="2"/>
  <c r="H1755" i="2"/>
  <c r="G1755" i="2"/>
  <c r="I1754" i="2"/>
  <c r="H1754" i="2"/>
  <c r="G1754" i="2"/>
  <c r="I1753" i="2"/>
  <c r="H1753" i="2"/>
  <c r="G1753" i="2"/>
  <c r="I1752" i="2"/>
  <c r="H1752" i="2"/>
  <c r="G1752" i="2"/>
  <c r="I1751" i="2"/>
  <c r="H1751" i="2"/>
  <c r="G1751" i="2"/>
  <c r="I1750" i="2"/>
  <c r="H1750" i="2"/>
  <c r="G1750" i="2"/>
  <c r="I1749" i="2"/>
  <c r="H1749" i="2"/>
  <c r="G1749" i="2"/>
  <c r="I1748" i="2"/>
  <c r="H1748" i="2"/>
  <c r="G1748" i="2"/>
  <c r="I1747" i="2"/>
  <c r="H1747" i="2"/>
  <c r="G1747" i="2"/>
  <c r="I1746" i="2"/>
  <c r="H1746" i="2"/>
  <c r="G1746" i="2"/>
  <c r="I1745" i="2"/>
  <c r="H1745" i="2"/>
  <c r="G1745" i="2"/>
  <c r="I1744" i="2"/>
  <c r="H1744" i="2"/>
  <c r="G1744" i="2"/>
  <c r="I1743" i="2"/>
  <c r="H1743" i="2"/>
  <c r="G1743" i="2"/>
  <c r="I1742" i="2"/>
  <c r="H1742" i="2"/>
  <c r="G1742" i="2"/>
  <c r="I1741" i="2"/>
  <c r="H1741" i="2"/>
  <c r="G1741" i="2"/>
  <c r="I1740" i="2"/>
  <c r="H1740" i="2"/>
  <c r="G1740" i="2"/>
  <c r="I1739" i="2"/>
  <c r="H1739" i="2"/>
  <c r="G1739" i="2"/>
  <c r="I1738" i="2"/>
  <c r="H1738" i="2"/>
  <c r="G1738" i="2"/>
  <c r="I1737" i="2"/>
  <c r="H1737" i="2"/>
  <c r="G1737" i="2"/>
  <c r="I1736" i="2"/>
  <c r="H1736" i="2"/>
  <c r="G1736" i="2"/>
  <c r="I1735" i="2"/>
  <c r="H1735" i="2"/>
  <c r="G1735" i="2"/>
  <c r="I1734" i="2"/>
  <c r="H1734" i="2"/>
  <c r="G1734" i="2"/>
  <c r="I1733" i="2"/>
  <c r="H1733" i="2"/>
  <c r="G1733" i="2"/>
  <c r="I1732" i="2"/>
  <c r="H1732" i="2"/>
  <c r="G1732" i="2"/>
  <c r="I1731" i="2"/>
  <c r="H1731" i="2"/>
  <c r="G1731" i="2"/>
  <c r="I1730" i="2"/>
  <c r="H1730" i="2"/>
  <c r="G1730" i="2"/>
  <c r="I1729" i="2"/>
  <c r="H1729" i="2"/>
  <c r="G1729" i="2"/>
  <c r="I1728" i="2"/>
  <c r="H1728" i="2"/>
  <c r="G1728" i="2"/>
  <c r="I1727" i="2"/>
  <c r="H1727" i="2"/>
  <c r="G1727" i="2"/>
  <c r="I1726" i="2"/>
  <c r="H1726" i="2"/>
  <c r="G1726" i="2"/>
  <c r="I1725" i="2"/>
  <c r="H1725" i="2"/>
  <c r="G1725" i="2"/>
  <c r="I1724" i="2"/>
  <c r="H1724" i="2"/>
  <c r="G1724" i="2"/>
  <c r="I1723" i="2"/>
  <c r="H1723" i="2"/>
  <c r="G1723" i="2"/>
  <c r="I1722" i="2"/>
  <c r="H1722" i="2"/>
  <c r="G1722" i="2"/>
  <c r="I1721" i="2"/>
  <c r="H1721" i="2"/>
  <c r="G1721" i="2"/>
  <c r="I1720" i="2"/>
  <c r="H1720" i="2"/>
  <c r="G1720" i="2"/>
  <c r="I1719" i="2"/>
  <c r="H1719" i="2"/>
  <c r="G1719" i="2"/>
  <c r="I1718" i="2"/>
  <c r="H1718" i="2"/>
  <c r="G1718" i="2"/>
  <c r="I1717" i="2"/>
  <c r="H1717" i="2"/>
  <c r="G1717" i="2"/>
  <c r="I1716" i="2"/>
  <c r="H1716" i="2"/>
  <c r="G1716" i="2"/>
  <c r="I1715" i="2"/>
  <c r="H1715" i="2"/>
  <c r="G1715" i="2"/>
  <c r="I1714" i="2"/>
  <c r="H1714" i="2"/>
  <c r="G1714" i="2"/>
  <c r="I1713" i="2"/>
  <c r="H1713" i="2"/>
  <c r="G1713" i="2"/>
  <c r="I1712" i="2"/>
  <c r="H1712" i="2"/>
  <c r="G1712" i="2"/>
  <c r="I1711" i="2"/>
  <c r="H1711" i="2"/>
  <c r="G1711" i="2"/>
  <c r="I1710" i="2"/>
  <c r="H1710" i="2"/>
  <c r="G1710" i="2"/>
  <c r="I1709" i="2"/>
  <c r="H1709" i="2"/>
  <c r="G1709" i="2"/>
  <c r="I1708" i="2"/>
  <c r="H1708" i="2"/>
  <c r="G1708" i="2"/>
  <c r="I1707" i="2"/>
  <c r="H1707" i="2"/>
  <c r="G1707" i="2"/>
  <c r="I1706" i="2"/>
  <c r="H1706" i="2"/>
  <c r="G1706" i="2"/>
  <c r="I1705" i="2"/>
  <c r="H1705" i="2"/>
  <c r="G1705" i="2"/>
  <c r="I1704" i="2"/>
  <c r="H1704" i="2"/>
  <c r="G1704" i="2"/>
  <c r="I1703" i="2"/>
  <c r="H1703" i="2"/>
  <c r="G1703" i="2"/>
  <c r="I1702" i="2"/>
  <c r="H1702" i="2"/>
  <c r="G1702" i="2"/>
  <c r="I1701" i="2"/>
  <c r="H1701" i="2"/>
  <c r="G1701" i="2"/>
  <c r="I1700" i="2"/>
  <c r="H1700" i="2"/>
  <c r="G1700" i="2"/>
  <c r="I1699" i="2"/>
  <c r="H1699" i="2"/>
  <c r="G1699" i="2"/>
  <c r="I1698" i="2"/>
  <c r="H1698" i="2"/>
  <c r="G1698" i="2"/>
  <c r="I1697" i="2"/>
  <c r="H1697" i="2"/>
  <c r="G1697" i="2"/>
  <c r="I1696" i="2"/>
  <c r="H1696" i="2"/>
  <c r="G1696" i="2"/>
  <c r="I1695" i="2"/>
  <c r="H1695" i="2"/>
  <c r="G1695" i="2"/>
  <c r="I1694" i="2"/>
  <c r="H1694" i="2"/>
  <c r="G1694" i="2"/>
  <c r="I1693" i="2"/>
  <c r="H1693" i="2"/>
  <c r="G1693" i="2"/>
  <c r="I1692" i="2"/>
  <c r="H1692" i="2"/>
  <c r="G1692" i="2"/>
  <c r="I1691" i="2"/>
  <c r="H1691" i="2"/>
  <c r="G1691" i="2"/>
  <c r="I1690" i="2"/>
  <c r="H1690" i="2"/>
  <c r="G1690" i="2"/>
  <c r="I1689" i="2"/>
  <c r="H1689" i="2"/>
  <c r="G1689" i="2"/>
  <c r="I1688" i="2"/>
  <c r="H1688" i="2"/>
  <c r="G1688" i="2"/>
  <c r="I1687" i="2"/>
  <c r="H1687" i="2"/>
  <c r="G1687" i="2"/>
  <c r="I1686" i="2"/>
  <c r="H1686" i="2"/>
  <c r="G1686" i="2"/>
  <c r="I1685" i="2"/>
  <c r="H1685" i="2"/>
  <c r="G1685" i="2"/>
  <c r="I1684" i="2"/>
  <c r="H1684" i="2"/>
  <c r="G1684" i="2"/>
  <c r="I1683" i="2"/>
  <c r="H1683" i="2"/>
  <c r="G1683" i="2"/>
  <c r="I1682" i="2"/>
  <c r="H1682" i="2"/>
  <c r="G1682" i="2"/>
  <c r="I1681" i="2"/>
  <c r="H1681" i="2"/>
  <c r="G1681" i="2"/>
  <c r="I1680" i="2"/>
  <c r="H1680" i="2"/>
  <c r="G1680" i="2"/>
  <c r="I1679" i="2"/>
  <c r="H1679" i="2"/>
  <c r="G1679" i="2"/>
  <c r="I1678" i="2"/>
  <c r="H1678" i="2"/>
  <c r="G1678" i="2"/>
  <c r="I1677" i="2"/>
  <c r="H1677" i="2"/>
  <c r="G1677" i="2"/>
  <c r="I1676" i="2"/>
  <c r="H1676" i="2"/>
  <c r="G1676" i="2"/>
  <c r="I1675" i="2"/>
  <c r="H1675" i="2"/>
  <c r="G1675" i="2"/>
  <c r="I1674" i="2"/>
  <c r="H1674" i="2"/>
  <c r="G1674" i="2"/>
  <c r="I1673" i="2"/>
  <c r="H1673" i="2"/>
  <c r="G1673" i="2"/>
  <c r="I1672" i="2"/>
  <c r="H1672" i="2"/>
  <c r="G1672" i="2"/>
  <c r="I1671" i="2"/>
  <c r="H1671" i="2"/>
  <c r="G1671" i="2"/>
  <c r="I1670" i="2"/>
  <c r="H1670" i="2"/>
  <c r="G1670" i="2"/>
  <c r="I1669" i="2"/>
  <c r="H1669" i="2"/>
  <c r="G1669" i="2"/>
  <c r="I1668" i="2"/>
  <c r="H1668" i="2"/>
  <c r="G1668" i="2"/>
  <c r="I1667" i="2"/>
  <c r="H1667" i="2"/>
  <c r="G1667" i="2"/>
  <c r="I1666" i="2"/>
  <c r="H1666" i="2"/>
  <c r="G1666" i="2"/>
  <c r="I1665" i="2"/>
  <c r="H1665" i="2"/>
  <c r="G1665" i="2"/>
  <c r="I1664" i="2"/>
  <c r="H1664" i="2"/>
  <c r="G1664" i="2"/>
  <c r="I1663" i="2"/>
  <c r="H1663" i="2"/>
  <c r="G1663" i="2"/>
  <c r="I1662" i="2"/>
  <c r="H1662" i="2"/>
  <c r="G1662" i="2"/>
  <c r="I1661" i="2"/>
  <c r="H1661" i="2"/>
  <c r="G1661" i="2"/>
  <c r="I1660" i="2"/>
  <c r="H1660" i="2"/>
  <c r="G1660" i="2"/>
  <c r="I1659" i="2"/>
  <c r="H1659" i="2"/>
  <c r="G1659" i="2"/>
  <c r="I1658" i="2"/>
  <c r="H1658" i="2"/>
  <c r="G1658" i="2"/>
  <c r="I1657" i="2"/>
  <c r="H1657" i="2"/>
  <c r="G1657" i="2"/>
  <c r="I1656" i="2"/>
  <c r="H1656" i="2"/>
  <c r="G1656" i="2"/>
  <c r="I1655" i="2"/>
  <c r="H1655" i="2"/>
  <c r="G1655" i="2"/>
  <c r="I1654" i="2"/>
  <c r="H1654" i="2"/>
  <c r="G1654" i="2"/>
  <c r="I1653" i="2"/>
  <c r="H1653" i="2"/>
  <c r="G1653" i="2"/>
  <c r="I1652" i="2"/>
  <c r="H1652" i="2"/>
  <c r="G1652" i="2"/>
  <c r="I1651" i="2"/>
  <c r="H1651" i="2"/>
  <c r="G1651" i="2"/>
  <c r="I1650" i="2"/>
  <c r="H1650" i="2"/>
  <c r="G1650" i="2"/>
  <c r="I1649" i="2"/>
  <c r="H1649" i="2"/>
  <c r="G1649" i="2"/>
  <c r="I1648" i="2"/>
  <c r="H1648" i="2"/>
  <c r="G1648" i="2"/>
  <c r="I1647" i="2"/>
  <c r="H1647" i="2"/>
  <c r="G1647" i="2"/>
  <c r="I1646" i="2"/>
  <c r="H1646" i="2"/>
  <c r="G1646" i="2"/>
  <c r="I1645" i="2"/>
  <c r="H1645" i="2"/>
  <c r="G1645" i="2"/>
  <c r="I1644" i="2"/>
  <c r="H1644" i="2"/>
  <c r="G1644" i="2"/>
  <c r="I1643" i="2"/>
  <c r="H1643" i="2"/>
  <c r="G1643" i="2"/>
  <c r="I1642" i="2"/>
  <c r="H1642" i="2"/>
  <c r="G1642" i="2"/>
  <c r="I1641" i="2"/>
  <c r="H1641" i="2"/>
  <c r="G1641" i="2"/>
  <c r="I1640" i="2"/>
  <c r="H1640" i="2"/>
  <c r="G1640" i="2"/>
  <c r="I1639" i="2"/>
  <c r="H1639" i="2"/>
  <c r="G1639" i="2"/>
  <c r="I1638" i="2"/>
  <c r="H1638" i="2"/>
  <c r="G1638" i="2"/>
  <c r="I1637" i="2"/>
  <c r="H1637" i="2"/>
  <c r="G1637" i="2"/>
  <c r="I1636" i="2"/>
  <c r="H1636" i="2"/>
  <c r="G1636" i="2"/>
  <c r="I1635" i="2"/>
  <c r="H1635" i="2"/>
  <c r="G1635" i="2"/>
  <c r="I1634" i="2"/>
  <c r="H1634" i="2"/>
  <c r="G1634" i="2"/>
  <c r="I1633" i="2"/>
  <c r="H1633" i="2"/>
  <c r="G1633" i="2"/>
  <c r="I1632" i="2"/>
  <c r="H1632" i="2"/>
  <c r="G1632" i="2"/>
  <c r="I1631" i="2"/>
  <c r="H1631" i="2"/>
  <c r="G1631" i="2"/>
  <c r="I1630" i="2"/>
  <c r="H1630" i="2"/>
  <c r="G1630" i="2"/>
  <c r="I1629" i="2"/>
  <c r="H1629" i="2"/>
  <c r="G1629" i="2"/>
  <c r="I1628" i="2"/>
  <c r="H1628" i="2"/>
  <c r="G1628" i="2"/>
  <c r="I1627" i="2"/>
  <c r="H1627" i="2"/>
  <c r="G1627" i="2"/>
  <c r="I1626" i="2"/>
  <c r="H1626" i="2"/>
  <c r="G1626" i="2"/>
  <c r="I1625" i="2"/>
  <c r="H1625" i="2"/>
  <c r="G1625" i="2"/>
  <c r="I1624" i="2"/>
  <c r="H1624" i="2"/>
  <c r="G1624" i="2"/>
  <c r="I1623" i="2"/>
  <c r="H1623" i="2"/>
  <c r="G1623" i="2"/>
  <c r="I1622" i="2"/>
  <c r="H1622" i="2"/>
  <c r="G1622" i="2"/>
  <c r="I1621" i="2"/>
  <c r="H1621" i="2"/>
  <c r="G1621" i="2"/>
  <c r="I1620" i="2"/>
  <c r="H1620" i="2"/>
  <c r="G1620" i="2"/>
  <c r="I1619" i="2"/>
  <c r="H1619" i="2"/>
  <c r="G1619" i="2"/>
  <c r="I1618" i="2"/>
  <c r="H1618" i="2"/>
  <c r="G1618" i="2"/>
  <c r="I1617" i="2"/>
  <c r="H1617" i="2"/>
  <c r="G1617" i="2"/>
  <c r="I1616" i="2"/>
  <c r="H1616" i="2"/>
  <c r="G1616" i="2"/>
  <c r="I1615" i="2"/>
  <c r="H1615" i="2"/>
  <c r="G1615" i="2"/>
  <c r="I1614" i="2"/>
  <c r="H1614" i="2"/>
  <c r="G1614" i="2"/>
  <c r="I1613" i="2"/>
  <c r="H1613" i="2"/>
  <c r="G1613" i="2"/>
  <c r="I1612" i="2"/>
  <c r="H1612" i="2"/>
  <c r="G1612" i="2"/>
  <c r="I1611" i="2"/>
  <c r="H1611" i="2"/>
  <c r="G1611" i="2"/>
  <c r="I1610" i="2"/>
  <c r="H1610" i="2"/>
  <c r="G1610" i="2"/>
  <c r="I1609" i="2"/>
  <c r="H1609" i="2"/>
  <c r="G1609" i="2"/>
  <c r="I1608" i="2"/>
  <c r="H1608" i="2"/>
  <c r="G1608" i="2"/>
  <c r="I1607" i="2"/>
  <c r="H1607" i="2"/>
  <c r="G1607" i="2"/>
  <c r="I1606" i="2"/>
  <c r="H1606" i="2"/>
  <c r="G1606" i="2"/>
  <c r="I1605" i="2"/>
  <c r="H1605" i="2"/>
  <c r="G1605" i="2"/>
  <c r="I1604" i="2"/>
  <c r="H1604" i="2"/>
  <c r="G1604" i="2"/>
  <c r="I1603" i="2"/>
  <c r="H1603" i="2"/>
  <c r="G1603" i="2"/>
  <c r="I1602" i="2"/>
  <c r="H1602" i="2"/>
  <c r="G1602" i="2"/>
  <c r="I1601" i="2"/>
  <c r="H1601" i="2"/>
  <c r="G1601" i="2"/>
  <c r="I1600" i="2"/>
  <c r="H1600" i="2"/>
  <c r="G1600" i="2"/>
  <c r="I1599" i="2"/>
  <c r="H1599" i="2"/>
  <c r="G1599" i="2"/>
  <c r="I1598" i="2"/>
  <c r="H1598" i="2"/>
  <c r="G1598" i="2"/>
  <c r="I1597" i="2"/>
  <c r="H1597" i="2"/>
  <c r="G1597" i="2"/>
  <c r="I1596" i="2"/>
  <c r="H1596" i="2"/>
  <c r="G1596" i="2"/>
  <c r="I1595" i="2"/>
  <c r="H1595" i="2"/>
  <c r="G1595" i="2"/>
  <c r="I1594" i="2"/>
  <c r="H1594" i="2"/>
  <c r="G1594" i="2"/>
  <c r="I1593" i="2"/>
  <c r="H1593" i="2"/>
  <c r="G1593" i="2"/>
  <c r="I1592" i="2"/>
  <c r="H1592" i="2"/>
  <c r="G1592" i="2"/>
  <c r="I1591" i="2"/>
  <c r="H1591" i="2"/>
  <c r="G1591" i="2"/>
  <c r="I1590" i="2"/>
  <c r="H1590" i="2"/>
  <c r="G1590" i="2"/>
  <c r="I1589" i="2"/>
  <c r="H1589" i="2"/>
  <c r="G1589" i="2"/>
  <c r="I1588" i="2"/>
  <c r="H1588" i="2"/>
  <c r="G1588" i="2"/>
  <c r="I1587" i="2"/>
  <c r="H1587" i="2"/>
  <c r="G1587" i="2"/>
  <c r="I1586" i="2"/>
  <c r="H1586" i="2"/>
  <c r="G1586" i="2"/>
  <c r="I1585" i="2"/>
  <c r="H1585" i="2"/>
  <c r="G1585" i="2"/>
  <c r="I1584" i="2"/>
  <c r="H1584" i="2"/>
  <c r="G1584" i="2"/>
  <c r="I1583" i="2"/>
  <c r="H1583" i="2"/>
  <c r="G1583" i="2"/>
  <c r="I1582" i="2"/>
  <c r="H1582" i="2"/>
  <c r="G1582" i="2"/>
  <c r="I1581" i="2"/>
  <c r="H1581" i="2"/>
  <c r="G1581" i="2"/>
  <c r="I1580" i="2"/>
  <c r="H1580" i="2"/>
  <c r="G1580" i="2"/>
  <c r="I1579" i="2"/>
  <c r="H1579" i="2"/>
  <c r="G1579" i="2"/>
  <c r="I1578" i="2"/>
  <c r="H1578" i="2"/>
  <c r="G1578" i="2"/>
  <c r="I1577" i="2"/>
  <c r="H1577" i="2"/>
  <c r="G1577" i="2"/>
  <c r="I1576" i="2"/>
  <c r="H1576" i="2"/>
  <c r="G1576" i="2"/>
  <c r="I1575" i="2"/>
  <c r="H1575" i="2"/>
  <c r="G1575" i="2"/>
  <c r="I1574" i="2"/>
  <c r="H1574" i="2"/>
  <c r="G1574" i="2"/>
  <c r="I1573" i="2"/>
  <c r="H1573" i="2"/>
  <c r="G1573" i="2"/>
  <c r="I1572" i="2"/>
  <c r="H1572" i="2"/>
  <c r="G1572" i="2"/>
  <c r="I1571" i="2"/>
  <c r="H1571" i="2"/>
  <c r="G1571" i="2"/>
  <c r="I1570" i="2"/>
  <c r="H1570" i="2"/>
  <c r="G1570" i="2"/>
  <c r="I1569" i="2"/>
  <c r="H1569" i="2"/>
  <c r="G1569" i="2"/>
  <c r="I1568" i="2"/>
  <c r="H1568" i="2"/>
  <c r="G1568" i="2"/>
  <c r="I1567" i="2"/>
  <c r="H1567" i="2"/>
  <c r="G1567" i="2"/>
  <c r="I1566" i="2"/>
  <c r="H1566" i="2"/>
  <c r="G1566" i="2"/>
  <c r="I1565" i="2"/>
  <c r="H1565" i="2"/>
  <c r="G1565" i="2"/>
  <c r="I1564" i="2"/>
  <c r="H1564" i="2"/>
  <c r="G1564" i="2"/>
  <c r="I1563" i="2"/>
  <c r="H1563" i="2"/>
  <c r="G1563" i="2"/>
  <c r="I1562" i="2"/>
  <c r="H1562" i="2"/>
  <c r="G1562" i="2"/>
  <c r="I1561" i="2"/>
  <c r="H1561" i="2"/>
  <c r="G1561" i="2"/>
  <c r="I1560" i="2"/>
  <c r="H1560" i="2"/>
  <c r="G1560" i="2"/>
  <c r="I1559" i="2"/>
  <c r="H1559" i="2"/>
  <c r="G1559" i="2"/>
  <c r="I1558" i="2"/>
  <c r="H1558" i="2"/>
  <c r="G1558" i="2"/>
  <c r="I1557" i="2"/>
  <c r="H1557" i="2"/>
  <c r="G1557" i="2"/>
  <c r="I1556" i="2"/>
  <c r="H1556" i="2"/>
  <c r="G1556" i="2"/>
  <c r="I1555" i="2"/>
  <c r="H1555" i="2"/>
  <c r="G1555" i="2"/>
  <c r="I1554" i="2"/>
  <c r="H1554" i="2"/>
  <c r="G1554" i="2"/>
  <c r="I1553" i="2"/>
  <c r="H1553" i="2"/>
  <c r="G1553" i="2"/>
  <c r="I1552" i="2"/>
  <c r="H1552" i="2"/>
  <c r="G1552" i="2"/>
  <c r="I1551" i="2"/>
  <c r="H1551" i="2"/>
  <c r="G1551" i="2"/>
  <c r="I1550" i="2"/>
  <c r="H1550" i="2"/>
  <c r="G1550" i="2"/>
  <c r="I1549" i="2"/>
  <c r="H1549" i="2"/>
  <c r="G1549" i="2"/>
  <c r="I1548" i="2"/>
  <c r="H1548" i="2"/>
  <c r="G1548" i="2"/>
  <c r="I1547" i="2"/>
  <c r="H1547" i="2"/>
  <c r="G1547" i="2"/>
  <c r="I1546" i="2"/>
  <c r="H1546" i="2"/>
  <c r="G1546" i="2"/>
  <c r="I1545" i="2"/>
  <c r="H1545" i="2"/>
  <c r="G1545" i="2"/>
  <c r="I1544" i="2"/>
  <c r="H1544" i="2"/>
  <c r="G1544" i="2"/>
  <c r="I1543" i="2"/>
  <c r="H1543" i="2"/>
  <c r="G1543" i="2"/>
  <c r="I1542" i="2"/>
  <c r="H1542" i="2"/>
  <c r="G1542" i="2"/>
  <c r="I1541" i="2"/>
  <c r="H1541" i="2"/>
  <c r="G1541" i="2"/>
  <c r="I1540" i="2"/>
  <c r="H1540" i="2"/>
  <c r="G1540" i="2"/>
  <c r="I1539" i="2"/>
  <c r="H1539" i="2"/>
  <c r="G1539" i="2"/>
  <c r="I1538" i="2"/>
  <c r="H1538" i="2"/>
  <c r="G1538" i="2"/>
  <c r="I1537" i="2"/>
  <c r="H1537" i="2"/>
  <c r="G1537" i="2"/>
  <c r="I1536" i="2"/>
  <c r="H1536" i="2"/>
  <c r="G1536" i="2"/>
  <c r="I1535" i="2"/>
  <c r="H1535" i="2"/>
  <c r="G1535" i="2"/>
  <c r="I1534" i="2"/>
  <c r="H1534" i="2"/>
  <c r="G1534" i="2"/>
  <c r="I1533" i="2"/>
  <c r="H1533" i="2"/>
  <c r="G1533" i="2"/>
  <c r="I1532" i="2"/>
  <c r="H1532" i="2"/>
  <c r="G1532" i="2"/>
  <c r="I1531" i="2"/>
  <c r="H1531" i="2"/>
  <c r="G1531" i="2"/>
  <c r="I1530" i="2"/>
  <c r="H1530" i="2"/>
  <c r="G1530" i="2"/>
  <c r="I1529" i="2"/>
  <c r="H1529" i="2"/>
  <c r="G1529" i="2"/>
  <c r="I1528" i="2"/>
  <c r="H1528" i="2"/>
  <c r="G1528" i="2"/>
  <c r="I1527" i="2"/>
  <c r="H1527" i="2"/>
  <c r="G1527" i="2"/>
  <c r="I1526" i="2"/>
  <c r="H1526" i="2"/>
  <c r="G1526" i="2"/>
  <c r="I1525" i="2"/>
  <c r="H1525" i="2"/>
  <c r="G1525" i="2"/>
  <c r="I1524" i="2"/>
  <c r="H1524" i="2"/>
  <c r="G1524" i="2"/>
  <c r="I1523" i="2"/>
  <c r="H1523" i="2"/>
  <c r="G1523" i="2"/>
  <c r="I1522" i="2"/>
  <c r="H1522" i="2"/>
  <c r="G1522" i="2"/>
  <c r="I1521" i="2"/>
  <c r="H1521" i="2"/>
  <c r="G1521" i="2"/>
  <c r="I1520" i="2"/>
  <c r="H1520" i="2"/>
  <c r="G1520" i="2"/>
  <c r="I1519" i="2"/>
  <c r="H1519" i="2"/>
  <c r="G1519" i="2"/>
  <c r="I1518" i="2"/>
  <c r="H1518" i="2"/>
  <c r="G1518" i="2"/>
  <c r="I1517" i="2"/>
  <c r="H1517" i="2"/>
  <c r="G1517" i="2"/>
  <c r="I1516" i="2"/>
  <c r="H1516" i="2"/>
  <c r="G1516" i="2"/>
  <c r="I1515" i="2"/>
  <c r="H1515" i="2"/>
  <c r="G1515" i="2"/>
  <c r="I1514" i="2"/>
  <c r="H1514" i="2"/>
  <c r="G1514" i="2"/>
  <c r="I1513" i="2"/>
  <c r="H1513" i="2"/>
  <c r="G1513" i="2"/>
  <c r="I1512" i="2"/>
  <c r="H1512" i="2"/>
  <c r="G1512" i="2"/>
  <c r="I1511" i="2"/>
  <c r="H1511" i="2"/>
  <c r="G1511" i="2"/>
  <c r="I1510" i="2"/>
  <c r="H1510" i="2"/>
  <c r="G1510" i="2"/>
  <c r="I1509" i="2"/>
  <c r="H1509" i="2"/>
  <c r="G1509" i="2"/>
  <c r="I1508" i="2"/>
  <c r="H1508" i="2"/>
  <c r="G1508" i="2"/>
  <c r="I1507" i="2"/>
  <c r="H1507" i="2"/>
  <c r="G1507" i="2"/>
  <c r="I1506" i="2"/>
  <c r="H1506" i="2"/>
  <c r="G1506" i="2"/>
  <c r="I1505" i="2"/>
  <c r="H1505" i="2"/>
  <c r="G1505" i="2"/>
  <c r="I1504" i="2"/>
  <c r="H1504" i="2"/>
  <c r="G1504" i="2"/>
  <c r="I1503" i="2"/>
  <c r="H1503" i="2"/>
  <c r="G1503" i="2"/>
  <c r="I1502" i="2"/>
  <c r="H1502" i="2"/>
  <c r="G1502" i="2"/>
  <c r="I1501" i="2"/>
  <c r="H1501" i="2"/>
  <c r="G1501" i="2"/>
  <c r="I1500" i="2"/>
  <c r="H1500" i="2"/>
  <c r="G1500" i="2"/>
  <c r="I1499" i="2"/>
  <c r="H1499" i="2"/>
  <c r="G1499" i="2"/>
  <c r="I1498" i="2"/>
  <c r="H1498" i="2"/>
  <c r="G1498" i="2"/>
  <c r="I1497" i="2"/>
  <c r="H1497" i="2"/>
  <c r="G1497" i="2"/>
  <c r="I1496" i="2"/>
  <c r="H1496" i="2"/>
  <c r="G1496" i="2"/>
  <c r="I1495" i="2"/>
  <c r="H1495" i="2"/>
  <c r="G1495" i="2"/>
  <c r="I1494" i="2"/>
  <c r="H1494" i="2"/>
  <c r="G1494" i="2"/>
  <c r="I1493" i="2"/>
  <c r="H1493" i="2"/>
  <c r="G1493" i="2"/>
  <c r="I1492" i="2"/>
  <c r="H1492" i="2"/>
  <c r="G1492" i="2"/>
  <c r="I1491" i="2"/>
  <c r="H1491" i="2"/>
  <c r="G1491" i="2"/>
  <c r="I1490" i="2"/>
  <c r="H1490" i="2"/>
  <c r="G1490" i="2"/>
  <c r="I1489" i="2"/>
  <c r="H1489" i="2"/>
  <c r="G1489" i="2"/>
  <c r="I1488" i="2"/>
  <c r="H1488" i="2"/>
  <c r="G1488" i="2"/>
  <c r="I1487" i="2"/>
  <c r="H1487" i="2"/>
  <c r="G1487" i="2"/>
  <c r="I1486" i="2"/>
  <c r="H1486" i="2"/>
  <c r="G1486" i="2"/>
  <c r="I1485" i="2"/>
  <c r="H1485" i="2"/>
  <c r="G1485" i="2"/>
  <c r="I1484" i="2"/>
  <c r="H1484" i="2"/>
  <c r="G1484" i="2"/>
  <c r="I1483" i="2"/>
  <c r="H1483" i="2"/>
  <c r="G1483" i="2"/>
  <c r="I1482" i="2"/>
  <c r="H1482" i="2"/>
  <c r="G1482" i="2"/>
  <c r="I1481" i="2"/>
  <c r="H1481" i="2"/>
  <c r="G1481" i="2"/>
  <c r="I1480" i="2"/>
  <c r="H1480" i="2"/>
  <c r="G1480" i="2"/>
  <c r="I1479" i="2"/>
  <c r="H1479" i="2"/>
  <c r="G1479" i="2"/>
  <c r="I1478" i="2"/>
  <c r="H1478" i="2"/>
  <c r="G1478" i="2"/>
  <c r="I1477" i="2"/>
  <c r="H1477" i="2"/>
  <c r="G1477" i="2"/>
  <c r="I1476" i="2"/>
  <c r="H1476" i="2"/>
  <c r="G1476" i="2"/>
  <c r="I1475" i="2"/>
  <c r="H1475" i="2"/>
  <c r="G1475" i="2"/>
  <c r="I1474" i="2"/>
  <c r="H1474" i="2"/>
  <c r="G1474" i="2"/>
  <c r="I1473" i="2"/>
  <c r="H1473" i="2"/>
  <c r="G1473" i="2"/>
  <c r="I1472" i="2"/>
  <c r="H1472" i="2"/>
  <c r="G1472" i="2"/>
  <c r="I1471" i="2"/>
  <c r="H1471" i="2"/>
  <c r="G1471" i="2"/>
  <c r="I1470" i="2"/>
  <c r="H1470" i="2"/>
  <c r="G1470" i="2"/>
  <c r="I1469" i="2"/>
  <c r="H1469" i="2"/>
  <c r="G1469" i="2"/>
  <c r="I1468" i="2"/>
  <c r="H1468" i="2"/>
  <c r="G1468" i="2"/>
  <c r="I1467" i="2"/>
  <c r="H1467" i="2"/>
  <c r="G1467" i="2"/>
  <c r="I1466" i="2"/>
  <c r="H1466" i="2"/>
  <c r="G1466" i="2"/>
  <c r="I1465" i="2"/>
  <c r="H1465" i="2"/>
  <c r="G1465" i="2"/>
  <c r="I1464" i="2"/>
  <c r="H1464" i="2"/>
  <c r="G1464" i="2"/>
  <c r="I1463" i="2"/>
  <c r="H1463" i="2"/>
  <c r="G1463" i="2"/>
  <c r="I1462" i="2"/>
  <c r="H1462" i="2"/>
  <c r="G1462" i="2"/>
  <c r="I1461" i="2"/>
  <c r="H1461" i="2"/>
  <c r="G1461" i="2"/>
  <c r="I1460" i="2"/>
  <c r="H1460" i="2"/>
  <c r="G1460" i="2"/>
  <c r="I1459" i="2"/>
  <c r="H1459" i="2"/>
  <c r="G1459" i="2"/>
  <c r="I1458" i="2"/>
  <c r="H1458" i="2"/>
  <c r="G1458" i="2"/>
  <c r="I1457" i="2"/>
  <c r="H1457" i="2"/>
  <c r="G1457" i="2"/>
  <c r="I1456" i="2"/>
  <c r="H1456" i="2"/>
  <c r="G1456" i="2"/>
  <c r="I1455" i="2"/>
  <c r="H1455" i="2"/>
  <c r="G1455" i="2"/>
  <c r="I1454" i="2"/>
  <c r="H1454" i="2"/>
  <c r="G1454" i="2"/>
  <c r="I1453" i="2"/>
  <c r="H1453" i="2"/>
  <c r="G1453" i="2"/>
  <c r="I1452" i="2"/>
  <c r="H1452" i="2"/>
  <c r="G1452" i="2"/>
  <c r="I1451" i="2"/>
  <c r="H1451" i="2"/>
  <c r="G1451" i="2"/>
  <c r="I1450" i="2"/>
  <c r="H1450" i="2"/>
  <c r="G1450" i="2"/>
  <c r="I1449" i="2"/>
  <c r="H1449" i="2"/>
  <c r="G1449" i="2"/>
  <c r="I1448" i="2"/>
  <c r="H1448" i="2"/>
  <c r="G1448" i="2"/>
  <c r="I1447" i="2"/>
  <c r="H1447" i="2"/>
  <c r="G1447" i="2"/>
  <c r="I1446" i="2"/>
  <c r="H1446" i="2"/>
  <c r="G1446" i="2"/>
  <c r="I1445" i="2"/>
  <c r="H1445" i="2"/>
  <c r="G1445" i="2"/>
  <c r="I1444" i="2"/>
  <c r="H1444" i="2"/>
  <c r="G1444" i="2"/>
  <c r="I1443" i="2"/>
  <c r="H1443" i="2"/>
  <c r="G1443" i="2"/>
  <c r="I1442" i="2"/>
  <c r="H1442" i="2"/>
  <c r="G1442" i="2"/>
  <c r="I1441" i="2"/>
  <c r="H1441" i="2"/>
  <c r="G1441" i="2"/>
  <c r="I1440" i="2"/>
  <c r="H1440" i="2"/>
  <c r="G1440" i="2"/>
  <c r="I1439" i="2"/>
  <c r="H1439" i="2"/>
  <c r="G1439" i="2"/>
  <c r="I1438" i="2"/>
  <c r="H1438" i="2"/>
  <c r="G1438" i="2"/>
  <c r="I1437" i="2"/>
  <c r="H1437" i="2"/>
  <c r="G1437" i="2"/>
  <c r="I1436" i="2"/>
  <c r="H1436" i="2"/>
  <c r="G1436" i="2"/>
  <c r="I1435" i="2"/>
  <c r="H1435" i="2"/>
  <c r="G1435" i="2"/>
  <c r="I1434" i="2"/>
  <c r="H1434" i="2"/>
  <c r="G1434" i="2"/>
  <c r="I1433" i="2"/>
  <c r="H1433" i="2"/>
  <c r="G1433" i="2"/>
  <c r="I1432" i="2"/>
  <c r="H1432" i="2"/>
  <c r="G1432" i="2"/>
  <c r="I1431" i="2"/>
  <c r="H1431" i="2"/>
  <c r="G1431" i="2"/>
  <c r="I1430" i="2"/>
  <c r="H1430" i="2"/>
  <c r="G1430" i="2"/>
  <c r="I1429" i="2"/>
  <c r="H1429" i="2"/>
  <c r="G1429" i="2"/>
  <c r="I1428" i="2"/>
  <c r="H1428" i="2"/>
  <c r="G1428" i="2"/>
  <c r="I1427" i="2"/>
  <c r="H1427" i="2"/>
  <c r="G1427" i="2"/>
  <c r="I1426" i="2"/>
  <c r="H1426" i="2"/>
  <c r="G1426" i="2"/>
  <c r="I1425" i="2"/>
  <c r="H1425" i="2"/>
  <c r="G1425" i="2"/>
  <c r="I1424" i="2"/>
  <c r="H1424" i="2"/>
  <c r="G1424" i="2"/>
  <c r="I1423" i="2"/>
  <c r="H1423" i="2"/>
  <c r="G1423" i="2"/>
  <c r="I1422" i="2"/>
  <c r="H1422" i="2"/>
  <c r="G1422" i="2"/>
  <c r="I1421" i="2"/>
  <c r="H1421" i="2"/>
  <c r="G1421" i="2"/>
  <c r="I1420" i="2"/>
  <c r="H1420" i="2"/>
  <c r="G1420" i="2"/>
  <c r="I1419" i="2"/>
  <c r="H1419" i="2"/>
  <c r="G1419" i="2"/>
  <c r="I1418" i="2"/>
  <c r="H1418" i="2"/>
  <c r="G1418" i="2"/>
  <c r="I1417" i="2"/>
  <c r="H1417" i="2"/>
  <c r="G1417" i="2"/>
  <c r="I1416" i="2"/>
  <c r="H1416" i="2"/>
  <c r="G1416" i="2"/>
  <c r="I1415" i="2"/>
  <c r="H1415" i="2"/>
  <c r="G1415" i="2"/>
  <c r="I1414" i="2"/>
  <c r="H1414" i="2"/>
  <c r="G1414" i="2"/>
  <c r="I1413" i="2"/>
  <c r="H1413" i="2"/>
  <c r="G1413" i="2"/>
  <c r="I1412" i="2"/>
  <c r="H1412" i="2"/>
  <c r="G1412" i="2"/>
  <c r="I1411" i="2"/>
  <c r="H1411" i="2"/>
  <c r="G1411" i="2"/>
  <c r="I1410" i="2"/>
  <c r="H1410" i="2"/>
  <c r="G1410" i="2"/>
  <c r="I1409" i="2"/>
  <c r="H1409" i="2"/>
  <c r="G1409" i="2"/>
  <c r="I1408" i="2"/>
  <c r="H1408" i="2"/>
  <c r="G1408" i="2"/>
  <c r="I1407" i="2"/>
  <c r="H1407" i="2"/>
  <c r="G1407" i="2"/>
  <c r="I1406" i="2"/>
  <c r="H1406" i="2"/>
  <c r="G1406" i="2"/>
  <c r="I1405" i="2"/>
  <c r="H1405" i="2"/>
  <c r="G1405" i="2"/>
  <c r="I1404" i="2"/>
  <c r="H1404" i="2"/>
  <c r="G1404" i="2"/>
  <c r="I1403" i="2"/>
  <c r="H1403" i="2"/>
  <c r="G1403" i="2"/>
  <c r="I1402" i="2"/>
  <c r="H1402" i="2"/>
  <c r="G1402" i="2"/>
  <c r="I1401" i="2"/>
  <c r="H1401" i="2"/>
  <c r="G1401" i="2"/>
  <c r="I1400" i="2"/>
  <c r="H1400" i="2"/>
  <c r="G1400" i="2"/>
  <c r="I1399" i="2"/>
  <c r="H1399" i="2"/>
  <c r="G1399" i="2"/>
  <c r="I1398" i="2"/>
  <c r="H1398" i="2"/>
  <c r="G1398" i="2"/>
  <c r="I1397" i="2"/>
  <c r="H1397" i="2"/>
  <c r="G1397" i="2"/>
  <c r="I1396" i="2"/>
  <c r="H1396" i="2"/>
  <c r="G1396" i="2"/>
  <c r="I1395" i="2"/>
  <c r="H1395" i="2"/>
  <c r="G1395" i="2"/>
  <c r="I1394" i="2"/>
  <c r="H1394" i="2"/>
  <c r="G1394" i="2"/>
  <c r="I1393" i="2"/>
  <c r="H1393" i="2"/>
  <c r="G1393" i="2"/>
  <c r="I1392" i="2"/>
  <c r="H1392" i="2"/>
  <c r="G1392" i="2"/>
  <c r="I1391" i="2"/>
  <c r="H1391" i="2"/>
  <c r="G1391" i="2"/>
  <c r="I1390" i="2"/>
  <c r="H1390" i="2"/>
  <c r="G1390" i="2"/>
  <c r="I1389" i="2"/>
  <c r="H1389" i="2"/>
  <c r="G1389" i="2"/>
  <c r="I1388" i="2"/>
  <c r="H1388" i="2"/>
  <c r="G1388" i="2"/>
  <c r="I1387" i="2"/>
  <c r="H1387" i="2"/>
  <c r="G1387" i="2"/>
  <c r="I1386" i="2"/>
  <c r="H1386" i="2"/>
  <c r="G1386" i="2"/>
  <c r="I1385" i="2"/>
  <c r="H1385" i="2"/>
  <c r="G1385" i="2"/>
  <c r="I1384" i="2"/>
  <c r="H1384" i="2"/>
  <c r="G1384" i="2"/>
  <c r="I1383" i="2"/>
  <c r="H1383" i="2"/>
  <c r="G1383" i="2"/>
  <c r="I1382" i="2"/>
  <c r="H1382" i="2"/>
  <c r="G1382" i="2"/>
  <c r="I1381" i="2"/>
  <c r="H1381" i="2"/>
  <c r="G1381" i="2"/>
  <c r="I1380" i="2"/>
  <c r="H1380" i="2"/>
  <c r="G1380" i="2"/>
  <c r="I1379" i="2"/>
  <c r="H1379" i="2"/>
  <c r="G1379" i="2"/>
  <c r="I1378" i="2"/>
  <c r="H1378" i="2"/>
  <c r="G1378" i="2"/>
  <c r="I1377" i="2"/>
  <c r="H1377" i="2"/>
  <c r="G1377" i="2"/>
  <c r="I1376" i="2"/>
  <c r="H1376" i="2"/>
  <c r="G1376" i="2"/>
  <c r="I1375" i="2"/>
  <c r="H1375" i="2"/>
  <c r="G1375" i="2"/>
  <c r="I1374" i="2"/>
  <c r="H1374" i="2"/>
  <c r="G1374" i="2"/>
  <c r="I1373" i="2"/>
  <c r="H1373" i="2"/>
  <c r="G1373" i="2"/>
  <c r="I1372" i="2"/>
  <c r="H1372" i="2"/>
  <c r="G1372" i="2"/>
  <c r="I1371" i="2"/>
  <c r="H1371" i="2"/>
  <c r="G1371" i="2"/>
  <c r="I1370" i="2"/>
  <c r="H1370" i="2"/>
  <c r="G1370" i="2"/>
  <c r="I1369" i="2"/>
  <c r="H1369" i="2"/>
  <c r="G1369" i="2"/>
  <c r="I1368" i="2"/>
  <c r="H1368" i="2"/>
  <c r="G1368" i="2"/>
  <c r="I1367" i="2"/>
  <c r="H1367" i="2"/>
  <c r="G1367" i="2"/>
  <c r="I1366" i="2"/>
  <c r="H1366" i="2"/>
  <c r="G1366" i="2"/>
  <c r="I1365" i="2"/>
  <c r="H1365" i="2"/>
  <c r="G1365" i="2"/>
  <c r="I1364" i="2"/>
  <c r="H1364" i="2"/>
  <c r="G1364" i="2"/>
  <c r="I1363" i="2"/>
  <c r="H1363" i="2"/>
  <c r="G1363" i="2"/>
  <c r="I1362" i="2"/>
  <c r="H1362" i="2"/>
  <c r="G1362" i="2"/>
  <c r="I1361" i="2"/>
  <c r="H1361" i="2"/>
  <c r="G1361" i="2"/>
  <c r="I1360" i="2"/>
  <c r="H1360" i="2"/>
  <c r="G1360" i="2"/>
  <c r="I1359" i="2"/>
  <c r="H1359" i="2"/>
  <c r="G1359" i="2"/>
  <c r="I1358" i="2"/>
  <c r="H1358" i="2"/>
  <c r="G1358" i="2"/>
  <c r="I1357" i="2"/>
  <c r="H1357" i="2"/>
  <c r="G1357" i="2"/>
  <c r="I1356" i="2"/>
  <c r="H1356" i="2"/>
  <c r="G1356" i="2"/>
  <c r="I1355" i="2"/>
  <c r="H1355" i="2"/>
  <c r="G1355" i="2"/>
  <c r="I1354" i="2"/>
  <c r="H1354" i="2"/>
  <c r="G1354" i="2"/>
  <c r="I1353" i="2"/>
  <c r="H1353" i="2"/>
  <c r="G1353" i="2"/>
  <c r="I1352" i="2"/>
  <c r="H1352" i="2"/>
  <c r="G1352" i="2"/>
  <c r="I1351" i="2"/>
  <c r="H1351" i="2"/>
  <c r="G1351" i="2"/>
  <c r="I1350" i="2"/>
  <c r="H1350" i="2"/>
  <c r="G1350" i="2"/>
  <c r="I1349" i="2"/>
  <c r="H1349" i="2"/>
  <c r="G1349" i="2"/>
  <c r="I1348" i="2"/>
  <c r="H1348" i="2"/>
  <c r="G1348" i="2"/>
  <c r="I1347" i="2"/>
  <c r="H1347" i="2"/>
  <c r="G1347" i="2"/>
  <c r="I1346" i="2"/>
  <c r="H1346" i="2"/>
  <c r="G1346" i="2"/>
  <c r="I1345" i="2"/>
  <c r="H1345" i="2"/>
  <c r="G1345" i="2"/>
  <c r="I1344" i="2"/>
  <c r="H1344" i="2"/>
  <c r="G1344" i="2"/>
  <c r="I1343" i="2"/>
  <c r="H1343" i="2"/>
  <c r="G1343" i="2"/>
  <c r="I1342" i="2"/>
  <c r="H1342" i="2"/>
  <c r="G1342" i="2"/>
  <c r="I1341" i="2"/>
  <c r="H1341" i="2"/>
  <c r="G1341" i="2"/>
  <c r="I1340" i="2"/>
  <c r="H1340" i="2"/>
  <c r="G1340" i="2"/>
  <c r="I1339" i="2"/>
  <c r="H1339" i="2"/>
  <c r="G1339" i="2"/>
  <c r="I1338" i="2"/>
  <c r="H1338" i="2"/>
  <c r="G1338" i="2"/>
  <c r="I1337" i="2"/>
  <c r="H1337" i="2"/>
  <c r="G1337" i="2"/>
  <c r="I1336" i="2"/>
  <c r="H1336" i="2"/>
  <c r="G1336" i="2"/>
  <c r="I1335" i="2"/>
  <c r="H1335" i="2"/>
  <c r="G1335" i="2"/>
  <c r="I1334" i="2"/>
  <c r="H1334" i="2"/>
  <c r="G1334" i="2"/>
  <c r="I1333" i="2"/>
  <c r="H1333" i="2"/>
  <c r="G1333" i="2"/>
  <c r="I1332" i="2"/>
  <c r="H1332" i="2"/>
  <c r="G1332" i="2"/>
  <c r="I1331" i="2"/>
  <c r="H1331" i="2"/>
  <c r="G1331" i="2"/>
  <c r="I1330" i="2"/>
  <c r="H1330" i="2"/>
  <c r="G1330" i="2"/>
  <c r="I1329" i="2"/>
  <c r="H1329" i="2"/>
  <c r="G1329" i="2"/>
  <c r="I1328" i="2"/>
  <c r="H1328" i="2"/>
  <c r="G1328" i="2"/>
  <c r="I1327" i="2"/>
  <c r="H1327" i="2"/>
  <c r="G1327" i="2"/>
  <c r="I1326" i="2"/>
  <c r="H1326" i="2"/>
  <c r="G1326" i="2"/>
  <c r="I1325" i="2"/>
  <c r="H1325" i="2"/>
  <c r="G1325" i="2"/>
  <c r="I1324" i="2"/>
  <c r="H1324" i="2"/>
  <c r="G1324" i="2"/>
  <c r="I1323" i="2"/>
  <c r="H1323" i="2"/>
  <c r="G1323" i="2"/>
  <c r="I1322" i="2"/>
  <c r="H1322" i="2"/>
  <c r="G1322" i="2"/>
  <c r="I1321" i="2"/>
  <c r="H1321" i="2"/>
  <c r="G1321" i="2"/>
  <c r="I1320" i="2"/>
  <c r="H1320" i="2"/>
  <c r="G1320" i="2"/>
  <c r="I1319" i="2"/>
  <c r="H1319" i="2"/>
  <c r="G1319" i="2"/>
  <c r="I1318" i="2"/>
  <c r="H1318" i="2"/>
  <c r="G1318" i="2"/>
  <c r="I1317" i="2"/>
  <c r="H1317" i="2"/>
  <c r="G1317" i="2"/>
  <c r="I1316" i="2"/>
  <c r="H1316" i="2"/>
  <c r="G1316" i="2"/>
  <c r="I1315" i="2"/>
  <c r="H1315" i="2"/>
  <c r="G1315" i="2"/>
  <c r="I1314" i="2"/>
  <c r="H1314" i="2"/>
  <c r="G1314" i="2"/>
  <c r="I1313" i="2"/>
  <c r="H1313" i="2"/>
  <c r="G1313" i="2"/>
  <c r="I1312" i="2"/>
  <c r="H1312" i="2"/>
  <c r="G1312" i="2"/>
  <c r="I1311" i="2"/>
  <c r="H1311" i="2"/>
  <c r="G1311" i="2"/>
  <c r="I1310" i="2"/>
  <c r="H1310" i="2"/>
  <c r="G1310" i="2"/>
  <c r="I1309" i="2"/>
  <c r="H1309" i="2"/>
  <c r="G1309" i="2"/>
  <c r="I1308" i="2"/>
  <c r="H1308" i="2"/>
  <c r="G1308" i="2"/>
  <c r="I1307" i="2"/>
  <c r="H1307" i="2"/>
  <c r="G1307" i="2"/>
  <c r="I1306" i="2"/>
  <c r="H1306" i="2"/>
  <c r="G1306" i="2"/>
  <c r="I1305" i="2"/>
  <c r="H1305" i="2"/>
  <c r="G1305" i="2"/>
  <c r="I1304" i="2"/>
  <c r="H1304" i="2"/>
  <c r="G1304" i="2"/>
  <c r="I1303" i="2"/>
  <c r="H1303" i="2"/>
  <c r="G1303" i="2"/>
  <c r="I1302" i="2"/>
  <c r="H1302" i="2"/>
  <c r="G1302" i="2"/>
  <c r="I1301" i="2"/>
  <c r="H1301" i="2"/>
  <c r="G1301" i="2"/>
  <c r="I1300" i="2"/>
  <c r="H1300" i="2"/>
  <c r="G1300" i="2"/>
  <c r="I1299" i="2"/>
  <c r="H1299" i="2"/>
  <c r="G1299" i="2"/>
  <c r="I1298" i="2"/>
  <c r="H1298" i="2"/>
  <c r="G1298" i="2"/>
  <c r="I1297" i="2"/>
  <c r="H1297" i="2"/>
  <c r="G1297" i="2"/>
  <c r="I1296" i="2"/>
  <c r="H1296" i="2"/>
  <c r="G1296" i="2"/>
  <c r="I1295" i="2"/>
  <c r="H1295" i="2"/>
  <c r="G1295" i="2"/>
  <c r="I1294" i="2"/>
  <c r="H1294" i="2"/>
  <c r="G1294" i="2"/>
  <c r="I1293" i="2"/>
  <c r="H1293" i="2"/>
  <c r="G1293" i="2"/>
  <c r="I1292" i="2"/>
  <c r="H1292" i="2"/>
  <c r="G1292" i="2"/>
  <c r="I1291" i="2"/>
  <c r="H1291" i="2"/>
  <c r="G1291" i="2"/>
  <c r="I1290" i="2"/>
  <c r="H1290" i="2"/>
  <c r="G1290" i="2"/>
  <c r="I1289" i="2"/>
  <c r="H1289" i="2"/>
  <c r="G1289" i="2"/>
  <c r="I1288" i="2"/>
  <c r="H1288" i="2"/>
  <c r="G1288" i="2"/>
  <c r="I1287" i="2"/>
  <c r="H1287" i="2"/>
  <c r="G1287" i="2"/>
  <c r="I1286" i="2"/>
  <c r="H1286" i="2"/>
  <c r="G1286" i="2"/>
  <c r="I1285" i="2"/>
  <c r="H1285" i="2"/>
  <c r="G1285" i="2"/>
  <c r="I1284" i="2"/>
  <c r="H1284" i="2"/>
  <c r="G1284" i="2"/>
  <c r="I1283" i="2"/>
  <c r="H1283" i="2"/>
  <c r="G1283" i="2"/>
  <c r="I1282" i="2"/>
  <c r="H1282" i="2"/>
  <c r="G1282" i="2"/>
  <c r="I1281" i="2"/>
  <c r="H1281" i="2"/>
  <c r="G1281" i="2"/>
  <c r="I1280" i="2"/>
  <c r="H1280" i="2"/>
  <c r="G1280" i="2"/>
  <c r="I1279" i="2"/>
  <c r="H1279" i="2"/>
  <c r="G1279" i="2"/>
  <c r="I1278" i="2"/>
  <c r="H1278" i="2"/>
  <c r="G1278" i="2"/>
  <c r="I1277" i="2"/>
  <c r="H1277" i="2"/>
  <c r="G1277" i="2"/>
  <c r="I1276" i="2"/>
  <c r="H1276" i="2"/>
  <c r="G1276" i="2"/>
  <c r="I1275" i="2"/>
  <c r="H1275" i="2"/>
  <c r="G1275" i="2"/>
  <c r="I1274" i="2"/>
  <c r="H1274" i="2"/>
  <c r="G1274" i="2"/>
  <c r="I1273" i="2"/>
  <c r="H1273" i="2"/>
  <c r="G1273" i="2"/>
  <c r="I1272" i="2"/>
  <c r="H1272" i="2"/>
  <c r="G1272" i="2"/>
  <c r="I1271" i="2"/>
  <c r="H1271" i="2"/>
  <c r="G1271" i="2"/>
  <c r="I1270" i="2"/>
  <c r="H1270" i="2"/>
  <c r="G1270" i="2"/>
  <c r="I1269" i="2"/>
  <c r="H1269" i="2"/>
  <c r="G1269" i="2"/>
  <c r="I1268" i="2"/>
  <c r="H1268" i="2"/>
  <c r="G1268" i="2"/>
  <c r="I1267" i="2"/>
  <c r="H1267" i="2"/>
  <c r="G1267" i="2"/>
  <c r="I1266" i="2"/>
  <c r="H1266" i="2"/>
  <c r="G1266" i="2"/>
  <c r="I1265" i="2"/>
  <c r="H1265" i="2"/>
  <c r="G1265" i="2"/>
  <c r="I1264" i="2"/>
  <c r="H1264" i="2"/>
  <c r="G1264" i="2"/>
  <c r="I1263" i="2"/>
  <c r="H1263" i="2"/>
  <c r="G1263" i="2"/>
  <c r="I1262" i="2"/>
  <c r="H1262" i="2"/>
  <c r="G1262" i="2"/>
  <c r="I1261" i="2"/>
  <c r="H1261" i="2"/>
  <c r="G1261" i="2"/>
  <c r="I1260" i="2"/>
  <c r="H1260" i="2"/>
  <c r="G1260" i="2"/>
  <c r="I1259" i="2"/>
  <c r="H1259" i="2"/>
  <c r="G1259" i="2"/>
  <c r="I1258" i="2"/>
  <c r="H1258" i="2"/>
  <c r="G1258" i="2"/>
  <c r="I1257" i="2"/>
  <c r="H1257" i="2"/>
  <c r="G1257" i="2"/>
  <c r="I1256" i="2"/>
  <c r="H1256" i="2"/>
  <c r="G1256" i="2"/>
  <c r="I1255" i="2"/>
  <c r="H1255" i="2"/>
  <c r="G1255" i="2"/>
  <c r="I1254" i="2"/>
  <c r="H1254" i="2"/>
  <c r="G1254" i="2"/>
  <c r="I1253" i="2"/>
  <c r="H1253" i="2"/>
  <c r="G1253" i="2"/>
  <c r="I1252" i="2"/>
  <c r="H1252" i="2"/>
  <c r="G1252" i="2"/>
  <c r="I1251" i="2"/>
  <c r="H1251" i="2"/>
  <c r="G1251" i="2"/>
  <c r="I1250" i="2"/>
  <c r="H1250" i="2"/>
  <c r="G1250" i="2"/>
  <c r="I1249" i="2"/>
  <c r="H1249" i="2"/>
  <c r="G1249" i="2"/>
  <c r="I1248" i="2"/>
  <c r="H1248" i="2"/>
  <c r="G1248" i="2"/>
  <c r="I1247" i="2"/>
  <c r="H1247" i="2"/>
  <c r="G1247" i="2"/>
  <c r="I1246" i="2"/>
  <c r="H1246" i="2"/>
  <c r="G1246" i="2"/>
  <c r="I1245" i="2"/>
  <c r="H1245" i="2"/>
  <c r="G1245" i="2"/>
  <c r="I1244" i="2"/>
  <c r="H1244" i="2"/>
  <c r="G1244" i="2"/>
  <c r="I1243" i="2"/>
  <c r="H1243" i="2"/>
  <c r="G1243" i="2"/>
  <c r="I1242" i="2"/>
  <c r="H1242" i="2"/>
  <c r="G1242" i="2"/>
  <c r="I1241" i="2"/>
  <c r="H1241" i="2"/>
  <c r="G1241" i="2"/>
  <c r="I1240" i="2"/>
  <c r="H1240" i="2"/>
  <c r="G1240" i="2"/>
  <c r="I1239" i="2"/>
  <c r="H1239" i="2"/>
  <c r="G1239" i="2"/>
  <c r="I1238" i="2"/>
  <c r="H1238" i="2"/>
  <c r="G1238" i="2"/>
  <c r="I1237" i="2"/>
  <c r="H1237" i="2"/>
  <c r="G1237" i="2"/>
  <c r="I1236" i="2"/>
  <c r="H1236" i="2"/>
  <c r="G1236" i="2"/>
  <c r="I1235" i="2"/>
  <c r="H1235" i="2"/>
  <c r="G1235" i="2"/>
  <c r="I1234" i="2"/>
  <c r="H1234" i="2"/>
  <c r="G1234" i="2"/>
  <c r="I1233" i="2"/>
  <c r="H1233" i="2"/>
  <c r="G1233" i="2"/>
  <c r="I1232" i="2"/>
  <c r="H1232" i="2"/>
  <c r="G1232" i="2"/>
  <c r="I1231" i="2"/>
  <c r="H1231" i="2"/>
  <c r="G1231" i="2"/>
  <c r="I1230" i="2"/>
  <c r="H1230" i="2"/>
  <c r="G1230" i="2"/>
  <c r="I1229" i="2"/>
  <c r="H1229" i="2"/>
  <c r="G1229" i="2"/>
  <c r="I1228" i="2"/>
  <c r="H1228" i="2"/>
  <c r="G1228" i="2"/>
  <c r="I1227" i="2"/>
  <c r="H1227" i="2"/>
  <c r="G1227" i="2"/>
  <c r="I1226" i="2"/>
  <c r="H1226" i="2"/>
  <c r="G1226" i="2"/>
  <c r="I1225" i="2"/>
  <c r="H1225" i="2"/>
  <c r="G1225" i="2"/>
  <c r="I1224" i="2"/>
  <c r="H1224" i="2"/>
  <c r="G1224" i="2"/>
  <c r="I1223" i="2"/>
  <c r="H1223" i="2"/>
  <c r="G1223" i="2"/>
  <c r="I1222" i="2"/>
  <c r="H1222" i="2"/>
  <c r="G1222" i="2"/>
  <c r="I1221" i="2"/>
  <c r="H1221" i="2"/>
  <c r="G1221" i="2"/>
  <c r="I1220" i="2"/>
  <c r="H1220" i="2"/>
  <c r="G1220" i="2"/>
  <c r="I1219" i="2"/>
  <c r="H1219" i="2"/>
  <c r="G1219" i="2"/>
  <c r="I1218" i="2"/>
  <c r="H1218" i="2"/>
  <c r="G1218" i="2"/>
  <c r="I1217" i="2"/>
  <c r="H1217" i="2"/>
  <c r="G1217" i="2"/>
  <c r="I1216" i="2"/>
  <c r="H1216" i="2"/>
  <c r="G1216" i="2"/>
  <c r="I1215" i="2"/>
  <c r="H1215" i="2"/>
  <c r="G1215" i="2"/>
  <c r="I1214" i="2"/>
  <c r="H1214" i="2"/>
  <c r="G1214" i="2"/>
  <c r="I1213" i="2"/>
  <c r="H1213" i="2"/>
  <c r="G1213" i="2"/>
  <c r="I1212" i="2"/>
  <c r="H1212" i="2"/>
  <c r="G1212" i="2"/>
  <c r="I1211" i="2"/>
  <c r="H1211" i="2"/>
  <c r="G1211" i="2"/>
  <c r="I1210" i="2"/>
  <c r="H1210" i="2"/>
  <c r="G1210" i="2"/>
  <c r="I1209" i="2"/>
  <c r="H1209" i="2"/>
  <c r="G1209" i="2"/>
  <c r="I1208" i="2"/>
  <c r="H1208" i="2"/>
  <c r="G1208" i="2"/>
  <c r="I1207" i="2"/>
  <c r="H1207" i="2"/>
  <c r="G1207" i="2"/>
  <c r="I1206" i="2"/>
  <c r="H1206" i="2"/>
  <c r="G1206" i="2"/>
  <c r="I1205" i="2"/>
  <c r="H1205" i="2"/>
  <c r="G1205" i="2"/>
  <c r="I1204" i="2"/>
  <c r="H1204" i="2"/>
  <c r="G1204" i="2"/>
  <c r="I1203" i="2"/>
  <c r="H1203" i="2"/>
  <c r="G1203" i="2"/>
  <c r="I1202" i="2"/>
  <c r="H1202" i="2"/>
  <c r="G1202" i="2"/>
  <c r="I1201" i="2"/>
  <c r="H1201" i="2"/>
  <c r="G1201" i="2"/>
  <c r="I1200" i="2"/>
  <c r="H1200" i="2"/>
  <c r="G1200" i="2"/>
  <c r="I1199" i="2"/>
  <c r="H1199" i="2"/>
  <c r="G1199" i="2"/>
  <c r="I1198" i="2"/>
  <c r="H1198" i="2"/>
  <c r="G1198" i="2"/>
  <c r="I1197" i="2"/>
  <c r="H1197" i="2"/>
  <c r="G1197" i="2"/>
  <c r="I1196" i="2"/>
  <c r="H1196" i="2"/>
  <c r="G1196" i="2"/>
  <c r="I1195" i="2"/>
  <c r="H1195" i="2"/>
  <c r="G1195" i="2"/>
  <c r="I1194" i="2"/>
  <c r="H1194" i="2"/>
  <c r="G1194" i="2"/>
  <c r="I1193" i="2"/>
  <c r="H1193" i="2"/>
  <c r="G1193" i="2"/>
  <c r="I1192" i="2"/>
  <c r="H1192" i="2"/>
  <c r="G1192" i="2"/>
  <c r="I1191" i="2"/>
  <c r="H1191" i="2"/>
  <c r="G1191" i="2"/>
  <c r="I1190" i="2"/>
  <c r="H1190" i="2"/>
  <c r="G1190" i="2"/>
  <c r="I1189" i="2"/>
  <c r="H1189" i="2"/>
  <c r="G1189" i="2"/>
  <c r="I1188" i="2"/>
  <c r="H1188" i="2"/>
  <c r="G1188" i="2"/>
  <c r="I1187" i="2"/>
  <c r="H1187" i="2"/>
  <c r="G1187" i="2"/>
  <c r="I1186" i="2"/>
  <c r="H1186" i="2"/>
  <c r="G1186" i="2"/>
  <c r="I1185" i="2"/>
  <c r="H1185" i="2"/>
  <c r="G1185" i="2"/>
  <c r="I1184" i="2"/>
  <c r="H1184" i="2"/>
  <c r="G1184" i="2"/>
  <c r="I1183" i="2"/>
  <c r="H1183" i="2"/>
  <c r="G1183" i="2"/>
  <c r="I1182" i="2"/>
  <c r="H1182" i="2"/>
  <c r="G1182" i="2"/>
  <c r="I1181" i="2"/>
  <c r="H1181" i="2"/>
  <c r="G1181" i="2"/>
  <c r="I1180" i="2"/>
  <c r="H1180" i="2"/>
  <c r="G1180" i="2"/>
  <c r="I1179" i="2"/>
  <c r="H1179" i="2"/>
  <c r="G1179" i="2"/>
  <c r="I1178" i="2"/>
  <c r="H1178" i="2"/>
  <c r="G1178" i="2"/>
  <c r="I1177" i="2"/>
  <c r="H1177" i="2"/>
  <c r="G1177" i="2"/>
  <c r="I1176" i="2"/>
  <c r="H1176" i="2"/>
  <c r="G1176" i="2"/>
  <c r="I1175" i="2"/>
  <c r="H1175" i="2"/>
  <c r="G1175" i="2"/>
  <c r="I1174" i="2"/>
  <c r="H1174" i="2"/>
  <c r="G1174" i="2"/>
  <c r="I1173" i="2"/>
  <c r="H1173" i="2"/>
  <c r="G1173" i="2"/>
  <c r="I1172" i="2"/>
  <c r="H1172" i="2"/>
  <c r="G1172" i="2"/>
  <c r="I1171" i="2"/>
  <c r="H1171" i="2"/>
  <c r="G1171" i="2"/>
  <c r="I1170" i="2"/>
  <c r="H1170" i="2"/>
  <c r="G1170" i="2"/>
  <c r="I1169" i="2"/>
  <c r="H1169" i="2"/>
  <c r="G1169" i="2"/>
  <c r="I1168" i="2"/>
  <c r="H1168" i="2"/>
  <c r="G1168" i="2"/>
  <c r="I1167" i="2"/>
  <c r="H1167" i="2"/>
  <c r="G1167" i="2"/>
  <c r="I1166" i="2"/>
  <c r="H1166" i="2"/>
  <c r="G1166" i="2"/>
  <c r="I1165" i="2"/>
  <c r="H1165" i="2"/>
  <c r="G1165" i="2"/>
  <c r="I1164" i="2"/>
  <c r="H1164" i="2"/>
  <c r="G1164" i="2"/>
  <c r="I1163" i="2"/>
  <c r="H1163" i="2"/>
  <c r="G1163" i="2"/>
  <c r="I1162" i="2"/>
  <c r="H1162" i="2"/>
  <c r="G1162" i="2"/>
  <c r="I1161" i="2"/>
  <c r="H1161" i="2"/>
  <c r="G1161" i="2"/>
  <c r="I1160" i="2"/>
  <c r="H1160" i="2"/>
  <c r="G1160" i="2"/>
  <c r="I1159" i="2"/>
  <c r="H1159" i="2"/>
  <c r="G1159" i="2"/>
  <c r="I1158" i="2"/>
  <c r="H1158" i="2"/>
  <c r="G1158" i="2"/>
  <c r="I1157" i="2"/>
  <c r="H1157" i="2"/>
  <c r="G1157" i="2"/>
  <c r="I1156" i="2"/>
  <c r="H1156" i="2"/>
  <c r="G1156" i="2"/>
  <c r="I1155" i="2"/>
  <c r="H1155" i="2"/>
  <c r="G1155" i="2"/>
  <c r="I1154" i="2"/>
  <c r="H1154" i="2"/>
  <c r="G1154" i="2"/>
  <c r="I1153" i="2"/>
  <c r="H1153" i="2"/>
  <c r="G1153" i="2"/>
  <c r="I1152" i="2"/>
  <c r="H1152" i="2"/>
  <c r="G1152" i="2"/>
  <c r="I1151" i="2"/>
  <c r="H1151" i="2"/>
  <c r="G1151" i="2"/>
  <c r="I1150" i="2"/>
  <c r="H1150" i="2"/>
  <c r="G1150" i="2"/>
  <c r="I1149" i="2"/>
  <c r="H1149" i="2"/>
  <c r="G1149" i="2"/>
  <c r="I1148" i="2"/>
  <c r="H1148" i="2"/>
  <c r="G1148" i="2"/>
  <c r="I1147" i="2"/>
  <c r="H1147" i="2"/>
  <c r="G1147" i="2"/>
  <c r="I1146" i="2"/>
  <c r="H1146" i="2"/>
  <c r="G1146" i="2"/>
  <c r="I1145" i="2"/>
  <c r="H1145" i="2"/>
  <c r="G1145" i="2"/>
  <c r="I1144" i="2"/>
  <c r="H1144" i="2"/>
  <c r="G1144" i="2"/>
  <c r="I1143" i="2"/>
  <c r="H1143" i="2"/>
  <c r="G1143" i="2"/>
  <c r="I1142" i="2"/>
  <c r="H1142" i="2"/>
  <c r="G1142" i="2"/>
  <c r="I1141" i="2"/>
  <c r="H1141" i="2"/>
  <c r="G1141" i="2"/>
  <c r="I1140" i="2"/>
  <c r="H1140" i="2"/>
  <c r="G1140" i="2"/>
  <c r="I1139" i="2"/>
  <c r="H1139" i="2"/>
  <c r="G1139" i="2"/>
  <c r="I1138" i="2"/>
  <c r="H1138" i="2"/>
  <c r="G1138" i="2"/>
  <c r="I1137" i="2"/>
  <c r="H1137" i="2"/>
  <c r="G1137" i="2"/>
  <c r="I1136" i="2"/>
  <c r="H1136" i="2"/>
  <c r="G1136" i="2"/>
  <c r="I1135" i="2"/>
  <c r="H1135" i="2"/>
  <c r="G1135" i="2"/>
  <c r="I1134" i="2"/>
  <c r="H1134" i="2"/>
  <c r="G1134" i="2"/>
  <c r="I1133" i="2"/>
  <c r="H1133" i="2"/>
  <c r="G1133" i="2"/>
  <c r="I1132" i="2"/>
  <c r="H1132" i="2"/>
  <c r="G1132" i="2"/>
  <c r="I1131" i="2"/>
  <c r="H1131" i="2"/>
  <c r="G1131" i="2"/>
  <c r="I1130" i="2"/>
  <c r="H1130" i="2"/>
  <c r="G1130" i="2"/>
  <c r="I1129" i="2"/>
  <c r="H1129" i="2"/>
  <c r="G1129" i="2"/>
  <c r="I1128" i="2"/>
  <c r="H1128" i="2"/>
  <c r="G1128" i="2"/>
  <c r="I1127" i="2"/>
  <c r="H1127" i="2"/>
  <c r="G1127" i="2"/>
  <c r="I1126" i="2"/>
  <c r="H1126" i="2"/>
  <c r="G1126" i="2"/>
  <c r="I1125" i="2"/>
  <c r="H1125" i="2"/>
  <c r="G1125" i="2"/>
  <c r="I1124" i="2"/>
  <c r="H1124" i="2"/>
  <c r="G1124" i="2"/>
  <c r="I1123" i="2"/>
  <c r="H1123" i="2"/>
  <c r="G1123" i="2"/>
  <c r="I1122" i="2"/>
  <c r="H1122" i="2"/>
  <c r="G1122" i="2"/>
  <c r="I1121" i="2"/>
  <c r="H1121" i="2"/>
  <c r="G1121" i="2"/>
  <c r="I1120" i="2"/>
  <c r="H1120" i="2"/>
  <c r="G1120" i="2"/>
  <c r="I1119" i="2"/>
  <c r="H1119" i="2"/>
  <c r="G1119" i="2"/>
  <c r="I1118" i="2"/>
  <c r="H1118" i="2"/>
  <c r="G1118" i="2"/>
  <c r="I1117" i="2"/>
  <c r="H1117" i="2"/>
  <c r="G1117" i="2"/>
  <c r="I1116" i="2"/>
  <c r="H1116" i="2"/>
  <c r="G1116" i="2"/>
  <c r="I1115" i="2"/>
  <c r="H1115" i="2"/>
  <c r="G1115" i="2"/>
  <c r="I1114" i="2"/>
  <c r="H1114" i="2"/>
  <c r="G1114" i="2"/>
  <c r="I1113" i="2"/>
  <c r="H1113" i="2"/>
  <c r="G1113" i="2"/>
  <c r="I1112" i="2"/>
  <c r="H1112" i="2"/>
  <c r="G1112" i="2"/>
  <c r="I1111" i="2"/>
  <c r="H1111" i="2"/>
  <c r="G1111" i="2"/>
  <c r="I1110" i="2"/>
  <c r="H1110" i="2"/>
  <c r="G1110" i="2"/>
  <c r="I1109" i="2"/>
  <c r="H1109" i="2"/>
  <c r="G1109" i="2"/>
  <c r="I1108" i="2"/>
  <c r="H1108" i="2"/>
  <c r="G1108" i="2"/>
  <c r="I1107" i="2"/>
  <c r="H1107" i="2"/>
  <c r="G1107" i="2"/>
  <c r="I1106" i="2"/>
  <c r="H1106" i="2"/>
  <c r="G1106" i="2"/>
  <c r="I1105" i="2"/>
  <c r="H1105" i="2"/>
  <c r="G1105" i="2"/>
  <c r="I1104" i="2"/>
  <c r="H1104" i="2"/>
  <c r="G1104" i="2"/>
  <c r="I1103" i="2"/>
  <c r="H1103" i="2"/>
  <c r="G1103" i="2"/>
  <c r="I1102" i="2"/>
  <c r="H1102" i="2"/>
  <c r="G1102" i="2"/>
  <c r="I1101" i="2"/>
  <c r="H1101" i="2"/>
  <c r="G1101" i="2"/>
  <c r="I1100" i="2"/>
  <c r="H1100" i="2"/>
  <c r="G1100" i="2"/>
  <c r="I1099" i="2"/>
  <c r="H1099" i="2"/>
  <c r="G1099" i="2"/>
  <c r="I1098" i="2"/>
  <c r="H1098" i="2"/>
  <c r="G1098" i="2"/>
  <c r="I1097" i="2"/>
  <c r="H1097" i="2"/>
  <c r="G1097" i="2"/>
  <c r="I1096" i="2"/>
  <c r="H1096" i="2"/>
  <c r="G1096" i="2"/>
  <c r="I1095" i="2"/>
  <c r="H1095" i="2"/>
  <c r="G1095" i="2"/>
  <c r="I1094" i="2"/>
  <c r="H1094" i="2"/>
  <c r="G1094" i="2"/>
  <c r="I1093" i="2"/>
  <c r="H1093" i="2"/>
  <c r="G1093" i="2"/>
  <c r="I1092" i="2"/>
  <c r="H1092" i="2"/>
  <c r="G1092" i="2"/>
  <c r="I1091" i="2"/>
  <c r="H1091" i="2"/>
  <c r="G1091" i="2"/>
  <c r="I1090" i="2"/>
  <c r="H1090" i="2"/>
  <c r="G1090" i="2"/>
  <c r="I1089" i="2"/>
  <c r="H1089" i="2"/>
  <c r="G1089" i="2"/>
  <c r="I1088" i="2"/>
  <c r="H1088" i="2"/>
  <c r="G1088" i="2"/>
  <c r="I1087" i="2"/>
  <c r="H1087" i="2"/>
  <c r="G1087" i="2"/>
  <c r="I1086" i="2"/>
  <c r="H1086" i="2"/>
  <c r="G1086" i="2"/>
  <c r="I1085" i="2"/>
  <c r="H1085" i="2"/>
  <c r="G1085" i="2"/>
  <c r="I1084" i="2"/>
  <c r="H1084" i="2"/>
  <c r="G1084" i="2"/>
  <c r="I1083" i="2"/>
  <c r="H1083" i="2"/>
  <c r="G1083" i="2"/>
  <c r="I1082" i="2"/>
  <c r="H1082" i="2"/>
  <c r="G1082" i="2"/>
  <c r="I1081" i="2"/>
  <c r="H1081" i="2"/>
  <c r="G1081" i="2"/>
  <c r="I1080" i="2"/>
  <c r="H1080" i="2"/>
  <c r="G1080" i="2"/>
  <c r="I1079" i="2"/>
  <c r="H1079" i="2"/>
  <c r="G1079" i="2"/>
  <c r="I1078" i="2"/>
  <c r="H1078" i="2"/>
  <c r="G1078" i="2"/>
  <c r="I1077" i="2"/>
  <c r="H1077" i="2"/>
  <c r="G1077" i="2"/>
  <c r="I1076" i="2"/>
  <c r="H1076" i="2"/>
  <c r="G1076" i="2"/>
  <c r="I1075" i="2"/>
  <c r="H1075" i="2"/>
  <c r="G1075" i="2"/>
  <c r="I1074" i="2"/>
  <c r="H1074" i="2"/>
  <c r="G1074" i="2"/>
  <c r="I1073" i="2"/>
  <c r="H1073" i="2"/>
  <c r="G1073" i="2"/>
  <c r="I1072" i="2"/>
  <c r="H1072" i="2"/>
  <c r="G1072" i="2"/>
  <c r="I1071" i="2"/>
  <c r="H1071" i="2"/>
  <c r="G1071" i="2"/>
  <c r="I1070" i="2"/>
  <c r="H1070" i="2"/>
  <c r="G1070" i="2"/>
  <c r="I1069" i="2"/>
  <c r="H1069" i="2"/>
  <c r="G1069" i="2"/>
  <c r="I1068" i="2"/>
  <c r="H1068" i="2"/>
  <c r="G1068" i="2"/>
  <c r="I1067" i="2"/>
  <c r="H1067" i="2"/>
  <c r="G1067" i="2"/>
  <c r="I1066" i="2"/>
  <c r="H1066" i="2"/>
  <c r="G1066" i="2"/>
  <c r="I1065" i="2"/>
  <c r="H1065" i="2"/>
  <c r="G1065" i="2"/>
  <c r="I1064" i="2"/>
  <c r="H1064" i="2"/>
  <c r="G1064" i="2"/>
  <c r="I1063" i="2"/>
  <c r="H1063" i="2"/>
  <c r="G1063" i="2"/>
  <c r="I1062" i="2"/>
  <c r="H1062" i="2"/>
  <c r="G1062" i="2"/>
  <c r="I1061" i="2"/>
  <c r="H1061" i="2"/>
  <c r="G1061" i="2"/>
  <c r="I1060" i="2"/>
  <c r="H1060" i="2"/>
  <c r="G1060" i="2"/>
  <c r="I1059" i="2"/>
  <c r="H1059" i="2"/>
  <c r="G1059" i="2"/>
  <c r="I1058" i="2"/>
  <c r="H1058" i="2"/>
  <c r="G1058" i="2"/>
  <c r="I1057" i="2"/>
  <c r="H1057" i="2"/>
  <c r="G1057" i="2"/>
  <c r="I1056" i="2"/>
  <c r="H1056" i="2"/>
  <c r="G1056" i="2"/>
  <c r="I1055" i="2"/>
  <c r="H1055" i="2"/>
  <c r="G1055" i="2"/>
  <c r="I1054" i="2"/>
  <c r="H1054" i="2"/>
  <c r="G1054" i="2"/>
  <c r="I1053" i="2"/>
  <c r="H1053" i="2"/>
  <c r="G1053" i="2"/>
  <c r="I1052" i="2"/>
  <c r="H1052" i="2"/>
  <c r="G1052" i="2"/>
  <c r="I1051" i="2"/>
  <c r="H1051" i="2"/>
  <c r="G1051" i="2"/>
  <c r="I1050" i="2"/>
  <c r="H1050" i="2"/>
  <c r="G1050" i="2"/>
  <c r="I1049" i="2"/>
  <c r="H1049" i="2"/>
  <c r="G1049" i="2"/>
  <c r="I1048" i="2"/>
  <c r="H1048" i="2"/>
  <c r="G1048" i="2"/>
  <c r="I1047" i="2"/>
  <c r="H1047" i="2"/>
  <c r="G1047" i="2"/>
  <c r="I1046" i="2"/>
  <c r="H1046" i="2"/>
  <c r="G1046" i="2"/>
  <c r="I1045" i="2"/>
  <c r="H1045" i="2"/>
  <c r="G1045" i="2"/>
  <c r="I1044" i="2"/>
  <c r="H1044" i="2"/>
  <c r="G1044" i="2"/>
  <c r="I1043" i="2"/>
  <c r="H1043" i="2"/>
  <c r="G1043" i="2"/>
  <c r="I1042" i="2"/>
  <c r="H1042" i="2"/>
  <c r="G1042" i="2"/>
  <c r="I1041" i="2"/>
  <c r="H1041" i="2"/>
  <c r="G1041" i="2"/>
  <c r="I1040" i="2"/>
  <c r="H1040" i="2"/>
  <c r="G1040" i="2"/>
  <c r="I1039" i="2"/>
  <c r="H1039" i="2"/>
  <c r="G1039" i="2"/>
  <c r="I1038" i="2"/>
  <c r="H1038" i="2"/>
  <c r="G1038" i="2"/>
  <c r="I1037" i="2"/>
  <c r="H1037" i="2"/>
  <c r="G1037" i="2"/>
  <c r="I1036" i="2"/>
  <c r="H1036" i="2"/>
  <c r="G1036" i="2"/>
  <c r="I1035" i="2"/>
  <c r="H1035" i="2"/>
  <c r="G1035" i="2"/>
  <c r="I1034" i="2"/>
  <c r="H1034" i="2"/>
  <c r="G1034" i="2"/>
  <c r="I1033" i="2"/>
  <c r="H1033" i="2"/>
  <c r="G1033" i="2"/>
  <c r="I1032" i="2"/>
  <c r="H1032" i="2"/>
  <c r="G1032" i="2"/>
  <c r="I1031" i="2"/>
  <c r="H1031" i="2"/>
  <c r="G1031" i="2"/>
  <c r="I1030" i="2"/>
  <c r="H1030" i="2"/>
  <c r="G1030" i="2"/>
  <c r="I1029" i="2"/>
  <c r="H1029" i="2"/>
  <c r="G1029" i="2"/>
  <c r="I1028" i="2"/>
  <c r="H1028" i="2"/>
  <c r="G1028" i="2"/>
  <c r="I1027" i="2"/>
  <c r="H1027" i="2"/>
  <c r="G1027" i="2"/>
  <c r="I1026" i="2"/>
  <c r="H1026" i="2"/>
  <c r="G1026" i="2"/>
  <c r="I1025" i="2"/>
  <c r="H1025" i="2"/>
  <c r="G1025" i="2"/>
  <c r="I1024" i="2"/>
  <c r="H1024" i="2"/>
  <c r="G1024" i="2"/>
  <c r="I1023" i="2"/>
  <c r="H1023" i="2"/>
  <c r="G1023" i="2"/>
  <c r="I1022" i="2"/>
  <c r="H1022" i="2"/>
  <c r="G1022" i="2"/>
  <c r="I1021" i="2"/>
  <c r="H1021" i="2"/>
  <c r="G1021" i="2"/>
  <c r="I1020" i="2"/>
  <c r="H1020" i="2"/>
  <c r="G1020" i="2"/>
  <c r="I1019" i="2"/>
  <c r="H1019" i="2"/>
  <c r="G1019" i="2"/>
  <c r="I1018" i="2"/>
  <c r="H1018" i="2"/>
  <c r="G1018" i="2"/>
  <c r="I1017" i="2"/>
  <c r="H1017" i="2"/>
  <c r="G1017" i="2"/>
  <c r="I1016" i="2"/>
  <c r="H1016" i="2"/>
  <c r="G1016" i="2"/>
  <c r="I1015" i="2"/>
  <c r="H1015" i="2"/>
  <c r="G1015" i="2"/>
  <c r="I1014" i="2"/>
  <c r="H1014" i="2"/>
  <c r="G1014" i="2"/>
  <c r="I1013" i="2"/>
  <c r="H1013" i="2"/>
  <c r="G1013" i="2"/>
  <c r="I1012" i="2"/>
  <c r="H1012" i="2"/>
  <c r="G1012" i="2"/>
  <c r="I1011" i="2"/>
  <c r="H1011" i="2"/>
  <c r="G1011" i="2"/>
  <c r="I1010" i="2"/>
  <c r="H1010" i="2"/>
  <c r="G1010" i="2"/>
  <c r="I1009" i="2"/>
  <c r="H1009" i="2"/>
  <c r="G1009" i="2"/>
  <c r="I1008" i="2"/>
  <c r="H1008" i="2"/>
  <c r="G1008" i="2"/>
  <c r="I1007" i="2"/>
  <c r="H1007" i="2"/>
  <c r="G1007" i="2"/>
  <c r="I1006" i="2"/>
  <c r="H1006" i="2"/>
  <c r="G1006" i="2"/>
  <c r="I1005" i="2"/>
  <c r="H1005" i="2"/>
  <c r="G1005" i="2"/>
  <c r="I1004" i="2"/>
  <c r="H1004" i="2"/>
  <c r="G1004" i="2"/>
  <c r="I1003" i="2"/>
  <c r="H1003" i="2"/>
  <c r="G1003" i="2"/>
  <c r="I1002" i="2"/>
  <c r="H1002" i="2"/>
  <c r="G1002" i="2"/>
  <c r="I1001" i="2"/>
  <c r="H1001" i="2"/>
  <c r="G1001" i="2"/>
  <c r="I1000" i="2"/>
  <c r="H1000" i="2"/>
  <c r="G1000" i="2"/>
  <c r="I999" i="2"/>
  <c r="H999" i="2"/>
  <c r="G999" i="2"/>
  <c r="I998" i="2"/>
  <c r="H998" i="2"/>
  <c r="G998" i="2"/>
  <c r="I997" i="2"/>
  <c r="H997" i="2"/>
  <c r="G997" i="2"/>
  <c r="I996" i="2"/>
  <c r="H996" i="2"/>
  <c r="G996" i="2"/>
  <c r="I995" i="2"/>
  <c r="H995" i="2"/>
  <c r="G995" i="2"/>
  <c r="I994" i="2"/>
  <c r="H994" i="2"/>
  <c r="G994" i="2"/>
  <c r="I993" i="2"/>
  <c r="H993" i="2"/>
  <c r="G993" i="2"/>
  <c r="I992" i="2"/>
  <c r="H992" i="2"/>
  <c r="G992" i="2"/>
  <c r="I991" i="2"/>
  <c r="H991" i="2"/>
  <c r="G991" i="2"/>
  <c r="I990" i="2"/>
  <c r="H990" i="2"/>
  <c r="G990" i="2"/>
  <c r="I989" i="2"/>
  <c r="H989" i="2"/>
  <c r="G989" i="2"/>
  <c r="I988" i="2"/>
  <c r="H988" i="2"/>
  <c r="G988" i="2"/>
  <c r="I987" i="2"/>
  <c r="H987" i="2"/>
  <c r="G987" i="2"/>
  <c r="I986" i="2"/>
  <c r="H986" i="2"/>
  <c r="G986" i="2"/>
  <c r="I985" i="2"/>
  <c r="H985" i="2"/>
  <c r="G985" i="2"/>
  <c r="I984" i="2"/>
  <c r="H984" i="2"/>
  <c r="G984" i="2"/>
  <c r="I983" i="2"/>
  <c r="H983" i="2"/>
  <c r="G983" i="2"/>
  <c r="I982" i="2"/>
  <c r="H982" i="2"/>
  <c r="G982" i="2"/>
  <c r="I981" i="2"/>
  <c r="H981" i="2"/>
  <c r="G981" i="2"/>
  <c r="I980" i="2"/>
  <c r="H980" i="2"/>
  <c r="G980" i="2"/>
  <c r="I979" i="2"/>
  <c r="H979" i="2"/>
  <c r="G979" i="2"/>
  <c r="I978" i="2"/>
  <c r="H978" i="2"/>
  <c r="G978" i="2"/>
  <c r="I977" i="2"/>
  <c r="H977" i="2"/>
  <c r="G977" i="2"/>
  <c r="I976" i="2"/>
  <c r="H976" i="2"/>
  <c r="G976" i="2"/>
  <c r="I975" i="2"/>
  <c r="H975" i="2"/>
  <c r="G975" i="2"/>
  <c r="I974" i="2"/>
  <c r="H974" i="2"/>
  <c r="G974" i="2"/>
  <c r="I973" i="2"/>
  <c r="H973" i="2"/>
  <c r="G973" i="2"/>
  <c r="I972" i="2"/>
  <c r="H972" i="2"/>
  <c r="G972" i="2"/>
  <c r="I971" i="2"/>
  <c r="H971" i="2"/>
  <c r="G971" i="2"/>
  <c r="I970" i="2"/>
  <c r="H970" i="2"/>
  <c r="G970" i="2"/>
  <c r="I969" i="2"/>
  <c r="H969" i="2"/>
  <c r="G969" i="2"/>
  <c r="I968" i="2"/>
  <c r="H968" i="2"/>
  <c r="G968" i="2"/>
  <c r="I967" i="2"/>
  <c r="H967" i="2"/>
  <c r="G967" i="2"/>
  <c r="I966" i="2"/>
  <c r="H966" i="2"/>
  <c r="G966" i="2"/>
  <c r="I965" i="2"/>
  <c r="H965" i="2"/>
  <c r="G965" i="2"/>
  <c r="I964" i="2"/>
  <c r="H964" i="2"/>
  <c r="G964" i="2"/>
  <c r="I963" i="2"/>
  <c r="H963" i="2"/>
  <c r="G963" i="2"/>
  <c r="I962" i="2"/>
  <c r="H962" i="2"/>
  <c r="G962" i="2"/>
  <c r="I961" i="2"/>
  <c r="H961" i="2"/>
  <c r="G961" i="2"/>
  <c r="I960" i="2"/>
  <c r="H960" i="2"/>
  <c r="G960" i="2"/>
  <c r="I959" i="2"/>
  <c r="H959" i="2"/>
  <c r="G959" i="2"/>
  <c r="I958" i="2"/>
  <c r="H958" i="2"/>
  <c r="G958" i="2"/>
  <c r="I957" i="2"/>
  <c r="H957" i="2"/>
  <c r="G957" i="2"/>
  <c r="I956" i="2"/>
  <c r="H956" i="2"/>
  <c r="G956" i="2"/>
  <c r="I955" i="2"/>
  <c r="H955" i="2"/>
  <c r="G955" i="2"/>
  <c r="I954" i="2"/>
  <c r="H954" i="2"/>
  <c r="G954" i="2"/>
  <c r="I953" i="2"/>
  <c r="H953" i="2"/>
  <c r="G953" i="2"/>
  <c r="I952" i="2"/>
  <c r="H952" i="2"/>
  <c r="G952" i="2"/>
  <c r="I951" i="2"/>
  <c r="H951" i="2"/>
  <c r="G951" i="2"/>
  <c r="I950" i="2"/>
  <c r="H950" i="2"/>
  <c r="G950" i="2"/>
  <c r="I949" i="2"/>
  <c r="H949" i="2"/>
  <c r="G949" i="2"/>
  <c r="I948" i="2"/>
  <c r="H948" i="2"/>
  <c r="G948" i="2"/>
  <c r="I947" i="2"/>
  <c r="H947" i="2"/>
  <c r="G947" i="2"/>
  <c r="I946" i="2"/>
  <c r="H946" i="2"/>
  <c r="G946" i="2"/>
  <c r="I945" i="2"/>
  <c r="H945" i="2"/>
  <c r="G945" i="2"/>
  <c r="I944" i="2"/>
  <c r="H944" i="2"/>
  <c r="G944" i="2"/>
  <c r="I943" i="2"/>
  <c r="H943" i="2"/>
  <c r="G943" i="2"/>
  <c r="I942" i="2"/>
  <c r="H942" i="2"/>
  <c r="G942" i="2"/>
  <c r="I941" i="2"/>
  <c r="H941" i="2"/>
  <c r="G941" i="2"/>
  <c r="I940" i="2"/>
  <c r="H940" i="2"/>
  <c r="G940" i="2"/>
  <c r="I939" i="2"/>
  <c r="H939" i="2"/>
  <c r="G939" i="2"/>
  <c r="I938" i="2"/>
  <c r="H938" i="2"/>
  <c r="G938" i="2"/>
  <c r="I937" i="2"/>
  <c r="H937" i="2"/>
  <c r="G937" i="2"/>
  <c r="I936" i="2"/>
  <c r="H936" i="2"/>
  <c r="G936" i="2"/>
  <c r="I935" i="2"/>
  <c r="H935" i="2"/>
  <c r="G935" i="2"/>
  <c r="I934" i="2"/>
  <c r="H934" i="2"/>
  <c r="G934" i="2"/>
  <c r="I933" i="2"/>
  <c r="H933" i="2"/>
  <c r="G933" i="2"/>
  <c r="I932" i="2"/>
  <c r="H932" i="2"/>
  <c r="G932" i="2"/>
  <c r="I931" i="2"/>
  <c r="H931" i="2"/>
  <c r="G931" i="2"/>
  <c r="I930" i="2"/>
  <c r="H930" i="2"/>
  <c r="G930" i="2"/>
  <c r="I929" i="2"/>
  <c r="H929" i="2"/>
  <c r="G929" i="2"/>
  <c r="I928" i="2"/>
  <c r="H928" i="2"/>
  <c r="G928" i="2"/>
  <c r="I927" i="2"/>
  <c r="H927" i="2"/>
  <c r="G927" i="2"/>
  <c r="I926" i="2"/>
  <c r="H926" i="2"/>
  <c r="G926" i="2"/>
  <c r="I925" i="2"/>
  <c r="H925" i="2"/>
  <c r="G925" i="2"/>
  <c r="I924" i="2"/>
  <c r="H924" i="2"/>
  <c r="G924" i="2"/>
  <c r="I923" i="2"/>
  <c r="H923" i="2"/>
  <c r="G923" i="2"/>
  <c r="I922" i="2"/>
  <c r="H922" i="2"/>
  <c r="G922" i="2"/>
  <c r="I921" i="2"/>
  <c r="H921" i="2"/>
  <c r="G921" i="2"/>
  <c r="I920" i="2"/>
  <c r="H920" i="2"/>
  <c r="G920" i="2"/>
  <c r="I919" i="2"/>
  <c r="H919" i="2"/>
  <c r="G919" i="2"/>
  <c r="I918" i="2"/>
  <c r="H918" i="2"/>
  <c r="G918" i="2"/>
  <c r="I917" i="2"/>
  <c r="H917" i="2"/>
  <c r="G917" i="2"/>
  <c r="I916" i="2"/>
  <c r="H916" i="2"/>
  <c r="G916" i="2"/>
  <c r="I915" i="2"/>
  <c r="H915" i="2"/>
  <c r="G915" i="2"/>
  <c r="I914" i="2"/>
  <c r="H914" i="2"/>
  <c r="G914" i="2"/>
  <c r="I913" i="2"/>
  <c r="H913" i="2"/>
  <c r="G913" i="2"/>
  <c r="I912" i="2"/>
  <c r="H912" i="2"/>
  <c r="G912" i="2"/>
  <c r="I911" i="2"/>
  <c r="H911" i="2"/>
  <c r="G911" i="2"/>
  <c r="I910" i="2"/>
  <c r="H910" i="2"/>
  <c r="G910" i="2"/>
  <c r="I909" i="2"/>
  <c r="H909" i="2"/>
  <c r="G909" i="2"/>
  <c r="I908" i="2"/>
  <c r="H908" i="2"/>
  <c r="G908" i="2"/>
  <c r="I907" i="2"/>
  <c r="H907" i="2"/>
  <c r="G907" i="2"/>
  <c r="I906" i="2"/>
  <c r="H906" i="2"/>
  <c r="G906" i="2"/>
  <c r="I905" i="2"/>
  <c r="H905" i="2"/>
  <c r="G905" i="2"/>
  <c r="I904" i="2"/>
  <c r="H904" i="2"/>
  <c r="G904" i="2"/>
  <c r="I903" i="2"/>
  <c r="H903" i="2"/>
  <c r="G903" i="2"/>
  <c r="I902" i="2"/>
  <c r="H902" i="2"/>
  <c r="G902" i="2"/>
  <c r="I901" i="2"/>
  <c r="H901" i="2"/>
  <c r="G901" i="2"/>
  <c r="I900" i="2"/>
  <c r="H900" i="2"/>
  <c r="G900" i="2"/>
  <c r="I899" i="2"/>
  <c r="H899" i="2"/>
  <c r="G899" i="2"/>
  <c r="I898" i="2"/>
  <c r="H898" i="2"/>
  <c r="G898" i="2"/>
  <c r="I897" i="2"/>
  <c r="H897" i="2"/>
  <c r="G897" i="2"/>
  <c r="I896" i="2"/>
  <c r="H896" i="2"/>
  <c r="G896" i="2"/>
  <c r="I895" i="2"/>
  <c r="H895" i="2"/>
  <c r="G895" i="2"/>
  <c r="I894" i="2"/>
  <c r="H894" i="2"/>
  <c r="G894" i="2"/>
  <c r="I893" i="2"/>
  <c r="H893" i="2"/>
  <c r="G893" i="2"/>
  <c r="I892" i="2"/>
  <c r="H892" i="2"/>
  <c r="G892" i="2"/>
  <c r="I891" i="2"/>
  <c r="H891" i="2"/>
  <c r="G891" i="2"/>
  <c r="I890" i="2"/>
  <c r="H890" i="2"/>
  <c r="G890" i="2"/>
  <c r="I889" i="2"/>
  <c r="H889" i="2"/>
  <c r="G889" i="2"/>
  <c r="I888" i="2"/>
  <c r="H888" i="2"/>
  <c r="G888" i="2"/>
  <c r="I887" i="2"/>
  <c r="H887" i="2"/>
  <c r="G887" i="2"/>
  <c r="I886" i="2"/>
  <c r="H886" i="2"/>
  <c r="G886" i="2"/>
  <c r="I885" i="2"/>
  <c r="H885" i="2"/>
  <c r="G885" i="2"/>
  <c r="I884" i="2"/>
  <c r="H884" i="2"/>
  <c r="G884" i="2"/>
  <c r="I883" i="2"/>
  <c r="H883" i="2"/>
  <c r="G883" i="2"/>
  <c r="I882" i="2"/>
  <c r="H882" i="2"/>
  <c r="G882" i="2"/>
  <c r="I881" i="2"/>
  <c r="H881" i="2"/>
  <c r="G881" i="2"/>
  <c r="I880" i="2"/>
  <c r="H880" i="2"/>
  <c r="G880" i="2"/>
  <c r="I879" i="2"/>
  <c r="H879" i="2"/>
  <c r="G879" i="2"/>
  <c r="I878" i="2"/>
  <c r="H878" i="2"/>
  <c r="G878" i="2"/>
  <c r="I877" i="2"/>
  <c r="H877" i="2"/>
  <c r="G877" i="2"/>
  <c r="I876" i="2"/>
  <c r="H876" i="2"/>
  <c r="G876" i="2"/>
  <c r="I875" i="2"/>
  <c r="H875" i="2"/>
  <c r="G875" i="2"/>
  <c r="I874" i="2"/>
  <c r="H874" i="2"/>
  <c r="G874" i="2"/>
  <c r="I873" i="2"/>
  <c r="H873" i="2"/>
  <c r="G873" i="2"/>
  <c r="I872" i="2"/>
  <c r="H872" i="2"/>
  <c r="G872" i="2"/>
  <c r="I871" i="2"/>
  <c r="H871" i="2"/>
  <c r="G871" i="2"/>
  <c r="I870" i="2"/>
  <c r="H870" i="2"/>
  <c r="G870" i="2"/>
  <c r="I869" i="2"/>
  <c r="H869" i="2"/>
  <c r="G869" i="2"/>
  <c r="I868" i="2"/>
  <c r="H868" i="2"/>
  <c r="G868" i="2"/>
  <c r="I867" i="2"/>
  <c r="H867" i="2"/>
  <c r="G867" i="2"/>
  <c r="I866" i="2"/>
  <c r="H866" i="2"/>
  <c r="G866" i="2"/>
  <c r="I865" i="2"/>
  <c r="H865" i="2"/>
  <c r="G865" i="2"/>
  <c r="I864" i="2"/>
  <c r="H864" i="2"/>
  <c r="G864" i="2"/>
  <c r="I863" i="2"/>
  <c r="H863" i="2"/>
  <c r="G863" i="2"/>
  <c r="I862" i="2"/>
  <c r="H862" i="2"/>
  <c r="G862" i="2"/>
  <c r="I861" i="2"/>
  <c r="H861" i="2"/>
  <c r="G861" i="2"/>
  <c r="I860" i="2"/>
  <c r="H860" i="2"/>
  <c r="G860" i="2"/>
  <c r="I859" i="2"/>
  <c r="H859" i="2"/>
  <c r="G859" i="2"/>
  <c r="I858" i="2"/>
  <c r="H858" i="2"/>
  <c r="G858" i="2"/>
  <c r="I857" i="2"/>
  <c r="H857" i="2"/>
  <c r="G857" i="2"/>
  <c r="I856" i="2"/>
  <c r="H856" i="2"/>
  <c r="G856" i="2"/>
  <c r="I855" i="2"/>
  <c r="H855" i="2"/>
  <c r="G855" i="2"/>
  <c r="I854" i="2"/>
  <c r="H854" i="2"/>
  <c r="G854" i="2"/>
  <c r="I853" i="2"/>
  <c r="H853" i="2"/>
  <c r="G853" i="2"/>
  <c r="I852" i="2"/>
  <c r="H852" i="2"/>
  <c r="G852" i="2"/>
  <c r="I851" i="2"/>
  <c r="H851" i="2"/>
  <c r="G851" i="2"/>
  <c r="I850" i="2"/>
  <c r="H850" i="2"/>
  <c r="G850" i="2"/>
  <c r="I849" i="2"/>
  <c r="H849" i="2"/>
  <c r="G849" i="2"/>
  <c r="I848" i="2"/>
  <c r="H848" i="2"/>
  <c r="G848" i="2"/>
  <c r="I847" i="2"/>
  <c r="H847" i="2"/>
  <c r="G847" i="2"/>
  <c r="I846" i="2"/>
  <c r="H846" i="2"/>
  <c r="G846" i="2"/>
  <c r="I845" i="2"/>
  <c r="H845" i="2"/>
  <c r="G845" i="2"/>
  <c r="I844" i="2"/>
  <c r="H844" i="2"/>
  <c r="G844" i="2"/>
  <c r="I843" i="2"/>
  <c r="H843" i="2"/>
  <c r="G843" i="2"/>
  <c r="I842" i="2"/>
  <c r="H842" i="2"/>
  <c r="G842" i="2"/>
  <c r="I841" i="2"/>
  <c r="H841" i="2"/>
  <c r="G841" i="2"/>
  <c r="I840" i="2"/>
  <c r="H840" i="2"/>
  <c r="G840" i="2"/>
  <c r="I839" i="2"/>
  <c r="H839" i="2"/>
  <c r="G839" i="2"/>
  <c r="I838" i="2"/>
  <c r="H838" i="2"/>
  <c r="G838" i="2"/>
  <c r="I837" i="2"/>
  <c r="H837" i="2"/>
  <c r="G837" i="2"/>
  <c r="I836" i="2"/>
  <c r="H836" i="2"/>
  <c r="G836" i="2"/>
  <c r="I835" i="2"/>
  <c r="H835" i="2"/>
  <c r="G835" i="2"/>
  <c r="I834" i="2"/>
  <c r="H834" i="2"/>
  <c r="G834" i="2"/>
  <c r="I833" i="2"/>
  <c r="H833" i="2"/>
  <c r="G833" i="2"/>
  <c r="I832" i="2"/>
  <c r="H832" i="2"/>
  <c r="G832" i="2"/>
  <c r="I831" i="2"/>
  <c r="H831" i="2"/>
  <c r="G831" i="2"/>
  <c r="I830" i="2"/>
  <c r="H830" i="2"/>
  <c r="G830" i="2"/>
  <c r="I829" i="2"/>
  <c r="H829" i="2"/>
  <c r="G829" i="2"/>
  <c r="I828" i="2"/>
  <c r="H828" i="2"/>
  <c r="G828" i="2"/>
  <c r="I827" i="2"/>
  <c r="H827" i="2"/>
  <c r="G827" i="2"/>
  <c r="I826" i="2"/>
  <c r="H826" i="2"/>
  <c r="G826" i="2"/>
  <c r="I825" i="2"/>
  <c r="H825" i="2"/>
  <c r="G825" i="2"/>
  <c r="I824" i="2"/>
  <c r="H824" i="2"/>
  <c r="G824" i="2"/>
  <c r="I823" i="2"/>
  <c r="H823" i="2"/>
  <c r="G823" i="2"/>
  <c r="I822" i="2"/>
  <c r="H822" i="2"/>
  <c r="G822" i="2"/>
  <c r="I821" i="2"/>
  <c r="H821" i="2"/>
  <c r="G821" i="2"/>
  <c r="I820" i="2"/>
  <c r="H820" i="2"/>
  <c r="G820" i="2"/>
  <c r="I819" i="2"/>
  <c r="H819" i="2"/>
  <c r="G819" i="2"/>
  <c r="I818" i="2"/>
  <c r="H818" i="2"/>
  <c r="G818" i="2"/>
  <c r="I817" i="2"/>
  <c r="H817" i="2"/>
  <c r="G817" i="2"/>
  <c r="I816" i="2"/>
  <c r="H816" i="2"/>
  <c r="G816" i="2"/>
  <c r="I815" i="2"/>
  <c r="H815" i="2"/>
  <c r="G815" i="2"/>
  <c r="I814" i="2"/>
  <c r="H814" i="2"/>
  <c r="G814" i="2"/>
  <c r="I813" i="2"/>
  <c r="H813" i="2"/>
  <c r="G813" i="2"/>
  <c r="I812" i="2"/>
  <c r="H812" i="2"/>
  <c r="G812" i="2"/>
  <c r="I811" i="2"/>
  <c r="H811" i="2"/>
  <c r="G811" i="2"/>
  <c r="I810" i="2"/>
  <c r="H810" i="2"/>
  <c r="G810" i="2"/>
  <c r="I809" i="2"/>
  <c r="H809" i="2"/>
  <c r="G809" i="2"/>
  <c r="I808" i="2"/>
  <c r="H808" i="2"/>
  <c r="G808" i="2"/>
  <c r="I807" i="2"/>
  <c r="H807" i="2"/>
  <c r="G807" i="2"/>
  <c r="I806" i="2"/>
  <c r="H806" i="2"/>
  <c r="G806" i="2"/>
  <c r="I805" i="2"/>
  <c r="H805" i="2"/>
  <c r="G805" i="2"/>
  <c r="I804" i="2"/>
  <c r="H804" i="2"/>
  <c r="G804" i="2"/>
  <c r="I803" i="2"/>
  <c r="H803" i="2"/>
  <c r="G803" i="2"/>
  <c r="I802" i="2"/>
  <c r="H802" i="2"/>
  <c r="G802" i="2"/>
  <c r="I801" i="2"/>
  <c r="H801" i="2"/>
  <c r="G801" i="2"/>
  <c r="I800" i="2"/>
  <c r="H800" i="2"/>
  <c r="G800" i="2"/>
  <c r="I799" i="2"/>
  <c r="H799" i="2"/>
  <c r="G799" i="2"/>
  <c r="I798" i="2"/>
  <c r="H798" i="2"/>
  <c r="G798" i="2"/>
  <c r="I797" i="2"/>
  <c r="H797" i="2"/>
  <c r="G797" i="2"/>
  <c r="I796" i="2"/>
  <c r="H796" i="2"/>
  <c r="G796" i="2"/>
  <c r="I795" i="2"/>
  <c r="H795" i="2"/>
  <c r="G795" i="2"/>
  <c r="I794" i="2"/>
  <c r="H794" i="2"/>
  <c r="G794" i="2"/>
  <c r="I793" i="2"/>
  <c r="H793" i="2"/>
  <c r="G793" i="2"/>
  <c r="I792" i="2"/>
  <c r="H792" i="2"/>
  <c r="G792" i="2"/>
  <c r="I791" i="2"/>
  <c r="H791" i="2"/>
  <c r="G791" i="2"/>
  <c r="I790" i="2"/>
  <c r="H790" i="2"/>
  <c r="G790" i="2"/>
  <c r="I789" i="2"/>
  <c r="H789" i="2"/>
  <c r="G789" i="2"/>
  <c r="I788" i="2"/>
  <c r="H788" i="2"/>
  <c r="G788" i="2"/>
  <c r="I787" i="2"/>
  <c r="H787" i="2"/>
  <c r="G787" i="2"/>
  <c r="I786" i="2"/>
  <c r="H786" i="2"/>
  <c r="G786" i="2"/>
  <c r="I785" i="2"/>
  <c r="H785" i="2"/>
  <c r="G785" i="2"/>
  <c r="I784" i="2"/>
  <c r="H784" i="2"/>
  <c r="G784" i="2"/>
  <c r="I783" i="2"/>
  <c r="H783" i="2"/>
  <c r="G783" i="2"/>
  <c r="I782" i="2"/>
  <c r="H782" i="2"/>
  <c r="G782" i="2"/>
  <c r="I781" i="2"/>
  <c r="H781" i="2"/>
  <c r="G781" i="2"/>
  <c r="I780" i="2"/>
  <c r="H780" i="2"/>
  <c r="G780" i="2"/>
  <c r="I779" i="2"/>
  <c r="H779" i="2"/>
  <c r="G779" i="2"/>
  <c r="I778" i="2"/>
  <c r="H778" i="2"/>
  <c r="G778" i="2"/>
  <c r="I777" i="2"/>
  <c r="H777" i="2"/>
  <c r="G777" i="2"/>
  <c r="I776" i="2"/>
  <c r="H776" i="2"/>
  <c r="G776" i="2"/>
  <c r="I775" i="2"/>
  <c r="H775" i="2"/>
  <c r="G775" i="2"/>
  <c r="I774" i="2"/>
  <c r="H774" i="2"/>
  <c r="G774" i="2"/>
  <c r="I773" i="2"/>
  <c r="H773" i="2"/>
  <c r="G773" i="2"/>
  <c r="I772" i="2"/>
  <c r="H772" i="2"/>
  <c r="G772" i="2"/>
  <c r="I771" i="2"/>
  <c r="H771" i="2"/>
  <c r="G771" i="2"/>
  <c r="I770" i="2"/>
  <c r="H770" i="2"/>
  <c r="G770" i="2"/>
  <c r="I769" i="2"/>
  <c r="H769" i="2"/>
  <c r="G769" i="2"/>
  <c r="I768" i="2"/>
  <c r="H768" i="2"/>
  <c r="G768" i="2"/>
  <c r="I767" i="2"/>
  <c r="H767" i="2"/>
  <c r="G767" i="2"/>
  <c r="I766" i="2"/>
  <c r="H766" i="2"/>
  <c r="G766" i="2"/>
  <c r="I765" i="2"/>
  <c r="H765" i="2"/>
  <c r="G765" i="2"/>
  <c r="I764" i="2"/>
  <c r="H764" i="2"/>
  <c r="G764" i="2"/>
  <c r="I763" i="2"/>
  <c r="H763" i="2"/>
  <c r="G763" i="2"/>
  <c r="I762" i="2"/>
  <c r="H762" i="2"/>
  <c r="G762" i="2"/>
  <c r="I761" i="2"/>
  <c r="H761" i="2"/>
  <c r="G761" i="2"/>
  <c r="I760" i="2"/>
  <c r="H760" i="2"/>
  <c r="G760" i="2"/>
  <c r="I759" i="2"/>
  <c r="H759" i="2"/>
  <c r="G759" i="2"/>
  <c r="I758" i="2"/>
  <c r="H758" i="2"/>
  <c r="G758" i="2"/>
  <c r="I757" i="2"/>
  <c r="H757" i="2"/>
  <c r="G757" i="2"/>
  <c r="I756" i="2"/>
  <c r="H756" i="2"/>
  <c r="G756" i="2"/>
  <c r="I755" i="2"/>
  <c r="H755" i="2"/>
  <c r="G755" i="2"/>
  <c r="I754" i="2"/>
  <c r="H754" i="2"/>
  <c r="G754" i="2"/>
  <c r="I753" i="2"/>
  <c r="H753" i="2"/>
  <c r="G753" i="2"/>
  <c r="I752" i="2"/>
  <c r="H752" i="2"/>
  <c r="G752" i="2"/>
  <c r="I751" i="2"/>
  <c r="H751" i="2"/>
  <c r="G751" i="2"/>
  <c r="I750" i="2"/>
  <c r="H750" i="2"/>
  <c r="G750" i="2"/>
  <c r="I749" i="2"/>
  <c r="H749" i="2"/>
  <c r="G749" i="2"/>
  <c r="I748" i="2"/>
  <c r="H748" i="2"/>
  <c r="G748" i="2"/>
  <c r="I747" i="2"/>
  <c r="H747" i="2"/>
  <c r="G747" i="2"/>
  <c r="I746" i="2"/>
  <c r="H746" i="2"/>
  <c r="G746" i="2"/>
  <c r="I745" i="2"/>
  <c r="H745" i="2"/>
  <c r="G745" i="2"/>
  <c r="I744" i="2"/>
  <c r="H744" i="2"/>
  <c r="G744" i="2"/>
  <c r="I743" i="2"/>
  <c r="H743" i="2"/>
  <c r="G743" i="2"/>
  <c r="I742" i="2"/>
  <c r="H742" i="2"/>
  <c r="G742" i="2"/>
  <c r="I741" i="2"/>
  <c r="H741" i="2"/>
  <c r="G741" i="2"/>
  <c r="I740" i="2"/>
  <c r="H740" i="2"/>
  <c r="G740" i="2"/>
  <c r="I739" i="2"/>
  <c r="H739" i="2"/>
  <c r="G739" i="2"/>
  <c r="I738" i="2"/>
  <c r="H738" i="2"/>
  <c r="G738" i="2"/>
  <c r="I737" i="2"/>
  <c r="H737" i="2"/>
  <c r="G737" i="2"/>
  <c r="I736" i="2"/>
  <c r="H736" i="2"/>
  <c r="G736" i="2"/>
  <c r="I735" i="2"/>
  <c r="H735" i="2"/>
  <c r="G735" i="2"/>
  <c r="I734" i="2"/>
  <c r="H734" i="2"/>
  <c r="G734" i="2"/>
  <c r="I733" i="2"/>
  <c r="H733" i="2"/>
  <c r="G733" i="2"/>
  <c r="I732" i="2"/>
  <c r="H732" i="2"/>
  <c r="G732" i="2"/>
  <c r="I731" i="2"/>
  <c r="H731" i="2"/>
  <c r="G731" i="2"/>
  <c r="I730" i="2"/>
  <c r="H730" i="2"/>
  <c r="G730" i="2"/>
  <c r="I729" i="2"/>
  <c r="H729" i="2"/>
  <c r="G729" i="2"/>
  <c r="I728" i="2"/>
  <c r="H728" i="2"/>
  <c r="G728" i="2"/>
  <c r="I727" i="2"/>
  <c r="H727" i="2"/>
  <c r="G727" i="2"/>
  <c r="I726" i="2"/>
  <c r="H726" i="2"/>
  <c r="G726" i="2"/>
  <c r="I725" i="2"/>
  <c r="H725" i="2"/>
  <c r="G725" i="2"/>
  <c r="I724" i="2"/>
  <c r="H724" i="2"/>
  <c r="G724" i="2"/>
  <c r="I723" i="2"/>
  <c r="H723" i="2"/>
  <c r="G723" i="2"/>
  <c r="I722" i="2"/>
  <c r="H722" i="2"/>
  <c r="G722" i="2"/>
  <c r="I721" i="2"/>
  <c r="H721" i="2"/>
  <c r="G721" i="2"/>
  <c r="I720" i="2"/>
  <c r="H720" i="2"/>
  <c r="G720" i="2"/>
  <c r="I719" i="2"/>
  <c r="H719" i="2"/>
  <c r="G719" i="2"/>
  <c r="I718" i="2"/>
  <c r="H718" i="2"/>
  <c r="G718" i="2"/>
  <c r="I717" i="2"/>
  <c r="H717" i="2"/>
  <c r="G717" i="2"/>
  <c r="I716" i="2"/>
  <c r="H716" i="2"/>
  <c r="G716" i="2"/>
  <c r="I715" i="2"/>
  <c r="H715" i="2"/>
  <c r="G715" i="2"/>
  <c r="I714" i="2"/>
  <c r="H714" i="2"/>
  <c r="G714" i="2"/>
  <c r="I713" i="2"/>
  <c r="H713" i="2"/>
  <c r="G713" i="2"/>
  <c r="I712" i="2"/>
  <c r="H712" i="2"/>
  <c r="G712" i="2"/>
  <c r="I711" i="2"/>
  <c r="H711" i="2"/>
  <c r="G711" i="2"/>
  <c r="I710" i="2"/>
  <c r="H710" i="2"/>
  <c r="G710" i="2"/>
  <c r="I709" i="2"/>
  <c r="H709" i="2"/>
  <c r="G709" i="2"/>
  <c r="I708" i="2"/>
  <c r="H708" i="2"/>
  <c r="G708" i="2"/>
  <c r="I707" i="2"/>
  <c r="H707" i="2"/>
  <c r="G707" i="2"/>
  <c r="I706" i="2"/>
  <c r="H706" i="2"/>
  <c r="G706" i="2"/>
  <c r="I705" i="2"/>
  <c r="H705" i="2"/>
  <c r="G705" i="2"/>
  <c r="I704" i="2"/>
  <c r="H704" i="2"/>
  <c r="G704" i="2"/>
  <c r="I703" i="2"/>
  <c r="H703" i="2"/>
  <c r="G703" i="2"/>
  <c r="I702" i="2"/>
  <c r="H702" i="2"/>
  <c r="G702" i="2"/>
  <c r="I701" i="2"/>
  <c r="H701" i="2"/>
  <c r="G701" i="2"/>
  <c r="I700" i="2"/>
  <c r="H700" i="2"/>
  <c r="G700" i="2"/>
  <c r="I699" i="2"/>
  <c r="H699" i="2"/>
  <c r="G699" i="2"/>
  <c r="I698" i="2"/>
  <c r="H698" i="2"/>
  <c r="G698" i="2"/>
  <c r="I697" i="2"/>
  <c r="H697" i="2"/>
  <c r="G697" i="2"/>
  <c r="I696" i="2"/>
  <c r="H696" i="2"/>
  <c r="G696" i="2"/>
  <c r="I695" i="2"/>
  <c r="H695" i="2"/>
  <c r="G695" i="2"/>
  <c r="I694" i="2"/>
  <c r="H694" i="2"/>
  <c r="G694" i="2"/>
  <c r="I693" i="2"/>
  <c r="H693" i="2"/>
  <c r="G693" i="2"/>
  <c r="I692" i="2"/>
  <c r="H692" i="2"/>
  <c r="G692" i="2"/>
  <c r="I691" i="2"/>
  <c r="H691" i="2"/>
  <c r="G691" i="2"/>
  <c r="I690" i="2"/>
  <c r="H690" i="2"/>
  <c r="G690" i="2"/>
  <c r="I689" i="2"/>
  <c r="H689" i="2"/>
  <c r="G689" i="2"/>
  <c r="I688" i="2"/>
  <c r="H688" i="2"/>
  <c r="G688" i="2"/>
  <c r="I687" i="2"/>
  <c r="H687" i="2"/>
  <c r="G687" i="2"/>
  <c r="I686" i="2"/>
  <c r="H686" i="2"/>
  <c r="G686" i="2"/>
  <c r="I685" i="2"/>
  <c r="H685" i="2"/>
  <c r="G685" i="2"/>
  <c r="I684" i="2"/>
  <c r="H684" i="2"/>
  <c r="G684" i="2"/>
  <c r="I683" i="2"/>
  <c r="H683" i="2"/>
  <c r="G683" i="2"/>
  <c r="I682" i="2"/>
  <c r="H682" i="2"/>
  <c r="G682" i="2"/>
  <c r="I681" i="2"/>
  <c r="H681" i="2"/>
  <c r="G681" i="2"/>
  <c r="I680" i="2"/>
  <c r="H680" i="2"/>
  <c r="G680" i="2"/>
  <c r="I679" i="2"/>
  <c r="H679" i="2"/>
  <c r="G679" i="2"/>
  <c r="I678" i="2"/>
  <c r="H678" i="2"/>
  <c r="G678" i="2"/>
  <c r="I677" i="2"/>
  <c r="H677" i="2"/>
  <c r="G677" i="2"/>
  <c r="I676" i="2"/>
  <c r="H676" i="2"/>
  <c r="G676" i="2"/>
  <c r="I675" i="2"/>
  <c r="H675" i="2"/>
  <c r="G675" i="2"/>
  <c r="I674" i="2"/>
  <c r="H674" i="2"/>
  <c r="G674" i="2"/>
  <c r="I673" i="2"/>
  <c r="H673" i="2"/>
  <c r="G673" i="2"/>
  <c r="I672" i="2"/>
  <c r="H672" i="2"/>
  <c r="G672" i="2"/>
  <c r="I671" i="2"/>
  <c r="H671" i="2"/>
  <c r="G671" i="2"/>
  <c r="I670" i="2"/>
  <c r="H670" i="2"/>
  <c r="G670" i="2"/>
  <c r="I669" i="2"/>
  <c r="H669" i="2"/>
  <c r="G669" i="2"/>
  <c r="I668" i="2"/>
  <c r="H668" i="2"/>
  <c r="G668" i="2"/>
  <c r="I667" i="2"/>
  <c r="H667" i="2"/>
  <c r="G667" i="2"/>
  <c r="I666" i="2"/>
  <c r="H666" i="2"/>
  <c r="G666" i="2"/>
  <c r="I665" i="2"/>
  <c r="H665" i="2"/>
  <c r="G665" i="2"/>
  <c r="I664" i="2"/>
  <c r="H664" i="2"/>
  <c r="G664" i="2"/>
  <c r="I663" i="2"/>
  <c r="H663" i="2"/>
  <c r="G663" i="2"/>
  <c r="I662" i="2"/>
  <c r="H662" i="2"/>
  <c r="G662" i="2"/>
  <c r="I661" i="2"/>
  <c r="H661" i="2"/>
  <c r="G661" i="2"/>
  <c r="I660" i="2"/>
  <c r="H660" i="2"/>
  <c r="G660" i="2"/>
  <c r="I659" i="2"/>
  <c r="H659" i="2"/>
  <c r="G659" i="2"/>
  <c r="I658" i="2"/>
  <c r="H658" i="2"/>
  <c r="G658" i="2"/>
  <c r="I657" i="2"/>
  <c r="H657" i="2"/>
  <c r="G657" i="2"/>
  <c r="I656" i="2"/>
  <c r="H656" i="2"/>
  <c r="G656" i="2"/>
  <c r="I655" i="2"/>
  <c r="H655" i="2"/>
  <c r="G655" i="2"/>
  <c r="I654" i="2"/>
  <c r="H654" i="2"/>
  <c r="G654" i="2"/>
  <c r="I653" i="2"/>
  <c r="H653" i="2"/>
  <c r="G653" i="2"/>
  <c r="I652" i="2"/>
  <c r="H652" i="2"/>
  <c r="G652" i="2"/>
  <c r="I651" i="2"/>
  <c r="H651" i="2"/>
  <c r="G651" i="2"/>
  <c r="I650" i="2"/>
  <c r="H650" i="2"/>
  <c r="G650" i="2"/>
  <c r="I649" i="2"/>
  <c r="H649" i="2"/>
  <c r="G649" i="2"/>
  <c r="I648" i="2"/>
  <c r="H648" i="2"/>
  <c r="G648" i="2"/>
  <c r="I647" i="2"/>
  <c r="H647" i="2"/>
  <c r="G647" i="2"/>
  <c r="I646" i="2"/>
  <c r="H646" i="2"/>
  <c r="G646" i="2"/>
  <c r="I645" i="2"/>
  <c r="H645" i="2"/>
  <c r="G645" i="2"/>
  <c r="I644" i="2"/>
  <c r="H644" i="2"/>
  <c r="G644" i="2"/>
  <c r="I643" i="2"/>
  <c r="H643" i="2"/>
  <c r="G643" i="2"/>
  <c r="I642" i="2"/>
  <c r="H642" i="2"/>
  <c r="G642" i="2"/>
  <c r="I641" i="2"/>
  <c r="H641" i="2"/>
  <c r="G641" i="2"/>
  <c r="I640" i="2"/>
  <c r="H640" i="2"/>
  <c r="G640" i="2"/>
  <c r="I639" i="2"/>
  <c r="H639" i="2"/>
  <c r="G639" i="2"/>
  <c r="I638" i="2"/>
  <c r="H638" i="2"/>
  <c r="G638" i="2"/>
  <c r="I637" i="2"/>
  <c r="H637" i="2"/>
  <c r="G637" i="2"/>
  <c r="I636" i="2"/>
  <c r="H636" i="2"/>
  <c r="G636" i="2"/>
  <c r="I635" i="2"/>
  <c r="H635" i="2"/>
  <c r="G635" i="2"/>
  <c r="I634" i="2"/>
  <c r="H634" i="2"/>
  <c r="G634" i="2"/>
  <c r="I633" i="2"/>
  <c r="H633" i="2"/>
  <c r="G633" i="2"/>
  <c r="I632" i="2"/>
  <c r="H632" i="2"/>
  <c r="G632" i="2"/>
  <c r="I631" i="2"/>
  <c r="H631" i="2"/>
  <c r="G631" i="2"/>
  <c r="I630" i="2"/>
  <c r="H630" i="2"/>
  <c r="G630" i="2"/>
  <c r="I629" i="2"/>
  <c r="H629" i="2"/>
  <c r="G629" i="2"/>
  <c r="I628" i="2"/>
  <c r="H628" i="2"/>
  <c r="G628" i="2"/>
  <c r="I627" i="2"/>
  <c r="H627" i="2"/>
  <c r="G627" i="2"/>
  <c r="I626" i="2"/>
  <c r="H626" i="2"/>
  <c r="G626" i="2"/>
  <c r="I625" i="2"/>
  <c r="H625" i="2"/>
  <c r="G625" i="2"/>
  <c r="I624" i="2"/>
  <c r="H624" i="2"/>
  <c r="G624" i="2"/>
  <c r="I623" i="2"/>
  <c r="H623" i="2"/>
  <c r="G623" i="2"/>
  <c r="I622" i="2"/>
  <c r="H622" i="2"/>
  <c r="G622" i="2"/>
  <c r="I621" i="2"/>
  <c r="H621" i="2"/>
  <c r="G621" i="2"/>
  <c r="I620" i="2"/>
  <c r="H620" i="2"/>
  <c r="G620" i="2"/>
  <c r="I619" i="2"/>
  <c r="H619" i="2"/>
  <c r="G619" i="2"/>
  <c r="I618" i="2"/>
  <c r="H618" i="2"/>
  <c r="G618" i="2"/>
  <c r="I617" i="2"/>
  <c r="H617" i="2"/>
  <c r="G617" i="2"/>
  <c r="I616" i="2"/>
  <c r="H616" i="2"/>
  <c r="G616" i="2"/>
  <c r="I615" i="2"/>
  <c r="H615" i="2"/>
  <c r="G615" i="2"/>
  <c r="I614" i="2"/>
  <c r="H614" i="2"/>
  <c r="G614" i="2"/>
  <c r="I613" i="2"/>
  <c r="H613" i="2"/>
  <c r="G613" i="2"/>
  <c r="I612" i="2"/>
  <c r="H612" i="2"/>
  <c r="G612" i="2"/>
  <c r="I611" i="2"/>
  <c r="H611" i="2"/>
  <c r="G611" i="2"/>
  <c r="I610" i="2"/>
  <c r="H610" i="2"/>
  <c r="G610" i="2"/>
  <c r="I609" i="2"/>
  <c r="H609" i="2"/>
  <c r="G609" i="2"/>
  <c r="I608" i="2"/>
  <c r="H608" i="2"/>
  <c r="G608" i="2"/>
  <c r="I607" i="2"/>
  <c r="H607" i="2"/>
  <c r="G607" i="2"/>
  <c r="I606" i="2"/>
  <c r="H606" i="2"/>
  <c r="G606" i="2"/>
  <c r="I605" i="2"/>
  <c r="H605" i="2"/>
  <c r="G605" i="2"/>
  <c r="I604" i="2"/>
  <c r="H604" i="2"/>
  <c r="G604" i="2"/>
  <c r="I603" i="2"/>
  <c r="H603" i="2"/>
  <c r="G603" i="2"/>
  <c r="I602" i="2"/>
  <c r="H602" i="2"/>
  <c r="G602" i="2"/>
  <c r="I601" i="2"/>
  <c r="H601" i="2"/>
  <c r="G601" i="2"/>
  <c r="I600" i="2"/>
  <c r="H600" i="2"/>
  <c r="G600" i="2"/>
  <c r="I599" i="2"/>
  <c r="H599" i="2"/>
  <c r="G599" i="2"/>
  <c r="I598" i="2"/>
  <c r="H598" i="2"/>
  <c r="G598" i="2"/>
  <c r="I597" i="2"/>
  <c r="H597" i="2"/>
  <c r="G597" i="2"/>
  <c r="I596" i="2"/>
  <c r="H596" i="2"/>
  <c r="G596" i="2"/>
  <c r="I595" i="2"/>
  <c r="H595" i="2"/>
  <c r="G595" i="2"/>
  <c r="I594" i="2"/>
  <c r="H594" i="2"/>
  <c r="G594" i="2"/>
  <c r="I593" i="2"/>
  <c r="H593" i="2"/>
  <c r="G593" i="2"/>
  <c r="I592" i="2"/>
  <c r="H592" i="2"/>
  <c r="G592" i="2"/>
  <c r="I591" i="2"/>
  <c r="H591" i="2"/>
  <c r="G591" i="2"/>
  <c r="I590" i="2"/>
  <c r="H590" i="2"/>
  <c r="G590" i="2"/>
  <c r="I589" i="2"/>
  <c r="H589" i="2"/>
  <c r="G589" i="2"/>
  <c r="I588" i="2"/>
  <c r="H588" i="2"/>
  <c r="G588" i="2"/>
  <c r="I587" i="2"/>
  <c r="H587" i="2"/>
  <c r="G587" i="2"/>
  <c r="I586" i="2"/>
  <c r="H586" i="2"/>
  <c r="G586" i="2"/>
  <c r="I585" i="2"/>
  <c r="H585" i="2"/>
  <c r="G585" i="2"/>
  <c r="I584" i="2"/>
  <c r="H584" i="2"/>
  <c r="G584" i="2"/>
  <c r="I583" i="2"/>
  <c r="H583" i="2"/>
  <c r="G583" i="2"/>
  <c r="I582" i="2"/>
  <c r="H582" i="2"/>
  <c r="G582" i="2"/>
  <c r="I581" i="2"/>
  <c r="H581" i="2"/>
  <c r="G581" i="2"/>
  <c r="I580" i="2"/>
  <c r="H580" i="2"/>
  <c r="G580" i="2"/>
  <c r="I579" i="2"/>
  <c r="H579" i="2"/>
  <c r="G579" i="2"/>
  <c r="I578" i="2"/>
  <c r="H578" i="2"/>
  <c r="G578" i="2"/>
  <c r="I577" i="2"/>
  <c r="H577" i="2"/>
  <c r="G577" i="2"/>
  <c r="I576" i="2"/>
  <c r="H576" i="2"/>
  <c r="G576" i="2"/>
  <c r="I575" i="2"/>
  <c r="H575" i="2"/>
  <c r="G575" i="2"/>
  <c r="I574" i="2"/>
  <c r="H574" i="2"/>
  <c r="G574" i="2"/>
  <c r="I573" i="2"/>
  <c r="H573" i="2"/>
  <c r="G573" i="2"/>
  <c r="I572" i="2"/>
  <c r="H572" i="2"/>
  <c r="G572" i="2"/>
  <c r="I571" i="2"/>
  <c r="H571" i="2"/>
  <c r="G571" i="2"/>
  <c r="I570" i="2"/>
  <c r="H570" i="2"/>
  <c r="G570" i="2"/>
  <c r="I569" i="2"/>
  <c r="H569" i="2"/>
  <c r="G569" i="2"/>
  <c r="I568" i="2"/>
  <c r="H568" i="2"/>
  <c r="G568" i="2"/>
  <c r="I567" i="2"/>
  <c r="H567" i="2"/>
  <c r="G567" i="2"/>
  <c r="I566" i="2"/>
  <c r="H566" i="2"/>
  <c r="G566" i="2"/>
  <c r="I565" i="2"/>
  <c r="H565" i="2"/>
  <c r="G565" i="2"/>
  <c r="I564" i="2"/>
  <c r="H564" i="2"/>
  <c r="G564" i="2"/>
  <c r="I563" i="2"/>
  <c r="H563" i="2"/>
  <c r="G563" i="2"/>
  <c r="I562" i="2"/>
  <c r="H562" i="2"/>
  <c r="G562" i="2"/>
  <c r="I561" i="2"/>
  <c r="H561" i="2"/>
  <c r="G561" i="2"/>
  <c r="I560" i="2"/>
  <c r="H560" i="2"/>
  <c r="G560" i="2"/>
  <c r="I559" i="2"/>
  <c r="H559" i="2"/>
  <c r="G559" i="2"/>
  <c r="I558" i="2"/>
  <c r="H558" i="2"/>
  <c r="G558" i="2"/>
  <c r="I557" i="2"/>
  <c r="H557" i="2"/>
  <c r="G557" i="2"/>
  <c r="I556" i="2"/>
  <c r="H556" i="2"/>
  <c r="G556" i="2"/>
  <c r="I555" i="2"/>
  <c r="H555" i="2"/>
  <c r="G555" i="2"/>
  <c r="I554" i="2"/>
  <c r="H554" i="2"/>
  <c r="G554" i="2"/>
  <c r="I553" i="2"/>
  <c r="H553" i="2"/>
  <c r="G553" i="2"/>
  <c r="I552" i="2"/>
  <c r="H552" i="2"/>
  <c r="G552" i="2"/>
  <c r="I551" i="2"/>
  <c r="H551" i="2"/>
  <c r="G551" i="2"/>
  <c r="I550" i="2"/>
  <c r="H550" i="2"/>
  <c r="G550" i="2"/>
  <c r="I549" i="2"/>
  <c r="H549" i="2"/>
  <c r="G549" i="2"/>
  <c r="I548" i="2"/>
  <c r="H548" i="2"/>
  <c r="G548" i="2"/>
  <c r="I547" i="2"/>
  <c r="H547" i="2"/>
  <c r="G547" i="2"/>
  <c r="I546" i="2"/>
  <c r="H546" i="2"/>
  <c r="G546" i="2"/>
  <c r="I545" i="2"/>
  <c r="H545" i="2"/>
  <c r="G545" i="2"/>
  <c r="I544" i="2"/>
  <c r="H544" i="2"/>
  <c r="G544" i="2"/>
  <c r="I543" i="2"/>
  <c r="H543" i="2"/>
  <c r="G543" i="2"/>
  <c r="I542" i="2"/>
  <c r="H542" i="2"/>
  <c r="G542" i="2"/>
  <c r="I541" i="2"/>
  <c r="H541" i="2"/>
  <c r="G541" i="2"/>
  <c r="I540" i="2"/>
  <c r="H540" i="2"/>
  <c r="G540" i="2"/>
  <c r="I539" i="2"/>
  <c r="H539" i="2"/>
  <c r="G539" i="2"/>
  <c r="I538" i="2"/>
  <c r="H538" i="2"/>
  <c r="G538" i="2"/>
  <c r="I537" i="2"/>
  <c r="H537" i="2"/>
  <c r="G537" i="2"/>
  <c r="I536" i="2"/>
  <c r="H536" i="2"/>
  <c r="G536" i="2"/>
  <c r="I535" i="2"/>
  <c r="H535" i="2"/>
  <c r="G535" i="2"/>
  <c r="I534" i="2"/>
  <c r="H534" i="2"/>
  <c r="G534" i="2"/>
  <c r="I533" i="2"/>
  <c r="H533" i="2"/>
  <c r="G533" i="2"/>
  <c r="I532" i="2"/>
  <c r="H532" i="2"/>
  <c r="G532" i="2"/>
  <c r="I531" i="2"/>
  <c r="H531" i="2"/>
  <c r="G531" i="2"/>
  <c r="I530" i="2"/>
  <c r="H530" i="2"/>
  <c r="G530" i="2"/>
  <c r="I529" i="2"/>
  <c r="H529" i="2"/>
  <c r="G529" i="2"/>
  <c r="I528" i="2"/>
  <c r="H528" i="2"/>
  <c r="G528" i="2"/>
  <c r="I527" i="2"/>
  <c r="H527" i="2"/>
  <c r="G527" i="2"/>
  <c r="I526" i="2"/>
  <c r="H526" i="2"/>
  <c r="G526" i="2"/>
  <c r="I525" i="2"/>
  <c r="H525" i="2"/>
  <c r="G525" i="2"/>
  <c r="I524" i="2"/>
  <c r="H524" i="2"/>
  <c r="G524" i="2"/>
  <c r="I523" i="2"/>
  <c r="H523" i="2"/>
  <c r="G523" i="2"/>
  <c r="I522" i="2"/>
  <c r="H522" i="2"/>
  <c r="G522" i="2"/>
  <c r="I521" i="2"/>
  <c r="H521" i="2"/>
  <c r="G521" i="2"/>
  <c r="I520" i="2"/>
  <c r="H520" i="2"/>
  <c r="G520" i="2"/>
  <c r="I519" i="2"/>
  <c r="H519" i="2"/>
  <c r="G519" i="2"/>
  <c r="I518" i="2"/>
  <c r="H518" i="2"/>
  <c r="G518" i="2"/>
  <c r="I517" i="2"/>
  <c r="H517" i="2"/>
  <c r="G517" i="2"/>
  <c r="I516" i="2"/>
  <c r="H516" i="2"/>
  <c r="G516" i="2"/>
  <c r="I515" i="2"/>
  <c r="H515" i="2"/>
  <c r="G515" i="2"/>
  <c r="I514" i="2"/>
  <c r="H514" i="2"/>
  <c r="G514" i="2"/>
  <c r="I513" i="2"/>
  <c r="H513" i="2"/>
  <c r="G513" i="2"/>
  <c r="I512" i="2"/>
  <c r="H512" i="2"/>
  <c r="G512" i="2"/>
  <c r="I511" i="2"/>
  <c r="H511" i="2"/>
  <c r="G511" i="2"/>
  <c r="I510" i="2"/>
  <c r="H510" i="2"/>
  <c r="G510" i="2"/>
  <c r="I509" i="2"/>
  <c r="H509" i="2"/>
  <c r="G509" i="2"/>
  <c r="I508" i="2"/>
  <c r="H508" i="2"/>
  <c r="G508" i="2"/>
  <c r="I507" i="2"/>
  <c r="H507" i="2"/>
  <c r="G507" i="2"/>
  <c r="I506" i="2"/>
  <c r="H506" i="2"/>
  <c r="G506" i="2"/>
  <c r="I505" i="2"/>
  <c r="H505" i="2"/>
  <c r="G505" i="2"/>
  <c r="I504" i="2"/>
  <c r="H504" i="2"/>
  <c r="G504" i="2"/>
  <c r="I503" i="2"/>
  <c r="H503" i="2"/>
  <c r="G503" i="2"/>
  <c r="I502" i="2"/>
  <c r="H502" i="2"/>
  <c r="G502" i="2"/>
  <c r="I501" i="2"/>
  <c r="H501" i="2"/>
  <c r="G501" i="2"/>
  <c r="I500" i="2"/>
  <c r="H500" i="2"/>
  <c r="G500" i="2"/>
  <c r="I499" i="2"/>
  <c r="H499" i="2"/>
  <c r="G499" i="2"/>
  <c r="I498" i="2"/>
  <c r="H498" i="2"/>
  <c r="G498" i="2"/>
  <c r="I497" i="2"/>
  <c r="H497" i="2"/>
  <c r="G497" i="2"/>
  <c r="I496" i="2"/>
  <c r="H496" i="2"/>
  <c r="G496" i="2"/>
  <c r="I495" i="2"/>
  <c r="H495" i="2"/>
  <c r="G495" i="2"/>
  <c r="I494" i="2"/>
  <c r="H494" i="2"/>
  <c r="G494" i="2"/>
  <c r="I493" i="2"/>
  <c r="H493" i="2"/>
  <c r="G493" i="2"/>
  <c r="I492" i="2"/>
  <c r="H492" i="2"/>
  <c r="G492" i="2"/>
  <c r="I491" i="2"/>
  <c r="H491" i="2"/>
  <c r="G491" i="2"/>
  <c r="I490" i="2"/>
  <c r="H490" i="2"/>
  <c r="G490" i="2"/>
  <c r="I489" i="2"/>
  <c r="H489" i="2"/>
  <c r="G489" i="2"/>
  <c r="I488" i="2"/>
  <c r="H488" i="2"/>
  <c r="G488" i="2"/>
  <c r="I487" i="2"/>
  <c r="H487" i="2"/>
  <c r="G487" i="2"/>
  <c r="I486" i="2"/>
  <c r="H486" i="2"/>
  <c r="G486" i="2"/>
  <c r="I485" i="2"/>
  <c r="H485" i="2"/>
  <c r="G485" i="2"/>
  <c r="I484" i="2"/>
  <c r="H484" i="2"/>
  <c r="G484" i="2"/>
  <c r="I483" i="2"/>
  <c r="H483" i="2"/>
  <c r="G483" i="2"/>
  <c r="I482" i="2"/>
  <c r="H482" i="2"/>
  <c r="G482" i="2"/>
  <c r="I481" i="2"/>
  <c r="H481" i="2"/>
  <c r="G481" i="2"/>
  <c r="I480" i="2"/>
  <c r="H480" i="2"/>
  <c r="G480" i="2"/>
  <c r="I479" i="2"/>
  <c r="H479" i="2"/>
  <c r="G479" i="2"/>
  <c r="I478" i="2"/>
  <c r="H478" i="2"/>
  <c r="G478" i="2"/>
  <c r="I477" i="2"/>
  <c r="H477" i="2"/>
  <c r="G477" i="2"/>
  <c r="I476" i="2"/>
  <c r="H476" i="2"/>
  <c r="G476" i="2"/>
  <c r="I475" i="2"/>
  <c r="H475" i="2"/>
  <c r="G475" i="2"/>
  <c r="I474" i="2"/>
  <c r="H474" i="2"/>
  <c r="G474" i="2"/>
  <c r="I473" i="2"/>
  <c r="H473" i="2"/>
  <c r="G473" i="2"/>
  <c r="I472" i="2"/>
  <c r="H472" i="2"/>
  <c r="G472" i="2"/>
  <c r="I471" i="2"/>
  <c r="H471" i="2"/>
  <c r="G471" i="2"/>
  <c r="I470" i="2"/>
  <c r="H470" i="2"/>
  <c r="G470" i="2"/>
  <c r="I469" i="2"/>
  <c r="H469" i="2"/>
  <c r="G469" i="2"/>
  <c r="I468" i="2"/>
  <c r="H468" i="2"/>
  <c r="G468" i="2"/>
  <c r="I467" i="2"/>
  <c r="H467" i="2"/>
  <c r="G467" i="2"/>
  <c r="I466" i="2"/>
  <c r="H466" i="2"/>
  <c r="G466" i="2"/>
  <c r="I465" i="2"/>
  <c r="H465" i="2"/>
  <c r="G465" i="2"/>
  <c r="I464" i="2"/>
  <c r="H464" i="2"/>
  <c r="G464" i="2"/>
  <c r="I463" i="2"/>
  <c r="H463" i="2"/>
  <c r="G463" i="2"/>
  <c r="I462" i="2"/>
  <c r="H462" i="2"/>
  <c r="G462" i="2"/>
  <c r="I461" i="2"/>
  <c r="H461" i="2"/>
  <c r="G461" i="2"/>
  <c r="I460" i="2"/>
  <c r="H460" i="2"/>
  <c r="G460" i="2"/>
  <c r="I459" i="2"/>
  <c r="H459" i="2"/>
  <c r="G459" i="2"/>
  <c r="I458" i="2"/>
  <c r="H458" i="2"/>
  <c r="G458" i="2"/>
  <c r="I457" i="2"/>
  <c r="H457" i="2"/>
  <c r="G457" i="2"/>
  <c r="I456" i="2"/>
  <c r="H456" i="2"/>
  <c r="G456" i="2"/>
  <c r="I455" i="2"/>
  <c r="H455" i="2"/>
  <c r="G455" i="2"/>
  <c r="I454" i="2"/>
  <c r="H454" i="2"/>
  <c r="G454" i="2"/>
  <c r="I453" i="2"/>
  <c r="H453" i="2"/>
  <c r="G453" i="2"/>
  <c r="I452" i="2"/>
  <c r="H452" i="2"/>
  <c r="G452" i="2"/>
  <c r="I451" i="2"/>
  <c r="H451" i="2"/>
  <c r="G451" i="2"/>
  <c r="I450" i="2"/>
  <c r="H450" i="2"/>
  <c r="G450" i="2"/>
  <c r="I449" i="2"/>
  <c r="H449" i="2"/>
  <c r="G449" i="2"/>
  <c r="I448" i="2"/>
  <c r="H448" i="2"/>
  <c r="G448" i="2"/>
  <c r="I447" i="2"/>
  <c r="H447" i="2"/>
  <c r="G447" i="2"/>
  <c r="I446" i="2"/>
  <c r="H446" i="2"/>
  <c r="G446" i="2"/>
  <c r="I445" i="2"/>
  <c r="H445" i="2"/>
  <c r="G445" i="2"/>
  <c r="I444" i="2"/>
  <c r="H444" i="2"/>
  <c r="G444" i="2"/>
  <c r="I443" i="2"/>
  <c r="H443" i="2"/>
  <c r="G443" i="2"/>
  <c r="I442" i="2"/>
  <c r="H442" i="2"/>
  <c r="G442" i="2"/>
  <c r="I441" i="2"/>
  <c r="H441" i="2"/>
  <c r="G441" i="2"/>
  <c r="I440" i="2"/>
  <c r="H440" i="2"/>
  <c r="G440" i="2"/>
  <c r="I439" i="2"/>
  <c r="H439" i="2"/>
  <c r="G439" i="2"/>
  <c r="I438" i="2"/>
  <c r="H438" i="2"/>
  <c r="G438" i="2"/>
  <c r="I437" i="2"/>
  <c r="H437" i="2"/>
  <c r="G437" i="2"/>
  <c r="I436" i="2"/>
  <c r="H436" i="2"/>
  <c r="G436" i="2"/>
  <c r="I435" i="2"/>
  <c r="H435" i="2"/>
  <c r="G435" i="2"/>
  <c r="I434" i="2"/>
  <c r="H434" i="2"/>
  <c r="G434" i="2"/>
  <c r="I433" i="2"/>
  <c r="H433" i="2"/>
  <c r="G433" i="2"/>
  <c r="I432" i="2"/>
  <c r="H432" i="2"/>
  <c r="G432" i="2"/>
  <c r="I431" i="2"/>
  <c r="H431" i="2"/>
  <c r="G431" i="2"/>
  <c r="I430" i="2"/>
  <c r="H430" i="2"/>
  <c r="G430" i="2"/>
  <c r="I429" i="2"/>
  <c r="H429" i="2"/>
  <c r="G429" i="2"/>
  <c r="I428" i="2"/>
  <c r="H428" i="2"/>
  <c r="G428" i="2"/>
  <c r="I427" i="2"/>
  <c r="H427" i="2"/>
  <c r="G427" i="2"/>
  <c r="I426" i="2"/>
  <c r="H426" i="2"/>
  <c r="G426" i="2"/>
  <c r="I425" i="2"/>
  <c r="H425" i="2"/>
  <c r="G425" i="2"/>
  <c r="I424" i="2"/>
  <c r="H424" i="2"/>
  <c r="G424" i="2"/>
  <c r="I423" i="2"/>
  <c r="H423" i="2"/>
  <c r="G423" i="2"/>
  <c r="I422" i="2"/>
  <c r="H422" i="2"/>
  <c r="G422" i="2"/>
  <c r="I421" i="2"/>
  <c r="H421" i="2"/>
  <c r="G421" i="2"/>
  <c r="I420" i="2"/>
  <c r="H420" i="2"/>
  <c r="G420" i="2"/>
  <c r="I419" i="2"/>
  <c r="H419" i="2"/>
  <c r="G419" i="2"/>
  <c r="I418" i="2"/>
  <c r="H418" i="2"/>
  <c r="G418" i="2"/>
  <c r="I417" i="2"/>
  <c r="H417" i="2"/>
  <c r="G417" i="2"/>
  <c r="I416" i="2"/>
  <c r="H416" i="2"/>
  <c r="G416" i="2"/>
  <c r="I415" i="2"/>
  <c r="H415" i="2"/>
  <c r="G415" i="2"/>
  <c r="I414" i="2"/>
  <c r="H414" i="2"/>
  <c r="G414" i="2"/>
  <c r="I413" i="2"/>
  <c r="H413" i="2"/>
  <c r="G413" i="2"/>
  <c r="I412" i="2"/>
  <c r="H412" i="2"/>
  <c r="G412" i="2"/>
  <c r="I411" i="2"/>
  <c r="H411" i="2"/>
  <c r="G411" i="2"/>
  <c r="I410" i="2"/>
  <c r="H410" i="2"/>
  <c r="G410" i="2"/>
  <c r="I409" i="2"/>
  <c r="H409" i="2"/>
  <c r="G409" i="2"/>
  <c r="I408" i="2"/>
  <c r="H408" i="2"/>
  <c r="G408" i="2"/>
  <c r="I407" i="2"/>
  <c r="H407" i="2"/>
  <c r="G407" i="2"/>
  <c r="I406" i="2"/>
  <c r="H406" i="2"/>
  <c r="G406" i="2"/>
  <c r="I405" i="2"/>
  <c r="H405" i="2"/>
  <c r="G405" i="2"/>
  <c r="I404" i="2"/>
  <c r="H404" i="2"/>
  <c r="G404" i="2"/>
  <c r="I403" i="2"/>
  <c r="H403" i="2"/>
  <c r="G403" i="2"/>
  <c r="I402" i="2"/>
  <c r="H402" i="2"/>
  <c r="G402" i="2"/>
  <c r="I401" i="2"/>
  <c r="H401" i="2"/>
  <c r="G401" i="2"/>
  <c r="I400" i="2"/>
  <c r="H400" i="2"/>
  <c r="G400" i="2"/>
  <c r="I399" i="2"/>
  <c r="H399" i="2"/>
  <c r="G399" i="2"/>
  <c r="I398" i="2"/>
  <c r="H398" i="2"/>
  <c r="G398" i="2"/>
  <c r="I397" i="2"/>
  <c r="H397" i="2"/>
  <c r="G397" i="2"/>
  <c r="I396" i="2"/>
  <c r="H396" i="2"/>
  <c r="G396" i="2"/>
  <c r="I395" i="2"/>
  <c r="H395" i="2"/>
  <c r="G395" i="2"/>
  <c r="I394" i="2"/>
  <c r="H394" i="2"/>
  <c r="G394" i="2"/>
  <c r="I393" i="2"/>
  <c r="H393" i="2"/>
  <c r="G393" i="2"/>
  <c r="I392" i="2"/>
  <c r="H392" i="2"/>
  <c r="G392" i="2"/>
  <c r="I391" i="2"/>
  <c r="H391" i="2"/>
  <c r="G391" i="2"/>
  <c r="I390" i="2"/>
  <c r="H390" i="2"/>
  <c r="G390" i="2"/>
  <c r="I389" i="2"/>
  <c r="H389" i="2"/>
  <c r="G389" i="2"/>
  <c r="I388" i="2"/>
  <c r="H388" i="2"/>
  <c r="G388" i="2"/>
  <c r="I387" i="2"/>
  <c r="H387" i="2"/>
  <c r="G387" i="2"/>
  <c r="I386" i="2"/>
  <c r="H386" i="2"/>
  <c r="G386" i="2"/>
  <c r="I385" i="2"/>
  <c r="H385" i="2"/>
  <c r="G385" i="2"/>
  <c r="I384" i="2"/>
  <c r="H384" i="2"/>
  <c r="G384" i="2"/>
  <c r="I383" i="2"/>
  <c r="H383" i="2"/>
  <c r="G383" i="2"/>
  <c r="I382" i="2"/>
  <c r="H382" i="2"/>
  <c r="G382" i="2"/>
  <c r="I381" i="2"/>
  <c r="H381" i="2"/>
  <c r="G381" i="2"/>
  <c r="I380" i="2"/>
  <c r="H380" i="2"/>
  <c r="G380" i="2"/>
  <c r="I379" i="2"/>
  <c r="H379" i="2"/>
  <c r="G379" i="2"/>
  <c r="I378" i="2"/>
  <c r="H378" i="2"/>
  <c r="G378" i="2"/>
  <c r="I377" i="2"/>
  <c r="H377" i="2"/>
  <c r="G377" i="2"/>
  <c r="I376" i="2"/>
  <c r="H376" i="2"/>
  <c r="G376" i="2"/>
  <c r="I375" i="2"/>
  <c r="H375" i="2"/>
  <c r="G375" i="2"/>
  <c r="I374" i="2"/>
  <c r="H374" i="2"/>
  <c r="G374" i="2"/>
  <c r="I373" i="2"/>
  <c r="H373" i="2"/>
  <c r="G373" i="2"/>
  <c r="I372" i="2"/>
  <c r="H372" i="2"/>
  <c r="G372" i="2"/>
  <c r="I371" i="2"/>
  <c r="H371" i="2"/>
  <c r="G371" i="2"/>
  <c r="I370" i="2"/>
  <c r="H370" i="2"/>
  <c r="G370" i="2"/>
  <c r="I369" i="2"/>
  <c r="H369" i="2"/>
  <c r="G369" i="2"/>
  <c r="I368" i="2"/>
  <c r="H368" i="2"/>
  <c r="G368" i="2"/>
  <c r="I367" i="2"/>
  <c r="H367" i="2"/>
  <c r="G367" i="2"/>
  <c r="I366" i="2"/>
  <c r="H366" i="2"/>
  <c r="G366" i="2"/>
  <c r="I365" i="2"/>
  <c r="H365" i="2"/>
  <c r="G365" i="2"/>
  <c r="I364" i="2"/>
  <c r="H364" i="2"/>
  <c r="G364" i="2"/>
  <c r="I363" i="2"/>
  <c r="H363" i="2"/>
  <c r="G363" i="2"/>
  <c r="I362" i="2"/>
  <c r="H362" i="2"/>
  <c r="G362" i="2"/>
  <c r="I361" i="2"/>
  <c r="H361" i="2"/>
  <c r="G361" i="2"/>
  <c r="I360" i="2"/>
  <c r="H360" i="2"/>
  <c r="G360" i="2"/>
  <c r="I359" i="2"/>
  <c r="H359" i="2"/>
  <c r="G359" i="2"/>
  <c r="I358" i="2"/>
  <c r="H358" i="2"/>
  <c r="G358" i="2"/>
  <c r="I357" i="2"/>
  <c r="H357" i="2"/>
  <c r="G357" i="2"/>
  <c r="I356" i="2"/>
  <c r="H356" i="2"/>
  <c r="G356" i="2"/>
  <c r="I355" i="2"/>
  <c r="H355" i="2"/>
  <c r="G355" i="2"/>
  <c r="I354" i="2"/>
  <c r="H354" i="2"/>
  <c r="G354" i="2"/>
  <c r="I353" i="2"/>
  <c r="H353" i="2"/>
  <c r="G353" i="2"/>
  <c r="I352" i="2"/>
  <c r="H352" i="2"/>
  <c r="G352" i="2"/>
  <c r="I351" i="2"/>
  <c r="H351" i="2"/>
  <c r="G351" i="2"/>
  <c r="I350" i="2"/>
  <c r="H350" i="2"/>
  <c r="G350" i="2"/>
  <c r="I349" i="2"/>
  <c r="H349" i="2"/>
  <c r="G349" i="2"/>
  <c r="I348" i="2"/>
  <c r="H348" i="2"/>
  <c r="G348" i="2"/>
  <c r="I347" i="2"/>
  <c r="H347" i="2"/>
  <c r="G347" i="2"/>
  <c r="I346" i="2"/>
  <c r="H346" i="2"/>
  <c r="G346" i="2"/>
  <c r="I345" i="2"/>
  <c r="H345" i="2"/>
  <c r="G345" i="2"/>
  <c r="I344" i="2"/>
  <c r="H344" i="2"/>
  <c r="G344" i="2"/>
  <c r="I343" i="2"/>
  <c r="H343" i="2"/>
  <c r="G343" i="2"/>
  <c r="I342" i="2"/>
  <c r="H342" i="2"/>
  <c r="G342" i="2"/>
  <c r="I341" i="2"/>
  <c r="H341" i="2"/>
  <c r="G341" i="2"/>
  <c r="I340" i="2"/>
  <c r="H340" i="2"/>
  <c r="G340" i="2"/>
  <c r="I339" i="2"/>
  <c r="H339" i="2"/>
  <c r="G339" i="2"/>
  <c r="I338" i="2"/>
  <c r="H338" i="2"/>
  <c r="G338" i="2"/>
  <c r="I337" i="2"/>
  <c r="H337" i="2"/>
  <c r="G337" i="2"/>
  <c r="I336" i="2"/>
  <c r="H336" i="2"/>
  <c r="G336" i="2"/>
  <c r="I335" i="2"/>
  <c r="H335" i="2"/>
  <c r="G335" i="2"/>
  <c r="I334" i="2"/>
  <c r="H334" i="2"/>
  <c r="G334" i="2"/>
  <c r="I333" i="2"/>
  <c r="H333" i="2"/>
  <c r="G333" i="2"/>
  <c r="I332" i="2"/>
  <c r="H332" i="2"/>
  <c r="G332" i="2"/>
  <c r="I331" i="2"/>
  <c r="H331" i="2"/>
  <c r="G331" i="2"/>
  <c r="I330" i="2"/>
  <c r="H330" i="2"/>
  <c r="G330" i="2"/>
  <c r="I329" i="2"/>
  <c r="H329" i="2"/>
  <c r="G329" i="2"/>
  <c r="I328" i="2"/>
  <c r="H328" i="2"/>
  <c r="G328" i="2"/>
  <c r="I327" i="2"/>
  <c r="H327" i="2"/>
  <c r="G327" i="2"/>
  <c r="I326" i="2"/>
  <c r="H326" i="2"/>
  <c r="G326" i="2"/>
  <c r="I325" i="2"/>
  <c r="H325" i="2"/>
  <c r="G325" i="2"/>
  <c r="I324" i="2"/>
  <c r="H324" i="2"/>
  <c r="G324" i="2"/>
  <c r="I323" i="2"/>
  <c r="H323" i="2"/>
  <c r="G323" i="2"/>
  <c r="I322" i="2"/>
  <c r="H322" i="2"/>
  <c r="G322" i="2"/>
  <c r="I321" i="2"/>
  <c r="H321" i="2"/>
  <c r="G321" i="2"/>
  <c r="I320" i="2"/>
  <c r="H320" i="2"/>
  <c r="G320" i="2"/>
  <c r="I319" i="2"/>
  <c r="H319" i="2"/>
  <c r="G319" i="2"/>
  <c r="I318" i="2"/>
  <c r="H318" i="2"/>
  <c r="G318" i="2"/>
  <c r="I317" i="2"/>
  <c r="H317" i="2"/>
  <c r="G317" i="2"/>
  <c r="I316" i="2"/>
  <c r="H316" i="2"/>
  <c r="G316" i="2"/>
  <c r="I315" i="2"/>
  <c r="H315" i="2"/>
  <c r="G315" i="2"/>
  <c r="I314" i="2"/>
  <c r="H314" i="2"/>
  <c r="G314" i="2"/>
  <c r="I313" i="2"/>
  <c r="H313" i="2"/>
  <c r="G313" i="2"/>
  <c r="I312" i="2"/>
  <c r="H312" i="2"/>
  <c r="G312" i="2"/>
  <c r="I311" i="2"/>
  <c r="H311" i="2"/>
  <c r="G311" i="2"/>
  <c r="I310" i="2"/>
  <c r="H310" i="2"/>
  <c r="G310" i="2"/>
  <c r="I309" i="2"/>
  <c r="H309" i="2"/>
  <c r="G309" i="2"/>
  <c r="I308" i="2"/>
  <c r="H308" i="2"/>
  <c r="G308" i="2"/>
  <c r="I307" i="2"/>
  <c r="H307" i="2"/>
  <c r="G307" i="2"/>
  <c r="I306" i="2"/>
  <c r="H306" i="2"/>
  <c r="G306" i="2"/>
  <c r="I305" i="2"/>
  <c r="H305" i="2"/>
  <c r="G305" i="2"/>
  <c r="I304" i="2"/>
  <c r="H304" i="2"/>
  <c r="G304" i="2"/>
  <c r="I303" i="2"/>
  <c r="H303" i="2"/>
  <c r="G303" i="2"/>
  <c r="I302" i="2"/>
  <c r="H302" i="2"/>
  <c r="G302" i="2"/>
  <c r="I301" i="2"/>
  <c r="H301" i="2"/>
  <c r="G301" i="2"/>
  <c r="I300" i="2"/>
  <c r="H300" i="2"/>
  <c r="G300" i="2"/>
  <c r="I299" i="2"/>
  <c r="H299" i="2"/>
  <c r="G299" i="2"/>
  <c r="I298" i="2"/>
  <c r="H298" i="2"/>
  <c r="G298" i="2"/>
  <c r="I297" i="2"/>
  <c r="H297" i="2"/>
  <c r="G297" i="2"/>
  <c r="I296" i="2"/>
  <c r="H296" i="2"/>
  <c r="G296" i="2"/>
  <c r="I295" i="2"/>
  <c r="H295" i="2"/>
  <c r="G295" i="2"/>
  <c r="I294" i="2"/>
  <c r="H294" i="2"/>
  <c r="G294" i="2"/>
  <c r="I293" i="2"/>
  <c r="H293" i="2"/>
  <c r="G293" i="2"/>
  <c r="I292" i="2"/>
  <c r="H292" i="2"/>
  <c r="G292" i="2"/>
  <c r="I291" i="2"/>
  <c r="H291" i="2"/>
  <c r="G291" i="2"/>
  <c r="I290" i="2"/>
  <c r="H290" i="2"/>
  <c r="G290" i="2"/>
  <c r="I289" i="2"/>
  <c r="H289" i="2"/>
  <c r="G289" i="2"/>
  <c r="I288" i="2"/>
  <c r="H288" i="2"/>
  <c r="G288" i="2"/>
  <c r="I287" i="2"/>
  <c r="H287" i="2"/>
  <c r="G287" i="2"/>
  <c r="I286" i="2"/>
  <c r="H286" i="2"/>
  <c r="G286" i="2"/>
  <c r="I285" i="2"/>
  <c r="H285" i="2"/>
  <c r="G285" i="2"/>
  <c r="I284" i="2"/>
  <c r="H284" i="2"/>
  <c r="G284" i="2"/>
  <c r="I283" i="2"/>
  <c r="H283" i="2"/>
  <c r="G283" i="2"/>
  <c r="I282" i="2"/>
  <c r="H282" i="2"/>
  <c r="G282" i="2"/>
  <c r="I281" i="2"/>
  <c r="H281" i="2"/>
  <c r="G281" i="2"/>
  <c r="I280" i="2"/>
  <c r="H280" i="2"/>
  <c r="G280" i="2"/>
  <c r="I279" i="2"/>
  <c r="H279" i="2"/>
  <c r="G279" i="2"/>
  <c r="I278" i="2"/>
  <c r="H278" i="2"/>
  <c r="G278" i="2"/>
  <c r="I277" i="2"/>
  <c r="H277" i="2"/>
  <c r="G277" i="2"/>
  <c r="I276" i="2"/>
  <c r="H276" i="2"/>
  <c r="G276" i="2"/>
  <c r="I275" i="2"/>
  <c r="H275" i="2"/>
  <c r="G275" i="2"/>
  <c r="I274" i="2"/>
  <c r="H274" i="2"/>
  <c r="G274" i="2"/>
  <c r="I273" i="2"/>
  <c r="H273" i="2"/>
  <c r="G273" i="2"/>
  <c r="I272" i="2"/>
  <c r="H272" i="2"/>
  <c r="G272" i="2"/>
  <c r="I271" i="2"/>
  <c r="H271" i="2"/>
  <c r="G271" i="2"/>
  <c r="I270" i="2"/>
  <c r="H270" i="2"/>
  <c r="G270" i="2"/>
  <c r="I269" i="2"/>
  <c r="H269" i="2"/>
  <c r="G269" i="2"/>
  <c r="I268" i="2"/>
  <c r="H268" i="2"/>
  <c r="G268" i="2"/>
  <c r="I267" i="2"/>
  <c r="H267" i="2"/>
  <c r="G267" i="2"/>
  <c r="I266" i="2"/>
  <c r="H266" i="2"/>
  <c r="G266" i="2"/>
  <c r="I265" i="2"/>
  <c r="H265" i="2"/>
  <c r="G265" i="2"/>
  <c r="I264" i="2"/>
  <c r="H264" i="2"/>
  <c r="G264" i="2"/>
  <c r="I263" i="2"/>
  <c r="H263" i="2"/>
  <c r="G263" i="2"/>
  <c r="I262" i="2"/>
  <c r="H262" i="2"/>
  <c r="G262" i="2"/>
  <c r="I261" i="2"/>
  <c r="H261" i="2"/>
  <c r="G261" i="2"/>
  <c r="I260" i="2"/>
  <c r="H260" i="2"/>
  <c r="G260" i="2"/>
  <c r="I259" i="2"/>
  <c r="H259" i="2"/>
  <c r="G259" i="2"/>
  <c r="I258" i="2"/>
  <c r="H258" i="2"/>
  <c r="G258" i="2"/>
  <c r="I257" i="2"/>
  <c r="H257" i="2"/>
  <c r="G257" i="2"/>
  <c r="I256" i="2"/>
  <c r="H256" i="2"/>
  <c r="G256" i="2"/>
  <c r="I255" i="2"/>
  <c r="H255" i="2"/>
  <c r="G255" i="2"/>
  <c r="I254" i="2"/>
  <c r="H254" i="2"/>
  <c r="G254" i="2"/>
  <c r="I253" i="2"/>
  <c r="H253" i="2"/>
  <c r="G253" i="2"/>
  <c r="I252" i="2"/>
  <c r="H252" i="2"/>
  <c r="G252" i="2"/>
  <c r="I251" i="2"/>
  <c r="H251" i="2"/>
  <c r="G251" i="2"/>
  <c r="I250" i="2"/>
  <c r="H250" i="2"/>
  <c r="G250" i="2"/>
  <c r="I249" i="2"/>
  <c r="H249" i="2"/>
  <c r="G249" i="2"/>
  <c r="I248" i="2"/>
  <c r="H248" i="2"/>
  <c r="G248" i="2"/>
  <c r="I247" i="2"/>
  <c r="H247" i="2"/>
  <c r="G247" i="2"/>
  <c r="I246" i="2"/>
  <c r="H246" i="2"/>
  <c r="G246" i="2"/>
  <c r="I245" i="2"/>
  <c r="H245" i="2"/>
  <c r="G245" i="2"/>
  <c r="I244" i="2"/>
  <c r="H244" i="2"/>
  <c r="G244" i="2"/>
  <c r="I243" i="2"/>
  <c r="H243" i="2"/>
  <c r="G243" i="2"/>
  <c r="I242" i="2"/>
  <c r="H242" i="2"/>
  <c r="G242" i="2"/>
  <c r="I241" i="2"/>
  <c r="H241" i="2"/>
  <c r="G241" i="2"/>
  <c r="I240" i="2"/>
  <c r="H240" i="2"/>
  <c r="G240" i="2"/>
  <c r="I239" i="2"/>
  <c r="H239" i="2"/>
  <c r="G239" i="2"/>
  <c r="I238" i="2"/>
  <c r="H238" i="2"/>
  <c r="G238" i="2"/>
  <c r="I237" i="2"/>
  <c r="H237" i="2"/>
  <c r="G237" i="2"/>
  <c r="I236" i="2"/>
  <c r="H236" i="2"/>
  <c r="G236" i="2"/>
  <c r="I235" i="2"/>
  <c r="H235" i="2"/>
  <c r="G235" i="2"/>
  <c r="I234" i="2"/>
  <c r="H234" i="2"/>
  <c r="G234" i="2"/>
  <c r="I233" i="2"/>
  <c r="H233" i="2"/>
  <c r="G233" i="2"/>
  <c r="I232" i="2"/>
  <c r="H232" i="2"/>
  <c r="G232" i="2"/>
  <c r="I231" i="2"/>
  <c r="H231" i="2"/>
  <c r="G231" i="2"/>
  <c r="I230" i="2"/>
  <c r="H230" i="2"/>
  <c r="G230" i="2"/>
  <c r="I229" i="2"/>
  <c r="H229" i="2"/>
  <c r="G229" i="2"/>
  <c r="I228" i="2"/>
  <c r="H228" i="2"/>
  <c r="G228" i="2"/>
  <c r="I227" i="2"/>
  <c r="H227" i="2"/>
  <c r="G227" i="2"/>
  <c r="I226" i="2"/>
  <c r="H226" i="2"/>
  <c r="G226" i="2"/>
  <c r="I225" i="2"/>
  <c r="H225" i="2"/>
  <c r="G225" i="2"/>
  <c r="I224" i="2"/>
  <c r="H224" i="2"/>
  <c r="G224" i="2"/>
  <c r="I223" i="2"/>
  <c r="H223" i="2"/>
  <c r="G223" i="2"/>
  <c r="I222" i="2"/>
  <c r="H222" i="2"/>
  <c r="G222" i="2"/>
  <c r="I221" i="2"/>
  <c r="H221" i="2"/>
  <c r="G221" i="2"/>
  <c r="I220" i="2"/>
  <c r="H220" i="2"/>
  <c r="G220" i="2"/>
  <c r="I219" i="2"/>
  <c r="H219" i="2"/>
  <c r="G219" i="2"/>
  <c r="I218" i="2"/>
  <c r="H218" i="2"/>
  <c r="G218" i="2"/>
  <c r="I217" i="2"/>
  <c r="H217" i="2"/>
  <c r="G217" i="2"/>
  <c r="I216" i="2"/>
  <c r="H216" i="2"/>
  <c r="G216" i="2"/>
  <c r="I215" i="2"/>
  <c r="H215" i="2"/>
  <c r="G215" i="2"/>
  <c r="I214" i="2"/>
  <c r="H214" i="2"/>
  <c r="G214" i="2"/>
  <c r="I213" i="2"/>
  <c r="H213" i="2"/>
  <c r="G213" i="2"/>
  <c r="I212" i="2"/>
  <c r="H212" i="2"/>
  <c r="G212" i="2"/>
  <c r="I211" i="2"/>
  <c r="H211" i="2"/>
  <c r="G211" i="2"/>
  <c r="I210" i="2"/>
  <c r="H210" i="2"/>
  <c r="G210" i="2"/>
  <c r="I209" i="2"/>
  <c r="H209" i="2"/>
  <c r="G209" i="2"/>
  <c r="I208" i="2"/>
  <c r="H208" i="2"/>
  <c r="G208" i="2"/>
  <c r="I207" i="2"/>
  <c r="H207" i="2"/>
  <c r="G207" i="2"/>
  <c r="I206" i="2"/>
  <c r="H206" i="2"/>
  <c r="G206" i="2"/>
  <c r="I205" i="2"/>
  <c r="H205" i="2"/>
  <c r="G205" i="2"/>
  <c r="I204" i="2"/>
  <c r="H204" i="2"/>
  <c r="G204" i="2"/>
  <c r="I203" i="2"/>
  <c r="H203" i="2"/>
  <c r="G203" i="2"/>
  <c r="I202" i="2"/>
  <c r="H202" i="2"/>
  <c r="G202" i="2"/>
  <c r="I201" i="2"/>
  <c r="H201" i="2"/>
  <c r="G201" i="2"/>
  <c r="I200" i="2"/>
  <c r="H200" i="2"/>
  <c r="G200" i="2"/>
  <c r="I199" i="2"/>
  <c r="H199" i="2"/>
  <c r="G199" i="2"/>
  <c r="I198" i="2"/>
  <c r="H198" i="2"/>
  <c r="G198" i="2"/>
  <c r="I197" i="2"/>
  <c r="H197" i="2"/>
  <c r="G197" i="2"/>
  <c r="I196" i="2"/>
  <c r="H196" i="2"/>
  <c r="G196" i="2"/>
  <c r="I195" i="2"/>
  <c r="H195" i="2"/>
  <c r="G195" i="2"/>
  <c r="I194" i="2"/>
  <c r="H194" i="2"/>
  <c r="G194" i="2"/>
  <c r="I193" i="2"/>
  <c r="H193" i="2"/>
  <c r="G193" i="2"/>
  <c r="I192" i="2"/>
  <c r="H192" i="2"/>
  <c r="G192" i="2"/>
  <c r="I191" i="2"/>
  <c r="H191" i="2"/>
  <c r="G191" i="2"/>
  <c r="I190" i="2"/>
  <c r="H190" i="2"/>
  <c r="G190" i="2"/>
  <c r="I189" i="2"/>
  <c r="H189" i="2"/>
  <c r="G189" i="2"/>
  <c r="I188" i="2"/>
  <c r="H188" i="2"/>
  <c r="G188" i="2"/>
  <c r="I187" i="2"/>
  <c r="H187" i="2"/>
  <c r="G187" i="2"/>
  <c r="I186" i="2"/>
  <c r="H186" i="2"/>
  <c r="G186" i="2"/>
  <c r="I185" i="2"/>
  <c r="H185" i="2"/>
  <c r="G185" i="2"/>
  <c r="I184" i="2"/>
  <c r="H184" i="2"/>
  <c r="G184" i="2"/>
  <c r="I183" i="2"/>
  <c r="H183" i="2"/>
  <c r="G183" i="2"/>
  <c r="I182" i="2"/>
  <c r="H182" i="2"/>
  <c r="G182" i="2"/>
  <c r="I181" i="2"/>
  <c r="H181" i="2"/>
  <c r="G181" i="2"/>
  <c r="I180" i="2"/>
  <c r="H180" i="2"/>
  <c r="G180" i="2"/>
  <c r="I179" i="2"/>
  <c r="H179" i="2"/>
  <c r="G179" i="2"/>
  <c r="I178" i="2"/>
  <c r="H178" i="2"/>
  <c r="G178" i="2"/>
  <c r="I177" i="2"/>
  <c r="H177" i="2"/>
  <c r="G177" i="2"/>
  <c r="I176" i="2"/>
  <c r="H176" i="2"/>
  <c r="G176" i="2"/>
  <c r="I175" i="2"/>
  <c r="H175" i="2"/>
  <c r="G175" i="2"/>
  <c r="I174" i="2"/>
  <c r="H174" i="2"/>
  <c r="G174" i="2"/>
  <c r="I173" i="2"/>
  <c r="H173" i="2"/>
  <c r="G173" i="2"/>
  <c r="I172" i="2"/>
  <c r="H172" i="2"/>
  <c r="G172" i="2"/>
  <c r="I171" i="2"/>
  <c r="H171" i="2"/>
  <c r="G171" i="2"/>
  <c r="I170" i="2"/>
  <c r="H170" i="2"/>
  <c r="G170" i="2"/>
  <c r="I169" i="2"/>
  <c r="H169" i="2"/>
  <c r="G169" i="2"/>
  <c r="I168" i="2"/>
  <c r="H168" i="2"/>
  <c r="G168" i="2"/>
  <c r="I167" i="2"/>
  <c r="H167" i="2"/>
  <c r="G167" i="2"/>
  <c r="I166" i="2"/>
  <c r="H166" i="2"/>
  <c r="G166" i="2"/>
  <c r="I165" i="2"/>
  <c r="H165" i="2"/>
  <c r="G165" i="2"/>
  <c r="I164" i="2"/>
  <c r="H164" i="2"/>
  <c r="G164" i="2"/>
  <c r="I163" i="2"/>
  <c r="H163" i="2"/>
  <c r="G163" i="2"/>
  <c r="I162" i="2"/>
  <c r="H162" i="2"/>
  <c r="G162" i="2"/>
  <c r="I161" i="2"/>
  <c r="H161" i="2"/>
  <c r="G161" i="2"/>
  <c r="I160" i="2"/>
  <c r="H160" i="2"/>
  <c r="G160" i="2"/>
  <c r="I159" i="2"/>
  <c r="H159" i="2"/>
  <c r="G159" i="2"/>
  <c r="I158" i="2"/>
  <c r="H158" i="2"/>
  <c r="G158" i="2"/>
  <c r="I157" i="2"/>
  <c r="H157" i="2"/>
  <c r="G157" i="2"/>
  <c r="I156" i="2"/>
  <c r="H156" i="2"/>
  <c r="G156" i="2"/>
  <c r="I155" i="2"/>
  <c r="H155" i="2"/>
  <c r="G155" i="2"/>
  <c r="I154" i="2"/>
  <c r="H154" i="2"/>
  <c r="G154" i="2"/>
  <c r="I153" i="2"/>
  <c r="H153" i="2"/>
  <c r="G153" i="2"/>
  <c r="I152" i="2"/>
  <c r="H152" i="2"/>
  <c r="G152" i="2"/>
  <c r="I151" i="2"/>
  <c r="H151" i="2"/>
  <c r="G151" i="2"/>
  <c r="I150" i="2"/>
  <c r="H150" i="2"/>
  <c r="G150" i="2"/>
  <c r="I149" i="2"/>
  <c r="H149" i="2"/>
  <c r="G149" i="2"/>
  <c r="I148" i="2"/>
  <c r="H148" i="2"/>
  <c r="G148" i="2"/>
  <c r="I147" i="2"/>
  <c r="H147" i="2"/>
  <c r="G147" i="2"/>
  <c r="I146" i="2"/>
  <c r="H146" i="2"/>
  <c r="G146" i="2"/>
  <c r="I145" i="2"/>
  <c r="H145" i="2"/>
  <c r="G145" i="2"/>
  <c r="I144" i="2"/>
  <c r="H144" i="2"/>
  <c r="G144" i="2"/>
  <c r="I143" i="2"/>
  <c r="H143" i="2"/>
  <c r="G143" i="2"/>
  <c r="I142" i="2"/>
  <c r="H142" i="2"/>
  <c r="G142" i="2"/>
  <c r="I141" i="2"/>
  <c r="H141" i="2"/>
  <c r="G141" i="2"/>
  <c r="I140" i="2"/>
  <c r="H140" i="2"/>
  <c r="G140" i="2"/>
  <c r="I139" i="2"/>
  <c r="H139" i="2"/>
  <c r="G139" i="2"/>
  <c r="I138" i="2"/>
  <c r="H138" i="2"/>
  <c r="G138" i="2"/>
  <c r="I137" i="2"/>
  <c r="H137" i="2"/>
  <c r="G137" i="2"/>
  <c r="I136" i="2"/>
  <c r="H136" i="2"/>
  <c r="G136" i="2"/>
  <c r="I135" i="2"/>
  <c r="H135" i="2"/>
  <c r="G135" i="2"/>
  <c r="I134" i="2"/>
  <c r="H134" i="2"/>
  <c r="G134" i="2"/>
  <c r="I133" i="2"/>
  <c r="H133" i="2"/>
  <c r="G133" i="2"/>
  <c r="I132" i="2"/>
  <c r="H132" i="2"/>
  <c r="G132" i="2"/>
  <c r="I131" i="2"/>
  <c r="H131" i="2"/>
  <c r="G131" i="2"/>
  <c r="I130" i="2"/>
  <c r="H130" i="2"/>
  <c r="G130" i="2"/>
  <c r="I129" i="2"/>
  <c r="H129" i="2"/>
  <c r="G129" i="2"/>
  <c r="I128" i="2"/>
  <c r="H128" i="2"/>
  <c r="G128" i="2"/>
  <c r="I127" i="2"/>
  <c r="H127" i="2"/>
  <c r="G127" i="2"/>
  <c r="I126" i="2"/>
  <c r="H126" i="2"/>
  <c r="G126" i="2"/>
  <c r="I125" i="2"/>
  <c r="H125" i="2"/>
  <c r="G125" i="2"/>
  <c r="I124" i="2"/>
  <c r="H124" i="2"/>
  <c r="G124" i="2"/>
  <c r="I123" i="2"/>
  <c r="H123" i="2"/>
  <c r="G123" i="2"/>
  <c r="I122" i="2"/>
  <c r="H122" i="2"/>
  <c r="G122" i="2"/>
  <c r="I121" i="2"/>
  <c r="H121" i="2"/>
  <c r="G121" i="2"/>
  <c r="I120" i="2"/>
  <c r="H120" i="2"/>
  <c r="G120" i="2"/>
  <c r="I119" i="2"/>
  <c r="H119" i="2"/>
  <c r="G119" i="2"/>
  <c r="I118" i="2"/>
  <c r="H118" i="2"/>
  <c r="G118" i="2"/>
  <c r="I117" i="2"/>
  <c r="H117" i="2"/>
  <c r="G117" i="2"/>
  <c r="I116" i="2"/>
  <c r="H116" i="2"/>
  <c r="G116" i="2"/>
  <c r="I115" i="2"/>
  <c r="H115" i="2"/>
  <c r="G115" i="2"/>
  <c r="I114" i="2"/>
  <c r="H114" i="2"/>
  <c r="G114" i="2"/>
  <c r="I113" i="2"/>
  <c r="H113" i="2"/>
  <c r="G113" i="2"/>
  <c r="I112" i="2"/>
  <c r="H112" i="2"/>
  <c r="G112" i="2"/>
  <c r="I111" i="2"/>
  <c r="H111" i="2"/>
  <c r="G111" i="2"/>
  <c r="I110" i="2"/>
  <c r="H110" i="2"/>
  <c r="G110" i="2"/>
  <c r="I109" i="2"/>
  <c r="H109" i="2"/>
  <c r="G109" i="2"/>
  <c r="I108" i="2"/>
  <c r="H108" i="2"/>
  <c r="G108" i="2"/>
  <c r="I107" i="2"/>
  <c r="H107" i="2"/>
  <c r="G107" i="2"/>
  <c r="I106" i="2"/>
  <c r="H106" i="2"/>
  <c r="G106" i="2"/>
  <c r="I105" i="2"/>
  <c r="H105" i="2"/>
  <c r="G105" i="2"/>
  <c r="I104" i="2"/>
  <c r="H104" i="2"/>
  <c r="G104" i="2"/>
  <c r="I103" i="2"/>
  <c r="H103" i="2"/>
  <c r="G103" i="2"/>
  <c r="I102" i="2"/>
  <c r="H102" i="2"/>
  <c r="G102" i="2"/>
  <c r="I101" i="2"/>
  <c r="H101" i="2"/>
  <c r="G101" i="2"/>
  <c r="I100" i="2"/>
  <c r="H100" i="2"/>
  <c r="G100" i="2"/>
  <c r="I99" i="2"/>
  <c r="H99" i="2"/>
  <c r="G99" i="2"/>
  <c r="I98" i="2"/>
  <c r="H98" i="2"/>
  <c r="G98" i="2"/>
  <c r="I97" i="2"/>
  <c r="H97" i="2"/>
  <c r="G97" i="2"/>
  <c r="I96" i="2"/>
  <c r="H96" i="2"/>
  <c r="G96" i="2"/>
  <c r="I95" i="2"/>
  <c r="H95" i="2"/>
  <c r="G95" i="2"/>
  <c r="I94" i="2"/>
  <c r="H94" i="2"/>
  <c r="G94" i="2"/>
  <c r="I93" i="2"/>
  <c r="H93" i="2"/>
  <c r="G93" i="2"/>
  <c r="I92" i="2"/>
  <c r="H92" i="2"/>
  <c r="G92" i="2"/>
  <c r="I91" i="2"/>
  <c r="H91" i="2"/>
  <c r="G91" i="2"/>
  <c r="I90" i="2"/>
  <c r="H90" i="2"/>
  <c r="G90" i="2"/>
  <c r="I89" i="2"/>
  <c r="H89" i="2"/>
  <c r="G89" i="2"/>
  <c r="I88" i="2"/>
  <c r="H88" i="2"/>
  <c r="G88" i="2"/>
  <c r="I87" i="2"/>
  <c r="H87" i="2"/>
  <c r="G87" i="2"/>
  <c r="I86" i="2"/>
  <c r="H86" i="2"/>
  <c r="G86" i="2"/>
  <c r="I85" i="2"/>
  <c r="H85" i="2"/>
  <c r="G85" i="2"/>
  <c r="I84" i="2"/>
  <c r="H84" i="2"/>
  <c r="G84" i="2"/>
  <c r="I83" i="2"/>
  <c r="H83" i="2"/>
  <c r="G83" i="2"/>
  <c r="I82" i="2"/>
  <c r="H82" i="2"/>
  <c r="G82" i="2"/>
  <c r="I81" i="2"/>
  <c r="H81" i="2"/>
  <c r="G81" i="2"/>
  <c r="I80" i="2"/>
  <c r="H80" i="2"/>
  <c r="G80" i="2"/>
  <c r="I79" i="2"/>
  <c r="H79" i="2"/>
  <c r="G79" i="2"/>
  <c r="I78" i="2"/>
  <c r="H78" i="2"/>
  <c r="G78" i="2"/>
  <c r="I77" i="2"/>
  <c r="H77" i="2"/>
  <c r="G77" i="2"/>
  <c r="I76" i="2"/>
  <c r="H76" i="2"/>
  <c r="G76" i="2"/>
  <c r="I75" i="2"/>
  <c r="H75" i="2"/>
  <c r="G75" i="2"/>
  <c r="I74" i="2"/>
  <c r="H74" i="2"/>
  <c r="G74" i="2"/>
  <c r="I73" i="2"/>
  <c r="H73" i="2"/>
  <c r="G73" i="2"/>
  <c r="I72" i="2"/>
  <c r="H72" i="2"/>
  <c r="G72" i="2"/>
  <c r="I71" i="2"/>
  <c r="H71" i="2"/>
  <c r="G71" i="2"/>
  <c r="I70" i="2"/>
  <c r="H70" i="2"/>
  <c r="G70" i="2"/>
  <c r="I69" i="2"/>
  <c r="H69" i="2"/>
  <c r="G69" i="2"/>
  <c r="I68" i="2"/>
  <c r="H68" i="2"/>
  <c r="G68" i="2"/>
  <c r="I67" i="2"/>
  <c r="H67" i="2"/>
  <c r="G67" i="2"/>
  <c r="I66" i="2"/>
  <c r="H66" i="2"/>
  <c r="G66" i="2"/>
  <c r="I65" i="2"/>
  <c r="H65" i="2"/>
  <c r="G65" i="2"/>
  <c r="I64" i="2"/>
  <c r="H64" i="2"/>
  <c r="G64" i="2"/>
  <c r="I63" i="2"/>
  <c r="H63" i="2"/>
  <c r="G63" i="2"/>
  <c r="I62" i="2"/>
  <c r="H62" i="2"/>
  <c r="G62" i="2"/>
  <c r="I61" i="2"/>
  <c r="H61" i="2"/>
  <c r="G61" i="2"/>
  <c r="I60" i="2"/>
  <c r="H60" i="2"/>
  <c r="G60" i="2"/>
  <c r="I59" i="2"/>
  <c r="H59" i="2"/>
  <c r="G59" i="2"/>
  <c r="I58" i="2"/>
  <c r="H58" i="2"/>
  <c r="G58" i="2"/>
  <c r="I57" i="2"/>
  <c r="H57" i="2"/>
  <c r="G57" i="2"/>
  <c r="I56" i="2"/>
  <c r="H56" i="2"/>
  <c r="G56" i="2"/>
  <c r="I55" i="2"/>
  <c r="H55" i="2"/>
  <c r="G55" i="2"/>
  <c r="I54" i="2"/>
  <c r="H54" i="2"/>
  <c r="G54" i="2"/>
  <c r="I53" i="2"/>
  <c r="H53" i="2"/>
  <c r="G53" i="2"/>
  <c r="I52" i="2"/>
  <c r="H52" i="2"/>
  <c r="G52" i="2"/>
  <c r="I51" i="2"/>
  <c r="H51" i="2"/>
  <c r="G51" i="2"/>
  <c r="I50" i="2"/>
  <c r="H50" i="2"/>
  <c r="G50" i="2"/>
  <c r="I49" i="2"/>
  <c r="H49" i="2"/>
  <c r="G49" i="2"/>
  <c r="I48" i="2"/>
  <c r="H48" i="2"/>
  <c r="G48" i="2"/>
  <c r="I47" i="2"/>
  <c r="H47" i="2"/>
  <c r="G47" i="2"/>
  <c r="I46" i="2"/>
  <c r="H46" i="2"/>
  <c r="G46" i="2"/>
  <c r="I45" i="2"/>
  <c r="H45" i="2"/>
  <c r="G45" i="2"/>
  <c r="I44" i="2"/>
  <c r="H44" i="2"/>
  <c r="G44" i="2"/>
  <c r="I43" i="2"/>
  <c r="H43" i="2"/>
  <c r="G43" i="2"/>
  <c r="I42" i="2"/>
  <c r="H42" i="2"/>
  <c r="G42" i="2"/>
  <c r="I41" i="2"/>
  <c r="H41" i="2"/>
  <c r="G41" i="2"/>
  <c r="I40" i="2"/>
  <c r="H40" i="2"/>
  <c r="G40" i="2"/>
  <c r="I39" i="2"/>
  <c r="H39" i="2"/>
  <c r="G39" i="2"/>
  <c r="I38" i="2"/>
  <c r="H38" i="2"/>
  <c r="G38" i="2"/>
  <c r="I37" i="2"/>
  <c r="H37" i="2"/>
  <c r="G37" i="2"/>
  <c r="I36" i="2"/>
  <c r="H36" i="2"/>
  <c r="G36" i="2"/>
  <c r="I35" i="2"/>
  <c r="H35" i="2"/>
  <c r="G35" i="2"/>
  <c r="I34" i="2"/>
  <c r="H34" i="2"/>
  <c r="G34" i="2"/>
  <c r="I33" i="2"/>
  <c r="H33" i="2"/>
  <c r="G33" i="2"/>
  <c r="I32" i="2"/>
  <c r="H32" i="2"/>
  <c r="G32" i="2"/>
  <c r="I31" i="2"/>
  <c r="H31" i="2"/>
  <c r="G31" i="2"/>
  <c r="I30" i="2"/>
  <c r="H30" i="2"/>
  <c r="G30" i="2"/>
  <c r="I29" i="2"/>
  <c r="H29" i="2"/>
  <c r="G29" i="2"/>
  <c r="I28" i="2"/>
  <c r="H28" i="2"/>
  <c r="G28" i="2"/>
  <c r="I27" i="2"/>
  <c r="H27" i="2"/>
  <c r="G27" i="2"/>
  <c r="I26" i="2"/>
  <c r="H26" i="2"/>
  <c r="G26" i="2"/>
  <c r="I25" i="2"/>
  <c r="H25" i="2"/>
  <c r="G25" i="2"/>
  <c r="I24" i="2"/>
  <c r="H24" i="2"/>
  <c r="G24" i="2"/>
  <c r="I23" i="2"/>
  <c r="H23" i="2"/>
  <c r="G23" i="2"/>
  <c r="I22" i="2"/>
  <c r="H22" i="2"/>
  <c r="G22" i="2"/>
  <c r="I21" i="2"/>
  <c r="H21" i="2"/>
  <c r="G21" i="2"/>
  <c r="I20" i="2"/>
  <c r="H20" i="2"/>
  <c r="G20" i="2"/>
  <c r="I19" i="2"/>
  <c r="H19" i="2"/>
  <c r="G19" i="2"/>
  <c r="I18" i="2"/>
  <c r="H18" i="2"/>
  <c r="G18" i="2"/>
  <c r="I17" i="2"/>
  <c r="H17" i="2"/>
  <c r="G17" i="2"/>
  <c r="I16" i="2"/>
  <c r="H16" i="2"/>
  <c r="G16" i="2"/>
  <c r="I15" i="2"/>
  <c r="H15" i="2"/>
  <c r="G15" i="2"/>
  <c r="I14" i="2"/>
  <c r="H14" i="2"/>
  <c r="G14" i="2"/>
  <c r="I13" i="2"/>
  <c r="H13" i="2"/>
  <c r="G13" i="2"/>
  <c r="I12" i="2"/>
  <c r="H12" i="2"/>
  <c r="G12" i="2"/>
  <c r="I11" i="2"/>
  <c r="H11" i="2"/>
  <c r="G11" i="2"/>
  <c r="I10" i="2"/>
  <c r="H10" i="2"/>
  <c r="G10" i="2"/>
  <c r="I9" i="2"/>
  <c r="H9" i="2"/>
  <c r="G9" i="2"/>
  <c r="I8" i="2"/>
  <c r="H8" i="2"/>
  <c r="G8" i="2"/>
  <c r="I7" i="2"/>
  <c r="H7" i="2"/>
  <c r="G7" i="2"/>
  <c r="I6" i="2"/>
  <c r="H6" i="2"/>
  <c r="G6" i="2"/>
  <c r="I5" i="2"/>
  <c r="H5" i="2"/>
  <c r="G5" i="2"/>
  <c r="I4" i="2"/>
  <c r="H4" i="2"/>
  <c r="G4" i="2"/>
  <c r="I3" i="2"/>
  <c r="H3" i="2"/>
  <c r="G3" i="2"/>
  <c r="I2" i="2"/>
  <c r="H2" i="2"/>
  <c r="G2" i="2"/>
</calcChain>
</file>

<file path=xl/sharedStrings.xml><?xml version="1.0" encoding="utf-8"?>
<sst xmlns="http://schemas.openxmlformats.org/spreadsheetml/2006/main" count="31428" uniqueCount="3899">
  <si>
    <t>next move</t>
  </si>
  <si>
    <t>actuel</t>
  </si>
  <si>
    <t>nb play</t>
  </si>
  <si>
    <t>nb win</t>
  </si>
  <si>
    <t>ÉTAT</t>
  </si>
  <si>
    <t>JOUEUR 1</t>
  </si>
  <si>
    <t>JOUEUR 2</t>
  </si>
  <si>
    <t>X</t>
  </si>
  <si>
    <t>O</t>
  </si>
  <si>
    <t>1:0-0</t>
  </si>
  <si>
    <t>2:0-1</t>
  </si>
  <si>
    <t>3:0-2</t>
  </si>
  <si>
    <t>4:1-0</t>
  </si>
  <si>
    <t>5:1-1</t>
  </si>
  <si>
    <t>6:1-2</t>
  </si>
  <si>
    <t>7:2-0</t>
  </si>
  <si>
    <t>8:2-1</t>
  </si>
  <si>
    <t>9:2-2</t>
  </si>
  <si>
    <t>IA</t>
  </si>
  <si>
    <t>VVVVVVVVV</t>
  </si>
  <si>
    <t>02</t>
  </si>
  <si>
    <t>VVEVVVVVV</t>
  </si>
  <si>
    <t>21</t>
  </si>
  <si>
    <t>VVMVVVVEV</t>
  </si>
  <si>
    <t>00</t>
  </si>
  <si>
    <t>EVVVVVVVV</t>
  </si>
  <si>
    <t>01</t>
  </si>
  <si>
    <t>MEVVVVVVV</t>
  </si>
  <si>
    <t>12</t>
  </si>
  <si>
    <t>11</t>
  </si>
  <si>
    <t>10</t>
  </si>
  <si>
    <t>22</t>
  </si>
  <si>
    <t>MVVEVVVVV</t>
  </si>
  <si>
    <t>MVVVVVVVE</t>
  </si>
  <si>
    <t>EEVVVVVVM</t>
  </si>
  <si>
    <t>20</t>
  </si>
  <si>
    <t>MVVVVVVEV</t>
  </si>
  <si>
    <t>EEVVVVVMV</t>
  </si>
  <si>
    <t>VVVVVVVEV</t>
  </si>
  <si>
    <t>VVVEVVVMV</t>
  </si>
  <si>
    <t>EMMMVEVEE</t>
  </si>
  <si>
    <t>VVVVEVVMV</t>
  </si>
  <si>
    <t>EVVVVVVMV</t>
  </si>
  <si>
    <t>MVVEVVVEV</t>
  </si>
  <si>
    <t>EEVMVMEMV</t>
  </si>
  <si>
    <t>VVVVVEVVV</t>
  </si>
  <si>
    <t>EVVVVMVVV</t>
  </si>
  <si>
    <t>VVVEVVVVV</t>
  </si>
  <si>
    <t>VVVMVVVVE</t>
  </si>
  <si>
    <t>VVEMMVVVE</t>
  </si>
  <si>
    <t>VVMEEVEVM</t>
  </si>
  <si>
    <t>VVEMVVVVV</t>
  </si>
  <si>
    <t>EMEMMVEVV</t>
  </si>
  <si>
    <t>EVVMVVVVV</t>
  </si>
  <si>
    <t>MEEEMVVVV</t>
  </si>
  <si>
    <t>VVVMVEVVV</t>
  </si>
  <si>
    <t>EVVEVMVVV</t>
  </si>
  <si>
    <t>MVVMVEVEV</t>
  </si>
  <si>
    <t>VVVMVVEVV</t>
  </si>
  <si>
    <t>VVVMEVVVV</t>
  </si>
  <si>
    <t>MEVEMEVVV</t>
  </si>
  <si>
    <t>EMVMEMVEV</t>
  </si>
  <si>
    <t>MEVEMEVME</t>
  </si>
  <si>
    <t>EMVMEMEEM</t>
  </si>
  <si>
    <t>EMMMEMEEV</t>
  </si>
  <si>
    <t>VVVMVVVEV</t>
  </si>
  <si>
    <t>VVVVVVVVE</t>
  </si>
  <si>
    <t>VVVEVVVVM</t>
  </si>
  <si>
    <t>VVVMVVEVE</t>
  </si>
  <si>
    <t>VVEMVVEME</t>
  </si>
  <si>
    <t>VVVVVVEVV</t>
  </si>
  <si>
    <t>VVVEVVMVV</t>
  </si>
  <si>
    <t>VVEMVVEVV</t>
  </si>
  <si>
    <t>EVMEVMMVE</t>
  </si>
  <si>
    <t>MVEMVEEEM</t>
  </si>
  <si>
    <t>VEVVVVVVV</t>
  </si>
  <si>
    <t>VMVVVVVVE</t>
  </si>
  <si>
    <t>EMVVVVVVV</t>
  </si>
  <si>
    <t>EMVEEVMMV</t>
  </si>
  <si>
    <t>VMEVVVVVV</t>
  </si>
  <si>
    <t>VEMVVVVEV</t>
  </si>
  <si>
    <t>VVMVVVEVV</t>
  </si>
  <si>
    <t>VVEEVVMVV</t>
  </si>
  <si>
    <t>VVVVEVVVV</t>
  </si>
  <si>
    <t>VEVVMVVVV</t>
  </si>
  <si>
    <t>VEVEMEMVM</t>
  </si>
  <si>
    <t>VVVEMVVVV</t>
  </si>
  <si>
    <t>EVVMEVVVV</t>
  </si>
  <si>
    <t>MVVEMVEVV</t>
  </si>
  <si>
    <t>MVEEMMEVV</t>
  </si>
  <si>
    <t>VVVVMVEVV</t>
  </si>
  <si>
    <t>EVVVEVMVV</t>
  </si>
  <si>
    <t>VVVVMVVEV</t>
  </si>
  <si>
    <t>VVVEEVVMV</t>
  </si>
  <si>
    <t>VVVEEVEMM</t>
  </si>
  <si>
    <t>VVEVMVVVV</t>
  </si>
  <si>
    <t>VMEVMVMEE</t>
  </si>
  <si>
    <t>VVVVMVVVE</t>
  </si>
  <si>
    <t>EVVVEVVVM</t>
  </si>
  <si>
    <t>MVEVMVVVE</t>
  </si>
  <si>
    <t>EEMVEVVVM</t>
  </si>
  <si>
    <t>VVVEVEVMV</t>
  </si>
  <si>
    <t>EVVMVMVEV</t>
  </si>
  <si>
    <t>VVVMMEEEM</t>
  </si>
  <si>
    <t>VVVEVVEMV</t>
  </si>
  <si>
    <t>VVEVEVVVM</t>
  </si>
  <si>
    <t>VVMVMEVVE</t>
  </si>
  <si>
    <t>MEMMMEVEE</t>
  </si>
  <si>
    <t>VVMVEEVVV</t>
  </si>
  <si>
    <t>VMMVEEEVV</t>
  </si>
  <si>
    <t>VEEEMMMVV</t>
  </si>
  <si>
    <t>VMMMEEEVE</t>
  </si>
  <si>
    <t>VEEEMMMEM</t>
  </si>
  <si>
    <t>VVVVMEVVV</t>
  </si>
  <si>
    <t>VVVVMEMVE</t>
  </si>
  <si>
    <t>EVVVEMEVM</t>
  </si>
  <si>
    <t>MVVEMEMVE</t>
  </si>
  <si>
    <t>MVVVEVVVV</t>
  </si>
  <si>
    <t>EVVVMVVVE</t>
  </si>
  <si>
    <t>MVEVEVVVM</t>
  </si>
  <si>
    <t>EEMVMVVVE</t>
  </si>
  <si>
    <t>MVEVVVVVV</t>
  </si>
  <si>
    <t>EVMVVEVVV</t>
  </si>
  <si>
    <t>MVEEVMVVV</t>
  </si>
  <si>
    <t>MEEEVMEMM</t>
  </si>
  <si>
    <t>MVVVVEVVV</t>
  </si>
  <si>
    <t>EVVEMVVVV</t>
  </si>
  <si>
    <t>VEVMVVVVV</t>
  </si>
  <si>
    <t>MEEMVMVVE</t>
  </si>
  <si>
    <t>VMMMEEMEE</t>
  </si>
  <si>
    <t>VEVEVEMMV</t>
  </si>
  <si>
    <t>EMVMVMEEV</t>
  </si>
  <si>
    <t>VEVEEVVMM</t>
  </si>
  <si>
    <t>VMVMMEVEE</t>
  </si>
  <si>
    <t>VEVEEMEMM</t>
  </si>
  <si>
    <t>MEVMVMEEV</t>
  </si>
  <si>
    <t>VVVMEMMEE</t>
  </si>
  <si>
    <t>EVVVMVVVV</t>
  </si>
  <si>
    <t>VEMVMVVVE</t>
  </si>
  <si>
    <t>VEVVMEVVM</t>
  </si>
  <si>
    <t>VMVVEMVEE</t>
  </si>
  <si>
    <t>VEEVMEVMM</t>
  </si>
  <si>
    <t>MVVEEVEVM</t>
  </si>
  <si>
    <t>EEVMMVMVE</t>
  </si>
  <si>
    <t>EVVMMVMEE</t>
  </si>
  <si>
    <t>VEEMMVMVE</t>
  </si>
  <si>
    <t>VMMEEVEEM</t>
  </si>
  <si>
    <t>VVVVEVEVM</t>
  </si>
  <si>
    <t>VVVEMVMVE</t>
  </si>
  <si>
    <t>VVVMEEEVM</t>
  </si>
  <si>
    <t>EMVEMMMEE</t>
  </si>
  <si>
    <t>VVVVEEVVM</t>
  </si>
  <si>
    <t>VVVVMMEVE</t>
  </si>
  <si>
    <t>EVVVEEMVM</t>
  </si>
  <si>
    <t>VEVMMVVEV</t>
  </si>
  <si>
    <t>EVVMMVVEV</t>
  </si>
  <si>
    <t>MEVEEVVMV</t>
  </si>
  <si>
    <t>MVVEEVEMV</t>
  </si>
  <si>
    <t>EVVMMEMEV</t>
  </si>
  <si>
    <t>VVEMMVVEV</t>
  </si>
  <si>
    <t>MEMMMEEEV</t>
  </si>
  <si>
    <t>VVVMMEVEV</t>
  </si>
  <si>
    <t>MEVEEMEMV</t>
  </si>
  <si>
    <t>EMVMMEMEE</t>
  </si>
  <si>
    <t>VVMMMEEEV</t>
  </si>
  <si>
    <t>MEVMVVVEV</t>
  </si>
  <si>
    <t>MMEMMEEEV</t>
  </si>
  <si>
    <t>VVMEEVEMV</t>
  </si>
  <si>
    <t>VVMEEMEME</t>
  </si>
  <si>
    <t>EEMEVEVMM</t>
  </si>
  <si>
    <t>VVVVEVVEM</t>
  </si>
  <si>
    <t>VVVVMEVME</t>
  </si>
  <si>
    <t>EEMVMVVME</t>
  </si>
  <si>
    <t>VVEMMVEME</t>
  </si>
  <si>
    <t>VVVMEMVEE</t>
  </si>
  <si>
    <t>VEMEMEEMM</t>
  </si>
  <si>
    <t>EVVEMMVME</t>
  </si>
  <si>
    <t>VEVVEVVVM</t>
  </si>
  <si>
    <t>VMEEMMVVE</t>
  </si>
  <si>
    <t>VEEMEEMVM</t>
  </si>
  <si>
    <t>EVEVMVMME</t>
  </si>
  <si>
    <t>MVMVEEEEM</t>
  </si>
  <si>
    <t>EVEEMMMME</t>
  </si>
  <si>
    <t>MMVEEVEEM</t>
  </si>
  <si>
    <t>EEVMMEMME</t>
  </si>
  <si>
    <t>MVVMEEEEM</t>
  </si>
  <si>
    <t>VVVEEMVME</t>
  </si>
  <si>
    <t>VVEEMEVMM</t>
  </si>
  <si>
    <t>EVVVEVVMV</t>
  </si>
  <si>
    <t>MVVEMVVEV</t>
  </si>
  <si>
    <t>EVVVEMVVV</t>
  </si>
  <si>
    <t>MEVVMEVVV</t>
  </si>
  <si>
    <t>EVVEMVMEV</t>
  </si>
  <si>
    <t>EVVEVVVVM</t>
  </si>
  <si>
    <t>VVVVMVEEV</t>
  </si>
  <si>
    <t>VVEMEVVVV</t>
  </si>
  <si>
    <t>MVEVEVVVV</t>
  </si>
  <si>
    <t>VVMVEVVVV</t>
  </si>
  <si>
    <t>VMVVEVVVV</t>
  </si>
  <si>
    <t>MVVVVVEVV</t>
  </si>
  <si>
    <t>VVVVEMVVV</t>
  </si>
  <si>
    <t>MVEVMVVEV</t>
  </si>
  <si>
    <t>MVVVEVEVV</t>
  </si>
  <si>
    <t>EVEVMVMVV</t>
  </si>
  <si>
    <t>VVVEMVVVE</t>
  </si>
  <si>
    <t>VVVVEVMVV</t>
  </si>
  <si>
    <t>VVVVEVVVM</t>
  </si>
  <si>
    <t>VVVVMVVEE</t>
  </si>
  <si>
    <t>MEMVEVVVV</t>
  </si>
  <si>
    <t>EMEVMEVVV</t>
  </si>
  <si>
    <t>MVVMEVEVV</t>
  </si>
  <si>
    <t>EVVEMVMVE</t>
  </si>
  <si>
    <t>MEMVEMVVE</t>
  </si>
  <si>
    <t>EMEEMEVVM</t>
  </si>
  <si>
    <t>EVMVEVVVV</t>
  </si>
  <si>
    <t>EMVVMVVEV</t>
  </si>
  <si>
    <t>MVMVEVEVE</t>
  </si>
  <si>
    <t>MEVVMVVEV</t>
  </si>
  <si>
    <t>EVEVMVMVE</t>
  </si>
  <si>
    <t>EVMVMVVEE</t>
  </si>
  <si>
    <t>EEVVMVVVV</t>
  </si>
  <si>
    <t>MMEVEVVVV</t>
  </si>
  <si>
    <t>EVVVMEVVV</t>
  </si>
  <si>
    <t>MVVVEMEVV</t>
  </si>
  <si>
    <t>EEVVMEMVV</t>
  </si>
  <si>
    <t>EVVEMMVVV</t>
  </si>
  <si>
    <t>MVVVEVVVE</t>
  </si>
  <si>
    <t>EVVVMVEVM</t>
  </si>
  <si>
    <t>MVVEMEVVV</t>
  </si>
  <si>
    <t>VVVVMEVEV</t>
  </si>
  <si>
    <t>VVVVEMVME</t>
  </si>
  <si>
    <t>MVVVMEVEV</t>
  </si>
  <si>
    <t>EVVMMEVVE</t>
  </si>
  <si>
    <t>EEVMMEVVM</t>
  </si>
  <si>
    <t>MMVEEMEVE</t>
  </si>
  <si>
    <t>EVEMEVVVM</t>
  </si>
  <si>
    <t>MVMEMVEVE</t>
  </si>
  <si>
    <t>VVVVMEEVV</t>
  </si>
  <si>
    <t>VVVVEMMVE</t>
  </si>
  <si>
    <t>MVMEEVEVM</t>
  </si>
  <si>
    <t>EMVEMVVVE</t>
  </si>
  <si>
    <t>MEVMEVEVM</t>
  </si>
  <si>
    <t>EMVEMEMVE</t>
  </si>
  <si>
    <t>MEVMEVVVV</t>
  </si>
  <si>
    <t>EVVEMEMVV</t>
  </si>
  <si>
    <t>EMVEMVMEE</t>
  </si>
  <si>
    <t>MVMEEMMEE</t>
  </si>
  <si>
    <t>EEVEMVMVV</t>
  </si>
  <si>
    <t>MMVEEVMEV</t>
  </si>
  <si>
    <t>MVVEEVMEM</t>
  </si>
  <si>
    <t>EEMMMVEEV</t>
  </si>
  <si>
    <t>EVEEMEMMV</t>
  </si>
  <si>
    <t>VVEVVVVVM</t>
  </si>
  <si>
    <t>VVMVVVEVE</t>
  </si>
  <si>
    <t>EVEVVVMVM</t>
  </si>
  <si>
    <t>VVVMVVVEE</t>
  </si>
  <si>
    <t>VVEEVVVMM</t>
  </si>
  <si>
    <t>EVMMVVVEE</t>
  </si>
  <si>
    <t>VEVVVVVVM</t>
  </si>
  <si>
    <t>VMEVVVVVE</t>
  </si>
  <si>
    <t>VEMVVVVEM</t>
  </si>
  <si>
    <t>VVVVVEVVM</t>
  </si>
  <si>
    <t>VMVVVEVVV</t>
  </si>
  <si>
    <t>MEEVMEMEV</t>
  </si>
  <si>
    <t>EVVVVEMVV</t>
  </si>
  <si>
    <t>VVEVVMVVV</t>
  </si>
  <si>
    <t>EVEVMMEVM</t>
  </si>
  <si>
    <t>MEMVEEMVE</t>
  </si>
  <si>
    <t>VEVEVMEMM</t>
  </si>
  <si>
    <t>VMVMEEMEE</t>
  </si>
  <si>
    <t>MEVMEEVVV</t>
  </si>
  <si>
    <t>MEEMEEVMV</t>
  </si>
  <si>
    <t>EMMEMMVEE</t>
  </si>
  <si>
    <t>VEVVEVVMV</t>
  </si>
  <si>
    <t>VMVVMVVEE</t>
  </si>
  <si>
    <t>VEVVEEVMM</t>
  </si>
  <si>
    <t>EMEEVVVMV</t>
  </si>
  <si>
    <t>MEMMVVVEE</t>
  </si>
  <si>
    <t>EMEEVEVMM</t>
  </si>
  <si>
    <t>EVVVVVVVM</t>
  </si>
  <si>
    <t>MEVVVVVVE</t>
  </si>
  <si>
    <t>VVVVVVEVM</t>
  </si>
  <si>
    <t>VEEVVMEMM</t>
  </si>
  <si>
    <t>VEVVVVMVE</t>
  </si>
  <si>
    <t>VVVMEVVVE</t>
  </si>
  <si>
    <t>VVEEMVVVM</t>
  </si>
  <si>
    <t>VEMMEVVVE</t>
  </si>
  <si>
    <t>MEEMMVEME</t>
  </si>
  <si>
    <t>VVVVEEMVV</t>
  </si>
  <si>
    <t>VVEEMMEMV</t>
  </si>
  <si>
    <t>EVMMEEMEV</t>
  </si>
  <si>
    <t>MVEEMMEME</t>
  </si>
  <si>
    <t>EVVEMVVVM</t>
  </si>
  <si>
    <t>MVVMEVVEE</t>
  </si>
  <si>
    <t>VEVEMVVVM</t>
  </si>
  <si>
    <t>VEEEMVVMM</t>
  </si>
  <si>
    <t>VMMMEEVEE</t>
  </si>
  <si>
    <t>VEEEMMEMM</t>
  </si>
  <si>
    <t>VMMMEEEEV</t>
  </si>
  <si>
    <t>VVVMEVVEV</t>
  </si>
  <si>
    <t>VEVEMVVMV</t>
  </si>
  <si>
    <t>VVMEMVVVE</t>
  </si>
  <si>
    <t>VVEMEEVVM</t>
  </si>
  <si>
    <t>VEMEMVVVV</t>
  </si>
  <si>
    <t>MEMEMMEEV</t>
  </si>
  <si>
    <t>MVMEMVEEV</t>
  </si>
  <si>
    <t>MVEEMVVME</t>
  </si>
  <si>
    <t>EVMMEVEEM</t>
  </si>
  <si>
    <t>VVVMEEVVV</t>
  </si>
  <si>
    <t>VVVEMMEVV</t>
  </si>
  <si>
    <t>VVVEMMVVE</t>
  </si>
  <si>
    <t>VVVEMMVEV</t>
  </si>
  <si>
    <t>VVEMEEVMV</t>
  </si>
  <si>
    <t>VEMEMMVEV</t>
  </si>
  <si>
    <t>EMEMEEVMV</t>
  </si>
  <si>
    <t>VVEEMMVVV</t>
  </si>
  <si>
    <t>MVVMEEVVE</t>
  </si>
  <si>
    <t>VMEMEVMEE</t>
  </si>
  <si>
    <t>EEVEMMVMV</t>
  </si>
  <si>
    <t>EEVEMMMME</t>
  </si>
  <si>
    <t>EEMEMMVME</t>
  </si>
  <si>
    <t>VVEEMVEMM</t>
  </si>
  <si>
    <t>lastlost</t>
  </si>
  <si>
    <t>EVMVVVVVV</t>
  </si>
  <si>
    <t>EVMEMMVEV</t>
  </si>
  <si>
    <t>VVMVVVVVE</t>
  </si>
  <si>
    <t>VVEVVVEMV</t>
  </si>
  <si>
    <t>VVMVVEVVV</t>
  </si>
  <si>
    <t>VVEEVMVVV</t>
  </si>
  <si>
    <t>VEMVVVVVV</t>
  </si>
  <si>
    <t>EMEVVVVVV</t>
  </si>
  <si>
    <t>MEMEVVVVV</t>
  </si>
  <si>
    <t>EMEMVEVVV</t>
  </si>
  <si>
    <t>MEMEVMVEV</t>
  </si>
  <si>
    <t>MEMEVMMEE</t>
  </si>
  <si>
    <t>VVMEVVVVV</t>
  </si>
  <si>
    <t>EVEMVVVVV</t>
  </si>
  <si>
    <t>VVMEMEVVV</t>
  </si>
  <si>
    <t>MEMVMEVVE</t>
  </si>
  <si>
    <t>EMMVEMEVV</t>
  </si>
  <si>
    <t>VVMVVVMEE</t>
  </si>
  <si>
    <t>MEMVVVEVV</t>
  </si>
  <si>
    <t>MVVVVVVEE</t>
  </si>
  <si>
    <t>VVVVVVVEM</t>
  </si>
  <si>
    <t>VEVVMVVEM</t>
  </si>
  <si>
    <t>VMVEEVVME</t>
  </si>
  <si>
    <t>VEVVVMVVE</t>
  </si>
  <si>
    <t>VEVVMMVEE</t>
  </si>
  <si>
    <t>VEVEVVVVM</t>
  </si>
  <si>
    <t>MVVVEMVEV</t>
  </si>
  <si>
    <t>EVVMVVEVV</t>
  </si>
  <si>
    <t>EVVVVVEVM</t>
  </si>
  <si>
    <t>EVVVVVMEV</t>
  </si>
  <si>
    <t>MVVVVVEME</t>
  </si>
  <si>
    <t>EEVVVVMEM</t>
  </si>
  <si>
    <t>MMEVVVEME</t>
  </si>
  <si>
    <t>EEMEVVMEM</t>
  </si>
  <si>
    <t>VVVVVEVMV</t>
  </si>
  <si>
    <t>VVEVVMVEV</t>
  </si>
  <si>
    <t>EVMVVEVMV</t>
  </si>
  <si>
    <t>VEVVVVVMV</t>
  </si>
  <si>
    <t>VMVVVEVEV</t>
  </si>
  <si>
    <t>EVVEVVVMM</t>
  </si>
  <si>
    <t>VVVVVVEMV</t>
  </si>
  <si>
    <t>EVVVVEMEM</t>
  </si>
  <si>
    <t>MVVEVMEME</t>
  </si>
  <si>
    <t>EVEMVEMEM</t>
  </si>
  <si>
    <t>VVVVVVVME</t>
  </si>
  <si>
    <t>VVEVVVVEM</t>
  </si>
  <si>
    <t>VEMVVVVME</t>
  </si>
  <si>
    <t>VMEEVVVEM</t>
  </si>
  <si>
    <t>VVEVVVMEV</t>
  </si>
  <si>
    <t>VVMEVVEMV</t>
  </si>
  <si>
    <t>VVEVMVVEV</t>
  </si>
  <si>
    <t>VEEVMMVEV</t>
  </si>
  <si>
    <t>EMMVEEVMV</t>
  </si>
  <si>
    <t>VEVVVMVVV</t>
  </si>
  <si>
    <t>VMVVVVVEV</t>
  </si>
  <si>
    <t>MMEVVVVEV</t>
  </si>
  <si>
    <t>EEMVVVVME</t>
  </si>
  <si>
    <t>EEMEMVVME</t>
  </si>
  <si>
    <t>MMEMEEVEM</t>
  </si>
  <si>
    <t>VEVVVVEVM</t>
  </si>
  <si>
    <t>VMEVEVMME</t>
  </si>
  <si>
    <t>VVMEVVEVM</t>
  </si>
  <si>
    <t>VVEVVEVMV</t>
  </si>
  <si>
    <t>MEEMVVEME</t>
  </si>
  <si>
    <t>EMMEVEMEM</t>
  </si>
  <si>
    <t>VEMVVMVEV</t>
  </si>
  <si>
    <t>VMEVEEVMV</t>
  </si>
  <si>
    <t>MVMVVEEVV</t>
  </si>
  <si>
    <t>VVEMVEVVV</t>
  </si>
  <si>
    <t>VVMEVMEVV</t>
  </si>
  <si>
    <t>MVMEVMEEV</t>
  </si>
  <si>
    <t>VVMEVMVEV</t>
  </si>
  <si>
    <t>EVEMVEVMV</t>
  </si>
  <si>
    <t>VVMVMEVEV</t>
  </si>
  <si>
    <t>VEMVMVVEV</t>
  </si>
  <si>
    <t>VVEMVEEVM</t>
  </si>
  <si>
    <t>EVMVMVVEV</t>
  </si>
  <si>
    <t>MEEVEEVMM</t>
  </si>
  <si>
    <t>VVMEEMVVV</t>
  </si>
  <si>
    <t>VEEMMEVVV</t>
  </si>
  <si>
    <t>VMMEEMEVV</t>
  </si>
  <si>
    <t>EMEMVEMEV</t>
  </si>
  <si>
    <t>MEMEEMEMV</t>
  </si>
  <si>
    <t>VEEVVMEMV</t>
  </si>
  <si>
    <t>EVVVEVVMM</t>
  </si>
  <si>
    <t>VMMEVVVEV</t>
  </si>
  <si>
    <t>VVMEEVVMV</t>
  </si>
  <si>
    <t>VEEEMEMMV</t>
  </si>
  <si>
    <t>VVEVVVVMV</t>
  </si>
  <si>
    <t>VVEVVVVME</t>
  </si>
  <si>
    <t>VEMEVEMMV</t>
  </si>
  <si>
    <t>VVMVEVVEM</t>
  </si>
  <si>
    <t>VMEVEVVME</t>
  </si>
  <si>
    <t>VEMVMVEEM</t>
  </si>
  <si>
    <t>MVVVMVEVE</t>
  </si>
  <si>
    <t>EVVEEVMVM</t>
  </si>
  <si>
    <t>MVEVEVVME</t>
  </si>
  <si>
    <t>EEMVMVVEM</t>
  </si>
  <si>
    <t>VEEMVVVVV</t>
  </si>
  <si>
    <t>EVEVVVVMM</t>
  </si>
  <si>
    <t>EVEMVEVVM</t>
  </si>
  <si>
    <t>MVMEVEEMV</t>
  </si>
  <si>
    <t>EVEMEMMEV</t>
  </si>
  <si>
    <t>VVMVVVEEM</t>
  </si>
  <si>
    <t>VEEEEMVMM</t>
  </si>
  <si>
    <t>EMMMMEVEE</t>
  </si>
  <si>
    <t>MVMEVMEVE</t>
  </si>
  <si>
    <t>VMEEEVMME</t>
  </si>
  <si>
    <t>EMVVVVVVE</t>
  </si>
  <si>
    <t>VVMEVVMVE</t>
  </si>
  <si>
    <t>VVMEVEMVV</t>
  </si>
  <si>
    <t>MVMEEMEME</t>
  </si>
  <si>
    <t>VVEVEVMVM</t>
  </si>
  <si>
    <t>VVVVVMEVE</t>
  </si>
  <si>
    <t>VVVVVEMEM</t>
  </si>
  <si>
    <t>VEMVVEMEM</t>
  </si>
  <si>
    <t>EMEVVMEME</t>
  </si>
  <si>
    <t>VVVVVMVEE</t>
  </si>
  <si>
    <t>VEVVVEVMM</t>
  </si>
  <si>
    <t>VMVEVMVEE</t>
  </si>
  <si>
    <t>VVMVVEEVM</t>
  </si>
  <si>
    <t>EVEMVMMEE</t>
  </si>
  <si>
    <t>MEMEVEEMM</t>
  </si>
  <si>
    <t>MVEMEVVVE</t>
  </si>
  <si>
    <t>EVMEMEVVM</t>
  </si>
  <si>
    <t>VVVMVEVVE</t>
  </si>
  <si>
    <t>VMMVEEEVM</t>
  </si>
  <si>
    <t>VEEVMMMEE</t>
  </si>
  <si>
    <t>MVMVVEEEM</t>
  </si>
  <si>
    <t>VVVEEVVMM</t>
  </si>
  <si>
    <t>EVEMMEVVV</t>
  </si>
  <si>
    <t>MVMEEMEVV</t>
  </si>
  <si>
    <t>EVEMMEMEV</t>
  </si>
  <si>
    <t>VVMEEMMVE</t>
  </si>
  <si>
    <t>VVEMMEEEM</t>
  </si>
  <si>
    <t>VMMEEMEME</t>
  </si>
  <si>
    <t>VMMEEMVEV</t>
  </si>
  <si>
    <t>VEVMVVVVE</t>
  </si>
  <si>
    <t>EMVEVVVVM</t>
  </si>
  <si>
    <t>EVVVEVMEM</t>
  </si>
  <si>
    <t>MVVEMVEME</t>
  </si>
  <si>
    <t>VMVEEVVVV</t>
  </si>
  <si>
    <t>VVEVVVMVV</t>
  </si>
  <si>
    <t>VVMVEVEVV</t>
  </si>
  <si>
    <t>VVEVMVMEV</t>
  </si>
  <si>
    <t>VVVVEEVMV</t>
  </si>
  <si>
    <t>VVVVMMEEV</t>
  </si>
  <si>
    <t>VVMEEVVVV</t>
  </si>
  <si>
    <t>EVVVVVMVV</t>
  </si>
  <si>
    <t>MVVVVVEEV</t>
  </si>
  <si>
    <t>MVVVVEEEM</t>
  </si>
  <si>
    <t>EMEVMVMEV</t>
  </si>
  <si>
    <t>EVVMEVEVM</t>
  </si>
  <si>
    <t>EVMVMEEVV</t>
  </si>
  <si>
    <t>MVMVEVEEV</t>
  </si>
  <si>
    <t>VVVVVMEVV</t>
  </si>
  <si>
    <t>VVVVVMVEV</t>
  </si>
  <si>
    <t>VVVVEMEVM</t>
  </si>
  <si>
    <t>EVMMEEVVV</t>
  </si>
  <si>
    <t>VEMEMVVVE</t>
  </si>
  <si>
    <t>EVVVMEMVE</t>
  </si>
  <si>
    <t>EVEVMVVVM</t>
  </si>
  <si>
    <t>VEVVMEVVV</t>
  </si>
  <si>
    <t>MEVVEVEMV</t>
  </si>
  <si>
    <t>EMVVEEMEM</t>
  </si>
  <si>
    <t>MEEVMMEME</t>
  </si>
  <si>
    <t>VVVVEVMVE</t>
  </si>
  <si>
    <t>EVVVMMEVV</t>
  </si>
  <si>
    <t>MVVMVEVVE</t>
  </si>
  <si>
    <t>EVVVMVMEV</t>
  </si>
  <si>
    <t>EVMVEEVVM</t>
  </si>
  <si>
    <t>VVVVMVMEE</t>
  </si>
  <si>
    <t>EVEMMVEME</t>
  </si>
  <si>
    <t>VMEVEVVVV</t>
  </si>
  <si>
    <t>VVVMEEMEV</t>
  </si>
  <si>
    <t>EMVVMVMEE</t>
  </si>
  <si>
    <t>MEVEEVEMM</t>
  </si>
  <si>
    <t>EVMVEVEVM</t>
  </si>
  <si>
    <t>VVVVEEMEM</t>
  </si>
  <si>
    <t>VVEVMMEME</t>
  </si>
  <si>
    <t>MVEEMVMVE</t>
  </si>
  <si>
    <t>MEEEEMVVM</t>
  </si>
  <si>
    <t>VMEEEMVVV</t>
  </si>
  <si>
    <t>EMEEEMVVM</t>
  </si>
  <si>
    <t>VVVEVEMVV</t>
  </si>
  <si>
    <t>VVVMEMEVV</t>
  </si>
  <si>
    <t>VVVVEVMEV</t>
  </si>
  <si>
    <t>VEVVMVEMV</t>
  </si>
  <si>
    <t>VEVMEVVMV</t>
  </si>
  <si>
    <t>EEVMMVVVV</t>
  </si>
  <si>
    <t>VEMMMEVEV</t>
  </si>
  <si>
    <t>MVEVEVVEM</t>
  </si>
  <si>
    <t>MEVMMVEEV</t>
  </si>
  <si>
    <t>VVVMEVEVM</t>
  </si>
  <si>
    <t>EEMMEVEMM</t>
  </si>
  <si>
    <t>VEVVEVMVV</t>
  </si>
  <si>
    <t>MEVVEEMME</t>
  </si>
  <si>
    <t>EMEVMMEEM</t>
  </si>
  <si>
    <t>VMVVMVEEV</t>
  </si>
  <si>
    <t>EMMEMEVEM</t>
  </si>
  <si>
    <t>VMVVMEEVV</t>
  </si>
  <si>
    <t>EEMVMVVVV</t>
  </si>
  <si>
    <t>EEMEEVMVM</t>
  </si>
  <si>
    <t>EVMVMVVVE</t>
  </si>
  <si>
    <t>VVVVVVMVE</t>
  </si>
  <si>
    <t>EVEVMMEMV</t>
  </si>
  <si>
    <t>EVMEMVVVV</t>
  </si>
  <si>
    <t>MVEMEMVEE</t>
  </si>
  <si>
    <t>VVVVVVMEV</t>
  </si>
  <si>
    <t>VVEEMVMME</t>
  </si>
  <si>
    <t>VVVVVEMVV</t>
  </si>
  <si>
    <t>EMMVMEVVE</t>
  </si>
  <si>
    <t>VEVEEMVVM</t>
  </si>
  <si>
    <t>VEVVVVMVV</t>
  </si>
  <si>
    <t>VVEVMMVVE</t>
  </si>
  <si>
    <t>VEMVEEVVM</t>
  </si>
  <si>
    <t>VEVVMMEME</t>
  </si>
  <si>
    <t>MMEVEEVEM</t>
  </si>
  <si>
    <t>VVVVMMVEE</t>
  </si>
  <si>
    <t>MVEVMMVEE</t>
  </si>
  <si>
    <t>VMVVMEVVE</t>
  </si>
  <si>
    <t>EEVVMVEMV</t>
  </si>
  <si>
    <t>MMEVEMMEE</t>
  </si>
  <si>
    <t>VMMVEVMEE</t>
  </si>
  <si>
    <t>VMMEEMMEE</t>
  </si>
  <si>
    <t>EVMVMVEME</t>
  </si>
  <si>
    <t>VMVVVVEVE</t>
  </si>
  <si>
    <t>VEEVVVMVM</t>
  </si>
  <si>
    <t>VMMVVEEVE</t>
  </si>
  <si>
    <t>VEEEVMMVM</t>
  </si>
  <si>
    <t>VVVMEEVEM</t>
  </si>
  <si>
    <t>VEEVVMMVV</t>
  </si>
  <si>
    <t>MEEVEMMME</t>
  </si>
  <si>
    <t>VEMEEVEMM</t>
  </si>
  <si>
    <t>EMEMMVMEE</t>
  </si>
  <si>
    <t>VEMVVVMVE</t>
  </si>
  <si>
    <t>VVVMEEEMV</t>
  </si>
  <si>
    <t>VVEEMMMEV</t>
  </si>
  <si>
    <t>VVEMEEMVV</t>
  </si>
  <si>
    <t>MMVVEVVEV</t>
  </si>
  <si>
    <t>MVEVEEMEM</t>
  </si>
  <si>
    <t>EMMVEVMEV</t>
  </si>
  <si>
    <t>EVEMEEMVM</t>
  </si>
  <si>
    <t>VVEVEMVVV</t>
  </si>
  <si>
    <t>EVMVMEVVV</t>
  </si>
  <si>
    <t>EEVVVMMEV</t>
  </si>
  <si>
    <t>MEMEMMVEE</t>
  </si>
  <si>
    <t>VVVEVMVVV</t>
  </si>
  <si>
    <t>VVEMVEMEV</t>
  </si>
  <si>
    <t>VVVEMEVVV</t>
  </si>
  <si>
    <t>EVEVVMVVV</t>
  </si>
  <si>
    <t>VVVEVVVEM</t>
  </si>
  <si>
    <t>VEMMVEVME</t>
  </si>
  <si>
    <t>VMEEVMEEM</t>
  </si>
  <si>
    <t>VVVVVEEMV</t>
  </si>
  <si>
    <t>EVMVVVEVV</t>
  </si>
  <si>
    <t>VEEEMVEMM</t>
  </si>
  <si>
    <t>VVMEVVVVE</t>
  </si>
  <si>
    <t>VEEMVVVVM</t>
  </si>
  <si>
    <t>MMVVVEEEM</t>
  </si>
  <si>
    <t>VEVMEVEMM</t>
  </si>
  <si>
    <t>EVVEVVMVV</t>
  </si>
  <si>
    <t>VVVMVMEVE</t>
  </si>
  <si>
    <t>MVEMVMEVE</t>
  </si>
  <si>
    <t>EMVEVVVVV</t>
  </si>
  <si>
    <t>MEEMVVVVV</t>
  </si>
  <si>
    <t>EEVVVVMVV</t>
  </si>
  <si>
    <t>VVVEVVMEV</t>
  </si>
  <si>
    <t>VVEEVVMVM</t>
  </si>
  <si>
    <t>VVMMVEEVE</t>
  </si>
  <si>
    <t>EVVVVMMVE</t>
  </si>
  <si>
    <t>EVVVVMEVV</t>
  </si>
  <si>
    <t>MVVEVVMEV</t>
  </si>
  <si>
    <t>EVEMVEEMM</t>
  </si>
  <si>
    <t>VVVVVEEVM</t>
  </si>
  <si>
    <t>VVEVVVEVM</t>
  </si>
  <si>
    <t>VVMVVEMVE</t>
  </si>
  <si>
    <t>VEVEVVMVM</t>
  </si>
  <si>
    <t>VEEVVVMEM</t>
  </si>
  <si>
    <t>VEVVVVEMV</t>
  </si>
  <si>
    <t>VMVVVVMEE</t>
  </si>
  <si>
    <t>VEEVVVEMM</t>
  </si>
  <si>
    <t>EVVEVVMMV</t>
  </si>
  <si>
    <t>VMEVVMEEV</t>
  </si>
  <si>
    <t>VEVVMVMEV</t>
  </si>
  <si>
    <t>VVEEMEMVV</t>
  </si>
  <si>
    <t>VVMMEMEEV</t>
  </si>
  <si>
    <t>VEMMVVEVE</t>
  </si>
  <si>
    <t>VVEVVVMVE</t>
  </si>
  <si>
    <t>VVEVVVMEM</t>
  </si>
  <si>
    <t>MMEEVVVEM</t>
  </si>
  <si>
    <t>VVMVVEEVV</t>
  </si>
  <si>
    <t>VVEVMVVVE</t>
  </si>
  <si>
    <t>VVVVVEEMM</t>
  </si>
  <si>
    <t>VVMVEVEVM</t>
  </si>
  <si>
    <t>VMEVEVMVE</t>
  </si>
  <si>
    <t>VEVVMEMVE</t>
  </si>
  <si>
    <t>VVVVVEMVE</t>
  </si>
  <si>
    <t>VEVVMVEVM</t>
  </si>
  <si>
    <t>VEEMVVMVE</t>
  </si>
  <si>
    <t>EVMVVMEEV</t>
  </si>
  <si>
    <t>MVEVEEMMV</t>
  </si>
  <si>
    <t>MEVVVVMVE</t>
  </si>
  <si>
    <t>EVEVVVMMV</t>
  </si>
  <si>
    <t>VVMVEMEVE</t>
  </si>
  <si>
    <t>VEEVMEMVM</t>
  </si>
  <si>
    <t>VVMMEVEEV</t>
  </si>
  <si>
    <t>VVEMVMVEE</t>
  </si>
  <si>
    <t>VEMEEMMVV</t>
  </si>
  <si>
    <t>VEEVMMMEV</t>
  </si>
  <si>
    <t>VMEEMVMVE</t>
  </si>
  <si>
    <t>MMVEVEVEM</t>
  </si>
  <si>
    <t>MVEEEMVVM</t>
  </si>
  <si>
    <t>EEMMMEVVE</t>
  </si>
  <si>
    <t>MEVMMEVEE</t>
  </si>
  <si>
    <t>VVVEVEMVM</t>
  </si>
  <si>
    <t>VMVMEVEEV</t>
  </si>
  <si>
    <t>MEVMVEVVE</t>
  </si>
  <si>
    <t>VVVEEMVVM</t>
  </si>
  <si>
    <t>NB parties restantes</t>
  </si>
  <si>
    <t>VVEVMEEVM</t>
  </si>
  <si>
    <t>VMVMVEVVE</t>
  </si>
  <si>
    <t>EEVEEMVMM</t>
  </si>
  <si>
    <t>VMEEMVMEE</t>
  </si>
  <si>
    <t>Learning scale (0 à 10)</t>
  </si>
  <si>
    <t>VEVEVVVMM</t>
  </si>
  <si>
    <t>VMVMVEVEE</t>
  </si>
  <si>
    <t>VEEEVMVMM</t>
  </si>
  <si>
    <t>MVVEVVVVE</t>
  </si>
  <si>
    <t>MVEVMVVEE</t>
  </si>
  <si>
    <t>EEMVEVVMM</t>
  </si>
  <si>
    <t>VVVEVEVMM</t>
  </si>
  <si>
    <t>VEVMVMVEE</t>
  </si>
  <si>
    <t>EMVEVEVMM</t>
  </si>
  <si>
    <t>VVEVVEMVM</t>
  </si>
  <si>
    <t>VMVVVEEVM</t>
  </si>
  <si>
    <t>VEVVVMMEE</t>
  </si>
  <si>
    <t>VMVVEEEMM</t>
  </si>
  <si>
    <t>EVMMEMEVV</t>
  </si>
  <si>
    <t>VVVVVMVVE</t>
  </si>
  <si>
    <t>VVVVVEVEM</t>
  </si>
  <si>
    <t>VVVVVMEME</t>
  </si>
  <si>
    <t>EEVMVEMEM</t>
  </si>
  <si>
    <t>MMVEEMEME</t>
  </si>
  <si>
    <t>MVEEVEVMM</t>
  </si>
  <si>
    <t>MVVEVEVVV</t>
  </si>
  <si>
    <t>EVVMEMVVV</t>
  </si>
  <si>
    <t>MVVEMEVVE</t>
  </si>
  <si>
    <t>EVVMEMEVM</t>
  </si>
  <si>
    <t>VVVMVEEVV</t>
  </si>
  <si>
    <t>VVVEEMMVV</t>
  </si>
  <si>
    <t>EEMMVEVVV</t>
  </si>
  <si>
    <t>VVMMEEEVV</t>
  </si>
  <si>
    <t>VVMMEEEME</t>
  </si>
  <si>
    <t>VMVVVEVVE</t>
  </si>
  <si>
    <t>VEEVVMVVM</t>
  </si>
  <si>
    <t>EMMVVEVVE</t>
  </si>
  <si>
    <t>MEEVVMVEM</t>
  </si>
  <si>
    <t>EMMEVEVME</t>
  </si>
  <si>
    <t>EVVVVEVMM</t>
  </si>
  <si>
    <t>MVEVVMVEE</t>
  </si>
  <si>
    <t>EVMVVEEMM</t>
  </si>
  <si>
    <t>MEEVVMMEE</t>
  </si>
  <si>
    <t>EMVVEMVVV</t>
  </si>
  <si>
    <t>VEVVVMVEV</t>
  </si>
  <si>
    <t>VMVEVEVMV</t>
  </si>
  <si>
    <t>EEVMVMVEV</t>
  </si>
  <si>
    <t>EVVVVEVVM</t>
  </si>
  <si>
    <t>MVVEVMVVE</t>
  </si>
  <si>
    <t>EVEMVMEVV</t>
  </si>
  <si>
    <t>EVVMVEVMV</t>
  </si>
  <si>
    <t>MVVEEMVEV</t>
  </si>
  <si>
    <t>EEVMMEVMV</t>
  </si>
  <si>
    <t>MMVEEMEEV</t>
  </si>
  <si>
    <t>VVMMEVVEE</t>
  </si>
  <si>
    <t>MEEVVMVEV</t>
  </si>
  <si>
    <t>EMMVVEEMV</t>
  </si>
  <si>
    <t>VVVMEVMEV</t>
  </si>
  <si>
    <t>VEMVMEVVV</t>
  </si>
  <si>
    <t>VVVMEMVVE</t>
  </si>
  <si>
    <t>EVVEMEVVM</t>
  </si>
  <si>
    <t>MVEMEMVVE</t>
  </si>
  <si>
    <t>EEMEMEVVM</t>
  </si>
  <si>
    <t>MMEMEMVEE</t>
  </si>
  <si>
    <t>VMEEVVVVM</t>
  </si>
  <si>
    <t>VMEEVEMVM</t>
  </si>
  <si>
    <t>EEMMVMEVE</t>
  </si>
  <si>
    <t>VVVVEEVMM</t>
  </si>
  <si>
    <t>VMEVEEVMM</t>
  </si>
  <si>
    <t>MVVVEEMVE</t>
  </si>
  <si>
    <t>EVEMEMVVM</t>
  </si>
  <si>
    <t>MEMEMEVVE</t>
  </si>
  <si>
    <t>VVMEVMMEE</t>
  </si>
  <si>
    <t>VMVEVEVVM</t>
  </si>
  <si>
    <t>VVEMEVVVM</t>
  </si>
  <si>
    <t>VMEMEVVEM</t>
  </si>
  <si>
    <t>VMEVVVEME</t>
  </si>
  <si>
    <t>VMEVVVMVE</t>
  </si>
  <si>
    <t>EEMVMEEVM</t>
  </si>
  <si>
    <t>VMVVVEMEV</t>
  </si>
  <si>
    <t>VMMVVEMEE</t>
  </si>
  <si>
    <t>VEEEVMEMM</t>
  </si>
  <si>
    <t>EMVMVVVEV</t>
  </si>
  <si>
    <t>MMVVVVVEE</t>
  </si>
  <si>
    <t>EEVVVEVMM</t>
  </si>
  <si>
    <t>MMEVVMVEE</t>
  </si>
  <si>
    <t>VMEMMVVEE</t>
  </si>
  <si>
    <t>EVVMVMVVE</t>
  </si>
  <si>
    <t>MVVEVEEVM</t>
  </si>
  <si>
    <t>EVEMVMMVE</t>
  </si>
  <si>
    <t>MEMEVEEVM</t>
  </si>
  <si>
    <t>EMEMVMMEE</t>
  </si>
  <si>
    <t>MVVVVMEVE</t>
  </si>
  <si>
    <t>VMVVVVEVV</t>
  </si>
  <si>
    <t>VEVVVEMVV</t>
  </si>
  <si>
    <t>VMVEVMEVV</t>
  </si>
  <si>
    <t>VEVMVEMEV</t>
  </si>
  <si>
    <t>VMVEVMEME</t>
  </si>
  <si>
    <t>VEEMVEMEM</t>
  </si>
  <si>
    <t>EMEVEVVVM</t>
  </si>
  <si>
    <t>MEMEMVVVE</t>
  </si>
  <si>
    <t>VMEEVVEVM</t>
  </si>
  <si>
    <t>VEMMVEMVE</t>
  </si>
  <si>
    <t>EVVVMEEMV</t>
  </si>
  <si>
    <t>MVEVEMMEV</t>
  </si>
  <si>
    <t>VEVEVMVMV</t>
  </si>
  <si>
    <t>EVVMEVMEV</t>
  </si>
  <si>
    <t>MVEEMVEMV</t>
  </si>
  <si>
    <t>VMVEVVVVV</t>
  </si>
  <si>
    <t>VMMEVVEVV</t>
  </si>
  <si>
    <t>EVEVVMMEV</t>
  </si>
  <si>
    <t>VMMEVVMEE</t>
  </si>
  <si>
    <t>VEEMVEEMM</t>
  </si>
  <si>
    <t>MEEVEMVVV</t>
  </si>
  <si>
    <t>EMMVMEEVV</t>
  </si>
  <si>
    <t>VVMVVEVVE</t>
  </si>
  <si>
    <t>EVEVVMVVM</t>
  </si>
  <si>
    <t>MVMVEEVVE</t>
  </si>
  <si>
    <t>MEMEEVEMV</t>
  </si>
  <si>
    <t>VVVEVMVME</t>
  </si>
  <si>
    <t>VEVMVEVEM</t>
  </si>
  <si>
    <t>MVVVVMVEE</t>
  </si>
  <si>
    <t>EVVEVEVMM</t>
  </si>
  <si>
    <t>MEVMVMVEE</t>
  </si>
  <si>
    <t>MVEVVMVVE</t>
  </si>
  <si>
    <t>MVVEVVEVV</t>
  </si>
  <si>
    <t>EVVMVVMVE</t>
  </si>
  <si>
    <t>MVVVVEEMV</t>
  </si>
  <si>
    <t>EVVVVMMEE</t>
  </si>
  <si>
    <t>MVVEVEEMM</t>
  </si>
  <si>
    <t>VEVVVVMEV</t>
  </si>
  <si>
    <t>VMVVEVEMV</t>
  </si>
  <si>
    <t>EEVVMVMEV</t>
  </si>
  <si>
    <t>VMVVVMEEV</t>
  </si>
  <si>
    <t>VMVMEMEEV</t>
  </si>
  <si>
    <t>EEVEMEMMV</t>
  </si>
  <si>
    <t>VVMEEVVEM</t>
  </si>
  <si>
    <t>EVMEEVMEM</t>
  </si>
  <si>
    <t>MEVVVMVEE</t>
  </si>
  <si>
    <t>EMEVVEVMM</t>
  </si>
  <si>
    <t>EVVEEMVMV</t>
  </si>
  <si>
    <t>MVVMMEVEE</t>
  </si>
  <si>
    <t>MMVEVVEVV</t>
  </si>
  <si>
    <t>EEVMEVMVV</t>
  </si>
  <si>
    <t>MMVEMVEVE</t>
  </si>
  <si>
    <t>EEVMEEMVM</t>
  </si>
  <si>
    <t>MVVVEMVVE</t>
  </si>
  <si>
    <t>MEVVEMVME</t>
  </si>
  <si>
    <t>EMVVMEEEM</t>
  </si>
  <si>
    <t>MVEMMVEVE</t>
  </si>
  <si>
    <t>VEEVMVVVV</t>
  </si>
  <si>
    <t>EMMVEVVVV</t>
  </si>
  <si>
    <t>MEEVMEVVV</t>
  </si>
  <si>
    <t>VMMEEVVVE</t>
  </si>
  <si>
    <t>VEEMMEVVM</t>
  </si>
  <si>
    <t>MVVVVEMEV</t>
  </si>
  <si>
    <t>EVVVVMEME</t>
  </si>
  <si>
    <t>MVEVVEMEM</t>
  </si>
  <si>
    <t>VMVVEVVVE</t>
  </si>
  <si>
    <t>VEVVMEEMM</t>
  </si>
  <si>
    <t>VMEVEMMEE</t>
  </si>
  <si>
    <t>VEMVVEVMV</t>
  </si>
  <si>
    <t>EEMVVEMMV</t>
  </si>
  <si>
    <t>MMEEVMEEV</t>
  </si>
  <si>
    <t>EEMMVEMME</t>
  </si>
  <si>
    <t>EVMVEVVVM</t>
  </si>
  <si>
    <t>VVVEVMMVE</t>
  </si>
  <si>
    <t>EEMEVMMME</t>
  </si>
  <si>
    <t>VMVVEMEVV</t>
  </si>
  <si>
    <t>VEVVMEMEV</t>
  </si>
  <si>
    <t>VVMEVEVVV</t>
  </si>
  <si>
    <t>VVEMEMVVV</t>
  </si>
  <si>
    <t>VVMEMEVEV</t>
  </si>
  <si>
    <t>EVEMEMVMV</t>
  </si>
  <si>
    <t>MVMEMEEEV</t>
  </si>
  <si>
    <t>VVVMVEEMV</t>
  </si>
  <si>
    <t>EVVEVMMEV</t>
  </si>
  <si>
    <t>VVEVEMMVV</t>
  </si>
  <si>
    <t>MEEVEMMVV</t>
  </si>
  <si>
    <t>VMMEVEEVV</t>
  </si>
  <si>
    <t>EMEVVVMEV</t>
  </si>
  <si>
    <t>MEMEVVEMV</t>
  </si>
  <si>
    <t>VVMVVEEMV</t>
  </si>
  <si>
    <t>MVMEMEEME</t>
  </si>
  <si>
    <t>VVVMVMEEV</t>
  </si>
  <si>
    <t>VEVEMEMME</t>
  </si>
  <si>
    <t>VEVVEVMME</t>
  </si>
  <si>
    <t>VMEVMVEEM</t>
  </si>
  <si>
    <t>EVVEVMMME</t>
  </si>
  <si>
    <t>MEVMVEEEM</t>
  </si>
  <si>
    <t>EMMMEVVEV</t>
  </si>
  <si>
    <t>MEEEMEVMV</t>
  </si>
  <si>
    <t>EVMEMVVEM</t>
  </si>
  <si>
    <t>MEEMEVVME</t>
  </si>
  <si>
    <t>MMVVEEEMV</t>
  </si>
  <si>
    <t>VEEMVMVEV</t>
  </si>
  <si>
    <t>VVMEVEVMV</t>
  </si>
  <si>
    <t>EVEMEMVVV</t>
  </si>
  <si>
    <t>MVMEMEVEV</t>
  </si>
  <si>
    <t>VVMVVVEME</t>
  </si>
  <si>
    <t>VVEVVEMEM</t>
  </si>
  <si>
    <t>EVMVVMEME</t>
  </si>
  <si>
    <t>VVMMVEVVE</t>
  </si>
  <si>
    <t>VVEEVMEVM</t>
  </si>
  <si>
    <t>VVMMEEMVE</t>
  </si>
  <si>
    <t>VVMVMEEVV</t>
  </si>
  <si>
    <t>VEEVEMMVV</t>
  </si>
  <si>
    <t>VMMVMEEVE</t>
  </si>
  <si>
    <t>VVVMMEVEE</t>
  </si>
  <si>
    <t>VVVEEMEMM</t>
  </si>
  <si>
    <t>VEVMMEMEE</t>
  </si>
  <si>
    <t>MEVMVEVVV</t>
  </si>
  <si>
    <t>EMVEEMVVV</t>
  </si>
  <si>
    <t>MEVMMEEVV</t>
  </si>
  <si>
    <t>VMVMVVEVE</t>
  </si>
  <si>
    <t>EEVEVVMVM</t>
  </si>
  <si>
    <t>MMVMEVEVE</t>
  </si>
  <si>
    <t>VVMMVEMEE</t>
  </si>
  <si>
    <t>EMMMVEMEE</t>
  </si>
  <si>
    <t>EVEMVVVVM</t>
  </si>
  <si>
    <t>MEMEVVVVE</t>
  </si>
  <si>
    <t>EMEMVEVVM</t>
  </si>
  <si>
    <t>MEMEVMVEE</t>
  </si>
  <si>
    <t>EMEMVEEMM</t>
  </si>
  <si>
    <t>MEMVVVEEV</t>
  </si>
  <si>
    <t>EMEVEVMMV</t>
  </si>
  <si>
    <t>VMEVVEVVM</t>
  </si>
  <si>
    <t>VEMVVMVEE</t>
  </si>
  <si>
    <t>VMEVVEEMM</t>
  </si>
  <si>
    <t>VMEMVMEEV</t>
  </si>
  <si>
    <t>VEEVVMMVE</t>
  </si>
  <si>
    <t>VEVMVMEEV</t>
  </si>
  <si>
    <t>VMVEVEMME</t>
  </si>
  <si>
    <t>EMVVVEEVM</t>
  </si>
  <si>
    <t>VEEMVEVMM</t>
  </si>
  <si>
    <t>EMMEVMVEE</t>
  </si>
  <si>
    <t>MEEMVEEMM</t>
  </si>
  <si>
    <t>MVMVEVEEM</t>
  </si>
  <si>
    <t>MMVVVEVEV</t>
  </si>
  <si>
    <t>EEVVVMVME</t>
  </si>
  <si>
    <t>VVMEVEVME</t>
  </si>
  <si>
    <t>VVEMEMVEM</t>
  </si>
  <si>
    <t>VEMVEVEMV</t>
  </si>
  <si>
    <t>EVMVEVVEM</t>
  </si>
  <si>
    <t>VEMMVEVVE</t>
  </si>
  <si>
    <t>VMMVEVEVE</t>
  </si>
  <si>
    <t>VEEVMVMEM</t>
  </si>
  <si>
    <t>VVVEMEEMV</t>
  </si>
  <si>
    <t>VEVEMEEMM</t>
  </si>
  <si>
    <t>VMVVVEMVE</t>
  </si>
  <si>
    <t>VEVEVMEVM</t>
  </si>
  <si>
    <t>MEEVEVVMV</t>
  </si>
  <si>
    <t>EMMVMVEEV</t>
  </si>
  <si>
    <t>MEEVEEMMV</t>
  </si>
  <si>
    <t>EMVVVVMEV</t>
  </si>
  <si>
    <t>MEEVVVEMV</t>
  </si>
  <si>
    <t>MEEEMVEMV</t>
  </si>
  <si>
    <t>MVEEEVVMM</t>
  </si>
  <si>
    <t>EEMMMVVEE</t>
  </si>
  <si>
    <t>EVVMVVEMV</t>
  </si>
  <si>
    <t>MVVEVEMEV</t>
  </si>
  <si>
    <t>MMEEVEMEV</t>
  </si>
  <si>
    <t>EEMMEMEMV</t>
  </si>
  <si>
    <t>VVVMMEMEE</t>
  </si>
  <si>
    <t>MMVVVEEME</t>
  </si>
  <si>
    <t>VEVMVVEVV</t>
  </si>
  <si>
    <t>VMEEVVMVV</t>
  </si>
  <si>
    <t>VEMMVVEEV</t>
  </si>
  <si>
    <t>VMEEEVMMV</t>
  </si>
  <si>
    <t>VVMEVVMEV</t>
  </si>
  <si>
    <t>EVMEVVMEM</t>
  </si>
  <si>
    <t>VEVVVVVME</t>
  </si>
  <si>
    <t>VMVVVEVEM</t>
  </si>
  <si>
    <t>VMVEVVVVE</t>
  </si>
  <si>
    <t>EEVMVVVVM</t>
  </si>
  <si>
    <t>MMVEEVVVE</t>
  </si>
  <si>
    <t>VEVVVMVME</t>
  </si>
  <si>
    <t>EMVVVEVEM</t>
  </si>
  <si>
    <t>EVVVEMVEM</t>
  </si>
  <si>
    <t>VVVVEMMEV</t>
  </si>
  <si>
    <t>VVEVMEEMV</t>
  </si>
  <si>
    <t>VEEMMVMEV</t>
  </si>
  <si>
    <t>VMMEEVEME</t>
  </si>
  <si>
    <t>VEEMMEMEM</t>
  </si>
  <si>
    <t>EVMEVVVVV</t>
  </si>
  <si>
    <t>MVEMVEVVV</t>
  </si>
  <si>
    <t>EEMEVMVVV</t>
  </si>
  <si>
    <t>EMVVEMEVM</t>
  </si>
  <si>
    <t>MEVEMEMVE</t>
  </si>
  <si>
    <t>VMEVEVMEV</t>
  </si>
  <si>
    <t>VEMEMVEMV</t>
  </si>
  <si>
    <t>EMMEEVVVV</t>
  </si>
  <si>
    <t>MEEMMVEVV</t>
  </si>
  <si>
    <t>VEVEMMMVE</t>
  </si>
  <si>
    <t>VMVMEEEEM</t>
  </si>
  <si>
    <t>MEVEVEVMV</t>
  </si>
  <si>
    <t>EMEMVMVEV</t>
  </si>
  <si>
    <t>VMMVEVEVV</t>
  </si>
  <si>
    <t>VEEVMEMVV</t>
  </si>
  <si>
    <t>MEVVVVEMV</t>
  </si>
  <si>
    <t>EMVEVVMEV</t>
  </si>
  <si>
    <t>MEEMVVEMV</t>
  </si>
  <si>
    <t>EMMEEVMEV</t>
  </si>
  <si>
    <t>VMEEVMEVM</t>
  </si>
  <si>
    <t>EEMMVEMVE</t>
  </si>
  <si>
    <t>MVVVVEMVE</t>
  </si>
  <si>
    <t>EMMVVEVME</t>
  </si>
  <si>
    <t>VEVMVEVVV</t>
  </si>
  <si>
    <t>VMVEEMVVV</t>
  </si>
  <si>
    <t>MMEEEMVVV</t>
  </si>
  <si>
    <t>EMMVVVEME</t>
  </si>
  <si>
    <t>MVEVVVEMV</t>
  </si>
  <si>
    <t>EVMVVEMEV</t>
  </si>
  <si>
    <t>MEEVVMEMV</t>
  </si>
  <si>
    <t>EMMVVEMEE</t>
  </si>
  <si>
    <t>MVEVVVMVE</t>
  </si>
  <si>
    <t>EVMVVEEVM</t>
  </si>
  <si>
    <t>MVEVEMMVE</t>
  </si>
  <si>
    <t>EVVMVVEME</t>
  </si>
  <si>
    <t>MVVEVEMEM</t>
  </si>
  <si>
    <t>EEVMVMEME</t>
  </si>
  <si>
    <t>MMEEVEMEM</t>
  </si>
  <si>
    <t>MEVEVVVVV</t>
  </si>
  <si>
    <t>EMEMVVVVV</t>
  </si>
  <si>
    <t>MEMEEVVVV</t>
  </si>
  <si>
    <t>EMEMVMEEV</t>
  </si>
  <si>
    <t>VMEEVMVEV</t>
  </si>
  <si>
    <t>MEMMVEVEV</t>
  </si>
  <si>
    <t>MVVEVVMVE</t>
  </si>
  <si>
    <t>EEVMVVEVM</t>
  </si>
  <si>
    <t>MMVEVEMVE</t>
  </si>
  <si>
    <t>EEVMVMEEM</t>
  </si>
  <si>
    <t>EMEVVVEVM</t>
  </si>
  <si>
    <t>MEMVVVMEE</t>
  </si>
  <si>
    <t>EMEVVEEMM</t>
  </si>
  <si>
    <t>VVMEMMEVE</t>
  </si>
  <si>
    <t>MVMEMEEVV</t>
  </si>
  <si>
    <t>VMEVVVVEM</t>
  </si>
  <si>
    <t>MMEVVVEEM</t>
  </si>
  <si>
    <t>MVVEVMEEV</t>
  </si>
  <si>
    <t>EVEMVEMMV</t>
  </si>
  <si>
    <t>MVMEEMEEV</t>
  </si>
  <si>
    <t>VEMVVVVVE</t>
  </si>
  <si>
    <t>EEMMVVVVE</t>
  </si>
  <si>
    <t>MMEEVVEVM</t>
  </si>
  <si>
    <t>EMMVVEEVM</t>
  </si>
  <si>
    <t>EEVMVVMEV</t>
  </si>
  <si>
    <t>MMEEVVEMV</t>
  </si>
  <si>
    <t>EEMMVVMEE</t>
  </si>
  <si>
    <t>MMEEVEEMM</t>
  </si>
  <si>
    <t>MVVMEMVEE</t>
  </si>
  <si>
    <t>EEVEMEVMM</t>
  </si>
  <si>
    <t>EMVVMMVEE</t>
  </si>
  <si>
    <t>EVVMVVVME</t>
  </si>
  <si>
    <t>MVVEVVEEM</t>
  </si>
  <si>
    <t>VVEMMEEVV</t>
  </si>
  <si>
    <t>MVEVVEMVV</t>
  </si>
  <si>
    <t>EEMVMMEEV</t>
  </si>
  <si>
    <t>EEVMVMVVV</t>
  </si>
  <si>
    <t>VEVVVMEEM</t>
  </si>
  <si>
    <t>VMMEMEEVV</t>
  </si>
  <si>
    <t>EMEEMVVVV</t>
  </si>
  <si>
    <t>MEMMEVVVE</t>
  </si>
  <si>
    <t>EMVMVMVEE</t>
  </si>
  <si>
    <t>EEMMVVVME</t>
  </si>
  <si>
    <t>MMEEVEVEM</t>
  </si>
  <si>
    <t>VVEMVMVEV</t>
  </si>
  <si>
    <t>VVMEMEEME</t>
  </si>
  <si>
    <t>EVVMEEMEM</t>
  </si>
  <si>
    <t>VEMEMVVEM</t>
  </si>
  <si>
    <t>EMVMVVEVV</t>
  </si>
  <si>
    <t>MEVEEVMVV</t>
  </si>
  <si>
    <t>EMVMMEEVV</t>
  </si>
  <si>
    <t>VMMVEVVVE</t>
  </si>
  <si>
    <t>VEEVMVEVM</t>
  </si>
  <si>
    <t>VMMEEVMVE</t>
  </si>
  <si>
    <t>MVMVEVVEE</t>
  </si>
  <si>
    <t>EVEVMVEMM</t>
  </si>
  <si>
    <t>MVMVEEMEE</t>
  </si>
  <si>
    <t>VMVEMVVEV</t>
  </si>
  <si>
    <t>VEVMEEVMV</t>
  </si>
  <si>
    <t>VMVEMMEEV</t>
  </si>
  <si>
    <t>EEVMEEMMV</t>
  </si>
  <si>
    <t>EMMVVVMEE</t>
  </si>
  <si>
    <t>MVVVEMMEE</t>
  </si>
  <si>
    <t>EVEVMEEMM</t>
  </si>
  <si>
    <t>MEVMVVVVE</t>
  </si>
  <si>
    <t>EMEEVVVVM</t>
  </si>
  <si>
    <t>EEVVMVVVM</t>
  </si>
  <si>
    <t>MMVVEVEVE</t>
  </si>
  <si>
    <t>EEVVMEMVM</t>
  </si>
  <si>
    <t>EEVVVVMMV</t>
  </si>
  <si>
    <t>MMVEVVEEV</t>
  </si>
  <si>
    <t>EEVMVVMME</t>
  </si>
  <si>
    <t>MMVVEMEVE</t>
  </si>
  <si>
    <t>VVMVVEMEV</t>
  </si>
  <si>
    <t>VVVVEEMME</t>
  </si>
  <si>
    <t>VVEVMMEEM</t>
  </si>
  <si>
    <t>MVMEMEVVE</t>
  </si>
  <si>
    <t>VVVEEMEVM</t>
  </si>
  <si>
    <t>VEVMMEMVE</t>
  </si>
  <si>
    <t>VMVEEMEEM</t>
  </si>
  <si>
    <t>MEMVVVVEV</t>
  </si>
  <si>
    <t>EMEVVEVMV</t>
  </si>
  <si>
    <t>EVEMVMVVV</t>
  </si>
  <si>
    <t>EEVVMVMEM</t>
  </si>
  <si>
    <t>EEMMEEMMV</t>
  </si>
  <si>
    <t>MVVEMEEVV</t>
  </si>
  <si>
    <t>EVEMEMMVV</t>
  </si>
  <si>
    <t>EVMEVEVVM</t>
  </si>
  <si>
    <t>MEVEVMVEV</t>
  </si>
  <si>
    <t>EMEMVEVMV</t>
  </si>
  <si>
    <t>EMEMEEVMM</t>
  </si>
  <si>
    <t>VEVMMVEEM</t>
  </si>
  <si>
    <t>VEMMMEEEM</t>
  </si>
  <si>
    <t>EVVVVVVEM</t>
  </si>
  <si>
    <t>MMVEVVEME</t>
  </si>
  <si>
    <t>MEVVVMVVE</t>
  </si>
  <si>
    <t>MEEVVMMVE</t>
  </si>
  <si>
    <t>EMMVVEEEM</t>
  </si>
  <si>
    <t>EVEVEMVMV</t>
  </si>
  <si>
    <t>MVMVMEVEE</t>
  </si>
  <si>
    <t>VEVVMEVEM</t>
  </si>
  <si>
    <t>VMVVEMEME</t>
  </si>
  <si>
    <t>VEVEMEMEM</t>
  </si>
  <si>
    <t>VMMVEEVVV</t>
  </si>
  <si>
    <t>MEEVMMVEE</t>
  </si>
  <si>
    <t>VVVVEVEMV</t>
  </si>
  <si>
    <t>VVVEMVMEV</t>
  </si>
  <si>
    <t>EVVEMMMEV</t>
  </si>
  <si>
    <t>MEVMEEEMV</t>
  </si>
  <si>
    <t>MVVVEEMEV</t>
  </si>
  <si>
    <t>MEMVVEEMV</t>
  </si>
  <si>
    <t>EMEVVMMEE</t>
  </si>
  <si>
    <t>EMMVMEVEV</t>
  </si>
  <si>
    <t>VVMEVVEME</t>
  </si>
  <si>
    <t>VVEMVEMEM</t>
  </si>
  <si>
    <t>VEMEEVVMV</t>
  </si>
  <si>
    <t>VMEMMEVEV</t>
  </si>
  <si>
    <t>EEMEEMVMV</t>
  </si>
  <si>
    <t>VMMVVEVEE</t>
  </si>
  <si>
    <t>VMMEVEMEE</t>
  </si>
  <si>
    <t>VVMMEEMEE</t>
  </si>
  <si>
    <t>VEMMEVEVV</t>
  </si>
  <si>
    <t>VMEEMEMVV</t>
  </si>
  <si>
    <t>MVEVVVEVV</t>
  </si>
  <si>
    <t>EVMVVVMVE</t>
  </si>
  <si>
    <t>MEEVVVEVM</t>
  </si>
  <si>
    <t>EVVMVMEVV</t>
  </si>
  <si>
    <t>EVMEVVMEV</t>
  </si>
  <si>
    <t>MEEMMEEMV</t>
  </si>
  <si>
    <t>VVMVEVEMV</t>
  </si>
  <si>
    <t>EVEVMVMEV</t>
  </si>
  <si>
    <t>MVMEEVEMV</t>
  </si>
  <si>
    <t>VEVVMMVEV</t>
  </si>
  <si>
    <t>VMVVEEVME</t>
  </si>
  <si>
    <t>VEEVMMVEM</t>
  </si>
  <si>
    <t>VMMVEEEME</t>
  </si>
  <si>
    <t>EEVMEMVVV</t>
  </si>
  <si>
    <t>MMVEMEVVE</t>
  </si>
  <si>
    <t>VVEVVEVMM</t>
  </si>
  <si>
    <t>MMVEVEVVE</t>
  </si>
  <si>
    <t>EEVMVMVEM</t>
  </si>
  <si>
    <t>VMEVVEVMV</t>
  </si>
  <si>
    <t>VEMEVMVEV</t>
  </si>
  <si>
    <t>VMEVVVVEV</t>
  </si>
  <si>
    <t>EEMVVVVMV</t>
  </si>
  <si>
    <t>MMEVVEVEV</t>
  </si>
  <si>
    <t>EEMVVMVME</t>
  </si>
  <si>
    <t>EEVMVVMVV</t>
  </si>
  <si>
    <t>MMVEVEEVV</t>
  </si>
  <si>
    <t>EEVMEMMVV</t>
  </si>
  <si>
    <t>MMEEMEEVV</t>
  </si>
  <si>
    <t>VVMVEVVVE</t>
  </si>
  <si>
    <t>VEEVMVVVM</t>
  </si>
  <si>
    <t>VMMVEEVVE</t>
  </si>
  <si>
    <t>VEEEMMVVM</t>
  </si>
  <si>
    <t>MVVMEMEEV</t>
  </si>
  <si>
    <t>VVEMVMEVV</t>
  </si>
  <si>
    <t>VMVVVVEEM</t>
  </si>
  <si>
    <t>EMVVMVEEM</t>
  </si>
  <si>
    <t>VVEMVVEVM</t>
  </si>
  <si>
    <t>VVMEVEMVE</t>
  </si>
  <si>
    <t>VVEMVMEEM</t>
  </si>
  <si>
    <t>MEVVVVVEM</t>
  </si>
  <si>
    <t>VEEMMVVEV</t>
  </si>
  <si>
    <t>VMMEEVVME</t>
  </si>
  <si>
    <t>EMEVVVVMV</t>
  </si>
  <si>
    <t>VEEEMVMMV</t>
  </si>
  <si>
    <t>VEMVVVMEV</t>
  </si>
  <si>
    <t>VMEEVMEME</t>
  </si>
  <si>
    <t>MEMVVMEEV</t>
  </si>
  <si>
    <t>EMEEVEMMV</t>
  </si>
  <si>
    <t>MVEEMVVVV</t>
  </si>
  <si>
    <t>MEEEMMEMV</t>
  </si>
  <si>
    <t>MMEVEVVEV</t>
  </si>
  <si>
    <t>VMEVVVVME</t>
  </si>
  <si>
    <t>EEMVVVVEM</t>
  </si>
  <si>
    <t>VVVMVVEEV</t>
  </si>
  <si>
    <t>VVVEEVMMV</t>
  </si>
  <si>
    <t>VEVMMVEEV</t>
  </si>
  <si>
    <t>VMVEEVMVV</t>
  </si>
  <si>
    <t>MEVVVEEVM</t>
  </si>
  <si>
    <t>EMVEVMMVE</t>
  </si>
  <si>
    <t>MEVMEEEVM</t>
  </si>
  <si>
    <t>VMMVEVVEE</t>
  </si>
  <si>
    <t>VEMVVVEMV</t>
  </si>
  <si>
    <t>VMEEVVMEV</t>
  </si>
  <si>
    <t>VEMMVVEME</t>
  </si>
  <si>
    <t>VMEEVEMEM</t>
  </si>
  <si>
    <t>EEMMVMEME</t>
  </si>
  <si>
    <t>MVMVEEEMV</t>
  </si>
  <si>
    <t>EVEEMMMEV</t>
  </si>
  <si>
    <t>MVMMEEEME</t>
  </si>
  <si>
    <t>VMEEVEVMM</t>
  </si>
  <si>
    <t>EEMMVMVEE</t>
  </si>
  <si>
    <t>EMMEVEVMV</t>
  </si>
  <si>
    <t>MEEMVMVEE</t>
  </si>
  <si>
    <t>EVVVEVMMV</t>
  </si>
  <si>
    <t>MEVVMVEEV</t>
  </si>
  <si>
    <t>MMEEVVEVV</t>
  </si>
  <si>
    <t>EEMMVVMEV</t>
  </si>
  <si>
    <t>VEMEEVVVM</t>
  </si>
  <si>
    <t>VMVMEEVEV</t>
  </si>
  <si>
    <t>MMEMEEVEV</t>
  </si>
  <si>
    <t>MMEEEVVME</t>
  </si>
  <si>
    <t>EEMMMEVEM</t>
  </si>
  <si>
    <t>EEVVVEMMV</t>
  </si>
  <si>
    <t>MMVEVMEEV</t>
  </si>
  <si>
    <t>EEVMVEMME</t>
  </si>
  <si>
    <t>MMVEEMEEM</t>
  </si>
  <si>
    <t>MVVVMEEME</t>
  </si>
  <si>
    <t>VVVMEMEVE</t>
  </si>
  <si>
    <t>VVEEMVVMV</t>
  </si>
  <si>
    <t>EVMMEVVEV</t>
  </si>
  <si>
    <t>VMEMMVEEV</t>
  </si>
  <si>
    <t>EEMEEVMMV</t>
  </si>
  <si>
    <t>EMEMEVVVM</t>
  </si>
  <si>
    <t>MEMEMVVEE</t>
  </si>
  <si>
    <t>EVEEMVVMM</t>
  </si>
  <si>
    <t>MVMMEEVEE</t>
  </si>
  <si>
    <t>VMMEVEVVE</t>
  </si>
  <si>
    <t>VEEMVMEVM</t>
  </si>
  <si>
    <t>EVMEEVVVM</t>
  </si>
  <si>
    <t>EVMVEEVMV</t>
  </si>
  <si>
    <t>VEMVMVEVV</t>
  </si>
  <si>
    <t>VMEEEVMVV</t>
  </si>
  <si>
    <t>VEMMMVEVE</t>
  </si>
  <si>
    <t>EMEEEVMVM</t>
  </si>
  <si>
    <t>MVVEMEVEV</t>
  </si>
  <si>
    <t>EVVMEMEMV</t>
  </si>
  <si>
    <t>MEVEMEMEV</t>
  </si>
  <si>
    <t>VEVVEVMVM</t>
  </si>
  <si>
    <t>VMVVEVVEM</t>
  </si>
  <si>
    <t>VEVEMVVME</t>
  </si>
  <si>
    <t>VEVVEVMMV</t>
  </si>
  <si>
    <t>VEVEMMMEE</t>
  </si>
  <si>
    <t>VEMVVVEEM</t>
  </si>
  <si>
    <t>EMVEEVVMV</t>
  </si>
  <si>
    <t>EVEMEVVMV</t>
  </si>
  <si>
    <t>MEVVVMEVV</t>
  </si>
  <si>
    <t>EMVEVEMVV</t>
  </si>
  <si>
    <t>VMVEMVEVV</t>
  </si>
  <si>
    <t>VEVMEEMVV</t>
  </si>
  <si>
    <t>EVEVVVMME</t>
  </si>
  <si>
    <t>EEMEVVVMV</t>
  </si>
  <si>
    <t>MMEMVEVEV</t>
  </si>
  <si>
    <t>EEMMEVEVM</t>
  </si>
  <si>
    <t>EVMVEEMEM</t>
  </si>
  <si>
    <t>VMEEMVEVM</t>
  </si>
  <si>
    <t>EEMVMVEVM</t>
  </si>
  <si>
    <t>VEEMVEMVV</t>
  </si>
  <si>
    <t>MVEMVEEMV</t>
  </si>
  <si>
    <t>EEMEVMMEV</t>
  </si>
  <si>
    <t>EVMEEVVMM</t>
  </si>
  <si>
    <t>MEEMMVVEE</t>
  </si>
  <si>
    <t>EMEMVVEVM</t>
  </si>
  <si>
    <t>MEMEVEMVE</t>
  </si>
  <si>
    <t>MVEVVVEEM</t>
  </si>
  <si>
    <t>EVMEVVMME</t>
  </si>
  <si>
    <t>VEMVMEEEM</t>
  </si>
  <si>
    <t>VEVEVEMVM</t>
  </si>
  <si>
    <t>VMVVEEVMV</t>
  </si>
  <si>
    <t>VEVEMMVEV</t>
  </si>
  <si>
    <t>VMVMEEEMV</t>
  </si>
  <si>
    <t>EEVEMMMEV</t>
  </si>
  <si>
    <t>VVVEVMVEV</t>
  </si>
  <si>
    <t>VVEMVEVMV</t>
  </si>
  <si>
    <t>VMEMVEEMV</t>
  </si>
  <si>
    <t>VEMEVMMEE</t>
  </si>
  <si>
    <t>MVVVMEVEE</t>
  </si>
  <si>
    <t>EVVEEMVMM</t>
  </si>
  <si>
    <t>MEVVVEMEM</t>
  </si>
  <si>
    <t>EVVEVMMVV</t>
  </si>
  <si>
    <t>MVVMVEEEV</t>
  </si>
  <si>
    <t>MEVVVEEMM</t>
  </si>
  <si>
    <t>VVVEVEMMV</t>
  </si>
  <si>
    <t>EMVEVEMMV</t>
  </si>
  <si>
    <t>EVEEMVMVM</t>
  </si>
  <si>
    <t>MVMMEEEVE</t>
  </si>
  <si>
    <t>VVMMVEEVV</t>
  </si>
  <si>
    <t>VVEEEMMVV</t>
  </si>
  <si>
    <t>EVEEEMMMV</t>
  </si>
  <si>
    <t>VEVVMVMEE</t>
  </si>
  <si>
    <t>EMVVEVEMM</t>
  </si>
  <si>
    <t>MEVVMEMEE</t>
  </si>
  <si>
    <t>VEVVEMVMV</t>
  </si>
  <si>
    <t>VMEVMEVEV</t>
  </si>
  <si>
    <t>VEMVEMEMV</t>
  </si>
  <si>
    <t>EMEVMEMEV</t>
  </si>
  <si>
    <t>VVEEVVMMV</t>
  </si>
  <si>
    <t>MVEMVVVVE</t>
  </si>
  <si>
    <t>MMEVVEVEM</t>
  </si>
  <si>
    <t>VEEMVEVMV</t>
  </si>
  <si>
    <t>MVVVVVMEE</t>
  </si>
  <si>
    <t>EEMVVVVVM</t>
  </si>
  <si>
    <t>MMEVVVVEE</t>
  </si>
  <si>
    <t>EEMEVVVMM</t>
  </si>
  <si>
    <t>EVEVMVVME</t>
  </si>
  <si>
    <t>EMVMMVEEV</t>
  </si>
  <si>
    <t>EMEVMVVVE</t>
  </si>
  <si>
    <t>MEMVEEVVM</t>
  </si>
  <si>
    <t>EMEVMMVEE</t>
  </si>
  <si>
    <t>EMVVVEVVM</t>
  </si>
  <si>
    <t>MEVEVMVVE</t>
  </si>
  <si>
    <t>MMVEVVVEV</t>
  </si>
  <si>
    <t>EEVMVVEMV</t>
  </si>
  <si>
    <t>MMVEVVMEE</t>
  </si>
  <si>
    <t>EEVMEVEMM</t>
  </si>
  <si>
    <t>MMVEMEMEE</t>
  </si>
  <si>
    <t>VVVEMVVEV</t>
  </si>
  <si>
    <t>VMVEMVVEE</t>
  </si>
  <si>
    <t>VVEVMMEVV</t>
  </si>
  <si>
    <t>VVMVEEMEV</t>
  </si>
  <si>
    <t>VVMVVVEEV</t>
  </si>
  <si>
    <t>EMEVVVMME</t>
  </si>
  <si>
    <t>MEMVVEEEM</t>
  </si>
  <si>
    <t>MMVVVVEEV</t>
  </si>
  <si>
    <t>EEVVEVMMV</t>
  </si>
  <si>
    <t>MMEVMVEEV</t>
  </si>
  <si>
    <t>MVVEVVEMV</t>
  </si>
  <si>
    <t>EVEMVVMEV</t>
  </si>
  <si>
    <t>MVMEMEEVE</t>
  </si>
  <si>
    <t>VVVMMVEEV</t>
  </si>
  <si>
    <t>VEVEEVMMV</t>
  </si>
  <si>
    <t>MMEEMEVVV</t>
  </si>
  <si>
    <t>EVVVMMVEV</t>
  </si>
  <si>
    <t>MVVVEEVME</t>
  </si>
  <si>
    <t>EVVEMMVEM</t>
  </si>
  <si>
    <t>MEVMEEVME</t>
  </si>
  <si>
    <t>VVMVVEVEV</t>
  </si>
  <si>
    <t>VVEVVMEMV</t>
  </si>
  <si>
    <t>VVMVVEMEE</t>
  </si>
  <si>
    <t>VVEEVMEMM</t>
  </si>
  <si>
    <t>VVMVEEVVM</t>
  </si>
  <si>
    <t>VEEVMMVVE</t>
  </si>
  <si>
    <t>EVMVMVEVE</t>
  </si>
  <si>
    <t>MEEVEVMVM</t>
  </si>
  <si>
    <t>MEVVEVVVV</t>
  </si>
  <si>
    <t>MVVEEVVVM</t>
  </si>
  <si>
    <t>MVVEEVVVV</t>
  </si>
  <si>
    <t>EVVMMEVVV</t>
  </si>
  <si>
    <t>MEVEMVVVV</t>
  </si>
  <si>
    <t>EMEMEVVVV</t>
  </si>
  <si>
    <t>MEMEMVEVV</t>
  </si>
  <si>
    <t>EMEMEEMVV</t>
  </si>
  <si>
    <t>MEEVMVVVV</t>
  </si>
  <si>
    <t>MEEMMVVVE</t>
  </si>
  <si>
    <t>MVVVEVVEM</t>
  </si>
  <si>
    <t>EEVVMVVME</t>
  </si>
  <si>
    <t>MMEVEVVEM</t>
  </si>
  <si>
    <t>EVEMMVVVE</t>
  </si>
  <si>
    <t>MVVVEVVEV</t>
  </si>
  <si>
    <t>EVVEMVVMV</t>
  </si>
  <si>
    <t>MVEMEVVEV</t>
  </si>
  <si>
    <t>EVMVEVMVV</t>
  </si>
  <si>
    <t>MEEVMVEVV</t>
  </si>
  <si>
    <t>MVEVMEVVV</t>
  </si>
  <si>
    <t>VVEVMEMVV</t>
  </si>
  <si>
    <t>VEMVEMEVV</t>
  </si>
  <si>
    <t>VVVEVMEVM</t>
  </si>
  <si>
    <t>EVVMVEMVE</t>
  </si>
  <si>
    <t>MVEEVMEVM</t>
  </si>
  <si>
    <t>VVVEMVEMV</t>
  </si>
  <si>
    <t>VVMVEVVEV</t>
  </si>
  <si>
    <t>VVEVMVEMV</t>
  </si>
  <si>
    <t>MVVVMVVEE</t>
  </si>
  <si>
    <t>EEVVEVVMM</t>
  </si>
  <si>
    <t>VVEMMEMEV</t>
  </si>
  <si>
    <t>VVMVMVEVE</t>
  </si>
  <si>
    <t>EVEVEVMVM</t>
  </si>
  <si>
    <t>VVEVMVVME</t>
  </si>
  <si>
    <t>VVVEEVVVM</t>
  </si>
  <si>
    <t>VVVMMEVVE</t>
  </si>
  <si>
    <t>VVVEEMVEM</t>
  </si>
  <si>
    <t>VVEVMEVVV</t>
  </si>
  <si>
    <t>VVMVEMVVE</t>
  </si>
  <si>
    <t>EVEVMEVVM</t>
  </si>
  <si>
    <t>MVMVEMVEE</t>
  </si>
  <si>
    <t>EVEEMEVMM</t>
  </si>
  <si>
    <t>EVVVMVVME</t>
  </si>
  <si>
    <t>MVEMVVEVV</t>
  </si>
  <si>
    <t>EVMEEVMVV</t>
  </si>
  <si>
    <t>VEEMMVVVV</t>
  </si>
  <si>
    <t>VVEVMVEVV</t>
  </si>
  <si>
    <t>VEMVEVMVV</t>
  </si>
  <si>
    <t>VMEVMVEEV</t>
  </si>
  <si>
    <t>VEMVEEMMV</t>
  </si>
  <si>
    <t>VMEEMMEEV</t>
  </si>
  <si>
    <t>VEMMEEMME</t>
  </si>
  <si>
    <t>MEVVMVEVV</t>
  </si>
  <si>
    <t>VVVVEMVVE</t>
  </si>
  <si>
    <t>VVVMEVEMV</t>
  </si>
  <si>
    <t>VVVEMVMEE</t>
  </si>
  <si>
    <t>VVVVEVMME</t>
  </si>
  <si>
    <t>VEVVMVEEM</t>
  </si>
  <si>
    <t>VVVMEVEVV</t>
  </si>
  <si>
    <t>EVVEMVMVV</t>
  </si>
  <si>
    <t>VMVMEVVEE</t>
  </si>
  <si>
    <t>EEVEMVVMM</t>
  </si>
  <si>
    <t>MMEMEVVEE</t>
  </si>
  <si>
    <t>EEMEMEVMM</t>
  </si>
  <si>
    <t>VVVVMVEVE</t>
  </si>
  <si>
    <t>VVVVEEMVM</t>
  </si>
  <si>
    <t>EVVVVVMME</t>
  </si>
  <si>
    <t>MVVVEVEEM</t>
  </si>
  <si>
    <t>EEVVMVMME</t>
  </si>
  <si>
    <t>VVMVEVMVE</t>
  </si>
  <si>
    <t>VVEVMVEEM</t>
  </si>
  <si>
    <t>VVMVEEMME</t>
  </si>
  <si>
    <t>EVEVMMEEM</t>
  </si>
  <si>
    <t>MVEVVEVVV</t>
  </si>
  <si>
    <t>EVMVVMVEV</t>
  </si>
  <si>
    <t>MEEVVEVMV</t>
  </si>
  <si>
    <t>EMMVVMEEV</t>
  </si>
  <si>
    <t>MEEEVEMMV</t>
  </si>
  <si>
    <t>VEVMEVVVM</t>
  </si>
  <si>
    <t>VMEEMVVVE</t>
  </si>
  <si>
    <t>EEMMEVVVM</t>
  </si>
  <si>
    <t>MMEEMVEVE</t>
  </si>
  <si>
    <t>EEMMEEMVM</t>
  </si>
  <si>
    <t>VVEEMVEMV</t>
  </si>
  <si>
    <t>VVMMEVMEE</t>
  </si>
  <si>
    <t>VVMEVVVEV</t>
  </si>
  <si>
    <t>VVEMVVEMV</t>
  </si>
  <si>
    <t>VEMEVVMEV</t>
  </si>
  <si>
    <t>MVVMEVVVE</t>
  </si>
  <si>
    <t>MVVMEMEVE</t>
  </si>
  <si>
    <t>EEVEMEMVM</t>
  </si>
  <si>
    <t>MEVMMEVVE</t>
  </si>
  <si>
    <t>EEMVMEVME</t>
  </si>
  <si>
    <t>VVVVVEVME</t>
  </si>
  <si>
    <t>VEMEVVVMV</t>
  </si>
  <si>
    <t>VMEMVVVEE</t>
  </si>
  <si>
    <t>VEMVVMEVE</t>
  </si>
  <si>
    <t>VEVVMVVVE</t>
  </si>
  <si>
    <t>VMVVEVEVM</t>
  </si>
  <si>
    <t>VEVEMVMVE</t>
  </si>
  <si>
    <t>VMVMEEEVM</t>
  </si>
  <si>
    <t>EEVEMMMVE</t>
  </si>
  <si>
    <t>MEMEMEVVV</t>
  </si>
  <si>
    <t>EMEMEMVEV</t>
  </si>
  <si>
    <t>MEMEMEEMV</t>
  </si>
  <si>
    <t>VVMMVVEVE</t>
  </si>
  <si>
    <t>VVEEVEMVM</t>
  </si>
  <si>
    <t>VEVVMMVVE</t>
  </si>
  <si>
    <t>VEMVEVVMV</t>
  </si>
  <si>
    <t>VMEEMVVEV</t>
  </si>
  <si>
    <t>VEMMEVEMV</t>
  </si>
  <si>
    <t>VMEEMEMEV</t>
  </si>
  <si>
    <t>VVEEMMEEM</t>
  </si>
  <si>
    <t>VEVVVVVEM</t>
  </si>
  <si>
    <t>EMVVVVVME</t>
  </si>
  <si>
    <t>VVVEMVEVV</t>
  </si>
  <si>
    <t>EVVMEVMVV</t>
  </si>
  <si>
    <t>VMEEVVMEM</t>
  </si>
  <si>
    <t>EEMMVVEME</t>
  </si>
  <si>
    <t>VVEEMVVVV</t>
  </si>
  <si>
    <t>MVVMEVEVE</t>
  </si>
  <si>
    <t>EEVEMVMVM</t>
  </si>
  <si>
    <t>MVMEEMVEV</t>
  </si>
  <si>
    <t>VVEEVVVVM</t>
  </si>
  <si>
    <t>VVMMVVVEE</t>
  </si>
  <si>
    <t>VVEEEVVMM</t>
  </si>
  <si>
    <t>VVMMMEVEE</t>
  </si>
  <si>
    <t>VEMEVVVVV</t>
  </si>
  <si>
    <t>VMEMVVVVE</t>
  </si>
  <si>
    <t>EMEMMVVVE</t>
  </si>
  <si>
    <t>MEMEEVEVM</t>
  </si>
  <si>
    <t>EVEEVMMVM</t>
  </si>
  <si>
    <t>EVVMVVVVE</t>
  </si>
  <si>
    <t>MVVEVVVEM</t>
  </si>
  <si>
    <t>EVEMVVVME</t>
  </si>
  <si>
    <t>MVMEVVEEM</t>
  </si>
  <si>
    <t>EMMEEMVVV</t>
  </si>
  <si>
    <t>MEEMMEEVV</t>
  </si>
  <si>
    <t>MVVVMVEEV</t>
  </si>
  <si>
    <t>EVEVEVMMV</t>
  </si>
  <si>
    <t>MMVEMVEEV</t>
  </si>
  <si>
    <t>VEVEMVVVV</t>
  </si>
  <si>
    <t>VMVMEVVEV</t>
  </si>
  <si>
    <t>VEVEMVEMV</t>
  </si>
  <si>
    <t>VMVMEEMEV</t>
  </si>
  <si>
    <t>VEVEMMEME</t>
  </si>
  <si>
    <t>VMEMEEMEM</t>
  </si>
  <si>
    <t>VVVVVVMEE</t>
  </si>
  <si>
    <t>EVVVVVEMM</t>
  </si>
  <si>
    <t>MVVVEVMEE</t>
  </si>
  <si>
    <t>EVVVMEEMM</t>
  </si>
  <si>
    <t>MVEVEMMEE</t>
  </si>
  <si>
    <t>VVVVVEMEV</t>
  </si>
  <si>
    <t>VVVVMEMEV</t>
  </si>
  <si>
    <t>EVVVEMEMV</t>
  </si>
  <si>
    <t>MVVEMEMEV</t>
  </si>
  <si>
    <t>EEVMEMEMV</t>
  </si>
  <si>
    <t>EMEVVVVME</t>
  </si>
  <si>
    <t>MEMVVVEEM</t>
  </si>
  <si>
    <t>EMEEVVMME</t>
  </si>
  <si>
    <t>MEMMVEEEM</t>
  </si>
  <si>
    <t>EVEVMEMVM</t>
  </si>
  <si>
    <t>MVEVMVEVV</t>
  </si>
  <si>
    <t>EVMVEVMEV</t>
  </si>
  <si>
    <t>MVEVMEEMV</t>
  </si>
  <si>
    <t>MVVEEVVEM</t>
  </si>
  <si>
    <t>EVVMMEVME</t>
  </si>
  <si>
    <t>VEVVMMEVV</t>
  </si>
  <si>
    <t>MEMEMEVME</t>
  </si>
  <si>
    <t>EEMVVVMME</t>
  </si>
  <si>
    <t>MMEEVVEEM</t>
  </si>
  <si>
    <t>EVVVMMVVE</t>
  </si>
  <si>
    <t>MEVVEEVVM</t>
  </si>
  <si>
    <t>EMVEMMVVE</t>
  </si>
  <si>
    <t>VEMEVVVME</t>
  </si>
  <si>
    <t>EMEMVVVEM</t>
  </si>
  <si>
    <t>MEMEEVVME</t>
  </si>
  <si>
    <t>EMEMMVEEM</t>
  </si>
  <si>
    <t>VVEMVVMEV</t>
  </si>
  <si>
    <t>MMVVEEVEM</t>
  </si>
  <si>
    <t>EEVVMMEME</t>
  </si>
  <si>
    <t>MMEVEEMEM</t>
  </si>
  <si>
    <t>MVVVEVMVE</t>
  </si>
  <si>
    <t>EVVVMVEEM</t>
  </si>
  <si>
    <t>MVVEEVMME</t>
  </si>
  <si>
    <t>EVEMMVEEM</t>
  </si>
  <si>
    <t>EMEVVVVEM</t>
  </si>
  <si>
    <t>MEMVEVVME</t>
  </si>
  <si>
    <t>EMEEMVVEM</t>
  </si>
  <si>
    <t>MEMMEEVME</t>
  </si>
  <si>
    <t>EMEEMVMVE</t>
  </si>
  <si>
    <t>MEVVVVEVM</t>
  </si>
  <si>
    <t>VMEVEVVVM</t>
  </si>
  <si>
    <t>VEMVMVVEE</t>
  </si>
  <si>
    <t>VMEEEVVMM</t>
  </si>
  <si>
    <t>VVEMEVMEM</t>
  </si>
  <si>
    <t>EMMVVEEME</t>
  </si>
  <si>
    <t>EEMVMEVVV</t>
  </si>
  <si>
    <t>EVMVVEMME</t>
  </si>
  <si>
    <t>MEEVVMEEM</t>
  </si>
  <si>
    <t>VVVEVMEVV</t>
  </si>
  <si>
    <t>VVVMVEMEV</t>
  </si>
  <si>
    <t>MVMEVVVEE</t>
  </si>
  <si>
    <t>EVEMVVEMM</t>
  </si>
  <si>
    <t>MVMEEVMEE</t>
  </si>
  <si>
    <t>MEEMVVVVE</t>
  </si>
  <si>
    <t>EMMEVVVEM</t>
  </si>
  <si>
    <t>VEMMEEVVV</t>
  </si>
  <si>
    <t>EVVVMEVME</t>
  </si>
  <si>
    <t>VMVVEVVME</t>
  </si>
  <si>
    <t>EEVVMVVEM</t>
  </si>
  <si>
    <t>MMVVEEVME</t>
  </si>
  <si>
    <t>EEVMMVMEV</t>
  </si>
  <si>
    <t>MMVEEVEME</t>
  </si>
  <si>
    <t>EEVMMEMEM</t>
  </si>
  <si>
    <t>VVVEMVVEM</t>
  </si>
  <si>
    <t>VVVEVEVVM</t>
  </si>
  <si>
    <t>VVEMVMVVE</t>
  </si>
  <si>
    <t>VVMEVEVEM</t>
  </si>
  <si>
    <t>EVEMVMVME</t>
  </si>
  <si>
    <t>MVMEVEEEM</t>
  </si>
  <si>
    <t>VEVEVVVMV</t>
  </si>
  <si>
    <t>VMVMVVVEE</t>
  </si>
  <si>
    <t>EEVVMEEMM</t>
  </si>
  <si>
    <t>MMVEEMMEE</t>
  </si>
  <si>
    <t>EEVMVEVMM</t>
  </si>
  <si>
    <t>EEVVMVVMV</t>
  </si>
  <si>
    <t>MMVVEVEEV</t>
  </si>
  <si>
    <t>VVVVVMEEM</t>
  </si>
  <si>
    <t>VEVVMMEEM</t>
  </si>
  <si>
    <t>VVEVEVMVV</t>
  </si>
  <si>
    <t>VVEVEVMEM</t>
  </si>
  <si>
    <t>VEMVMVEME</t>
  </si>
  <si>
    <t>VMEEEVMEM</t>
  </si>
  <si>
    <t>EEMMMVEME</t>
  </si>
  <si>
    <t>VVVVVVEEM</t>
  </si>
  <si>
    <t>VVVEVVMME</t>
  </si>
  <si>
    <t>VVEMVVEEM</t>
  </si>
  <si>
    <t>VEMEVVMME</t>
  </si>
  <si>
    <t>MVVVVEVEV</t>
  </si>
  <si>
    <t>EVVEVMVMV</t>
  </si>
  <si>
    <t>EVVEEMMMV</t>
  </si>
  <si>
    <t>EEMVMVEVV</t>
  </si>
  <si>
    <t>MMEVEEMVV</t>
  </si>
  <si>
    <t>VVVMVEVME</t>
  </si>
  <si>
    <t>VVVEVMEEM</t>
  </si>
  <si>
    <t>VEVMVEMME</t>
  </si>
  <si>
    <t>VEMEVMVVV</t>
  </si>
  <si>
    <t>VMEMEEVVV</t>
  </si>
  <si>
    <t>MEVMMEVEV</t>
  </si>
  <si>
    <t>VEMMEMEVV</t>
  </si>
  <si>
    <t>EMEEMEMVV</t>
  </si>
  <si>
    <t>EVEEMEMVM</t>
  </si>
  <si>
    <t>MEEMMEVVV</t>
  </si>
  <si>
    <t>EMMEEMVEV</t>
  </si>
  <si>
    <t>VEVEVVMVV</t>
  </si>
  <si>
    <t>VMVMVEEVV</t>
  </si>
  <si>
    <t>VEVEVMMEV</t>
  </si>
  <si>
    <t>VMVVVEVME</t>
  </si>
  <si>
    <t>VEVEVMVEM</t>
  </si>
  <si>
    <t>VEEEMVMVM</t>
  </si>
  <si>
    <t>EVVVEVMVM</t>
  </si>
  <si>
    <t>VVEVMEVVM</t>
  </si>
  <si>
    <t>VVVEVVEVM</t>
  </si>
  <si>
    <t>VVVMEVMVE</t>
  </si>
  <si>
    <t>VVVEMVEEM</t>
  </si>
  <si>
    <t>VEVMEVMME</t>
  </si>
  <si>
    <t>VMEEMVEEM</t>
  </si>
  <si>
    <t>EVVEMEMVM</t>
  </si>
  <si>
    <t>MEEEVVVMM</t>
  </si>
  <si>
    <t>VEMEVVEMM</t>
  </si>
  <si>
    <t>EMEMVVMEE</t>
  </si>
  <si>
    <t>MEMEEVEMM</t>
  </si>
  <si>
    <t>MMEMVVVEE</t>
  </si>
  <si>
    <t>EEMEEVVMM</t>
  </si>
  <si>
    <t>VVMVMVEEV</t>
  </si>
  <si>
    <t>VVEVEEMMV</t>
  </si>
  <si>
    <t>VVVVMEEEM</t>
  </si>
  <si>
    <t>VVEVEMMME</t>
  </si>
  <si>
    <t>VVMEMEEEM</t>
  </si>
  <si>
    <t>VVVEMEVVM</t>
  </si>
  <si>
    <t>VEVEMEVMM</t>
  </si>
  <si>
    <t>VVEVVMMVE</t>
  </si>
  <si>
    <t>VVMEVEEVM</t>
  </si>
  <si>
    <t>VEEMVMMVE</t>
  </si>
  <si>
    <t>VEVEMEMVV</t>
  </si>
  <si>
    <t>VVVMVVMEE</t>
  </si>
  <si>
    <t>VVEMMVMEE</t>
  </si>
  <si>
    <t>EVMMVEEVV</t>
  </si>
  <si>
    <t>MVEEVMMEV</t>
  </si>
  <si>
    <t>EVMMVEEME</t>
  </si>
  <si>
    <t>MEEEVMMEM</t>
  </si>
  <si>
    <t>EMMEMEVVV</t>
  </si>
  <si>
    <t>MEEMEMVVE</t>
  </si>
  <si>
    <t>VVMEVEMEM</t>
  </si>
  <si>
    <t>MVVMEEVVV</t>
  </si>
  <si>
    <t>EVVEMMVVE</t>
  </si>
  <si>
    <t>MVVMEEVEM</t>
  </si>
  <si>
    <t>EEVEMMVME</t>
  </si>
  <si>
    <t>MMVMEEEEM</t>
  </si>
  <si>
    <t>VVEVVEMVV</t>
  </si>
  <si>
    <t>VVMVVMEEV</t>
  </si>
  <si>
    <t>VEEMVMEVV</t>
  </si>
  <si>
    <t>EMMEVEMVV</t>
  </si>
  <si>
    <t>EVEEMVMVV</t>
  </si>
  <si>
    <t>MVMMEVEVE</t>
  </si>
  <si>
    <t>VEVMMVEVV</t>
  </si>
  <si>
    <t>VMEVVVEVM</t>
  </si>
  <si>
    <t>VEMVVEMVE</t>
  </si>
  <si>
    <t>VEMMEEMVE</t>
  </si>
  <si>
    <t>EEVMMVEVV</t>
  </si>
  <si>
    <t>VEMEVEVVM</t>
  </si>
  <si>
    <t>VMEMVMVEE</t>
  </si>
  <si>
    <t>VEMEVEEMM</t>
  </si>
  <si>
    <t>MVMEVVVVE</t>
  </si>
  <si>
    <t>EVMEVMVVV</t>
  </si>
  <si>
    <t>MVEMVEEVV</t>
  </si>
  <si>
    <t>EEMEVMMVV</t>
  </si>
  <si>
    <t>MVVVMEEVV</t>
  </si>
  <si>
    <t>EVVEEMMVV</t>
  </si>
  <si>
    <t>MVVMMEEEV</t>
  </si>
  <si>
    <t>EEVEEMMMV</t>
  </si>
  <si>
    <t>MVVVEVEMV</t>
  </si>
  <si>
    <t>EVVVMVMEE</t>
  </si>
  <si>
    <t>VEMEMVEME</t>
  </si>
  <si>
    <t>VVEEMVVME</t>
  </si>
  <si>
    <t>VEVEVVMMV</t>
  </si>
  <si>
    <t>VEMEEVVMM</t>
  </si>
  <si>
    <t>EMEMMVVEE</t>
  </si>
  <si>
    <t>EVVEMMMVE</t>
  </si>
  <si>
    <t>EMVMEMEVV</t>
  </si>
  <si>
    <t>MEVMVVEVE</t>
  </si>
  <si>
    <t>EMEEVVMVM</t>
  </si>
  <si>
    <t>EVVVVMVEV</t>
  </si>
  <si>
    <t>MVEVVEVMV</t>
  </si>
  <si>
    <t>EVMVEMVEV</t>
  </si>
  <si>
    <t>MMVVEMEEV</t>
  </si>
  <si>
    <t>VMVVEEMME</t>
  </si>
  <si>
    <t>VEEVMMEEM</t>
  </si>
  <si>
    <t>MVMEEVVVE</t>
  </si>
  <si>
    <t>MMVEEMEVV</t>
  </si>
  <si>
    <t>VMEEVEMMV</t>
  </si>
  <si>
    <t>EEMMVMEEV</t>
  </si>
  <si>
    <t>MVVVEEVVV</t>
  </si>
  <si>
    <t>MVEMEVVVV</t>
  </si>
  <si>
    <t>EMVEMVVVV</t>
  </si>
  <si>
    <t>VEEVEVMVM</t>
  </si>
  <si>
    <t>VMMEMVEVE</t>
  </si>
  <si>
    <t>EVVVMEMVV</t>
  </si>
  <si>
    <t>VEVVEMEVM</t>
  </si>
  <si>
    <t>EMVVMEMVE</t>
  </si>
  <si>
    <t>EEVVMVMVV</t>
  </si>
  <si>
    <t>EVVMMVVVE</t>
  </si>
  <si>
    <t>MVVMEEVEV</t>
  </si>
  <si>
    <t>EEVVEMVVM</t>
  </si>
  <si>
    <t>VMVVEEVVV</t>
  </si>
  <si>
    <t>VEVEMMVVV</t>
  </si>
  <si>
    <t>MVEVMEEVV</t>
  </si>
  <si>
    <t>VVVVEEEMM</t>
  </si>
  <si>
    <t>VVVEMMMEE</t>
  </si>
  <si>
    <t>VEVMEEEMM</t>
  </si>
  <si>
    <t>VEVVMVVME</t>
  </si>
  <si>
    <t>VMVVEVEEM</t>
  </si>
  <si>
    <t>EVVVMVEVV</t>
  </si>
  <si>
    <t>EVVVMVMVE</t>
  </si>
  <si>
    <t>VEEVMVVMV</t>
  </si>
  <si>
    <t>VMMEEVVEV</t>
  </si>
  <si>
    <t>VVMMEVVVE</t>
  </si>
  <si>
    <t>VVEEMVVEM</t>
  </si>
  <si>
    <t>VVVEMMEEM</t>
  </si>
  <si>
    <t>VEVMEEMME</t>
  </si>
  <si>
    <t>EMMVEVVEV</t>
  </si>
  <si>
    <t>MEEEMVVMV</t>
  </si>
  <si>
    <t>MVVMEVVEV</t>
  </si>
  <si>
    <t>VVEMMEVVV</t>
  </si>
  <si>
    <t>VVMEEMVEV</t>
  </si>
  <si>
    <t>MEEVVVVVV</t>
  </si>
  <si>
    <t>VEVEMVMEV</t>
  </si>
  <si>
    <t>EMVMEVEMV</t>
  </si>
  <si>
    <t>MEEEMVMEV</t>
  </si>
  <si>
    <t>VVEVEVVMV</t>
  </si>
  <si>
    <t>EMMEVEVVV</t>
  </si>
  <si>
    <t>MEEMEMVVV</t>
  </si>
  <si>
    <t>VEMMVEMEE</t>
  </si>
  <si>
    <t>VEMEVMMVE</t>
  </si>
  <si>
    <t>MVVMVVEEV</t>
  </si>
  <si>
    <t>EVEEVVMMV</t>
  </si>
  <si>
    <t>MEMMVVEEV</t>
  </si>
  <si>
    <t>EMEEEVMMV</t>
  </si>
  <si>
    <t>MEMVMVVEE</t>
  </si>
  <si>
    <t>EMEEEVVMM</t>
  </si>
  <si>
    <t>VVMVVEVEM</t>
  </si>
  <si>
    <t>VVMEEMVVE</t>
  </si>
  <si>
    <t>VVVVMVEME</t>
  </si>
  <si>
    <t>VMEMVEEVV</t>
  </si>
  <si>
    <t>VEMEVMMEV</t>
  </si>
  <si>
    <t>EMEMVEEMV</t>
  </si>
  <si>
    <t>MVMVMEEEV</t>
  </si>
  <si>
    <t>VVEVMVMVE</t>
  </si>
  <si>
    <t>VEMEVVMVV</t>
  </si>
  <si>
    <t>MVEVMVEME</t>
  </si>
  <si>
    <t>EMVVVVEVM</t>
  </si>
  <si>
    <t>MEVVEVMVE</t>
  </si>
  <si>
    <t>EMEVMVEVM</t>
  </si>
  <si>
    <t>EMEVMMVVE</t>
  </si>
  <si>
    <t>VEVEMEMMV</t>
  </si>
  <si>
    <t>EEMVVVEMV</t>
  </si>
  <si>
    <t>MMEVVEMEV</t>
  </si>
  <si>
    <t>EEMVEMEMV</t>
  </si>
  <si>
    <t>VEVMMEVVE</t>
  </si>
  <si>
    <t>VMVEEMVEM</t>
  </si>
  <si>
    <t>VMVVEEVVM</t>
  </si>
  <si>
    <t>MMEVVVEVV</t>
  </si>
  <si>
    <t>EEMEVVMVV</t>
  </si>
  <si>
    <t>MMEMVVEEV</t>
  </si>
  <si>
    <t>EEMEVVMME</t>
  </si>
  <si>
    <t>VMVMVVEEV</t>
  </si>
  <si>
    <t>VVVEMVVME</t>
  </si>
  <si>
    <t>EVVMEVVEM</t>
  </si>
  <si>
    <t>EVEVVMMVV</t>
  </si>
  <si>
    <t>MVMVEEEVV</t>
  </si>
  <si>
    <t>EVEEMMMVV</t>
  </si>
  <si>
    <t>MEMMEEEVV</t>
  </si>
  <si>
    <t>EMEEMMMVE</t>
  </si>
  <si>
    <t>EVEEVVMVM</t>
  </si>
  <si>
    <t>VEMVEVVVV</t>
  </si>
  <si>
    <t>VMEEMVVVV</t>
  </si>
  <si>
    <t>VVEVVMVEM</t>
  </si>
  <si>
    <t>MMEMVVEVE</t>
  </si>
  <si>
    <t>EEMEVEMVM</t>
  </si>
  <si>
    <t>MVVMVEEVV</t>
  </si>
  <si>
    <t>VEEEVVVMM</t>
  </si>
  <si>
    <t>VMMMVEVEE</t>
  </si>
  <si>
    <t>MEMVVEVME</t>
  </si>
  <si>
    <t>EMEVVMEEM</t>
  </si>
  <si>
    <t>MEMVEEMME</t>
  </si>
  <si>
    <t>EVMMVEVVV</t>
  </si>
  <si>
    <t>MVEEVMVEV</t>
  </si>
  <si>
    <t>EVMMVEVME</t>
  </si>
  <si>
    <t>MVEEEMVEM</t>
  </si>
  <si>
    <t>EEMMMEVME</t>
  </si>
  <si>
    <t>VEEVVVVVM</t>
  </si>
  <si>
    <t>VMMVEEMVE</t>
  </si>
  <si>
    <t>VVVEVMEMV</t>
  </si>
  <si>
    <t>MMEEEVVEM</t>
  </si>
  <si>
    <t>EVVVVMVVE</t>
  </si>
  <si>
    <t>MVVEVEVVM</t>
  </si>
  <si>
    <t>EVEMVMVVE</t>
  </si>
  <si>
    <t>MVMEVEVEM</t>
  </si>
  <si>
    <t>EVEMVMEME</t>
  </si>
  <si>
    <t>MVVEVVVME</t>
  </si>
  <si>
    <t>MVVEMEVME</t>
  </si>
  <si>
    <t>EVVVMVEMV</t>
  </si>
  <si>
    <t>VEMMMEEVV</t>
  </si>
  <si>
    <t>VVEEVVVMV</t>
  </si>
  <si>
    <t>EVMMVVVEV</t>
  </si>
  <si>
    <t>MVEEEVVMV</t>
  </si>
  <si>
    <t>EVMMMVVEE</t>
  </si>
  <si>
    <t>MEEEEVVMM</t>
  </si>
  <si>
    <t>VMVEMVEEM</t>
  </si>
  <si>
    <t>MVVVVEMEE</t>
  </si>
  <si>
    <t>EEVVVMEMM</t>
  </si>
  <si>
    <t>MMVVEEMEE</t>
  </si>
  <si>
    <t>MEVEMVEVV</t>
  </si>
  <si>
    <t>EMEMEVMVV</t>
  </si>
  <si>
    <t>MEMEMVEEV</t>
  </si>
  <si>
    <t>EMEMEEMMV</t>
  </si>
  <si>
    <t>EVMMVEMVE</t>
  </si>
  <si>
    <t>MVEEVMEEM</t>
  </si>
  <si>
    <t>EVEMMEEVM</t>
  </si>
  <si>
    <t>VEMVMEVEM</t>
  </si>
  <si>
    <t>VVVEEVMVV</t>
  </si>
  <si>
    <t>VMMEVEVVV</t>
  </si>
  <si>
    <t>VEEMVMVVE</t>
  </si>
  <si>
    <t>EVVEMEVMM</t>
  </si>
  <si>
    <t>EEVVMMVVV</t>
  </si>
  <si>
    <t>VEVVEVVMM</t>
  </si>
  <si>
    <t>VEVMEEVMM</t>
  </si>
  <si>
    <t>EMVMEVVVV</t>
  </si>
  <si>
    <t>VVVMEVEEM</t>
  </si>
  <si>
    <t>EVVEMVMME</t>
  </si>
  <si>
    <t>EVMMVVVVE</t>
  </si>
  <si>
    <t>MEEEVVVVM</t>
  </si>
  <si>
    <t>VMEVEEMVM</t>
  </si>
  <si>
    <t>VEMMEEVMV</t>
  </si>
  <si>
    <t>VMEEMMVEE</t>
  </si>
  <si>
    <t>EEMMEEVMM</t>
  </si>
  <si>
    <t>VEVVVEVMV</t>
  </si>
  <si>
    <t>VMVVEMVEV</t>
  </si>
  <si>
    <t>VEVVMEEMV</t>
  </si>
  <si>
    <t>EMVVEMMEV</t>
  </si>
  <si>
    <t>MEVVMEEME</t>
  </si>
  <si>
    <t>EMVEEMMEM</t>
  </si>
  <si>
    <t>VEVEMMMEV</t>
  </si>
  <si>
    <t>EMVMEEEMV</t>
  </si>
  <si>
    <t>MEVEMMMEE</t>
  </si>
  <si>
    <t>VVEVVEMMV</t>
  </si>
  <si>
    <t>VEMVVMEEV</t>
  </si>
  <si>
    <t>EVVEVVVMV</t>
  </si>
  <si>
    <t>MVVMVVVEE</t>
  </si>
  <si>
    <t>MVEMVMVEE</t>
  </si>
  <si>
    <t>EMEVVVVVM</t>
  </si>
  <si>
    <t>MEMEEVMVE</t>
  </si>
  <si>
    <t>VVVVEMVEV</t>
  </si>
  <si>
    <t>VEMEVEVMM</t>
  </si>
  <si>
    <t>EMEMVMVEE</t>
  </si>
  <si>
    <t>VVEEVMMVV</t>
  </si>
  <si>
    <t>VEVVVVMME</t>
  </si>
  <si>
    <t>VMVVVEEEM</t>
  </si>
  <si>
    <t>VEEVVMMME</t>
  </si>
  <si>
    <t>VMMVEEEEM</t>
  </si>
  <si>
    <t>VVEMVVMEE</t>
  </si>
  <si>
    <t>VVMMVEVEV</t>
  </si>
  <si>
    <t>VVEEEMVMV</t>
  </si>
  <si>
    <t>MVMEVMVEE</t>
  </si>
  <si>
    <t>EVEMEEVMM</t>
  </si>
  <si>
    <t>VEVMMEVVV</t>
  </si>
  <si>
    <t>VMVEEMVVE</t>
  </si>
  <si>
    <t>EEMMVVEVV</t>
  </si>
  <si>
    <t>MMEEVVMVE</t>
  </si>
  <si>
    <t>EEMMVVEEM</t>
  </si>
  <si>
    <t>VMEMVEVVV</t>
  </si>
  <si>
    <t>VEMEVMVVE</t>
  </si>
  <si>
    <t>EMEEEMMVV</t>
  </si>
  <si>
    <t>MMVEEVVEM</t>
  </si>
  <si>
    <t>VEVMVVMVE</t>
  </si>
  <si>
    <t>VEMMEVMVE</t>
  </si>
  <si>
    <t>VMEEMEEVM</t>
  </si>
  <si>
    <t>EEVVVMVMV</t>
  </si>
  <si>
    <t>MMVVEEVEV</t>
  </si>
  <si>
    <t>EEVVMMVME</t>
  </si>
  <si>
    <t>EVEVMMVVV</t>
  </si>
  <si>
    <t>EVVEMEMME</t>
  </si>
  <si>
    <t>EVVMVVEEM</t>
  </si>
  <si>
    <t>EEVMMVEEM</t>
  </si>
  <si>
    <t>VVVVVMEEV</t>
  </si>
  <si>
    <t>VEVVVEMMV</t>
  </si>
  <si>
    <t>MVEEVVEVM</t>
  </si>
  <si>
    <t>EVMMVVMEE</t>
  </si>
  <si>
    <t>EVEVVVVMV</t>
  </si>
  <si>
    <t>MVMVVEVEV</t>
  </si>
  <si>
    <t>EVEVVMVME</t>
  </si>
  <si>
    <t>MEMVVEVEM</t>
  </si>
  <si>
    <t>EVVMVEEVM</t>
  </si>
  <si>
    <t>MVVEVMMEE</t>
  </si>
  <si>
    <t>MVVVEEVVM</t>
  </si>
  <si>
    <t>EVEVMMVVE</t>
  </si>
  <si>
    <t>MVEVEMVVV</t>
  </si>
  <si>
    <t>VVVEEVMVM</t>
  </si>
  <si>
    <t>VVVMMEEVE</t>
  </si>
  <si>
    <t>VEVEEMMVM</t>
  </si>
  <si>
    <t>MEVMMVVEE</t>
  </si>
  <si>
    <t>MVEVVVVVE</t>
  </si>
  <si>
    <t>EVMVVVEVM</t>
  </si>
  <si>
    <t>MVEEVVMVE</t>
  </si>
  <si>
    <t>EVMMEVEVM</t>
  </si>
  <si>
    <t>MVMVVVVEE</t>
  </si>
  <si>
    <t>MVMVEVVEV</t>
  </si>
  <si>
    <t>EVEEMVVMV</t>
  </si>
  <si>
    <t>MVMMEEVEV</t>
  </si>
  <si>
    <t>MEVVVVVEV</t>
  </si>
  <si>
    <t>EMVEVVVMV</t>
  </si>
  <si>
    <t>MEEMVVVEV</t>
  </si>
  <si>
    <t>VVMVEEVMV</t>
  </si>
  <si>
    <t>VVEVMMVEE</t>
  </si>
  <si>
    <t>VEVVVMEVM</t>
  </si>
  <si>
    <t>VMVVEEMVE</t>
  </si>
  <si>
    <t>VVMVEEVME</t>
  </si>
  <si>
    <t>EVVVVEMMV</t>
  </si>
  <si>
    <t>MVEVVMEEV</t>
  </si>
  <si>
    <t>VEVVVEMVM</t>
  </si>
  <si>
    <t>VMVVEMEVE</t>
  </si>
  <si>
    <t>MEEVVMVVV</t>
  </si>
  <si>
    <t>EMMVEEVVV</t>
  </si>
  <si>
    <t>MEEVMMEVV</t>
  </si>
  <si>
    <t>EMMVEEMEV</t>
  </si>
  <si>
    <t>MMEEVEVVM</t>
  </si>
  <si>
    <t>VVEVEMVME</t>
  </si>
  <si>
    <t>VVMEMEVEM</t>
  </si>
  <si>
    <t>VEEMEMVME</t>
  </si>
  <si>
    <t>VMMEMEEEM</t>
  </si>
  <si>
    <t>EVEVVVVVM</t>
  </si>
  <si>
    <t>VEVVVMEVV</t>
  </si>
  <si>
    <t>VMVVEEMVV</t>
  </si>
  <si>
    <t>VEEVMMEVV</t>
  </si>
  <si>
    <t>EMMVEEMVV</t>
  </si>
  <si>
    <t>MEEVMMEEV</t>
  </si>
  <si>
    <t>VMEMVVEEM</t>
  </si>
  <si>
    <t>VEMEVEMME</t>
  </si>
  <si>
    <t>EMEMVMEEM</t>
  </si>
  <si>
    <t>VMVEEMEMV</t>
  </si>
  <si>
    <t>VEEMMEMEV</t>
  </si>
  <si>
    <t>VEVVVEVVM</t>
  </si>
  <si>
    <t>VMVEVMVVE</t>
  </si>
  <si>
    <t>VEVMEEVVM</t>
  </si>
  <si>
    <t>EVVVMVVEV</t>
  </si>
  <si>
    <t>MVVVEEVMV</t>
  </si>
  <si>
    <t>EVVVMMEEV</t>
  </si>
  <si>
    <t>MVVEEVMVV</t>
  </si>
  <si>
    <t>EVVMMVEVE</t>
  </si>
  <si>
    <t>VVMEEVMME</t>
  </si>
  <si>
    <t>MEVVVEVVM</t>
  </si>
  <si>
    <t>EMVVVMVEE</t>
  </si>
  <si>
    <t>MEVEVEVMM</t>
  </si>
  <si>
    <t>VEMVVVEVM</t>
  </si>
  <si>
    <t>VEMEVVMEM</t>
  </si>
  <si>
    <t>EMEMVVEME</t>
  </si>
  <si>
    <t>MEMEVEMEM</t>
  </si>
  <si>
    <t>MEVEVMMVE</t>
  </si>
  <si>
    <t>EMEMVEEVM</t>
  </si>
  <si>
    <t>VEEVVMVVV</t>
  </si>
  <si>
    <t>VVEEMEEMM</t>
  </si>
  <si>
    <t>EMVVEEVMM</t>
  </si>
  <si>
    <t>MMVVEVEME</t>
  </si>
  <si>
    <t>EVEVMVVMV</t>
  </si>
  <si>
    <t>EVMVMVEEM</t>
  </si>
  <si>
    <t>VVEEEVMMV</t>
  </si>
  <si>
    <t>VVVVEVMEM</t>
  </si>
  <si>
    <t>EVVVMVEME</t>
  </si>
  <si>
    <t>VVVVEVVME</t>
  </si>
  <si>
    <t>EVVVMVVEM</t>
  </si>
  <si>
    <t>MVVEEVVME</t>
  </si>
  <si>
    <t>EEVMMVVEM</t>
  </si>
  <si>
    <t>VMEVMEVVV</t>
  </si>
  <si>
    <t>VEMVEMVVE</t>
  </si>
  <si>
    <t>VMEVMEEVM</t>
  </si>
  <si>
    <t>EEMVEVMVV</t>
  </si>
  <si>
    <t>MMEVMEEVV</t>
  </si>
  <si>
    <t>EVMVMVEVV</t>
  </si>
  <si>
    <t>MVEEEVMVV</t>
  </si>
  <si>
    <t>EVMMMVEVE</t>
  </si>
  <si>
    <t>MEEEEVMVM</t>
  </si>
  <si>
    <t>MMVEEMVEE</t>
  </si>
  <si>
    <t>MEVMEEVVM</t>
  </si>
  <si>
    <t>EVMEVVVVM</t>
  </si>
  <si>
    <t>MEEMEVVVV</t>
  </si>
  <si>
    <t>MMVVVEEVV</t>
  </si>
  <si>
    <t>EMVVEVVVV</t>
  </si>
  <si>
    <t>MEVVMVVVE</t>
  </si>
  <si>
    <t>VEVMMVEVE</t>
  </si>
  <si>
    <t>VMEEEVMVM</t>
  </si>
  <si>
    <t>VEMMMEEVE</t>
  </si>
  <si>
    <t>EMEEEMMVM</t>
  </si>
  <si>
    <t>MVVEEVVMV</t>
  </si>
  <si>
    <t>EVVMMEVEV</t>
  </si>
  <si>
    <t>MVVEEMVME</t>
  </si>
  <si>
    <t>EMVVVVVEM</t>
  </si>
  <si>
    <t>MEVVEVVME</t>
  </si>
  <si>
    <t>MEMVEVEVM</t>
  </si>
  <si>
    <t>MEVEVVVVM</t>
  </si>
  <si>
    <t>EMVMVVEVE</t>
  </si>
  <si>
    <t>MEVEVEMVM</t>
  </si>
  <si>
    <t>MEVVEVVVM</t>
  </si>
  <si>
    <t>EMVVMVEVE</t>
  </si>
  <si>
    <t>VVMEEVMEV</t>
  </si>
  <si>
    <t>VEEMMVEMV</t>
  </si>
  <si>
    <t>VVEMMVEVV</t>
  </si>
  <si>
    <t>VEVEVVMEM</t>
  </si>
  <si>
    <t>EMVMVVEME</t>
  </si>
  <si>
    <t>MEEEVVMEM</t>
  </si>
  <si>
    <t>VEMVMEEVM</t>
  </si>
  <si>
    <t>VMEEEMMVE</t>
  </si>
  <si>
    <t>VEEVVMVMV</t>
  </si>
  <si>
    <t>VMMVEEVEV</t>
  </si>
  <si>
    <t>MMVVVVEVE</t>
  </si>
  <si>
    <t>EEVVEVMVM</t>
  </si>
  <si>
    <t>EMVEMVMEV</t>
  </si>
  <si>
    <t>EMEVVEMVM</t>
  </si>
  <si>
    <t>MEMVEMEVE</t>
  </si>
  <si>
    <t>MVVVVEVVE</t>
  </si>
  <si>
    <t>MVMEVEVVE</t>
  </si>
  <si>
    <t>EVVEVEMVM</t>
  </si>
  <si>
    <t>EEVMVMMVE</t>
  </si>
  <si>
    <t>MMEEVEEVM</t>
  </si>
  <si>
    <t>EEMMVMMEE</t>
  </si>
  <si>
    <t>MEVVVVEEM</t>
  </si>
  <si>
    <t>EMVVVEMME</t>
  </si>
  <si>
    <t>EEVVVVMVM</t>
  </si>
  <si>
    <t>MMVVVEEVE</t>
  </si>
  <si>
    <t>MEEMMVVEV</t>
  </si>
  <si>
    <t>VVVVMEEVM</t>
  </si>
  <si>
    <t>VVVEEMMVE</t>
  </si>
  <si>
    <t>EVMVVVVEM</t>
  </si>
  <si>
    <t>VVMEEMMEV</t>
  </si>
  <si>
    <t>VEEMMEEMV</t>
  </si>
  <si>
    <t>EMMEEMMEV</t>
  </si>
  <si>
    <t>EMVVMVVEE</t>
  </si>
  <si>
    <t>MEVVEVEMM</t>
  </si>
  <si>
    <t>EMEVMVMEE</t>
  </si>
  <si>
    <t>MVMEEVEVV</t>
  </si>
  <si>
    <t>VEVVMVEVV</t>
  </si>
  <si>
    <t>EMVVEVMVV</t>
  </si>
  <si>
    <t>MEVVMEEVV</t>
  </si>
  <si>
    <t>EVEMMVVVV</t>
  </si>
  <si>
    <t>VEVVMVMVE</t>
  </si>
  <si>
    <t>VEEVVVMVV</t>
  </si>
  <si>
    <t>VMMVVVEEV</t>
  </si>
  <si>
    <t>EEVEVMVMM</t>
  </si>
  <si>
    <t>VVEEMEMVM</t>
  </si>
  <si>
    <t>VVEEEMMVM</t>
  </si>
  <si>
    <t>EVMVVEVEM</t>
  </si>
  <si>
    <t>MVEVVMEME</t>
  </si>
  <si>
    <t>MVVVEVEVM</t>
  </si>
  <si>
    <t>MVEVEEMVV</t>
  </si>
  <si>
    <t>EEMVMMEVV</t>
  </si>
  <si>
    <t>VEEVMVVEM</t>
  </si>
  <si>
    <t>MVEVVVVEV</t>
  </si>
  <si>
    <t>EVMVVVEMV</t>
  </si>
  <si>
    <t>MVEVVEMEV</t>
  </si>
  <si>
    <t>EVMVEMEMV</t>
  </si>
  <si>
    <t>MVEEMEMEV</t>
  </si>
  <si>
    <t>VMEMEEVMV</t>
  </si>
  <si>
    <t>VEMEMMEEV</t>
  </si>
  <si>
    <t>VVMVVVVEE</t>
  </si>
  <si>
    <t>VEEVVVVMM</t>
  </si>
  <si>
    <t>VVEVVMVVE</t>
  </si>
  <si>
    <t>VEMVVEVVM</t>
  </si>
  <si>
    <t>VMEEVMVVE</t>
  </si>
  <si>
    <t>VEMMEEVVM</t>
  </si>
  <si>
    <t>EMEEMMVVE</t>
  </si>
  <si>
    <t>VEVMEVVVV</t>
  </si>
  <si>
    <t>VMVEMEVVV</t>
  </si>
  <si>
    <t>VEEMEMVVV</t>
  </si>
  <si>
    <t>VMMEMEVVE</t>
  </si>
  <si>
    <t>VEMEVVVEM</t>
  </si>
  <si>
    <t>EMEMVVVME</t>
  </si>
  <si>
    <t>MEMEVEVEM</t>
  </si>
  <si>
    <t>EMEMVMEME</t>
  </si>
  <si>
    <t>MEEEMEMVV</t>
  </si>
  <si>
    <t>EVVMMEMVE</t>
  </si>
  <si>
    <t>MEVEEMEVM</t>
  </si>
  <si>
    <t>EVMVVVVME</t>
  </si>
  <si>
    <t>EEMMMVEEM</t>
  </si>
  <si>
    <t>VVMEEVMVV</t>
  </si>
  <si>
    <t>VVEMMVEVE</t>
  </si>
  <si>
    <t>VEMEEVMVM</t>
  </si>
  <si>
    <t>EMEMMVEVE</t>
  </si>
  <si>
    <t>VEVMVEVVM</t>
  </si>
  <si>
    <t>VEVMMEVEM</t>
  </si>
  <si>
    <t>VMVEEMEME</t>
  </si>
  <si>
    <t>VEMEEMVMV</t>
  </si>
  <si>
    <t>EEMVMVVEV</t>
  </si>
  <si>
    <t>EMMMEEEVV</t>
  </si>
  <si>
    <t>MEEEMMMEV</t>
  </si>
  <si>
    <t>VVMEVMVVE</t>
  </si>
  <si>
    <t>VVVMVEVEV</t>
  </si>
  <si>
    <t>VVVMVEEEM</t>
  </si>
  <si>
    <t>VVEEVMMME</t>
  </si>
  <si>
    <t>VEMMVEEEM</t>
  </si>
  <si>
    <t>EMEEVMMME</t>
  </si>
  <si>
    <t>EEMMEVVMV</t>
  </si>
  <si>
    <t>MMEEMVEEV</t>
  </si>
  <si>
    <t>VEVVVMVEM</t>
  </si>
  <si>
    <t>VMVEVEVME</t>
  </si>
  <si>
    <t>VEEMVMVEM</t>
  </si>
  <si>
    <t>VEMVEVVVM</t>
  </si>
  <si>
    <t>VMEEMMEVE</t>
  </si>
  <si>
    <t>MVVMEEEVM</t>
  </si>
  <si>
    <t>EVVEMMMEE</t>
  </si>
  <si>
    <t>MVEVEVVMV</t>
  </si>
  <si>
    <t>MVEVEEVMM</t>
  </si>
  <si>
    <t>EEMVMMVEE</t>
  </si>
  <si>
    <t>EVVMVVVEV</t>
  </si>
  <si>
    <t>VVEMMVEEV</t>
  </si>
  <si>
    <t>VMEVVVEMV</t>
  </si>
  <si>
    <t>VEMMVEVVV</t>
  </si>
  <si>
    <t>EMEEVMVVV</t>
  </si>
  <si>
    <t>VMEVVVEEM</t>
  </si>
  <si>
    <t>VEMVVEMME</t>
  </si>
  <si>
    <t>MEMEVEMME</t>
  </si>
  <si>
    <t>MVEVMMEVE</t>
  </si>
  <si>
    <t>EEVVMMMEE</t>
  </si>
  <si>
    <t>MVVEEVMVE</t>
  </si>
  <si>
    <t>EVVMMEEVM</t>
  </si>
  <si>
    <t>MVVEEMMEE</t>
  </si>
  <si>
    <t>EVEMMEEMM</t>
  </si>
  <si>
    <t>VVVEEMMEM</t>
  </si>
  <si>
    <t>VEVMMEEME</t>
  </si>
  <si>
    <t>VMVVVVVEE</t>
  </si>
  <si>
    <t>VMVEVVEVV</t>
  </si>
  <si>
    <t>VEVMVEMVV</t>
  </si>
  <si>
    <t>VMEEVMEVV</t>
  </si>
  <si>
    <t>VEMMVEMEV</t>
  </si>
  <si>
    <t>VVVEMVEVM</t>
  </si>
  <si>
    <t>VEVMEVMVE</t>
  </si>
  <si>
    <t>VMVEMEEVM</t>
  </si>
  <si>
    <t>EVVVMEVVM</t>
  </si>
  <si>
    <t>MEVVEMVVE</t>
  </si>
  <si>
    <t>EMVVMEEVM</t>
  </si>
  <si>
    <t>MEEVEMMVE</t>
  </si>
  <si>
    <t>EEMVVVEMM</t>
  </si>
  <si>
    <t>VVVEVEEMM</t>
  </si>
  <si>
    <t>VVEMVMMEE</t>
  </si>
  <si>
    <t>VMVEEMEVM</t>
  </si>
  <si>
    <t>VMEMVEVEM</t>
  </si>
  <si>
    <t>VEMEEMVME</t>
  </si>
  <si>
    <t>VEEVMVMEV</t>
  </si>
  <si>
    <t>VMMEEVEMV</t>
  </si>
  <si>
    <t>MVVVEMEVE</t>
  </si>
  <si>
    <t>VEVMEVVME</t>
  </si>
  <si>
    <t>VMVEMEVEM</t>
  </si>
  <si>
    <t>MVVEMVVVE</t>
  </si>
  <si>
    <t>EVVMEEVVM</t>
  </si>
  <si>
    <t>MVEEMMVVE</t>
  </si>
  <si>
    <t>EVMMEEVEM</t>
  </si>
  <si>
    <t>VVEEMEMMV</t>
  </si>
  <si>
    <t>EVEVVMVMV</t>
  </si>
  <si>
    <t>MVMVVEEEV</t>
  </si>
  <si>
    <t>EVEVEMMMV</t>
  </si>
  <si>
    <t>EEVEMVMMV</t>
  </si>
  <si>
    <t>VMVVVEEMV</t>
  </si>
  <si>
    <t>VEEVVMMEV</t>
  </si>
  <si>
    <t>EEVVVVVMM</t>
  </si>
  <si>
    <t>MMVVVEVEE</t>
  </si>
  <si>
    <t>MVEEMEVVV</t>
  </si>
  <si>
    <t>EEMEMVVVV</t>
  </si>
  <si>
    <t>VEVEMMVME</t>
  </si>
  <si>
    <t>MVEVEMVEV</t>
  </si>
  <si>
    <t>EEMVMEVMV</t>
  </si>
  <si>
    <t>MMEVEMVEE</t>
  </si>
  <si>
    <t>VEVMVEMVE</t>
  </si>
  <si>
    <t>VVVEMEEMM</t>
  </si>
  <si>
    <t>VVEMEMMEE</t>
  </si>
  <si>
    <t>VEVMMVVVE</t>
  </si>
  <si>
    <t>EMVEEVVVM</t>
  </si>
  <si>
    <t>VVMEEVMEM</t>
  </si>
  <si>
    <t>VEEMMVEME</t>
  </si>
  <si>
    <t>EMMEEVMEM</t>
  </si>
  <si>
    <t>VMEMEVVVV</t>
  </si>
  <si>
    <t>VEMEMVVEV</t>
  </si>
  <si>
    <t>VMEMEVVME</t>
  </si>
  <si>
    <t>VEMEMVEEM</t>
  </si>
  <si>
    <t>VVEEMMVME</t>
  </si>
  <si>
    <t>EVMEVVVMV</t>
  </si>
  <si>
    <t>EEVEVVVMM</t>
  </si>
  <si>
    <t>MMVMVEVEE</t>
  </si>
  <si>
    <t>MMVEMEEVV</t>
  </si>
  <si>
    <t>VVMEMEVVE</t>
  </si>
  <si>
    <t>MEVVVVMEE</t>
  </si>
  <si>
    <t>EMVVVEEMM</t>
  </si>
  <si>
    <t>EVEEMVMMV</t>
  </si>
  <si>
    <t>MVMMEEEEV</t>
  </si>
  <si>
    <t>VVMEVVEVV</t>
  </si>
  <si>
    <t>VVMVVEVME</t>
  </si>
  <si>
    <t>VEEVVMVEM</t>
  </si>
  <si>
    <t>VMMEVEVME</t>
  </si>
  <si>
    <t>EMVVMEMEV</t>
  </si>
  <si>
    <t>VVMEMVEVV</t>
  </si>
  <si>
    <t>MVVMMEEVE</t>
  </si>
  <si>
    <t>EVVEEMMEM</t>
  </si>
  <si>
    <t>VEVVEMMVV</t>
  </si>
  <si>
    <t>VMVVMEEEV</t>
  </si>
  <si>
    <t>VEEVEMMMV</t>
  </si>
  <si>
    <t>EMMVMEEEV</t>
  </si>
  <si>
    <t>MEEEEMMMV</t>
  </si>
  <si>
    <t>VVVEMEMME</t>
  </si>
  <si>
    <t>EVVMEMEEM</t>
  </si>
  <si>
    <t>MEVEMEMME</t>
  </si>
  <si>
    <t>VEEMMVEVM</t>
  </si>
  <si>
    <t>VEMMEVVME</t>
  </si>
  <si>
    <t>VMEEMEVEM</t>
  </si>
  <si>
    <t>MMVEMEVEV</t>
  </si>
  <si>
    <t>MVEEVEMEM</t>
  </si>
  <si>
    <t>VMVMVEEME</t>
  </si>
  <si>
    <t>VEEEVMMEM</t>
  </si>
  <si>
    <t>EMMMVEEME</t>
  </si>
  <si>
    <t>MMVVEEMEV</t>
  </si>
  <si>
    <t>MVVEEMMEV</t>
  </si>
  <si>
    <t>VEVEMMEVV</t>
  </si>
  <si>
    <t>VMEMEEMVV</t>
  </si>
  <si>
    <t>VEMVMMEEV</t>
  </si>
  <si>
    <t>VVVMEEMVV</t>
  </si>
  <si>
    <t>VVVEMMEEV</t>
  </si>
  <si>
    <t>VEVMEEMMV</t>
  </si>
  <si>
    <t>MEMVEVEVV</t>
  </si>
  <si>
    <t>EMEVMVMVE</t>
  </si>
  <si>
    <t>MEMVEEEVM</t>
  </si>
  <si>
    <t>EMEVMMMEE</t>
  </si>
  <si>
    <t>VMEVMVEVV</t>
  </si>
  <si>
    <t>MMEVMVEVE</t>
  </si>
  <si>
    <t>VMMMEVVEE</t>
  </si>
  <si>
    <t>VEEEMEVMM</t>
  </si>
  <si>
    <t>VEVVMVVEV</t>
  </si>
  <si>
    <t>EMVVEVVMV</t>
  </si>
  <si>
    <t>MEVVMVVEE</t>
  </si>
  <si>
    <t>EVVMMVEEM</t>
  </si>
  <si>
    <t>EVMVVEVME</t>
  </si>
  <si>
    <t>EMEEMVVVM</t>
  </si>
  <si>
    <t>EVEMVMEMV</t>
  </si>
  <si>
    <t>VEVVVVEMM</t>
  </si>
  <si>
    <t>VMVVEVMEE</t>
  </si>
  <si>
    <t>EEVVMVEMM</t>
  </si>
  <si>
    <t>MMVEEVMEE</t>
  </si>
  <si>
    <t>MEMEVVVEM</t>
  </si>
  <si>
    <t>VVMEVEEMV</t>
  </si>
  <si>
    <t>VVVMVMVEE</t>
  </si>
  <si>
    <t>EVMMVVEEV</t>
  </si>
  <si>
    <t>MVEEEVMMV</t>
  </si>
  <si>
    <t>EVMMMEEEV</t>
  </si>
  <si>
    <t>MEEVVEMEM</t>
  </si>
  <si>
    <t>EMEVMVVEV</t>
  </si>
  <si>
    <t>MEMEEVVMV</t>
  </si>
  <si>
    <t>MEVEVVMVV</t>
  </si>
  <si>
    <t>EMVMVEEVV</t>
  </si>
  <si>
    <t>MEVEEMMVV</t>
  </si>
  <si>
    <t>EMVMMEEEV</t>
  </si>
  <si>
    <t>VVMEMMEEV</t>
  </si>
  <si>
    <t>EVEMEEMMV</t>
  </si>
  <si>
    <t>VMVMEVVVE</t>
  </si>
  <si>
    <t>VEEEMVVVM</t>
  </si>
  <si>
    <t>VMMMEEVVE</t>
  </si>
  <si>
    <t>VEEEMMEVM</t>
  </si>
  <si>
    <t>VMMVMEEEV</t>
  </si>
  <si>
    <t>MEVVVVEVV</t>
  </si>
  <si>
    <t>MEMEVVEVV</t>
  </si>
  <si>
    <t>VEVMVMEVV</t>
  </si>
  <si>
    <t>VMVEVEMEV</t>
  </si>
  <si>
    <t>EEMEVMVMV</t>
  </si>
  <si>
    <t>VVVMEEMME</t>
  </si>
  <si>
    <t>VVVEVMMEV</t>
  </si>
  <si>
    <t>VEVMVEEMV</t>
  </si>
  <si>
    <t>VMVEVMMEE</t>
  </si>
  <si>
    <t>EMMEVMMEE</t>
  </si>
  <si>
    <t>VVEVVMMEV</t>
  </si>
  <si>
    <t>VVMVVEEME</t>
  </si>
  <si>
    <t>VVEVEMMEM</t>
  </si>
  <si>
    <t>MEVVEEMMV</t>
  </si>
  <si>
    <t>EMEVMMEEV</t>
  </si>
  <si>
    <t>MEEEMMVVV</t>
  </si>
  <si>
    <t>EVEMMVVME</t>
  </si>
  <si>
    <t>EVEEVVVMM</t>
  </si>
  <si>
    <t>MVEEVVVVV</t>
  </si>
  <si>
    <t>MVEEMMVEE</t>
  </si>
  <si>
    <t>EVEMMVEVM</t>
  </si>
  <si>
    <t>VMEVEVVMV</t>
  </si>
  <si>
    <t>VVEEMVMVV</t>
  </si>
  <si>
    <t>EVMMEVEVV</t>
  </si>
  <si>
    <t>MEEEMVMVV</t>
  </si>
  <si>
    <t>EMMMEVEEV</t>
  </si>
  <si>
    <t>MEEEMEMMV</t>
  </si>
  <si>
    <t>VMEMMEEEM</t>
  </si>
  <si>
    <t>VMEVMVVEE</t>
  </si>
  <si>
    <t>VVVVMEVEM</t>
  </si>
  <si>
    <t>VEVMEVMVV</t>
  </si>
  <si>
    <t>EVMMVVEVV</t>
  </si>
  <si>
    <t>MVEEVVMEV</t>
  </si>
  <si>
    <t>EVMMVVEME</t>
  </si>
  <si>
    <t>MVEEEVMEM</t>
  </si>
  <si>
    <t>VEMVVMEVV</t>
  </si>
  <si>
    <t>VMEVVEMEV</t>
  </si>
  <si>
    <t>EEMVVMEMV</t>
  </si>
  <si>
    <t>MVMEEVVEV</t>
  </si>
  <si>
    <t>EVEMMEVMV</t>
  </si>
  <si>
    <t>VVVEMMEME</t>
  </si>
  <si>
    <t>VVEMEEMEM</t>
  </si>
  <si>
    <t>EMEVEVVMV</t>
  </si>
  <si>
    <t>MMEEVMEME</t>
  </si>
  <si>
    <t>VVMVMEEEM</t>
  </si>
  <si>
    <t>VEMVEVMVE</t>
  </si>
  <si>
    <t>MEVEEMVVV</t>
  </si>
  <si>
    <t>MMEEMVEVV</t>
  </si>
  <si>
    <t>EEMMEEMVV</t>
  </si>
  <si>
    <t>MMEEMMEEV</t>
  </si>
  <si>
    <t>MEEEVVMVM</t>
  </si>
  <si>
    <t>MVVEMVEEV</t>
  </si>
  <si>
    <t>VEVMVVVEM</t>
  </si>
  <si>
    <t>VMVEVVEME</t>
  </si>
  <si>
    <t>VEVMVEMEM</t>
  </si>
  <si>
    <t>MVMVVVEVE</t>
  </si>
  <si>
    <t>EVEVVEMVM</t>
  </si>
  <si>
    <t>EVVVVMVEM</t>
  </si>
  <si>
    <t>MVVEVEVME</t>
  </si>
  <si>
    <t>EVVMVMEEM</t>
  </si>
  <si>
    <t>EVVMMVEEV</t>
  </si>
  <si>
    <t>VVEEMVMEV</t>
  </si>
  <si>
    <t>VVMMEVEME</t>
  </si>
  <si>
    <t>EVEEMVMEM</t>
  </si>
  <si>
    <t>VVMMEEVVV</t>
  </si>
  <si>
    <t>VVVEMEMVV</t>
  </si>
  <si>
    <t>VVVMEVVME</t>
  </si>
  <si>
    <t>VEVEMVMVV</t>
  </si>
  <si>
    <t>VMVMEEEVV</t>
  </si>
  <si>
    <t>MVMVVEEME</t>
  </si>
  <si>
    <t>EVEVEMMEM</t>
  </si>
  <si>
    <t>VVEEMMVVE</t>
  </si>
  <si>
    <t>EVMMEEVVM</t>
  </si>
  <si>
    <t>VMMVVEVVE</t>
  </si>
  <si>
    <t>EEMVEVMMV</t>
  </si>
  <si>
    <t>VEEVMVMVE</t>
  </si>
  <si>
    <t>EMMVEVEVM</t>
  </si>
  <si>
    <t>MEEEMVMVE</t>
  </si>
  <si>
    <t>EMMMEVEEM</t>
  </si>
  <si>
    <t>EVVVMEMEV</t>
  </si>
  <si>
    <t>VEEVVVMMV</t>
  </si>
  <si>
    <t>VMMVVEEEV</t>
  </si>
  <si>
    <t>VVEMVVVME</t>
  </si>
  <si>
    <t>VVMEVVEEM</t>
  </si>
  <si>
    <t>VVEMEVMME</t>
  </si>
  <si>
    <t>VEVEMEVVM</t>
  </si>
  <si>
    <t>MVVVVMEEV</t>
  </si>
  <si>
    <t>EVVVEEMMV</t>
  </si>
  <si>
    <t>MVVEMMEEV</t>
  </si>
  <si>
    <t>EVVMVEMVV</t>
  </si>
  <si>
    <t>MVVEEMEVV</t>
  </si>
  <si>
    <t>MVVEEMEEM</t>
  </si>
  <si>
    <t>VMVVEVVEV</t>
  </si>
  <si>
    <t>VMEMEEVEM</t>
  </si>
  <si>
    <t>VVVVEVEMM</t>
  </si>
  <si>
    <t>VVVVMEMEE</t>
  </si>
  <si>
    <t>EVVMVVMEV</t>
  </si>
  <si>
    <t>EVEMMVMEV</t>
  </si>
  <si>
    <t>MVEMVVEVE</t>
  </si>
  <si>
    <t>EEMEVVMVM</t>
  </si>
  <si>
    <t>VEEMMVVEM</t>
  </si>
  <si>
    <t>MVEEVEVMV</t>
  </si>
  <si>
    <t>EVMMVMVEE</t>
  </si>
  <si>
    <t>MEVVVEVVV</t>
  </si>
  <si>
    <t>EMEVVMVVV</t>
  </si>
  <si>
    <t>MEMEVEVVV</t>
  </si>
  <si>
    <t>EMEMVMEVV</t>
  </si>
  <si>
    <t>VVEVVMVME</t>
  </si>
  <si>
    <t>VVMVVEEEM</t>
  </si>
  <si>
    <t>EVMVMEEEM</t>
  </si>
  <si>
    <t>VEVEVMMVV</t>
  </si>
  <si>
    <t>VMVMVEEVE</t>
  </si>
  <si>
    <t>VEVEVMMEM</t>
  </si>
  <si>
    <t>MVEEVVEMV</t>
  </si>
  <si>
    <t>EVMMVEMEV</t>
  </si>
  <si>
    <t>MVEEVMEME</t>
  </si>
  <si>
    <t>EVMMEMVEV</t>
  </si>
  <si>
    <t>MEEMVMEVV</t>
  </si>
  <si>
    <t>EMMEVEMVE</t>
  </si>
  <si>
    <t>EVVVMEEVM</t>
  </si>
  <si>
    <t>MEVVEMMVE</t>
  </si>
  <si>
    <t>MMEVVVEVE</t>
  </si>
  <si>
    <t>EEMVEVMVM</t>
  </si>
  <si>
    <t>VEVVMMEEV</t>
  </si>
  <si>
    <t>EEMMMEVVV</t>
  </si>
  <si>
    <t>MMEEEMVVE</t>
  </si>
  <si>
    <t>VEVMVVEVM</t>
  </si>
  <si>
    <t>EMVEVVMVE</t>
  </si>
  <si>
    <t>MEEMVVEVM</t>
  </si>
  <si>
    <t>EEVEEMMVM</t>
  </si>
  <si>
    <t>VMVEEMMEV</t>
  </si>
  <si>
    <t>EEVMMEEMV</t>
  </si>
  <si>
    <t>VEVMVVEEM</t>
  </si>
  <si>
    <t>VMEEVVMME</t>
  </si>
  <si>
    <t>VVVMMEEVV</t>
  </si>
  <si>
    <t>VVVEEMMEV</t>
  </si>
  <si>
    <t>VVEMMEEMV</t>
  </si>
  <si>
    <t>EVMEEMMEV</t>
  </si>
  <si>
    <t>MVVEMEEMV</t>
  </si>
  <si>
    <t>VVMMEVVEV</t>
  </si>
  <si>
    <t>VVVVEMVEM</t>
  </si>
  <si>
    <t>VEEEMMMEV</t>
  </si>
  <si>
    <t>VMMMEEEME</t>
  </si>
  <si>
    <t>VEEVEVVMM</t>
  </si>
  <si>
    <t>EMMVMVVEE</t>
  </si>
  <si>
    <t>VVEVVVMME</t>
  </si>
  <si>
    <t>EEMVMVEEM</t>
  </si>
  <si>
    <t>EVMVMEVME</t>
  </si>
  <si>
    <t>EVMMMEEME</t>
  </si>
  <si>
    <t>MVMEVVEME</t>
  </si>
  <si>
    <t>VMVVMEMEE</t>
  </si>
  <si>
    <t>VEEEMMVVV</t>
  </si>
  <si>
    <t>MVEEVEVVM</t>
  </si>
  <si>
    <t>EVVVMMVEE</t>
  </si>
  <si>
    <t>MVVVEEEMM</t>
  </si>
  <si>
    <t>VMVEMVVVE</t>
  </si>
  <si>
    <t>VMVEMMVEE</t>
  </si>
  <si>
    <t>MVEVVMEVV</t>
  </si>
  <si>
    <t>EVMEVEMVV</t>
  </si>
  <si>
    <t>EMVVVVVEV</t>
  </si>
  <si>
    <t>MEVVVEVMV</t>
  </si>
  <si>
    <t>EMEVVMVEV</t>
  </si>
  <si>
    <t>EEVVMMEVV</t>
  </si>
  <si>
    <t>MEVMEVEVV</t>
  </si>
  <si>
    <t>EMEEMVMVV</t>
  </si>
  <si>
    <t>VEVEVMVVM</t>
  </si>
  <si>
    <t>VEVEEMVMM</t>
  </si>
  <si>
    <t>EMVMMEVEE</t>
  </si>
  <si>
    <t>MEVEEMEMM</t>
  </si>
  <si>
    <t>EVMVMEVEM</t>
  </si>
  <si>
    <t>MVEEEMVME</t>
  </si>
  <si>
    <t>VEVVVVMEM</t>
  </si>
  <si>
    <t>MEVMEVEME</t>
  </si>
  <si>
    <t>EVVEMVVEM</t>
  </si>
  <si>
    <t>MVEMEVVME</t>
  </si>
  <si>
    <t>EVMEMEVEM</t>
  </si>
  <si>
    <t>MVEMVVEEV</t>
  </si>
  <si>
    <t>EEMEVVMMV</t>
  </si>
  <si>
    <t>VVVEMEVMV</t>
  </si>
  <si>
    <t>EVVMEMVEV</t>
  </si>
  <si>
    <t>VEEEVVMVM</t>
  </si>
  <si>
    <t>EMMMVVEVE</t>
  </si>
  <si>
    <t>MEEEVEMVM</t>
  </si>
  <si>
    <t>MEEVMVVEV</t>
  </si>
  <si>
    <t>EVEMVMVEM</t>
  </si>
  <si>
    <t>MVMEVEVEV</t>
  </si>
  <si>
    <t>VVEVEVMMV</t>
  </si>
  <si>
    <t>EVMVMVEEV</t>
  </si>
  <si>
    <t>VVEVVVEMM</t>
  </si>
  <si>
    <t>EVMMVEMEE</t>
  </si>
  <si>
    <t>MVMEVVEVE</t>
  </si>
  <si>
    <t>VVMMEVEVV</t>
  </si>
  <si>
    <t>VEEEMVMVV</t>
  </si>
  <si>
    <t>VMMMEVEEV</t>
  </si>
  <si>
    <t>VEEEMVMME</t>
  </si>
  <si>
    <t>VMMMEEEEM</t>
  </si>
  <si>
    <t>VVEVMEMEM</t>
  </si>
  <si>
    <t>VEVMVVMEV</t>
  </si>
  <si>
    <t>MVVVEMEME</t>
  </si>
  <si>
    <t>EVEVMEMEM</t>
  </si>
  <si>
    <t>VVEMVVMVE</t>
  </si>
  <si>
    <t>VEVVVMEME</t>
  </si>
  <si>
    <t>EMVVVEMEM</t>
  </si>
  <si>
    <t>MEVVEMEME</t>
  </si>
  <si>
    <t>EMVEMEMEM</t>
  </si>
  <si>
    <t>EEVVMMVEV</t>
  </si>
  <si>
    <t>EMVEVMVEV</t>
  </si>
  <si>
    <t>MEVMEEVMV</t>
  </si>
  <si>
    <t>EMVEEVMVM</t>
  </si>
  <si>
    <t>VEEVMMVVV</t>
  </si>
  <si>
    <t>VEVVEEMVM</t>
  </si>
  <si>
    <t>EMVVMMEVE</t>
  </si>
  <si>
    <t>EVEVMVVVV</t>
  </si>
  <si>
    <t>MVMVEEVVV</t>
  </si>
  <si>
    <t>MEEEEMMVV</t>
  </si>
  <si>
    <t>MEEVMMVEV</t>
  </si>
  <si>
    <t>VVMEMEEVV</t>
  </si>
  <si>
    <t>VVEMEMMEV</t>
  </si>
  <si>
    <t>EVVMMVVEE</t>
  </si>
  <si>
    <t>MVVEEVEMM</t>
  </si>
  <si>
    <t>EEVMMVMEE</t>
  </si>
  <si>
    <t>MEVVVEMVE</t>
  </si>
  <si>
    <t>EEVVMEVMM</t>
  </si>
  <si>
    <t>EVEEVMMVV</t>
  </si>
  <si>
    <t>VVVEMEEVM</t>
  </si>
  <si>
    <t>VEVMEMMVE</t>
  </si>
  <si>
    <t>EVEMMVEVV</t>
  </si>
  <si>
    <t>EMEMMVEEV</t>
  </si>
  <si>
    <t>VVEEVMVEM</t>
  </si>
  <si>
    <t>VVMMVEEME</t>
  </si>
  <si>
    <t>VVEEEMMEM</t>
  </si>
  <si>
    <t>MMVEMEEVE</t>
  </si>
  <si>
    <t>VEEVVVMME</t>
  </si>
  <si>
    <t>EMMVVVEEM</t>
  </si>
  <si>
    <t>MEEVEVMME</t>
  </si>
  <si>
    <t>VEEMEVVMM</t>
  </si>
  <si>
    <t>VMMEMEVEE</t>
  </si>
  <si>
    <t>MVMVVVEEV</t>
  </si>
  <si>
    <t>MEVEMVMEE</t>
  </si>
  <si>
    <t>EMEVMVEVV</t>
  </si>
  <si>
    <t>EEMVVMVEV</t>
  </si>
  <si>
    <t>MMEVVEEMV</t>
  </si>
  <si>
    <t>VVEMVEMVV</t>
  </si>
  <si>
    <t>VEMEVMEVV</t>
  </si>
  <si>
    <t>VMEMVEMEV</t>
  </si>
  <si>
    <t>VEMEEMEMV</t>
  </si>
  <si>
    <t>MVVEVMEVV</t>
  </si>
  <si>
    <t>VEEMVMVVV</t>
  </si>
  <si>
    <t>VEVEMMEEM</t>
  </si>
  <si>
    <t>MVVEVEVMV</t>
  </si>
  <si>
    <t>EVEMVMVEV</t>
  </si>
  <si>
    <t>MVMEVEVME</t>
  </si>
  <si>
    <t>EVEMVMEEM</t>
  </si>
  <si>
    <t>VEMEEVMVV</t>
  </si>
  <si>
    <t>MVVEVEMVV</t>
  </si>
  <si>
    <t>EVVMVMEEV</t>
  </si>
  <si>
    <t>MEVEVEMMV</t>
  </si>
  <si>
    <t>MVEVMVEEV</t>
  </si>
  <si>
    <t>VVEVEVVMM</t>
  </si>
  <si>
    <t>VVMVMEVEE</t>
  </si>
  <si>
    <t>VVVMEMVEV</t>
  </si>
  <si>
    <t>VVEEMEVMV</t>
  </si>
  <si>
    <t>MEMEMEEVV</t>
  </si>
  <si>
    <t>EVEMVVMVV</t>
  </si>
  <si>
    <t>MMVVMEEEV</t>
  </si>
  <si>
    <t>EEMVVEMVM</t>
  </si>
  <si>
    <t>VMMEVEEEM</t>
  </si>
  <si>
    <t>MMEVVVVVE</t>
  </si>
  <si>
    <t>VMEVEMVVE</t>
  </si>
  <si>
    <t>VEMEMEVVM</t>
  </si>
  <si>
    <t>VMEMEMVEE</t>
  </si>
  <si>
    <t>VMMEVEVEV</t>
  </si>
  <si>
    <t>VEEMVMVME</t>
  </si>
  <si>
    <t>EMMEVEVEM</t>
  </si>
  <si>
    <t>MEEMVMEME</t>
  </si>
  <si>
    <t>EMMEVMVEV</t>
  </si>
  <si>
    <t>EVVVVMEMV</t>
  </si>
  <si>
    <t>EEVVVEMVM</t>
  </si>
  <si>
    <t>MMVEVMEVE</t>
  </si>
  <si>
    <t>EVEEMVVVM</t>
  </si>
  <si>
    <t>MVMMEEVVE</t>
  </si>
  <si>
    <t>EMVEVVMVV</t>
  </si>
  <si>
    <t>MEEMVVEVV</t>
  </si>
  <si>
    <t>MEMEVMEEV</t>
  </si>
  <si>
    <t>MMVVEVEEM</t>
  </si>
  <si>
    <t>EEVVMEMME</t>
  </si>
  <si>
    <t>EMVVVMVEV</t>
  </si>
  <si>
    <t>MEVVVEVME</t>
  </si>
  <si>
    <t>EMEVVMVEM</t>
  </si>
  <si>
    <t>MEMVEEVME</t>
  </si>
  <si>
    <t>MVVVEEMVV</t>
  </si>
  <si>
    <t>EVVVMMEVE</t>
  </si>
  <si>
    <t>MVEVEEMVM</t>
  </si>
  <si>
    <t>VEMMEVVVV</t>
  </si>
  <si>
    <t>VMEMVVEME</t>
  </si>
  <si>
    <t>VEVMMEEVM</t>
  </si>
  <si>
    <t>MEMVVEEVV</t>
  </si>
  <si>
    <t>EMEEVMMVV</t>
  </si>
  <si>
    <t>MEMMVEEVE</t>
  </si>
  <si>
    <t>EVMVVEVVM</t>
  </si>
  <si>
    <t>MVEVVVMEV</t>
  </si>
  <si>
    <t>EVVEEVMMV</t>
  </si>
  <si>
    <t>VMVVVVEME</t>
  </si>
  <si>
    <t>MEVEVEMEM</t>
  </si>
  <si>
    <t>EEMMEMVVV</t>
  </si>
  <si>
    <t>MVVVEVVME</t>
  </si>
  <si>
    <t>EVVVMEVEM</t>
  </si>
  <si>
    <t>EEVMMEVEM</t>
  </si>
  <si>
    <t>EMVVVEVMV</t>
  </si>
  <si>
    <t>MEVVVVVME</t>
  </si>
  <si>
    <t>VEVMVVVME</t>
  </si>
  <si>
    <t>VMVEVVEEM</t>
  </si>
  <si>
    <t>VVEMEVMEV</t>
  </si>
  <si>
    <t>VVMEMVEME</t>
  </si>
  <si>
    <t>VEEVVVVMV</t>
  </si>
  <si>
    <t>VMMVVEVEV</t>
  </si>
  <si>
    <t>EVVVVVVME</t>
  </si>
  <si>
    <t>MVVVVEVEM</t>
  </si>
  <si>
    <t>MVMVEEVEM</t>
  </si>
  <si>
    <t>MEVEMVEMV</t>
  </si>
  <si>
    <t>VMMEVEEMV</t>
  </si>
  <si>
    <t>VEEMVMMEE</t>
  </si>
  <si>
    <t>VMVEVVMVE</t>
  </si>
  <si>
    <t>EEVMEMEVM</t>
  </si>
  <si>
    <t>VVEMVVVEV</t>
  </si>
  <si>
    <t>VVMEVVVME</t>
  </si>
  <si>
    <t>MVVVEEMME</t>
  </si>
  <si>
    <t>VVEVEVMME</t>
  </si>
  <si>
    <t>MVMEEVEME</t>
  </si>
  <si>
    <t>VMMEEVEVM</t>
  </si>
  <si>
    <t>VEEMMVMEE</t>
  </si>
  <si>
    <t>MEVMMVEVE</t>
  </si>
  <si>
    <t>MVEVEMVVE</t>
  </si>
  <si>
    <t>VVVEEMVMV</t>
  </si>
  <si>
    <t>VVEMMEVEV</t>
  </si>
  <si>
    <t>EVMEEMVMV</t>
  </si>
  <si>
    <t>MEEMMEVEV</t>
  </si>
  <si>
    <t>VEVVMMEVE</t>
  </si>
  <si>
    <t>VMVVEEMEM</t>
  </si>
  <si>
    <t>EVVMMVEVV</t>
  </si>
  <si>
    <t>EMVMMVEVE</t>
  </si>
  <si>
    <t>EEMVVVMEM</t>
  </si>
  <si>
    <t>MMEEVVEME</t>
  </si>
  <si>
    <t>VMMEVMEEV</t>
  </si>
  <si>
    <t>VEEMEEMMV</t>
  </si>
  <si>
    <t>EVVVMMEEM</t>
  </si>
  <si>
    <t>MMVVEVEVV</t>
  </si>
  <si>
    <t>VMVEVVMEE</t>
  </si>
  <si>
    <t>VEEMVVEMM</t>
  </si>
  <si>
    <t>VMMEEVMEE</t>
  </si>
  <si>
    <t>VEEMMEEMM</t>
  </si>
  <si>
    <t>EVVVEMMVV</t>
  </si>
  <si>
    <t>MVVVMEEVE</t>
  </si>
  <si>
    <t>EVVEEMMVM</t>
  </si>
  <si>
    <t>VVEEEVMVM</t>
  </si>
  <si>
    <t>VMVVVVEEV</t>
  </si>
  <si>
    <t>EMVVVVEMV</t>
  </si>
  <si>
    <t>VVMMEMVEE</t>
  </si>
  <si>
    <t>VEVVVEMEM</t>
  </si>
  <si>
    <t>EMVVVMEME</t>
  </si>
  <si>
    <t>VMEEVEMVV</t>
  </si>
  <si>
    <t>VVEVVEVVM</t>
  </si>
  <si>
    <t>EMEVMEEVM</t>
  </si>
  <si>
    <t>MEEVMEVMV</t>
  </si>
  <si>
    <t>EMMVEMEEV</t>
  </si>
  <si>
    <t>VEMVEVEVM</t>
  </si>
  <si>
    <t>EVEVVMEMM</t>
  </si>
  <si>
    <t>MVMEVEMEE</t>
  </si>
  <si>
    <t>VEVEMVMME</t>
  </si>
  <si>
    <t>VEMVVEEMV</t>
  </si>
  <si>
    <t>VVMVMVVEE</t>
  </si>
  <si>
    <t>VMMEMVVEE</t>
  </si>
  <si>
    <t>MVMEEVMEV</t>
  </si>
  <si>
    <t>MEMEMVVEV</t>
  </si>
  <si>
    <t>EMVVMEVVV</t>
  </si>
  <si>
    <t>EMMMMEEVE</t>
  </si>
  <si>
    <t>VVMVVMVEE</t>
  </si>
  <si>
    <t>VEEVVEVMM</t>
  </si>
  <si>
    <t>EMMVVMVEE</t>
  </si>
  <si>
    <t>VMEVEMMEV</t>
  </si>
  <si>
    <t>EEMVMEEMV</t>
  </si>
  <si>
    <t>VMEVEMVVV</t>
  </si>
  <si>
    <t>VEMVMEVEV</t>
  </si>
  <si>
    <t>VEMEMEVEM</t>
  </si>
  <si>
    <t>EEMMVEMEM</t>
  </si>
  <si>
    <t>MVMEVVVEV</t>
  </si>
  <si>
    <t>VVMEMMVEE</t>
  </si>
  <si>
    <t>MVVMVVEVE</t>
  </si>
  <si>
    <t>EVEMVVMEM</t>
  </si>
  <si>
    <t>MVMEVEEME</t>
  </si>
  <si>
    <t>VMVEVEVVV</t>
  </si>
  <si>
    <t>VEVMVMVEV</t>
  </si>
  <si>
    <t>MEEVVEVMM</t>
  </si>
  <si>
    <t>MEEMEEVMM</t>
  </si>
  <si>
    <t>VMMVMEVEE</t>
  </si>
  <si>
    <t>VVEVMMEEV</t>
  </si>
  <si>
    <t>VVVVMVEEM</t>
  </si>
  <si>
    <t>EMVMEEMEV</t>
  </si>
  <si>
    <t>VVMEMVEEM</t>
  </si>
  <si>
    <t>VMMEVVEME</t>
  </si>
  <si>
    <t>MEEMVEVMV</t>
  </si>
  <si>
    <t>VEEVMEVVM</t>
  </si>
  <si>
    <t>VMMVEMEVE</t>
  </si>
  <si>
    <t>VEMMMEVVE</t>
  </si>
  <si>
    <t>EMVVVEVVV</t>
  </si>
  <si>
    <t>MVEEVMEVV</t>
  </si>
  <si>
    <t>MEVEEMVMV</t>
  </si>
  <si>
    <t>EMEMMEVEV</t>
  </si>
  <si>
    <t>MVVEMMEVE</t>
  </si>
  <si>
    <t>EVMVVMEVV</t>
  </si>
  <si>
    <t>MVEEVEMVV</t>
  </si>
  <si>
    <t>EEMMVMEVV</t>
  </si>
  <si>
    <t>VMEVMVVVE</t>
  </si>
  <si>
    <t>EMEVMEMVV</t>
  </si>
  <si>
    <t>VVMVEMEVV</t>
  </si>
  <si>
    <t>EMEVMVVVV</t>
  </si>
  <si>
    <t>VVMVVMEVE</t>
  </si>
  <si>
    <t>VVEVEEMVM</t>
  </si>
  <si>
    <t>EVEVVVMVV</t>
  </si>
  <si>
    <t>MVMEVVEVV</t>
  </si>
  <si>
    <t>VMEVMVVEV</t>
  </si>
  <si>
    <t>EEMVEVVMV</t>
  </si>
  <si>
    <t>MMEVMVVEE</t>
  </si>
  <si>
    <t>EEMVEVEMM</t>
  </si>
  <si>
    <t>VEMVEVVME</t>
  </si>
  <si>
    <t>VMEEMVVEM</t>
  </si>
  <si>
    <t>VEMMEEVME</t>
  </si>
  <si>
    <t>VMEEMMEEM</t>
  </si>
  <si>
    <t>EMVMMVVEE</t>
  </si>
  <si>
    <t>MVMVEVEVV</t>
  </si>
  <si>
    <t>MVMMEEEVV</t>
  </si>
  <si>
    <t>EVVMMEVEM</t>
  </si>
  <si>
    <t>MVVEEMEME</t>
  </si>
  <si>
    <t>MEVEEVMME</t>
  </si>
  <si>
    <t>VMEVMEVEM</t>
  </si>
  <si>
    <t>EMVMMEVVE</t>
  </si>
  <si>
    <t>EVEMMEMVV</t>
  </si>
  <si>
    <t>EVEVMMVEV</t>
  </si>
  <si>
    <t>MVMVEEVME</t>
  </si>
  <si>
    <t>EEMEMVVMV</t>
  </si>
  <si>
    <t>MVEMEEVVV</t>
  </si>
  <si>
    <t>EVMEMMVVE</t>
  </si>
  <si>
    <t>VEMVEMEME</t>
  </si>
  <si>
    <t>MVMMEVVEE</t>
  </si>
  <si>
    <t>MVEVEEVMV</t>
  </si>
  <si>
    <t>EVMVMMEEV</t>
  </si>
  <si>
    <t>EVMMEVVVV</t>
  </si>
  <si>
    <t>MVEEMVVVE</t>
  </si>
  <si>
    <t>EVMMEVVEM</t>
  </si>
  <si>
    <t>MEEEMVVME</t>
  </si>
  <si>
    <t>VMMMEEVEV</t>
  </si>
  <si>
    <t>MVEEEMVVV</t>
  </si>
  <si>
    <t>EVMMMEEVV</t>
  </si>
  <si>
    <t>EVMMMEVVE</t>
  </si>
  <si>
    <t>MMEEEMVEV</t>
  </si>
  <si>
    <t>EVMMMEVEV</t>
  </si>
  <si>
    <t>EVEMMVVEM</t>
  </si>
  <si>
    <t>MEVVVEMVV</t>
  </si>
  <si>
    <t>EMVVVMEEV</t>
  </si>
  <si>
    <t>EMVMEMEEV</t>
  </si>
  <si>
    <t>VEEMEVVMV</t>
  </si>
  <si>
    <t>VMMEMVEEV</t>
  </si>
  <si>
    <t>VEEMEVMME</t>
  </si>
  <si>
    <t>VEMVEVEMM</t>
  </si>
  <si>
    <t>MMEVEVVME</t>
  </si>
  <si>
    <t>EEMEMVVEM</t>
  </si>
  <si>
    <t>MVEVVEEMV</t>
  </si>
  <si>
    <t>EVMEVMMEV</t>
  </si>
  <si>
    <t>EMMVVVEVE</t>
  </si>
  <si>
    <t>EVMVVVVEV</t>
  </si>
  <si>
    <t>MVEVVVVME</t>
  </si>
  <si>
    <t>VMEMVEEVM</t>
  </si>
  <si>
    <t>VEMEEMMVE</t>
  </si>
  <si>
    <t>EMEMMEEVM</t>
  </si>
  <si>
    <t>VEMVVVEVV</t>
  </si>
  <si>
    <t>VMEVVVMEV</t>
  </si>
  <si>
    <t>EEMVVMEME</t>
  </si>
  <si>
    <t>VMMVVVVEE</t>
  </si>
  <si>
    <t>VEVEMVVEM</t>
  </si>
  <si>
    <t>VMVMEVEME</t>
  </si>
  <si>
    <t>EEVMVEMVV</t>
  </si>
  <si>
    <t>MMEEVMEVV</t>
  </si>
  <si>
    <t>EEMMVEMEV</t>
  </si>
  <si>
    <t>VEMMVVEVV</t>
  </si>
  <si>
    <t>EEMMVVEMV</t>
  </si>
  <si>
    <t>MMEEVVMEE</t>
  </si>
  <si>
    <t>VVVEVMVVE</t>
  </si>
  <si>
    <t>VVVEMEVME</t>
  </si>
  <si>
    <t>EVVMEMEVV</t>
  </si>
  <si>
    <t>MVEEMEMVV</t>
  </si>
  <si>
    <t>EVEEEMVMM</t>
  </si>
  <si>
    <t>VVEVVMEVM</t>
  </si>
  <si>
    <t>EVMVVEMVE</t>
  </si>
  <si>
    <t>MEEVVMEVM</t>
  </si>
  <si>
    <t>VEVVVMEMV</t>
  </si>
  <si>
    <t>VEEMVMEMV</t>
  </si>
  <si>
    <t>EMMEVEMEV</t>
  </si>
  <si>
    <t>VVMEEMEVV</t>
  </si>
  <si>
    <t>EEMMEVMVV</t>
  </si>
  <si>
    <t>MVMEVEVVV</t>
  </si>
  <si>
    <t>VVMEMVVEV</t>
  </si>
  <si>
    <t>VVEMEVVME</t>
  </si>
  <si>
    <t>MVEVVMVEV</t>
  </si>
  <si>
    <t>EVMVVEEMV</t>
  </si>
  <si>
    <t>MVEVVMMEE</t>
  </si>
  <si>
    <t>MEVVMVEVE</t>
  </si>
  <si>
    <t>EMVVEVMEM</t>
  </si>
  <si>
    <t>EEVVMMVEM</t>
  </si>
  <si>
    <t>MEEVVMVME</t>
  </si>
  <si>
    <t>MEEMEMVME</t>
  </si>
  <si>
    <t>VMMVVEEME</t>
  </si>
  <si>
    <t>VEMVEMVME</t>
  </si>
  <si>
    <t>VMEVMEEEM</t>
  </si>
  <si>
    <t>VVEVMVEME</t>
  </si>
  <si>
    <t>EVMVEVMEM</t>
  </si>
  <si>
    <t>MVEEMVEME</t>
  </si>
  <si>
    <t>VVVEEVMME</t>
  </si>
  <si>
    <t>VVEMMVEEM</t>
  </si>
  <si>
    <t>VMEEMMEVV</t>
  </si>
  <si>
    <t>MMEEMMEVE</t>
  </si>
  <si>
    <t>MVEEMVEVV</t>
  </si>
  <si>
    <t>EVMMEEMVV</t>
  </si>
  <si>
    <t>MVEEMMEVE</t>
  </si>
  <si>
    <t>EMVVVMEVV</t>
  </si>
  <si>
    <t>EVMMEVMEV</t>
  </si>
  <si>
    <t>MVEEMEEMV</t>
  </si>
  <si>
    <t>MEVEEVMVM</t>
  </si>
  <si>
    <t>VMEEMEMEM</t>
  </si>
  <si>
    <t>MVEVMMEEV</t>
  </si>
  <si>
    <t>EMVVVEVME</t>
  </si>
  <si>
    <t>MEMVVEVVE</t>
  </si>
  <si>
    <t>EMEVVMEVM</t>
  </si>
  <si>
    <t>MEMVVEMEE</t>
  </si>
  <si>
    <t>MEMVVEVEV</t>
  </si>
  <si>
    <t>EMEVVMVME</t>
  </si>
  <si>
    <t>VEEEMMVMV</t>
  </si>
  <si>
    <t>MVEEVVMME</t>
  </si>
  <si>
    <t>VVMEMVEVE</t>
  </si>
  <si>
    <t>EEVVMMVVE</t>
  </si>
  <si>
    <t>MMVVEEEVM</t>
  </si>
  <si>
    <t>MEVVMEMVE</t>
  </si>
  <si>
    <t>EMVVEMEEM</t>
  </si>
  <si>
    <t>MVEEVEMMV</t>
  </si>
  <si>
    <t>MVEMMVEEV</t>
  </si>
  <si>
    <t>MVEVMVEVE</t>
  </si>
  <si>
    <t>VMVEVVVME</t>
  </si>
  <si>
    <t>VMMMEVEVE</t>
  </si>
  <si>
    <t>VEEEMEMVM</t>
  </si>
  <si>
    <t>MVVVEMEEV</t>
  </si>
  <si>
    <t>EVVVMEMME</t>
  </si>
  <si>
    <t>VMEVVEMVV</t>
  </si>
  <si>
    <t>EEMVEEVMM</t>
  </si>
  <si>
    <t>EEVVVMVVM</t>
  </si>
  <si>
    <t>EVVMVMMEE</t>
  </si>
  <si>
    <t>VVVVEEMMV</t>
  </si>
  <si>
    <t>MVVEMVEVE</t>
  </si>
  <si>
    <t>EVVMEVMEM</t>
  </si>
  <si>
    <t>EVMEMEVVV</t>
  </si>
  <si>
    <t>EEMVVVMVV</t>
  </si>
  <si>
    <t>VVEMEEMVM</t>
  </si>
  <si>
    <t>EMVVVVMVE</t>
  </si>
  <si>
    <t>MEVEVMEEM</t>
  </si>
  <si>
    <t>MVMEEVVEM</t>
  </si>
  <si>
    <t>EMVMVVVVE</t>
  </si>
  <si>
    <t>MEVEVVEVM</t>
  </si>
  <si>
    <t>EMVMVVMEE</t>
  </si>
  <si>
    <t>MVMEVEEVV</t>
  </si>
  <si>
    <t>MMEVEEVMV</t>
  </si>
  <si>
    <t>VEEVMMEMV</t>
  </si>
  <si>
    <t>VMMVEVEEV</t>
  </si>
  <si>
    <t>MMVEVVEVE</t>
  </si>
  <si>
    <t>EMVVEEMVM</t>
  </si>
  <si>
    <t>VVVEMEMVE</t>
  </si>
  <si>
    <t>VMEVVMVEV</t>
  </si>
  <si>
    <t>EVEVMEVMV</t>
  </si>
  <si>
    <t>MEVVEEMVM</t>
  </si>
  <si>
    <t>MVMEMVVEE</t>
  </si>
  <si>
    <t>VEVVVMMEV</t>
  </si>
  <si>
    <t>EMVVVEEMV</t>
  </si>
  <si>
    <t>MEVEVMMEV</t>
  </si>
  <si>
    <t>EMVMVEEME</t>
  </si>
  <si>
    <t>VVMVEVMEE</t>
  </si>
  <si>
    <t>VMVMEVMEE</t>
  </si>
  <si>
    <t>MVEEMMVEV</t>
  </si>
  <si>
    <t>MVMVVEEVE</t>
  </si>
  <si>
    <t>EEMMVEMVV</t>
  </si>
  <si>
    <t>EMVEVEVMV</t>
  </si>
  <si>
    <t>MEEMVMVEV</t>
  </si>
  <si>
    <t>MEEMVMEEV</t>
  </si>
  <si>
    <t>MEEMVEVVV</t>
  </si>
  <si>
    <t>EMMEVMVVE</t>
  </si>
  <si>
    <t>MEEMVEEVM</t>
  </si>
  <si>
    <t>VVEVMMVEV</t>
  </si>
  <si>
    <t>VVMVEEEMV</t>
  </si>
  <si>
    <t>EVEVEMMVM</t>
  </si>
  <si>
    <t>VVEVMEVEM</t>
  </si>
  <si>
    <t>MVMEEMEVE</t>
  </si>
  <si>
    <t>VMEMMVEVE</t>
  </si>
  <si>
    <t>VVVEMEVEM</t>
  </si>
  <si>
    <t>VEVMEMVME</t>
  </si>
  <si>
    <t>VMVEMEEEM</t>
  </si>
  <si>
    <t>VEEMEMMME</t>
  </si>
  <si>
    <t>VEMVVEVVV</t>
  </si>
  <si>
    <t>EEMVVEVMV</t>
  </si>
  <si>
    <t>MMEVEMVEV</t>
  </si>
  <si>
    <t>EEMEMEVMV</t>
  </si>
  <si>
    <t>MVMMVEEEV</t>
  </si>
  <si>
    <t>EVEEVMMME</t>
  </si>
  <si>
    <t>MVMMEEEEM</t>
  </si>
  <si>
    <t>MMEEMEVEV</t>
  </si>
  <si>
    <t>VVEMMEEVM</t>
  </si>
  <si>
    <t>VVMEEMMEE</t>
  </si>
  <si>
    <t>MEEVMMVVE</t>
  </si>
  <si>
    <t>VVMEEVVME</t>
  </si>
  <si>
    <t>VEMEMMVVE</t>
  </si>
  <si>
    <t>MEVVVMEEV</t>
  </si>
  <si>
    <t>EMVVEEMMV</t>
  </si>
  <si>
    <t>MEVMVVEVV</t>
  </si>
  <si>
    <t>EMVEEVMVV</t>
  </si>
  <si>
    <t>MVEVVEVVM</t>
  </si>
  <si>
    <t>EVMVVMEVE</t>
  </si>
  <si>
    <t>EVMMEVEMV</t>
  </si>
  <si>
    <t>VEVVMMMEE</t>
  </si>
  <si>
    <t>VMEEVVVVV</t>
  </si>
  <si>
    <t>EEMMVVVVV</t>
  </si>
  <si>
    <t>MMEEVVVVE</t>
  </si>
  <si>
    <t>MMEEMVVEE</t>
  </si>
  <si>
    <t>MVMVEEEVM</t>
  </si>
  <si>
    <t>MEMEVVMVE</t>
  </si>
  <si>
    <t>EVVEMEVMV</t>
  </si>
  <si>
    <t>MEEVEVVMM</t>
  </si>
  <si>
    <t>EMMVMEVEE</t>
  </si>
  <si>
    <t>MEEEEMVMM</t>
  </si>
  <si>
    <t>VVMEEVMVE</t>
  </si>
  <si>
    <t>VVVMEEMVE</t>
  </si>
  <si>
    <t>VVEEMMEVM</t>
  </si>
  <si>
    <t>VMEMEEVVM</t>
  </si>
  <si>
    <t>VEMEMMEVE</t>
  </si>
  <si>
    <t>EEMVEEMVM</t>
  </si>
  <si>
    <t>EMVMEEVVM</t>
  </si>
  <si>
    <t>MEVEMMEVE</t>
  </si>
  <si>
    <t>MVEVVEEMM</t>
  </si>
  <si>
    <t>MEEEVVMVV</t>
  </si>
  <si>
    <t>EMMMVVEEV</t>
  </si>
  <si>
    <t>MEEEEVMMV</t>
  </si>
  <si>
    <t>EVMVEVVMV</t>
  </si>
  <si>
    <t>MVEVMEVEV</t>
  </si>
  <si>
    <t>MVEMMEEEV</t>
  </si>
  <si>
    <t>EEMEEMMMV</t>
  </si>
  <si>
    <t>EVMEMEVME</t>
  </si>
  <si>
    <t>EMMEEVMVV</t>
  </si>
  <si>
    <t>MEEMMVEVE</t>
  </si>
  <si>
    <t>EVVEVVMVM</t>
  </si>
  <si>
    <t>VMVEVEEMV</t>
  </si>
  <si>
    <t>MEVEMVVME</t>
  </si>
  <si>
    <t>VEVMVMMEE</t>
  </si>
  <si>
    <t>EEVMVVMEM</t>
  </si>
  <si>
    <t>EMMEVVMVE</t>
  </si>
  <si>
    <t>MEEMVVEEM</t>
  </si>
  <si>
    <t>MEVVEEVMV</t>
  </si>
  <si>
    <t>EMVVMMEEV</t>
  </si>
  <si>
    <t>EMMMEEVVV</t>
  </si>
  <si>
    <t>EVMEMVVME</t>
  </si>
  <si>
    <t>MEVEMVVVE</t>
  </si>
  <si>
    <t>VMMMEEEVV</t>
  </si>
  <si>
    <t>MVEVEMVME</t>
  </si>
  <si>
    <t>EEMVMEVEM</t>
  </si>
  <si>
    <t>VMVEVVEVM</t>
  </si>
  <si>
    <t>EVMVVVVVE</t>
  </si>
  <si>
    <t>MVEEVVVVM</t>
  </si>
  <si>
    <t>EVMMVEVVE</t>
  </si>
  <si>
    <t>MEEEVMVVM</t>
  </si>
  <si>
    <t>EMMMVEEVE</t>
  </si>
  <si>
    <t>MEEEEMMVM</t>
  </si>
  <si>
    <t>VMVVEEEMV</t>
  </si>
  <si>
    <t>EVVVVMVME</t>
  </si>
  <si>
    <t>MEVVVEVEM</t>
  </si>
  <si>
    <t>EEMMMEVEV</t>
  </si>
  <si>
    <t>MEVMVEEVV</t>
  </si>
  <si>
    <t>EMVEEMMVV</t>
  </si>
  <si>
    <t>MEVMMEEEV</t>
  </si>
  <si>
    <t>EMEEEMMMV</t>
  </si>
  <si>
    <t>VVVMMVEVE</t>
  </si>
  <si>
    <t>VEVEEVMVM</t>
  </si>
  <si>
    <t>EVEMVEMVV</t>
  </si>
  <si>
    <t>MVMMEVEEV</t>
  </si>
  <si>
    <t>MEEVMVVVE</t>
  </si>
  <si>
    <t>EEVEMVVVM</t>
  </si>
  <si>
    <t>MMEMEVVVE</t>
  </si>
  <si>
    <t>VVVVVMMEE</t>
  </si>
  <si>
    <t>VVEVVEEMM</t>
  </si>
  <si>
    <t>VVMVEMMEE</t>
  </si>
  <si>
    <t>EVVVVMMEV</t>
  </si>
  <si>
    <t>EEMVVMMEV</t>
  </si>
  <si>
    <t>MMEEVEEMV</t>
  </si>
  <si>
    <t>MVVEVMEEM</t>
  </si>
  <si>
    <t>VMVEMMEVE</t>
  </si>
  <si>
    <t>MVMVEEVEV</t>
  </si>
  <si>
    <t>VEMEMEVVV</t>
  </si>
  <si>
    <t>MEVEMEVMV</t>
  </si>
  <si>
    <t>VEVEMMVEM</t>
  </si>
  <si>
    <t>VVMVEMVEV</t>
  </si>
  <si>
    <t>EMEVEVMVV</t>
  </si>
  <si>
    <t>MEMVMEEVV</t>
  </si>
  <si>
    <t>EMVEVMMEV</t>
  </si>
  <si>
    <t>MEMVEVMVE</t>
  </si>
  <si>
    <t>MVEVVVVEM</t>
  </si>
  <si>
    <t>EEMVMVEME</t>
  </si>
  <si>
    <t>VMVEVMVEV</t>
  </si>
  <si>
    <t>EEVMMEEVM</t>
  </si>
  <si>
    <t>MEVMEVEMV</t>
  </si>
  <si>
    <t>MEMMEEVVV</t>
  </si>
  <si>
    <t>EEVEMVVMV</t>
  </si>
  <si>
    <t>MMVMEEVEV</t>
  </si>
  <si>
    <t>VVEMMEVEM</t>
  </si>
  <si>
    <t>VEMEVEVMV</t>
  </si>
  <si>
    <t>VMEMEMVEV</t>
  </si>
  <si>
    <t>MVVVVEVME</t>
  </si>
  <si>
    <t>EVEVVMVEM</t>
  </si>
  <si>
    <t>EVEMEMVEM</t>
  </si>
  <si>
    <t>VVVEMVEME</t>
  </si>
  <si>
    <t>EEMVVEVVM</t>
  </si>
  <si>
    <t>MMEVVMEVE</t>
  </si>
  <si>
    <t>EEMVVEMEM</t>
  </si>
  <si>
    <t>VMVVEVMVE</t>
  </si>
  <si>
    <t>VEVVMEEVM</t>
  </si>
  <si>
    <t>VMVEEMMVE</t>
  </si>
  <si>
    <t>VEVMMEEEM</t>
  </si>
  <si>
    <t>VMVVEVEME</t>
  </si>
  <si>
    <t>VVEVVMEVV</t>
  </si>
  <si>
    <t>VVMMMEEVE</t>
  </si>
  <si>
    <t>EVEEEMMVM</t>
  </si>
  <si>
    <t>VVVEVVMEM</t>
  </si>
  <si>
    <t>VEVEMVEVM</t>
  </si>
  <si>
    <t>VMEMEVMVE</t>
  </si>
  <si>
    <t>EMVVVMVVE</t>
  </si>
  <si>
    <t>MEVEVEVVM</t>
  </si>
  <si>
    <t>VEVMVEEMM</t>
  </si>
  <si>
    <t>EMEVMMEVE</t>
  </si>
  <si>
    <t>EMVMVEEMV</t>
  </si>
  <si>
    <t>MEVEVMMEE</t>
  </si>
  <si>
    <t>VEVEMEVMV</t>
  </si>
  <si>
    <t>VEMEMEVME</t>
  </si>
  <si>
    <t>VEEMEVVVM</t>
  </si>
  <si>
    <t>EMMEMVVVE</t>
  </si>
  <si>
    <t>MMVVEVVVE</t>
  </si>
  <si>
    <t>MEMMVEVVE</t>
  </si>
  <si>
    <t>EVEEVMMMV</t>
  </si>
  <si>
    <t>VVVEMMVEE</t>
  </si>
  <si>
    <t>VVEMEEVMM</t>
  </si>
  <si>
    <t>VVMEVMEEV</t>
  </si>
  <si>
    <t>MEEVVMVVE</t>
  </si>
  <si>
    <t>VVEVMVEVM</t>
  </si>
  <si>
    <t>EMMVEVVEM</t>
  </si>
  <si>
    <t>EVEVVEVMM</t>
  </si>
  <si>
    <t>VVVVVEMME</t>
  </si>
  <si>
    <t>EVVVVMEEM</t>
  </si>
  <si>
    <t>VMVVEMMEE</t>
  </si>
  <si>
    <t>VEEVMEEMM</t>
  </si>
  <si>
    <t>EVEMMVVEV</t>
  </si>
  <si>
    <t>EMVEVMMEE</t>
  </si>
  <si>
    <t>MEEVVEMVM</t>
  </si>
  <si>
    <t>MVVVVVEEM</t>
  </si>
  <si>
    <t>EEVVVVMME</t>
  </si>
  <si>
    <t>VMMEVVVEE</t>
  </si>
  <si>
    <t>EMMEMVVEE</t>
  </si>
  <si>
    <t>EEMVMVEMV</t>
  </si>
  <si>
    <t>MMEEEVMEV</t>
  </si>
  <si>
    <t>EMVVVVEVV</t>
  </si>
  <si>
    <t>MEMVVEMVE</t>
  </si>
  <si>
    <t>MEEVVEMVV</t>
  </si>
  <si>
    <t>MVEMVVVEV</t>
  </si>
  <si>
    <t>VVVEVVEMM</t>
  </si>
  <si>
    <t>VEVMVVMEE</t>
  </si>
  <si>
    <t>VMVEEVEMM</t>
  </si>
  <si>
    <t>VVVMVVEME</t>
  </si>
  <si>
    <t>MMVVVEEEV</t>
  </si>
  <si>
    <t>EEVEVMMMV</t>
  </si>
  <si>
    <t>EEMVMMEME</t>
  </si>
  <si>
    <t>EEMVVVVVV</t>
  </si>
  <si>
    <t>MMEVVVMEE</t>
  </si>
  <si>
    <t>Réussite</t>
  </si>
  <si>
    <t>MVMVEVVVE</t>
  </si>
  <si>
    <t>MVMVVEVEE</t>
  </si>
  <si>
    <t>EVEVEMVMM</t>
  </si>
  <si>
    <t>MVVEVVMEE</t>
  </si>
  <si>
    <t>EEVMVVEMM</t>
  </si>
  <si>
    <t>MMVEVEMEE</t>
  </si>
  <si>
    <t>EVVVEMMEM</t>
  </si>
  <si>
    <t>EEVEVMMVM</t>
  </si>
  <si>
    <t>MMVMEEEVE</t>
  </si>
  <si>
    <t>EEVEMMMEM</t>
  </si>
  <si>
    <t>EMVVMVVVE</t>
  </si>
  <si>
    <t>EMEEMEMVM</t>
  </si>
  <si>
    <t>MVVEEMVVV</t>
  </si>
  <si>
    <t>EEVMMEVVV</t>
  </si>
  <si>
    <t>MMVEEMVVE</t>
  </si>
  <si>
    <t>VVVEVEMME</t>
  </si>
  <si>
    <t>VEMEVVEVM</t>
  </si>
  <si>
    <t>VEMEMEEVM</t>
  </si>
  <si>
    <t>VMEEMEVVM</t>
  </si>
  <si>
    <t>EVVMEVVMV</t>
  </si>
  <si>
    <t>MVVEMVVEE</t>
  </si>
  <si>
    <t>EVVMEEVMM</t>
  </si>
  <si>
    <t>MEVEMMVEE</t>
  </si>
  <si>
    <t>EVVVVEVMV</t>
  </si>
  <si>
    <t>MVVEVMVEV</t>
  </si>
  <si>
    <t>EEVMVEVMV</t>
  </si>
  <si>
    <t>MMVEEMVEV</t>
  </si>
  <si>
    <t>VEMMEEMVV</t>
  </si>
  <si>
    <t>VVEEVMMVE</t>
  </si>
  <si>
    <t>VVMMVEEEM</t>
  </si>
  <si>
    <t>VVEEEMMME</t>
  </si>
  <si>
    <t>EMMVVVVVE</t>
  </si>
  <si>
    <t>EMMVVVVEV</t>
  </si>
  <si>
    <t>EMVVMEVEV</t>
  </si>
  <si>
    <t>VVEEMMMVE</t>
  </si>
  <si>
    <t>VEMMEEEVM</t>
  </si>
  <si>
    <t>EMMEVVMEE</t>
  </si>
  <si>
    <t>MMEEVVMEV</t>
  </si>
  <si>
    <t>EEMMEVEMV</t>
  </si>
  <si>
    <t>VEEVMEVMV</t>
  </si>
  <si>
    <t>VMMVEMEEV</t>
  </si>
  <si>
    <t>VVVMEEVMV</t>
  </si>
  <si>
    <t>EVVEMMVEV</t>
  </si>
  <si>
    <t>MEMVMVEEV</t>
  </si>
  <si>
    <t>VMVEVVVEV</t>
  </si>
  <si>
    <t>VEVMVEVMV</t>
  </si>
  <si>
    <t>MEMEMVEVE</t>
  </si>
  <si>
    <t>EVVVMMMEE</t>
  </si>
  <si>
    <t>MEVVEMVVV</t>
  </si>
  <si>
    <t>EMVVMEVVE</t>
  </si>
  <si>
    <t>EVMMVMEVE</t>
  </si>
  <si>
    <t>EVVMEMMEV</t>
  </si>
  <si>
    <t>VVEEVMVMV</t>
  </si>
  <si>
    <t>EVMMVEVEV</t>
  </si>
  <si>
    <t>MVEEVMEMV</t>
  </si>
  <si>
    <t>EEMVVEVMM</t>
  </si>
  <si>
    <t>VVEVMMEVE</t>
  </si>
  <si>
    <t>MVEVVVEVM</t>
  </si>
  <si>
    <t>EEMVVVMVE</t>
  </si>
  <si>
    <t>EVEVMMMEE</t>
  </si>
  <si>
    <t>MMVEVEEME</t>
  </si>
  <si>
    <t>EVEVMMMEV</t>
  </si>
  <si>
    <t>MVMVEEEME</t>
  </si>
  <si>
    <t>MEEMVEEMV</t>
  </si>
  <si>
    <t>VVEEVEVMM</t>
  </si>
  <si>
    <t>EVMMMEEVE</t>
  </si>
  <si>
    <t>VEEEVMMMV</t>
  </si>
  <si>
    <t>EVMVMEVEV</t>
  </si>
  <si>
    <t>MVEEEMVMV</t>
  </si>
  <si>
    <t>EEVMVMEVM</t>
  </si>
  <si>
    <t>VVVMVEMVE</t>
  </si>
  <si>
    <t>MVEEMEVMV</t>
  </si>
  <si>
    <t>VVEVVMEEM</t>
  </si>
  <si>
    <t>VVMEVEMME</t>
  </si>
  <si>
    <t>VEEMVMEEM</t>
  </si>
  <si>
    <t>MEMEVEMEV</t>
  </si>
  <si>
    <t>MMVMEVVEE</t>
  </si>
  <si>
    <t>EMVEVMVVV</t>
  </si>
  <si>
    <t>VVEMVMEEV</t>
  </si>
  <si>
    <t>VMEVVMMEE</t>
  </si>
  <si>
    <t>VMEMEMMEE</t>
  </si>
  <si>
    <t>MVMEEVVME</t>
  </si>
  <si>
    <t>VEVEVVMME</t>
  </si>
  <si>
    <t>VMVMVEEEM</t>
  </si>
  <si>
    <t>MEEVVEVVM</t>
  </si>
  <si>
    <t>MVVVEMVEE</t>
  </si>
  <si>
    <t>EVEVMEVMM</t>
  </si>
  <si>
    <t>MEEVVVVVM</t>
  </si>
  <si>
    <t>EMMVVVVEE</t>
  </si>
  <si>
    <t>EEVEVVMMV</t>
  </si>
  <si>
    <t>VVEMVVVVE</t>
  </si>
  <si>
    <t>VEMEVVVVM</t>
  </si>
  <si>
    <t>VVVEVVVME</t>
  </si>
  <si>
    <t>VVEMVVVEM</t>
  </si>
  <si>
    <t>EVMEVVVME</t>
  </si>
  <si>
    <t>MVEMEVVEM</t>
  </si>
  <si>
    <t>EVMEMEVMV</t>
  </si>
  <si>
    <t>EMEVVVEMV</t>
  </si>
  <si>
    <t>MEMVVEMEV</t>
  </si>
  <si>
    <t>EMEVVMMVE</t>
  </si>
  <si>
    <t>VEVMMEVEV</t>
  </si>
  <si>
    <t>VMVEEMVME</t>
  </si>
  <si>
    <t>VEVVMVEME</t>
  </si>
  <si>
    <t>VMVEEVMEM</t>
  </si>
  <si>
    <t>EVMVMEEMV</t>
  </si>
  <si>
    <t>EVVMMVEME</t>
  </si>
  <si>
    <t>VVEVMMMEE</t>
  </si>
  <si>
    <t>EMVVMVEVV</t>
  </si>
  <si>
    <t>EMVMVEMVE</t>
  </si>
  <si>
    <t>MEVVVVMEV</t>
  </si>
  <si>
    <t>MVEEEVMVM</t>
  </si>
  <si>
    <t>EMVVEVVVM</t>
  </si>
  <si>
    <t>VVVVMEEMV</t>
  </si>
  <si>
    <t>VMVEMVEVE</t>
  </si>
  <si>
    <t>VEEMEVMVM</t>
  </si>
  <si>
    <t>EEVMMVEME</t>
  </si>
  <si>
    <t>MEVVEEVMM</t>
  </si>
  <si>
    <t>VMEVVEMEM</t>
  </si>
  <si>
    <t>VEMEVMEME</t>
  </si>
  <si>
    <t>VVEMEVVMV</t>
  </si>
  <si>
    <t>VVMEMVEEV</t>
  </si>
  <si>
    <t>VEEMEVMMV</t>
  </si>
  <si>
    <t>VVVVMEVVE</t>
  </si>
  <si>
    <t>EEVMVVVVV</t>
  </si>
  <si>
    <t>MMVEVEVVV</t>
  </si>
  <si>
    <t>VMEMEVVVE</t>
  </si>
  <si>
    <t>VEMEMVEVM</t>
  </si>
  <si>
    <t>VVVMVEMEE</t>
  </si>
  <si>
    <t>MEEVEVMMV</t>
  </si>
  <si>
    <t>VEEVMVVME</t>
  </si>
  <si>
    <t>EEMMMVVEV</t>
  </si>
  <si>
    <t>EMMVVEVVV</t>
  </si>
  <si>
    <t>MEEVVMEVV</t>
  </si>
  <si>
    <t>EMMVVEMVE</t>
  </si>
  <si>
    <t>EEMVVEEMM</t>
  </si>
  <si>
    <t>EVEMEVVMM</t>
  </si>
  <si>
    <t>MEVVVEMME</t>
  </si>
  <si>
    <t>MEEEVMVMV</t>
  </si>
  <si>
    <t>EMMMVEEEV</t>
  </si>
  <si>
    <t>VEEVMVEMM</t>
  </si>
  <si>
    <t>EMVEMVVEM</t>
  </si>
  <si>
    <t>MEEEMMVEV</t>
  </si>
  <si>
    <t>VEVMVVVEV</t>
  </si>
  <si>
    <t>VVEEMMVEM</t>
  </si>
  <si>
    <t>MEVEMVVEV</t>
  </si>
  <si>
    <t>EMEMEVVMV</t>
  </si>
  <si>
    <t>VMVEVVEMV</t>
  </si>
  <si>
    <t>VEEMVVMEV</t>
  </si>
  <si>
    <t>EMMVVEMEV</t>
  </si>
  <si>
    <t>MEEVVMEME</t>
  </si>
  <si>
    <t>EMVVVMEVE</t>
  </si>
  <si>
    <t>VMEVVMEVV</t>
  </si>
  <si>
    <t>VEMVEEMVV</t>
  </si>
  <si>
    <t>EVMMVVEEM</t>
  </si>
  <si>
    <t>EVMVEMVVV</t>
  </si>
  <si>
    <t>EMMEEVVVM</t>
  </si>
  <si>
    <t>EMVEVMVEM</t>
  </si>
  <si>
    <t>MEVMVEEME</t>
  </si>
  <si>
    <t>EVMVVVMEE</t>
  </si>
  <si>
    <t>MVEEVVEMM</t>
  </si>
  <si>
    <t>VVEVEMVMV</t>
  </si>
  <si>
    <t>VVMVMEEEV</t>
  </si>
  <si>
    <t>MEMVMEEEV</t>
  </si>
  <si>
    <t>MEEEMMEVV</t>
  </si>
  <si>
    <t>EMEEVVMVV</t>
  </si>
  <si>
    <t>EMEVEMMVV</t>
  </si>
  <si>
    <t>MEMVMEEVE</t>
  </si>
  <si>
    <t>EVMMMVEEV</t>
  </si>
  <si>
    <t>VVVVVVEME</t>
  </si>
  <si>
    <t>VMMVEEVEM</t>
  </si>
  <si>
    <t>EEMEMMVVV</t>
  </si>
  <si>
    <t>EVVEMEMEM</t>
  </si>
  <si>
    <t>VMVEVVMEV</t>
  </si>
  <si>
    <t>MEVMEMEVV</t>
  </si>
  <si>
    <t>EMVEMEMEV</t>
  </si>
  <si>
    <t>VEEMVMMEV</t>
  </si>
  <si>
    <t>VMVVMEVEV</t>
  </si>
  <si>
    <t>VEVVEMEMV</t>
  </si>
  <si>
    <t>MVEVEVMVV</t>
  </si>
  <si>
    <t>MVEVEVMEM</t>
  </si>
  <si>
    <t>VMVVMEEEM</t>
  </si>
  <si>
    <t>VVEEMEVVM</t>
  </si>
  <si>
    <t>MVEEVEMVM</t>
  </si>
  <si>
    <t>VMVVVEEVV</t>
  </si>
  <si>
    <t>EVMEVEMVM</t>
  </si>
  <si>
    <t>EVMVVMVEE</t>
  </si>
  <si>
    <t>MEMEVVMEE</t>
  </si>
  <si>
    <t>EMEMMEVVV</t>
  </si>
  <si>
    <t>MEMVMEVEV</t>
  </si>
  <si>
    <t>VEMMVVVVE</t>
  </si>
  <si>
    <t>MEVEVEMVV</t>
  </si>
  <si>
    <t>MMEVEVMEV</t>
  </si>
  <si>
    <t>EEVMMVEVM</t>
  </si>
  <si>
    <t>VMMEVEMVE</t>
  </si>
  <si>
    <t>MEEVVMMEV</t>
  </si>
  <si>
    <t>MEMVMVEVE</t>
  </si>
  <si>
    <t>EMEVEEMVM</t>
  </si>
  <si>
    <t>VVEEVMVVM</t>
  </si>
  <si>
    <t>VVMMEEVVE</t>
  </si>
  <si>
    <t>EVEEMMVVM</t>
  </si>
  <si>
    <t>VEVEMVEMM</t>
  </si>
  <si>
    <t>MMVEVEMEV</t>
  </si>
  <si>
    <t>MMEEMEMEV</t>
  </si>
  <si>
    <t>VMEVVEVVV</t>
  </si>
  <si>
    <t>MEMEVEVVM</t>
  </si>
  <si>
    <t>VVMMEEEVM</t>
  </si>
  <si>
    <t>EVEEMMMVE</t>
  </si>
  <si>
    <t>EVEVMVEVM</t>
  </si>
  <si>
    <t>VEEEMVMEM</t>
  </si>
  <si>
    <t>VVMEVVVEM</t>
  </si>
  <si>
    <t>EMMEVEVVM</t>
  </si>
  <si>
    <t>VEVVEMVVM</t>
  </si>
  <si>
    <t>VMVVMEVEE</t>
  </si>
  <si>
    <t>VEEVEMVMM</t>
  </si>
  <si>
    <t>VMMVEEVME</t>
  </si>
  <si>
    <t>VEEEMMVEM</t>
  </si>
  <si>
    <t>EVVVVEMVM</t>
  </si>
  <si>
    <t>MVVEVMEVE</t>
  </si>
  <si>
    <t>EVVMEEMVM</t>
  </si>
  <si>
    <t>VEMVEEEMM</t>
  </si>
  <si>
    <t>EEMVVMVVV</t>
  </si>
  <si>
    <t>VVEVEEVMM</t>
  </si>
  <si>
    <t>VEMVMEVVE</t>
  </si>
  <si>
    <t>VMEVEMVEM</t>
  </si>
  <si>
    <t>MMVEEVVVV</t>
  </si>
  <si>
    <t>EEVMMVVVE</t>
  </si>
  <si>
    <t>MMVEEVEVM</t>
  </si>
  <si>
    <t>EEVMMEMVE</t>
  </si>
  <si>
    <t>VMMVEEMEE</t>
  </si>
  <si>
    <t>EVEVEVVMM</t>
  </si>
  <si>
    <t>VVEVEMVVM</t>
  </si>
  <si>
    <t>EVMVMEVVE</t>
  </si>
  <si>
    <t>EEVVEMMVM</t>
  </si>
  <si>
    <t>EVEMVVVMV</t>
  </si>
  <si>
    <t>MEMEVVVEV</t>
  </si>
  <si>
    <t>VEVVEMVVV</t>
  </si>
  <si>
    <t>EEVMVVVMV</t>
  </si>
  <si>
    <t>MMVEVEEEM</t>
  </si>
  <si>
    <t>VEMEMEEMV</t>
  </si>
  <si>
    <t>MEEEVMEVM</t>
  </si>
  <si>
    <t>EVMVVMVVE</t>
  </si>
  <si>
    <t>VMVEVEMVV</t>
  </si>
  <si>
    <t>MVVVVVEVE</t>
  </si>
  <si>
    <t>VEEMVVVMV</t>
  </si>
  <si>
    <t>EMMEVVVEV</t>
  </si>
  <si>
    <t>MEEMEVVMV</t>
  </si>
  <si>
    <t>EMMEMEVEV</t>
  </si>
  <si>
    <t>EEMEVEMMV</t>
  </si>
  <si>
    <t>VVVMMVVEE</t>
  </si>
  <si>
    <t>EVVEEVVMM</t>
  </si>
  <si>
    <t>MVEEVVVEM</t>
  </si>
  <si>
    <t>VMVVEMEEM</t>
  </si>
  <si>
    <t>MVEEEVVVM</t>
  </si>
  <si>
    <t>EEMMMVVVE</t>
  </si>
  <si>
    <t>EMEVMEVVM</t>
  </si>
  <si>
    <t>VVEMEMVEV</t>
  </si>
  <si>
    <t>VVMEMEVME</t>
  </si>
  <si>
    <t>EEVMVVMVE</t>
  </si>
  <si>
    <t>MMVEVEEVM</t>
  </si>
  <si>
    <t>EVMMMEVEE</t>
  </si>
  <si>
    <t>MMVEEVEVV</t>
  </si>
  <si>
    <t>VEVMVEVME</t>
  </si>
  <si>
    <t>VMVEVMEEM</t>
  </si>
  <si>
    <t>MMEEVMEEM</t>
  </si>
  <si>
    <t>EVMEEVMVM</t>
  </si>
  <si>
    <t>EMEMVVEVV</t>
  </si>
  <si>
    <t>EEVMVMVVE</t>
  </si>
  <si>
    <t>EMMMEVEVV</t>
  </si>
  <si>
    <t>EVEMEVMVM</t>
  </si>
  <si>
    <t>VMVEVVVEM</t>
  </si>
  <si>
    <t>VEVMVVEME</t>
  </si>
  <si>
    <t>EMVEVVMEM</t>
  </si>
  <si>
    <t>VVMEVVMEE</t>
  </si>
  <si>
    <t>MVMVVEVVE</t>
  </si>
  <si>
    <t>EVEMVMMEV</t>
  </si>
  <si>
    <t>VMVEMEVEV</t>
  </si>
  <si>
    <t>EEVMEMVMV</t>
  </si>
  <si>
    <t>MMVEMEEEV</t>
  </si>
  <si>
    <t>MEVMVVEEM</t>
  </si>
  <si>
    <t>EVEVEMVVM</t>
  </si>
  <si>
    <t>MEMVVMVEE</t>
  </si>
  <si>
    <t>EMEVEEVMM</t>
  </si>
  <si>
    <t>VMMEVVEEV</t>
  </si>
  <si>
    <t>VEMVMVEEV</t>
  </si>
  <si>
    <t>VEMVEMVVV</t>
  </si>
  <si>
    <t>VVEVMEVMV</t>
  </si>
  <si>
    <t>MEMVEEVMV</t>
  </si>
  <si>
    <t>MMVVEEVVV</t>
  </si>
  <si>
    <t>MMEVEEVVM</t>
  </si>
  <si>
    <t>EEMEMMVVE</t>
  </si>
  <si>
    <t>MEEVMVEME</t>
  </si>
  <si>
    <t>VMVEEMVEV</t>
  </si>
  <si>
    <t>VEVMMEEMV</t>
  </si>
  <si>
    <t>VMVEEMMEE</t>
  </si>
  <si>
    <t>EVVVEMVVM</t>
  </si>
  <si>
    <t>MVMEMEVEE</t>
  </si>
  <si>
    <t>EVVMVVEVM</t>
  </si>
  <si>
    <t>MVVEVEMVE</t>
  </si>
  <si>
    <t>EMEVVEMMV</t>
  </si>
  <si>
    <t>VVVEMEMEM</t>
  </si>
  <si>
    <t>EMEEVMVEM</t>
  </si>
  <si>
    <t>VMVEEVVVM</t>
  </si>
  <si>
    <t>EEVVEMMMV</t>
  </si>
  <si>
    <t>VVVMVEEVM</t>
  </si>
  <si>
    <t>EVVEVMMVE</t>
  </si>
  <si>
    <t>MVEMVEEVM</t>
  </si>
  <si>
    <t>VEMMVMEEV</t>
  </si>
  <si>
    <t>VVMEMEEMV</t>
  </si>
  <si>
    <t>MVVMEEEMV</t>
  </si>
  <si>
    <t>EMVEEMVVM</t>
  </si>
  <si>
    <t>EMMVVEVEV</t>
  </si>
  <si>
    <t>VVVEMEMEV</t>
  </si>
  <si>
    <t>VVVMEMEME</t>
  </si>
  <si>
    <t>VVEEMEMEM</t>
  </si>
  <si>
    <t>EVEMVMEVM</t>
  </si>
  <si>
    <t>VMEMMEEVV</t>
  </si>
  <si>
    <t>MVEVVMEEM</t>
  </si>
  <si>
    <t>EVMVEMMEV</t>
  </si>
  <si>
    <t>VMVVVEMEE</t>
  </si>
  <si>
    <t>VEVVEMEMM</t>
  </si>
  <si>
    <t>VMVEMEMEE</t>
  </si>
  <si>
    <t>MVMEVVEEV</t>
  </si>
  <si>
    <t>EVEMVVMME</t>
  </si>
  <si>
    <t>MVMEEVEEM</t>
  </si>
  <si>
    <t>EMEVEVMVM</t>
  </si>
  <si>
    <t>EEVVEMEMM</t>
  </si>
  <si>
    <t>VMVEVEMEM</t>
  </si>
  <si>
    <t>VEVVMEMEM</t>
  </si>
  <si>
    <t>VEMMVVVEV</t>
  </si>
  <si>
    <t>EVVEVVMME</t>
  </si>
  <si>
    <t>MVVMEVEEM</t>
  </si>
  <si>
    <t>EVEEMVMME</t>
  </si>
  <si>
    <t>VVEMEVMVV</t>
  </si>
  <si>
    <t>MEEVEVMVV</t>
  </si>
  <si>
    <t>VVMMVEVEE</t>
  </si>
  <si>
    <t>EVEEVMVMM</t>
  </si>
  <si>
    <t>MEMMVEVEE</t>
  </si>
  <si>
    <t>MEMVVVVVE</t>
  </si>
  <si>
    <t>VEMVMMVEE</t>
  </si>
  <si>
    <t>MEVMEVVVE</t>
  </si>
  <si>
    <t>EMVEMEVVM</t>
  </si>
  <si>
    <t>VVEVMVVEM</t>
  </si>
  <si>
    <t>EMMVVMEVE</t>
  </si>
  <si>
    <t>MEEVEEMVM</t>
  </si>
  <si>
    <t>EMVVVVMEE</t>
  </si>
  <si>
    <t>EMVVMEMEE</t>
  </si>
  <si>
    <t>VMEVMMEEV</t>
  </si>
  <si>
    <t>VEMVEEMME</t>
  </si>
  <si>
    <t>VMVVVMEVE</t>
  </si>
  <si>
    <t>VEEVVEMVM</t>
  </si>
  <si>
    <t>VMVEMEEVV</t>
  </si>
  <si>
    <t>EMVVVMEEM</t>
  </si>
  <si>
    <t>MMEVVVEEV</t>
  </si>
  <si>
    <t>EVVEVEMMV</t>
  </si>
  <si>
    <t>MMVEVVVEE</t>
  </si>
  <si>
    <t>EMVVVEMVV</t>
  </si>
  <si>
    <t>MEVEVMEVV</t>
  </si>
  <si>
    <t>EMVMEEMVV</t>
  </si>
  <si>
    <t>EMMVVVEVV</t>
  </si>
  <si>
    <t>VEMVEVMME</t>
  </si>
  <si>
    <t>EVEVVEMMV</t>
  </si>
  <si>
    <t>EVVVVEEMM</t>
  </si>
  <si>
    <t>EVVEVVMEM</t>
  </si>
  <si>
    <t>MVVMVEEME</t>
  </si>
  <si>
    <t>VEMMVVMEE</t>
  </si>
  <si>
    <t>VVMEVEVVM</t>
  </si>
  <si>
    <t>VVEMEMVVE</t>
  </si>
  <si>
    <t>VVMEMEEVM</t>
  </si>
  <si>
    <t>VEEMEMMVE</t>
  </si>
  <si>
    <t>EVVVEEVMM</t>
  </si>
  <si>
    <t>EMMVEVEMV</t>
  </si>
  <si>
    <t>MEEVVEMMV</t>
  </si>
  <si>
    <t>MMEMVEEEV</t>
  </si>
  <si>
    <t>MVEEVVMVV</t>
  </si>
  <si>
    <t>EMVMEEVMV</t>
  </si>
  <si>
    <t>MEVEMMEEV</t>
  </si>
  <si>
    <t>VMEVEEMVV</t>
  </si>
  <si>
    <t>VEMEMMEVV</t>
  </si>
  <si>
    <t>VEVVMEMME</t>
  </si>
  <si>
    <t>VVEEEMMMV</t>
  </si>
  <si>
    <t>MVVVEEVEM</t>
  </si>
  <si>
    <t>EVVVMMEME</t>
  </si>
  <si>
    <t>EVVVEMVMV</t>
  </si>
  <si>
    <t>VEVMVMEVE</t>
  </si>
  <si>
    <t>EEVVVMEVM</t>
  </si>
  <si>
    <t>MVVVVEEME</t>
  </si>
  <si>
    <t>EVEVVMMEM</t>
  </si>
  <si>
    <t>EEMMVVMVE</t>
  </si>
  <si>
    <t>MVVEEMEVM</t>
  </si>
  <si>
    <t>EVVMMEMEE</t>
  </si>
  <si>
    <t>EVMEVMMEE</t>
  </si>
  <si>
    <t>EEVVMVEVM</t>
  </si>
  <si>
    <t>MMEVEVMVE</t>
  </si>
  <si>
    <t>MEMVEVVVE</t>
  </si>
  <si>
    <t>VVVVEMEVV</t>
  </si>
  <si>
    <t>VMVEMEMVE</t>
  </si>
  <si>
    <t>EEMVMMVEV</t>
  </si>
  <si>
    <t>VEEVMEMEM</t>
  </si>
  <si>
    <t>MMVEVEVEV</t>
  </si>
  <si>
    <t>EEVMVMVME</t>
  </si>
  <si>
    <t>EVVVEVEMM</t>
  </si>
  <si>
    <t>MVEVMVMEE</t>
  </si>
  <si>
    <t>VMMVEVEME</t>
  </si>
  <si>
    <t>VMVEEVVMV</t>
  </si>
  <si>
    <t>VVMMVVEEV</t>
  </si>
  <si>
    <t>VEEMEEVMM</t>
  </si>
  <si>
    <t>VVMMEEVME</t>
  </si>
  <si>
    <t>VMEVVVEVV</t>
  </si>
  <si>
    <t>VMEVVEEMV</t>
  </si>
  <si>
    <t>VEVEMMEMV</t>
  </si>
  <si>
    <t>MEVEMEMVV</t>
  </si>
  <si>
    <t>EMVEMEMVV</t>
  </si>
  <si>
    <t>MEVMEMEVE</t>
  </si>
  <si>
    <t>VEEMEVMVV</t>
  </si>
  <si>
    <t>EEVVMMEVM</t>
  </si>
  <si>
    <t>EVEVMEMVV</t>
  </si>
  <si>
    <t>MEMVEMEVV</t>
  </si>
  <si>
    <t>EVVVVEMME</t>
  </si>
  <si>
    <t>MEEVVVVME</t>
  </si>
  <si>
    <t>VMVVVMVEE</t>
  </si>
  <si>
    <t>MEVVEEEMM</t>
  </si>
  <si>
    <t>MVVVMEVVE</t>
  </si>
  <si>
    <t>EVVEEMVVM</t>
  </si>
  <si>
    <t>EVMEVMVVE</t>
  </si>
  <si>
    <t>MEEMVEVVM</t>
  </si>
  <si>
    <t>VMMVEVVEV</t>
  </si>
  <si>
    <t>VEEEMVVMV</t>
  </si>
  <si>
    <t>EEVMMVVME</t>
  </si>
  <si>
    <t>EVVMEVVVM</t>
  </si>
  <si>
    <t>MEVVEMEMV</t>
  </si>
  <si>
    <t>VMVEMEVVE</t>
  </si>
  <si>
    <t>EMEMEEMVM</t>
  </si>
  <si>
    <t>EVMVMMVEE</t>
  </si>
  <si>
    <t>EMEVVEMVV</t>
  </si>
  <si>
    <t>EMMEVVVVV</t>
  </si>
  <si>
    <t>EVMEEMMVV</t>
  </si>
  <si>
    <t>MEEEVEVMM</t>
  </si>
  <si>
    <t>VEVMVMVVE</t>
  </si>
  <si>
    <t>VMVEVEEVM</t>
  </si>
  <si>
    <t>EMMVEMVEV</t>
  </si>
  <si>
    <t>MEEMEEVVM</t>
  </si>
  <si>
    <t>EEVVMEMMV</t>
  </si>
  <si>
    <t>EVVVVVEMV</t>
  </si>
  <si>
    <t>EMMEVVVVE</t>
  </si>
  <si>
    <t>MEEMVVVEM</t>
  </si>
  <si>
    <t>EEVMMVVEV</t>
  </si>
  <si>
    <t>MMVEEVEMV</t>
  </si>
  <si>
    <t>EEVMMEMEV</t>
  </si>
  <si>
    <t>VEVMVMEEM</t>
  </si>
  <si>
    <t>EMVMVVVEE</t>
  </si>
  <si>
    <t>MEVVEVMVV</t>
  </si>
  <si>
    <t>MEVEVVEMM</t>
  </si>
  <si>
    <t>VEVMEMVVE</t>
  </si>
  <si>
    <t>MVVEVEEMV</t>
  </si>
  <si>
    <t>EEVMVMMEV</t>
  </si>
  <si>
    <t>VVVEVVMVE</t>
  </si>
  <si>
    <t>VEEEMMMVE</t>
  </si>
  <si>
    <t>MEEVVVEMM</t>
  </si>
  <si>
    <t>EMVVEEMVV</t>
  </si>
  <si>
    <t>EMEMEVVEM</t>
  </si>
  <si>
    <t>MEVMVEVEV</t>
  </si>
  <si>
    <t>EMEEVMVMV</t>
  </si>
  <si>
    <t>EMVEVMVVE</t>
  </si>
  <si>
    <t>MEVMVEVEM</t>
  </si>
  <si>
    <t>EMEEVMVME</t>
  </si>
  <si>
    <t>VVVMEEVME</t>
  </si>
  <si>
    <t>VEVEVMVVV</t>
  </si>
  <si>
    <t>MEMMEVEVV</t>
  </si>
  <si>
    <t>EEVEVMMME</t>
  </si>
  <si>
    <t>MMEMVEEEM</t>
  </si>
  <si>
    <t>VMEVMMEVE</t>
  </si>
  <si>
    <t>EEVVVMVVV</t>
  </si>
  <si>
    <t>MEEVMEEMV</t>
  </si>
  <si>
    <t>MVVVMEEEV</t>
  </si>
  <si>
    <t>VEEMVVMME</t>
  </si>
  <si>
    <t>MMVEVEEMV</t>
  </si>
  <si>
    <t>EVEVMMVEM</t>
  </si>
  <si>
    <t>EEVMVMEVV</t>
  </si>
  <si>
    <t>VEEMEMVMV</t>
  </si>
  <si>
    <t>VVMEEVVVM</t>
  </si>
  <si>
    <t>EEMVEMVMV</t>
  </si>
  <si>
    <t>MMEVMEEEV</t>
  </si>
  <si>
    <t>EMVEVMVME</t>
  </si>
  <si>
    <t>VMEEVVEMV</t>
  </si>
  <si>
    <t>EVVMVEVEM</t>
  </si>
  <si>
    <t>VEEEEMMVM</t>
  </si>
  <si>
    <t>VEEMVEMMV</t>
  </si>
  <si>
    <t>VVMVEEMVE</t>
  </si>
  <si>
    <t>EVMVVVEME</t>
  </si>
  <si>
    <t>MEEVVVMEM</t>
  </si>
  <si>
    <t>VVEEEMVVM</t>
  </si>
  <si>
    <t>VVEMEMVME</t>
  </si>
  <si>
    <t>EVMVEEMVM</t>
  </si>
  <si>
    <t>MEEVMMEVE</t>
  </si>
  <si>
    <t>MVEMEEVVM</t>
  </si>
  <si>
    <t>MMVEVVVVE</t>
  </si>
  <si>
    <t>EEVMVVVEM</t>
  </si>
  <si>
    <t>MMEEVVVME</t>
  </si>
  <si>
    <t>VEMEVMEMV</t>
  </si>
  <si>
    <t>VMEMEEMEV</t>
  </si>
  <si>
    <t>EVVMVEMME</t>
  </si>
  <si>
    <t>EMEMVVEMV</t>
  </si>
  <si>
    <t>MEEVVEEMM</t>
  </si>
  <si>
    <t>VMEEVEVVM</t>
  </si>
  <si>
    <t>VEMMVMVEE</t>
  </si>
  <si>
    <t>MMVVVEVVE</t>
  </si>
  <si>
    <t>VMVMVEVEV</t>
  </si>
  <si>
    <t>VEVEEMVMV</t>
  </si>
  <si>
    <t>VEVEVMMVE</t>
  </si>
  <si>
    <t>MEVVVMEVE</t>
  </si>
  <si>
    <t>EMVEVEMVM</t>
  </si>
  <si>
    <t>VVMEVEMEV</t>
  </si>
  <si>
    <t>VVEMVMEME</t>
  </si>
  <si>
    <t>EVMEVEMEM</t>
  </si>
  <si>
    <t>MVMMVEVEE</t>
  </si>
  <si>
    <t>MEMEVMVVE</t>
  </si>
  <si>
    <t>EMEMEEVVM</t>
  </si>
  <si>
    <t>MMEVVEEEM</t>
  </si>
  <si>
    <t>EVMEVVMVV</t>
  </si>
  <si>
    <t>EEMEMVVVM</t>
  </si>
  <si>
    <t>Vérificateur</t>
  </si>
  <si>
    <t>Double checker</t>
  </si>
  <si>
    <t>EEVEVMVVM</t>
  </si>
  <si>
    <t>MMVMVEEVE</t>
  </si>
  <si>
    <t>VMMEVVVVE</t>
  </si>
  <si>
    <t>VEEMVEVVM</t>
  </si>
  <si>
    <t>VMMEEMVVE</t>
  </si>
  <si>
    <t>VEEMMEVEM</t>
  </si>
  <si>
    <t>MMEVVEEVM</t>
  </si>
  <si>
    <t>EEMVVMMEE</t>
  </si>
  <si>
    <t>EEMVVVEVM</t>
  </si>
  <si>
    <t>VEMEEMVVV</t>
  </si>
  <si>
    <t>VEMVVMVVE</t>
  </si>
  <si>
    <t>VMEVVEVEM</t>
  </si>
  <si>
    <t>VEMEVMVME</t>
  </si>
  <si>
    <t>VMEMVEEEM</t>
  </si>
  <si>
    <t>VEEEVMMME</t>
  </si>
  <si>
    <t>EVVMVMEVE</t>
  </si>
  <si>
    <t>MEMVVEVVV</t>
  </si>
  <si>
    <t>EMEVEMVVV</t>
  </si>
  <si>
    <t>EMEEEMVMV</t>
  </si>
  <si>
    <t>VVMVEVMEV</t>
  </si>
  <si>
    <t>VVMVEEMEM</t>
  </si>
  <si>
    <t>EVEVMMEME</t>
  </si>
  <si>
    <t>VVEVMVMEE</t>
  </si>
  <si>
    <t>VVMVEEEMM</t>
  </si>
  <si>
    <t>VEEVEMVVM</t>
  </si>
  <si>
    <t>MEEVVVMVV</t>
  </si>
  <si>
    <t>EMVMVEVVV</t>
  </si>
  <si>
    <t>MEEEVMVVV</t>
  </si>
  <si>
    <t>EMMMVEVVE</t>
  </si>
  <si>
    <t>VEVVVMMVE</t>
  </si>
  <si>
    <t>VVEVEMVEM</t>
  </si>
  <si>
    <t>MVMEEVVVV</t>
  </si>
  <si>
    <t>EVEMMVMEE</t>
  </si>
  <si>
    <t>VEVEMMEVM</t>
  </si>
  <si>
    <t>VVEMEVMVE</t>
  </si>
  <si>
    <t>MVEEVMVEM</t>
  </si>
  <si>
    <t>EVEVVMMME</t>
  </si>
  <si>
    <t>MVEMEEVEM</t>
  </si>
  <si>
    <t>VEMVVVMEE</t>
  </si>
  <si>
    <t>VMMVVEEVV</t>
  </si>
  <si>
    <t>EMMEVVMEV</t>
  </si>
  <si>
    <t>EVVVVVMVE</t>
  </si>
  <si>
    <t>MVEMVVEEM</t>
  </si>
  <si>
    <t>EVMEVEMME</t>
  </si>
  <si>
    <t>VEEMMEEVM</t>
  </si>
  <si>
    <t>EEVVMMEMV</t>
  </si>
  <si>
    <t>VEMVVEVEM</t>
  </si>
  <si>
    <t>EMVVEVEVM</t>
  </si>
  <si>
    <t>MVVMEEEVV</t>
  </si>
  <si>
    <t>MVEEMVVEV</t>
  </si>
  <si>
    <t>MVEVEVMVE</t>
  </si>
  <si>
    <t>MEEVMVMEE</t>
  </si>
  <si>
    <t>VEEEVVMMV</t>
  </si>
  <si>
    <t>VVMVMEEVE</t>
  </si>
  <si>
    <t>EMVVVVEME</t>
  </si>
  <si>
    <t>MEVEVVMEM</t>
  </si>
  <si>
    <t>EVEMVVEMV</t>
  </si>
  <si>
    <t>MVMEVVMEE</t>
  </si>
  <si>
    <t>VEMVVEVME</t>
  </si>
  <si>
    <t>VMEVVMEEM</t>
  </si>
  <si>
    <t>VVEMEEMMV</t>
  </si>
  <si>
    <t>MEVVMEVME</t>
  </si>
  <si>
    <t>MEVVVMVEV</t>
  </si>
  <si>
    <t>EMVVEEVMV</t>
  </si>
  <si>
    <t>EVEMMVEMV</t>
  </si>
  <si>
    <t>VVEVMEEMM</t>
  </si>
  <si>
    <t>VVEVVMEME</t>
  </si>
  <si>
    <t>VEEMVMEME</t>
  </si>
  <si>
    <t>VMMEVMVEE</t>
  </si>
  <si>
    <t>VVVMEVMEE</t>
  </si>
  <si>
    <t>EVMEMVVVE</t>
  </si>
  <si>
    <t>MEEMEVVVM</t>
  </si>
  <si>
    <t>EMMEMEVVE</t>
  </si>
  <si>
    <t>EVMVEVEMM</t>
  </si>
  <si>
    <t>EEVVVMVEM</t>
  </si>
  <si>
    <t>MVEMVEVEV</t>
  </si>
  <si>
    <t>MEMEVEVMV</t>
  </si>
  <si>
    <t>EMVVEVMEV</t>
  </si>
  <si>
    <t>MEEVMVEMV</t>
  </si>
  <si>
    <t>VMEEEVVVM</t>
  </si>
  <si>
    <t>VEMMMVVEE</t>
  </si>
  <si>
    <t>EMVVVEMVE</t>
  </si>
  <si>
    <t>VMVVMEEVE</t>
  </si>
  <si>
    <t>VMEEVVVMV</t>
  </si>
  <si>
    <t>VEMMVVVEE</t>
  </si>
  <si>
    <t>VEEMVVVEM</t>
  </si>
  <si>
    <t>VMMVVVEVE</t>
  </si>
  <si>
    <t>VMMEVMEVE</t>
  </si>
  <si>
    <t>EVEMVEMVM</t>
  </si>
  <si>
    <t>MEMEVMEVE</t>
  </si>
  <si>
    <t>VVVVEMEEM</t>
  </si>
  <si>
    <t>MVVEVVEVM</t>
  </si>
  <si>
    <t>EVEMVVMVE</t>
  </si>
  <si>
    <t>MVMEVEEVM</t>
  </si>
  <si>
    <t>VMMEEVVVV</t>
  </si>
  <si>
    <t>MEVMVVVEE</t>
  </si>
  <si>
    <t>EEVMEVVMV</t>
  </si>
  <si>
    <t>MVVVVEEVV</t>
  </si>
  <si>
    <t>VEEVMVMVV</t>
  </si>
  <si>
    <t>VEEVMVMME</t>
  </si>
  <si>
    <t>MMEEEVVMV</t>
  </si>
  <si>
    <t>VVVEVEMEM</t>
  </si>
  <si>
    <t>MMVVEVVEE</t>
  </si>
  <si>
    <t>MMVMEEVEE</t>
  </si>
  <si>
    <t>MVEVVEEVM</t>
  </si>
  <si>
    <t>EEMVVMMVE</t>
  </si>
  <si>
    <t>VVVEVMEME</t>
  </si>
  <si>
    <t>EVMEEVVMV</t>
  </si>
  <si>
    <t>EEVVMVMVE</t>
  </si>
  <si>
    <t>MEMVVVVEE</t>
  </si>
  <si>
    <t>EMEEVVVMM</t>
  </si>
  <si>
    <t>VVMVEEMVV</t>
  </si>
  <si>
    <t>VVEEMMEVV</t>
  </si>
  <si>
    <t>MVEEMMEEV</t>
  </si>
  <si>
    <t>VVEEMMVEV</t>
  </si>
  <si>
    <t>VEMEEVMME</t>
  </si>
  <si>
    <t>VVEEEMVMM</t>
  </si>
  <si>
    <t>VEMMMEVEE</t>
  </si>
  <si>
    <t>EMEEEMVMM</t>
  </si>
  <si>
    <t>EEVVVMMVV</t>
  </si>
  <si>
    <t>MMVEEVVME</t>
  </si>
  <si>
    <t>MEVMVVEEV</t>
  </si>
  <si>
    <t>EMMEVEMME</t>
  </si>
  <si>
    <t>MEVVEEMVV</t>
  </si>
  <si>
    <t>EMEVMMEVV</t>
  </si>
  <si>
    <t>VMVVMVEVE</t>
  </si>
  <si>
    <t>MMVVMEEVE</t>
  </si>
  <si>
    <t>MMVVMEVEE</t>
  </si>
  <si>
    <t>VVVMEMEEV</t>
  </si>
  <si>
    <t>EVMMEMEEV</t>
  </si>
  <si>
    <t>VEVMMVVEE</t>
  </si>
  <si>
    <t>MEVEEVVMM</t>
  </si>
  <si>
    <t>EMMVEVEVV</t>
  </si>
  <si>
    <t>MVMVEEMVE</t>
  </si>
  <si>
    <t>VEVVMEVME</t>
  </si>
  <si>
    <t>MEVVMEEMV</t>
  </si>
  <si>
    <t>VVEMEMMVE</t>
  </si>
  <si>
    <t>VMVEEVVEM</t>
  </si>
  <si>
    <t>VEVMMEVME</t>
  </si>
  <si>
    <t>VEMVEEVMV</t>
  </si>
  <si>
    <t>VMEEMMVEV</t>
  </si>
  <si>
    <t>EEMMEEVMV</t>
  </si>
  <si>
    <t>EMVEMVMVE</t>
  </si>
  <si>
    <t>VMEVMMVEE</t>
  </si>
  <si>
    <t>EMVVMEEVV</t>
  </si>
  <si>
    <t>VMVMMEEVE</t>
  </si>
  <si>
    <t>VVVVMEEME</t>
  </si>
  <si>
    <t>VVEEMVMVE</t>
  </si>
  <si>
    <t>EMEVEVVMM</t>
  </si>
  <si>
    <t>MEMVMEVEE</t>
  </si>
  <si>
    <t>MEVVVEEMV</t>
  </si>
  <si>
    <t>EMVVVMMEE</t>
  </si>
  <si>
    <t>MEVEVEEMM</t>
  </si>
  <si>
    <t>MVVVEEEMV</t>
  </si>
  <si>
    <t>EVVVVVMEM</t>
  </si>
  <si>
    <t>MVEVVVEME</t>
  </si>
  <si>
    <t>MEVVVMMEE</t>
  </si>
  <si>
    <t>EMVVEEEMM</t>
  </si>
  <si>
    <t>VEVEMMVVE</t>
  </si>
  <si>
    <t>VMVMEEVEM</t>
  </si>
  <si>
    <t>EEMMVVVEM</t>
  </si>
  <si>
    <t>EVEEMMVEM</t>
  </si>
  <si>
    <t>VVVMEVVEM</t>
  </si>
  <si>
    <t>VEEMEMMVV</t>
  </si>
  <si>
    <t>VMMEMEEEV</t>
  </si>
  <si>
    <t>EMVEMEVVV</t>
  </si>
  <si>
    <t>EVMVEEVMM</t>
  </si>
  <si>
    <t>EEMVMMEVE</t>
  </si>
  <si>
    <t>MVMVEVEME</t>
  </si>
  <si>
    <t>EMVMEVEVM</t>
  </si>
  <si>
    <t>MEVVEVVMV</t>
  </si>
  <si>
    <t>VEEVEMMVM</t>
  </si>
  <si>
    <t>VMMEMEEVE</t>
  </si>
  <si>
    <t>VMEVMEEVV</t>
  </si>
  <si>
    <t>EVMEVEMMV</t>
  </si>
  <si>
    <t>EMEVVVEMM</t>
  </si>
  <si>
    <t>MMEEEVVVV</t>
  </si>
  <si>
    <t>MMEEEVVVM</t>
  </si>
  <si>
    <t>EEMMMVEVE</t>
  </si>
  <si>
    <t>EMEEMMVVV</t>
  </si>
  <si>
    <t>EEVEVMMEM</t>
  </si>
  <si>
    <t>MMVMEEEME</t>
  </si>
  <si>
    <t>VVEMMVVEE</t>
  </si>
  <si>
    <t>VVVMEEMEM</t>
  </si>
  <si>
    <t>VMEEEVVMV</t>
  </si>
  <si>
    <t>EEVVMEVMV</t>
  </si>
  <si>
    <t>MMVVEMVEE</t>
  </si>
  <si>
    <t>VEVMVEEVM</t>
  </si>
  <si>
    <t>VEEVVMEVM</t>
  </si>
  <si>
    <t>MVEVEEVVM</t>
  </si>
  <si>
    <t>VVEEMVEVM</t>
  </si>
  <si>
    <t>VEEMVVVME</t>
  </si>
  <si>
    <t>VMMEVVEEM</t>
  </si>
  <si>
    <t>VVMEVMEVE</t>
  </si>
  <si>
    <t>EVMVVEMEM</t>
  </si>
  <si>
    <t>VVMEEVEMM</t>
  </si>
  <si>
    <t>VVVMVVEEM</t>
  </si>
  <si>
    <t>VVVMEMEEM</t>
  </si>
  <si>
    <t>EMMVMEEVE</t>
  </si>
  <si>
    <t>VEEVEMVMV</t>
  </si>
  <si>
    <t>VMMVEVEEM</t>
  </si>
  <si>
    <t>EMEEMMVEV</t>
  </si>
  <si>
    <t>EVMVMEEME</t>
  </si>
  <si>
    <t>EMVVEVVEM</t>
  </si>
  <si>
    <t>MEEVMVVME</t>
  </si>
  <si>
    <t>EMMEEVVEM</t>
  </si>
  <si>
    <t>VEMVMVEVE</t>
  </si>
  <si>
    <t>MVEMVEVEM</t>
  </si>
  <si>
    <t>MMEVVEVVV</t>
  </si>
  <si>
    <t>EEMVVMEVV</t>
  </si>
  <si>
    <t>MVEMVVEME</t>
  </si>
  <si>
    <t>VVMVEMEEV</t>
  </si>
  <si>
    <t>VEEVMEMMV</t>
  </si>
  <si>
    <t>VMVMEVEEM</t>
  </si>
  <si>
    <t>EEVMEVVMM</t>
  </si>
  <si>
    <t>MMVEMEVEE</t>
  </si>
  <si>
    <t>EEVMEMEMM</t>
  </si>
  <si>
    <t>MVEVVVMEE</t>
  </si>
  <si>
    <t>VVEMVEVVM</t>
  </si>
  <si>
    <t>VVMEVMVEE</t>
  </si>
  <si>
    <t>MVEVEMVEM</t>
  </si>
  <si>
    <t>EMMEVVVME</t>
  </si>
  <si>
    <t>MEEMVEVEM</t>
  </si>
  <si>
    <t>EMEMMVVEV</t>
  </si>
  <si>
    <t>VEVMEMVVV</t>
  </si>
  <si>
    <t>VMEEMEVVV</t>
  </si>
  <si>
    <t>VMEMEMVVE</t>
  </si>
  <si>
    <t>EVVVMEVMV</t>
  </si>
  <si>
    <t>EMMVEEVVM</t>
  </si>
  <si>
    <t>VVEEVVMME</t>
  </si>
  <si>
    <t>VEMMVVEEM</t>
  </si>
  <si>
    <t>VMEVEMVME</t>
  </si>
  <si>
    <t>MVEEMVMEE</t>
  </si>
  <si>
    <t>VMEMVVVEV</t>
  </si>
  <si>
    <t>VEEMMVVVE</t>
  </si>
  <si>
    <t>VVVEVMVEM</t>
  </si>
  <si>
    <t>EVVMVEVME</t>
  </si>
  <si>
    <t>MEVEVMVEM</t>
  </si>
  <si>
    <t>VVEMEVVEM</t>
  </si>
  <si>
    <t>EEVVEMVMM</t>
  </si>
  <si>
    <t>EEVMEVMMV</t>
  </si>
  <si>
    <t>MEMEVEVME</t>
  </si>
  <si>
    <t>VEVVMEMVV</t>
  </si>
  <si>
    <t>VMVVEMEEV</t>
  </si>
  <si>
    <t>MMEVMEVEV</t>
  </si>
  <si>
    <t>EEVVMEVVM</t>
  </si>
  <si>
    <t>VMEEMVEVV</t>
  </si>
  <si>
    <t>VEVMMVEME</t>
  </si>
  <si>
    <t>EVEVVMEMV</t>
  </si>
  <si>
    <t>MVMVEEMEV</t>
  </si>
  <si>
    <t>VEEVVEMMV</t>
  </si>
  <si>
    <t>EEMVVVMEV</t>
  </si>
  <si>
    <t>EEMMVMVVE</t>
  </si>
  <si>
    <t>MVEMEMVEV</t>
  </si>
  <si>
    <t>VEEMVVMVV</t>
  </si>
  <si>
    <t>VMMEEVEVV</t>
  </si>
  <si>
    <t>VEEMMEMVV</t>
  </si>
  <si>
    <t>VMMEEMEEV</t>
  </si>
  <si>
    <t>VMVVEMVVE</t>
  </si>
  <si>
    <t>EEVVMMMEV</t>
  </si>
  <si>
    <t>EVEMVVEVM</t>
  </si>
  <si>
    <t>VMVVEEVEM</t>
  </si>
  <si>
    <t>MMVVEEEEM</t>
  </si>
  <si>
    <t>EMVMEEEVM</t>
  </si>
  <si>
    <t>EVMEVEVMM</t>
  </si>
  <si>
    <t>MEVVEVEVM</t>
  </si>
  <si>
    <t>EEMMEEVVM</t>
  </si>
  <si>
    <t>EMVEEVMEM</t>
  </si>
  <si>
    <t>MVMMVEEVE</t>
  </si>
  <si>
    <t>EVEEVMMEM</t>
  </si>
  <si>
    <t>MEMEEMEVV</t>
  </si>
  <si>
    <t>MVVEEMVEM</t>
  </si>
  <si>
    <t>EVVMMEEME</t>
  </si>
  <si>
    <t>VVMVMEEME</t>
  </si>
  <si>
    <t>VVMMEEVEM</t>
  </si>
  <si>
    <t>EVEEMMVME</t>
  </si>
  <si>
    <t>VMMEEVVEM</t>
  </si>
  <si>
    <t>EMVMEVVEV</t>
  </si>
  <si>
    <t>MVVVEVMEV</t>
  </si>
  <si>
    <t>VMVVEVEVV</t>
  </si>
  <si>
    <t>VVMVEVEME</t>
  </si>
  <si>
    <t>VVEEMVMEM</t>
  </si>
  <si>
    <t>VVVEEVMEM</t>
  </si>
  <si>
    <t>VEVEVEVMM</t>
  </si>
  <si>
    <t>MEVEVMVVV</t>
  </si>
  <si>
    <t>EMVMVEVEV</t>
  </si>
  <si>
    <t>MEVEVMEMV</t>
  </si>
  <si>
    <t>EMVMVEMEE</t>
  </si>
  <si>
    <t>VMEVEMVEV</t>
  </si>
  <si>
    <t>VEMVMEVME</t>
  </si>
  <si>
    <t>VMEEEMVEM</t>
  </si>
  <si>
    <t>EMEVVMEVV</t>
  </si>
  <si>
    <t>MEMVEEMVV</t>
  </si>
  <si>
    <t>EEVMEMVVM</t>
  </si>
  <si>
    <t>EVMVEEEMM</t>
  </si>
  <si>
    <t>MEEVMMMEE</t>
  </si>
  <si>
    <t>EMVEVVVEM</t>
  </si>
  <si>
    <t>MEEMVVVME</t>
  </si>
  <si>
    <t>VEEMMVEVV</t>
  </si>
  <si>
    <t>VEEMMVEEM</t>
  </si>
  <si>
    <t>VMVMEMVEE</t>
  </si>
  <si>
    <t>EVEMEVMVV</t>
  </si>
  <si>
    <t>EMEMVVVVE</t>
  </si>
  <si>
    <t>MEMEEVVVM</t>
  </si>
  <si>
    <t>VMEMVVEVV</t>
  </si>
  <si>
    <t>MEEVVVMVE</t>
  </si>
  <si>
    <t>MEEVVVVEM</t>
  </si>
  <si>
    <t>VVVMEEVVM</t>
  </si>
  <si>
    <t>VVVEMMEVE</t>
  </si>
  <si>
    <t>MEVVVMEME</t>
  </si>
  <si>
    <t>EEMMMVEVV</t>
  </si>
  <si>
    <t>VVEEMMEME</t>
  </si>
  <si>
    <t>MVVVMEMEE</t>
  </si>
  <si>
    <t>EEVVMMEEM</t>
  </si>
  <si>
    <t>EMVEVEMEM</t>
  </si>
  <si>
    <t>EVEMMEVVM</t>
  </si>
  <si>
    <t>MEMEEMVVE</t>
  </si>
  <si>
    <t>MVMVEMEEV</t>
  </si>
  <si>
    <t>MVVVVEEVM</t>
  </si>
  <si>
    <t>EVEVVMMVE</t>
  </si>
  <si>
    <t>MEMVVEEVM</t>
  </si>
  <si>
    <t>EMEEVMMVE</t>
  </si>
  <si>
    <t>EVVMVEVVM</t>
  </si>
  <si>
    <t>VMEEVEEMM</t>
  </si>
  <si>
    <t>VVVMVEVEM</t>
  </si>
  <si>
    <t>VMMEMEVEV</t>
  </si>
  <si>
    <t>VVEMVEEMM</t>
  </si>
  <si>
    <t>MMVEVVEEM</t>
  </si>
  <si>
    <t>MEVVVMEEM</t>
  </si>
  <si>
    <t>EMVEVEMME</t>
  </si>
  <si>
    <t>MEEMVMEEM</t>
  </si>
  <si>
    <t>EVVEVMVME</t>
  </si>
  <si>
    <t>MVVMVEEEM</t>
  </si>
  <si>
    <t>EMEVVMEMV</t>
  </si>
  <si>
    <t>MEVVMEMEV</t>
  </si>
  <si>
    <t>MMVVEVMEE</t>
  </si>
  <si>
    <t>EEVMVEMVM</t>
  </si>
  <si>
    <t>MMEEVVVVV</t>
  </si>
  <si>
    <t>EEMMEVVVV</t>
  </si>
  <si>
    <t>MVEVMEMEV</t>
  </si>
  <si>
    <t>MVVEVMVEE</t>
  </si>
  <si>
    <t>VVVEVMMEE</t>
  </si>
  <si>
    <t>VEVMVVEMV</t>
  </si>
  <si>
    <t>VVEEVMEMV</t>
  </si>
  <si>
    <t>VVMMEEMEV</t>
  </si>
  <si>
    <t>VEEEMMEMV</t>
  </si>
  <si>
    <t>MEEVMVMVE</t>
  </si>
  <si>
    <t>EMMVEVEEM</t>
  </si>
  <si>
    <t>MEMEVVVME</t>
  </si>
  <si>
    <t>EMEMVVEEM</t>
  </si>
  <si>
    <t>EMEVMMVEV</t>
  </si>
  <si>
    <t>MVVEMVMEE</t>
  </si>
  <si>
    <t>TICTACTOE 3.0 Faire un tournois d'élimination. Le meilleur se fait faire des copies d'elle même à plusieurs degré de réduction de fraction et peut être aussi le #2</t>
  </si>
  <si>
    <t>TICTACTOE 2.0 Faire combatre deux intelligences artificielles une contre l'autre pendant plusieurs partie. Celle qui perd prend une copie de l'autre mais réduit au maximum ses fractions</t>
  </si>
  <si>
    <t>EVVEMVMEM</t>
  </si>
  <si>
    <t>VVVEEMVVV</t>
  </si>
  <si>
    <t>VEVEEMMVV</t>
  </si>
  <si>
    <t>VMVMMEEEV</t>
  </si>
  <si>
    <t>VEEEEMMMV</t>
  </si>
  <si>
    <t>VVEEVVEMM</t>
  </si>
  <si>
    <t>MVEVVEVEM</t>
  </si>
  <si>
    <t>Humain</t>
  </si>
  <si>
    <t>Partie nulle</t>
  </si>
  <si>
    <t>EVMEVVMVE</t>
  </si>
  <si>
    <t>VEVMEVEVM</t>
  </si>
  <si>
    <t>MMEVVEEVV</t>
  </si>
  <si>
    <t>EEVMVEVVM</t>
  </si>
  <si>
    <t>EEVVVMEMV</t>
  </si>
  <si>
    <t>VMMEEVMEV</t>
  </si>
  <si>
    <t>EVMEVVVEM</t>
  </si>
  <si>
    <t>VEVMEVEMV</t>
  </si>
  <si>
    <t>VMVEMVMEE</t>
  </si>
  <si>
    <t>MEEVEMVVM</t>
  </si>
  <si>
    <t>EEMEEMMVV</t>
  </si>
  <si>
    <t>EMEVVEVVM</t>
  </si>
  <si>
    <t>EMEVEMVVM</t>
  </si>
  <si>
    <t>EEMEMMVEV</t>
  </si>
  <si>
    <t>EVEVMMEVV</t>
  </si>
  <si>
    <t>VMVEVEEMM</t>
  </si>
  <si>
    <t>MVEVEVMEV</t>
  </si>
  <si>
    <t>MEEVVVMEV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</si>
</sst>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0" borderId="10" xfId="0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10" fontId="0" fillId="0" borderId="0" xfId="0" applyNumberFormat="1"/>
    <xf numFmtId="0" fontId="0" fillId="0" borderId="0" xfId="0" applyNumberFormat="1"/>
    <xf numFmtId="0" fontId="0" fillId="0" borderId="10" xfId="0" applyNumberFormat="1" applyBorder="1" applyAlignment="1">
      <alignment horizontal="center" vertical="center" wrapText="1"/>
    </xf>
    <xf numFmtId="0" fontId="5" fillId="0" borderId="9" xfId="0" applyNumberFormat="1" applyFont="1" applyBorder="1" applyAlignment="1">
      <alignment horizontal="center" vertical="center"/>
    </xf>
    <xf numFmtId="10" fontId="7" fillId="0" borderId="0" xfId="0" applyNumberFormat="1" applyFont="1" applyFill="1"/>
    <xf numFmtId="10" fontId="6" fillId="0" borderId="0" xfId="0" applyNumberFormat="1" applyFont="1"/>
    <xf numFmtId="10" fontId="7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4" formatCode="0.00%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85725</xdr:rowOff>
        </xdr:from>
        <xdr:to>
          <xdr:col>8</xdr:col>
          <xdr:colOff>361950</xdr:colOff>
          <xdr:row>1</xdr:row>
          <xdr:rowOff>476250</xdr:rowOff>
        </xdr:to>
        <xdr:sp macro="" textlink="">
          <xdr:nvSpPr>
            <xdr:cNvPr id="1025" name="cmdPl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I6:N8184" totalsRowShown="0">
  <autoFilter ref="I6:N8184"/>
  <sortState ref="I7:O6676">
    <sortCondition descending="1" ref="J6:J6676"/>
  </sortState>
  <tableColumns count="6">
    <tableColumn id="1" name="actuel"/>
    <tableColumn id="12" name="ÉTAT"/>
    <tableColumn id="3" name="next move" dataDxfId="7"/>
    <tableColumn id="4" name="nb play"/>
    <tableColumn id="5" name="nb win"/>
    <tableColumn id="2" name="lastlost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1" name="Table132" displayName="Table132" ref="A1:I7515" totalsRowShown="0">
  <autoFilter ref="A1:I7515"/>
  <sortState ref="A2:G6671">
    <sortCondition descending="1" ref="B6:B6676"/>
  </sortState>
  <tableColumns count="9">
    <tableColumn id="1" name="actuel"/>
    <tableColumn id="12" name="ÉTAT"/>
    <tableColumn id="3" name="next move" dataDxfId="6"/>
    <tableColumn id="4" name="nb play"/>
    <tableColumn id="5" name="nb win"/>
    <tableColumn id="2" name="lastlost"/>
    <tableColumn id="6" name="Réussite" dataDxfId="5">
      <calculatedColumnFormula>Table132[[#This Row],[nb win]]/Table132[[#This Row],[nb play]]</calculatedColumnFormula>
    </tableColumn>
    <tableColumn id="7" name="Vérificateur" dataDxfId="4">
      <calculatedColumnFormula>MID(Table132[[#This Row],[ÉTAT]],VALUE(RIGHT(Table132[[#This Row],[next move]],1))+1+VALUE(LEFT(Table132[[#This Row],[next move]],1))*3,1)</calculatedColumnFormula>
    </tableColumn>
    <tableColumn id="8" name="Double checker" dataDxfId="3">
      <calculatedColumnFormula>Table132[[#This Row],[ÉTAT]]&amp;Table132[[#This Row],[next move]]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8184"/>
  <sheetViews>
    <sheetView tabSelected="1" workbookViewId="0"/>
  </sheetViews>
  <sheetFormatPr defaultColWidth="9.140625" defaultRowHeight="15" x14ac:dyDescent="0.25"/>
  <cols>
    <col min="4" max="4" width="3.140625" customWidth="1"/>
    <col min="8" max="8" width="11.5703125" bestFit="1" customWidth="1"/>
    <col min="9" max="9" width="8.7109375" bestFit="1" customWidth="1"/>
    <col min="10" max="10" width="15.7109375" customWidth="1"/>
    <col min="11" max="11" width="12.7109375" style="22" bestFit="1" customWidth="1"/>
    <col min="12" max="12" width="9.7109375" bestFit="1" customWidth="1"/>
    <col min="13" max="13" width="9.28515625" bestFit="1" customWidth="1"/>
    <col min="14" max="14" width="9.5703125" customWidth="1"/>
    <col min="15" max="15" width="12.7109375" style="25" bestFit="1" customWidth="1"/>
    <col min="16" max="16" width="13.85546875" bestFit="1" customWidth="1"/>
    <col min="17" max="17" width="15.28515625" bestFit="1" customWidth="1"/>
    <col min="18" max="18" width="69" customWidth="1"/>
  </cols>
  <sheetData>
    <row r="1" spans="1:18" ht="15.75" thickBot="1" x14ac:dyDescent="0.3">
      <c r="O1" s="26"/>
    </row>
    <row r="2" spans="1:18" ht="42" customHeight="1" x14ac:dyDescent="0.25">
      <c r="A2" s="15" t="s">
        <v>9</v>
      </c>
      <c r="B2" s="16" t="s">
        <v>10</v>
      </c>
      <c r="C2" s="17" t="s">
        <v>11</v>
      </c>
      <c r="E2" s="1" t="s">
        <v>7</v>
      </c>
      <c r="F2" s="2" t="s">
        <v>8</v>
      </c>
      <c r="G2" s="3" t="s">
        <v>7</v>
      </c>
      <c r="H2" s="11"/>
      <c r="J2" s="21" t="s">
        <v>5</v>
      </c>
      <c r="K2" s="22" t="s">
        <v>3879</v>
      </c>
      <c r="L2" s="12" t="s">
        <v>7</v>
      </c>
      <c r="M2">
        <v>39</v>
      </c>
      <c r="O2" s="27" t="s">
        <v>642</v>
      </c>
      <c r="P2" s="23" t="s">
        <v>647</v>
      </c>
      <c r="R2" s="32" t="s">
        <v>3871</v>
      </c>
    </row>
    <row r="3" spans="1:18" ht="42" customHeight="1" thickBot="1" x14ac:dyDescent="0.3">
      <c r="A3" s="18" t="s">
        <v>12</v>
      </c>
      <c r="B3" s="19" t="s">
        <v>13</v>
      </c>
      <c r="C3" s="20" t="s">
        <v>14</v>
      </c>
      <c r="E3" s="4" t="s">
        <v>8</v>
      </c>
      <c r="F3" s="5" t="s">
        <v>8</v>
      </c>
      <c r="G3" s="6" t="s">
        <v>7</v>
      </c>
      <c r="H3" s="11"/>
      <c r="J3" s="21" t="s">
        <v>6</v>
      </c>
      <c r="K3" s="22" t="s">
        <v>18</v>
      </c>
      <c r="L3" s="12" t="s">
        <v>8</v>
      </c>
      <c r="M3">
        <v>35</v>
      </c>
      <c r="O3" s="28">
        <v>0</v>
      </c>
      <c r="P3" s="24">
        <v>2</v>
      </c>
      <c r="R3" s="32" t="s">
        <v>3870</v>
      </c>
    </row>
    <row r="4" spans="1:18" ht="42" customHeight="1" x14ac:dyDescent="0.25">
      <c r="A4" s="13" t="s">
        <v>15</v>
      </c>
      <c r="B4" s="14" t="s">
        <v>16</v>
      </c>
      <c r="C4" s="12" t="s">
        <v>17</v>
      </c>
      <c r="E4" s="7" t="s">
        <v>8</v>
      </c>
      <c r="F4" s="8" t="s">
        <v>7</v>
      </c>
      <c r="G4" s="9" t="s">
        <v>8</v>
      </c>
      <c r="H4" s="9"/>
      <c r="J4" s="33" t="s">
        <v>3880</v>
      </c>
      <c r="K4" s="33"/>
      <c r="L4" s="33"/>
      <c r="M4">
        <v>1</v>
      </c>
      <c r="O4" s="26"/>
    </row>
    <row r="5" spans="1:18" x14ac:dyDescent="0.25">
      <c r="J5" s="10"/>
      <c r="O5" s="26"/>
    </row>
    <row r="6" spans="1:18" x14ac:dyDescent="0.25">
      <c r="I6" t="s">
        <v>1</v>
      </c>
      <c r="J6" t="s">
        <v>4</v>
      </c>
      <c r="K6" s="22" t="s">
        <v>0</v>
      </c>
      <c r="L6" t="s">
        <v>2</v>
      </c>
      <c r="M6" t="s">
        <v>3</v>
      </c>
      <c r="N6" t="s">
        <v>322</v>
      </c>
    </row>
    <row r="7" spans="1:18" x14ac:dyDescent="0.25">
      <c r="J7" t="s">
        <v>19</v>
      </c>
      <c r="K7" s="22" t="s">
        <v>24</v>
      </c>
      <c r="L7">
        <v>489</v>
      </c>
      <c r="M7">
        <v>344</v>
      </c>
      <c r="O7" s="31"/>
    </row>
    <row r="8" spans="1:18" x14ac:dyDescent="0.25">
      <c r="J8" t="s">
        <v>19</v>
      </c>
      <c r="K8" s="22" t="s">
        <v>26</v>
      </c>
      <c r="L8">
        <v>436</v>
      </c>
      <c r="M8">
        <v>256</v>
      </c>
      <c r="O8" s="31"/>
    </row>
    <row r="9" spans="1:18" x14ac:dyDescent="0.25">
      <c r="J9" t="s">
        <v>19</v>
      </c>
      <c r="K9" s="22" t="s">
        <v>20</v>
      </c>
      <c r="L9">
        <v>473</v>
      </c>
      <c r="M9">
        <v>320</v>
      </c>
      <c r="O9" s="31"/>
    </row>
    <row r="10" spans="1:18" x14ac:dyDescent="0.25">
      <c r="J10" t="s">
        <v>19</v>
      </c>
      <c r="K10" s="22" t="s">
        <v>30</v>
      </c>
      <c r="L10">
        <v>444</v>
      </c>
      <c r="M10">
        <v>278</v>
      </c>
      <c r="O10" s="31"/>
    </row>
    <row r="11" spans="1:18" x14ac:dyDescent="0.25">
      <c r="J11" t="s">
        <v>19</v>
      </c>
      <c r="K11" s="22" t="s">
        <v>29</v>
      </c>
      <c r="L11">
        <v>620</v>
      </c>
      <c r="M11">
        <v>486</v>
      </c>
      <c r="O11" s="29"/>
    </row>
    <row r="12" spans="1:18" x14ac:dyDescent="0.25">
      <c r="J12" t="s">
        <v>19</v>
      </c>
      <c r="K12" s="22" t="s">
        <v>28</v>
      </c>
      <c r="L12">
        <v>459</v>
      </c>
      <c r="M12">
        <v>287</v>
      </c>
      <c r="O12" s="31"/>
    </row>
    <row r="13" spans="1:18" x14ac:dyDescent="0.25">
      <c r="J13" t="s">
        <v>19</v>
      </c>
      <c r="K13" s="22" t="s">
        <v>22</v>
      </c>
      <c r="L13">
        <v>492</v>
      </c>
      <c r="M13">
        <v>277</v>
      </c>
      <c r="O13" s="30"/>
    </row>
    <row r="14" spans="1:18" x14ac:dyDescent="0.25">
      <c r="J14" t="s">
        <v>19</v>
      </c>
      <c r="K14" s="22" t="s">
        <v>31</v>
      </c>
      <c r="L14">
        <v>478</v>
      </c>
      <c r="M14">
        <v>325</v>
      </c>
      <c r="O14" s="31"/>
    </row>
    <row r="15" spans="1:18" x14ac:dyDescent="0.25">
      <c r="J15" t="s">
        <v>19</v>
      </c>
      <c r="K15" s="22" t="s">
        <v>35</v>
      </c>
      <c r="L15">
        <v>114</v>
      </c>
      <c r="M15">
        <v>79</v>
      </c>
      <c r="O15" s="31"/>
    </row>
    <row r="16" spans="1:18" x14ac:dyDescent="0.25">
      <c r="J16" t="s">
        <v>66</v>
      </c>
      <c r="K16" s="22" t="s">
        <v>24</v>
      </c>
      <c r="L16">
        <v>59</v>
      </c>
      <c r="M16">
        <v>22</v>
      </c>
      <c r="O16" s="30"/>
    </row>
    <row r="17" spans="10:15" x14ac:dyDescent="0.25">
      <c r="J17" t="s">
        <v>66</v>
      </c>
      <c r="K17" s="22" t="s">
        <v>26</v>
      </c>
      <c r="L17">
        <v>70</v>
      </c>
      <c r="M17">
        <v>16</v>
      </c>
      <c r="O17" s="30"/>
    </row>
    <row r="18" spans="10:15" x14ac:dyDescent="0.25">
      <c r="J18" t="s">
        <v>66</v>
      </c>
      <c r="K18" s="22" t="s">
        <v>20</v>
      </c>
      <c r="L18">
        <v>45</v>
      </c>
      <c r="M18">
        <v>12</v>
      </c>
      <c r="O18" s="30"/>
    </row>
    <row r="19" spans="10:15" x14ac:dyDescent="0.25">
      <c r="J19" t="s">
        <v>66</v>
      </c>
      <c r="K19" s="22" t="s">
        <v>30</v>
      </c>
      <c r="L19">
        <v>85</v>
      </c>
      <c r="M19">
        <v>21</v>
      </c>
      <c r="O19" s="30"/>
    </row>
    <row r="20" spans="10:15" x14ac:dyDescent="0.25">
      <c r="J20" t="s">
        <v>66</v>
      </c>
      <c r="K20" s="22" t="s">
        <v>29</v>
      </c>
      <c r="L20">
        <v>86</v>
      </c>
      <c r="M20">
        <v>47</v>
      </c>
      <c r="O20" s="31"/>
    </row>
    <row r="21" spans="10:15" x14ac:dyDescent="0.25">
      <c r="J21" t="s">
        <v>66</v>
      </c>
      <c r="K21" s="22" t="s">
        <v>28</v>
      </c>
      <c r="L21">
        <v>39</v>
      </c>
      <c r="M21">
        <v>12</v>
      </c>
      <c r="O21" s="31"/>
    </row>
    <row r="22" spans="10:15" x14ac:dyDescent="0.25">
      <c r="J22" t="s">
        <v>66</v>
      </c>
      <c r="K22" s="22" t="s">
        <v>35</v>
      </c>
      <c r="L22">
        <v>42</v>
      </c>
      <c r="M22">
        <v>12</v>
      </c>
      <c r="O22" s="31"/>
    </row>
    <row r="23" spans="10:15" x14ac:dyDescent="0.25">
      <c r="J23" t="s">
        <v>66</v>
      </c>
      <c r="K23" s="22" t="s">
        <v>22</v>
      </c>
      <c r="L23">
        <v>52</v>
      </c>
      <c r="M23">
        <v>11</v>
      </c>
      <c r="O23" s="30"/>
    </row>
    <row r="24" spans="10:15" x14ac:dyDescent="0.25">
      <c r="J24" t="s">
        <v>367</v>
      </c>
      <c r="K24" s="22" t="s">
        <v>24</v>
      </c>
      <c r="L24">
        <v>9</v>
      </c>
      <c r="M24">
        <v>8</v>
      </c>
      <c r="O24" s="30"/>
    </row>
    <row r="25" spans="10:15" x14ac:dyDescent="0.25">
      <c r="J25" t="s">
        <v>367</v>
      </c>
      <c r="K25" s="22" t="s">
        <v>20</v>
      </c>
      <c r="L25">
        <v>15</v>
      </c>
      <c r="M25">
        <v>10</v>
      </c>
      <c r="O25" s="31"/>
    </row>
    <row r="26" spans="10:15" x14ac:dyDescent="0.25">
      <c r="J26" t="s">
        <v>367</v>
      </c>
      <c r="K26" s="22" t="s">
        <v>30</v>
      </c>
      <c r="L26">
        <v>18</v>
      </c>
      <c r="M26">
        <v>8</v>
      </c>
      <c r="O26" s="30"/>
    </row>
    <row r="27" spans="10:15" x14ac:dyDescent="0.25">
      <c r="J27" t="s">
        <v>367</v>
      </c>
      <c r="K27" s="22" t="s">
        <v>29</v>
      </c>
      <c r="L27">
        <v>11</v>
      </c>
      <c r="M27">
        <v>9</v>
      </c>
      <c r="O27" s="31"/>
    </row>
    <row r="28" spans="10:15" x14ac:dyDescent="0.25">
      <c r="J28" t="s">
        <v>38</v>
      </c>
      <c r="K28" s="22" t="s">
        <v>24</v>
      </c>
      <c r="L28">
        <v>69</v>
      </c>
      <c r="M28">
        <v>33</v>
      </c>
      <c r="O28" s="30"/>
    </row>
    <row r="29" spans="10:15" x14ac:dyDescent="0.25">
      <c r="J29" t="s">
        <v>38</v>
      </c>
      <c r="K29" s="22" t="s">
        <v>26</v>
      </c>
      <c r="L29">
        <v>38</v>
      </c>
      <c r="M29">
        <v>16</v>
      </c>
      <c r="O29" s="30"/>
    </row>
    <row r="30" spans="10:15" x14ac:dyDescent="0.25">
      <c r="J30" t="s">
        <v>38</v>
      </c>
      <c r="K30" s="22" t="s">
        <v>20</v>
      </c>
      <c r="L30">
        <v>58</v>
      </c>
      <c r="M30">
        <v>29</v>
      </c>
      <c r="O30" s="31"/>
    </row>
    <row r="31" spans="10:15" x14ac:dyDescent="0.25">
      <c r="J31" t="s">
        <v>38</v>
      </c>
      <c r="K31" s="22" t="s">
        <v>30</v>
      </c>
      <c r="L31">
        <v>59</v>
      </c>
      <c r="M31">
        <v>15</v>
      </c>
      <c r="O31" s="30"/>
    </row>
    <row r="32" spans="10:15" x14ac:dyDescent="0.25">
      <c r="J32" t="s">
        <v>38</v>
      </c>
      <c r="K32" s="22" t="s">
        <v>29</v>
      </c>
      <c r="L32">
        <v>73</v>
      </c>
      <c r="M32">
        <v>50</v>
      </c>
      <c r="O32" s="31"/>
    </row>
    <row r="33" spans="10:15" x14ac:dyDescent="0.25">
      <c r="J33" t="s">
        <v>38</v>
      </c>
      <c r="K33" s="22" t="s">
        <v>28</v>
      </c>
      <c r="L33">
        <v>79</v>
      </c>
      <c r="M33">
        <v>31</v>
      </c>
      <c r="O33" s="31"/>
    </row>
    <row r="34" spans="10:15" x14ac:dyDescent="0.25">
      <c r="J34" t="s">
        <v>38</v>
      </c>
      <c r="K34" s="22" t="s">
        <v>35</v>
      </c>
      <c r="L34">
        <v>55</v>
      </c>
      <c r="M34">
        <v>20</v>
      </c>
      <c r="O34" s="30"/>
    </row>
    <row r="35" spans="10:15" x14ac:dyDescent="0.25">
      <c r="J35" t="s">
        <v>38</v>
      </c>
      <c r="K35" s="22" t="s">
        <v>31</v>
      </c>
      <c r="L35">
        <v>61</v>
      </c>
      <c r="M35">
        <v>21</v>
      </c>
      <c r="O35" s="31"/>
    </row>
    <row r="36" spans="10:15" x14ac:dyDescent="0.25">
      <c r="J36" t="s">
        <v>343</v>
      </c>
      <c r="K36" s="22" t="s">
        <v>24</v>
      </c>
      <c r="L36">
        <v>3</v>
      </c>
      <c r="M36">
        <v>2</v>
      </c>
      <c r="O36" s="30"/>
    </row>
    <row r="37" spans="10:15" x14ac:dyDescent="0.25">
      <c r="J37" t="s">
        <v>343</v>
      </c>
      <c r="K37" s="22" t="s">
        <v>26</v>
      </c>
      <c r="L37">
        <v>13</v>
      </c>
      <c r="M37">
        <v>10</v>
      </c>
      <c r="O37" s="31"/>
    </row>
    <row r="38" spans="10:15" x14ac:dyDescent="0.25">
      <c r="J38" t="s">
        <v>343</v>
      </c>
      <c r="K38" s="22" t="s">
        <v>20</v>
      </c>
      <c r="L38">
        <v>12</v>
      </c>
      <c r="M38">
        <v>9</v>
      </c>
      <c r="O38" s="31"/>
    </row>
    <row r="39" spans="10:15" x14ac:dyDescent="0.25">
      <c r="J39" t="s">
        <v>343</v>
      </c>
      <c r="K39" s="22" t="s">
        <v>29</v>
      </c>
      <c r="L39">
        <v>4</v>
      </c>
      <c r="M39">
        <v>3</v>
      </c>
      <c r="O39" s="31"/>
    </row>
    <row r="40" spans="10:15" x14ac:dyDescent="0.25">
      <c r="J40" t="s">
        <v>343</v>
      </c>
      <c r="K40" s="22" t="s">
        <v>28</v>
      </c>
      <c r="L40">
        <v>15</v>
      </c>
      <c r="M40">
        <v>14</v>
      </c>
      <c r="O40" s="31"/>
    </row>
    <row r="41" spans="10:15" x14ac:dyDescent="0.25">
      <c r="J41" t="s">
        <v>343</v>
      </c>
      <c r="K41" s="22" t="s">
        <v>35</v>
      </c>
      <c r="L41">
        <v>4</v>
      </c>
      <c r="M41">
        <v>3</v>
      </c>
      <c r="O41" s="31"/>
    </row>
    <row r="42" spans="10:15" x14ac:dyDescent="0.25">
      <c r="J42" t="s">
        <v>527</v>
      </c>
      <c r="K42" s="22" t="s">
        <v>24</v>
      </c>
      <c r="L42">
        <v>16</v>
      </c>
      <c r="M42">
        <v>15</v>
      </c>
      <c r="O42" s="31"/>
    </row>
    <row r="43" spans="10:15" x14ac:dyDescent="0.25">
      <c r="J43" t="s">
        <v>527</v>
      </c>
      <c r="K43" s="22" t="s">
        <v>26</v>
      </c>
      <c r="L43">
        <v>6</v>
      </c>
      <c r="M43">
        <v>1</v>
      </c>
      <c r="O43" s="30"/>
    </row>
    <row r="44" spans="10:15" x14ac:dyDescent="0.25">
      <c r="J44" t="s">
        <v>527</v>
      </c>
      <c r="K44" s="22" t="s">
        <v>20</v>
      </c>
      <c r="L44">
        <v>8</v>
      </c>
      <c r="M44">
        <v>6</v>
      </c>
      <c r="O44" s="30"/>
    </row>
    <row r="45" spans="10:15" x14ac:dyDescent="0.25">
      <c r="J45" t="s">
        <v>527</v>
      </c>
      <c r="K45" s="22" t="s">
        <v>30</v>
      </c>
      <c r="L45">
        <v>10</v>
      </c>
      <c r="M45">
        <v>5</v>
      </c>
      <c r="O45" s="31"/>
    </row>
    <row r="46" spans="10:15" x14ac:dyDescent="0.25">
      <c r="J46" t="s">
        <v>527</v>
      </c>
      <c r="K46" s="22" t="s">
        <v>29</v>
      </c>
      <c r="L46">
        <v>10</v>
      </c>
      <c r="M46">
        <v>7</v>
      </c>
      <c r="O46" s="31"/>
    </row>
    <row r="47" spans="10:15" x14ac:dyDescent="0.25">
      <c r="J47" t="s">
        <v>527</v>
      </c>
      <c r="K47" s="22" t="s">
        <v>28</v>
      </c>
      <c r="L47">
        <v>11</v>
      </c>
      <c r="M47">
        <v>7</v>
      </c>
      <c r="O47" s="31"/>
    </row>
    <row r="48" spans="10:15" x14ac:dyDescent="0.25">
      <c r="J48" t="s">
        <v>527</v>
      </c>
      <c r="K48" s="22" t="s">
        <v>22</v>
      </c>
      <c r="L48">
        <v>9</v>
      </c>
      <c r="M48">
        <v>5</v>
      </c>
      <c r="O48" s="31"/>
    </row>
    <row r="49" spans="10:15" x14ac:dyDescent="0.25">
      <c r="J49" t="s">
        <v>531</v>
      </c>
      <c r="K49" s="22" t="s">
        <v>24</v>
      </c>
      <c r="L49">
        <v>8</v>
      </c>
      <c r="M49">
        <v>8</v>
      </c>
      <c r="O49" s="31"/>
    </row>
    <row r="50" spans="10:15" x14ac:dyDescent="0.25">
      <c r="J50" t="s">
        <v>531</v>
      </c>
      <c r="K50" s="22" t="s">
        <v>30</v>
      </c>
      <c r="L50">
        <v>21</v>
      </c>
      <c r="M50">
        <v>18</v>
      </c>
      <c r="O50" s="31"/>
    </row>
    <row r="51" spans="10:15" x14ac:dyDescent="0.25">
      <c r="J51" t="s">
        <v>531</v>
      </c>
      <c r="K51" s="22" t="s">
        <v>29</v>
      </c>
      <c r="L51">
        <v>12</v>
      </c>
      <c r="M51">
        <v>11</v>
      </c>
      <c r="O51" s="30"/>
    </row>
    <row r="52" spans="10:15" x14ac:dyDescent="0.25">
      <c r="J52" t="s">
        <v>531</v>
      </c>
      <c r="K52" s="22" t="s">
        <v>28</v>
      </c>
      <c r="L52">
        <v>12</v>
      </c>
      <c r="M52">
        <v>5</v>
      </c>
      <c r="O52" s="31"/>
    </row>
    <row r="53" spans="10:15" x14ac:dyDescent="0.25">
      <c r="J53" t="s">
        <v>1448</v>
      </c>
      <c r="K53" s="22" t="s">
        <v>24</v>
      </c>
      <c r="L53">
        <v>3</v>
      </c>
      <c r="M53">
        <v>2</v>
      </c>
    </row>
    <row r="54" spans="10:15" x14ac:dyDescent="0.25">
      <c r="J54" t="s">
        <v>1448</v>
      </c>
      <c r="K54" s="22" t="s">
        <v>20</v>
      </c>
      <c r="L54">
        <v>5</v>
      </c>
      <c r="M54">
        <v>5</v>
      </c>
      <c r="O54" s="31"/>
    </row>
    <row r="55" spans="10:15" x14ac:dyDescent="0.25">
      <c r="J55" t="s">
        <v>70</v>
      </c>
      <c r="K55" s="22" t="s">
        <v>24</v>
      </c>
      <c r="L55">
        <v>50</v>
      </c>
      <c r="M55">
        <v>20</v>
      </c>
      <c r="O55" s="30"/>
    </row>
    <row r="56" spans="10:15" x14ac:dyDescent="0.25">
      <c r="J56" t="s">
        <v>70</v>
      </c>
      <c r="K56" s="22" t="s">
        <v>26</v>
      </c>
      <c r="L56">
        <v>55</v>
      </c>
      <c r="M56">
        <v>15</v>
      </c>
      <c r="O56" s="30"/>
    </row>
    <row r="57" spans="10:15" x14ac:dyDescent="0.25">
      <c r="J57" t="s">
        <v>70</v>
      </c>
      <c r="K57" s="22" t="s">
        <v>20</v>
      </c>
      <c r="L57">
        <v>39</v>
      </c>
      <c r="M57">
        <v>9</v>
      </c>
      <c r="N57" t="b">
        <v>1</v>
      </c>
      <c r="O57" s="30"/>
    </row>
    <row r="58" spans="10:15" x14ac:dyDescent="0.25">
      <c r="J58" t="s">
        <v>70</v>
      </c>
      <c r="K58" s="22" t="s">
        <v>30</v>
      </c>
      <c r="L58">
        <v>37</v>
      </c>
      <c r="M58">
        <v>12</v>
      </c>
      <c r="O58" s="30"/>
    </row>
    <row r="59" spans="10:15" x14ac:dyDescent="0.25">
      <c r="J59" t="s">
        <v>70</v>
      </c>
      <c r="K59" s="22" t="s">
        <v>29</v>
      </c>
      <c r="L59">
        <v>68</v>
      </c>
      <c r="M59">
        <v>35</v>
      </c>
      <c r="O59" s="31"/>
    </row>
    <row r="60" spans="10:15" x14ac:dyDescent="0.25">
      <c r="J60" t="s">
        <v>70</v>
      </c>
      <c r="K60" s="22" t="s">
        <v>28</v>
      </c>
      <c r="L60">
        <v>55</v>
      </c>
      <c r="M60">
        <v>12</v>
      </c>
      <c r="O60" s="30"/>
    </row>
    <row r="61" spans="10:15" x14ac:dyDescent="0.25">
      <c r="J61" t="s">
        <v>70</v>
      </c>
      <c r="K61" s="22" t="s">
        <v>22</v>
      </c>
      <c r="L61">
        <v>58</v>
      </c>
      <c r="M61">
        <v>14</v>
      </c>
      <c r="O61" s="30"/>
    </row>
    <row r="62" spans="10:15" x14ac:dyDescent="0.25">
      <c r="J62" t="s">
        <v>70</v>
      </c>
      <c r="K62" s="22" t="s">
        <v>31</v>
      </c>
      <c r="L62">
        <v>70</v>
      </c>
      <c r="M62">
        <v>24</v>
      </c>
      <c r="O62" s="30"/>
    </row>
    <row r="63" spans="10:15" x14ac:dyDescent="0.25">
      <c r="J63" t="s">
        <v>281</v>
      </c>
      <c r="K63" s="22" t="s">
        <v>26</v>
      </c>
      <c r="L63">
        <v>7</v>
      </c>
      <c r="M63">
        <v>3</v>
      </c>
      <c r="O63" s="31"/>
    </row>
    <row r="64" spans="10:15" x14ac:dyDescent="0.25">
      <c r="J64" t="s">
        <v>281</v>
      </c>
      <c r="K64" s="22" t="s">
        <v>20</v>
      </c>
      <c r="L64">
        <v>11</v>
      </c>
      <c r="M64">
        <v>11</v>
      </c>
      <c r="O64" s="31"/>
    </row>
    <row r="65" spans="10:15" x14ac:dyDescent="0.25">
      <c r="J65" t="s">
        <v>281</v>
      </c>
      <c r="K65" s="22" t="s">
        <v>29</v>
      </c>
      <c r="L65">
        <v>10</v>
      </c>
      <c r="M65">
        <v>7</v>
      </c>
      <c r="O65" s="31"/>
    </row>
    <row r="66" spans="10:15" x14ac:dyDescent="0.25">
      <c r="J66" t="s">
        <v>281</v>
      </c>
      <c r="K66" s="22" t="s">
        <v>28</v>
      </c>
      <c r="L66">
        <v>11</v>
      </c>
      <c r="M66">
        <v>8</v>
      </c>
      <c r="O66" s="31"/>
    </row>
    <row r="67" spans="10:15" x14ac:dyDescent="0.25">
      <c r="J67" t="s">
        <v>363</v>
      </c>
      <c r="K67" s="22" t="s">
        <v>24</v>
      </c>
      <c r="L67">
        <v>9</v>
      </c>
      <c r="M67">
        <v>6</v>
      </c>
      <c r="O67" s="31"/>
    </row>
    <row r="68" spans="10:15" x14ac:dyDescent="0.25">
      <c r="J68" t="s">
        <v>363</v>
      </c>
      <c r="K68" s="22" t="s">
        <v>26</v>
      </c>
      <c r="L68">
        <v>9</v>
      </c>
      <c r="M68">
        <v>5</v>
      </c>
      <c r="O68" s="31"/>
    </row>
    <row r="69" spans="10:15" x14ac:dyDescent="0.25">
      <c r="J69" t="s">
        <v>363</v>
      </c>
      <c r="K69" s="22" t="s">
        <v>20</v>
      </c>
      <c r="L69">
        <v>8</v>
      </c>
      <c r="M69">
        <v>4</v>
      </c>
      <c r="O69" s="31"/>
    </row>
    <row r="70" spans="10:15" x14ac:dyDescent="0.25">
      <c r="J70" t="s">
        <v>363</v>
      </c>
      <c r="K70" s="22" t="s">
        <v>30</v>
      </c>
      <c r="L70">
        <v>3</v>
      </c>
      <c r="M70">
        <v>2</v>
      </c>
    </row>
    <row r="71" spans="10:15" x14ac:dyDescent="0.25">
      <c r="J71" t="s">
        <v>363</v>
      </c>
      <c r="K71" s="22" t="s">
        <v>29</v>
      </c>
      <c r="L71">
        <v>12</v>
      </c>
      <c r="M71">
        <v>12</v>
      </c>
      <c r="O71" s="31"/>
    </row>
    <row r="72" spans="10:15" x14ac:dyDescent="0.25">
      <c r="J72" t="s">
        <v>363</v>
      </c>
      <c r="K72" s="22" t="s">
        <v>28</v>
      </c>
      <c r="L72">
        <v>5</v>
      </c>
      <c r="M72">
        <v>4</v>
      </c>
      <c r="O72" s="31"/>
    </row>
    <row r="73" spans="10:15" x14ac:dyDescent="0.25">
      <c r="J73" t="s">
        <v>363</v>
      </c>
      <c r="K73" s="22" t="s">
        <v>31</v>
      </c>
      <c r="L73">
        <v>9</v>
      </c>
      <c r="M73">
        <v>2</v>
      </c>
      <c r="O73" s="31"/>
    </row>
    <row r="74" spans="10:15" x14ac:dyDescent="0.25">
      <c r="J74" t="s">
        <v>3164</v>
      </c>
      <c r="K74" s="22" t="s">
        <v>30</v>
      </c>
      <c r="L74">
        <v>1</v>
      </c>
      <c r="O74" s="30"/>
    </row>
    <row r="75" spans="10:15" x14ac:dyDescent="0.25">
      <c r="J75" t="s">
        <v>1536</v>
      </c>
      <c r="K75" s="22" t="s">
        <v>26</v>
      </c>
      <c r="L75">
        <v>3</v>
      </c>
      <c r="M75">
        <v>1</v>
      </c>
      <c r="O75" s="30"/>
    </row>
    <row r="76" spans="10:15" x14ac:dyDescent="0.25">
      <c r="J76" t="s">
        <v>1536</v>
      </c>
      <c r="K76" s="22" t="s">
        <v>30</v>
      </c>
      <c r="L76">
        <v>3</v>
      </c>
      <c r="O76" s="30"/>
    </row>
    <row r="77" spans="10:15" x14ac:dyDescent="0.25">
      <c r="J77" t="s">
        <v>1536</v>
      </c>
      <c r="K77" s="22" t="s">
        <v>28</v>
      </c>
      <c r="L77">
        <v>4</v>
      </c>
      <c r="M77">
        <v>4</v>
      </c>
      <c r="O77" s="31"/>
    </row>
    <row r="78" spans="10:15" x14ac:dyDescent="0.25">
      <c r="J78" t="s">
        <v>662</v>
      </c>
      <c r="K78" s="22" t="s">
        <v>24</v>
      </c>
      <c r="L78">
        <v>4</v>
      </c>
      <c r="M78">
        <v>4</v>
      </c>
      <c r="O78" s="31"/>
    </row>
    <row r="79" spans="10:15" x14ac:dyDescent="0.25">
      <c r="J79" t="s">
        <v>662</v>
      </c>
      <c r="K79" s="22" t="s">
        <v>26</v>
      </c>
      <c r="L79">
        <v>5</v>
      </c>
      <c r="M79">
        <v>2</v>
      </c>
      <c r="O79" s="30"/>
    </row>
    <row r="80" spans="10:15" x14ac:dyDescent="0.25">
      <c r="J80" t="s">
        <v>662</v>
      </c>
      <c r="K80" s="22" t="s">
        <v>20</v>
      </c>
      <c r="L80">
        <v>8</v>
      </c>
      <c r="M80">
        <v>1</v>
      </c>
      <c r="O80" s="30"/>
    </row>
    <row r="81" spans="10:15" x14ac:dyDescent="0.25">
      <c r="J81" t="s">
        <v>662</v>
      </c>
      <c r="K81" s="22" t="s">
        <v>29</v>
      </c>
      <c r="L81">
        <v>12</v>
      </c>
      <c r="M81">
        <v>11</v>
      </c>
      <c r="O81" s="31"/>
    </row>
    <row r="82" spans="10:15" x14ac:dyDescent="0.25">
      <c r="J82" t="s">
        <v>662</v>
      </c>
      <c r="K82" s="22" t="s">
        <v>35</v>
      </c>
      <c r="L82">
        <v>5</v>
      </c>
      <c r="M82">
        <v>3</v>
      </c>
      <c r="O82" s="31"/>
    </row>
    <row r="83" spans="10:15" x14ac:dyDescent="0.25">
      <c r="J83" t="s">
        <v>662</v>
      </c>
      <c r="K83" s="22" t="s">
        <v>22</v>
      </c>
      <c r="L83">
        <v>8</v>
      </c>
      <c r="M83">
        <v>5</v>
      </c>
      <c r="O83" s="31"/>
    </row>
    <row r="84" spans="10:15" x14ac:dyDescent="0.25">
      <c r="J84" t="s">
        <v>479</v>
      </c>
      <c r="K84" s="22" t="s">
        <v>24</v>
      </c>
      <c r="L84">
        <v>5</v>
      </c>
      <c r="M84">
        <v>2</v>
      </c>
      <c r="O84" s="31"/>
    </row>
    <row r="85" spans="10:15" x14ac:dyDescent="0.25">
      <c r="J85" t="s">
        <v>479</v>
      </c>
      <c r="K85" s="22" t="s">
        <v>26</v>
      </c>
      <c r="L85">
        <v>6</v>
      </c>
      <c r="M85">
        <v>4</v>
      </c>
      <c r="O85" s="30"/>
    </row>
    <row r="86" spans="10:15" x14ac:dyDescent="0.25">
      <c r="J86" t="s">
        <v>479</v>
      </c>
      <c r="K86" s="22" t="s">
        <v>20</v>
      </c>
      <c r="L86">
        <v>11</v>
      </c>
      <c r="M86">
        <v>8</v>
      </c>
      <c r="O86" s="31"/>
    </row>
    <row r="87" spans="10:15" x14ac:dyDescent="0.25">
      <c r="J87" t="s">
        <v>479</v>
      </c>
      <c r="K87" s="22" t="s">
        <v>30</v>
      </c>
      <c r="L87">
        <v>13</v>
      </c>
      <c r="M87">
        <v>7</v>
      </c>
      <c r="O87" s="30"/>
    </row>
    <row r="88" spans="10:15" x14ac:dyDescent="0.25">
      <c r="J88" t="s">
        <v>479</v>
      </c>
      <c r="K88" s="22" t="s">
        <v>29</v>
      </c>
      <c r="L88">
        <v>18</v>
      </c>
      <c r="M88">
        <v>15</v>
      </c>
      <c r="O88" s="31"/>
    </row>
    <row r="89" spans="10:15" x14ac:dyDescent="0.25">
      <c r="J89" t="s">
        <v>479</v>
      </c>
      <c r="K89" s="22" t="s">
        <v>35</v>
      </c>
      <c r="L89">
        <v>7</v>
      </c>
      <c r="M89">
        <v>4</v>
      </c>
      <c r="O89" s="31"/>
    </row>
    <row r="90" spans="10:15" x14ac:dyDescent="0.25">
      <c r="J90" t="s">
        <v>479</v>
      </c>
      <c r="K90" s="22" t="s">
        <v>31</v>
      </c>
      <c r="L90">
        <v>9</v>
      </c>
      <c r="M90">
        <v>5</v>
      </c>
      <c r="O90" s="30"/>
    </row>
    <row r="91" spans="10:15" x14ac:dyDescent="0.25">
      <c r="J91" t="s">
        <v>440</v>
      </c>
      <c r="K91" s="22" t="s">
        <v>24</v>
      </c>
      <c r="L91">
        <v>4</v>
      </c>
      <c r="M91">
        <v>2</v>
      </c>
      <c r="O91" s="30"/>
    </row>
    <row r="92" spans="10:15" x14ac:dyDescent="0.25">
      <c r="J92" t="s">
        <v>440</v>
      </c>
      <c r="K92" s="22" t="s">
        <v>26</v>
      </c>
      <c r="L92">
        <v>2</v>
      </c>
    </row>
    <row r="93" spans="10:15" x14ac:dyDescent="0.25">
      <c r="J93" t="s">
        <v>440</v>
      </c>
      <c r="K93" s="22" t="s">
        <v>20</v>
      </c>
      <c r="L93">
        <v>4</v>
      </c>
      <c r="O93" s="30"/>
    </row>
    <row r="94" spans="10:15" x14ac:dyDescent="0.25">
      <c r="J94" t="s">
        <v>440</v>
      </c>
      <c r="K94" s="22" t="s">
        <v>30</v>
      </c>
      <c r="L94">
        <v>8</v>
      </c>
      <c r="M94">
        <v>2</v>
      </c>
      <c r="O94" s="30"/>
    </row>
    <row r="95" spans="10:15" x14ac:dyDescent="0.25">
      <c r="J95" t="s">
        <v>440</v>
      </c>
      <c r="K95" s="22" t="s">
        <v>29</v>
      </c>
      <c r="L95">
        <v>3</v>
      </c>
    </row>
    <row r="96" spans="10:15" x14ac:dyDescent="0.25">
      <c r="J96" t="s">
        <v>440</v>
      </c>
      <c r="K96" s="22" t="s">
        <v>35</v>
      </c>
      <c r="L96">
        <v>3</v>
      </c>
      <c r="M96">
        <v>2</v>
      </c>
      <c r="O96" s="31"/>
    </row>
    <row r="97" spans="10:15" x14ac:dyDescent="0.25">
      <c r="J97" t="s">
        <v>2903</v>
      </c>
      <c r="K97" s="22" t="s">
        <v>20</v>
      </c>
      <c r="L97">
        <v>3</v>
      </c>
      <c r="O97" s="30"/>
    </row>
    <row r="98" spans="10:15" x14ac:dyDescent="0.25">
      <c r="J98" t="s">
        <v>2903</v>
      </c>
      <c r="K98" s="22" t="s">
        <v>30</v>
      </c>
      <c r="L98">
        <v>3</v>
      </c>
      <c r="M98">
        <v>3</v>
      </c>
      <c r="O98" s="31"/>
    </row>
    <row r="99" spans="10:15" x14ac:dyDescent="0.25">
      <c r="J99" t="s">
        <v>478</v>
      </c>
      <c r="K99" s="22" t="s">
        <v>24</v>
      </c>
      <c r="L99">
        <v>6</v>
      </c>
      <c r="M99">
        <v>6</v>
      </c>
      <c r="O99" s="31"/>
    </row>
    <row r="100" spans="10:15" x14ac:dyDescent="0.25">
      <c r="J100" t="s">
        <v>478</v>
      </c>
      <c r="K100" s="22" t="s">
        <v>26</v>
      </c>
      <c r="L100">
        <v>6</v>
      </c>
      <c r="M100">
        <v>1</v>
      </c>
      <c r="O100" s="30"/>
    </row>
    <row r="101" spans="10:15" x14ac:dyDescent="0.25">
      <c r="J101" t="s">
        <v>478</v>
      </c>
      <c r="K101" s="22" t="s">
        <v>20</v>
      </c>
      <c r="L101">
        <v>10</v>
      </c>
      <c r="M101">
        <v>4</v>
      </c>
      <c r="O101" s="30"/>
    </row>
    <row r="102" spans="10:15" x14ac:dyDescent="0.25">
      <c r="J102" t="s">
        <v>478</v>
      </c>
      <c r="K102" s="22" t="s">
        <v>30</v>
      </c>
      <c r="L102">
        <v>9</v>
      </c>
      <c r="M102">
        <v>5</v>
      </c>
      <c r="O102" s="31"/>
    </row>
    <row r="103" spans="10:15" x14ac:dyDescent="0.25">
      <c r="J103" t="s">
        <v>478</v>
      </c>
      <c r="K103" s="22" t="s">
        <v>29</v>
      </c>
      <c r="L103">
        <v>13</v>
      </c>
      <c r="M103">
        <v>11</v>
      </c>
      <c r="O103" s="31"/>
    </row>
    <row r="104" spans="10:15" x14ac:dyDescent="0.25">
      <c r="J104" t="s">
        <v>436</v>
      </c>
      <c r="K104" s="22" t="s">
        <v>24</v>
      </c>
      <c r="L104">
        <v>1</v>
      </c>
      <c r="O104" s="30"/>
    </row>
    <row r="105" spans="10:15" x14ac:dyDescent="0.25">
      <c r="J105" t="s">
        <v>436</v>
      </c>
      <c r="K105" s="22" t="s">
        <v>26</v>
      </c>
      <c r="L105">
        <v>1</v>
      </c>
      <c r="O105" s="30"/>
    </row>
    <row r="106" spans="10:15" x14ac:dyDescent="0.25">
      <c r="J106" t="s">
        <v>436</v>
      </c>
      <c r="K106" s="22" t="s">
        <v>20</v>
      </c>
      <c r="L106">
        <v>2</v>
      </c>
      <c r="O106" s="30"/>
    </row>
    <row r="107" spans="10:15" x14ac:dyDescent="0.25">
      <c r="J107" t="s">
        <v>436</v>
      </c>
      <c r="K107" s="22" t="s">
        <v>30</v>
      </c>
      <c r="L107">
        <v>4</v>
      </c>
      <c r="O107" s="30"/>
    </row>
    <row r="108" spans="10:15" x14ac:dyDescent="0.25">
      <c r="J108" t="s">
        <v>436</v>
      </c>
      <c r="K108" s="22" t="s">
        <v>29</v>
      </c>
      <c r="L108">
        <v>3</v>
      </c>
      <c r="O108" s="30"/>
    </row>
    <row r="109" spans="10:15" x14ac:dyDescent="0.25">
      <c r="J109" t="s">
        <v>436</v>
      </c>
      <c r="K109" s="22" t="s">
        <v>22</v>
      </c>
      <c r="L109">
        <v>6</v>
      </c>
      <c r="M109">
        <v>2</v>
      </c>
      <c r="O109" s="31"/>
    </row>
    <row r="110" spans="10:15" x14ac:dyDescent="0.25">
      <c r="J110" t="s">
        <v>664</v>
      </c>
      <c r="K110" s="22" t="s">
        <v>24</v>
      </c>
      <c r="L110">
        <v>2</v>
      </c>
      <c r="M110">
        <v>2</v>
      </c>
      <c r="O110" s="31"/>
    </row>
    <row r="111" spans="10:15" x14ac:dyDescent="0.25">
      <c r="J111" t="s">
        <v>1836</v>
      </c>
      <c r="K111" s="22" t="s">
        <v>24</v>
      </c>
      <c r="L111">
        <v>8</v>
      </c>
      <c r="M111">
        <v>4</v>
      </c>
      <c r="O111" s="30"/>
    </row>
    <row r="112" spans="10:15" x14ac:dyDescent="0.25">
      <c r="J112" t="s">
        <v>1836</v>
      </c>
      <c r="K112" s="22" t="s">
        <v>26</v>
      </c>
      <c r="L112">
        <v>4</v>
      </c>
      <c r="O112" s="30"/>
    </row>
    <row r="113" spans="10:15" x14ac:dyDescent="0.25">
      <c r="J113" t="s">
        <v>1836</v>
      </c>
      <c r="K113" s="22" t="s">
        <v>20</v>
      </c>
      <c r="L113">
        <v>3</v>
      </c>
      <c r="M113">
        <v>2</v>
      </c>
      <c r="O113" s="31"/>
    </row>
    <row r="114" spans="10:15" x14ac:dyDescent="0.25">
      <c r="J114" t="s">
        <v>1836</v>
      </c>
      <c r="K114" s="22" t="s">
        <v>30</v>
      </c>
      <c r="L114">
        <v>1</v>
      </c>
      <c r="O114" s="30"/>
    </row>
    <row r="115" spans="10:15" x14ac:dyDescent="0.25">
      <c r="J115" t="s">
        <v>1836</v>
      </c>
      <c r="K115" s="22" t="s">
        <v>29</v>
      </c>
      <c r="L115">
        <v>1</v>
      </c>
      <c r="O115" s="30"/>
    </row>
    <row r="116" spans="10:15" x14ac:dyDescent="0.25">
      <c r="J116" t="s">
        <v>1836</v>
      </c>
      <c r="K116" s="22" t="s">
        <v>31</v>
      </c>
      <c r="L116">
        <v>2</v>
      </c>
      <c r="M116">
        <v>1</v>
      </c>
      <c r="O116" s="31"/>
    </row>
    <row r="117" spans="10:15" x14ac:dyDescent="0.25">
      <c r="J117" t="s">
        <v>1529</v>
      </c>
      <c r="K117" s="22" t="s">
        <v>29</v>
      </c>
      <c r="L117">
        <v>8</v>
      </c>
      <c r="M117">
        <v>8</v>
      </c>
      <c r="O117" s="31"/>
    </row>
    <row r="118" spans="10:15" x14ac:dyDescent="0.25">
      <c r="J118" t="s">
        <v>45</v>
      </c>
      <c r="K118" s="22" t="s">
        <v>24</v>
      </c>
      <c r="L118">
        <v>60</v>
      </c>
      <c r="M118">
        <v>12</v>
      </c>
      <c r="O118" s="31"/>
    </row>
    <row r="119" spans="10:15" x14ac:dyDescent="0.25">
      <c r="J119" t="s">
        <v>45</v>
      </c>
      <c r="K119" s="22" t="s">
        <v>26</v>
      </c>
      <c r="L119">
        <v>60</v>
      </c>
      <c r="M119">
        <v>23</v>
      </c>
      <c r="O119" s="30"/>
    </row>
    <row r="120" spans="10:15" x14ac:dyDescent="0.25">
      <c r="J120" t="s">
        <v>45</v>
      </c>
      <c r="K120" s="22" t="s">
        <v>20</v>
      </c>
      <c r="L120">
        <v>58</v>
      </c>
      <c r="M120">
        <v>27</v>
      </c>
      <c r="O120" s="30"/>
    </row>
    <row r="121" spans="10:15" x14ac:dyDescent="0.25">
      <c r="J121" t="s">
        <v>45</v>
      </c>
      <c r="K121" s="22" t="s">
        <v>30</v>
      </c>
      <c r="L121">
        <v>54</v>
      </c>
      <c r="M121">
        <v>14</v>
      </c>
      <c r="O121" s="30"/>
    </row>
    <row r="122" spans="10:15" x14ac:dyDescent="0.25">
      <c r="J122" t="s">
        <v>45</v>
      </c>
      <c r="K122" s="22" t="s">
        <v>29</v>
      </c>
      <c r="L122">
        <v>65</v>
      </c>
      <c r="M122">
        <v>34</v>
      </c>
      <c r="O122" s="31"/>
    </row>
    <row r="123" spans="10:15" x14ac:dyDescent="0.25">
      <c r="J123" t="s">
        <v>45</v>
      </c>
      <c r="K123" s="22" t="s">
        <v>35</v>
      </c>
      <c r="L123">
        <v>47</v>
      </c>
      <c r="M123">
        <v>19</v>
      </c>
      <c r="O123" s="30"/>
    </row>
    <row r="124" spans="10:15" x14ac:dyDescent="0.25">
      <c r="J124" t="s">
        <v>45</v>
      </c>
      <c r="K124" s="22" t="s">
        <v>22</v>
      </c>
      <c r="L124">
        <v>69</v>
      </c>
      <c r="M124">
        <v>24</v>
      </c>
      <c r="O124" s="30"/>
    </row>
    <row r="125" spans="10:15" x14ac:dyDescent="0.25">
      <c r="J125" t="s">
        <v>45</v>
      </c>
      <c r="K125" s="22" t="s">
        <v>31</v>
      </c>
      <c r="L125">
        <v>46</v>
      </c>
      <c r="M125">
        <v>19</v>
      </c>
      <c r="O125" s="30"/>
    </row>
    <row r="126" spans="10:15" x14ac:dyDescent="0.25">
      <c r="J126" t="s">
        <v>261</v>
      </c>
      <c r="K126" s="22" t="s">
        <v>24</v>
      </c>
      <c r="L126">
        <v>7</v>
      </c>
      <c r="M126">
        <v>5</v>
      </c>
      <c r="O126" s="31"/>
    </row>
    <row r="127" spans="10:15" x14ac:dyDescent="0.25">
      <c r="J127" t="s">
        <v>261</v>
      </c>
      <c r="K127" s="22" t="s">
        <v>26</v>
      </c>
      <c r="L127">
        <v>4</v>
      </c>
      <c r="O127" s="30"/>
    </row>
    <row r="128" spans="10:15" x14ac:dyDescent="0.25">
      <c r="J128" t="s">
        <v>261</v>
      </c>
      <c r="K128" s="22" t="s">
        <v>20</v>
      </c>
      <c r="L128">
        <v>2</v>
      </c>
      <c r="O128" s="30"/>
    </row>
    <row r="129" spans="10:15" x14ac:dyDescent="0.25">
      <c r="J129" t="s">
        <v>261</v>
      </c>
      <c r="K129" s="22" t="s">
        <v>30</v>
      </c>
      <c r="L129">
        <v>3</v>
      </c>
      <c r="M129">
        <v>3</v>
      </c>
      <c r="O129" s="31"/>
    </row>
    <row r="130" spans="10:15" x14ac:dyDescent="0.25">
      <c r="J130" t="s">
        <v>261</v>
      </c>
      <c r="K130" s="22" t="s">
        <v>29</v>
      </c>
      <c r="L130">
        <v>7</v>
      </c>
      <c r="M130">
        <v>6</v>
      </c>
      <c r="O130" s="31"/>
    </row>
    <row r="131" spans="10:15" x14ac:dyDescent="0.25">
      <c r="J131" t="s">
        <v>261</v>
      </c>
      <c r="K131" s="22" t="s">
        <v>22</v>
      </c>
      <c r="L131">
        <v>11</v>
      </c>
      <c r="M131">
        <v>9</v>
      </c>
      <c r="O131" s="31"/>
    </row>
    <row r="132" spans="10:15" x14ac:dyDescent="0.25">
      <c r="J132" t="s">
        <v>357</v>
      </c>
      <c r="K132" s="22" t="s">
        <v>24</v>
      </c>
      <c r="L132">
        <v>10</v>
      </c>
      <c r="M132">
        <v>3</v>
      </c>
      <c r="O132" s="30"/>
    </row>
    <row r="133" spans="10:15" x14ac:dyDescent="0.25">
      <c r="J133" t="s">
        <v>357</v>
      </c>
      <c r="K133" s="22" t="s">
        <v>26</v>
      </c>
      <c r="L133">
        <v>12</v>
      </c>
      <c r="M133">
        <v>8</v>
      </c>
      <c r="O133" s="31"/>
    </row>
    <row r="134" spans="10:15" x14ac:dyDescent="0.25">
      <c r="J134" t="s">
        <v>357</v>
      </c>
      <c r="K134" s="22" t="s">
        <v>20</v>
      </c>
      <c r="L134">
        <v>24</v>
      </c>
      <c r="M134">
        <v>18</v>
      </c>
      <c r="O134" s="31"/>
    </row>
    <row r="135" spans="10:15" x14ac:dyDescent="0.25">
      <c r="J135" t="s">
        <v>357</v>
      </c>
      <c r="K135" s="22" t="s">
        <v>30</v>
      </c>
      <c r="L135">
        <v>5</v>
      </c>
      <c r="M135">
        <v>3</v>
      </c>
      <c r="O135" s="30"/>
    </row>
    <row r="136" spans="10:15" x14ac:dyDescent="0.25">
      <c r="J136" t="s">
        <v>357</v>
      </c>
      <c r="K136" s="22" t="s">
        <v>29</v>
      </c>
      <c r="L136">
        <v>6</v>
      </c>
      <c r="M136">
        <v>2</v>
      </c>
      <c r="O136" s="31"/>
    </row>
    <row r="137" spans="10:15" x14ac:dyDescent="0.25">
      <c r="J137" t="s">
        <v>357</v>
      </c>
      <c r="K137" s="22" t="s">
        <v>35</v>
      </c>
      <c r="L137">
        <v>9</v>
      </c>
      <c r="M137">
        <v>5</v>
      </c>
      <c r="O137" s="30"/>
    </row>
    <row r="138" spans="10:15" x14ac:dyDescent="0.25">
      <c r="J138" t="s">
        <v>357</v>
      </c>
      <c r="K138" s="22" t="s">
        <v>31</v>
      </c>
      <c r="L138">
        <v>13</v>
      </c>
      <c r="M138">
        <v>9</v>
      </c>
      <c r="O138" s="30"/>
    </row>
    <row r="139" spans="10:15" x14ac:dyDescent="0.25">
      <c r="J139" t="s">
        <v>1394</v>
      </c>
      <c r="K139" s="22" t="s">
        <v>24</v>
      </c>
      <c r="L139">
        <v>3</v>
      </c>
      <c r="O139" s="30"/>
    </row>
    <row r="140" spans="10:15" x14ac:dyDescent="0.25">
      <c r="J140" t="s">
        <v>1394</v>
      </c>
      <c r="K140" s="22" t="s">
        <v>26</v>
      </c>
      <c r="L140">
        <v>6</v>
      </c>
      <c r="M140">
        <v>2</v>
      </c>
      <c r="O140" s="30"/>
    </row>
    <row r="141" spans="10:15" x14ac:dyDescent="0.25">
      <c r="J141" t="s">
        <v>1394</v>
      </c>
      <c r="K141" s="22" t="s">
        <v>20</v>
      </c>
      <c r="L141">
        <v>3</v>
      </c>
      <c r="O141" s="30"/>
    </row>
    <row r="142" spans="10:15" x14ac:dyDescent="0.25">
      <c r="J142" t="s">
        <v>1394</v>
      </c>
      <c r="K142" s="22" t="s">
        <v>29</v>
      </c>
      <c r="L142">
        <v>5</v>
      </c>
      <c r="M142">
        <v>2</v>
      </c>
      <c r="O142" s="30"/>
    </row>
    <row r="143" spans="10:15" x14ac:dyDescent="0.25">
      <c r="J143" t="s">
        <v>1394</v>
      </c>
      <c r="K143" s="22" t="s">
        <v>35</v>
      </c>
      <c r="L143">
        <v>4</v>
      </c>
      <c r="O143" s="30"/>
    </row>
    <row r="144" spans="10:15" x14ac:dyDescent="0.25">
      <c r="J144" t="s">
        <v>663</v>
      </c>
      <c r="K144" s="22" t="s">
        <v>24</v>
      </c>
      <c r="L144">
        <v>2</v>
      </c>
      <c r="M144">
        <v>1</v>
      </c>
      <c r="O144" s="30"/>
    </row>
    <row r="145" spans="10:15" x14ac:dyDescent="0.25">
      <c r="J145" t="s">
        <v>663</v>
      </c>
      <c r="K145" s="22" t="s">
        <v>30</v>
      </c>
      <c r="L145">
        <v>5</v>
      </c>
      <c r="M145">
        <v>2</v>
      </c>
      <c r="O145" s="30"/>
    </row>
    <row r="146" spans="10:15" x14ac:dyDescent="0.25">
      <c r="J146" t="s">
        <v>663</v>
      </c>
      <c r="K146" s="22" t="s">
        <v>35</v>
      </c>
      <c r="L146">
        <v>2</v>
      </c>
      <c r="O146" s="30"/>
    </row>
    <row r="147" spans="10:15" x14ac:dyDescent="0.25">
      <c r="J147" t="s">
        <v>533</v>
      </c>
      <c r="K147" s="22" t="s">
        <v>24</v>
      </c>
      <c r="L147">
        <v>6</v>
      </c>
      <c r="M147">
        <v>5</v>
      </c>
      <c r="O147" s="31"/>
    </row>
    <row r="148" spans="10:15" x14ac:dyDescent="0.25">
      <c r="J148" t="s">
        <v>533</v>
      </c>
      <c r="K148" s="22" t="s">
        <v>26</v>
      </c>
      <c r="L148">
        <v>4</v>
      </c>
      <c r="M148">
        <v>2</v>
      </c>
      <c r="O148" s="31"/>
    </row>
    <row r="149" spans="10:15" x14ac:dyDescent="0.25">
      <c r="J149" t="s">
        <v>533</v>
      </c>
      <c r="K149" s="22" t="s">
        <v>20</v>
      </c>
      <c r="L149">
        <v>4</v>
      </c>
      <c r="M149">
        <v>3</v>
      </c>
      <c r="O149" s="31"/>
    </row>
    <row r="150" spans="10:15" x14ac:dyDescent="0.25">
      <c r="J150" t="s">
        <v>533</v>
      </c>
      <c r="K150" s="22" t="s">
        <v>30</v>
      </c>
      <c r="L150">
        <v>11</v>
      </c>
      <c r="M150">
        <v>7</v>
      </c>
      <c r="O150" s="30"/>
    </row>
    <row r="151" spans="10:15" x14ac:dyDescent="0.25">
      <c r="J151" t="s">
        <v>533</v>
      </c>
      <c r="K151" s="22" t="s">
        <v>29</v>
      </c>
      <c r="L151">
        <v>8</v>
      </c>
      <c r="M151">
        <v>8</v>
      </c>
      <c r="O151" s="31"/>
    </row>
    <row r="152" spans="10:15" x14ac:dyDescent="0.25">
      <c r="J152" t="s">
        <v>533</v>
      </c>
      <c r="K152" s="22" t="s">
        <v>22</v>
      </c>
      <c r="L152">
        <v>10</v>
      </c>
      <c r="M152">
        <v>7</v>
      </c>
      <c r="O152" s="31"/>
    </row>
    <row r="153" spans="10:15" x14ac:dyDescent="0.25">
      <c r="J153" t="s">
        <v>533</v>
      </c>
      <c r="K153" s="22" t="s">
        <v>31</v>
      </c>
      <c r="L153">
        <v>12</v>
      </c>
      <c r="M153">
        <v>11</v>
      </c>
      <c r="O153" s="31"/>
    </row>
    <row r="154" spans="10:15" x14ac:dyDescent="0.25">
      <c r="J154" t="s">
        <v>620</v>
      </c>
      <c r="K154" s="22" t="s">
        <v>20</v>
      </c>
      <c r="L154">
        <v>3</v>
      </c>
      <c r="M154">
        <v>3</v>
      </c>
      <c r="O154" s="31"/>
    </row>
    <row r="155" spans="10:15" x14ac:dyDescent="0.25">
      <c r="J155" t="s">
        <v>620</v>
      </c>
      <c r="K155" s="22" t="s">
        <v>30</v>
      </c>
      <c r="L155">
        <v>3</v>
      </c>
      <c r="M155">
        <v>1</v>
      </c>
      <c r="O155" s="30"/>
    </row>
    <row r="156" spans="10:15" x14ac:dyDescent="0.25">
      <c r="J156" t="s">
        <v>620</v>
      </c>
      <c r="K156" s="22" t="s">
        <v>29</v>
      </c>
      <c r="L156">
        <v>2</v>
      </c>
    </row>
    <row r="157" spans="10:15" x14ac:dyDescent="0.25">
      <c r="J157" t="s">
        <v>620</v>
      </c>
      <c r="K157" s="22" t="s">
        <v>22</v>
      </c>
      <c r="L157">
        <v>4</v>
      </c>
      <c r="O157" s="30"/>
    </row>
    <row r="158" spans="10:15" x14ac:dyDescent="0.25">
      <c r="J158" t="s">
        <v>2969</v>
      </c>
      <c r="K158" s="22" t="s">
        <v>24</v>
      </c>
      <c r="L158">
        <v>1</v>
      </c>
    </row>
    <row r="159" spans="10:15" x14ac:dyDescent="0.25">
      <c r="J159" t="s">
        <v>2969</v>
      </c>
      <c r="K159" s="22" t="s">
        <v>20</v>
      </c>
      <c r="L159">
        <v>2</v>
      </c>
      <c r="O159" s="30"/>
    </row>
    <row r="160" spans="10:15" x14ac:dyDescent="0.25">
      <c r="J160" t="s">
        <v>2969</v>
      </c>
      <c r="K160" s="22" t="s">
        <v>30</v>
      </c>
      <c r="L160">
        <v>2</v>
      </c>
      <c r="M160">
        <v>1</v>
      </c>
      <c r="O160" s="30"/>
    </row>
    <row r="161" spans="10:15" x14ac:dyDescent="0.25">
      <c r="J161" t="s">
        <v>1453</v>
      </c>
      <c r="K161" s="22" t="s">
        <v>24</v>
      </c>
      <c r="L161">
        <v>1</v>
      </c>
    </row>
    <row r="162" spans="10:15" x14ac:dyDescent="0.25">
      <c r="J162" t="s">
        <v>1453</v>
      </c>
      <c r="K162" s="22" t="s">
        <v>26</v>
      </c>
      <c r="L162">
        <v>1</v>
      </c>
      <c r="M162">
        <v>1</v>
      </c>
    </row>
    <row r="163" spans="10:15" x14ac:dyDescent="0.25">
      <c r="J163" t="s">
        <v>1453</v>
      </c>
      <c r="K163" s="22" t="s">
        <v>20</v>
      </c>
      <c r="L163">
        <v>1</v>
      </c>
    </row>
    <row r="164" spans="10:15" x14ac:dyDescent="0.25">
      <c r="J164" t="s">
        <v>1453</v>
      </c>
      <c r="K164" s="22" t="s">
        <v>30</v>
      </c>
      <c r="L164">
        <v>2</v>
      </c>
      <c r="O164" s="30"/>
    </row>
    <row r="165" spans="10:15" x14ac:dyDescent="0.25">
      <c r="J165" t="s">
        <v>437</v>
      </c>
      <c r="K165" s="22" t="s">
        <v>24</v>
      </c>
      <c r="L165">
        <v>1</v>
      </c>
    </row>
    <row r="166" spans="10:15" x14ac:dyDescent="0.25">
      <c r="J166" t="s">
        <v>437</v>
      </c>
      <c r="K166" s="22" t="s">
        <v>26</v>
      </c>
      <c r="L166">
        <v>1</v>
      </c>
      <c r="M166">
        <v>1</v>
      </c>
    </row>
    <row r="167" spans="10:15" x14ac:dyDescent="0.25">
      <c r="J167" t="s">
        <v>597</v>
      </c>
      <c r="K167" s="22" t="s">
        <v>24</v>
      </c>
      <c r="L167">
        <v>3</v>
      </c>
      <c r="M167">
        <v>1</v>
      </c>
      <c r="O167" s="30"/>
    </row>
    <row r="168" spans="10:15" x14ac:dyDescent="0.25">
      <c r="J168" t="s">
        <v>597</v>
      </c>
      <c r="K168" s="22" t="s">
        <v>20</v>
      </c>
      <c r="L168">
        <v>2</v>
      </c>
      <c r="O168" s="30"/>
    </row>
    <row r="169" spans="10:15" x14ac:dyDescent="0.25">
      <c r="J169" t="s">
        <v>597</v>
      </c>
      <c r="K169" s="22" t="s">
        <v>30</v>
      </c>
      <c r="L169">
        <v>4</v>
      </c>
      <c r="M169">
        <v>1</v>
      </c>
      <c r="O169" s="31"/>
    </row>
    <row r="170" spans="10:15" x14ac:dyDescent="0.25">
      <c r="J170" t="s">
        <v>597</v>
      </c>
      <c r="K170" s="22" t="s">
        <v>29</v>
      </c>
      <c r="L170">
        <v>2</v>
      </c>
      <c r="M170">
        <v>1</v>
      </c>
    </row>
    <row r="171" spans="10:15" x14ac:dyDescent="0.25">
      <c r="J171" t="s">
        <v>597</v>
      </c>
      <c r="K171" s="22" t="s">
        <v>22</v>
      </c>
      <c r="L171">
        <v>4</v>
      </c>
      <c r="M171">
        <v>3</v>
      </c>
      <c r="O171" s="30"/>
    </row>
    <row r="172" spans="10:15" x14ac:dyDescent="0.25">
      <c r="J172" t="s">
        <v>577</v>
      </c>
      <c r="K172" s="22" t="s">
        <v>24</v>
      </c>
      <c r="L172">
        <v>4</v>
      </c>
      <c r="M172">
        <v>3</v>
      </c>
      <c r="O172" s="31"/>
    </row>
    <row r="173" spans="10:15" x14ac:dyDescent="0.25">
      <c r="J173" t="s">
        <v>577</v>
      </c>
      <c r="K173" s="22" t="s">
        <v>26</v>
      </c>
      <c r="L173">
        <v>5</v>
      </c>
      <c r="M173">
        <v>3</v>
      </c>
      <c r="O173" s="31"/>
    </row>
    <row r="174" spans="10:15" x14ac:dyDescent="0.25">
      <c r="J174" t="s">
        <v>577</v>
      </c>
      <c r="K174" s="22" t="s">
        <v>20</v>
      </c>
      <c r="L174">
        <v>2</v>
      </c>
      <c r="M174">
        <v>1</v>
      </c>
      <c r="O174" s="30"/>
    </row>
    <row r="175" spans="10:15" x14ac:dyDescent="0.25">
      <c r="J175" t="s">
        <v>577</v>
      </c>
      <c r="K175" s="22" t="s">
        <v>30</v>
      </c>
      <c r="L175">
        <v>1</v>
      </c>
      <c r="O175" s="30"/>
    </row>
    <row r="176" spans="10:15" x14ac:dyDescent="0.25">
      <c r="J176" t="s">
        <v>577</v>
      </c>
      <c r="K176" s="22" t="s">
        <v>29</v>
      </c>
      <c r="L176">
        <v>5</v>
      </c>
      <c r="M176">
        <v>3</v>
      </c>
      <c r="O176" s="30"/>
    </row>
    <row r="177" spans="10:15" x14ac:dyDescent="0.25">
      <c r="J177" t="s">
        <v>577</v>
      </c>
      <c r="K177" s="22" t="s">
        <v>31</v>
      </c>
      <c r="L177">
        <v>2</v>
      </c>
      <c r="O177" s="30"/>
    </row>
    <row r="178" spans="10:15" x14ac:dyDescent="0.25">
      <c r="J178" t="s">
        <v>616</v>
      </c>
      <c r="K178" s="22" t="s">
        <v>24</v>
      </c>
      <c r="L178">
        <v>1</v>
      </c>
      <c r="M178">
        <v>1</v>
      </c>
    </row>
    <row r="179" spans="10:15" x14ac:dyDescent="0.25">
      <c r="J179" t="s">
        <v>616</v>
      </c>
      <c r="K179" s="22" t="s">
        <v>26</v>
      </c>
      <c r="L179">
        <v>2</v>
      </c>
      <c r="O179" s="30"/>
    </row>
    <row r="180" spans="10:15" x14ac:dyDescent="0.25">
      <c r="J180" t="s">
        <v>97</v>
      </c>
      <c r="K180" s="22" t="s">
        <v>24</v>
      </c>
      <c r="L180">
        <v>5</v>
      </c>
      <c r="M180">
        <v>2</v>
      </c>
      <c r="O180" s="30"/>
    </row>
    <row r="181" spans="10:15" x14ac:dyDescent="0.25">
      <c r="J181" t="s">
        <v>97</v>
      </c>
      <c r="K181" s="22" t="s">
        <v>26</v>
      </c>
      <c r="L181">
        <v>5</v>
      </c>
      <c r="M181">
        <v>3</v>
      </c>
      <c r="O181" s="31"/>
    </row>
    <row r="182" spans="10:15" x14ac:dyDescent="0.25">
      <c r="J182" t="s">
        <v>97</v>
      </c>
      <c r="K182" s="22" t="s">
        <v>20</v>
      </c>
      <c r="L182">
        <v>16</v>
      </c>
      <c r="M182">
        <v>14</v>
      </c>
      <c r="O182" s="31"/>
    </row>
    <row r="183" spans="10:15" x14ac:dyDescent="0.25">
      <c r="J183" t="s">
        <v>97</v>
      </c>
      <c r="K183" s="22" t="s">
        <v>30</v>
      </c>
      <c r="L183">
        <v>6</v>
      </c>
      <c r="M183">
        <v>3</v>
      </c>
      <c r="O183" s="30"/>
    </row>
    <row r="184" spans="10:15" x14ac:dyDescent="0.25">
      <c r="J184" t="s">
        <v>97</v>
      </c>
      <c r="K184" s="22" t="s">
        <v>28</v>
      </c>
      <c r="L184">
        <v>4</v>
      </c>
      <c r="M184">
        <v>3</v>
      </c>
      <c r="O184" s="31"/>
    </row>
    <row r="185" spans="10:15" x14ac:dyDescent="0.25">
      <c r="J185" t="s">
        <v>97</v>
      </c>
      <c r="K185" s="22" t="s">
        <v>35</v>
      </c>
      <c r="L185">
        <v>9</v>
      </c>
      <c r="M185">
        <v>7</v>
      </c>
      <c r="O185" s="30"/>
    </row>
    <row r="186" spans="10:15" x14ac:dyDescent="0.25">
      <c r="J186" t="s">
        <v>97</v>
      </c>
      <c r="K186" s="22" t="s">
        <v>22</v>
      </c>
      <c r="L186">
        <v>21</v>
      </c>
      <c r="M186">
        <v>17</v>
      </c>
      <c r="O186" s="31"/>
    </row>
    <row r="187" spans="10:15" x14ac:dyDescent="0.25">
      <c r="J187" t="s">
        <v>92</v>
      </c>
      <c r="K187" s="22" t="s">
        <v>24</v>
      </c>
      <c r="L187">
        <v>17</v>
      </c>
      <c r="M187">
        <v>14</v>
      </c>
      <c r="O187" s="31"/>
    </row>
    <row r="188" spans="10:15" x14ac:dyDescent="0.25">
      <c r="J188" t="s">
        <v>92</v>
      </c>
      <c r="K188" s="22" t="s">
        <v>26</v>
      </c>
      <c r="L188">
        <v>12</v>
      </c>
      <c r="M188">
        <v>5</v>
      </c>
      <c r="O188" s="30"/>
    </row>
    <row r="189" spans="10:15" x14ac:dyDescent="0.25">
      <c r="J189" t="s">
        <v>92</v>
      </c>
      <c r="K189" s="22" t="s">
        <v>20</v>
      </c>
      <c r="L189">
        <v>14</v>
      </c>
      <c r="M189">
        <v>12</v>
      </c>
      <c r="O189" s="31"/>
    </row>
    <row r="190" spans="10:15" x14ac:dyDescent="0.25">
      <c r="J190" t="s">
        <v>92</v>
      </c>
      <c r="K190" s="22" t="s">
        <v>28</v>
      </c>
      <c r="L190">
        <v>7</v>
      </c>
      <c r="M190">
        <v>6</v>
      </c>
      <c r="O190" s="31"/>
    </row>
    <row r="191" spans="10:15" x14ac:dyDescent="0.25">
      <c r="J191" t="s">
        <v>92</v>
      </c>
      <c r="K191" s="22" t="s">
        <v>35</v>
      </c>
      <c r="L191">
        <v>4</v>
      </c>
      <c r="M191">
        <v>2</v>
      </c>
      <c r="O191" s="30"/>
    </row>
    <row r="192" spans="10:15" x14ac:dyDescent="0.25">
      <c r="J192" t="s">
        <v>92</v>
      </c>
      <c r="K192" s="22" t="s">
        <v>31</v>
      </c>
      <c r="L192">
        <v>8</v>
      </c>
      <c r="M192">
        <v>8</v>
      </c>
      <c r="O192" s="31"/>
    </row>
    <row r="193" spans="10:15" x14ac:dyDescent="0.25">
      <c r="J193" t="s">
        <v>207</v>
      </c>
      <c r="K193" s="22" t="s">
        <v>24</v>
      </c>
      <c r="L193">
        <v>4</v>
      </c>
      <c r="M193">
        <v>1</v>
      </c>
      <c r="O193" s="30"/>
    </row>
    <row r="194" spans="10:15" x14ac:dyDescent="0.25">
      <c r="J194" t="s">
        <v>207</v>
      </c>
      <c r="K194" s="22" t="s">
        <v>26</v>
      </c>
      <c r="L194">
        <v>2</v>
      </c>
    </row>
    <row r="195" spans="10:15" x14ac:dyDescent="0.25">
      <c r="J195" t="s">
        <v>207</v>
      </c>
      <c r="K195" s="22" t="s">
        <v>20</v>
      </c>
      <c r="L195">
        <v>5</v>
      </c>
      <c r="M195">
        <v>3</v>
      </c>
      <c r="O195" s="30"/>
    </row>
    <row r="196" spans="10:15" x14ac:dyDescent="0.25">
      <c r="J196" t="s">
        <v>207</v>
      </c>
      <c r="K196" s="22" t="s">
        <v>30</v>
      </c>
      <c r="L196">
        <v>4</v>
      </c>
      <c r="M196">
        <v>1</v>
      </c>
      <c r="O196" s="30"/>
    </row>
    <row r="197" spans="10:15" x14ac:dyDescent="0.25">
      <c r="J197" t="s">
        <v>207</v>
      </c>
      <c r="K197" s="22" t="s">
        <v>28</v>
      </c>
      <c r="L197">
        <v>5</v>
      </c>
      <c r="M197">
        <v>3</v>
      </c>
      <c r="O197" s="30"/>
    </row>
    <row r="198" spans="10:15" x14ac:dyDescent="0.25">
      <c r="J198" t="s">
        <v>207</v>
      </c>
      <c r="K198" s="22" t="s">
        <v>35</v>
      </c>
      <c r="L198">
        <v>16</v>
      </c>
      <c r="M198">
        <v>12</v>
      </c>
      <c r="O198" s="31"/>
    </row>
    <row r="199" spans="10:15" x14ac:dyDescent="0.25">
      <c r="J199" t="s">
        <v>494</v>
      </c>
      <c r="K199" s="22" t="s">
        <v>30</v>
      </c>
      <c r="L199">
        <v>4</v>
      </c>
      <c r="M199">
        <v>2</v>
      </c>
      <c r="O199" s="30"/>
    </row>
    <row r="200" spans="10:15" x14ac:dyDescent="0.25">
      <c r="J200" t="s">
        <v>494</v>
      </c>
      <c r="K200" s="22" t="s">
        <v>28</v>
      </c>
      <c r="L200">
        <v>3</v>
      </c>
      <c r="M200">
        <v>3</v>
      </c>
      <c r="O200" s="31"/>
    </row>
    <row r="201" spans="10:15" x14ac:dyDescent="0.25">
      <c r="J201" t="s">
        <v>90</v>
      </c>
      <c r="K201" s="22" t="s">
        <v>24</v>
      </c>
      <c r="L201">
        <v>14</v>
      </c>
      <c r="M201">
        <v>12</v>
      </c>
      <c r="O201" s="31"/>
    </row>
    <row r="202" spans="10:15" x14ac:dyDescent="0.25">
      <c r="J202" t="s">
        <v>90</v>
      </c>
      <c r="K202" s="22" t="s">
        <v>26</v>
      </c>
      <c r="L202">
        <v>7</v>
      </c>
      <c r="M202">
        <v>6</v>
      </c>
      <c r="O202" s="31"/>
    </row>
    <row r="203" spans="10:15" x14ac:dyDescent="0.25">
      <c r="J203" t="s">
        <v>90</v>
      </c>
      <c r="K203" s="22" t="s">
        <v>20</v>
      </c>
      <c r="L203">
        <v>7</v>
      </c>
      <c r="M203">
        <v>3</v>
      </c>
      <c r="O203" s="30"/>
    </row>
    <row r="204" spans="10:15" x14ac:dyDescent="0.25">
      <c r="J204" t="s">
        <v>90</v>
      </c>
      <c r="K204" s="22" t="s">
        <v>30</v>
      </c>
      <c r="L204">
        <v>6</v>
      </c>
      <c r="M204">
        <v>5</v>
      </c>
      <c r="O204" s="31"/>
    </row>
    <row r="205" spans="10:15" x14ac:dyDescent="0.25">
      <c r="J205" t="s">
        <v>90</v>
      </c>
      <c r="K205" s="22" t="s">
        <v>28</v>
      </c>
      <c r="L205">
        <v>10</v>
      </c>
      <c r="M205">
        <v>5</v>
      </c>
      <c r="O205" s="31"/>
    </row>
    <row r="206" spans="10:15" x14ac:dyDescent="0.25">
      <c r="J206" t="s">
        <v>90</v>
      </c>
      <c r="K206" s="22" t="s">
        <v>22</v>
      </c>
      <c r="L206">
        <v>20</v>
      </c>
      <c r="M206">
        <v>19</v>
      </c>
      <c r="O206" s="31"/>
    </row>
    <row r="207" spans="10:15" x14ac:dyDescent="0.25">
      <c r="J207" t="s">
        <v>90</v>
      </c>
      <c r="K207" s="22" t="s">
        <v>31</v>
      </c>
      <c r="L207">
        <v>9</v>
      </c>
      <c r="M207">
        <v>8</v>
      </c>
      <c r="O207" s="31"/>
    </row>
    <row r="208" spans="10:15" x14ac:dyDescent="0.25">
      <c r="J208" t="s">
        <v>1365</v>
      </c>
      <c r="K208" s="22" t="s">
        <v>24</v>
      </c>
      <c r="L208">
        <v>2</v>
      </c>
      <c r="O208" s="30"/>
    </row>
    <row r="209" spans="10:15" x14ac:dyDescent="0.25">
      <c r="J209" t="s">
        <v>1365</v>
      </c>
      <c r="K209" s="22" t="s">
        <v>26</v>
      </c>
      <c r="L209">
        <v>2</v>
      </c>
    </row>
    <row r="210" spans="10:15" x14ac:dyDescent="0.25">
      <c r="J210" t="s">
        <v>1365</v>
      </c>
      <c r="K210" s="22" t="s">
        <v>30</v>
      </c>
      <c r="L210">
        <v>1</v>
      </c>
    </row>
    <row r="211" spans="10:15" x14ac:dyDescent="0.25">
      <c r="J211" t="s">
        <v>1365</v>
      </c>
      <c r="K211" s="22" t="s">
        <v>28</v>
      </c>
      <c r="L211">
        <v>3</v>
      </c>
      <c r="O211" s="30"/>
    </row>
    <row r="212" spans="10:15" x14ac:dyDescent="0.25">
      <c r="J212" t="s">
        <v>1365</v>
      </c>
      <c r="K212" s="22" t="s">
        <v>22</v>
      </c>
      <c r="L212">
        <v>12</v>
      </c>
      <c r="M212">
        <v>11</v>
      </c>
      <c r="O212" s="31"/>
    </row>
    <row r="213" spans="10:15" x14ac:dyDescent="0.25">
      <c r="J213" t="s">
        <v>1694</v>
      </c>
      <c r="K213" s="22" t="s">
        <v>26</v>
      </c>
      <c r="L213">
        <v>4</v>
      </c>
      <c r="M213">
        <v>4</v>
      </c>
      <c r="O213" s="31"/>
    </row>
    <row r="214" spans="10:15" x14ac:dyDescent="0.25">
      <c r="J214" t="s">
        <v>194</v>
      </c>
      <c r="K214" s="22" t="s">
        <v>24</v>
      </c>
      <c r="L214">
        <v>4</v>
      </c>
      <c r="M214">
        <v>1</v>
      </c>
      <c r="O214" s="30"/>
    </row>
    <row r="215" spans="10:15" x14ac:dyDescent="0.25">
      <c r="J215" t="s">
        <v>194</v>
      </c>
      <c r="K215" s="22" t="s">
        <v>26</v>
      </c>
      <c r="L215">
        <v>3</v>
      </c>
    </row>
    <row r="216" spans="10:15" x14ac:dyDescent="0.25">
      <c r="J216" t="s">
        <v>194</v>
      </c>
      <c r="K216" s="22" t="s">
        <v>20</v>
      </c>
      <c r="L216">
        <v>2</v>
      </c>
    </row>
    <row r="217" spans="10:15" x14ac:dyDescent="0.25">
      <c r="J217" t="s">
        <v>194</v>
      </c>
      <c r="K217" s="22" t="s">
        <v>30</v>
      </c>
      <c r="L217">
        <v>3</v>
      </c>
      <c r="M217">
        <v>1</v>
      </c>
    </row>
    <row r="218" spans="10:15" x14ac:dyDescent="0.25">
      <c r="J218" t="s">
        <v>194</v>
      </c>
      <c r="K218" s="22" t="s">
        <v>28</v>
      </c>
      <c r="L218">
        <v>3</v>
      </c>
      <c r="M218">
        <v>1</v>
      </c>
      <c r="O218" s="30"/>
    </row>
    <row r="219" spans="10:15" x14ac:dyDescent="0.25">
      <c r="J219" t="s">
        <v>194</v>
      </c>
      <c r="K219" s="22" t="s">
        <v>31</v>
      </c>
      <c r="L219">
        <v>17</v>
      </c>
      <c r="M219">
        <v>15</v>
      </c>
      <c r="O219" s="31"/>
    </row>
    <row r="220" spans="10:15" x14ac:dyDescent="0.25">
      <c r="J220" t="s">
        <v>2610</v>
      </c>
      <c r="K220" s="22" t="s">
        <v>26</v>
      </c>
      <c r="L220">
        <v>5</v>
      </c>
      <c r="M220">
        <v>4</v>
      </c>
      <c r="O220" s="30"/>
    </row>
    <row r="221" spans="10:15" x14ac:dyDescent="0.25">
      <c r="J221" t="s">
        <v>541</v>
      </c>
      <c r="K221" s="22" t="s">
        <v>26</v>
      </c>
      <c r="L221">
        <v>3</v>
      </c>
      <c r="M221">
        <v>1</v>
      </c>
    </row>
    <row r="222" spans="10:15" x14ac:dyDescent="0.25">
      <c r="J222" t="s">
        <v>541</v>
      </c>
      <c r="K222" s="22" t="s">
        <v>35</v>
      </c>
      <c r="L222">
        <v>2</v>
      </c>
      <c r="M222">
        <v>2</v>
      </c>
      <c r="O222" s="31"/>
    </row>
    <row r="223" spans="10:15" x14ac:dyDescent="0.25">
      <c r="J223" t="s">
        <v>152</v>
      </c>
      <c r="K223" s="22" t="s">
        <v>26</v>
      </c>
      <c r="L223">
        <v>2</v>
      </c>
      <c r="M223">
        <v>1</v>
      </c>
    </row>
    <row r="224" spans="10:15" x14ac:dyDescent="0.25">
      <c r="J224" t="s">
        <v>152</v>
      </c>
      <c r="K224" s="22" t="s">
        <v>20</v>
      </c>
      <c r="L224">
        <v>1</v>
      </c>
      <c r="O224" s="30"/>
    </row>
    <row r="225" spans="10:15" x14ac:dyDescent="0.25">
      <c r="J225" t="s">
        <v>152</v>
      </c>
      <c r="K225" s="22" t="s">
        <v>22</v>
      </c>
      <c r="L225">
        <v>3</v>
      </c>
      <c r="M225">
        <v>2</v>
      </c>
    </row>
    <row r="226" spans="10:15" x14ac:dyDescent="0.25">
      <c r="J226" t="s">
        <v>469</v>
      </c>
      <c r="K226" s="22" t="s">
        <v>30</v>
      </c>
      <c r="L226">
        <v>1</v>
      </c>
      <c r="M226">
        <v>1</v>
      </c>
    </row>
    <row r="227" spans="10:15" x14ac:dyDescent="0.25">
      <c r="J227" t="s">
        <v>469</v>
      </c>
      <c r="K227" s="22" t="s">
        <v>31</v>
      </c>
      <c r="L227">
        <v>4</v>
      </c>
      <c r="M227">
        <v>3</v>
      </c>
      <c r="O227" s="31"/>
    </row>
    <row r="228" spans="10:15" x14ac:dyDescent="0.25">
      <c r="J228" t="s">
        <v>113</v>
      </c>
      <c r="K228" s="22" t="s">
        <v>20</v>
      </c>
      <c r="L228">
        <v>32</v>
      </c>
      <c r="M228">
        <v>32</v>
      </c>
      <c r="O228" s="31"/>
    </row>
    <row r="229" spans="10:15" x14ac:dyDescent="0.25">
      <c r="J229" t="s">
        <v>113</v>
      </c>
      <c r="K229" s="22" t="s">
        <v>31</v>
      </c>
      <c r="L229">
        <v>24</v>
      </c>
      <c r="M229">
        <v>24</v>
      </c>
      <c r="O229" s="31"/>
    </row>
    <row r="230" spans="10:15" x14ac:dyDescent="0.25">
      <c r="J230" t="s">
        <v>3118</v>
      </c>
      <c r="K230" s="22" t="s">
        <v>24</v>
      </c>
      <c r="L230">
        <v>5</v>
      </c>
      <c r="M230">
        <v>1</v>
      </c>
      <c r="O230" s="30"/>
    </row>
    <row r="231" spans="10:15" x14ac:dyDescent="0.25">
      <c r="J231" t="s">
        <v>3118</v>
      </c>
      <c r="K231" s="22" t="s">
        <v>26</v>
      </c>
      <c r="L231">
        <v>7</v>
      </c>
      <c r="M231">
        <v>2</v>
      </c>
      <c r="O231" s="30"/>
    </row>
    <row r="232" spans="10:15" x14ac:dyDescent="0.25">
      <c r="J232" t="s">
        <v>3118</v>
      </c>
      <c r="K232" s="22" t="s">
        <v>20</v>
      </c>
      <c r="L232">
        <v>11</v>
      </c>
      <c r="M232">
        <v>7</v>
      </c>
      <c r="O232" s="31"/>
    </row>
    <row r="233" spans="10:15" x14ac:dyDescent="0.25">
      <c r="J233" t="s">
        <v>3118</v>
      </c>
      <c r="K233" s="22" t="s">
        <v>35</v>
      </c>
      <c r="L233">
        <v>1</v>
      </c>
      <c r="O233" s="30"/>
    </row>
    <row r="234" spans="10:15" x14ac:dyDescent="0.25">
      <c r="J234" t="s">
        <v>3118</v>
      </c>
      <c r="K234" s="22" t="s">
        <v>22</v>
      </c>
      <c r="L234">
        <v>1</v>
      </c>
      <c r="O234" s="30"/>
    </row>
    <row r="235" spans="10:15" x14ac:dyDescent="0.25">
      <c r="J235" t="s">
        <v>171</v>
      </c>
      <c r="K235" s="22" t="s">
        <v>24</v>
      </c>
      <c r="L235">
        <v>3</v>
      </c>
      <c r="O235" s="30"/>
    </row>
    <row r="236" spans="10:15" x14ac:dyDescent="0.25">
      <c r="J236" t="s">
        <v>171</v>
      </c>
      <c r="K236" s="22" t="s">
        <v>26</v>
      </c>
      <c r="L236">
        <v>10</v>
      </c>
      <c r="M236">
        <v>10</v>
      </c>
      <c r="O236" s="31"/>
    </row>
    <row r="237" spans="10:15" x14ac:dyDescent="0.25">
      <c r="J237" t="s">
        <v>229</v>
      </c>
      <c r="K237" s="22" t="s">
        <v>24</v>
      </c>
      <c r="L237">
        <v>1</v>
      </c>
      <c r="O237" s="30"/>
    </row>
    <row r="238" spans="10:15" x14ac:dyDescent="0.25">
      <c r="J238" t="s">
        <v>229</v>
      </c>
      <c r="K238" s="22" t="s">
        <v>26</v>
      </c>
      <c r="L238">
        <v>2</v>
      </c>
      <c r="M238">
        <v>1</v>
      </c>
      <c r="O238" s="30"/>
    </row>
    <row r="239" spans="10:15" x14ac:dyDescent="0.25">
      <c r="J239" t="s">
        <v>229</v>
      </c>
      <c r="K239" s="22" t="s">
        <v>31</v>
      </c>
      <c r="L239">
        <v>7</v>
      </c>
      <c r="M239">
        <v>6</v>
      </c>
      <c r="O239" s="31"/>
    </row>
    <row r="240" spans="10:15" x14ac:dyDescent="0.25">
      <c r="J240" t="s">
        <v>2243</v>
      </c>
      <c r="K240" s="22" t="s">
        <v>20</v>
      </c>
      <c r="L240">
        <v>4</v>
      </c>
      <c r="M240">
        <v>4</v>
      </c>
      <c r="O240" s="31"/>
    </row>
    <row r="241" spans="10:15" x14ac:dyDescent="0.25">
      <c r="J241" t="s">
        <v>114</v>
      </c>
      <c r="K241" s="22" t="s">
        <v>26</v>
      </c>
      <c r="L241">
        <v>2</v>
      </c>
      <c r="M241">
        <v>2</v>
      </c>
      <c r="O241" s="31"/>
    </row>
    <row r="242" spans="10:15" x14ac:dyDescent="0.25">
      <c r="J242" t="s">
        <v>114</v>
      </c>
      <c r="K242" s="22" t="s">
        <v>30</v>
      </c>
      <c r="L242">
        <v>2</v>
      </c>
      <c r="M242">
        <v>1</v>
      </c>
    </row>
    <row r="243" spans="10:15" x14ac:dyDescent="0.25">
      <c r="J243" t="s">
        <v>1454</v>
      </c>
      <c r="K243" s="22" t="s">
        <v>24</v>
      </c>
      <c r="L243">
        <v>3</v>
      </c>
      <c r="M243">
        <v>3</v>
      </c>
      <c r="O243" s="31"/>
    </row>
    <row r="244" spans="10:15" x14ac:dyDescent="0.25">
      <c r="J244" t="s">
        <v>2309</v>
      </c>
      <c r="K244" s="22" t="s">
        <v>26</v>
      </c>
      <c r="L244">
        <v>2</v>
      </c>
      <c r="M244">
        <v>1</v>
      </c>
      <c r="O244" s="30"/>
    </row>
    <row r="245" spans="10:15" x14ac:dyDescent="0.25">
      <c r="J245" t="s">
        <v>2309</v>
      </c>
      <c r="K245" s="22" t="s">
        <v>30</v>
      </c>
      <c r="L245">
        <v>1</v>
      </c>
    </row>
    <row r="246" spans="10:15" x14ac:dyDescent="0.25">
      <c r="J246" t="s">
        <v>237</v>
      </c>
      <c r="K246" s="22" t="s">
        <v>24</v>
      </c>
      <c r="L246">
        <v>6</v>
      </c>
      <c r="M246">
        <v>3</v>
      </c>
      <c r="O246" s="31"/>
    </row>
    <row r="247" spans="10:15" x14ac:dyDescent="0.25">
      <c r="J247" t="s">
        <v>237</v>
      </c>
      <c r="K247" s="22" t="s">
        <v>26</v>
      </c>
      <c r="L247">
        <v>4</v>
      </c>
      <c r="M247">
        <v>2</v>
      </c>
      <c r="O247" s="30"/>
    </row>
    <row r="248" spans="10:15" x14ac:dyDescent="0.25">
      <c r="J248" t="s">
        <v>237</v>
      </c>
      <c r="K248" s="22" t="s">
        <v>20</v>
      </c>
      <c r="L248">
        <v>1</v>
      </c>
    </row>
    <row r="249" spans="10:15" x14ac:dyDescent="0.25">
      <c r="J249" t="s">
        <v>237</v>
      </c>
      <c r="K249" s="22" t="s">
        <v>30</v>
      </c>
      <c r="L249">
        <v>3</v>
      </c>
      <c r="M249">
        <v>1</v>
      </c>
      <c r="O249" s="30"/>
    </row>
    <row r="250" spans="10:15" x14ac:dyDescent="0.25">
      <c r="J250" t="s">
        <v>237</v>
      </c>
      <c r="K250" s="22" t="s">
        <v>22</v>
      </c>
      <c r="L250">
        <v>4</v>
      </c>
      <c r="M250">
        <v>2</v>
      </c>
      <c r="O250" s="30"/>
    </row>
    <row r="251" spans="10:15" x14ac:dyDescent="0.25">
      <c r="J251" t="s">
        <v>237</v>
      </c>
      <c r="K251" s="22" t="s">
        <v>31</v>
      </c>
      <c r="L251">
        <v>4</v>
      </c>
      <c r="M251">
        <v>3</v>
      </c>
      <c r="O251" s="31"/>
    </row>
    <row r="252" spans="10:15" x14ac:dyDescent="0.25">
      <c r="J252" t="s">
        <v>1981</v>
      </c>
      <c r="K252" s="22" t="s">
        <v>30</v>
      </c>
      <c r="L252">
        <v>3</v>
      </c>
      <c r="M252">
        <v>3</v>
      </c>
      <c r="O252" s="31"/>
    </row>
    <row r="253" spans="10:15" x14ac:dyDescent="0.25">
      <c r="J253" t="s">
        <v>3108</v>
      </c>
      <c r="K253" s="22" t="s">
        <v>26</v>
      </c>
      <c r="L253">
        <v>2</v>
      </c>
      <c r="M253">
        <v>2</v>
      </c>
      <c r="O253" s="31"/>
    </row>
    <row r="254" spans="10:15" x14ac:dyDescent="0.25">
      <c r="J254" t="s">
        <v>1578</v>
      </c>
      <c r="K254" s="22" t="s">
        <v>20</v>
      </c>
      <c r="L254">
        <v>3</v>
      </c>
      <c r="M254">
        <v>3</v>
      </c>
      <c r="O254" s="31"/>
    </row>
    <row r="255" spans="10:15" x14ac:dyDescent="0.25">
      <c r="J255" t="s">
        <v>83</v>
      </c>
      <c r="K255" s="22" t="s">
        <v>24</v>
      </c>
      <c r="L255">
        <v>135</v>
      </c>
      <c r="M255">
        <v>38</v>
      </c>
      <c r="O255" s="30"/>
    </row>
    <row r="256" spans="10:15" x14ac:dyDescent="0.25">
      <c r="J256" t="s">
        <v>83</v>
      </c>
      <c r="K256" s="22" t="s">
        <v>26</v>
      </c>
      <c r="L256">
        <v>61</v>
      </c>
      <c r="M256">
        <v>5</v>
      </c>
      <c r="O256" s="30"/>
    </row>
    <row r="257" spans="10:15" x14ac:dyDescent="0.25">
      <c r="J257" t="s">
        <v>83</v>
      </c>
      <c r="K257" s="22" t="s">
        <v>20</v>
      </c>
      <c r="L257">
        <v>87</v>
      </c>
      <c r="M257">
        <v>28</v>
      </c>
      <c r="O257" s="30"/>
    </row>
    <row r="258" spans="10:15" x14ac:dyDescent="0.25">
      <c r="J258" t="s">
        <v>83</v>
      </c>
      <c r="K258" s="22" t="s">
        <v>30</v>
      </c>
      <c r="L258">
        <v>73</v>
      </c>
      <c r="M258">
        <v>14</v>
      </c>
      <c r="O258" s="30"/>
    </row>
    <row r="259" spans="10:15" x14ac:dyDescent="0.25">
      <c r="J259" t="s">
        <v>83</v>
      </c>
      <c r="K259" s="22" t="s">
        <v>28</v>
      </c>
      <c r="L259">
        <v>61</v>
      </c>
      <c r="M259">
        <v>2</v>
      </c>
      <c r="O259" s="31"/>
    </row>
    <row r="260" spans="10:15" x14ac:dyDescent="0.25">
      <c r="J260" t="s">
        <v>83</v>
      </c>
      <c r="K260" s="22" t="s">
        <v>35</v>
      </c>
      <c r="L260">
        <v>73</v>
      </c>
      <c r="M260">
        <v>15</v>
      </c>
      <c r="O260" s="30"/>
    </row>
    <row r="261" spans="10:15" x14ac:dyDescent="0.25">
      <c r="J261" t="s">
        <v>83</v>
      </c>
      <c r="K261" s="22" t="s">
        <v>22</v>
      </c>
      <c r="L261">
        <v>64</v>
      </c>
      <c r="M261">
        <v>15</v>
      </c>
      <c r="O261" s="30"/>
    </row>
    <row r="262" spans="10:15" x14ac:dyDescent="0.25">
      <c r="J262" t="s">
        <v>83</v>
      </c>
      <c r="K262" s="22" t="s">
        <v>31</v>
      </c>
      <c r="L262">
        <v>66</v>
      </c>
      <c r="M262">
        <v>17</v>
      </c>
      <c r="O262" s="30"/>
    </row>
    <row r="263" spans="10:15" x14ac:dyDescent="0.25">
      <c r="J263" t="s">
        <v>206</v>
      </c>
      <c r="K263" s="22" t="s">
        <v>24</v>
      </c>
      <c r="L263">
        <v>13</v>
      </c>
      <c r="M263">
        <v>4</v>
      </c>
      <c r="O263" s="30"/>
    </row>
    <row r="264" spans="10:15" x14ac:dyDescent="0.25">
      <c r="J264" t="s">
        <v>206</v>
      </c>
      <c r="K264" s="22" t="s">
        <v>26</v>
      </c>
      <c r="L264">
        <v>17</v>
      </c>
      <c r="M264">
        <v>10</v>
      </c>
      <c r="O264" s="30"/>
    </row>
    <row r="265" spans="10:15" x14ac:dyDescent="0.25">
      <c r="J265" t="s">
        <v>206</v>
      </c>
      <c r="K265" s="22" t="s">
        <v>20</v>
      </c>
      <c r="L265">
        <v>11</v>
      </c>
      <c r="M265">
        <v>4</v>
      </c>
      <c r="O265" s="30"/>
    </row>
    <row r="266" spans="10:15" x14ac:dyDescent="0.25">
      <c r="J266" t="s">
        <v>206</v>
      </c>
      <c r="K266" s="22" t="s">
        <v>30</v>
      </c>
      <c r="L266">
        <v>11</v>
      </c>
      <c r="M266">
        <v>5</v>
      </c>
      <c r="O266" s="30"/>
    </row>
    <row r="267" spans="10:15" x14ac:dyDescent="0.25">
      <c r="J267" t="s">
        <v>206</v>
      </c>
      <c r="K267" s="22" t="s">
        <v>28</v>
      </c>
      <c r="L267">
        <v>3</v>
      </c>
      <c r="M267">
        <v>2</v>
      </c>
      <c r="O267" s="31"/>
    </row>
    <row r="268" spans="10:15" x14ac:dyDescent="0.25">
      <c r="J268" t="s">
        <v>206</v>
      </c>
      <c r="K268" s="22" t="s">
        <v>35</v>
      </c>
      <c r="L268">
        <v>8</v>
      </c>
      <c r="M268">
        <v>3</v>
      </c>
      <c r="O268" s="30"/>
    </row>
    <row r="269" spans="10:15" x14ac:dyDescent="0.25">
      <c r="J269" t="s">
        <v>206</v>
      </c>
      <c r="K269" s="22" t="s">
        <v>22</v>
      </c>
      <c r="L269">
        <v>23</v>
      </c>
      <c r="M269">
        <v>11</v>
      </c>
      <c r="O269" s="30"/>
    </row>
    <row r="270" spans="10:15" x14ac:dyDescent="0.25">
      <c r="J270" t="s">
        <v>41</v>
      </c>
      <c r="K270" s="22" t="s">
        <v>24</v>
      </c>
      <c r="L270">
        <v>19</v>
      </c>
      <c r="M270">
        <v>7</v>
      </c>
      <c r="O270" s="30"/>
    </row>
    <row r="271" spans="10:15" x14ac:dyDescent="0.25">
      <c r="J271" t="s">
        <v>41</v>
      </c>
      <c r="K271" s="22" t="s">
        <v>26</v>
      </c>
      <c r="L271">
        <v>7</v>
      </c>
      <c r="M271">
        <v>1</v>
      </c>
      <c r="O271" s="30"/>
    </row>
    <row r="272" spans="10:15" x14ac:dyDescent="0.25">
      <c r="J272" t="s">
        <v>41</v>
      </c>
      <c r="K272" s="22" t="s">
        <v>20</v>
      </c>
      <c r="L272">
        <v>5</v>
      </c>
      <c r="M272">
        <v>1</v>
      </c>
      <c r="O272" s="30"/>
    </row>
    <row r="273" spans="10:15" x14ac:dyDescent="0.25">
      <c r="J273" t="s">
        <v>41</v>
      </c>
      <c r="K273" s="22" t="s">
        <v>30</v>
      </c>
      <c r="L273">
        <v>6</v>
      </c>
      <c r="M273">
        <v>2</v>
      </c>
      <c r="O273" s="30"/>
    </row>
    <row r="274" spans="10:15" x14ac:dyDescent="0.25">
      <c r="J274" t="s">
        <v>41</v>
      </c>
      <c r="K274" s="22" t="s">
        <v>28</v>
      </c>
      <c r="L274">
        <v>6</v>
      </c>
      <c r="M274">
        <v>1</v>
      </c>
      <c r="O274" s="30"/>
    </row>
    <row r="275" spans="10:15" x14ac:dyDescent="0.25">
      <c r="J275" t="s">
        <v>41</v>
      </c>
      <c r="K275" s="22" t="s">
        <v>35</v>
      </c>
      <c r="L275">
        <v>17</v>
      </c>
      <c r="M275">
        <v>6</v>
      </c>
      <c r="O275" s="30"/>
    </row>
    <row r="276" spans="10:15" x14ac:dyDescent="0.25">
      <c r="J276" t="s">
        <v>41</v>
      </c>
      <c r="K276" s="22" t="s">
        <v>31</v>
      </c>
      <c r="L276">
        <v>13</v>
      </c>
      <c r="M276">
        <v>5</v>
      </c>
      <c r="O276" s="30"/>
    </row>
    <row r="277" spans="10:15" x14ac:dyDescent="0.25">
      <c r="J277" t="s">
        <v>1920</v>
      </c>
      <c r="K277" s="22" t="s">
        <v>24</v>
      </c>
      <c r="L277">
        <v>2</v>
      </c>
      <c r="O277" s="30"/>
    </row>
    <row r="278" spans="10:15" x14ac:dyDescent="0.25">
      <c r="J278" t="s">
        <v>1920</v>
      </c>
      <c r="K278" s="22" t="s">
        <v>26</v>
      </c>
      <c r="L278">
        <v>1</v>
      </c>
    </row>
    <row r="279" spans="10:15" x14ac:dyDescent="0.25">
      <c r="J279" t="s">
        <v>1920</v>
      </c>
      <c r="K279" s="22" t="s">
        <v>20</v>
      </c>
      <c r="L279">
        <v>2</v>
      </c>
      <c r="O279" s="30"/>
    </row>
    <row r="280" spans="10:15" x14ac:dyDescent="0.25">
      <c r="J280" t="s">
        <v>1920</v>
      </c>
      <c r="K280" s="22" t="s">
        <v>30</v>
      </c>
      <c r="L280">
        <v>2</v>
      </c>
      <c r="O280" s="30"/>
    </row>
    <row r="281" spans="10:15" x14ac:dyDescent="0.25">
      <c r="J281" t="s">
        <v>1920</v>
      </c>
      <c r="K281" s="22" t="s">
        <v>28</v>
      </c>
      <c r="L281">
        <v>2</v>
      </c>
      <c r="O281" s="30"/>
    </row>
    <row r="282" spans="10:15" x14ac:dyDescent="0.25">
      <c r="J282" t="s">
        <v>1920</v>
      </c>
      <c r="K282" s="22" t="s">
        <v>35</v>
      </c>
      <c r="L282">
        <v>3</v>
      </c>
      <c r="M282">
        <v>1</v>
      </c>
      <c r="O282" s="30"/>
    </row>
    <row r="283" spans="10:15" x14ac:dyDescent="0.25">
      <c r="J283" t="s">
        <v>170</v>
      </c>
      <c r="K283" s="22" t="s">
        <v>24</v>
      </c>
      <c r="L283">
        <v>4</v>
      </c>
      <c r="M283">
        <v>1</v>
      </c>
      <c r="O283" s="30"/>
    </row>
    <row r="284" spans="10:15" x14ac:dyDescent="0.25">
      <c r="J284" t="s">
        <v>170</v>
      </c>
      <c r="K284" s="22" t="s">
        <v>26</v>
      </c>
      <c r="L284">
        <v>6</v>
      </c>
      <c r="M284">
        <v>3</v>
      </c>
      <c r="O284" s="31"/>
    </row>
    <row r="285" spans="10:15" x14ac:dyDescent="0.25">
      <c r="J285" t="s">
        <v>170</v>
      </c>
      <c r="K285" s="22" t="s">
        <v>20</v>
      </c>
      <c r="L285">
        <v>5</v>
      </c>
      <c r="O285" s="30"/>
    </row>
    <row r="286" spans="10:15" x14ac:dyDescent="0.25">
      <c r="J286" t="s">
        <v>170</v>
      </c>
      <c r="K286" s="22" t="s">
        <v>30</v>
      </c>
      <c r="L286">
        <v>3</v>
      </c>
      <c r="O286" s="30"/>
    </row>
    <row r="287" spans="10:15" x14ac:dyDescent="0.25">
      <c r="J287" t="s">
        <v>170</v>
      </c>
      <c r="K287" s="22" t="s">
        <v>28</v>
      </c>
      <c r="L287">
        <v>12</v>
      </c>
      <c r="M287">
        <v>2</v>
      </c>
      <c r="O287" s="30"/>
    </row>
    <row r="288" spans="10:15" x14ac:dyDescent="0.25">
      <c r="J288" t="s">
        <v>170</v>
      </c>
      <c r="K288" s="22" t="s">
        <v>35</v>
      </c>
      <c r="L288">
        <v>2</v>
      </c>
      <c r="O288" s="30"/>
    </row>
    <row r="289" spans="10:15" x14ac:dyDescent="0.25">
      <c r="J289" t="s">
        <v>205</v>
      </c>
      <c r="K289" s="22" t="s">
        <v>24</v>
      </c>
      <c r="L289">
        <v>3</v>
      </c>
      <c r="M289">
        <v>1</v>
      </c>
      <c r="O289" s="31"/>
    </row>
    <row r="290" spans="10:15" x14ac:dyDescent="0.25">
      <c r="J290" t="s">
        <v>205</v>
      </c>
      <c r="K290" s="22" t="s">
        <v>26</v>
      </c>
      <c r="L290">
        <v>7</v>
      </c>
      <c r="M290">
        <v>2</v>
      </c>
      <c r="O290" s="30"/>
    </row>
    <row r="291" spans="10:15" x14ac:dyDescent="0.25">
      <c r="J291" t="s">
        <v>205</v>
      </c>
      <c r="K291" s="22" t="s">
        <v>20</v>
      </c>
      <c r="L291">
        <v>9</v>
      </c>
      <c r="M291">
        <v>3</v>
      </c>
      <c r="O291" s="30"/>
    </row>
    <row r="292" spans="10:15" x14ac:dyDescent="0.25">
      <c r="J292" t="s">
        <v>205</v>
      </c>
      <c r="K292" s="22" t="s">
        <v>30</v>
      </c>
      <c r="L292">
        <v>9</v>
      </c>
      <c r="M292">
        <v>5</v>
      </c>
      <c r="O292" s="30"/>
    </row>
    <row r="293" spans="10:15" x14ac:dyDescent="0.25">
      <c r="J293" t="s">
        <v>205</v>
      </c>
      <c r="K293" s="22" t="s">
        <v>28</v>
      </c>
      <c r="L293">
        <v>12</v>
      </c>
      <c r="M293">
        <v>7</v>
      </c>
      <c r="O293" s="30"/>
    </row>
    <row r="294" spans="10:15" x14ac:dyDescent="0.25">
      <c r="J294" t="s">
        <v>205</v>
      </c>
      <c r="K294" s="22" t="s">
        <v>22</v>
      </c>
      <c r="L294">
        <v>15</v>
      </c>
      <c r="M294">
        <v>8</v>
      </c>
      <c r="O294" s="30"/>
    </row>
    <row r="295" spans="10:15" x14ac:dyDescent="0.25">
      <c r="J295" t="s">
        <v>205</v>
      </c>
      <c r="K295" s="22" t="s">
        <v>31</v>
      </c>
      <c r="L295">
        <v>13</v>
      </c>
      <c r="M295">
        <v>7</v>
      </c>
      <c r="O295" s="30"/>
    </row>
    <row r="296" spans="10:15" x14ac:dyDescent="0.25">
      <c r="J296" t="s">
        <v>489</v>
      </c>
      <c r="K296" s="22" t="s">
        <v>24</v>
      </c>
      <c r="L296">
        <v>6</v>
      </c>
      <c r="M296">
        <v>3</v>
      </c>
      <c r="O296" s="30"/>
    </row>
    <row r="297" spans="10:15" x14ac:dyDescent="0.25">
      <c r="J297" t="s">
        <v>489</v>
      </c>
      <c r="K297" s="22" t="s">
        <v>26</v>
      </c>
      <c r="L297">
        <v>4</v>
      </c>
      <c r="O297" s="30"/>
    </row>
    <row r="298" spans="10:15" x14ac:dyDescent="0.25">
      <c r="J298" t="s">
        <v>489</v>
      </c>
      <c r="K298" s="22" t="s">
        <v>20</v>
      </c>
      <c r="L298">
        <v>2</v>
      </c>
      <c r="M298">
        <v>1</v>
      </c>
      <c r="O298" s="31"/>
    </row>
    <row r="299" spans="10:15" x14ac:dyDescent="0.25">
      <c r="J299" t="s">
        <v>489</v>
      </c>
      <c r="K299" s="22" t="s">
        <v>30</v>
      </c>
      <c r="L299">
        <v>3</v>
      </c>
      <c r="O299" s="30"/>
    </row>
    <row r="300" spans="10:15" x14ac:dyDescent="0.25">
      <c r="J300" t="s">
        <v>489</v>
      </c>
      <c r="K300" s="22" t="s">
        <v>28</v>
      </c>
      <c r="L300">
        <v>1</v>
      </c>
    </row>
    <row r="301" spans="10:15" x14ac:dyDescent="0.25">
      <c r="J301" t="s">
        <v>489</v>
      </c>
      <c r="K301" s="22" t="s">
        <v>22</v>
      </c>
      <c r="L301">
        <v>3</v>
      </c>
      <c r="O301" s="30"/>
    </row>
    <row r="302" spans="10:15" x14ac:dyDescent="0.25">
      <c r="J302" t="s">
        <v>1357</v>
      </c>
      <c r="K302" s="22" t="s">
        <v>24</v>
      </c>
      <c r="L302">
        <v>1</v>
      </c>
    </row>
    <row r="303" spans="10:15" x14ac:dyDescent="0.25">
      <c r="J303" t="s">
        <v>1357</v>
      </c>
      <c r="K303" s="22" t="s">
        <v>26</v>
      </c>
      <c r="L303">
        <v>2</v>
      </c>
      <c r="O303" s="30"/>
    </row>
    <row r="304" spans="10:15" x14ac:dyDescent="0.25">
      <c r="J304" t="s">
        <v>1357</v>
      </c>
      <c r="K304" s="22" t="s">
        <v>20</v>
      </c>
      <c r="L304">
        <v>1</v>
      </c>
    </row>
    <row r="305" spans="10:15" x14ac:dyDescent="0.25">
      <c r="J305" t="s">
        <v>1357</v>
      </c>
      <c r="K305" s="22" t="s">
        <v>30</v>
      </c>
      <c r="L305">
        <v>12</v>
      </c>
      <c r="M305">
        <v>2</v>
      </c>
      <c r="O305" s="30"/>
    </row>
    <row r="306" spans="10:15" x14ac:dyDescent="0.25">
      <c r="J306" t="s">
        <v>1357</v>
      </c>
      <c r="K306" s="22" t="s">
        <v>28</v>
      </c>
      <c r="L306">
        <v>1</v>
      </c>
    </row>
    <row r="307" spans="10:15" x14ac:dyDescent="0.25">
      <c r="J307" t="s">
        <v>509</v>
      </c>
      <c r="K307" s="22" t="s">
        <v>24</v>
      </c>
      <c r="L307">
        <v>15</v>
      </c>
      <c r="M307">
        <v>1</v>
      </c>
      <c r="O307" s="30"/>
    </row>
    <row r="308" spans="10:15" x14ac:dyDescent="0.25">
      <c r="J308" t="s">
        <v>509</v>
      </c>
      <c r="K308" s="22" t="s">
        <v>26</v>
      </c>
      <c r="L308">
        <v>2</v>
      </c>
      <c r="O308" s="30"/>
    </row>
    <row r="309" spans="10:15" x14ac:dyDescent="0.25">
      <c r="J309" t="s">
        <v>509</v>
      </c>
      <c r="K309" s="22" t="s">
        <v>20</v>
      </c>
      <c r="L309">
        <v>5</v>
      </c>
      <c r="O309" s="30"/>
    </row>
    <row r="310" spans="10:15" x14ac:dyDescent="0.25">
      <c r="J310" t="s">
        <v>509</v>
      </c>
      <c r="K310" s="22" t="s">
        <v>30</v>
      </c>
      <c r="L310">
        <v>5</v>
      </c>
      <c r="O310" s="30"/>
    </row>
    <row r="311" spans="10:15" x14ac:dyDescent="0.25">
      <c r="J311" t="s">
        <v>509</v>
      </c>
      <c r="K311" s="22" t="s">
        <v>28</v>
      </c>
      <c r="L311">
        <v>2</v>
      </c>
      <c r="O311" s="30"/>
    </row>
    <row r="312" spans="10:15" x14ac:dyDescent="0.25">
      <c r="J312" t="s">
        <v>509</v>
      </c>
      <c r="K312" s="22" t="s">
        <v>31</v>
      </c>
      <c r="L312">
        <v>3</v>
      </c>
      <c r="O312" s="30"/>
    </row>
    <row r="313" spans="10:15" x14ac:dyDescent="0.25">
      <c r="J313" t="s">
        <v>1918</v>
      </c>
      <c r="K313" s="22" t="s">
        <v>24</v>
      </c>
      <c r="L313">
        <v>2</v>
      </c>
      <c r="O313" s="30"/>
    </row>
    <row r="314" spans="10:15" x14ac:dyDescent="0.25">
      <c r="J314" t="s">
        <v>1918</v>
      </c>
      <c r="K314" s="22" t="s">
        <v>20</v>
      </c>
      <c r="L314">
        <v>1</v>
      </c>
    </row>
    <row r="315" spans="10:15" x14ac:dyDescent="0.25">
      <c r="J315" t="s">
        <v>1918</v>
      </c>
      <c r="K315" s="22" t="s">
        <v>30</v>
      </c>
      <c r="L315">
        <v>2</v>
      </c>
      <c r="O315" s="30"/>
    </row>
    <row r="316" spans="10:15" x14ac:dyDescent="0.25">
      <c r="J316" t="s">
        <v>147</v>
      </c>
      <c r="K316" s="22" t="s">
        <v>24</v>
      </c>
      <c r="L316">
        <v>1</v>
      </c>
    </row>
    <row r="317" spans="10:15" x14ac:dyDescent="0.25">
      <c r="J317" t="s">
        <v>147</v>
      </c>
      <c r="K317" s="22" t="s">
        <v>26</v>
      </c>
      <c r="L317">
        <v>4</v>
      </c>
      <c r="O317" s="30"/>
    </row>
    <row r="318" spans="10:15" x14ac:dyDescent="0.25">
      <c r="J318" t="s">
        <v>147</v>
      </c>
      <c r="K318" s="22" t="s">
        <v>20</v>
      </c>
      <c r="L318">
        <v>3</v>
      </c>
      <c r="M318">
        <v>2</v>
      </c>
      <c r="O318" s="31"/>
    </row>
    <row r="319" spans="10:15" x14ac:dyDescent="0.25">
      <c r="J319" t="s">
        <v>147</v>
      </c>
      <c r="K319" s="22" t="s">
        <v>30</v>
      </c>
      <c r="L319">
        <v>4</v>
      </c>
      <c r="M319">
        <v>2</v>
      </c>
      <c r="O319" s="31"/>
    </row>
    <row r="320" spans="10:15" x14ac:dyDescent="0.25">
      <c r="J320" t="s">
        <v>147</v>
      </c>
      <c r="K320" s="22" t="s">
        <v>28</v>
      </c>
      <c r="L320">
        <v>3</v>
      </c>
      <c r="M320">
        <v>1</v>
      </c>
    </row>
    <row r="321" spans="10:15" x14ac:dyDescent="0.25">
      <c r="J321" t="s">
        <v>147</v>
      </c>
      <c r="K321" s="22" t="s">
        <v>22</v>
      </c>
      <c r="L321">
        <v>4</v>
      </c>
      <c r="O321" s="30"/>
    </row>
    <row r="322" spans="10:15" x14ac:dyDescent="0.25">
      <c r="J322" t="s">
        <v>1070</v>
      </c>
      <c r="K322" s="22" t="s">
        <v>24</v>
      </c>
      <c r="L322">
        <v>4</v>
      </c>
      <c r="M322">
        <v>1</v>
      </c>
      <c r="O322" s="31"/>
    </row>
    <row r="323" spans="10:15" x14ac:dyDescent="0.25">
      <c r="J323" t="s">
        <v>1070</v>
      </c>
      <c r="K323" s="22" t="s">
        <v>26</v>
      </c>
      <c r="L323">
        <v>5</v>
      </c>
      <c r="O323" s="30"/>
    </row>
    <row r="324" spans="10:15" x14ac:dyDescent="0.25">
      <c r="J324" t="s">
        <v>1070</v>
      </c>
      <c r="K324" s="22" t="s">
        <v>20</v>
      </c>
      <c r="L324">
        <v>1</v>
      </c>
    </row>
    <row r="325" spans="10:15" x14ac:dyDescent="0.25">
      <c r="J325" t="s">
        <v>1070</v>
      </c>
      <c r="K325" s="22" t="s">
        <v>30</v>
      </c>
      <c r="L325">
        <v>2</v>
      </c>
    </row>
    <row r="326" spans="10:15" x14ac:dyDescent="0.25">
      <c r="J326" t="s">
        <v>1070</v>
      </c>
      <c r="K326" s="22" t="s">
        <v>28</v>
      </c>
      <c r="L326">
        <v>1</v>
      </c>
    </row>
    <row r="327" spans="10:15" x14ac:dyDescent="0.25">
      <c r="J327" t="s">
        <v>1070</v>
      </c>
      <c r="K327" s="22" t="s">
        <v>31</v>
      </c>
      <c r="L327">
        <v>3</v>
      </c>
      <c r="M327">
        <v>2</v>
      </c>
      <c r="O327" s="31"/>
    </row>
    <row r="328" spans="10:15" x14ac:dyDescent="0.25">
      <c r="J328" t="s">
        <v>2308</v>
      </c>
      <c r="K328" s="22" t="s">
        <v>28</v>
      </c>
      <c r="L328">
        <v>7</v>
      </c>
      <c r="M328">
        <v>2</v>
      </c>
      <c r="O328" s="30"/>
    </row>
    <row r="329" spans="10:15" x14ac:dyDescent="0.25">
      <c r="J329" t="s">
        <v>200</v>
      </c>
      <c r="K329" s="22" t="s">
        <v>24</v>
      </c>
      <c r="L329">
        <v>10</v>
      </c>
      <c r="M329">
        <v>5</v>
      </c>
      <c r="O329" s="30"/>
    </row>
    <row r="330" spans="10:15" x14ac:dyDescent="0.25">
      <c r="J330" t="s">
        <v>200</v>
      </c>
      <c r="K330" s="22" t="s">
        <v>26</v>
      </c>
      <c r="L330">
        <v>3</v>
      </c>
      <c r="M330">
        <v>1</v>
      </c>
      <c r="O330" s="30"/>
    </row>
    <row r="331" spans="10:15" x14ac:dyDescent="0.25">
      <c r="J331" t="s">
        <v>200</v>
      </c>
      <c r="K331" s="22" t="s">
        <v>20</v>
      </c>
      <c r="L331">
        <v>2</v>
      </c>
      <c r="M331">
        <v>1</v>
      </c>
      <c r="O331" s="30"/>
    </row>
    <row r="332" spans="10:15" x14ac:dyDescent="0.25">
      <c r="J332" t="s">
        <v>200</v>
      </c>
      <c r="K332" s="22" t="s">
        <v>30</v>
      </c>
      <c r="L332">
        <v>12</v>
      </c>
      <c r="M332">
        <v>4</v>
      </c>
      <c r="O332" s="30"/>
    </row>
    <row r="333" spans="10:15" x14ac:dyDescent="0.25">
      <c r="J333" t="s">
        <v>200</v>
      </c>
      <c r="K333" s="22" t="s">
        <v>35</v>
      </c>
      <c r="L333">
        <v>10</v>
      </c>
      <c r="M333">
        <v>4</v>
      </c>
      <c r="O333" s="30"/>
    </row>
    <row r="334" spans="10:15" x14ac:dyDescent="0.25">
      <c r="J334" t="s">
        <v>200</v>
      </c>
      <c r="K334" s="22" t="s">
        <v>22</v>
      </c>
      <c r="L334">
        <v>5</v>
      </c>
      <c r="M334">
        <v>2</v>
      </c>
      <c r="O334" s="31"/>
    </row>
    <row r="335" spans="10:15" x14ac:dyDescent="0.25">
      <c r="J335" t="s">
        <v>200</v>
      </c>
      <c r="K335" s="22" t="s">
        <v>31</v>
      </c>
      <c r="L335">
        <v>23</v>
      </c>
      <c r="M335">
        <v>14</v>
      </c>
      <c r="O335" s="30"/>
    </row>
    <row r="336" spans="10:15" x14ac:dyDescent="0.25">
      <c r="J336" t="s">
        <v>1354</v>
      </c>
      <c r="K336" s="22" t="s">
        <v>24</v>
      </c>
      <c r="L336">
        <v>4</v>
      </c>
      <c r="O336" s="30"/>
    </row>
    <row r="337" spans="10:15" x14ac:dyDescent="0.25">
      <c r="J337" t="s">
        <v>1354</v>
      </c>
      <c r="K337" s="22" t="s">
        <v>26</v>
      </c>
      <c r="L337">
        <v>10</v>
      </c>
      <c r="O337" s="30"/>
    </row>
    <row r="338" spans="10:15" x14ac:dyDescent="0.25">
      <c r="J338" t="s">
        <v>1354</v>
      </c>
      <c r="K338" s="22" t="s">
        <v>20</v>
      </c>
      <c r="L338">
        <v>7</v>
      </c>
      <c r="O338" s="30"/>
    </row>
    <row r="339" spans="10:15" x14ac:dyDescent="0.25">
      <c r="J339" t="s">
        <v>1354</v>
      </c>
      <c r="K339" s="22" t="s">
        <v>30</v>
      </c>
      <c r="L339">
        <v>6</v>
      </c>
      <c r="M339">
        <v>1</v>
      </c>
      <c r="O339" s="30"/>
    </row>
    <row r="340" spans="10:15" x14ac:dyDescent="0.25">
      <c r="J340" t="s">
        <v>1354</v>
      </c>
      <c r="K340" s="22" t="s">
        <v>35</v>
      </c>
      <c r="L340">
        <v>2</v>
      </c>
      <c r="O340" s="30"/>
    </row>
    <row r="341" spans="10:15" x14ac:dyDescent="0.25">
      <c r="J341" t="s">
        <v>1354</v>
      </c>
      <c r="K341" s="22" t="s">
        <v>22</v>
      </c>
      <c r="L341">
        <v>2</v>
      </c>
    </row>
    <row r="342" spans="10:15" x14ac:dyDescent="0.25">
      <c r="J342" t="s">
        <v>230</v>
      </c>
      <c r="K342" s="22" t="s">
        <v>24</v>
      </c>
      <c r="L342">
        <v>1</v>
      </c>
      <c r="O342" s="30"/>
    </row>
    <row r="343" spans="10:15" x14ac:dyDescent="0.25">
      <c r="J343" t="s">
        <v>230</v>
      </c>
      <c r="K343" s="22" t="s">
        <v>26</v>
      </c>
      <c r="L343">
        <v>3</v>
      </c>
      <c r="M343">
        <v>1</v>
      </c>
      <c r="O343" s="30"/>
    </row>
    <row r="344" spans="10:15" x14ac:dyDescent="0.25">
      <c r="J344" t="s">
        <v>230</v>
      </c>
      <c r="K344" s="22" t="s">
        <v>20</v>
      </c>
      <c r="L344">
        <v>2</v>
      </c>
      <c r="O344" s="30"/>
    </row>
    <row r="345" spans="10:15" x14ac:dyDescent="0.25">
      <c r="J345" t="s">
        <v>230</v>
      </c>
      <c r="K345" s="22" t="s">
        <v>30</v>
      </c>
      <c r="L345">
        <v>1</v>
      </c>
      <c r="O345" s="30"/>
    </row>
    <row r="346" spans="10:15" x14ac:dyDescent="0.25">
      <c r="J346" t="s">
        <v>230</v>
      </c>
      <c r="K346" s="22" t="s">
        <v>35</v>
      </c>
      <c r="L346">
        <v>1</v>
      </c>
      <c r="O346" s="30"/>
    </row>
    <row r="347" spans="10:15" x14ac:dyDescent="0.25">
      <c r="J347" t="s">
        <v>1804</v>
      </c>
      <c r="K347" s="22" t="s">
        <v>20</v>
      </c>
      <c r="L347">
        <v>2</v>
      </c>
      <c r="M347">
        <v>1</v>
      </c>
      <c r="O347" s="30"/>
    </row>
    <row r="348" spans="10:15" x14ac:dyDescent="0.25">
      <c r="J348" t="s">
        <v>1804</v>
      </c>
      <c r="K348" s="22" t="s">
        <v>31</v>
      </c>
      <c r="L348">
        <v>3</v>
      </c>
      <c r="M348">
        <v>2</v>
      </c>
      <c r="O348" s="31"/>
    </row>
    <row r="349" spans="10:15" x14ac:dyDescent="0.25">
      <c r="J349" t="s">
        <v>2354</v>
      </c>
      <c r="K349" s="22" t="s">
        <v>24</v>
      </c>
      <c r="L349">
        <v>2</v>
      </c>
      <c r="O349" s="30"/>
    </row>
    <row r="350" spans="10:15" x14ac:dyDescent="0.25">
      <c r="J350" t="s">
        <v>2354</v>
      </c>
      <c r="K350" s="22" t="s">
        <v>20</v>
      </c>
      <c r="L350">
        <v>4</v>
      </c>
      <c r="M350">
        <v>4</v>
      </c>
      <c r="O350" s="31"/>
    </row>
    <row r="351" spans="10:15" x14ac:dyDescent="0.25">
      <c r="J351" t="s">
        <v>238</v>
      </c>
      <c r="K351" s="22" t="s">
        <v>24</v>
      </c>
      <c r="L351">
        <v>2</v>
      </c>
      <c r="M351">
        <v>2</v>
      </c>
    </row>
    <row r="352" spans="10:15" x14ac:dyDescent="0.25">
      <c r="J352" t="s">
        <v>238</v>
      </c>
      <c r="K352" s="22" t="s">
        <v>20</v>
      </c>
      <c r="L352">
        <v>2</v>
      </c>
      <c r="O352" s="30"/>
    </row>
    <row r="353" spans="10:15" x14ac:dyDescent="0.25">
      <c r="J353" t="s">
        <v>238</v>
      </c>
      <c r="K353" s="22" t="s">
        <v>22</v>
      </c>
      <c r="L353">
        <v>1</v>
      </c>
    </row>
    <row r="354" spans="10:15" x14ac:dyDescent="0.25">
      <c r="J354" t="s">
        <v>922</v>
      </c>
      <c r="K354" s="22" t="s">
        <v>24</v>
      </c>
      <c r="L354">
        <v>1</v>
      </c>
    </row>
    <row r="355" spans="10:15" x14ac:dyDescent="0.25">
      <c r="J355" t="s">
        <v>922</v>
      </c>
      <c r="K355" s="22" t="s">
        <v>26</v>
      </c>
      <c r="L355">
        <v>4</v>
      </c>
      <c r="M355">
        <v>4</v>
      </c>
      <c r="O355" s="31"/>
    </row>
    <row r="356" spans="10:15" x14ac:dyDescent="0.25">
      <c r="J356" t="s">
        <v>922</v>
      </c>
      <c r="K356" s="22" t="s">
        <v>20</v>
      </c>
      <c r="L356">
        <v>1</v>
      </c>
    </row>
    <row r="357" spans="10:15" x14ac:dyDescent="0.25">
      <c r="J357" t="s">
        <v>922</v>
      </c>
      <c r="K357" s="22" t="s">
        <v>30</v>
      </c>
      <c r="L357">
        <v>3</v>
      </c>
      <c r="O357" s="30"/>
    </row>
    <row r="358" spans="10:15" x14ac:dyDescent="0.25">
      <c r="J358" t="s">
        <v>3390</v>
      </c>
      <c r="K358" s="22" t="s">
        <v>31</v>
      </c>
      <c r="L358">
        <v>1</v>
      </c>
      <c r="O358" s="30"/>
    </row>
    <row r="359" spans="10:15" x14ac:dyDescent="0.25">
      <c r="J359" t="s">
        <v>480</v>
      </c>
      <c r="K359" s="22" t="s">
        <v>20</v>
      </c>
      <c r="L359">
        <v>3</v>
      </c>
      <c r="M359">
        <v>3</v>
      </c>
      <c r="O359" s="31"/>
    </row>
    <row r="360" spans="10:15" x14ac:dyDescent="0.25">
      <c r="J360" t="s">
        <v>151</v>
      </c>
      <c r="K360" s="22" t="s">
        <v>24</v>
      </c>
      <c r="L360">
        <v>2</v>
      </c>
      <c r="O360" s="30"/>
    </row>
    <row r="361" spans="10:15" x14ac:dyDescent="0.25">
      <c r="J361" t="s">
        <v>151</v>
      </c>
      <c r="K361" s="22" t="s">
        <v>26</v>
      </c>
      <c r="L361">
        <v>5</v>
      </c>
      <c r="O361" s="30"/>
    </row>
    <row r="362" spans="10:15" x14ac:dyDescent="0.25">
      <c r="J362" t="s">
        <v>151</v>
      </c>
      <c r="K362" s="22" t="s">
        <v>20</v>
      </c>
      <c r="L362">
        <v>2</v>
      </c>
      <c r="O362" s="30"/>
    </row>
    <row r="363" spans="10:15" x14ac:dyDescent="0.25">
      <c r="J363" t="s">
        <v>151</v>
      </c>
      <c r="K363" s="22" t="s">
        <v>30</v>
      </c>
      <c r="L363">
        <v>1</v>
      </c>
    </row>
    <row r="364" spans="10:15" x14ac:dyDescent="0.25">
      <c r="J364" t="s">
        <v>151</v>
      </c>
      <c r="K364" s="22" t="s">
        <v>35</v>
      </c>
      <c r="L364">
        <v>2</v>
      </c>
    </row>
    <row r="365" spans="10:15" x14ac:dyDescent="0.25">
      <c r="J365" t="s">
        <v>151</v>
      </c>
      <c r="K365" s="22" t="s">
        <v>22</v>
      </c>
      <c r="L365">
        <v>4</v>
      </c>
      <c r="M365">
        <v>2</v>
      </c>
      <c r="O365" s="30"/>
    </row>
    <row r="366" spans="10:15" x14ac:dyDescent="0.25">
      <c r="J366" t="s">
        <v>468</v>
      </c>
      <c r="K366" s="22" t="s">
        <v>24</v>
      </c>
      <c r="L366">
        <v>7</v>
      </c>
      <c r="M366">
        <v>2</v>
      </c>
      <c r="O366" s="30"/>
    </row>
    <row r="367" spans="10:15" x14ac:dyDescent="0.25">
      <c r="J367" t="s">
        <v>468</v>
      </c>
      <c r="K367" s="22" t="s">
        <v>26</v>
      </c>
      <c r="L367">
        <v>5</v>
      </c>
      <c r="O367" s="30"/>
    </row>
    <row r="368" spans="10:15" x14ac:dyDescent="0.25">
      <c r="J368" t="s">
        <v>468</v>
      </c>
      <c r="K368" s="22" t="s">
        <v>20</v>
      </c>
      <c r="L368">
        <v>4</v>
      </c>
      <c r="M368">
        <v>1</v>
      </c>
      <c r="O368" s="30"/>
    </row>
    <row r="369" spans="10:15" x14ac:dyDescent="0.25">
      <c r="J369" t="s">
        <v>468</v>
      </c>
      <c r="K369" s="22" t="s">
        <v>30</v>
      </c>
      <c r="L369">
        <v>2</v>
      </c>
      <c r="O369" s="30"/>
    </row>
    <row r="370" spans="10:15" x14ac:dyDescent="0.25">
      <c r="J370" t="s">
        <v>468</v>
      </c>
      <c r="K370" s="22" t="s">
        <v>35</v>
      </c>
      <c r="L370">
        <v>4</v>
      </c>
      <c r="M370">
        <v>1</v>
      </c>
      <c r="O370" s="30"/>
    </row>
    <row r="371" spans="10:15" x14ac:dyDescent="0.25">
      <c r="J371" t="s">
        <v>468</v>
      </c>
      <c r="K371" s="22" t="s">
        <v>31</v>
      </c>
      <c r="L371">
        <v>3</v>
      </c>
      <c r="O371" s="30"/>
    </row>
    <row r="372" spans="10:15" x14ac:dyDescent="0.25">
      <c r="J372" t="s">
        <v>710</v>
      </c>
      <c r="K372" s="22" t="s">
        <v>24</v>
      </c>
      <c r="L372">
        <v>2</v>
      </c>
      <c r="O372" s="30"/>
    </row>
    <row r="373" spans="10:15" x14ac:dyDescent="0.25">
      <c r="J373" t="s">
        <v>710</v>
      </c>
      <c r="K373" s="22" t="s">
        <v>26</v>
      </c>
      <c r="L373">
        <v>3</v>
      </c>
      <c r="M373">
        <v>2</v>
      </c>
    </row>
    <row r="374" spans="10:15" x14ac:dyDescent="0.25">
      <c r="J374" t="s">
        <v>710</v>
      </c>
      <c r="K374" s="22" t="s">
        <v>30</v>
      </c>
      <c r="L374">
        <v>1</v>
      </c>
      <c r="M374">
        <v>1</v>
      </c>
    </row>
    <row r="375" spans="10:15" x14ac:dyDescent="0.25">
      <c r="J375" t="s">
        <v>288</v>
      </c>
      <c r="K375" s="22" t="s">
        <v>24</v>
      </c>
      <c r="L375">
        <v>5</v>
      </c>
      <c r="M375">
        <v>2</v>
      </c>
      <c r="O375" s="31"/>
    </row>
    <row r="376" spans="10:15" x14ac:dyDescent="0.25">
      <c r="J376" t="s">
        <v>288</v>
      </c>
      <c r="K376" s="22" t="s">
        <v>26</v>
      </c>
      <c r="L376">
        <v>5</v>
      </c>
      <c r="O376" s="30"/>
    </row>
    <row r="377" spans="10:15" x14ac:dyDescent="0.25">
      <c r="J377" t="s">
        <v>288</v>
      </c>
      <c r="K377" s="22" t="s">
        <v>20</v>
      </c>
      <c r="L377">
        <v>4</v>
      </c>
      <c r="O377" s="30"/>
    </row>
    <row r="378" spans="10:15" x14ac:dyDescent="0.25">
      <c r="J378" t="s">
        <v>288</v>
      </c>
      <c r="K378" s="22" t="s">
        <v>30</v>
      </c>
      <c r="L378">
        <v>4</v>
      </c>
      <c r="M378">
        <v>2</v>
      </c>
    </row>
    <row r="379" spans="10:15" x14ac:dyDescent="0.25">
      <c r="J379" t="s">
        <v>288</v>
      </c>
      <c r="K379" s="22" t="s">
        <v>22</v>
      </c>
      <c r="L379">
        <v>1</v>
      </c>
    </row>
    <row r="380" spans="10:15" x14ac:dyDescent="0.25">
      <c r="J380" t="s">
        <v>288</v>
      </c>
      <c r="K380" s="22" t="s">
        <v>31</v>
      </c>
      <c r="L380">
        <v>4</v>
      </c>
      <c r="M380">
        <v>3</v>
      </c>
      <c r="O380" s="31"/>
    </row>
    <row r="381" spans="10:15" x14ac:dyDescent="0.25">
      <c r="J381" t="s">
        <v>1366</v>
      </c>
      <c r="K381" s="22" t="s">
        <v>22</v>
      </c>
      <c r="L381">
        <v>6</v>
      </c>
      <c r="M381">
        <v>6</v>
      </c>
      <c r="O381" s="31"/>
    </row>
    <row r="382" spans="10:15" x14ac:dyDescent="0.25">
      <c r="J382" t="s">
        <v>2768</v>
      </c>
      <c r="K382" s="22" t="s">
        <v>20</v>
      </c>
      <c r="L382">
        <v>1</v>
      </c>
    </row>
    <row r="383" spans="10:15" x14ac:dyDescent="0.25">
      <c r="J383" t="s">
        <v>2768</v>
      </c>
      <c r="K383" s="22" t="s">
        <v>31</v>
      </c>
      <c r="L383">
        <v>2</v>
      </c>
      <c r="M383">
        <v>2</v>
      </c>
      <c r="O383" s="31"/>
    </row>
    <row r="384" spans="10:15" x14ac:dyDescent="0.25">
      <c r="J384" t="s">
        <v>1039</v>
      </c>
      <c r="K384" s="22" t="s">
        <v>24</v>
      </c>
      <c r="L384">
        <v>2</v>
      </c>
      <c r="O384" s="30"/>
    </row>
    <row r="385" spans="10:15" x14ac:dyDescent="0.25">
      <c r="J385" t="s">
        <v>1039</v>
      </c>
      <c r="K385" s="22" t="s">
        <v>26</v>
      </c>
      <c r="L385">
        <v>3</v>
      </c>
    </row>
    <row r="386" spans="10:15" x14ac:dyDescent="0.25">
      <c r="J386" t="s">
        <v>1039</v>
      </c>
      <c r="K386" s="22" t="s">
        <v>20</v>
      </c>
      <c r="L386">
        <v>4</v>
      </c>
      <c r="O386" s="30"/>
    </row>
    <row r="387" spans="10:15" x14ac:dyDescent="0.25">
      <c r="J387" t="s">
        <v>1039</v>
      </c>
      <c r="K387" s="22" t="s">
        <v>30</v>
      </c>
      <c r="L387">
        <v>3</v>
      </c>
      <c r="M387">
        <v>1</v>
      </c>
    </row>
    <row r="388" spans="10:15" x14ac:dyDescent="0.25">
      <c r="J388" t="s">
        <v>501</v>
      </c>
      <c r="K388" s="22" t="s">
        <v>26</v>
      </c>
      <c r="L388">
        <v>1</v>
      </c>
    </row>
    <row r="389" spans="10:15" x14ac:dyDescent="0.25">
      <c r="J389" t="s">
        <v>501</v>
      </c>
      <c r="K389" s="22" t="s">
        <v>20</v>
      </c>
      <c r="L389">
        <v>1</v>
      </c>
    </row>
    <row r="390" spans="10:15" x14ac:dyDescent="0.25">
      <c r="J390" t="s">
        <v>501</v>
      </c>
      <c r="K390" s="22" t="s">
        <v>30</v>
      </c>
      <c r="L390">
        <v>1</v>
      </c>
      <c r="M390">
        <v>1</v>
      </c>
    </row>
    <row r="391" spans="10:15" x14ac:dyDescent="0.25">
      <c r="J391" t="s">
        <v>1659</v>
      </c>
      <c r="K391" s="22" t="s">
        <v>24</v>
      </c>
      <c r="L391">
        <v>2</v>
      </c>
      <c r="O391" s="30"/>
    </row>
    <row r="392" spans="10:15" x14ac:dyDescent="0.25">
      <c r="J392" t="s">
        <v>1659</v>
      </c>
      <c r="K392" s="22" t="s">
        <v>26</v>
      </c>
      <c r="L392">
        <v>1</v>
      </c>
    </row>
    <row r="393" spans="10:15" x14ac:dyDescent="0.25">
      <c r="J393" t="s">
        <v>1659</v>
      </c>
      <c r="K393" s="22" t="s">
        <v>20</v>
      </c>
      <c r="L393">
        <v>1</v>
      </c>
      <c r="O393" s="30"/>
    </row>
    <row r="394" spans="10:15" x14ac:dyDescent="0.25">
      <c r="J394" t="s">
        <v>1659</v>
      </c>
      <c r="K394" s="22" t="s">
        <v>30</v>
      </c>
      <c r="L394">
        <v>1</v>
      </c>
    </row>
    <row r="395" spans="10:15" x14ac:dyDescent="0.25">
      <c r="J395" t="s">
        <v>48</v>
      </c>
      <c r="K395" s="22" t="s">
        <v>24</v>
      </c>
      <c r="L395">
        <v>16</v>
      </c>
      <c r="M395">
        <v>11</v>
      </c>
      <c r="O395" s="30"/>
    </row>
    <row r="396" spans="10:15" x14ac:dyDescent="0.25">
      <c r="J396" t="s">
        <v>48</v>
      </c>
      <c r="K396" s="22" t="s">
        <v>26</v>
      </c>
      <c r="L396">
        <v>5</v>
      </c>
      <c r="M396">
        <v>3</v>
      </c>
      <c r="O396" s="30"/>
    </row>
    <row r="397" spans="10:15" x14ac:dyDescent="0.25">
      <c r="J397" t="s">
        <v>48</v>
      </c>
      <c r="K397" s="22" t="s">
        <v>20</v>
      </c>
      <c r="L397">
        <v>11</v>
      </c>
      <c r="M397">
        <v>3</v>
      </c>
      <c r="O397" s="30"/>
    </row>
    <row r="398" spans="10:15" x14ac:dyDescent="0.25">
      <c r="J398" t="s">
        <v>48</v>
      </c>
      <c r="K398" s="22" t="s">
        <v>29</v>
      </c>
      <c r="L398">
        <v>6</v>
      </c>
      <c r="M398">
        <v>4</v>
      </c>
      <c r="O398" s="30"/>
    </row>
    <row r="399" spans="10:15" x14ac:dyDescent="0.25">
      <c r="J399" t="s">
        <v>48</v>
      </c>
      <c r="K399" s="22" t="s">
        <v>28</v>
      </c>
      <c r="L399">
        <v>6</v>
      </c>
      <c r="M399">
        <v>4</v>
      </c>
      <c r="O399" s="30"/>
    </row>
    <row r="400" spans="10:15" x14ac:dyDescent="0.25">
      <c r="J400" t="s">
        <v>48</v>
      </c>
      <c r="K400" s="22" t="s">
        <v>35</v>
      </c>
      <c r="L400">
        <v>8</v>
      </c>
      <c r="M400">
        <v>5</v>
      </c>
      <c r="O400" s="31"/>
    </row>
    <row r="401" spans="10:15" x14ac:dyDescent="0.25">
      <c r="J401" t="s">
        <v>48</v>
      </c>
      <c r="K401" s="22" t="s">
        <v>22</v>
      </c>
      <c r="L401">
        <v>3</v>
      </c>
      <c r="M401">
        <v>1</v>
      </c>
      <c r="O401" s="30"/>
    </row>
    <row r="402" spans="10:15" x14ac:dyDescent="0.25">
      <c r="J402" t="s">
        <v>65</v>
      </c>
      <c r="K402" s="22" t="s">
        <v>24</v>
      </c>
      <c r="L402">
        <v>6</v>
      </c>
      <c r="M402">
        <v>2</v>
      </c>
    </row>
    <row r="403" spans="10:15" x14ac:dyDescent="0.25">
      <c r="J403" t="s">
        <v>65</v>
      </c>
      <c r="K403" s="22" t="s">
        <v>26</v>
      </c>
      <c r="L403">
        <v>5</v>
      </c>
      <c r="M403">
        <v>3</v>
      </c>
      <c r="O403" s="31"/>
    </row>
    <row r="404" spans="10:15" x14ac:dyDescent="0.25">
      <c r="J404" t="s">
        <v>65</v>
      </c>
      <c r="K404" s="22" t="s">
        <v>20</v>
      </c>
      <c r="L404">
        <v>10</v>
      </c>
      <c r="M404">
        <v>6</v>
      </c>
      <c r="O404" s="30"/>
    </row>
    <row r="405" spans="10:15" x14ac:dyDescent="0.25">
      <c r="J405" t="s">
        <v>65</v>
      </c>
      <c r="K405" s="22" t="s">
        <v>29</v>
      </c>
      <c r="L405">
        <v>8</v>
      </c>
      <c r="M405">
        <v>7</v>
      </c>
      <c r="O405" s="31"/>
    </row>
    <row r="406" spans="10:15" x14ac:dyDescent="0.25">
      <c r="J406" t="s">
        <v>65</v>
      </c>
      <c r="K406" s="22" t="s">
        <v>28</v>
      </c>
      <c r="L406">
        <v>9</v>
      </c>
      <c r="M406">
        <v>7</v>
      </c>
      <c r="O406" s="30"/>
    </row>
    <row r="407" spans="10:15" x14ac:dyDescent="0.25">
      <c r="J407" t="s">
        <v>65</v>
      </c>
      <c r="K407" s="22" t="s">
        <v>35</v>
      </c>
      <c r="L407">
        <v>10</v>
      </c>
      <c r="M407">
        <v>6</v>
      </c>
      <c r="O407" s="31"/>
    </row>
    <row r="408" spans="10:15" x14ac:dyDescent="0.25">
      <c r="J408" t="s">
        <v>65</v>
      </c>
      <c r="K408" s="22" t="s">
        <v>31</v>
      </c>
      <c r="L408">
        <v>2</v>
      </c>
      <c r="M408">
        <v>1</v>
      </c>
      <c r="O408" s="30"/>
    </row>
    <row r="409" spans="10:15" x14ac:dyDescent="0.25">
      <c r="J409" t="s">
        <v>255</v>
      </c>
      <c r="K409" s="22" t="s">
        <v>24</v>
      </c>
      <c r="L409">
        <v>3</v>
      </c>
      <c r="O409" s="30"/>
    </row>
    <row r="410" spans="10:15" x14ac:dyDescent="0.25">
      <c r="J410" t="s">
        <v>255</v>
      </c>
      <c r="K410" s="22" t="s">
        <v>26</v>
      </c>
      <c r="L410">
        <v>6</v>
      </c>
      <c r="M410">
        <v>1</v>
      </c>
      <c r="O410" s="30"/>
    </row>
    <row r="411" spans="10:15" x14ac:dyDescent="0.25">
      <c r="J411" t="s">
        <v>255</v>
      </c>
      <c r="K411" s="22" t="s">
        <v>20</v>
      </c>
      <c r="L411">
        <v>4</v>
      </c>
      <c r="O411" s="30"/>
    </row>
    <row r="412" spans="10:15" x14ac:dyDescent="0.25">
      <c r="J412" t="s">
        <v>255</v>
      </c>
      <c r="K412" s="22" t="s">
        <v>29</v>
      </c>
      <c r="L412">
        <v>2</v>
      </c>
      <c r="M412">
        <v>1</v>
      </c>
      <c r="O412" s="31"/>
    </row>
    <row r="413" spans="10:15" x14ac:dyDescent="0.25">
      <c r="J413" t="s">
        <v>255</v>
      </c>
      <c r="K413" s="22" t="s">
        <v>28</v>
      </c>
      <c r="L413">
        <v>3</v>
      </c>
      <c r="M413">
        <v>2</v>
      </c>
      <c r="O413" s="31"/>
    </row>
    <row r="414" spans="10:15" x14ac:dyDescent="0.25">
      <c r="J414" t="s">
        <v>255</v>
      </c>
      <c r="K414" s="22" t="s">
        <v>35</v>
      </c>
      <c r="L414">
        <v>2</v>
      </c>
      <c r="M414">
        <v>1</v>
      </c>
      <c r="O414" s="30"/>
    </row>
    <row r="415" spans="10:15" x14ac:dyDescent="0.25">
      <c r="J415" t="s">
        <v>1587</v>
      </c>
      <c r="K415" s="22" t="s">
        <v>29</v>
      </c>
      <c r="L415">
        <v>2</v>
      </c>
      <c r="M415">
        <v>1</v>
      </c>
      <c r="O415" s="31"/>
    </row>
    <row r="416" spans="10:15" x14ac:dyDescent="0.25">
      <c r="J416" t="s">
        <v>1587</v>
      </c>
      <c r="K416" s="22" t="s">
        <v>28</v>
      </c>
      <c r="L416">
        <v>2</v>
      </c>
      <c r="M416">
        <v>2</v>
      </c>
    </row>
    <row r="417" spans="10:15" x14ac:dyDescent="0.25">
      <c r="J417" t="s">
        <v>58</v>
      </c>
      <c r="K417" s="22" t="s">
        <v>24</v>
      </c>
      <c r="L417">
        <v>9</v>
      </c>
      <c r="M417">
        <v>3</v>
      </c>
      <c r="O417" s="30"/>
    </row>
    <row r="418" spans="10:15" x14ac:dyDescent="0.25">
      <c r="J418" t="s">
        <v>58</v>
      </c>
      <c r="K418" s="22" t="s">
        <v>26</v>
      </c>
      <c r="L418">
        <v>7</v>
      </c>
      <c r="M418">
        <v>2</v>
      </c>
      <c r="O418" s="30"/>
    </row>
    <row r="419" spans="10:15" x14ac:dyDescent="0.25">
      <c r="J419" t="s">
        <v>58</v>
      </c>
      <c r="K419" s="22" t="s">
        <v>20</v>
      </c>
      <c r="L419">
        <v>6</v>
      </c>
      <c r="M419">
        <v>2</v>
      </c>
      <c r="O419" s="30"/>
    </row>
    <row r="420" spans="10:15" x14ac:dyDescent="0.25">
      <c r="J420" t="s">
        <v>58</v>
      </c>
      <c r="K420" s="22" t="s">
        <v>29</v>
      </c>
      <c r="L420">
        <v>11</v>
      </c>
      <c r="M420">
        <v>10</v>
      </c>
      <c r="O420" s="31"/>
    </row>
    <row r="421" spans="10:15" x14ac:dyDescent="0.25">
      <c r="J421" t="s">
        <v>58</v>
      </c>
      <c r="K421" s="22" t="s">
        <v>28</v>
      </c>
      <c r="L421">
        <v>16</v>
      </c>
      <c r="M421">
        <v>12</v>
      </c>
      <c r="O421" s="31"/>
    </row>
    <row r="422" spans="10:15" x14ac:dyDescent="0.25">
      <c r="J422" t="s">
        <v>58</v>
      </c>
      <c r="K422" s="22" t="s">
        <v>31</v>
      </c>
      <c r="L422">
        <v>3</v>
      </c>
      <c r="M422">
        <v>2</v>
      </c>
      <c r="O422" s="30"/>
    </row>
    <row r="423" spans="10:15" x14ac:dyDescent="0.25">
      <c r="J423" t="s">
        <v>68</v>
      </c>
      <c r="K423" s="22" t="s">
        <v>24</v>
      </c>
      <c r="L423">
        <v>2</v>
      </c>
      <c r="O423" s="30"/>
    </row>
    <row r="424" spans="10:15" x14ac:dyDescent="0.25">
      <c r="J424" t="s">
        <v>68</v>
      </c>
      <c r="K424" s="22" t="s">
        <v>26</v>
      </c>
      <c r="L424">
        <v>5</v>
      </c>
      <c r="O424" s="30"/>
    </row>
    <row r="425" spans="10:15" x14ac:dyDescent="0.25">
      <c r="J425" t="s">
        <v>68</v>
      </c>
      <c r="K425" s="22" t="s">
        <v>20</v>
      </c>
      <c r="L425">
        <v>3</v>
      </c>
      <c r="M425">
        <v>1</v>
      </c>
      <c r="O425" s="30"/>
    </row>
    <row r="426" spans="10:15" x14ac:dyDescent="0.25">
      <c r="J426" t="s">
        <v>68</v>
      </c>
      <c r="K426" s="22" t="s">
        <v>29</v>
      </c>
      <c r="L426">
        <v>1</v>
      </c>
    </row>
    <row r="427" spans="10:15" x14ac:dyDescent="0.25">
      <c r="J427" t="s">
        <v>68</v>
      </c>
      <c r="K427" s="22" t="s">
        <v>28</v>
      </c>
      <c r="L427">
        <v>2</v>
      </c>
      <c r="O427" s="30"/>
    </row>
    <row r="428" spans="10:15" x14ac:dyDescent="0.25">
      <c r="J428" t="s">
        <v>68</v>
      </c>
      <c r="K428" s="22" t="s">
        <v>22</v>
      </c>
      <c r="L428">
        <v>1</v>
      </c>
    </row>
    <row r="429" spans="10:15" x14ac:dyDescent="0.25">
      <c r="J429" t="s">
        <v>2989</v>
      </c>
      <c r="K429" s="22" t="s">
        <v>24</v>
      </c>
      <c r="L429">
        <v>1</v>
      </c>
      <c r="O429" s="30"/>
    </row>
    <row r="430" spans="10:15" x14ac:dyDescent="0.25">
      <c r="J430" t="s">
        <v>2989</v>
      </c>
      <c r="K430" s="22" t="s">
        <v>26</v>
      </c>
      <c r="L430">
        <v>2</v>
      </c>
      <c r="M430">
        <v>1</v>
      </c>
      <c r="O430" s="30"/>
    </row>
    <row r="431" spans="10:15" x14ac:dyDescent="0.25">
      <c r="J431" t="s">
        <v>1141</v>
      </c>
      <c r="K431" s="22" t="s">
        <v>24</v>
      </c>
      <c r="L431">
        <v>3</v>
      </c>
    </row>
    <row r="432" spans="10:15" x14ac:dyDescent="0.25">
      <c r="J432" t="s">
        <v>1141</v>
      </c>
      <c r="K432" s="22" t="s">
        <v>26</v>
      </c>
      <c r="L432">
        <v>6</v>
      </c>
      <c r="O432" s="30"/>
    </row>
    <row r="433" spans="10:15" x14ac:dyDescent="0.25">
      <c r="J433" t="s">
        <v>1141</v>
      </c>
      <c r="K433" s="22" t="s">
        <v>20</v>
      </c>
      <c r="L433">
        <v>6</v>
      </c>
      <c r="M433">
        <v>2</v>
      </c>
      <c r="O433" s="30"/>
    </row>
    <row r="434" spans="10:15" x14ac:dyDescent="0.25">
      <c r="J434" t="s">
        <v>1141</v>
      </c>
      <c r="K434" s="22" t="s">
        <v>29</v>
      </c>
      <c r="L434">
        <v>2</v>
      </c>
      <c r="O434" s="30"/>
    </row>
    <row r="435" spans="10:15" x14ac:dyDescent="0.25">
      <c r="J435" t="s">
        <v>1141</v>
      </c>
      <c r="K435" s="22" t="s">
        <v>28</v>
      </c>
      <c r="L435">
        <v>6</v>
      </c>
      <c r="M435">
        <v>2</v>
      </c>
      <c r="O435" s="30"/>
    </row>
    <row r="436" spans="10:15" x14ac:dyDescent="0.25">
      <c r="J436" t="s">
        <v>1141</v>
      </c>
      <c r="K436" s="22" t="s">
        <v>31</v>
      </c>
      <c r="L436">
        <v>3</v>
      </c>
      <c r="M436">
        <v>2</v>
      </c>
    </row>
    <row r="437" spans="10:15" x14ac:dyDescent="0.25">
      <c r="J437" t="s">
        <v>2196</v>
      </c>
      <c r="K437" s="22" t="s">
        <v>35</v>
      </c>
      <c r="L437">
        <v>2</v>
      </c>
      <c r="M437">
        <v>2</v>
      </c>
    </row>
    <row r="438" spans="10:15" x14ac:dyDescent="0.25">
      <c r="J438" t="s">
        <v>585</v>
      </c>
      <c r="K438" s="22" t="s">
        <v>24</v>
      </c>
      <c r="L438">
        <v>3</v>
      </c>
      <c r="M438">
        <v>2</v>
      </c>
      <c r="O438" s="31"/>
    </row>
    <row r="439" spans="10:15" x14ac:dyDescent="0.25">
      <c r="J439" t="s">
        <v>585</v>
      </c>
      <c r="K439" s="22" t="s">
        <v>26</v>
      </c>
      <c r="L439">
        <v>2</v>
      </c>
      <c r="O439" s="30"/>
    </row>
    <row r="440" spans="10:15" x14ac:dyDescent="0.25">
      <c r="J440" t="s">
        <v>585</v>
      </c>
      <c r="K440" s="22" t="s">
        <v>20</v>
      </c>
      <c r="L440">
        <v>1</v>
      </c>
      <c r="O440" s="30"/>
    </row>
    <row r="441" spans="10:15" x14ac:dyDescent="0.25">
      <c r="J441" t="s">
        <v>585</v>
      </c>
      <c r="K441" s="22" t="s">
        <v>29</v>
      </c>
      <c r="L441">
        <v>1</v>
      </c>
      <c r="M441">
        <v>1</v>
      </c>
      <c r="O441" s="31"/>
    </row>
    <row r="442" spans="10:15" x14ac:dyDescent="0.25">
      <c r="J442" t="s">
        <v>827</v>
      </c>
      <c r="K442" s="22" t="s">
        <v>26</v>
      </c>
      <c r="L442">
        <v>6</v>
      </c>
      <c r="M442">
        <v>4</v>
      </c>
      <c r="O442" s="30"/>
    </row>
    <row r="443" spans="10:15" x14ac:dyDescent="0.25">
      <c r="J443" t="s">
        <v>827</v>
      </c>
      <c r="K443" s="22" t="s">
        <v>31</v>
      </c>
      <c r="L443">
        <v>3</v>
      </c>
      <c r="M443">
        <v>3</v>
      </c>
      <c r="O443" s="31"/>
    </row>
    <row r="444" spans="10:15" x14ac:dyDescent="0.25">
      <c r="J444" t="s">
        <v>55</v>
      </c>
      <c r="K444" s="22" t="s">
        <v>24</v>
      </c>
      <c r="L444">
        <v>22</v>
      </c>
      <c r="M444">
        <v>17</v>
      </c>
      <c r="O444" s="31"/>
    </row>
    <row r="445" spans="10:15" x14ac:dyDescent="0.25">
      <c r="J445" t="s">
        <v>55</v>
      </c>
      <c r="K445" s="22" t="s">
        <v>20</v>
      </c>
      <c r="L445">
        <v>9</v>
      </c>
      <c r="M445">
        <v>8</v>
      </c>
      <c r="O445" s="30"/>
    </row>
    <row r="446" spans="10:15" x14ac:dyDescent="0.25">
      <c r="J446" t="s">
        <v>448</v>
      </c>
      <c r="K446" s="22" t="s">
        <v>20</v>
      </c>
      <c r="L446">
        <v>3</v>
      </c>
      <c r="M446">
        <v>3</v>
      </c>
      <c r="O446" s="31"/>
    </row>
    <row r="447" spans="10:15" x14ac:dyDescent="0.25">
      <c r="J447" t="s">
        <v>448</v>
      </c>
      <c r="K447" s="22" t="s">
        <v>29</v>
      </c>
      <c r="L447">
        <v>2</v>
      </c>
      <c r="M447">
        <v>1</v>
      </c>
    </row>
    <row r="448" spans="10:15" x14ac:dyDescent="0.25">
      <c r="J448" t="s">
        <v>1545</v>
      </c>
      <c r="K448" s="22" t="s">
        <v>20</v>
      </c>
      <c r="L448">
        <v>2</v>
      </c>
      <c r="M448">
        <v>2</v>
      </c>
    </row>
    <row r="449" spans="10:15" x14ac:dyDescent="0.25">
      <c r="J449" t="s">
        <v>1545</v>
      </c>
      <c r="K449" s="22" t="s">
        <v>35</v>
      </c>
      <c r="L449">
        <v>1</v>
      </c>
    </row>
    <row r="450" spans="10:15" x14ac:dyDescent="0.25">
      <c r="J450" t="s">
        <v>2046</v>
      </c>
      <c r="K450" s="22" t="s">
        <v>26</v>
      </c>
      <c r="L450">
        <v>1</v>
      </c>
      <c r="O450" s="30"/>
    </row>
    <row r="451" spans="10:15" x14ac:dyDescent="0.25">
      <c r="J451" t="s">
        <v>2046</v>
      </c>
      <c r="K451" s="22" t="s">
        <v>20</v>
      </c>
      <c r="L451">
        <v>1</v>
      </c>
    </row>
    <row r="452" spans="10:15" x14ac:dyDescent="0.25">
      <c r="J452" t="s">
        <v>2046</v>
      </c>
      <c r="K452" s="22" t="s">
        <v>29</v>
      </c>
      <c r="L452">
        <v>2</v>
      </c>
      <c r="M452">
        <v>1</v>
      </c>
    </row>
    <row r="453" spans="10:15" x14ac:dyDescent="0.25">
      <c r="J453" t="s">
        <v>2046</v>
      </c>
      <c r="K453" s="22" t="s">
        <v>35</v>
      </c>
      <c r="L453">
        <v>2</v>
      </c>
      <c r="M453">
        <v>1</v>
      </c>
    </row>
    <row r="454" spans="10:15" x14ac:dyDescent="0.25">
      <c r="J454" t="s">
        <v>3066</v>
      </c>
      <c r="K454" s="22" t="s">
        <v>24</v>
      </c>
      <c r="L454">
        <v>1</v>
      </c>
      <c r="M454">
        <v>1</v>
      </c>
      <c r="O454" s="31"/>
    </row>
    <row r="455" spans="10:15" x14ac:dyDescent="0.25">
      <c r="J455" t="s">
        <v>3066</v>
      </c>
      <c r="K455" s="22" t="s">
        <v>29</v>
      </c>
      <c r="L455">
        <v>1</v>
      </c>
      <c r="O455" s="30"/>
    </row>
    <row r="456" spans="10:15" x14ac:dyDescent="0.25">
      <c r="J456" t="s">
        <v>1502</v>
      </c>
      <c r="K456" s="22" t="s">
        <v>24</v>
      </c>
      <c r="L456">
        <v>7</v>
      </c>
      <c r="M456">
        <v>7</v>
      </c>
      <c r="O456" s="31"/>
    </row>
    <row r="457" spans="10:15" x14ac:dyDescent="0.25">
      <c r="J457" t="s">
        <v>3123</v>
      </c>
      <c r="K457" s="22" t="s">
        <v>29</v>
      </c>
      <c r="L457">
        <v>1</v>
      </c>
      <c r="O457" s="30"/>
    </row>
    <row r="458" spans="10:15" x14ac:dyDescent="0.25">
      <c r="J458" t="s">
        <v>672</v>
      </c>
      <c r="K458" s="22" t="s">
        <v>24</v>
      </c>
      <c r="L458">
        <v>8</v>
      </c>
      <c r="O458" s="30"/>
    </row>
    <row r="459" spans="10:15" x14ac:dyDescent="0.25">
      <c r="J459" t="s">
        <v>672</v>
      </c>
      <c r="K459" s="22" t="s">
        <v>26</v>
      </c>
      <c r="L459">
        <v>4</v>
      </c>
      <c r="O459" s="30"/>
    </row>
    <row r="460" spans="10:15" x14ac:dyDescent="0.25">
      <c r="J460" t="s">
        <v>672</v>
      </c>
      <c r="K460" s="22" t="s">
        <v>20</v>
      </c>
      <c r="L460">
        <v>1</v>
      </c>
    </row>
    <row r="461" spans="10:15" x14ac:dyDescent="0.25">
      <c r="J461" t="s">
        <v>672</v>
      </c>
      <c r="K461" s="22" t="s">
        <v>29</v>
      </c>
      <c r="L461">
        <v>2</v>
      </c>
      <c r="O461" s="30"/>
    </row>
    <row r="462" spans="10:15" x14ac:dyDescent="0.25">
      <c r="J462" t="s">
        <v>672</v>
      </c>
      <c r="K462" s="22" t="s">
        <v>22</v>
      </c>
      <c r="L462">
        <v>1</v>
      </c>
    </row>
    <row r="463" spans="10:15" x14ac:dyDescent="0.25">
      <c r="J463" t="s">
        <v>672</v>
      </c>
      <c r="K463" s="22" t="s">
        <v>31</v>
      </c>
      <c r="L463">
        <v>2</v>
      </c>
      <c r="O463" s="30"/>
    </row>
    <row r="464" spans="10:15" x14ac:dyDescent="0.25">
      <c r="J464" t="s">
        <v>3299</v>
      </c>
      <c r="K464" s="22" t="s">
        <v>24</v>
      </c>
      <c r="L464">
        <v>1</v>
      </c>
      <c r="M464">
        <v>1</v>
      </c>
      <c r="O464" s="31"/>
    </row>
    <row r="465" spans="10:15" x14ac:dyDescent="0.25">
      <c r="J465" t="s">
        <v>818</v>
      </c>
      <c r="K465" s="22" t="s">
        <v>24</v>
      </c>
      <c r="L465">
        <v>1</v>
      </c>
    </row>
    <row r="466" spans="10:15" x14ac:dyDescent="0.25">
      <c r="J466" t="s">
        <v>2047</v>
      </c>
      <c r="K466" s="22" t="s">
        <v>24</v>
      </c>
      <c r="L466">
        <v>1</v>
      </c>
      <c r="M466">
        <v>1</v>
      </c>
      <c r="O466" s="31"/>
    </row>
    <row r="467" spans="10:15" x14ac:dyDescent="0.25">
      <c r="J467" t="s">
        <v>2047</v>
      </c>
      <c r="K467" s="22" t="s">
        <v>20</v>
      </c>
      <c r="L467">
        <v>1</v>
      </c>
    </row>
    <row r="468" spans="10:15" x14ac:dyDescent="0.25">
      <c r="J468" t="s">
        <v>3244</v>
      </c>
      <c r="K468" s="22" t="s">
        <v>24</v>
      </c>
      <c r="L468">
        <v>1</v>
      </c>
      <c r="M468">
        <v>1</v>
      </c>
      <c r="O468" s="31"/>
    </row>
    <row r="469" spans="10:15" x14ac:dyDescent="0.25">
      <c r="J469" t="s">
        <v>2896</v>
      </c>
      <c r="K469" s="22" t="s">
        <v>26</v>
      </c>
      <c r="L469">
        <v>2</v>
      </c>
      <c r="M469">
        <v>2</v>
      </c>
      <c r="O469" s="31"/>
    </row>
    <row r="470" spans="10:15" x14ac:dyDescent="0.25">
      <c r="J470" t="s">
        <v>1286</v>
      </c>
      <c r="K470" s="22" t="s">
        <v>26</v>
      </c>
      <c r="L470">
        <v>2</v>
      </c>
      <c r="O470" s="30"/>
    </row>
    <row r="471" spans="10:15" x14ac:dyDescent="0.25">
      <c r="J471" t="s">
        <v>1286</v>
      </c>
      <c r="K471" s="22" t="s">
        <v>31</v>
      </c>
      <c r="L471">
        <v>3</v>
      </c>
      <c r="M471">
        <v>3</v>
      </c>
      <c r="O471" s="31"/>
    </row>
    <row r="472" spans="10:15" x14ac:dyDescent="0.25">
      <c r="J472" t="s">
        <v>1336</v>
      </c>
      <c r="K472" s="22" t="s">
        <v>35</v>
      </c>
      <c r="L472">
        <v>2</v>
      </c>
      <c r="M472">
        <v>1</v>
      </c>
      <c r="O472" s="30"/>
    </row>
    <row r="473" spans="10:15" x14ac:dyDescent="0.25">
      <c r="J473" t="s">
        <v>1336</v>
      </c>
      <c r="K473" s="22" t="s">
        <v>22</v>
      </c>
      <c r="L473">
        <v>2</v>
      </c>
      <c r="O473" s="30"/>
    </row>
    <row r="474" spans="10:15" x14ac:dyDescent="0.25">
      <c r="J474" t="s">
        <v>161</v>
      </c>
      <c r="K474" s="22" t="s">
        <v>31</v>
      </c>
      <c r="L474">
        <v>3</v>
      </c>
      <c r="M474">
        <v>3</v>
      </c>
      <c r="O474" s="31"/>
    </row>
    <row r="475" spans="10:15" x14ac:dyDescent="0.25">
      <c r="J475" t="s">
        <v>851</v>
      </c>
      <c r="K475" s="22" t="s">
        <v>35</v>
      </c>
      <c r="L475">
        <v>2</v>
      </c>
      <c r="M475">
        <v>1</v>
      </c>
    </row>
    <row r="476" spans="10:15" x14ac:dyDescent="0.25">
      <c r="J476" t="s">
        <v>906</v>
      </c>
      <c r="K476" s="22" t="s">
        <v>24</v>
      </c>
      <c r="L476">
        <v>1</v>
      </c>
      <c r="M476">
        <v>1</v>
      </c>
    </row>
    <row r="477" spans="10:15" x14ac:dyDescent="0.25">
      <c r="J477" t="s">
        <v>906</v>
      </c>
      <c r="K477" s="22" t="s">
        <v>26</v>
      </c>
      <c r="L477">
        <v>2</v>
      </c>
      <c r="M477">
        <v>1</v>
      </c>
    </row>
    <row r="478" spans="10:15" x14ac:dyDescent="0.25">
      <c r="J478" t="s">
        <v>2348</v>
      </c>
      <c r="K478" s="22" t="s">
        <v>22</v>
      </c>
      <c r="L478">
        <v>1</v>
      </c>
      <c r="M478">
        <v>1</v>
      </c>
    </row>
    <row r="479" spans="10:15" x14ac:dyDescent="0.25">
      <c r="J479" t="s">
        <v>1850</v>
      </c>
      <c r="K479" s="22" t="s">
        <v>24</v>
      </c>
      <c r="L479">
        <v>2</v>
      </c>
      <c r="O479" s="30"/>
    </row>
    <row r="480" spans="10:15" x14ac:dyDescent="0.25">
      <c r="J480" t="s">
        <v>1850</v>
      </c>
      <c r="K480" s="22" t="s">
        <v>26</v>
      </c>
      <c r="L480">
        <v>1</v>
      </c>
    </row>
    <row r="481" spans="10:15" x14ac:dyDescent="0.25">
      <c r="J481" t="s">
        <v>1850</v>
      </c>
      <c r="K481" s="22" t="s">
        <v>20</v>
      </c>
      <c r="L481">
        <v>2</v>
      </c>
      <c r="O481" s="30"/>
    </row>
    <row r="482" spans="10:15" x14ac:dyDescent="0.25">
      <c r="J482" t="s">
        <v>1850</v>
      </c>
      <c r="K482" s="22" t="s">
        <v>22</v>
      </c>
      <c r="L482">
        <v>1</v>
      </c>
    </row>
    <row r="483" spans="10:15" x14ac:dyDescent="0.25">
      <c r="J483" t="s">
        <v>103</v>
      </c>
      <c r="K483" s="22" t="s">
        <v>24</v>
      </c>
      <c r="L483">
        <v>4</v>
      </c>
      <c r="M483">
        <v>4</v>
      </c>
      <c r="O483" s="31"/>
    </row>
    <row r="484" spans="10:15" x14ac:dyDescent="0.25">
      <c r="J484" t="s">
        <v>59</v>
      </c>
      <c r="K484" s="22" t="s">
        <v>24</v>
      </c>
      <c r="L484">
        <v>8</v>
      </c>
      <c r="M484">
        <v>2</v>
      </c>
      <c r="O484" s="30"/>
    </row>
    <row r="485" spans="10:15" x14ac:dyDescent="0.25">
      <c r="J485" t="s">
        <v>59</v>
      </c>
      <c r="K485" s="22" t="s">
        <v>26</v>
      </c>
      <c r="L485">
        <v>9</v>
      </c>
      <c r="M485">
        <v>3</v>
      </c>
      <c r="O485" s="30"/>
    </row>
    <row r="486" spans="10:15" x14ac:dyDescent="0.25">
      <c r="J486" t="s">
        <v>59</v>
      </c>
      <c r="K486" s="22" t="s">
        <v>20</v>
      </c>
      <c r="L486">
        <v>19</v>
      </c>
      <c r="M486">
        <v>12</v>
      </c>
      <c r="O486" s="30"/>
    </row>
    <row r="487" spans="10:15" x14ac:dyDescent="0.25">
      <c r="J487" t="s">
        <v>59</v>
      </c>
      <c r="K487" s="22" t="s">
        <v>28</v>
      </c>
      <c r="L487">
        <v>5</v>
      </c>
      <c r="M487">
        <v>1</v>
      </c>
      <c r="O487" s="30"/>
    </row>
    <row r="488" spans="10:15" x14ac:dyDescent="0.25">
      <c r="J488" t="s">
        <v>59</v>
      </c>
      <c r="K488" s="22" t="s">
        <v>35</v>
      </c>
      <c r="L488">
        <v>6</v>
      </c>
      <c r="M488">
        <v>3</v>
      </c>
      <c r="O488" s="30"/>
    </row>
    <row r="489" spans="10:15" x14ac:dyDescent="0.25">
      <c r="J489" t="s">
        <v>59</v>
      </c>
      <c r="K489" s="22" t="s">
        <v>22</v>
      </c>
      <c r="L489">
        <v>11</v>
      </c>
      <c r="M489">
        <v>5</v>
      </c>
      <c r="O489" s="30"/>
    </row>
    <row r="490" spans="10:15" x14ac:dyDescent="0.25">
      <c r="J490" t="s">
        <v>59</v>
      </c>
      <c r="K490" s="22" t="s">
        <v>31</v>
      </c>
      <c r="L490">
        <v>6</v>
      </c>
      <c r="M490">
        <v>3</v>
      </c>
      <c r="O490" s="31"/>
    </row>
    <row r="491" spans="10:15" x14ac:dyDescent="0.25">
      <c r="J491" t="s">
        <v>284</v>
      </c>
      <c r="K491" s="22" t="s">
        <v>24</v>
      </c>
      <c r="L491">
        <v>11</v>
      </c>
      <c r="M491">
        <v>7</v>
      </c>
      <c r="O491" s="30"/>
    </row>
    <row r="492" spans="10:15" x14ac:dyDescent="0.25">
      <c r="J492" t="s">
        <v>284</v>
      </c>
      <c r="K492" s="22" t="s">
        <v>26</v>
      </c>
      <c r="L492">
        <v>5</v>
      </c>
      <c r="O492" s="30"/>
    </row>
    <row r="493" spans="10:15" x14ac:dyDescent="0.25">
      <c r="J493" t="s">
        <v>284</v>
      </c>
      <c r="K493" s="22" t="s">
        <v>20</v>
      </c>
      <c r="L493">
        <v>5</v>
      </c>
      <c r="M493">
        <v>1</v>
      </c>
    </row>
    <row r="494" spans="10:15" x14ac:dyDescent="0.25">
      <c r="J494" t="s">
        <v>284</v>
      </c>
      <c r="K494" s="22" t="s">
        <v>28</v>
      </c>
      <c r="L494">
        <v>3</v>
      </c>
      <c r="O494" s="30"/>
    </row>
    <row r="495" spans="10:15" x14ac:dyDescent="0.25">
      <c r="J495" t="s">
        <v>284</v>
      </c>
      <c r="K495" s="22" t="s">
        <v>35</v>
      </c>
      <c r="L495">
        <v>2</v>
      </c>
      <c r="O495" s="30"/>
    </row>
    <row r="496" spans="10:15" x14ac:dyDescent="0.25">
      <c r="J496" t="s">
        <v>284</v>
      </c>
      <c r="K496" s="22" t="s">
        <v>22</v>
      </c>
      <c r="L496">
        <v>7</v>
      </c>
      <c r="O496" s="30"/>
    </row>
    <row r="497" spans="10:15" x14ac:dyDescent="0.25">
      <c r="J497" t="s">
        <v>2280</v>
      </c>
      <c r="K497" s="22" t="s">
        <v>20</v>
      </c>
      <c r="L497">
        <v>5</v>
      </c>
      <c r="O497" s="30"/>
    </row>
    <row r="498" spans="10:15" x14ac:dyDescent="0.25">
      <c r="J498" t="s">
        <v>2280</v>
      </c>
      <c r="K498" s="22" t="s">
        <v>28</v>
      </c>
      <c r="L498">
        <v>2</v>
      </c>
      <c r="M498">
        <v>1</v>
      </c>
      <c r="O498" s="30"/>
    </row>
    <row r="499" spans="10:15" x14ac:dyDescent="0.25">
      <c r="J499" t="s">
        <v>299</v>
      </c>
      <c r="K499" s="22" t="s">
        <v>24</v>
      </c>
      <c r="L499">
        <v>1</v>
      </c>
    </row>
    <row r="500" spans="10:15" x14ac:dyDescent="0.25">
      <c r="J500" t="s">
        <v>299</v>
      </c>
      <c r="K500" s="22" t="s">
        <v>26</v>
      </c>
      <c r="L500">
        <v>12</v>
      </c>
      <c r="M500">
        <v>2</v>
      </c>
      <c r="O500" s="30"/>
    </row>
    <row r="501" spans="10:15" x14ac:dyDescent="0.25">
      <c r="J501" t="s">
        <v>299</v>
      </c>
      <c r="K501" s="22" t="s">
        <v>20</v>
      </c>
      <c r="L501">
        <v>7</v>
      </c>
      <c r="M501">
        <v>1</v>
      </c>
      <c r="O501" s="30"/>
    </row>
    <row r="502" spans="10:15" x14ac:dyDescent="0.25">
      <c r="J502" t="s">
        <v>299</v>
      </c>
      <c r="K502" s="22" t="s">
        <v>28</v>
      </c>
      <c r="L502">
        <v>7</v>
      </c>
      <c r="O502" s="30"/>
    </row>
    <row r="503" spans="10:15" x14ac:dyDescent="0.25">
      <c r="J503" t="s">
        <v>299</v>
      </c>
      <c r="K503" s="22" t="s">
        <v>35</v>
      </c>
      <c r="L503">
        <v>5</v>
      </c>
      <c r="O503" s="30"/>
    </row>
    <row r="504" spans="10:15" x14ac:dyDescent="0.25">
      <c r="J504" t="s">
        <v>299</v>
      </c>
      <c r="K504" s="22" t="s">
        <v>31</v>
      </c>
      <c r="L504">
        <v>3</v>
      </c>
      <c r="O504" s="30"/>
    </row>
    <row r="505" spans="10:15" x14ac:dyDescent="0.25">
      <c r="J505" t="s">
        <v>1565</v>
      </c>
      <c r="K505" s="22" t="s">
        <v>26</v>
      </c>
      <c r="L505">
        <v>2</v>
      </c>
      <c r="M505">
        <v>2</v>
      </c>
      <c r="O505" s="31"/>
    </row>
    <row r="506" spans="10:15" x14ac:dyDescent="0.25">
      <c r="J506" t="s">
        <v>1565</v>
      </c>
      <c r="K506" s="22" t="s">
        <v>28</v>
      </c>
      <c r="L506">
        <v>4</v>
      </c>
      <c r="M506">
        <v>1</v>
      </c>
      <c r="O506" s="30"/>
    </row>
    <row r="507" spans="10:15" x14ac:dyDescent="0.25">
      <c r="J507" t="s">
        <v>1565</v>
      </c>
      <c r="K507" s="22" t="s">
        <v>22</v>
      </c>
      <c r="L507">
        <v>6</v>
      </c>
      <c r="M507">
        <v>2</v>
      </c>
      <c r="O507" s="31"/>
    </row>
    <row r="508" spans="10:15" x14ac:dyDescent="0.25">
      <c r="J508" t="s">
        <v>700</v>
      </c>
      <c r="K508" s="22" t="s">
        <v>24</v>
      </c>
      <c r="L508">
        <v>4</v>
      </c>
      <c r="M508">
        <v>4</v>
      </c>
      <c r="O508" s="31"/>
    </row>
    <row r="509" spans="10:15" x14ac:dyDescent="0.25">
      <c r="J509" t="s">
        <v>700</v>
      </c>
      <c r="K509" s="22" t="s">
        <v>20</v>
      </c>
      <c r="L509">
        <v>3</v>
      </c>
      <c r="M509">
        <v>1</v>
      </c>
      <c r="O509" s="31"/>
    </row>
    <row r="510" spans="10:15" x14ac:dyDescent="0.25">
      <c r="J510" t="s">
        <v>700</v>
      </c>
      <c r="K510" s="22" t="s">
        <v>28</v>
      </c>
      <c r="L510">
        <v>4</v>
      </c>
      <c r="M510">
        <v>1</v>
      </c>
    </row>
    <row r="511" spans="10:15" x14ac:dyDescent="0.25">
      <c r="J511" t="s">
        <v>1359</v>
      </c>
      <c r="K511" s="22" t="s">
        <v>24</v>
      </c>
      <c r="L511">
        <v>1</v>
      </c>
    </row>
    <row r="512" spans="10:15" x14ac:dyDescent="0.25">
      <c r="J512" t="s">
        <v>1359</v>
      </c>
      <c r="K512" s="22" t="s">
        <v>26</v>
      </c>
      <c r="L512">
        <v>1</v>
      </c>
    </row>
    <row r="513" spans="10:15" x14ac:dyDescent="0.25">
      <c r="J513" t="s">
        <v>1359</v>
      </c>
      <c r="K513" s="22" t="s">
        <v>20</v>
      </c>
      <c r="L513">
        <v>1</v>
      </c>
    </row>
    <row r="514" spans="10:15" x14ac:dyDescent="0.25">
      <c r="J514" t="s">
        <v>1359</v>
      </c>
      <c r="K514" s="22" t="s">
        <v>28</v>
      </c>
      <c r="L514">
        <v>1</v>
      </c>
    </row>
    <row r="515" spans="10:15" x14ac:dyDescent="0.25">
      <c r="J515" t="s">
        <v>1359</v>
      </c>
      <c r="K515" s="22" t="s">
        <v>31</v>
      </c>
      <c r="L515">
        <v>1</v>
      </c>
    </row>
    <row r="516" spans="10:15" x14ac:dyDescent="0.25">
      <c r="J516" t="s">
        <v>516</v>
      </c>
      <c r="K516" s="22" t="s">
        <v>24</v>
      </c>
      <c r="L516">
        <v>1</v>
      </c>
    </row>
    <row r="517" spans="10:15" x14ac:dyDescent="0.25">
      <c r="J517" t="s">
        <v>516</v>
      </c>
      <c r="K517" s="22" t="s">
        <v>26</v>
      </c>
      <c r="L517">
        <v>2</v>
      </c>
      <c r="M517">
        <v>1</v>
      </c>
      <c r="O517" s="30"/>
    </row>
    <row r="518" spans="10:15" x14ac:dyDescent="0.25">
      <c r="J518" t="s">
        <v>516</v>
      </c>
      <c r="K518" s="22" t="s">
        <v>28</v>
      </c>
      <c r="L518">
        <v>1</v>
      </c>
      <c r="O518" s="30"/>
    </row>
    <row r="519" spans="10:15" x14ac:dyDescent="0.25">
      <c r="J519" t="s">
        <v>516</v>
      </c>
      <c r="K519" s="22" t="s">
        <v>22</v>
      </c>
      <c r="L519">
        <v>1</v>
      </c>
      <c r="O519" s="30"/>
    </row>
    <row r="520" spans="10:15" x14ac:dyDescent="0.25">
      <c r="J520" t="s">
        <v>1355</v>
      </c>
      <c r="K520" s="22" t="s">
        <v>20</v>
      </c>
      <c r="L520">
        <v>1</v>
      </c>
      <c r="M520">
        <v>1</v>
      </c>
    </row>
    <row r="521" spans="10:15" x14ac:dyDescent="0.25">
      <c r="J521" t="s">
        <v>1355</v>
      </c>
      <c r="K521" s="22" t="s">
        <v>31</v>
      </c>
      <c r="L521">
        <v>2</v>
      </c>
      <c r="O521" s="30"/>
    </row>
    <row r="522" spans="10:15" x14ac:dyDescent="0.25">
      <c r="J522" t="s">
        <v>1780</v>
      </c>
      <c r="K522" s="22" t="s">
        <v>24</v>
      </c>
      <c r="L522">
        <v>3</v>
      </c>
      <c r="O522" s="30"/>
    </row>
    <row r="523" spans="10:15" x14ac:dyDescent="0.25">
      <c r="J523" t="s">
        <v>1780</v>
      </c>
      <c r="K523" s="22" t="s">
        <v>26</v>
      </c>
      <c r="L523">
        <v>2</v>
      </c>
      <c r="O523" s="30"/>
    </row>
    <row r="524" spans="10:15" x14ac:dyDescent="0.25">
      <c r="J524" t="s">
        <v>1780</v>
      </c>
      <c r="K524" s="22" t="s">
        <v>20</v>
      </c>
      <c r="L524">
        <v>1</v>
      </c>
    </row>
    <row r="525" spans="10:15" x14ac:dyDescent="0.25">
      <c r="J525" t="s">
        <v>1780</v>
      </c>
      <c r="K525" s="22" t="s">
        <v>28</v>
      </c>
      <c r="L525">
        <v>1</v>
      </c>
    </row>
    <row r="526" spans="10:15" x14ac:dyDescent="0.25">
      <c r="J526" t="s">
        <v>702</v>
      </c>
      <c r="K526" s="22" t="s">
        <v>24</v>
      </c>
      <c r="L526">
        <v>2</v>
      </c>
      <c r="M526">
        <v>1</v>
      </c>
    </row>
    <row r="527" spans="10:15" x14ac:dyDescent="0.25">
      <c r="J527" t="s">
        <v>702</v>
      </c>
      <c r="K527" s="22" t="s">
        <v>35</v>
      </c>
      <c r="L527">
        <v>1</v>
      </c>
      <c r="O527" s="30"/>
    </row>
    <row r="528" spans="10:15" x14ac:dyDescent="0.25">
      <c r="J528" t="s">
        <v>702</v>
      </c>
      <c r="K528" s="22" t="s">
        <v>22</v>
      </c>
      <c r="L528">
        <v>1</v>
      </c>
      <c r="O528" s="30"/>
    </row>
    <row r="529" spans="10:15" x14ac:dyDescent="0.25">
      <c r="J529" t="s">
        <v>2474</v>
      </c>
      <c r="K529" s="22" t="s">
        <v>24</v>
      </c>
      <c r="L529">
        <v>4</v>
      </c>
      <c r="M529">
        <v>1</v>
      </c>
      <c r="O529" s="30"/>
    </row>
    <row r="530" spans="10:15" x14ac:dyDescent="0.25">
      <c r="J530" t="s">
        <v>2474</v>
      </c>
      <c r="K530" s="22" t="s">
        <v>26</v>
      </c>
      <c r="L530">
        <v>1</v>
      </c>
    </row>
    <row r="531" spans="10:15" x14ac:dyDescent="0.25">
      <c r="J531" t="s">
        <v>2474</v>
      </c>
      <c r="K531" s="22" t="s">
        <v>20</v>
      </c>
      <c r="L531">
        <v>3</v>
      </c>
      <c r="M531">
        <v>2</v>
      </c>
      <c r="O531" s="31"/>
    </row>
    <row r="532" spans="10:15" x14ac:dyDescent="0.25">
      <c r="J532" t="s">
        <v>2474</v>
      </c>
      <c r="K532" s="22" t="s">
        <v>35</v>
      </c>
      <c r="L532">
        <v>1</v>
      </c>
    </row>
    <row r="533" spans="10:15" x14ac:dyDescent="0.25">
      <c r="J533" t="s">
        <v>2474</v>
      </c>
      <c r="K533" s="22" t="s">
        <v>31</v>
      </c>
      <c r="L533">
        <v>1</v>
      </c>
    </row>
    <row r="534" spans="10:15" x14ac:dyDescent="0.25">
      <c r="J534" t="s">
        <v>174</v>
      </c>
      <c r="K534" s="22" t="s">
        <v>24</v>
      </c>
      <c r="L534">
        <v>1</v>
      </c>
    </row>
    <row r="535" spans="10:15" x14ac:dyDescent="0.25">
      <c r="J535" t="s">
        <v>174</v>
      </c>
      <c r="K535" s="22" t="s">
        <v>26</v>
      </c>
      <c r="L535">
        <v>2</v>
      </c>
    </row>
    <row r="536" spans="10:15" x14ac:dyDescent="0.25">
      <c r="J536" t="s">
        <v>174</v>
      </c>
      <c r="K536" s="22" t="s">
        <v>20</v>
      </c>
      <c r="L536">
        <v>2</v>
      </c>
      <c r="O536" s="30"/>
    </row>
    <row r="537" spans="10:15" x14ac:dyDescent="0.25">
      <c r="J537" t="s">
        <v>174</v>
      </c>
      <c r="K537" s="22" t="s">
        <v>35</v>
      </c>
      <c r="L537">
        <v>3</v>
      </c>
      <c r="M537">
        <v>1</v>
      </c>
      <c r="O537" s="30"/>
    </row>
    <row r="538" spans="10:15" x14ac:dyDescent="0.25">
      <c r="J538" t="s">
        <v>136</v>
      </c>
      <c r="K538" s="22" t="s">
        <v>24</v>
      </c>
      <c r="L538">
        <v>2</v>
      </c>
      <c r="M538">
        <v>2</v>
      </c>
    </row>
    <row r="539" spans="10:15" x14ac:dyDescent="0.25">
      <c r="J539" t="s">
        <v>136</v>
      </c>
      <c r="K539" s="22" t="s">
        <v>26</v>
      </c>
      <c r="L539">
        <v>5</v>
      </c>
      <c r="O539" s="30"/>
    </row>
    <row r="540" spans="10:15" x14ac:dyDescent="0.25">
      <c r="J540" t="s">
        <v>136</v>
      </c>
      <c r="K540" s="22" t="s">
        <v>20</v>
      </c>
      <c r="L540">
        <v>5</v>
      </c>
      <c r="O540" s="30"/>
    </row>
    <row r="541" spans="10:15" x14ac:dyDescent="0.25">
      <c r="J541" t="s">
        <v>508</v>
      </c>
      <c r="K541" s="22" t="s">
        <v>24</v>
      </c>
      <c r="L541">
        <v>1</v>
      </c>
      <c r="O541" s="30"/>
    </row>
    <row r="542" spans="10:15" x14ac:dyDescent="0.25">
      <c r="J542" t="s">
        <v>508</v>
      </c>
      <c r="K542" s="22" t="s">
        <v>26</v>
      </c>
      <c r="L542">
        <v>1</v>
      </c>
    </row>
    <row r="543" spans="10:15" x14ac:dyDescent="0.25">
      <c r="J543" t="s">
        <v>508</v>
      </c>
      <c r="K543" s="22" t="s">
        <v>20</v>
      </c>
      <c r="L543">
        <v>4</v>
      </c>
      <c r="M543">
        <v>3</v>
      </c>
      <c r="O543" s="31"/>
    </row>
    <row r="544" spans="10:15" x14ac:dyDescent="0.25">
      <c r="J544" t="s">
        <v>508</v>
      </c>
      <c r="K544" s="22" t="s">
        <v>22</v>
      </c>
      <c r="L544">
        <v>1</v>
      </c>
      <c r="O544" s="30"/>
    </row>
    <row r="545" spans="10:15" x14ac:dyDescent="0.25">
      <c r="J545" t="s">
        <v>508</v>
      </c>
      <c r="K545" s="22" t="s">
        <v>31</v>
      </c>
      <c r="L545">
        <v>1</v>
      </c>
    </row>
    <row r="546" spans="10:15" x14ac:dyDescent="0.25">
      <c r="J546" t="s">
        <v>1175</v>
      </c>
      <c r="K546" s="22" t="s">
        <v>24</v>
      </c>
      <c r="L546">
        <v>1</v>
      </c>
    </row>
    <row r="547" spans="10:15" x14ac:dyDescent="0.25">
      <c r="J547" t="s">
        <v>1175</v>
      </c>
      <c r="K547" s="22" t="s">
        <v>26</v>
      </c>
      <c r="L547">
        <v>2</v>
      </c>
      <c r="O547" s="30"/>
    </row>
    <row r="548" spans="10:15" x14ac:dyDescent="0.25">
      <c r="J548" t="s">
        <v>1175</v>
      </c>
      <c r="K548" s="22" t="s">
        <v>20</v>
      </c>
      <c r="L548">
        <v>1</v>
      </c>
    </row>
    <row r="549" spans="10:15" x14ac:dyDescent="0.25">
      <c r="J549" t="s">
        <v>1175</v>
      </c>
      <c r="K549" s="22" t="s">
        <v>22</v>
      </c>
      <c r="L549">
        <v>1</v>
      </c>
      <c r="O549" s="30"/>
    </row>
    <row r="550" spans="10:15" x14ac:dyDescent="0.25">
      <c r="J550" t="s">
        <v>3308</v>
      </c>
      <c r="K550" s="22" t="s">
        <v>20</v>
      </c>
      <c r="L550">
        <v>1</v>
      </c>
      <c r="O550" s="30"/>
    </row>
    <row r="551" spans="10:15" x14ac:dyDescent="0.25">
      <c r="J551" t="s">
        <v>308</v>
      </c>
      <c r="K551" s="22" t="s">
        <v>24</v>
      </c>
      <c r="L551">
        <v>4</v>
      </c>
      <c r="M551">
        <v>3</v>
      </c>
      <c r="O551" s="31"/>
    </row>
    <row r="552" spans="10:15" x14ac:dyDescent="0.25">
      <c r="J552" t="s">
        <v>308</v>
      </c>
      <c r="K552" s="22" t="s">
        <v>26</v>
      </c>
      <c r="L552">
        <v>2</v>
      </c>
      <c r="M552">
        <v>1</v>
      </c>
      <c r="O552" s="31"/>
    </row>
    <row r="553" spans="10:15" x14ac:dyDescent="0.25">
      <c r="J553" t="s">
        <v>308</v>
      </c>
      <c r="K553" s="22" t="s">
        <v>20</v>
      </c>
      <c r="L553">
        <v>3</v>
      </c>
    </row>
    <row r="554" spans="10:15" x14ac:dyDescent="0.25">
      <c r="J554" t="s">
        <v>308</v>
      </c>
      <c r="K554" s="22" t="s">
        <v>35</v>
      </c>
      <c r="L554">
        <v>2</v>
      </c>
      <c r="M554">
        <v>1</v>
      </c>
      <c r="O554" s="31"/>
    </row>
    <row r="555" spans="10:15" x14ac:dyDescent="0.25">
      <c r="J555" t="s">
        <v>308</v>
      </c>
      <c r="K555" s="22" t="s">
        <v>22</v>
      </c>
      <c r="L555">
        <v>3</v>
      </c>
      <c r="M555">
        <v>2</v>
      </c>
      <c r="O555" s="31"/>
    </row>
    <row r="556" spans="10:15" x14ac:dyDescent="0.25">
      <c r="J556" t="s">
        <v>308</v>
      </c>
      <c r="K556" s="22" t="s">
        <v>31</v>
      </c>
      <c r="L556">
        <v>2</v>
      </c>
    </row>
    <row r="557" spans="10:15" x14ac:dyDescent="0.25">
      <c r="J557" t="s">
        <v>3037</v>
      </c>
      <c r="K557" s="22" t="s">
        <v>24</v>
      </c>
      <c r="L557">
        <v>2</v>
      </c>
      <c r="M557">
        <v>1</v>
      </c>
      <c r="O557" s="30"/>
    </row>
    <row r="558" spans="10:15" x14ac:dyDescent="0.25">
      <c r="J558" t="s">
        <v>3461</v>
      </c>
      <c r="K558" s="22" t="s">
        <v>35</v>
      </c>
      <c r="L558">
        <v>1</v>
      </c>
      <c r="O558" s="30"/>
    </row>
    <row r="559" spans="10:15" x14ac:dyDescent="0.25">
      <c r="J559" t="s">
        <v>553</v>
      </c>
      <c r="K559" s="22" t="s">
        <v>24</v>
      </c>
      <c r="L559">
        <v>1</v>
      </c>
    </row>
    <row r="560" spans="10:15" x14ac:dyDescent="0.25">
      <c r="J560" t="s">
        <v>553</v>
      </c>
      <c r="K560" s="22" t="s">
        <v>20</v>
      </c>
      <c r="L560">
        <v>1</v>
      </c>
    </row>
    <row r="561" spans="10:15" x14ac:dyDescent="0.25">
      <c r="J561" t="s">
        <v>553</v>
      </c>
      <c r="K561" s="22" t="s">
        <v>35</v>
      </c>
      <c r="L561">
        <v>1</v>
      </c>
    </row>
    <row r="562" spans="10:15" x14ac:dyDescent="0.25">
      <c r="J562" t="s">
        <v>2172</v>
      </c>
      <c r="K562" s="22" t="s">
        <v>22</v>
      </c>
      <c r="L562">
        <v>2</v>
      </c>
      <c r="M562">
        <v>2</v>
      </c>
      <c r="O562" s="31"/>
    </row>
    <row r="563" spans="10:15" x14ac:dyDescent="0.25">
      <c r="J563" t="s">
        <v>2848</v>
      </c>
      <c r="K563" s="22" t="s">
        <v>24</v>
      </c>
      <c r="L563">
        <v>1</v>
      </c>
      <c r="M563">
        <v>1</v>
      </c>
      <c r="O563" s="31"/>
    </row>
    <row r="564" spans="10:15" x14ac:dyDescent="0.25">
      <c r="J564" t="s">
        <v>2848</v>
      </c>
      <c r="K564" s="22" t="s">
        <v>20</v>
      </c>
      <c r="L564">
        <v>1</v>
      </c>
    </row>
    <row r="565" spans="10:15" x14ac:dyDescent="0.25">
      <c r="J565" t="s">
        <v>2848</v>
      </c>
      <c r="K565" s="22" t="s">
        <v>22</v>
      </c>
      <c r="L565">
        <v>1</v>
      </c>
    </row>
    <row r="566" spans="10:15" x14ac:dyDescent="0.25">
      <c r="J566" t="s">
        <v>2219</v>
      </c>
      <c r="K566" s="22" t="s">
        <v>24</v>
      </c>
      <c r="L566">
        <v>2</v>
      </c>
      <c r="M566">
        <v>2</v>
      </c>
      <c r="O566" s="31"/>
    </row>
    <row r="567" spans="10:15" x14ac:dyDescent="0.25">
      <c r="J567" t="s">
        <v>2219</v>
      </c>
      <c r="K567" s="22" t="s">
        <v>26</v>
      </c>
      <c r="L567">
        <v>2</v>
      </c>
      <c r="O567" s="30"/>
    </row>
    <row r="568" spans="10:15" x14ac:dyDescent="0.25">
      <c r="J568" t="s">
        <v>2219</v>
      </c>
      <c r="K568" s="22" t="s">
        <v>20</v>
      </c>
      <c r="L568">
        <v>1</v>
      </c>
    </row>
    <row r="569" spans="10:15" x14ac:dyDescent="0.25">
      <c r="J569" t="s">
        <v>497</v>
      </c>
      <c r="K569" s="22" t="s">
        <v>24</v>
      </c>
      <c r="L569">
        <v>2</v>
      </c>
      <c r="M569">
        <v>2</v>
      </c>
    </row>
    <row r="570" spans="10:15" x14ac:dyDescent="0.25">
      <c r="J570" t="s">
        <v>497</v>
      </c>
      <c r="K570" s="22" t="s">
        <v>20</v>
      </c>
      <c r="L570">
        <v>2</v>
      </c>
    </row>
    <row r="571" spans="10:15" x14ac:dyDescent="0.25">
      <c r="J571" t="s">
        <v>149</v>
      </c>
      <c r="K571" s="22" t="s">
        <v>24</v>
      </c>
      <c r="L571">
        <v>1</v>
      </c>
    </row>
    <row r="572" spans="10:15" x14ac:dyDescent="0.25">
      <c r="J572" t="s">
        <v>149</v>
      </c>
      <c r="K572" s="22" t="s">
        <v>26</v>
      </c>
      <c r="L572">
        <v>1</v>
      </c>
    </row>
    <row r="573" spans="10:15" x14ac:dyDescent="0.25">
      <c r="J573" t="s">
        <v>149</v>
      </c>
      <c r="K573" s="22" t="s">
        <v>20</v>
      </c>
      <c r="L573">
        <v>1</v>
      </c>
      <c r="O573" s="30"/>
    </row>
    <row r="574" spans="10:15" x14ac:dyDescent="0.25">
      <c r="J574" t="s">
        <v>559</v>
      </c>
      <c r="K574" s="22" t="s">
        <v>24</v>
      </c>
      <c r="L574">
        <v>1</v>
      </c>
    </row>
    <row r="575" spans="10:15" x14ac:dyDescent="0.25">
      <c r="J575" t="s">
        <v>559</v>
      </c>
      <c r="K575" s="22" t="s">
        <v>26</v>
      </c>
      <c r="L575">
        <v>1</v>
      </c>
    </row>
    <row r="576" spans="10:15" x14ac:dyDescent="0.25">
      <c r="J576" t="s">
        <v>47</v>
      </c>
      <c r="K576" s="22" t="s">
        <v>24</v>
      </c>
      <c r="L576">
        <v>51</v>
      </c>
      <c r="M576">
        <v>18</v>
      </c>
      <c r="O576" s="30"/>
    </row>
    <row r="577" spans="10:15" x14ac:dyDescent="0.25">
      <c r="J577" t="s">
        <v>47</v>
      </c>
      <c r="K577" s="22" t="s">
        <v>26</v>
      </c>
      <c r="L577">
        <v>59</v>
      </c>
      <c r="M577">
        <v>16</v>
      </c>
      <c r="O577" s="30"/>
    </row>
    <row r="578" spans="10:15" x14ac:dyDescent="0.25">
      <c r="J578" t="s">
        <v>47</v>
      </c>
      <c r="K578" s="22" t="s">
        <v>20</v>
      </c>
      <c r="L578">
        <v>72</v>
      </c>
      <c r="M578">
        <v>25</v>
      </c>
      <c r="O578" s="31"/>
    </row>
    <row r="579" spans="10:15" x14ac:dyDescent="0.25">
      <c r="J579" t="s">
        <v>47</v>
      </c>
      <c r="K579" s="22" t="s">
        <v>29</v>
      </c>
      <c r="L579">
        <v>64</v>
      </c>
      <c r="M579">
        <v>35</v>
      </c>
      <c r="O579" s="31"/>
    </row>
    <row r="580" spans="10:15" x14ac:dyDescent="0.25">
      <c r="J580" t="s">
        <v>47</v>
      </c>
      <c r="K580" s="22" t="s">
        <v>28</v>
      </c>
      <c r="L580">
        <v>38</v>
      </c>
      <c r="M580">
        <v>9</v>
      </c>
      <c r="O580" s="30"/>
    </row>
    <row r="581" spans="10:15" x14ac:dyDescent="0.25">
      <c r="J581" t="s">
        <v>47</v>
      </c>
      <c r="K581" s="22" t="s">
        <v>35</v>
      </c>
      <c r="L581">
        <v>55</v>
      </c>
      <c r="M581">
        <v>21</v>
      </c>
      <c r="O581" s="30"/>
    </row>
    <row r="582" spans="10:15" x14ac:dyDescent="0.25">
      <c r="J582" t="s">
        <v>47</v>
      </c>
      <c r="K582" s="22" t="s">
        <v>22</v>
      </c>
      <c r="L582">
        <v>50</v>
      </c>
      <c r="M582">
        <v>18</v>
      </c>
      <c r="O582" s="30"/>
    </row>
    <row r="583" spans="10:15" x14ac:dyDescent="0.25">
      <c r="J583" t="s">
        <v>47</v>
      </c>
      <c r="K583" s="22" t="s">
        <v>31</v>
      </c>
      <c r="L583">
        <v>55</v>
      </c>
      <c r="M583">
        <v>24</v>
      </c>
      <c r="O583" s="31"/>
    </row>
    <row r="584" spans="10:15" x14ac:dyDescent="0.25">
      <c r="J584" t="s">
        <v>67</v>
      </c>
      <c r="K584" s="22" t="s">
        <v>24</v>
      </c>
      <c r="L584">
        <v>9</v>
      </c>
      <c r="M584">
        <v>6</v>
      </c>
      <c r="O584" s="30"/>
    </row>
    <row r="585" spans="10:15" x14ac:dyDescent="0.25">
      <c r="J585" t="s">
        <v>67</v>
      </c>
      <c r="K585" s="22" t="s">
        <v>26</v>
      </c>
      <c r="L585">
        <v>11</v>
      </c>
      <c r="M585">
        <v>5</v>
      </c>
      <c r="O585" s="30"/>
    </row>
    <row r="586" spans="10:15" x14ac:dyDescent="0.25">
      <c r="J586" t="s">
        <v>67</v>
      </c>
      <c r="K586" s="22" t="s">
        <v>20</v>
      </c>
      <c r="L586">
        <v>13</v>
      </c>
      <c r="M586">
        <v>13</v>
      </c>
      <c r="O586" s="31"/>
    </row>
    <row r="587" spans="10:15" x14ac:dyDescent="0.25">
      <c r="J587" t="s">
        <v>67</v>
      </c>
      <c r="K587" s="22" t="s">
        <v>29</v>
      </c>
      <c r="L587">
        <v>16</v>
      </c>
      <c r="M587">
        <v>12</v>
      </c>
      <c r="O587" s="31"/>
    </row>
    <row r="588" spans="10:15" x14ac:dyDescent="0.25">
      <c r="J588" t="s">
        <v>67</v>
      </c>
      <c r="K588" s="22" t="s">
        <v>28</v>
      </c>
      <c r="L588">
        <v>8</v>
      </c>
      <c r="M588">
        <v>4</v>
      </c>
      <c r="O588" s="31"/>
    </row>
    <row r="589" spans="10:15" x14ac:dyDescent="0.25">
      <c r="J589" t="s">
        <v>67</v>
      </c>
      <c r="K589" s="22" t="s">
        <v>35</v>
      </c>
      <c r="L589">
        <v>14</v>
      </c>
      <c r="M589">
        <v>13</v>
      </c>
      <c r="O589" s="31"/>
    </row>
    <row r="590" spans="10:15" x14ac:dyDescent="0.25">
      <c r="J590" t="s">
        <v>67</v>
      </c>
      <c r="K590" s="22" t="s">
        <v>22</v>
      </c>
      <c r="L590">
        <v>14</v>
      </c>
      <c r="M590">
        <v>11</v>
      </c>
      <c r="O590" s="31"/>
    </row>
    <row r="591" spans="10:15" x14ac:dyDescent="0.25">
      <c r="J591" t="s">
        <v>39</v>
      </c>
      <c r="K591" s="22" t="s">
        <v>24</v>
      </c>
      <c r="L591">
        <v>3</v>
      </c>
      <c r="M591">
        <v>1</v>
      </c>
      <c r="O591" s="30"/>
    </row>
    <row r="592" spans="10:15" x14ac:dyDescent="0.25">
      <c r="J592" t="s">
        <v>39</v>
      </c>
      <c r="K592" s="22" t="s">
        <v>26</v>
      </c>
      <c r="L592">
        <v>7</v>
      </c>
      <c r="M592">
        <v>5</v>
      </c>
      <c r="O592" s="31"/>
    </row>
    <row r="593" spans="10:15" x14ac:dyDescent="0.25">
      <c r="J593" t="s">
        <v>39</v>
      </c>
      <c r="K593" s="22" t="s">
        <v>20</v>
      </c>
      <c r="L593">
        <v>6</v>
      </c>
      <c r="M593">
        <v>3</v>
      </c>
      <c r="O593" s="30"/>
    </row>
    <row r="594" spans="10:15" x14ac:dyDescent="0.25">
      <c r="J594" t="s">
        <v>39</v>
      </c>
      <c r="K594" s="22" t="s">
        <v>29</v>
      </c>
      <c r="L594">
        <v>19</v>
      </c>
      <c r="M594">
        <v>17</v>
      </c>
      <c r="O594" s="31"/>
    </row>
    <row r="595" spans="10:15" x14ac:dyDescent="0.25">
      <c r="J595" t="s">
        <v>39</v>
      </c>
      <c r="K595" s="22" t="s">
        <v>28</v>
      </c>
      <c r="L595">
        <v>6</v>
      </c>
      <c r="M595">
        <v>4</v>
      </c>
      <c r="O595" s="31"/>
    </row>
    <row r="596" spans="10:15" x14ac:dyDescent="0.25">
      <c r="J596" t="s">
        <v>39</v>
      </c>
      <c r="K596" s="22" t="s">
        <v>35</v>
      </c>
      <c r="L596">
        <v>12</v>
      </c>
      <c r="M596">
        <v>10</v>
      </c>
      <c r="O596" s="31"/>
    </row>
    <row r="597" spans="10:15" x14ac:dyDescent="0.25">
      <c r="J597" t="s">
        <v>39</v>
      </c>
      <c r="K597" s="22" t="s">
        <v>31</v>
      </c>
      <c r="L597">
        <v>6</v>
      </c>
      <c r="M597">
        <v>4</v>
      </c>
      <c r="O597" s="31"/>
    </row>
    <row r="598" spans="10:15" x14ac:dyDescent="0.25">
      <c r="J598" t="s">
        <v>3088</v>
      </c>
      <c r="K598" s="22" t="s">
        <v>20</v>
      </c>
      <c r="L598">
        <v>1</v>
      </c>
      <c r="O598" s="30"/>
    </row>
    <row r="599" spans="10:15" x14ac:dyDescent="0.25">
      <c r="J599" t="s">
        <v>574</v>
      </c>
      <c r="K599" s="22" t="s">
        <v>24</v>
      </c>
      <c r="L599">
        <v>5</v>
      </c>
      <c r="M599">
        <v>3</v>
      </c>
      <c r="O599" s="30"/>
    </row>
    <row r="600" spans="10:15" x14ac:dyDescent="0.25">
      <c r="J600" t="s">
        <v>574</v>
      </c>
      <c r="K600" s="22" t="s">
        <v>26</v>
      </c>
      <c r="L600">
        <v>4</v>
      </c>
      <c r="M600">
        <v>1</v>
      </c>
      <c r="O600" s="31"/>
    </row>
    <row r="601" spans="10:15" x14ac:dyDescent="0.25">
      <c r="J601" t="s">
        <v>574</v>
      </c>
      <c r="K601" s="22" t="s">
        <v>20</v>
      </c>
      <c r="L601">
        <v>4</v>
      </c>
      <c r="M601">
        <v>2</v>
      </c>
      <c r="O601" s="31"/>
    </row>
    <row r="602" spans="10:15" x14ac:dyDescent="0.25">
      <c r="J602" t="s">
        <v>574</v>
      </c>
      <c r="K602" s="22" t="s">
        <v>29</v>
      </c>
      <c r="L602">
        <v>3</v>
      </c>
      <c r="M602">
        <v>3</v>
      </c>
      <c r="O602" s="31"/>
    </row>
    <row r="603" spans="10:15" x14ac:dyDescent="0.25">
      <c r="J603" t="s">
        <v>574</v>
      </c>
      <c r="K603" s="22" t="s">
        <v>28</v>
      </c>
      <c r="L603">
        <v>2</v>
      </c>
      <c r="M603">
        <v>1</v>
      </c>
      <c r="O603" s="31"/>
    </row>
    <row r="604" spans="10:15" x14ac:dyDescent="0.25">
      <c r="J604" t="s">
        <v>574</v>
      </c>
      <c r="K604" s="22" t="s">
        <v>35</v>
      </c>
      <c r="L604">
        <v>3</v>
      </c>
      <c r="M604">
        <v>2</v>
      </c>
      <c r="O604" s="31"/>
    </row>
    <row r="605" spans="10:15" x14ac:dyDescent="0.25">
      <c r="J605" t="s">
        <v>71</v>
      </c>
      <c r="K605" s="22" t="s">
        <v>26</v>
      </c>
      <c r="L605">
        <v>18</v>
      </c>
      <c r="M605">
        <v>10</v>
      </c>
      <c r="O605" s="31"/>
    </row>
    <row r="606" spans="10:15" x14ac:dyDescent="0.25">
      <c r="J606" t="s">
        <v>71</v>
      </c>
      <c r="K606" s="22" t="s">
        <v>29</v>
      </c>
      <c r="L606">
        <v>5</v>
      </c>
      <c r="M606">
        <v>5</v>
      </c>
    </row>
    <row r="607" spans="10:15" x14ac:dyDescent="0.25">
      <c r="J607" t="s">
        <v>71</v>
      </c>
      <c r="K607" s="22" t="s">
        <v>22</v>
      </c>
      <c r="L607">
        <v>14</v>
      </c>
      <c r="M607">
        <v>10</v>
      </c>
      <c r="O607" s="31"/>
    </row>
    <row r="608" spans="10:15" x14ac:dyDescent="0.25">
      <c r="J608" t="s">
        <v>3451</v>
      </c>
      <c r="K608" s="22" t="s">
        <v>29</v>
      </c>
      <c r="L608">
        <v>1</v>
      </c>
      <c r="O608" s="30"/>
    </row>
    <row r="609" spans="10:15" x14ac:dyDescent="0.25">
      <c r="J609" t="s">
        <v>1537</v>
      </c>
      <c r="K609" s="22" t="s">
        <v>26</v>
      </c>
      <c r="L609">
        <v>1</v>
      </c>
    </row>
    <row r="610" spans="10:15" x14ac:dyDescent="0.25">
      <c r="J610" t="s">
        <v>1537</v>
      </c>
      <c r="K610" s="22" t="s">
        <v>20</v>
      </c>
      <c r="L610">
        <v>3</v>
      </c>
      <c r="M610">
        <v>2</v>
      </c>
    </row>
    <row r="611" spans="10:15" x14ac:dyDescent="0.25">
      <c r="J611" t="s">
        <v>1537</v>
      </c>
      <c r="K611" s="22" t="s">
        <v>29</v>
      </c>
      <c r="L611">
        <v>2</v>
      </c>
      <c r="M611">
        <v>2</v>
      </c>
      <c r="O611" s="31"/>
    </row>
    <row r="612" spans="10:15" x14ac:dyDescent="0.25">
      <c r="J612" t="s">
        <v>590</v>
      </c>
      <c r="K612" s="22" t="s">
        <v>24</v>
      </c>
      <c r="L612">
        <v>2</v>
      </c>
    </row>
    <row r="613" spans="10:15" x14ac:dyDescent="0.25">
      <c r="J613" t="s">
        <v>590</v>
      </c>
      <c r="K613" s="22" t="s">
        <v>28</v>
      </c>
      <c r="L613">
        <v>2</v>
      </c>
      <c r="M613">
        <v>1</v>
      </c>
      <c r="O613" s="30"/>
    </row>
    <row r="614" spans="10:15" x14ac:dyDescent="0.25">
      <c r="J614" t="s">
        <v>2946</v>
      </c>
      <c r="K614" s="22" t="s">
        <v>24</v>
      </c>
      <c r="L614">
        <v>2</v>
      </c>
      <c r="M614">
        <v>2</v>
      </c>
      <c r="O614" s="31"/>
    </row>
    <row r="615" spans="10:15" x14ac:dyDescent="0.25">
      <c r="J615" t="s">
        <v>1564</v>
      </c>
      <c r="K615" s="22" t="s">
        <v>24</v>
      </c>
      <c r="L615">
        <v>1</v>
      </c>
      <c r="M615">
        <v>1</v>
      </c>
    </row>
    <row r="616" spans="10:15" x14ac:dyDescent="0.25">
      <c r="J616" t="s">
        <v>1564</v>
      </c>
      <c r="K616" s="22" t="s">
        <v>26</v>
      </c>
      <c r="L616">
        <v>7</v>
      </c>
      <c r="M616">
        <v>1</v>
      </c>
      <c r="O616" s="30"/>
    </row>
    <row r="617" spans="10:15" x14ac:dyDescent="0.25">
      <c r="J617" t="s">
        <v>1564</v>
      </c>
      <c r="K617" s="22" t="s">
        <v>29</v>
      </c>
      <c r="L617">
        <v>10</v>
      </c>
      <c r="M617">
        <v>6</v>
      </c>
      <c r="O617" s="30"/>
    </row>
    <row r="618" spans="10:15" x14ac:dyDescent="0.25">
      <c r="J618" t="s">
        <v>104</v>
      </c>
      <c r="K618" s="22" t="s">
        <v>24</v>
      </c>
      <c r="L618">
        <v>3</v>
      </c>
      <c r="M618">
        <v>1</v>
      </c>
      <c r="O618" s="31"/>
    </row>
    <row r="619" spans="10:15" x14ac:dyDescent="0.25">
      <c r="J619" t="s">
        <v>104</v>
      </c>
      <c r="K619" s="22" t="s">
        <v>26</v>
      </c>
      <c r="L619">
        <v>4</v>
      </c>
      <c r="O619" s="30"/>
    </row>
    <row r="620" spans="10:15" x14ac:dyDescent="0.25">
      <c r="J620" t="s">
        <v>104</v>
      </c>
      <c r="K620" s="22" t="s">
        <v>20</v>
      </c>
      <c r="L620">
        <v>4</v>
      </c>
      <c r="O620" s="30"/>
    </row>
    <row r="621" spans="10:15" x14ac:dyDescent="0.25">
      <c r="J621" t="s">
        <v>104</v>
      </c>
      <c r="K621" s="22" t="s">
        <v>29</v>
      </c>
      <c r="L621">
        <v>10</v>
      </c>
      <c r="M621">
        <v>5</v>
      </c>
      <c r="O621" s="30"/>
    </row>
    <row r="622" spans="10:15" x14ac:dyDescent="0.25">
      <c r="J622" t="s">
        <v>104</v>
      </c>
      <c r="K622" s="22" t="s">
        <v>28</v>
      </c>
      <c r="L622">
        <v>6</v>
      </c>
      <c r="O622" s="30"/>
    </row>
    <row r="623" spans="10:15" x14ac:dyDescent="0.25">
      <c r="J623" t="s">
        <v>104</v>
      </c>
      <c r="K623" s="22" t="s">
        <v>31</v>
      </c>
      <c r="L623">
        <v>4</v>
      </c>
      <c r="M623">
        <v>1</v>
      </c>
      <c r="O623" s="30"/>
    </row>
    <row r="624" spans="10:15" x14ac:dyDescent="0.25">
      <c r="J624" t="s">
        <v>2986</v>
      </c>
      <c r="K624" s="22" t="s">
        <v>26</v>
      </c>
      <c r="L624">
        <v>1</v>
      </c>
    </row>
    <row r="625" spans="10:15" x14ac:dyDescent="0.25">
      <c r="J625" t="s">
        <v>2986</v>
      </c>
      <c r="K625" s="22" t="s">
        <v>28</v>
      </c>
      <c r="L625">
        <v>1</v>
      </c>
      <c r="M625">
        <v>1</v>
      </c>
      <c r="O625" s="31"/>
    </row>
    <row r="626" spans="10:15" x14ac:dyDescent="0.25">
      <c r="J626" t="s">
        <v>570</v>
      </c>
      <c r="K626" s="22" t="s">
        <v>20</v>
      </c>
      <c r="L626">
        <v>17</v>
      </c>
      <c r="M626">
        <v>11</v>
      </c>
      <c r="O626" s="31"/>
    </row>
    <row r="627" spans="10:15" x14ac:dyDescent="0.25">
      <c r="J627" t="s">
        <v>570</v>
      </c>
      <c r="K627" s="22" t="s">
        <v>29</v>
      </c>
      <c r="L627">
        <v>16</v>
      </c>
      <c r="M627">
        <v>9</v>
      </c>
      <c r="O627" s="30"/>
    </row>
    <row r="628" spans="10:15" x14ac:dyDescent="0.25">
      <c r="J628" t="s">
        <v>570</v>
      </c>
      <c r="K628" s="22" t="s">
        <v>35</v>
      </c>
      <c r="L628">
        <v>18</v>
      </c>
      <c r="M628">
        <v>18</v>
      </c>
      <c r="O628" s="31"/>
    </row>
    <row r="629" spans="10:15" x14ac:dyDescent="0.25">
      <c r="J629" t="s">
        <v>2700</v>
      </c>
      <c r="K629" s="22" t="s">
        <v>26</v>
      </c>
      <c r="L629">
        <v>1</v>
      </c>
    </row>
    <row r="630" spans="10:15" x14ac:dyDescent="0.25">
      <c r="J630" t="s">
        <v>2700</v>
      </c>
      <c r="K630" s="22" t="s">
        <v>35</v>
      </c>
      <c r="L630">
        <v>1</v>
      </c>
      <c r="O630" s="30"/>
    </row>
    <row r="631" spans="10:15" x14ac:dyDescent="0.25">
      <c r="J631" t="s">
        <v>762</v>
      </c>
      <c r="K631" s="22" t="s">
        <v>24</v>
      </c>
      <c r="L631">
        <v>1</v>
      </c>
      <c r="M631">
        <v>1</v>
      </c>
      <c r="O631" s="31"/>
    </row>
    <row r="632" spans="10:15" x14ac:dyDescent="0.25">
      <c r="J632" t="s">
        <v>762</v>
      </c>
      <c r="K632" s="22" t="s">
        <v>26</v>
      </c>
      <c r="L632">
        <v>2</v>
      </c>
      <c r="M632">
        <v>1</v>
      </c>
      <c r="O632" s="31"/>
    </row>
    <row r="633" spans="10:15" x14ac:dyDescent="0.25">
      <c r="J633" t="s">
        <v>762</v>
      </c>
      <c r="K633" s="22" t="s">
        <v>35</v>
      </c>
      <c r="L633">
        <v>2</v>
      </c>
      <c r="M633">
        <v>1</v>
      </c>
      <c r="O633" s="30"/>
    </row>
    <row r="634" spans="10:15" x14ac:dyDescent="0.25">
      <c r="J634" t="s">
        <v>1229</v>
      </c>
      <c r="K634" s="22" t="s">
        <v>26</v>
      </c>
      <c r="L634">
        <v>1</v>
      </c>
      <c r="O634" s="30"/>
    </row>
    <row r="635" spans="10:15" x14ac:dyDescent="0.25">
      <c r="J635" t="s">
        <v>1229</v>
      </c>
      <c r="K635" s="22" t="s">
        <v>20</v>
      </c>
      <c r="L635">
        <v>2</v>
      </c>
      <c r="M635">
        <v>1</v>
      </c>
      <c r="O635" s="31"/>
    </row>
    <row r="636" spans="10:15" x14ac:dyDescent="0.25">
      <c r="J636" t="s">
        <v>1229</v>
      </c>
      <c r="K636" s="22" t="s">
        <v>31</v>
      </c>
      <c r="L636">
        <v>2</v>
      </c>
      <c r="M636">
        <v>1</v>
      </c>
    </row>
    <row r="637" spans="10:15" x14ac:dyDescent="0.25">
      <c r="J637" t="s">
        <v>809</v>
      </c>
      <c r="K637" s="22" t="s">
        <v>20</v>
      </c>
      <c r="L637">
        <v>5</v>
      </c>
      <c r="M637">
        <v>4</v>
      </c>
      <c r="O637" s="30"/>
    </row>
    <row r="638" spans="10:15" x14ac:dyDescent="0.25">
      <c r="J638" t="s">
        <v>2220</v>
      </c>
      <c r="K638" s="22" t="s">
        <v>26</v>
      </c>
      <c r="L638">
        <v>2</v>
      </c>
      <c r="M638">
        <v>2</v>
      </c>
      <c r="O638" s="31"/>
    </row>
    <row r="639" spans="10:15" x14ac:dyDescent="0.25">
      <c r="J639" t="s">
        <v>1501</v>
      </c>
      <c r="K639" s="22" t="s">
        <v>26</v>
      </c>
      <c r="L639">
        <v>2</v>
      </c>
    </row>
    <row r="640" spans="10:15" x14ac:dyDescent="0.25">
      <c r="J640" t="s">
        <v>1501</v>
      </c>
      <c r="K640" s="22" t="s">
        <v>20</v>
      </c>
      <c r="L640">
        <v>3</v>
      </c>
      <c r="M640">
        <v>2</v>
      </c>
    </row>
    <row r="641" spans="10:15" x14ac:dyDescent="0.25">
      <c r="J641" t="s">
        <v>1501</v>
      </c>
      <c r="K641" s="22" t="s">
        <v>29</v>
      </c>
      <c r="L641">
        <v>1</v>
      </c>
    </row>
    <row r="642" spans="10:15" x14ac:dyDescent="0.25">
      <c r="J642" t="s">
        <v>1501</v>
      </c>
      <c r="K642" s="22" t="s">
        <v>22</v>
      </c>
      <c r="L642">
        <v>2</v>
      </c>
      <c r="O642" s="30"/>
    </row>
    <row r="643" spans="10:15" x14ac:dyDescent="0.25">
      <c r="J643" t="s">
        <v>1501</v>
      </c>
      <c r="K643" s="22" t="s">
        <v>31</v>
      </c>
      <c r="L643">
        <v>2</v>
      </c>
      <c r="M643">
        <v>1</v>
      </c>
      <c r="O643" s="30"/>
    </row>
    <row r="644" spans="10:15" x14ac:dyDescent="0.25">
      <c r="J644" t="s">
        <v>1323</v>
      </c>
      <c r="K644" s="22" t="s">
        <v>24</v>
      </c>
      <c r="L644">
        <v>2</v>
      </c>
      <c r="M644">
        <v>1</v>
      </c>
      <c r="O644" s="31"/>
    </row>
    <row r="645" spans="10:15" x14ac:dyDescent="0.25">
      <c r="J645" t="s">
        <v>1323</v>
      </c>
      <c r="K645" s="22" t="s">
        <v>20</v>
      </c>
      <c r="L645">
        <v>1</v>
      </c>
      <c r="M645">
        <v>1</v>
      </c>
    </row>
    <row r="646" spans="10:15" x14ac:dyDescent="0.25">
      <c r="J646" t="s">
        <v>1744</v>
      </c>
      <c r="K646" s="22" t="s">
        <v>26</v>
      </c>
      <c r="L646">
        <v>2</v>
      </c>
      <c r="M646">
        <v>2</v>
      </c>
      <c r="O646" s="31"/>
    </row>
    <row r="647" spans="10:15" x14ac:dyDescent="0.25">
      <c r="J647" t="s">
        <v>1744</v>
      </c>
      <c r="K647" s="22" t="s">
        <v>29</v>
      </c>
      <c r="L647">
        <v>2</v>
      </c>
      <c r="M647">
        <v>1</v>
      </c>
    </row>
    <row r="648" spans="10:15" x14ac:dyDescent="0.25">
      <c r="J648" t="s">
        <v>1546</v>
      </c>
      <c r="K648" s="22" t="s">
        <v>24</v>
      </c>
      <c r="L648">
        <v>1</v>
      </c>
      <c r="M648">
        <v>1</v>
      </c>
      <c r="O648" s="31"/>
    </row>
    <row r="649" spans="10:15" x14ac:dyDescent="0.25">
      <c r="J649" t="s">
        <v>1546</v>
      </c>
      <c r="K649" s="22" t="s">
        <v>26</v>
      </c>
      <c r="L649">
        <v>2</v>
      </c>
      <c r="M649">
        <v>1</v>
      </c>
      <c r="O649" s="30"/>
    </row>
    <row r="650" spans="10:15" x14ac:dyDescent="0.25">
      <c r="J650" t="s">
        <v>1517</v>
      </c>
      <c r="K650" s="22" t="s">
        <v>24</v>
      </c>
      <c r="L650">
        <v>1</v>
      </c>
    </row>
    <row r="651" spans="10:15" x14ac:dyDescent="0.25">
      <c r="J651" t="s">
        <v>1517</v>
      </c>
      <c r="K651" s="22" t="s">
        <v>20</v>
      </c>
      <c r="L651">
        <v>2</v>
      </c>
      <c r="M651">
        <v>1</v>
      </c>
    </row>
    <row r="652" spans="10:15" x14ac:dyDescent="0.25">
      <c r="J652" t="s">
        <v>1517</v>
      </c>
      <c r="K652" s="22" t="s">
        <v>35</v>
      </c>
      <c r="L652">
        <v>1</v>
      </c>
      <c r="O652" s="30"/>
    </row>
    <row r="653" spans="10:15" x14ac:dyDescent="0.25">
      <c r="J653" t="s">
        <v>1517</v>
      </c>
      <c r="K653" s="22" t="s">
        <v>22</v>
      </c>
      <c r="L653">
        <v>2</v>
      </c>
      <c r="M653">
        <v>1</v>
      </c>
      <c r="O653" s="31"/>
    </row>
    <row r="654" spans="10:15" x14ac:dyDescent="0.25">
      <c r="J654" t="s">
        <v>101</v>
      </c>
      <c r="K654" s="22" t="s">
        <v>24</v>
      </c>
      <c r="L654">
        <v>1</v>
      </c>
    </row>
    <row r="655" spans="10:15" x14ac:dyDescent="0.25">
      <c r="J655" t="s">
        <v>101</v>
      </c>
      <c r="K655" s="22" t="s">
        <v>26</v>
      </c>
      <c r="L655">
        <v>6</v>
      </c>
      <c r="M655">
        <v>1</v>
      </c>
      <c r="O655" s="31"/>
    </row>
    <row r="656" spans="10:15" x14ac:dyDescent="0.25">
      <c r="J656" t="s">
        <v>101</v>
      </c>
      <c r="K656" s="22" t="s">
        <v>20</v>
      </c>
      <c r="L656">
        <v>3</v>
      </c>
      <c r="M656">
        <v>1</v>
      </c>
      <c r="O656" s="30"/>
    </row>
    <row r="657" spans="10:15" x14ac:dyDescent="0.25">
      <c r="J657" t="s">
        <v>101</v>
      </c>
      <c r="K657" s="22" t="s">
        <v>29</v>
      </c>
      <c r="L657">
        <v>6</v>
      </c>
      <c r="M657">
        <v>4</v>
      </c>
      <c r="O657" s="31"/>
    </row>
    <row r="658" spans="10:15" x14ac:dyDescent="0.25">
      <c r="J658" t="s">
        <v>101</v>
      </c>
      <c r="K658" s="22" t="s">
        <v>35</v>
      </c>
      <c r="L658">
        <v>5</v>
      </c>
      <c r="M658">
        <v>2</v>
      </c>
      <c r="O658" s="31"/>
    </row>
    <row r="659" spans="10:15" x14ac:dyDescent="0.25">
      <c r="J659" t="s">
        <v>101</v>
      </c>
      <c r="K659" s="22" t="s">
        <v>31</v>
      </c>
      <c r="L659">
        <v>1</v>
      </c>
    </row>
    <row r="660" spans="10:15" x14ac:dyDescent="0.25">
      <c r="J660" t="s">
        <v>654</v>
      </c>
      <c r="K660" s="22" t="s">
        <v>26</v>
      </c>
      <c r="L660">
        <v>6</v>
      </c>
      <c r="M660">
        <v>2</v>
      </c>
      <c r="O660" s="30"/>
    </row>
    <row r="661" spans="10:15" x14ac:dyDescent="0.25">
      <c r="J661" t="s">
        <v>654</v>
      </c>
      <c r="K661" s="22" t="s">
        <v>29</v>
      </c>
      <c r="L661">
        <v>5</v>
      </c>
      <c r="M661">
        <v>5</v>
      </c>
      <c r="O661" s="31"/>
    </row>
    <row r="662" spans="10:15" x14ac:dyDescent="0.25">
      <c r="J662" t="s">
        <v>507</v>
      </c>
      <c r="K662" s="22" t="s">
        <v>24</v>
      </c>
      <c r="L662">
        <v>5</v>
      </c>
      <c r="O662" s="30"/>
    </row>
    <row r="663" spans="10:15" x14ac:dyDescent="0.25">
      <c r="J663" t="s">
        <v>507</v>
      </c>
      <c r="K663" s="22" t="s">
        <v>26</v>
      </c>
      <c r="L663">
        <v>2</v>
      </c>
      <c r="M663">
        <v>1</v>
      </c>
    </row>
    <row r="664" spans="10:15" x14ac:dyDescent="0.25">
      <c r="J664" t="s">
        <v>507</v>
      </c>
      <c r="K664" s="22" t="s">
        <v>20</v>
      </c>
      <c r="L664">
        <v>2</v>
      </c>
    </row>
    <row r="665" spans="10:15" x14ac:dyDescent="0.25">
      <c r="J665" t="s">
        <v>507</v>
      </c>
      <c r="K665" s="22" t="s">
        <v>29</v>
      </c>
      <c r="L665">
        <v>5</v>
      </c>
      <c r="M665">
        <v>3</v>
      </c>
      <c r="O665" s="30"/>
    </row>
    <row r="666" spans="10:15" x14ac:dyDescent="0.25">
      <c r="J666" t="s">
        <v>507</v>
      </c>
      <c r="K666" s="22" t="s">
        <v>22</v>
      </c>
      <c r="L666">
        <v>5</v>
      </c>
      <c r="O666" s="30"/>
    </row>
    <row r="667" spans="10:15" x14ac:dyDescent="0.25">
      <c r="J667" t="s">
        <v>507</v>
      </c>
      <c r="K667" s="22" t="s">
        <v>31</v>
      </c>
      <c r="L667">
        <v>6</v>
      </c>
      <c r="M667">
        <v>4</v>
      </c>
      <c r="O667" s="30"/>
    </row>
    <row r="668" spans="10:15" x14ac:dyDescent="0.25">
      <c r="J668" t="s">
        <v>638</v>
      </c>
      <c r="K668" s="22" t="s">
        <v>29</v>
      </c>
      <c r="L668">
        <v>5</v>
      </c>
      <c r="M668">
        <v>5</v>
      </c>
      <c r="O668" s="31"/>
    </row>
    <row r="669" spans="10:15" x14ac:dyDescent="0.25">
      <c r="J669" t="s">
        <v>1239</v>
      </c>
      <c r="K669" s="22" t="s">
        <v>26</v>
      </c>
      <c r="L669">
        <v>4</v>
      </c>
      <c r="M669">
        <v>2</v>
      </c>
      <c r="O669" s="31"/>
    </row>
    <row r="670" spans="10:15" x14ac:dyDescent="0.25">
      <c r="J670" t="s">
        <v>1239</v>
      </c>
      <c r="K670" s="22" t="s">
        <v>31</v>
      </c>
      <c r="L670">
        <v>3</v>
      </c>
      <c r="M670">
        <v>3</v>
      </c>
      <c r="O670" s="31"/>
    </row>
    <row r="671" spans="10:15" x14ac:dyDescent="0.25">
      <c r="J671" t="s">
        <v>3011</v>
      </c>
      <c r="K671" s="22" t="s">
        <v>24</v>
      </c>
      <c r="L671">
        <v>1</v>
      </c>
      <c r="O671" s="30"/>
    </row>
    <row r="672" spans="10:15" x14ac:dyDescent="0.25">
      <c r="J672" t="s">
        <v>3011</v>
      </c>
      <c r="K672" s="22" t="s">
        <v>26</v>
      </c>
      <c r="L672">
        <v>1</v>
      </c>
      <c r="O672" s="30"/>
    </row>
    <row r="673" spans="10:15" x14ac:dyDescent="0.25">
      <c r="J673" t="s">
        <v>3011</v>
      </c>
      <c r="K673" s="22" t="s">
        <v>20</v>
      </c>
      <c r="L673">
        <v>1</v>
      </c>
    </row>
    <row r="674" spans="10:15" x14ac:dyDescent="0.25">
      <c r="J674" t="s">
        <v>2092</v>
      </c>
      <c r="K674" s="22" t="s">
        <v>24</v>
      </c>
      <c r="L674">
        <v>2</v>
      </c>
      <c r="O674" s="30"/>
    </row>
    <row r="675" spans="10:15" x14ac:dyDescent="0.25">
      <c r="J675" t="s">
        <v>2092</v>
      </c>
      <c r="K675" s="22" t="s">
        <v>26</v>
      </c>
      <c r="L675">
        <v>2</v>
      </c>
      <c r="O675" s="30"/>
    </row>
    <row r="676" spans="10:15" x14ac:dyDescent="0.25">
      <c r="J676" t="s">
        <v>2092</v>
      </c>
      <c r="K676" s="22" t="s">
        <v>20</v>
      </c>
      <c r="L676">
        <v>2</v>
      </c>
      <c r="O676" s="30"/>
    </row>
    <row r="677" spans="10:15" x14ac:dyDescent="0.25">
      <c r="J677" t="s">
        <v>2092</v>
      </c>
      <c r="K677" s="22" t="s">
        <v>29</v>
      </c>
      <c r="L677">
        <v>1</v>
      </c>
    </row>
    <row r="678" spans="10:15" x14ac:dyDescent="0.25">
      <c r="J678" t="s">
        <v>86</v>
      </c>
      <c r="K678" s="22" t="s">
        <v>24</v>
      </c>
      <c r="L678">
        <v>17</v>
      </c>
      <c r="M678">
        <v>16</v>
      </c>
      <c r="O678" s="31"/>
    </row>
    <row r="679" spans="10:15" x14ac:dyDescent="0.25">
      <c r="J679" t="s">
        <v>86</v>
      </c>
      <c r="K679" s="22" t="s">
        <v>20</v>
      </c>
      <c r="L679">
        <v>16</v>
      </c>
      <c r="M679">
        <v>8</v>
      </c>
      <c r="O679" s="31"/>
    </row>
    <row r="680" spans="10:15" x14ac:dyDescent="0.25">
      <c r="J680" t="s">
        <v>86</v>
      </c>
      <c r="K680" s="22" t="s">
        <v>22</v>
      </c>
      <c r="L680">
        <v>16</v>
      </c>
      <c r="M680">
        <v>15</v>
      </c>
      <c r="O680" s="30"/>
    </row>
    <row r="681" spans="10:15" x14ac:dyDescent="0.25">
      <c r="J681" t="s">
        <v>86</v>
      </c>
      <c r="K681" s="22" t="s">
        <v>31</v>
      </c>
      <c r="L681">
        <v>17</v>
      </c>
      <c r="M681">
        <v>13</v>
      </c>
      <c r="O681" s="31"/>
    </row>
    <row r="682" spans="10:15" x14ac:dyDescent="0.25">
      <c r="J682" t="s">
        <v>204</v>
      </c>
      <c r="K682" s="22" t="s">
        <v>20</v>
      </c>
      <c r="L682">
        <v>8</v>
      </c>
      <c r="M682">
        <v>1</v>
      </c>
      <c r="O682" s="30"/>
    </row>
    <row r="683" spans="10:15" x14ac:dyDescent="0.25">
      <c r="J683" t="s">
        <v>204</v>
      </c>
      <c r="K683" s="22" t="s">
        <v>35</v>
      </c>
      <c r="L683">
        <v>5</v>
      </c>
      <c r="M683">
        <v>4</v>
      </c>
      <c r="O683" s="30"/>
    </row>
    <row r="684" spans="10:15" x14ac:dyDescent="0.25">
      <c r="J684" t="s">
        <v>1718</v>
      </c>
      <c r="K684" s="22" t="s">
        <v>35</v>
      </c>
      <c r="L684">
        <v>5</v>
      </c>
      <c r="M684">
        <v>5</v>
      </c>
      <c r="O684" s="31"/>
    </row>
    <row r="685" spans="10:15" x14ac:dyDescent="0.25">
      <c r="J685" t="s">
        <v>1273</v>
      </c>
      <c r="K685" s="22" t="s">
        <v>24</v>
      </c>
      <c r="L685">
        <v>4</v>
      </c>
      <c r="M685">
        <v>2</v>
      </c>
      <c r="O685" s="31"/>
    </row>
    <row r="686" spans="10:15" x14ac:dyDescent="0.25">
      <c r="J686" t="s">
        <v>1273</v>
      </c>
      <c r="K686" s="22" t="s">
        <v>26</v>
      </c>
      <c r="L686">
        <v>3</v>
      </c>
      <c r="M686">
        <v>2</v>
      </c>
    </row>
    <row r="687" spans="10:15" x14ac:dyDescent="0.25">
      <c r="J687" t="s">
        <v>1273</v>
      </c>
      <c r="K687" s="22" t="s">
        <v>20</v>
      </c>
      <c r="L687">
        <v>1</v>
      </c>
      <c r="O687" s="30"/>
    </row>
    <row r="688" spans="10:15" x14ac:dyDescent="0.25">
      <c r="J688" t="s">
        <v>1273</v>
      </c>
      <c r="K688" s="22" t="s">
        <v>28</v>
      </c>
      <c r="L688">
        <v>2</v>
      </c>
      <c r="M688">
        <v>1</v>
      </c>
      <c r="O688" s="31"/>
    </row>
    <row r="689" spans="10:15" x14ac:dyDescent="0.25">
      <c r="J689" t="s">
        <v>1273</v>
      </c>
      <c r="K689" s="22" t="s">
        <v>35</v>
      </c>
      <c r="L689">
        <v>3</v>
      </c>
      <c r="M689">
        <v>2</v>
      </c>
      <c r="O689" s="31"/>
    </row>
    <row r="690" spans="10:15" x14ac:dyDescent="0.25">
      <c r="J690" t="s">
        <v>1273</v>
      </c>
      <c r="K690" s="22" t="s">
        <v>31</v>
      </c>
      <c r="L690">
        <v>4</v>
      </c>
      <c r="M690">
        <v>3</v>
      </c>
      <c r="O690" s="31"/>
    </row>
    <row r="691" spans="10:15" x14ac:dyDescent="0.25">
      <c r="J691" t="s">
        <v>1516</v>
      </c>
      <c r="K691" s="22" t="s">
        <v>24</v>
      </c>
      <c r="L691">
        <v>9</v>
      </c>
      <c r="M691">
        <v>9</v>
      </c>
      <c r="O691" s="31"/>
    </row>
    <row r="692" spans="10:15" x14ac:dyDescent="0.25">
      <c r="J692" t="s">
        <v>148</v>
      </c>
      <c r="K692" s="22" t="s">
        <v>24</v>
      </c>
      <c r="L692">
        <v>2</v>
      </c>
      <c r="O692" s="30"/>
    </row>
    <row r="693" spans="10:15" x14ac:dyDescent="0.25">
      <c r="J693" t="s">
        <v>148</v>
      </c>
      <c r="K693" s="22" t="s">
        <v>28</v>
      </c>
      <c r="L693">
        <v>3</v>
      </c>
      <c r="M693">
        <v>3</v>
      </c>
      <c r="O693" s="31"/>
    </row>
    <row r="694" spans="10:15" x14ac:dyDescent="0.25">
      <c r="J694" t="s">
        <v>1071</v>
      </c>
      <c r="K694" s="22" t="s">
        <v>28</v>
      </c>
      <c r="L694">
        <v>2</v>
      </c>
      <c r="M694">
        <v>2</v>
      </c>
    </row>
    <row r="695" spans="10:15" x14ac:dyDescent="0.25">
      <c r="J695" t="s">
        <v>1356</v>
      </c>
      <c r="K695" s="22" t="s">
        <v>20</v>
      </c>
      <c r="L695">
        <v>4</v>
      </c>
      <c r="M695">
        <v>4</v>
      </c>
      <c r="O695" s="31"/>
    </row>
    <row r="696" spans="10:15" x14ac:dyDescent="0.25">
      <c r="J696" t="s">
        <v>1416</v>
      </c>
      <c r="K696" s="22" t="s">
        <v>24</v>
      </c>
      <c r="L696">
        <v>7</v>
      </c>
      <c r="M696">
        <v>6</v>
      </c>
      <c r="O696" s="31"/>
    </row>
    <row r="697" spans="10:15" x14ac:dyDescent="0.25">
      <c r="J697" t="s">
        <v>1416</v>
      </c>
      <c r="K697" s="22" t="s">
        <v>20</v>
      </c>
      <c r="L697">
        <v>1</v>
      </c>
      <c r="O697" s="30"/>
    </row>
    <row r="698" spans="10:15" x14ac:dyDescent="0.25">
      <c r="J698" t="s">
        <v>1416</v>
      </c>
      <c r="K698" s="22" t="s">
        <v>28</v>
      </c>
      <c r="L698">
        <v>3</v>
      </c>
      <c r="O698" s="30"/>
    </row>
    <row r="699" spans="10:15" x14ac:dyDescent="0.25">
      <c r="J699" t="s">
        <v>1416</v>
      </c>
      <c r="K699" s="22" t="s">
        <v>31</v>
      </c>
      <c r="L699">
        <v>2</v>
      </c>
      <c r="M699">
        <v>1</v>
      </c>
      <c r="O699" s="30"/>
    </row>
    <row r="700" spans="10:15" x14ac:dyDescent="0.25">
      <c r="J700" t="s">
        <v>2084</v>
      </c>
      <c r="K700" s="22" t="s">
        <v>26</v>
      </c>
      <c r="L700">
        <v>3</v>
      </c>
      <c r="M700">
        <v>3</v>
      </c>
      <c r="O700" s="31"/>
    </row>
    <row r="701" spans="10:15" x14ac:dyDescent="0.25">
      <c r="J701" t="s">
        <v>1326</v>
      </c>
      <c r="K701" s="22" t="s">
        <v>26</v>
      </c>
      <c r="L701">
        <v>10</v>
      </c>
      <c r="M701">
        <v>10</v>
      </c>
      <c r="O701" s="31"/>
    </row>
    <row r="702" spans="10:15" x14ac:dyDescent="0.25">
      <c r="J702" t="s">
        <v>2934</v>
      </c>
      <c r="K702" s="22" t="s">
        <v>26</v>
      </c>
      <c r="L702">
        <v>3</v>
      </c>
      <c r="M702">
        <v>3</v>
      </c>
      <c r="O702" s="31"/>
    </row>
    <row r="703" spans="10:15" x14ac:dyDescent="0.25">
      <c r="J703" t="s">
        <v>1566</v>
      </c>
      <c r="K703" s="22" t="s">
        <v>26</v>
      </c>
      <c r="L703">
        <v>3</v>
      </c>
      <c r="M703">
        <v>1</v>
      </c>
      <c r="O703" s="31"/>
    </row>
    <row r="704" spans="10:15" x14ac:dyDescent="0.25">
      <c r="J704" t="s">
        <v>1566</v>
      </c>
      <c r="K704" s="22" t="s">
        <v>28</v>
      </c>
      <c r="L704">
        <v>4</v>
      </c>
      <c r="M704">
        <v>3</v>
      </c>
      <c r="O704" s="30"/>
    </row>
    <row r="705" spans="10:15" x14ac:dyDescent="0.25">
      <c r="J705" t="s">
        <v>310</v>
      </c>
      <c r="K705" s="22" t="s">
        <v>22</v>
      </c>
      <c r="L705">
        <v>3</v>
      </c>
      <c r="M705">
        <v>3</v>
      </c>
    </row>
    <row r="706" spans="10:15" x14ac:dyDescent="0.25">
      <c r="J706" t="s">
        <v>311</v>
      </c>
      <c r="K706" s="22" t="s">
        <v>26</v>
      </c>
      <c r="L706">
        <v>1</v>
      </c>
      <c r="O706" s="30"/>
    </row>
    <row r="707" spans="10:15" x14ac:dyDescent="0.25">
      <c r="J707" t="s">
        <v>311</v>
      </c>
      <c r="K707" s="22" t="s">
        <v>20</v>
      </c>
      <c r="L707">
        <v>3</v>
      </c>
      <c r="M707">
        <v>2</v>
      </c>
      <c r="O707" s="31"/>
    </row>
    <row r="708" spans="10:15" x14ac:dyDescent="0.25">
      <c r="J708" t="s">
        <v>311</v>
      </c>
      <c r="K708" s="22" t="s">
        <v>31</v>
      </c>
      <c r="L708">
        <v>1</v>
      </c>
      <c r="M708">
        <v>1</v>
      </c>
      <c r="O708" s="31"/>
    </row>
    <row r="709" spans="10:15" x14ac:dyDescent="0.25">
      <c r="J709" t="s">
        <v>2962</v>
      </c>
      <c r="K709" s="22" t="s">
        <v>20</v>
      </c>
      <c r="L709">
        <v>1</v>
      </c>
    </row>
    <row r="710" spans="10:15" x14ac:dyDescent="0.25">
      <c r="J710" t="s">
        <v>1660</v>
      </c>
      <c r="K710" s="22" t="s">
        <v>26</v>
      </c>
      <c r="L710">
        <v>1</v>
      </c>
      <c r="M710">
        <v>1</v>
      </c>
    </row>
    <row r="711" spans="10:15" x14ac:dyDescent="0.25">
      <c r="J711" t="s">
        <v>309</v>
      </c>
      <c r="K711" s="22" t="s">
        <v>20</v>
      </c>
      <c r="L711">
        <v>1</v>
      </c>
    </row>
    <row r="712" spans="10:15" x14ac:dyDescent="0.25">
      <c r="J712" t="s">
        <v>309</v>
      </c>
      <c r="K712" s="22" t="s">
        <v>22</v>
      </c>
      <c r="L712">
        <v>2</v>
      </c>
      <c r="M712">
        <v>1</v>
      </c>
    </row>
    <row r="713" spans="10:15" x14ac:dyDescent="0.25">
      <c r="J713" t="s">
        <v>309</v>
      </c>
      <c r="K713" s="22" t="s">
        <v>31</v>
      </c>
      <c r="L713">
        <v>3</v>
      </c>
      <c r="M713">
        <v>2</v>
      </c>
      <c r="O713" s="30"/>
    </row>
    <row r="714" spans="10:15" x14ac:dyDescent="0.25">
      <c r="J714" t="s">
        <v>2254</v>
      </c>
      <c r="K714" s="22" t="s">
        <v>26</v>
      </c>
      <c r="L714">
        <v>1</v>
      </c>
      <c r="M714">
        <v>1</v>
      </c>
    </row>
    <row r="715" spans="10:15" x14ac:dyDescent="0.25">
      <c r="J715" t="s">
        <v>2254</v>
      </c>
      <c r="K715" s="22" t="s">
        <v>20</v>
      </c>
      <c r="L715">
        <v>1</v>
      </c>
    </row>
    <row r="716" spans="10:15" x14ac:dyDescent="0.25">
      <c r="J716" t="s">
        <v>2173</v>
      </c>
      <c r="K716" s="22" t="s">
        <v>26</v>
      </c>
      <c r="L716">
        <v>1</v>
      </c>
    </row>
    <row r="717" spans="10:15" x14ac:dyDescent="0.25">
      <c r="J717" t="s">
        <v>2173</v>
      </c>
      <c r="K717" s="22" t="s">
        <v>31</v>
      </c>
      <c r="L717">
        <v>1</v>
      </c>
      <c r="O717" s="30"/>
    </row>
    <row r="718" spans="10:15" x14ac:dyDescent="0.25">
      <c r="J718" t="s">
        <v>1670</v>
      </c>
      <c r="K718" s="22" t="s">
        <v>24</v>
      </c>
      <c r="L718">
        <v>4</v>
      </c>
      <c r="M718">
        <v>4</v>
      </c>
      <c r="O718" s="31"/>
    </row>
    <row r="719" spans="10:15" x14ac:dyDescent="0.25">
      <c r="J719" t="s">
        <v>1670</v>
      </c>
      <c r="K719" s="22" t="s">
        <v>26</v>
      </c>
      <c r="L719">
        <v>1</v>
      </c>
    </row>
    <row r="720" spans="10:15" x14ac:dyDescent="0.25">
      <c r="J720" t="s">
        <v>572</v>
      </c>
      <c r="K720" s="22" t="s">
        <v>24</v>
      </c>
      <c r="L720">
        <v>3</v>
      </c>
      <c r="M720">
        <v>2</v>
      </c>
    </row>
    <row r="721" spans="10:15" x14ac:dyDescent="0.25">
      <c r="J721" t="s">
        <v>572</v>
      </c>
      <c r="K721" s="22" t="s">
        <v>35</v>
      </c>
      <c r="L721">
        <v>3</v>
      </c>
      <c r="M721">
        <v>2</v>
      </c>
    </row>
    <row r="722" spans="10:15" x14ac:dyDescent="0.25">
      <c r="J722" t="s">
        <v>572</v>
      </c>
      <c r="K722" s="22" t="s">
        <v>22</v>
      </c>
      <c r="L722">
        <v>4</v>
      </c>
      <c r="M722">
        <v>3</v>
      </c>
      <c r="O722" s="30"/>
    </row>
    <row r="723" spans="10:15" x14ac:dyDescent="0.25">
      <c r="J723" t="s">
        <v>572</v>
      </c>
      <c r="K723" s="22" t="s">
        <v>31</v>
      </c>
      <c r="L723">
        <v>4</v>
      </c>
      <c r="M723">
        <v>3</v>
      </c>
      <c r="O723" s="31"/>
    </row>
    <row r="724" spans="10:15" x14ac:dyDescent="0.25">
      <c r="J724" t="s">
        <v>1581</v>
      </c>
      <c r="K724" s="22" t="s">
        <v>24</v>
      </c>
      <c r="L724">
        <v>6</v>
      </c>
      <c r="M724">
        <v>6</v>
      </c>
      <c r="O724" s="31"/>
    </row>
    <row r="725" spans="10:15" x14ac:dyDescent="0.25">
      <c r="J725" t="s">
        <v>1581</v>
      </c>
      <c r="K725" s="22" t="s">
        <v>22</v>
      </c>
      <c r="L725">
        <v>3</v>
      </c>
      <c r="M725">
        <v>2</v>
      </c>
    </row>
    <row r="726" spans="10:15" x14ac:dyDescent="0.25">
      <c r="J726" t="s">
        <v>2392</v>
      </c>
      <c r="K726" s="22" t="s">
        <v>24</v>
      </c>
      <c r="L726">
        <v>7</v>
      </c>
      <c r="M726">
        <v>7</v>
      </c>
      <c r="O726" s="31"/>
    </row>
    <row r="727" spans="10:15" x14ac:dyDescent="0.25">
      <c r="J727" t="s">
        <v>2701</v>
      </c>
      <c r="K727" s="22" t="s">
        <v>26</v>
      </c>
      <c r="L727">
        <v>2</v>
      </c>
      <c r="M727">
        <v>2</v>
      </c>
      <c r="O727" s="31"/>
    </row>
    <row r="728" spans="10:15" x14ac:dyDescent="0.25">
      <c r="J728" t="s">
        <v>2812</v>
      </c>
      <c r="K728" s="22" t="s">
        <v>24</v>
      </c>
      <c r="L728">
        <v>3</v>
      </c>
      <c r="M728">
        <v>3</v>
      </c>
      <c r="O728" s="31"/>
    </row>
    <row r="729" spans="10:15" x14ac:dyDescent="0.25">
      <c r="J729" t="s">
        <v>2812</v>
      </c>
      <c r="K729" s="22" t="s">
        <v>26</v>
      </c>
      <c r="L729">
        <v>1</v>
      </c>
    </row>
    <row r="730" spans="10:15" x14ac:dyDescent="0.25">
      <c r="J730" t="s">
        <v>2279</v>
      </c>
      <c r="K730" s="22" t="s">
        <v>20</v>
      </c>
      <c r="L730">
        <v>3</v>
      </c>
      <c r="M730">
        <v>3</v>
      </c>
      <c r="O730" s="31"/>
    </row>
    <row r="731" spans="10:15" x14ac:dyDescent="0.25">
      <c r="J731" t="s">
        <v>2786</v>
      </c>
      <c r="K731" s="22" t="s">
        <v>20</v>
      </c>
      <c r="L731">
        <v>2</v>
      </c>
      <c r="M731">
        <v>2</v>
      </c>
      <c r="O731" s="31"/>
    </row>
    <row r="732" spans="10:15" x14ac:dyDescent="0.25">
      <c r="J732" t="s">
        <v>2156</v>
      </c>
      <c r="K732" s="22" t="s">
        <v>24</v>
      </c>
      <c r="L732">
        <v>1</v>
      </c>
      <c r="M732">
        <v>1</v>
      </c>
    </row>
    <row r="733" spans="10:15" x14ac:dyDescent="0.25">
      <c r="J733" t="s">
        <v>3307</v>
      </c>
      <c r="K733" s="22" t="s">
        <v>31</v>
      </c>
      <c r="L733">
        <v>1</v>
      </c>
      <c r="M733">
        <v>1</v>
      </c>
      <c r="O733" s="31"/>
    </row>
    <row r="734" spans="10:15" x14ac:dyDescent="0.25">
      <c r="J734" t="s">
        <v>3295</v>
      </c>
      <c r="K734" s="22" t="s">
        <v>24</v>
      </c>
      <c r="L734">
        <v>1</v>
      </c>
      <c r="M734">
        <v>1</v>
      </c>
      <c r="O734" s="31"/>
    </row>
    <row r="735" spans="10:15" x14ac:dyDescent="0.25">
      <c r="J735" t="s">
        <v>2438</v>
      </c>
      <c r="K735" s="22" t="s">
        <v>26</v>
      </c>
      <c r="L735">
        <v>1</v>
      </c>
    </row>
    <row r="736" spans="10:15" x14ac:dyDescent="0.25">
      <c r="J736" t="s">
        <v>2438</v>
      </c>
      <c r="K736" s="22" t="s">
        <v>22</v>
      </c>
      <c r="L736">
        <v>4</v>
      </c>
      <c r="M736">
        <v>4</v>
      </c>
      <c r="O736" s="31"/>
    </row>
    <row r="737" spans="10:15" x14ac:dyDescent="0.25">
      <c r="J737" t="s">
        <v>890</v>
      </c>
      <c r="K737" s="22" t="s">
        <v>24</v>
      </c>
      <c r="L737">
        <v>1</v>
      </c>
      <c r="M737">
        <v>1</v>
      </c>
    </row>
    <row r="738" spans="10:15" x14ac:dyDescent="0.25">
      <c r="J738" t="s">
        <v>890</v>
      </c>
      <c r="K738" s="22" t="s">
        <v>31</v>
      </c>
      <c r="L738">
        <v>7</v>
      </c>
      <c r="M738">
        <v>6</v>
      </c>
      <c r="O738" s="31"/>
    </row>
    <row r="739" spans="10:15" x14ac:dyDescent="0.25">
      <c r="J739" t="s">
        <v>2122</v>
      </c>
      <c r="K739" s="22" t="s">
        <v>24</v>
      </c>
      <c r="L739">
        <v>1</v>
      </c>
      <c r="M739">
        <v>1</v>
      </c>
      <c r="O739" s="31"/>
    </row>
    <row r="740" spans="10:15" x14ac:dyDescent="0.25">
      <c r="J740" t="s">
        <v>2122</v>
      </c>
      <c r="K740" s="22" t="s">
        <v>20</v>
      </c>
      <c r="L740">
        <v>2</v>
      </c>
      <c r="M740">
        <v>1</v>
      </c>
    </row>
    <row r="741" spans="10:15" x14ac:dyDescent="0.25">
      <c r="J741" t="s">
        <v>1335</v>
      </c>
      <c r="K741" s="22" t="s">
        <v>24</v>
      </c>
      <c r="L741">
        <v>1</v>
      </c>
    </row>
    <row r="742" spans="10:15" x14ac:dyDescent="0.25">
      <c r="J742" t="s">
        <v>1335</v>
      </c>
      <c r="K742" s="22" t="s">
        <v>26</v>
      </c>
      <c r="L742">
        <v>1</v>
      </c>
      <c r="O742" s="30"/>
    </row>
    <row r="743" spans="10:15" x14ac:dyDescent="0.25">
      <c r="J743" t="s">
        <v>1335</v>
      </c>
      <c r="K743" s="22" t="s">
        <v>20</v>
      </c>
      <c r="L743">
        <v>1</v>
      </c>
      <c r="O743" s="30"/>
    </row>
    <row r="744" spans="10:15" x14ac:dyDescent="0.25">
      <c r="J744" t="s">
        <v>1335</v>
      </c>
      <c r="K744" s="22" t="s">
        <v>28</v>
      </c>
      <c r="L744">
        <v>7</v>
      </c>
      <c r="M744">
        <v>5</v>
      </c>
      <c r="O744" s="31"/>
    </row>
    <row r="745" spans="10:15" x14ac:dyDescent="0.25">
      <c r="J745" t="s">
        <v>1335</v>
      </c>
      <c r="K745" s="22" t="s">
        <v>35</v>
      </c>
      <c r="L745">
        <v>1</v>
      </c>
    </row>
    <row r="746" spans="10:15" x14ac:dyDescent="0.25">
      <c r="J746" t="s">
        <v>1335</v>
      </c>
      <c r="K746" s="22" t="s">
        <v>22</v>
      </c>
      <c r="L746">
        <v>1</v>
      </c>
      <c r="O746" s="30"/>
    </row>
    <row r="747" spans="10:15" x14ac:dyDescent="0.25">
      <c r="J747" t="s">
        <v>93</v>
      </c>
      <c r="K747" s="22" t="s">
        <v>24</v>
      </c>
      <c r="L747">
        <v>1</v>
      </c>
    </row>
    <row r="748" spans="10:15" x14ac:dyDescent="0.25">
      <c r="J748" t="s">
        <v>93</v>
      </c>
      <c r="K748" s="22" t="s">
        <v>26</v>
      </c>
      <c r="L748">
        <v>1</v>
      </c>
    </row>
    <row r="749" spans="10:15" x14ac:dyDescent="0.25">
      <c r="J749" t="s">
        <v>93</v>
      </c>
      <c r="K749" s="22" t="s">
        <v>20</v>
      </c>
      <c r="L749">
        <v>2</v>
      </c>
    </row>
    <row r="750" spans="10:15" x14ac:dyDescent="0.25">
      <c r="J750" t="s">
        <v>93</v>
      </c>
      <c r="K750" s="22" t="s">
        <v>28</v>
      </c>
      <c r="L750">
        <v>3</v>
      </c>
      <c r="O750" s="30"/>
    </row>
    <row r="751" spans="10:15" x14ac:dyDescent="0.25">
      <c r="J751" t="s">
        <v>93</v>
      </c>
      <c r="K751" s="22" t="s">
        <v>35</v>
      </c>
      <c r="L751">
        <v>2</v>
      </c>
      <c r="M751">
        <v>1</v>
      </c>
      <c r="O751" s="30"/>
    </row>
    <row r="752" spans="10:15" x14ac:dyDescent="0.25">
      <c r="J752" t="s">
        <v>452</v>
      </c>
      <c r="K752" s="22" t="s">
        <v>28</v>
      </c>
      <c r="L752">
        <v>2</v>
      </c>
      <c r="M752">
        <v>1</v>
      </c>
    </row>
    <row r="753" spans="10:15" x14ac:dyDescent="0.25">
      <c r="J753" t="s">
        <v>452</v>
      </c>
      <c r="K753" s="22" t="s">
        <v>35</v>
      </c>
      <c r="L753">
        <v>3</v>
      </c>
      <c r="M753">
        <v>3</v>
      </c>
      <c r="O753" s="31"/>
    </row>
    <row r="754" spans="10:15" x14ac:dyDescent="0.25">
      <c r="J754" t="s">
        <v>1772</v>
      </c>
      <c r="K754" s="22" t="s">
        <v>24</v>
      </c>
      <c r="L754">
        <v>2</v>
      </c>
      <c r="O754" s="30"/>
    </row>
    <row r="755" spans="10:15" x14ac:dyDescent="0.25">
      <c r="J755" t="s">
        <v>1772</v>
      </c>
      <c r="K755" s="22" t="s">
        <v>26</v>
      </c>
      <c r="L755">
        <v>6</v>
      </c>
      <c r="O755" s="30"/>
    </row>
    <row r="756" spans="10:15" x14ac:dyDescent="0.25">
      <c r="J756" t="s">
        <v>1772</v>
      </c>
      <c r="K756" s="22" t="s">
        <v>20</v>
      </c>
      <c r="L756">
        <v>2</v>
      </c>
      <c r="M756">
        <v>1</v>
      </c>
      <c r="O756" s="30"/>
    </row>
    <row r="757" spans="10:15" x14ac:dyDescent="0.25">
      <c r="J757" t="s">
        <v>1772</v>
      </c>
      <c r="K757" s="22" t="s">
        <v>28</v>
      </c>
      <c r="L757">
        <v>1</v>
      </c>
    </row>
    <row r="758" spans="10:15" x14ac:dyDescent="0.25">
      <c r="J758" t="s">
        <v>1772</v>
      </c>
      <c r="K758" s="22" t="s">
        <v>22</v>
      </c>
      <c r="L758">
        <v>3</v>
      </c>
      <c r="M758">
        <v>1</v>
      </c>
      <c r="O758" s="31"/>
    </row>
    <row r="759" spans="10:15" x14ac:dyDescent="0.25">
      <c r="J759" t="s">
        <v>1849</v>
      </c>
      <c r="K759" s="22" t="s">
        <v>28</v>
      </c>
      <c r="L759">
        <v>2</v>
      </c>
      <c r="M759">
        <v>2</v>
      </c>
    </row>
    <row r="760" spans="10:15" x14ac:dyDescent="0.25">
      <c r="J760" t="s">
        <v>1142</v>
      </c>
      <c r="K760" s="22" t="s">
        <v>26</v>
      </c>
      <c r="L760">
        <v>4</v>
      </c>
      <c r="M760">
        <v>3</v>
      </c>
      <c r="O760" s="31"/>
    </row>
    <row r="761" spans="10:15" x14ac:dyDescent="0.25">
      <c r="J761" t="s">
        <v>1142</v>
      </c>
      <c r="K761" s="22" t="s">
        <v>31</v>
      </c>
      <c r="L761">
        <v>1</v>
      </c>
      <c r="M761">
        <v>1</v>
      </c>
    </row>
    <row r="762" spans="10:15" x14ac:dyDescent="0.25">
      <c r="J762" t="s">
        <v>2730</v>
      </c>
      <c r="K762" s="22" t="s">
        <v>20</v>
      </c>
      <c r="L762">
        <v>1</v>
      </c>
    </row>
    <row r="763" spans="10:15" x14ac:dyDescent="0.25">
      <c r="J763" t="s">
        <v>2730</v>
      </c>
      <c r="K763" s="22" t="s">
        <v>28</v>
      </c>
      <c r="L763">
        <v>2</v>
      </c>
      <c r="O763" s="30"/>
    </row>
    <row r="764" spans="10:15" x14ac:dyDescent="0.25">
      <c r="J764" t="s">
        <v>94</v>
      </c>
      <c r="K764" s="22" t="s">
        <v>24</v>
      </c>
      <c r="L764">
        <v>2</v>
      </c>
      <c r="O764" s="30"/>
    </row>
    <row r="765" spans="10:15" x14ac:dyDescent="0.25">
      <c r="J765" t="s">
        <v>94</v>
      </c>
      <c r="K765" s="22" t="s">
        <v>20</v>
      </c>
      <c r="L765">
        <v>2</v>
      </c>
      <c r="M765">
        <v>2</v>
      </c>
      <c r="O765" s="31"/>
    </row>
    <row r="766" spans="10:15" x14ac:dyDescent="0.25">
      <c r="J766" t="s">
        <v>94</v>
      </c>
      <c r="K766" s="22" t="s">
        <v>28</v>
      </c>
      <c r="L766">
        <v>2</v>
      </c>
      <c r="M766">
        <v>1</v>
      </c>
    </row>
    <row r="767" spans="10:15" x14ac:dyDescent="0.25">
      <c r="J767" t="s">
        <v>641</v>
      </c>
      <c r="K767" s="22" t="s">
        <v>24</v>
      </c>
      <c r="L767">
        <v>1</v>
      </c>
    </row>
    <row r="768" spans="10:15" x14ac:dyDescent="0.25">
      <c r="J768" t="s">
        <v>641</v>
      </c>
      <c r="K768" s="22" t="s">
        <v>35</v>
      </c>
      <c r="L768">
        <v>2</v>
      </c>
      <c r="M768">
        <v>2</v>
      </c>
      <c r="O768" s="31"/>
    </row>
    <row r="769" spans="10:15" x14ac:dyDescent="0.25">
      <c r="J769" t="s">
        <v>2547</v>
      </c>
      <c r="K769" s="22" t="s">
        <v>24</v>
      </c>
      <c r="L769">
        <v>1</v>
      </c>
      <c r="M769">
        <v>1</v>
      </c>
    </row>
    <row r="770" spans="10:15" x14ac:dyDescent="0.25">
      <c r="J770" t="s">
        <v>2547</v>
      </c>
      <c r="K770" s="22" t="s">
        <v>20</v>
      </c>
      <c r="L770">
        <v>1</v>
      </c>
    </row>
    <row r="771" spans="10:15" x14ac:dyDescent="0.25">
      <c r="J771" t="s">
        <v>186</v>
      </c>
      <c r="K771" s="22" t="s">
        <v>26</v>
      </c>
      <c r="L771">
        <v>1</v>
      </c>
      <c r="O771" s="30"/>
    </row>
    <row r="772" spans="10:15" x14ac:dyDescent="0.25">
      <c r="J772" t="s">
        <v>186</v>
      </c>
      <c r="K772" s="22" t="s">
        <v>35</v>
      </c>
      <c r="L772">
        <v>1</v>
      </c>
    </row>
    <row r="773" spans="10:15" x14ac:dyDescent="0.25">
      <c r="J773" t="s">
        <v>1337</v>
      </c>
      <c r="K773" s="22" t="s">
        <v>20</v>
      </c>
      <c r="L773">
        <v>2</v>
      </c>
      <c r="M773">
        <v>2</v>
      </c>
      <c r="O773" s="31"/>
    </row>
    <row r="774" spans="10:15" x14ac:dyDescent="0.25">
      <c r="J774" t="s">
        <v>673</v>
      </c>
      <c r="K774" s="22" t="s">
        <v>20</v>
      </c>
      <c r="L774">
        <v>3</v>
      </c>
      <c r="M774">
        <v>2</v>
      </c>
      <c r="O774" s="30"/>
    </row>
    <row r="775" spans="10:15" x14ac:dyDescent="0.25">
      <c r="J775" t="s">
        <v>673</v>
      </c>
      <c r="K775" s="22" t="s">
        <v>31</v>
      </c>
      <c r="L775">
        <v>2</v>
      </c>
      <c r="M775">
        <v>2</v>
      </c>
      <c r="O775" s="31"/>
    </row>
    <row r="776" spans="10:15" x14ac:dyDescent="0.25">
      <c r="J776" t="s">
        <v>1982</v>
      </c>
      <c r="K776" s="22" t="s">
        <v>26</v>
      </c>
      <c r="L776">
        <v>1</v>
      </c>
      <c r="O776" s="30"/>
    </row>
    <row r="777" spans="10:15" x14ac:dyDescent="0.25">
      <c r="J777" t="s">
        <v>1982</v>
      </c>
      <c r="K777" s="22" t="s">
        <v>20</v>
      </c>
      <c r="L777">
        <v>1</v>
      </c>
    </row>
    <row r="778" spans="10:15" x14ac:dyDescent="0.25">
      <c r="J778" t="s">
        <v>1982</v>
      </c>
      <c r="K778" s="22" t="s">
        <v>22</v>
      </c>
      <c r="L778">
        <v>1</v>
      </c>
    </row>
    <row r="779" spans="10:15" x14ac:dyDescent="0.25">
      <c r="J779" t="s">
        <v>2349</v>
      </c>
      <c r="K779" s="22" t="s">
        <v>20</v>
      </c>
      <c r="L779">
        <v>1</v>
      </c>
    </row>
    <row r="780" spans="10:15" x14ac:dyDescent="0.25">
      <c r="J780" t="s">
        <v>2077</v>
      </c>
      <c r="K780" s="22" t="s">
        <v>26</v>
      </c>
      <c r="L780">
        <v>1</v>
      </c>
      <c r="M780">
        <v>1</v>
      </c>
    </row>
    <row r="781" spans="10:15" x14ac:dyDescent="0.25">
      <c r="J781" t="s">
        <v>1042</v>
      </c>
      <c r="K781" s="22" t="s">
        <v>26</v>
      </c>
      <c r="L781">
        <v>2</v>
      </c>
      <c r="M781">
        <v>1</v>
      </c>
    </row>
    <row r="782" spans="10:15" x14ac:dyDescent="0.25">
      <c r="J782" t="s">
        <v>1042</v>
      </c>
      <c r="K782" s="22" t="s">
        <v>20</v>
      </c>
      <c r="L782">
        <v>2</v>
      </c>
      <c r="M782">
        <v>2</v>
      </c>
      <c r="O782" s="31"/>
    </row>
    <row r="783" spans="10:15" x14ac:dyDescent="0.25">
      <c r="J783" t="s">
        <v>1042</v>
      </c>
      <c r="K783" s="22" t="s">
        <v>22</v>
      </c>
      <c r="L783">
        <v>1</v>
      </c>
    </row>
    <row r="784" spans="10:15" x14ac:dyDescent="0.25">
      <c r="J784" t="s">
        <v>852</v>
      </c>
      <c r="K784" s="22" t="s">
        <v>26</v>
      </c>
      <c r="L784">
        <v>1</v>
      </c>
    </row>
    <row r="785" spans="10:15" x14ac:dyDescent="0.25">
      <c r="J785" t="s">
        <v>852</v>
      </c>
      <c r="K785" s="22" t="s">
        <v>20</v>
      </c>
      <c r="L785">
        <v>3</v>
      </c>
      <c r="M785">
        <v>3</v>
      </c>
      <c r="O785" s="31"/>
    </row>
    <row r="786" spans="10:15" x14ac:dyDescent="0.25">
      <c r="J786" t="s">
        <v>325</v>
      </c>
      <c r="K786" s="22" t="s">
        <v>24</v>
      </c>
      <c r="L786">
        <v>13</v>
      </c>
      <c r="M786">
        <v>10</v>
      </c>
      <c r="O786" s="30"/>
    </row>
    <row r="787" spans="10:15" x14ac:dyDescent="0.25">
      <c r="J787" t="s">
        <v>325</v>
      </c>
      <c r="K787" s="22" t="s">
        <v>26</v>
      </c>
      <c r="L787">
        <v>9</v>
      </c>
      <c r="M787">
        <v>5</v>
      </c>
      <c r="O787" s="30"/>
    </row>
    <row r="788" spans="10:15" x14ac:dyDescent="0.25">
      <c r="J788" t="s">
        <v>325</v>
      </c>
      <c r="K788" s="22" t="s">
        <v>30</v>
      </c>
      <c r="L788">
        <v>11</v>
      </c>
      <c r="M788">
        <v>5</v>
      </c>
      <c r="O788" s="31"/>
    </row>
    <row r="789" spans="10:15" x14ac:dyDescent="0.25">
      <c r="J789" t="s">
        <v>325</v>
      </c>
      <c r="K789" s="22" t="s">
        <v>29</v>
      </c>
      <c r="L789">
        <v>13</v>
      </c>
      <c r="M789">
        <v>11</v>
      </c>
      <c r="O789" s="31"/>
    </row>
    <row r="790" spans="10:15" x14ac:dyDescent="0.25">
      <c r="J790" t="s">
        <v>325</v>
      </c>
      <c r="K790" s="22" t="s">
        <v>28</v>
      </c>
      <c r="L790">
        <v>4</v>
      </c>
      <c r="M790">
        <v>1</v>
      </c>
      <c r="O790" s="31"/>
    </row>
    <row r="791" spans="10:15" x14ac:dyDescent="0.25">
      <c r="J791" t="s">
        <v>325</v>
      </c>
      <c r="K791" s="22" t="s">
        <v>35</v>
      </c>
      <c r="L791">
        <v>12</v>
      </c>
      <c r="M791">
        <v>8</v>
      </c>
      <c r="O791" s="31"/>
    </row>
    <row r="792" spans="10:15" x14ac:dyDescent="0.25">
      <c r="J792" t="s">
        <v>325</v>
      </c>
      <c r="K792" s="22" t="s">
        <v>22</v>
      </c>
      <c r="L792">
        <v>7</v>
      </c>
      <c r="M792">
        <v>3</v>
      </c>
      <c r="O792" s="31"/>
    </row>
    <row r="793" spans="10:15" x14ac:dyDescent="0.25">
      <c r="J793" t="s">
        <v>23</v>
      </c>
      <c r="K793" s="22" t="s">
        <v>24</v>
      </c>
      <c r="L793">
        <v>9</v>
      </c>
      <c r="M793">
        <v>8</v>
      </c>
      <c r="O793" s="31"/>
    </row>
    <row r="794" spans="10:15" x14ac:dyDescent="0.25">
      <c r="J794" t="s">
        <v>23</v>
      </c>
      <c r="K794" s="22" t="s">
        <v>26</v>
      </c>
      <c r="L794">
        <v>13</v>
      </c>
      <c r="M794">
        <v>10</v>
      </c>
      <c r="O794" s="31"/>
    </row>
    <row r="795" spans="10:15" x14ac:dyDescent="0.25">
      <c r="J795" t="s">
        <v>23</v>
      </c>
      <c r="K795" s="22" t="s">
        <v>29</v>
      </c>
      <c r="L795">
        <v>12</v>
      </c>
      <c r="M795">
        <v>12</v>
      </c>
      <c r="O795" s="31"/>
    </row>
    <row r="796" spans="10:15" x14ac:dyDescent="0.25">
      <c r="J796" t="s">
        <v>23</v>
      </c>
      <c r="K796" s="22" t="s">
        <v>28</v>
      </c>
      <c r="L796">
        <v>14</v>
      </c>
      <c r="M796">
        <v>11</v>
      </c>
      <c r="O796" s="30"/>
    </row>
    <row r="797" spans="10:15" x14ac:dyDescent="0.25">
      <c r="J797" t="s">
        <v>23</v>
      </c>
      <c r="K797" s="22" t="s">
        <v>35</v>
      </c>
      <c r="L797">
        <v>9</v>
      </c>
      <c r="M797">
        <v>8</v>
      </c>
      <c r="O797" s="31"/>
    </row>
    <row r="798" spans="10:15" x14ac:dyDescent="0.25">
      <c r="J798" t="s">
        <v>23</v>
      </c>
      <c r="K798" s="22" t="s">
        <v>31</v>
      </c>
      <c r="L798">
        <v>10</v>
      </c>
      <c r="M798">
        <v>8</v>
      </c>
      <c r="O798" s="31"/>
    </row>
    <row r="799" spans="10:15" x14ac:dyDescent="0.25">
      <c r="J799" t="s">
        <v>2014</v>
      </c>
      <c r="K799" s="22" t="s">
        <v>24</v>
      </c>
      <c r="L799">
        <v>2</v>
      </c>
      <c r="M799">
        <v>1</v>
      </c>
      <c r="O799" s="30"/>
    </row>
    <row r="800" spans="10:15" x14ac:dyDescent="0.25">
      <c r="J800" t="s">
        <v>2014</v>
      </c>
      <c r="K800" s="22" t="s">
        <v>26</v>
      </c>
      <c r="L800">
        <v>3</v>
      </c>
      <c r="O800" s="30"/>
    </row>
    <row r="801" spans="10:15" x14ac:dyDescent="0.25">
      <c r="J801" t="s">
        <v>2014</v>
      </c>
      <c r="K801" s="22" t="s">
        <v>29</v>
      </c>
      <c r="L801">
        <v>4</v>
      </c>
      <c r="M801">
        <v>2</v>
      </c>
      <c r="O801" s="30"/>
    </row>
    <row r="802" spans="10:15" x14ac:dyDescent="0.25">
      <c r="J802" t="s">
        <v>2014</v>
      </c>
      <c r="K802" s="22" t="s">
        <v>35</v>
      </c>
      <c r="L802">
        <v>5</v>
      </c>
      <c r="M802">
        <v>1</v>
      </c>
      <c r="O802" s="30"/>
    </row>
    <row r="803" spans="10:15" x14ac:dyDescent="0.25">
      <c r="J803" t="s">
        <v>340</v>
      </c>
      <c r="K803" s="22" t="s">
        <v>26</v>
      </c>
      <c r="L803">
        <v>4</v>
      </c>
      <c r="M803">
        <v>4</v>
      </c>
      <c r="O803" s="31"/>
    </row>
    <row r="804" spans="10:15" x14ac:dyDescent="0.25">
      <c r="J804" t="s">
        <v>81</v>
      </c>
      <c r="K804" s="22" t="s">
        <v>24</v>
      </c>
      <c r="L804">
        <v>4</v>
      </c>
      <c r="M804">
        <v>4</v>
      </c>
    </row>
    <row r="805" spans="10:15" x14ac:dyDescent="0.25">
      <c r="J805" t="s">
        <v>81</v>
      </c>
      <c r="K805" s="22" t="s">
        <v>26</v>
      </c>
      <c r="L805">
        <v>6</v>
      </c>
      <c r="M805">
        <v>3</v>
      </c>
      <c r="O805" s="30"/>
    </row>
    <row r="806" spans="10:15" x14ac:dyDescent="0.25">
      <c r="J806" t="s">
        <v>81</v>
      </c>
      <c r="K806" s="22" t="s">
        <v>30</v>
      </c>
      <c r="L806">
        <v>7</v>
      </c>
      <c r="M806">
        <v>2</v>
      </c>
      <c r="O806" s="31"/>
    </row>
    <row r="807" spans="10:15" x14ac:dyDescent="0.25">
      <c r="J807" t="s">
        <v>81</v>
      </c>
      <c r="K807" s="22" t="s">
        <v>29</v>
      </c>
      <c r="L807">
        <v>10</v>
      </c>
      <c r="M807">
        <v>7</v>
      </c>
      <c r="O807" s="31"/>
    </row>
    <row r="808" spans="10:15" x14ac:dyDescent="0.25">
      <c r="J808" t="s">
        <v>81</v>
      </c>
      <c r="K808" s="22" t="s">
        <v>28</v>
      </c>
      <c r="L808">
        <v>12</v>
      </c>
      <c r="M808">
        <v>10</v>
      </c>
      <c r="O808" s="31"/>
    </row>
    <row r="809" spans="10:15" x14ac:dyDescent="0.25">
      <c r="J809" t="s">
        <v>81</v>
      </c>
      <c r="K809" s="22" t="s">
        <v>22</v>
      </c>
      <c r="L809">
        <v>7</v>
      </c>
      <c r="M809">
        <v>1</v>
      </c>
      <c r="O809" s="30"/>
    </row>
    <row r="810" spans="10:15" x14ac:dyDescent="0.25">
      <c r="J810" t="s">
        <v>81</v>
      </c>
      <c r="K810" s="22" t="s">
        <v>31</v>
      </c>
      <c r="L810">
        <v>7</v>
      </c>
      <c r="M810">
        <v>5</v>
      </c>
      <c r="O810" s="31"/>
    </row>
    <row r="811" spans="10:15" x14ac:dyDescent="0.25">
      <c r="J811" t="s">
        <v>253</v>
      </c>
      <c r="K811" s="22" t="s">
        <v>24</v>
      </c>
      <c r="L811">
        <v>9</v>
      </c>
      <c r="M811">
        <v>5</v>
      </c>
      <c r="O811" s="30"/>
    </row>
    <row r="812" spans="10:15" x14ac:dyDescent="0.25">
      <c r="J812" t="s">
        <v>253</v>
      </c>
      <c r="K812" s="22" t="s">
        <v>26</v>
      </c>
      <c r="L812">
        <v>3</v>
      </c>
      <c r="O812" s="30"/>
    </row>
    <row r="813" spans="10:15" x14ac:dyDescent="0.25">
      <c r="J813" t="s">
        <v>253</v>
      </c>
      <c r="K813" s="22" t="s">
        <v>30</v>
      </c>
      <c r="L813">
        <v>4</v>
      </c>
      <c r="O813" s="30"/>
    </row>
    <row r="814" spans="10:15" x14ac:dyDescent="0.25">
      <c r="J814" t="s">
        <v>253</v>
      </c>
      <c r="K814" s="22" t="s">
        <v>29</v>
      </c>
      <c r="L814">
        <v>6</v>
      </c>
      <c r="O814" s="30"/>
    </row>
    <row r="815" spans="10:15" x14ac:dyDescent="0.25">
      <c r="J815" t="s">
        <v>253</v>
      </c>
      <c r="K815" s="22" t="s">
        <v>28</v>
      </c>
      <c r="L815">
        <v>3</v>
      </c>
      <c r="O815" s="30"/>
    </row>
    <row r="816" spans="10:15" x14ac:dyDescent="0.25">
      <c r="J816" t="s">
        <v>253</v>
      </c>
      <c r="K816" s="22" t="s">
        <v>22</v>
      </c>
      <c r="L816">
        <v>4</v>
      </c>
      <c r="M816">
        <v>2</v>
      </c>
      <c r="O816" s="31"/>
    </row>
    <row r="817" spans="10:15" x14ac:dyDescent="0.25">
      <c r="J817" t="s">
        <v>842</v>
      </c>
      <c r="K817" s="22" t="s">
        <v>26</v>
      </c>
      <c r="L817">
        <v>3</v>
      </c>
      <c r="M817">
        <v>2</v>
      </c>
      <c r="O817" s="30"/>
    </row>
    <row r="818" spans="10:15" x14ac:dyDescent="0.25">
      <c r="J818" t="s">
        <v>842</v>
      </c>
      <c r="K818" s="22" t="s">
        <v>28</v>
      </c>
      <c r="L818">
        <v>9</v>
      </c>
      <c r="O818" s="30"/>
    </row>
    <row r="819" spans="10:15" x14ac:dyDescent="0.25">
      <c r="J819" t="s">
        <v>1277</v>
      </c>
      <c r="K819" s="22" t="s">
        <v>24</v>
      </c>
      <c r="L819">
        <v>3</v>
      </c>
      <c r="M819">
        <v>1</v>
      </c>
      <c r="O819" s="30"/>
    </row>
    <row r="820" spans="10:15" x14ac:dyDescent="0.25">
      <c r="J820" t="s">
        <v>1277</v>
      </c>
      <c r="K820" s="22" t="s">
        <v>26</v>
      </c>
      <c r="L820">
        <v>2</v>
      </c>
      <c r="N820" t="b">
        <v>1</v>
      </c>
      <c r="O820" s="30"/>
    </row>
    <row r="821" spans="10:15" x14ac:dyDescent="0.25">
      <c r="J821" t="s">
        <v>1277</v>
      </c>
      <c r="K821" s="22" t="s">
        <v>30</v>
      </c>
      <c r="L821">
        <v>3</v>
      </c>
      <c r="M821">
        <v>1</v>
      </c>
      <c r="O821" s="31"/>
    </row>
    <row r="822" spans="10:15" x14ac:dyDescent="0.25">
      <c r="J822" t="s">
        <v>1277</v>
      </c>
      <c r="K822" s="22" t="s">
        <v>29</v>
      </c>
      <c r="L822">
        <v>3</v>
      </c>
      <c r="O822" s="30"/>
    </row>
    <row r="823" spans="10:15" x14ac:dyDescent="0.25">
      <c r="J823" t="s">
        <v>1277</v>
      </c>
      <c r="K823" s="22" t="s">
        <v>28</v>
      </c>
      <c r="L823">
        <v>3</v>
      </c>
      <c r="M823">
        <v>1</v>
      </c>
      <c r="O823" s="30"/>
    </row>
    <row r="824" spans="10:15" x14ac:dyDescent="0.25">
      <c r="J824" t="s">
        <v>1277</v>
      </c>
      <c r="K824" s="22" t="s">
        <v>31</v>
      </c>
      <c r="L824">
        <v>1</v>
      </c>
      <c r="M824">
        <v>1</v>
      </c>
    </row>
    <row r="825" spans="10:15" x14ac:dyDescent="0.25">
      <c r="J825" t="s">
        <v>426</v>
      </c>
      <c r="K825" s="22" t="s">
        <v>24</v>
      </c>
      <c r="L825">
        <v>5</v>
      </c>
      <c r="M825">
        <v>4</v>
      </c>
      <c r="O825" s="31"/>
    </row>
    <row r="826" spans="10:15" x14ac:dyDescent="0.25">
      <c r="J826" t="s">
        <v>426</v>
      </c>
      <c r="K826" s="22" t="s">
        <v>29</v>
      </c>
      <c r="L826">
        <v>2</v>
      </c>
      <c r="M826">
        <v>2</v>
      </c>
      <c r="O826" s="31"/>
    </row>
    <row r="827" spans="10:15" x14ac:dyDescent="0.25">
      <c r="J827" t="s">
        <v>2590</v>
      </c>
      <c r="K827" s="22" t="s">
        <v>24</v>
      </c>
      <c r="L827">
        <v>1</v>
      </c>
    </row>
    <row r="828" spans="10:15" x14ac:dyDescent="0.25">
      <c r="J828" t="s">
        <v>2590</v>
      </c>
      <c r="K828" s="22" t="s">
        <v>26</v>
      </c>
      <c r="L828">
        <v>3</v>
      </c>
      <c r="M828">
        <v>1</v>
      </c>
      <c r="O828" s="31"/>
    </row>
    <row r="829" spans="10:15" x14ac:dyDescent="0.25">
      <c r="J829" t="s">
        <v>2590</v>
      </c>
      <c r="K829" s="22" t="s">
        <v>30</v>
      </c>
      <c r="L829">
        <v>2</v>
      </c>
      <c r="M829">
        <v>1</v>
      </c>
      <c r="O829" s="30"/>
    </row>
    <row r="830" spans="10:15" x14ac:dyDescent="0.25">
      <c r="J830" t="s">
        <v>2590</v>
      </c>
      <c r="K830" s="22" t="s">
        <v>29</v>
      </c>
      <c r="L830">
        <v>2</v>
      </c>
      <c r="M830">
        <v>1</v>
      </c>
      <c r="O830" s="30"/>
    </row>
    <row r="831" spans="10:15" x14ac:dyDescent="0.25">
      <c r="J831" t="s">
        <v>2590</v>
      </c>
      <c r="K831" s="22" t="s">
        <v>35</v>
      </c>
      <c r="L831">
        <v>3</v>
      </c>
      <c r="O831" s="30"/>
    </row>
    <row r="832" spans="10:15" x14ac:dyDescent="0.25">
      <c r="J832" t="s">
        <v>2630</v>
      </c>
      <c r="K832" s="22" t="s">
        <v>24</v>
      </c>
      <c r="L832">
        <v>1</v>
      </c>
      <c r="O832" s="30"/>
    </row>
    <row r="833" spans="10:15" x14ac:dyDescent="0.25">
      <c r="J833" t="s">
        <v>2630</v>
      </c>
      <c r="K833" s="22" t="s">
        <v>30</v>
      </c>
      <c r="L833">
        <v>1</v>
      </c>
      <c r="O833" s="30"/>
    </row>
    <row r="834" spans="10:15" x14ac:dyDescent="0.25">
      <c r="J834" t="s">
        <v>2630</v>
      </c>
      <c r="K834" s="22" t="s">
        <v>29</v>
      </c>
      <c r="L834">
        <v>1</v>
      </c>
    </row>
    <row r="835" spans="10:15" x14ac:dyDescent="0.25">
      <c r="J835" t="s">
        <v>2630</v>
      </c>
      <c r="K835" s="22" t="s">
        <v>22</v>
      </c>
      <c r="L835">
        <v>1</v>
      </c>
      <c r="O835" s="30"/>
    </row>
    <row r="836" spans="10:15" x14ac:dyDescent="0.25">
      <c r="J836" t="s">
        <v>1602</v>
      </c>
      <c r="K836" s="22" t="s">
        <v>31</v>
      </c>
      <c r="L836">
        <v>8</v>
      </c>
      <c r="M836">
        <v>8</v>
      </c>
      <c r="O836" s="31"/>
    </row>
    <row r="837" spans="10:15" x14ac:dyDescent="0.25">
      <c r="J837" t="s">
        <v>327</v>
      </c>
      <c r="K837" s="22" t="s">
        <v>26</v>
      </c>
      <c r="L837">
        <v>10</v>
      </c>
      <c r="M837">
        <v>10</v>
      </c>
      <c r="O837" s="31"/>
    </row>
    <row r="838" spans="10:15" x14ac:dyDescent="0.25">
      <c r="J838" t="s">
        <v>327</v>
      </c>
      <c r="K838" s="22" t="s">
        <v>30</v>
      </c>
      <c r="L838">
        <v>2</v>
      </c>
      <c r="M838">
        <v>1</v>
      </c>
      <c r="O838" s="31"/>
    </row>
    <row r="839" spans="10:15" x14ac:dyDescent="0.25">
      <c r="J839" t="s">
        <v>327</v>
      </c>
      <c r="K839" s="22" t="s">
        <v>29</v>
      </c>
      <c r="L839">
        <v>22</v>
      </c>
      <c r="M839">
        <v>21</v>
      </c>
      <c r="O839" s="31"/>
    </row>
    <row r="840" spans="10:15" x14ac:dyDescent="0.25">
      <c r="J840" t="s">
        <v>327</v>
      </c>
      <c r="K840" s="22" t="s">
        <v>35</v>
      </c>
      <c r="L840">
        <v>5</v>
      </c>
      <c r="M840">
        <v>4</v>
      </c>
      <c r="O840" s="31"/>
    </row>
    <row r="841" spans="10:15" x14ac:dyDescent="0.25">
      <c r="J841" t="s">
        <v>327</v>
      </c>
      <c r="K841" s="22" t="s">
        <v>22</v>
      </c>
      <c r="L841">
        <v>4</v>
      </c>
      <c r="M841">
        <v>3</v>
      </c>
      <c r="O841" s="31"/>
    </row>
    <row r="842" spans="10:15" x14ac:dyDescent="0.25">
      <c r="J842" t="s">
        <v>327</v>
      </c>
      <c r="K842" s="22" t="s">
        <v>31</v>
      </c>
      <c r="L842">
        <v>7</v>
      </c>
      <c r="M842">
        <v>1</v>
      </c>
      <c r="O842" s="30"/>
    </row>
    <row r="843" spans="10:15" x14ac:dyDescent="0.25">
      <c r="J843" t="s">
        <v>758</v>
      </c>
      <c r="K843" s="22" t="s">
        <v>24</v>
      </c>
      <c r="L843">
        <v>3</v>
      </c>
      <c r="M843">
        <v>2</v>
      </c>
    </row>
    <row r="844" spans="10:15" x14ac:dyDescent="0.25">
      <c r="J844" t="s">
        <v>758</v>
      </c>
      <c r="K844" s="22" t="s">
        <v>22</v>
      </c>
      <c r="L844">
        <v>2</v>
      </c>
      <c r="M844">
        <v>1</v>
      </c>
      <c r="O844" s="30"/>
    </row>
    <row r="845" spans="10:15" x14ac:dyDescent="0.25">
      <c r="J845" t="s">
        <v>2144</v>
      </c>
      <c r="K845" s="22" t="s">
        <v>26</v>
      </c>
      <c r="L845">
        <v>5</v>
      </c>
      <c r="M845">
        <v>4</v>
      </c>
      <c r="O845" s="31"/>
    </row>
    <row r="846" spans="10:15" x14ac:dyDescent="0.25">
      <c r="J846" t="s">
        <v>2144</v>
      </c>
      <c r="K846" s="22" t="s">
        <v>30</v>
      </c>
      <c r="L846">
        <v>1</v>
      </c>
      <c r="O846" s="30"/>
    </row>
    <row r="847" spans="10:15" x14ac:dyDescent="0.25">
      <c r="J847" t="s">
        <v>2144</v>
      </c>
      <c r="K847" s="22" t="s">
        <v>35</v>
      </c>
      <c r="L847">
        <v>2</v>
      </c>
      <c r="M847">
        <v>1</v>
      </c>
      <c r="O847" s="30"/>
    </row>
    <row r="848" spans="10:15" x14ac:dyDescent="0.25">
      <c r="J848" t="s">
        <v>1293</v>
      </c>
      <c r="K848" s="22" t="s">
        <v>24</v>
      </c>
      <c r="L848">
        <v>5</v>
      </c>
      <c r="M848">
        <v>4</v>
      </c>
      <c r="O848" s="31"/>
    </row>
    <row r="849" spans="10:15" x14ac:dyDescent="0.25">
      <c r="J849" t="s">
        <v>1293</v>
      </c>
      <c r="K849" s="22" t="s">
        <v>26</v>
      </c>
      <c r="L849">
        <v>2</v>
      </c>
      <c r="M849">
        <v>1</v>
      </c>
      <c r="O849" s="31"/>
    </row>
    <row r="850" spans="10:15" x14ac:dyDescent="0.25">
      <c r="J850" t="s">
        <v>1293</v>
      </c>
      <c r="K850" s="22" t="s">
        <v>30</v>
      </c>
      <c r="L850">
        <v>1</v>
      </c>
      <c r="O850" s="30"/>
    </row>
    <row r="851" spans="10:15" x14ac:dyDescent="0.25">
      <c r="J851" t="s">
        <v>1293</v>
      </c>
      <c r="K851" s="22" t="s">
        <v>29</v>
      </c>
      <c r="L851">
        <v>2</v>
      </c>
      <c r="O851" s="30"/>
    </row>
    <row r="852" spans="10:15" x14ac:dyDescent="0.25">
      <c r="J852" t="s">
        <v>1293</v>
      </c>
      <c r="K852" s="22" t="s">
        <v>35</v>
      </c>
      <c r="L852">
        <v>4</v>
      </c>
      <c r="M852">
        <v>2</v>
      </c>
    </row>
    <row r="853" spans="10:15" x14ac:dyDescent="0.25">
      <c r="J853" t="s">
        <v>1293</v>
      </c>
      <c r="K853" s="22" t="s">
        <v>31</v>
      </c>
      <c r="L853">
        <v>4</v>
      </c>
      <c r="M853">
        <v>2</v>
      </c>
    </row>
    <row r="854" spans="10:15" x14ac:dyDescent="0.25">
      <c r="J854" t="s">
        <v>1692</v>
      </c>
      <c r="K854" s="22" t="s">
        <v>29</v>
      </c>
      <c r="L854">
        <v>5</v>
      </c>
      <c r="M854">
        <v>5</v>
      </c>
      <c r="O854" s="31"/>
    </row>
    <row r="855" spans="10:15" x14ac:dyDescent="0.25">
      <c r="J855" t="s">
        <v>599</v>
      </c>
      <c r="K855" s="22" t="s">
        <v>30</v>
      </c>
      <c r="L855">
        <v>2</v>
      </c>
      <c r="M855">
        <v>2</v>
      </c>
      <c r="O855" s="31"/>
    </row>
    <row r="856" spans="10:15" x14ac:dyDescent="0.25">
      <c r="J856" t="s">
        <v>1038</v>
      </c>
      <c r="K856" s="22" t="s">
        <v>29</v>
      </c>
      <c r="L856">
        <v>6</v>
      </c>
      <c r="M856">
        <v>6</v>
      </c>
      <c r="O856" s="31"/>
    </row>
    <row r="857" spans="10:15" x14ac:dyDescent="0.25">
      <c r="J857" t="s">
        <v>1295</v>
      </c>
      <c r="K857" s="22" t="s">
        <v>24</v>
      </c>
      <c r="L857">
        <v>3</v>
      </c>
      <c r="M857">
        <v>3</v>
      </c>
      <c r="O857" s="31"/>
    </row>
    <row r="858" spans="10:15" x14ac:dyDescent="0.25">
      <c r="J858" t="s">
        <v>1295</v>
      </c>
      <c r="K858" s="22" t="s">
        <v>30</v>
      </c>
      <c r="L858">
        <v>3</v>
      </c>
      <c r="M858">
        <v>2</v>
      </c>
    </row>
    <row r="859" spans="10:15" x14ac:dyDescent="0.25">
      <c r="J859" t="s">
        <v>614</v>
      </c>
      <c r="K859" s="22" t="s">
        <v>24</v>
      </c>
      <c r="L859">
        <v>5</v>
      </c>
      <c r="M859">
        <v>3</v>
      </c>
      <c r="O859" s="31"/>
    </row>
    <row r="860" spans="10:15" x14ac:dyDescent="0.25">
      <c r="J860" t="s">
        <v>614</v>
      </c>
      <c r="K860" s="22" t="s">
        <v>26</v>
      </c>
      <c r="L860">
        <v>3</v>
      </c>
      <c r="M860">
        <v>2</v>
      </c>
    </row>
    <row r="861" spans="10:15" x14ac:dyDescent="0.25">
      <c r="J861" t="s">
        <v>614</v>
      </c>
      <c r="K861" s="22" t="s">
        <v>29</v>
      </c>
      <c r="L861">
        <v>1</v>
      </c>
    </row>
    <row r="862" spans="10:15" x14ac:dyDescent="0.25">
      <c r="J862" t="s">
        <v>614</v>
      </c>
      <c r="K862" s="22" t="s">
        <v>22</v>
      </c>
      <c r="L862">
        <v>2</v>
      </c>
      <c r="M862">
        <v>1</v>
      </c>
      <c r="O862" s="30"/>
    </row>
    <row r="863" spans="10:15" x14ac:dyDescent="0.25">
      <c r="J863" t="s">
        <v>614</v>
      </c>
      <c r="K863" s="22" t="s">
        <v>31</v>
      </c>
      <c r="L863">
        <v>4</v>
      </c>
      <c r="O863" s="30"/>
    </row>
    <row r="864" spans="10:15" x14ac:dyDescent="0.25">
      <c r="J864" t="s">
        <v>443</v>
      </c>
      <c r="K864" s="22" t="s">
        <v>26</v>
      </c>
      <c r="L864">
        <v>1</v>
      </c>
    </row>
    <row r="865" spans="10:15" x14ac:dyDescent="0.25">
      <c r="J865" t="s">
        <v>443</v>
      </c>
      <c r="K865" s="22" t="s">
        <v>30</v>
      </c>
      <c r="L865">
        <v>1</v>
      </c>
      <c r="M865">
        <v>1</v>
      </c>
    </row>
    <row r="866" spans="10:15" x14ac:dyDescent="0.25">
      <c r="J866" t="s">
        <v>825</v>
      </c>
      <c r="K866" s="22" t="s">
        <v>24</v>
      </c>
      <c r="L866">
        <v>6</v>
      </c>
      <c r="M866">
        <v>6</v>
      </c>
    </row>
    <row r="867" spans="10:15" x14ac:dyDescent="0.25">
      <c r="J867" t="s">
        <v>2225</v>
      </c>
      <c r="K867" s="22" t="s">
        <v>29</v>
      </c>
      <c r="L867">
        <v>1</v>
      </c>
      <c r="M867">
        <v>1</v>
      </c>
    </row>
    <row r="868" spans="10:15" x14ac:dyDescent="0.25">
      <c r="J868" t="s">
        <v>2322</v>
      </c>
      <c r="K868" s="22" t="s">
        <v>26</v>
      </c>
      <c r="L868">
        <v>1</v>
      </c>
      <c r="M868">
        <v>1</v>
      </c>
    </row>
    <row r="869" spans="10:15" x14ac:dyDescent="0.25">
      <c r="J869" t="s">
        <v>2322</v>
      </c>
      <c r="K869" s="22" t="s">
        <v>29</v>
      </c>
      <c r="L869">
        <v>2</v>
      </c>
      <c r="M869">
        <v>1</v>
      </c>
    </row>
    <row r="870" spans="10:15" x14ac:dyDescent="0.25">
      <c r="J870" t="s">
        <v>2584</v>
      </c>
      <c r="K870" s="22" t="s">
        <v>26</v>
      </c>
      <c r="L870">
        <v>6</v>
      </c>
      <c r="M870">
        <v>6</v>
      </c>
      <c r="O870" s="31"/>
    </row>
    <row r="871" spans="10:15" x14ac:dyDescent="0.25">
      <c r="J871" t="s">
        <v>1332</v>
      </c>
      <c r="K871" s="22" t="s">
        <v>24</v>
      </c>
      <c r="L871">
        <v>3</v>
      </c>
      <c r="O871" s="30"/>
    </row>
    <row r="872" spans="10:15" x14ac:dyDescent="0.25">
      <c r="J872" t="s">
        <v>1332</v>
      </c>
      <c r="K872" s="22" t="s">
        <v>26</v>
      </c>
      <c r="L872">
        <v>2</v>
      </c>
      <c r="M872">
        <v>1</v>
      </c>
      <c r="O872" s="30"/>
    </row>
    <row r="873" spans="10:15" x14ac:dyDescent="0.25">
      <c r="J873" t="s">
        <v>1332</v>
      </c>
      <c r="K873" s="22" t="s">
        <v>22</v>
      </c>
      <c r="L873">
        <v>12</v>
      </c>
      <c r="M873">
        <v>12</v>
      </c>
      <c r="O873" s="31"/>
    </row>
    <row r="874" spans="10:15" x14ac:dyDescent="0.25">
      <c r="J874" t="s">
        <v>1576</v>
      </c>
      <c r="K874" s="22" t="s">
        <v>30</v>
      </c>
      <c r="L874">
        <v>4</v>
      </c>
      <c r="O874" s="30"/>
    </row>
    <row r="875" spans="10:15" x14ac:dyDescent="0.25">
      <c r="J875" t="s">
        <v>1576</v>
      </c>
      <c r="K875" s="22" t="s">
        <v>28</v>
      </c>
      <c r="L875">
        <v>1</v>
      </c>
    </row>
    <row r="876" spans="10:15" x14ac:dyDescent="0.25">
      <c r="J876" t="s">
        <v>1576</v>
      </c>
      <c r="K876" s="22" t="s">
        <v>31</v>
      </c>
      <c r="L876">
        <v>7</v>
      </c>
      <c r="M876">
        <v>7</v>
      </c>
      <c r="O876" s="31"/>
    </row>
    <row r="877" spans="10:15" x14ac:dyDescent="0.25">
      <c r="J877" t="s">
        <v>106</v>
      </c>
      <c r="K877" s="22" t="s">
        <v>35</v>
      </c>
      <c r="L877">
        <v>13</v>
      </c>
      <c r="M877">
        <v>13</v>
      </c>
      <c r="O877" s="31"/>
    </row>
    <row r="878" spans="10:15" x14ac:dyDescent="0.25">
      <c r="J878" t="s">
        <v>396</v>
      </c>
      <c r="K878" s="22" t="s">
        <v>35</v>
      </c>
      <c r="L878">
        <v>14</v>
      </c>
      <c r="M878">
        <v>14</v>
      </c>
      <c r="O878" s="31"/>
    </row>
    <row r="879" spans="10:15" x14ac:dyDescent="0.25">
      <c r="J879" t="s">
        <v>2473</v>
      </c>
      <c r="K879" s="22" t="s">
        <v>35</v>
      </c>
      <c r="L879">
        <v>5</v>
      </c>
      <c r="M879">
        <v>5</v>
      </c>
      <c r="O879" s="31"/>
    </row>
    <row r="880" spans="10:15" x14ac:dyDescent="0.25">
      <c r="J880" t="s">
        <v>848</v>
      </c>
      <c r="K880" s="22" t="s">
        <v>26</v>
      </c>
      <c r="L880">
        <v>11</v>
      </c>
      <c r="M880">
        <v>11</v>
      </c>
      <c r="O880" s="31"/>
    </row>
    <row r="881" spans="10:15" x14ac:dyDescent="0.25">
      <c r="J881" t="s">
        <v>3157</v>
      </c>
      <c r="K881" s="22" t="s">
        <v>24</v>
      </c>
      <c r="L881">
        <v>2</v>
      </c>
      <c r="M881">
        <v>1</v>
      </c>
      <c r="O881" s="31"/>
    </row>
    <row r="882" spans="10:15" x14ac:dyDescent="0.25">
      <c r="J882" t="s">
        <v>3157</v>
      </c>
      <c r="K882" s="22" t="s">
        <v>30</v>
      </c>
      <c r="L882">
        <v>1</v>
      </c>
      <c r="O882" s="30"/>
    </row>
    <row r="883" spans="10:15" x14ac:dyDescent="0.25">
      <c r="J883" t="s">
        <v>2258</v>
      </c>
      <c r="K883" s="22" t="s">
        <v>24</v>
      </c>
      <c r="L883">
        <v>3</v>
      </c>
      <c r="M883">
        <v>3</v>
      </c>
      <c r="O883" s="31"/>
    </row>
    <row r="884" spans="10:15" x14ac:dyDescent="0.25">
      <c r="J884" t="s">
        <v>197</v>
      </c>
      <c r="K884" s="22" t="s">
        <v>24</v>
      </c>
      <c r="L884">
        <v>9</v>
      </c>
      <c r="M884">
        <v>5</v>
      </c>
      <c r="O884" s="30"/>
    </row>
    <row r="885" spans="10:15" x14ac:dyDescent="0.25">
      <c r="J885" t="s">
        <v>197</v>
      </c>
      <c r="K885" s="22" t="s">
        <v>26</v>
      </c>
      <c r="L885">
        <v>9</v>
      </c>
      <c r="M885">
        <v>4</v>
      </c>
      <c r="O885" s="30"/>
    </row>
    <row r="886" spans="10:15" x14ac:dyDescent="0.25">
      <c r="J886" t="s">
        <v>197</v>
      </c>
      <c r="K886" s="22" t="s">
        <v>30</v>
      </c>
      <c r="L886">
        <v>14</v>
      </c>
      <c r="M886">
        <v>8</v>
      </c>
      <c r="O886" s="30"/>
    </row>
    <row r="887" spans="10:15" x14ac:dyDescent="0.25">
      <c r="J887" t="s">
        <v>197</v>
      </c>
      <c r="K887" s="22" t="s">
        <v>28</v>
      </c>
      <c r="L887">
        <v>11</v>
      </c>
      <c r="M887">
        <v>4</v>
      </c>
      <c r="O887" s="31"/>
    </row>
    <row r="888" spans="10:15" x14ac:dyDescent="0.25">
      <c r="J888" t="s">
        <v>197</v>
      </c>
      <c r="K888" s="22" t="s">
        <v>35</v>
      </c>
      <c r="L888">
        <v>11</v>
      </c>
      <c r="M888">
        <v>5</v>
      </c>
      <c r="O888" s="30"/>
    </row>
    <row r="889" spans="10:15" x14ac:dyDescent="0.25">
      <c r="J889" t="s">
        <v>197</v>
      </c>
      <c r="K889" s="22" t="s">
        <v>22</v>
      </c>
      <c r="L889">
        <v>8</v>
      </c>
      <c r="M889">
        <v>4</v>
      </c>
      <c r="O889" s="30"/>
    </row>
    <row r="890" spans="10:15" x14ac:dyDescent="0.25">
      <c r="J890" t="s">
        <v>197</v>
      </c>
      <c r="K890" s="22" t="s">
        <v>31</v>
      </c>
      <c r="L890">
        <v>16</v>
      </c>
      <c r="M890">
        <v>11</v>
      </c>
      <c r="O890" s="30"/>
    </row>
    <row r="891" spans="10:15" x14ac:dyDescent="0.25">
      <c r="J891" t="s">
        <v>1116</v>
      </c>
      <c r="K891" s="22" t="s">
        <v>24</v>
      </c>
      <c r="L891">
        <v>7</v>
      </c>
      <c r="M891">
        <v>4</v>
      </c>
      <c r="O891" s="30"/>
    </row>
    <row r="892" spans="10:15" x14ac:dyDescent="0.25">
      <c r="J892" t="s">
        <v>1116</v>
      </c>
      <c r="K892" s="22" t="s">
        <v>26</v>
      </c>
      <c r="L892">
        <v>3</v>
      </c>
      <c r="M892">
        <v>1</v>
      </c>
      <c r="O892" s="30"/>
    </row>
    <row r="893" spans="10:15" x14ac:dyDescent="0.25">
      <c r="J893" t="s">
        <v>1116</v>
      </c>
      <c r="K893" s="22" t="s">
        <v>28</v>
      </c>
      <c r="L893">
        <v>1</v>
      </c>
    </row>
    <row r="894" spans="10:15" x14ac:dyDescent="0.25">
      <c r="J894" t="s">
        <v>1116</v>
      </c>
      <c r="K894" s="22" t="s">
        <v>35</v>
      </c>
      <c r="L894">
        <v>2</v>
      </c>
      <c r="O894" s="30"/>
    </row>
    <row r="895" spans="10:15" x14ac:dyDescent="0.25">
      <c r="J895" t="s">
        <v>1327</v>
      </c>
      <c r="K895" s="22" t="s">
        <v>24</v>
      </c>
      <c r="L895">
        <v>4</v>
      </c>
      <c r="M895">
        <v>3</v>
      </c>
      <c r="O895" s="30"/>
    </row>
    <row r="896" spans="10:15" x14ac:dyDescent="0.25">
      <c r="J896" t="s">
        <v>1327</v>
      </c>
      <c r="K896" s="22" t="s">
        <v>26</v>
      </c>
      <c r="L896">
        <v>9</v>
      </c>
      <c r="M896">
        <v>5</v>
      </c>
      <c r="O896" s="30"/>
    </row>
    <row r="897" spans="10:15" x14ac:dyDescent="0.25">
      <c r="J897" t="s">
        <v>1327</v>
      </c>
      <c r="K897" s="22" t="s">
        <v>35</v>
      </c>
      <c r="L897">
        <v>3</v>
      </c>
    </row>
    <row r="898" spans="10:15" x14ac:dyDescent="0.25">
      <c r="J898" t="s">
        <v>414</v>
      </c>
      <c r="K898" s="22" t="s">
        <v>24</v>
      </c>
      <c r="L898">
        <v>3</v>
      </c>
      <c r="O898" s="30"/>
    </row>
    <row r="899" spans="10:15" x14ac:dyDescent="0.25">
      <c r="J899" t="s">
        <v>414</v>
      </c>
      <c r="K899" s="22" t="s">
        <v>26</v>
      </c>
      <c r="L899">
        <v>3</v>
      </c>
      <c r="M899">
        <v>3</v>
      </c>
      <c r="O899" s="31"/>
    </row>
    <row r="900" spans="10:15" x14ac:dyDescent="0.25">
      <c r="J900" t="s">
        <v>414</v>
      </c>
      <c r="K900" s="22" t="s">
        <v>30</v>
      </c>
      <c r="L900">
        <v>1</v>
      </c>
    </row>
    <row r="901" spans="10:15" x14ac:dyDescent="0.25">
      <c r="J901" t="s">
        <v>1370</v>
      </c>
      <c r="K901" s="22" t="s">
        <v>24</v>
      </c>
      <c r="L901">
        <v>2</v>
      </c>
      <c r="M901">
        <v>2</v>
      </c>
      <c r="O901" s="31"/>
    </row>
    <row r="902" spans="10:15" x14ac:dyDescent="0.25">
      <c r="J902" t="s">
        <v>1370</v>
      </c>
      <c r="K902" s="22" t="s">
        <v>26</v>
      </c>
      <c r="L902">
        <v>2</v>
      </c>
      <c r="M902">
        <v>1</v>
      </c>
      <c r="O902" s="30"/>
    </row>
    <row r="903" spans="10:15" x14ac:dyDescent="0.25">
      <c r="J903" t="s">
        <v>1370</v>
      </c>
      <c r="K903" s="22" t="s">
        <v>22</v>
      </c>
      <c r="L903">
        <v>4</v>
      </c>
      <c r="O903" s="30"/>
    </row>
    <row r="904" spans="10:15" x14ac:dyDescent="0.25">
      <c r="J904" t="s">
        <v>2795</v>
      </c>
      <c r="K904" s="22" t="s">
        <v>26</v>
      </c>
      <c r="L904">
        <v>3</v>
      </c>
      <c r="M904">
        <v>1</v>
      </c>
      <c r="O904" s="30"/>
    </row>
    <row r="905" spans="10:15" x14ac:dyDescent="0.25">
      <c r="J905" t="s">
        <v>2795</v>
      </c>
      <c r="K905" s="22" t="s">
        <v>30</v>
      </c>
      <c r="L905">
        <v>2</v>
      </c>
      <c r="M905">
        <v>1</v>
      </c>
    </row>
    <row r="906" spans="10:15" x14ac:dyDescent="0.25">
      <c r="J906" t="s">
        <v>466</v>
      </c>
      <c r="K906" s="22" t="s">
        <v>24</v>
      </c>
      <c r="L906">
        <v>4</v>
      </c>
      <c r="M906">
        <v>3</v>
      </c>
      <c r="O906" s="31"/>
    </row>
    <row r="907" spans="10:15" x14ac:dyDescent="0.25">
      <c r="J907" t="s">
        <v>466</v>
      </c>
      <c r="K907" s="22" t="s">
        <v>28</v>
      </c>
      <c r="L907">
        <v>2</v>
      </c>
      <c r="M907">
        <v>1</v>
      </c>
    </row>
    <row r="908" spans="10:15" x14ac:dyDescent="0.25">
      <c r="J908" t="s">
        <v>466</v>
      </c>
      <c r="K908" s="22" t="s">
        <v>22</v>
      </c>
      <c r="L908">
        <v>4</v>
      </c>
      <c r="M908">
        <v>2</v>
      </c>
      <c r="O908" s="30"/>
    </row>
    <row r="909" spans="10:15" x14ac:dyDescent="0.25">
      <c r="J909" t="s">
        <v>466</v>
      </c>
      <c r="K909" s="22" t="s">
        <v>31</v>
      </c>
      <c r="L909">
        <v>2</v>
      </c>
      <c r="M909">
        <v>2</v>
      </c>
      <c r="O909" s="31"/>
    </row>
    <row r="910" spans="10:15" x14ac:dyDescent="0.25">
      <c r="J910" t="s">
        <v>617</v>
      </c>
      <c r="K910" s="22" t="s">
        <v>24</v>
      </c>
      <c r="L910">
        <v>4</v>
      </c>
      <c r="M910">
        <v>3</v>
      </c>
    </row>
    <row r="911" spans="10:15" x14ac:dyDescent="0.25">
      <c r="J911" t="s">
        <v>617</v>
      </c>
      <c r="K911" s="22" t="s">
        <v>28</v>
      </c>
      <c r="L911">
        <v>1</v>
      </c>
      <c r="M911">
        <v>1</v>
      </c>
    </row>
    <row r="912" spans="10:15" x14ac:dyDescent="0.25">
      <c r="J912" t="s">
        <v>1094</v>
      </c>
      <c r="K912" s="22" t="s">
        <v>24</v>
      </c>
      <c r="L912">
        <v>1</v>
      </c>
      <c r="M912">
        <v>1</v>
      </c>
    </row>
    <row r="913" spans="10:15" x14ac:dyDescent="0.25">
      <c r="J913" t="s">
        <v>1339</v>
      </c>
      <c r="K913" s="22" t="s">
        <v>24</v>
      </c>
      <c r="L913">
        <v>3</v>
      </c>
      <c r="M913">
        <v>1</v>
      </c>
      <c r="O913" s="30"/>
    </row>
    <row r="914" spans="10:15" x14ac:dyDescent="0.25">
      <c r="J914" t="s">
        <v>1339</v>
      </c>
      <c r="K914" s="22" t="s">
        <v>26</v>
      </c>
      <c r="L914">
        <v>1</v>
      </c>
    </row>
    <row r="915" spans="10:15" x14ac:dyDescent="0.25">
      <c r="J915" t="s">
        <v>1339</v>
      </c>
      <c r="K915" s="22" t="s">
        <v>30</v>
      </c>
      <c r="L915">
        <v>1</v>
      </c>
      <c r="O915" s="30"/>
    </row>
    <row r="916" spans="10:15" x14ac:dyDescent="0.25">
      <c r="J916" t="s">
        <v>1339</v>
      </c>
      <c r="K916" s="22" t="s">
        <v>35</v>
      </c>
      <c r="L916">
        <v>1</v>
      </c>
    </row>
    <row r="917" spans="10:15" x14ac:dyDescent="0.25">
      <c r="J917" t="s">
        <v>1339</v>
      </c>
      <c r="K917" s="22" t="s">
        <v>22</v>
      </c>
      <c r="L917">
        <v>2</v>
      </c>
      <c r="O917" s="30"/>
    </row>
    <row r="918" spans="10:15" x14ac:dyDescent="0.25">
      <c r="J918" t="s">
        <v>2915</v>
      </c>
      <c r="K918" s="22" t="s">
        <v>24</v>
      </c>
      <c r="L918">
        <v>3</v>
      </c>
      <c r="M918">
        <v>1</v>
      </c>
      <c r="O918" s="31"/>
    </row>
    <row r="919" spans="10:15" x14ac:dyDescent="0.25">
      <c r="J919" t="s">
        <v>2915</v>
      </c>
      <c r="K919" s="22" t="s">
        <v>26</v>
      </c>
      <c r="L919">
        <v>2</v>
      </c>
      <c r="M919">
        <v>1</v>
      </c>
      <c r="O919" s="30"/>
    </row>
    <row r="920" spans="10:15" x14ac:dyDescent="0.25">
      <c r="J920" t="s">
        <v>2905</v>
      </c>
      <c r="K920" s="22" t="s">
        <v>24</v>
      </c>
      <c r="L920">
        <v>2</v>
      </c>
      <c r="O920" s="30"/>
    </row>
    <row r="921" spans="10:15" x14ac:dyDescent="0.25">
      <c r="J921" t="s">
        <v>2905</v>
      </c>
      <c r="K921" s="22" t="s">
        <v>26</v>
      </c>
      <c r="L921">
        <v>3</v>
      </c>
      <c r="O921" s="30"/>
    </row>
    <row r="922" spans="10:15" x14ac:dyDescent="0.25">
      <c r="J922" t="s">
        <v>2905</v>
      </c>
      <c r="K922" s="22" t="s">
        <v>30</v>
      </c>
      <c r="L922">
        <v>1</v>
      </c>
    </row>
    <row r="923" spans="10:15" x14ac:dyDescent="0.25">
      <c r="J923" t="s">
        <v>2628</v>
      </c>
      <c r="K923" s="22" t="s">
        <v>31</v>
      </c>
      <c r="L923">
        <v>6</v>
      </c>
      <c r="M923">
        <v>6</v>
      </c>
      <c r="O923" s="31"/>
    </row>
    <row r="924" spans="10:15" x14ac:dyDescent="0.25">
      <c r="J924" t="s">
        <v>627</v>
      </c>
      <c r="K924" s="22" t="s">
        <v>24</v>
      </c>
      <c r="L924">
        <v>2</v>
      </c>
      <c r="O924" s="30"/>
    </row>
    <row r="925" spans="10:15" x14ac:dyDescent="0.25">
      <c r="J925" t="s">
        <v>627</v>
      </c>
      <c r="K925" s="22" t="s">
        <v>26</v>
      </c>
      <c r="L925">
        <v>1</v>
      </c>
    </row>
    <row r="926" spans="10:15" x14ac:dyDescent="0.25">
      <c r="J926" t="s">
        <v>627</v>
      </c>
      <c r="K926" s="22" t="s">
        <v>30</v>
      </c>
      <c r="L926">
        <v>2</v>
      </c>
      <c r="O926" s="30"/>
    </row>
    <row r="927" spans="10:15" x14ac:dyDescent="0.25">
      <c r="J927" t="s">
        <v>627</v>
      </c>
      <c r="K927" s="22" t="s">
        <v>22</v>
      </c>
      <c r="L927">
        <v>1</v>
      </c>
    </row>
    <row r="928" spans="10:15" x14ac:dyDescent="0.25">
      <c r="J928" t="s">
        <v>108</v>
      </c>
      <c r="K928" s="22" t="s">
        <v>24</v>
      </c>
      <c r="L928">
        <v>9</v>
      </c>
      <c r="M928">
        <v>2</v>
      </c>
      <c r="O928" s="30"/>
    </row>
    <row r="929" spans="10:15" x14ac:dyDescent="0.25">
      <c r="J929" t="s">
        <v>108</v>
      </c>
      <c r="K929" s="22" t="s">
        <v>26</v>
      </c>
      <c r="L929">
        <v>5</v>
      </c>
      <c r="M929">
        <v>1</v>
      </c>
      <c r="O929" s="30"/>
    </row>
    <row r="930" spans="10:15" x14ac:dyDescent="0.25">
      <c r="J930" t="s">
        <v>108</v>
      </c>
      <c r="K930" s="22" t="s">
        <v>30</v>
      </c>
      <c r="L930">
        <v>4</v>
      </c>
      <c r="M930">
        <v>1</v>
      </c>
      <c r="O930" s="30"/>
    </row>
    <row r="931" spans="10:15" x14ac:dyDescent="0.25">
      <c r="J931" t="s">
        <v>108</v>
      </c>
      <c r="K931" s="22" t="s">
        <v>35</v>
      </c>
      <c r="L931">
        <v>1</v>
      </c>
    </row>
    <row r="932" spans="10:15" x14ac:dyDescent="0.25">
      <c r="J932" t="s">
        <v>108</v>
      </c>
      <c r="K932" s="22" t="s">
        <v>22</v>
      </c>
      <c r="L932">
        <v>1</v>
      </c>
      <c r="O932" s="30"/>
    </row>
    <row r="933" spans="10:15" x14ac:dyDescent="0.25">
      <c r="J933" t="s">
        <v>108</v>
      </c>
      <c r="K933" s="22" t="s">
        <v>31</v>
      </c>
      <c r="L933">
        <v>1</v>
      </c>
    </row>
    <row r="934" spans="10:15" x14ac:dyDescent="0.25">
      <c r="J934" t="s">
        <v>1297</v>
      </c>
      <c r="K934" s="22" t="s">
        <v>24</v>
      </c>
      <c r="L934">
        <v>3</v>
      </c>
      <c r="O934" s="30"/>
    </row>
    <row r="935" spans="10:15" x14ac:dyDescent="0.25">
      <c r="J935" t="s">
        <v>1297</v>
      </c>
      <c r="K935" s="22" t="s">
        <v>26</v>
      </c>
      <c r="L935">
        <v>2</v>
      </c>
      <c r="O935" s="30"/>
    </row>
    <row r="936" spans="10:15" x14ac:dyDescent="0.25">
      <c r="J936" t="s">
        <v>1297</v>
      </c>
      <c r="K936" s="22" t="s">
        <v>30</v>
      </c>
      <c r="L936">
        <v>3</v>
      </c>
      <c r="M936">
        <v>2</v>
      </c>
      <c r="O936" s="30"/>
    </row>
    <row r="937" spans="10:15" x14ac:dyDescent="0.25">
      <c r="J937" t="s">
        <v>1297</v>
      </c>
      <c r="K937" s="22" t="s">
        <v>35</v>
      </c>
      <c r="L937">
        <v>3</v>
      </c>
      <c r="O937" s="30"/>
    </row>
    <row r="938" spans="10:15" x14ac:dyDescent="0.25">
      <c r="J938" t="s">
        <v>1297</v>
      </c>
      <c r="K938" s="22" t="s">
        <v>22</v>
      </c>
      <c r="L938">
        <v>1</v>
      </c>
    </row>
    <row r="939" spans="10:15" x14ac:dyDescent="0.25">
      <c r="J939" t="s">
        <v>1864</v>
      </c>
      <c r="K939" s="22" t="s">
        <v>24</v>
      </c>
      <c r="L939">
        <v>1</v>
      </c>
    </row>
    <row r="940" spans="10:15" x14ac:dyDescent="0.25">
      <c r="J940" t="s">
        <v>1864</v>
      </c>
      <c r="K940" s="22" t="s">
        <v>26</v>
      </c>
      <c r="L940">
        <v>1</v>
      </c>
      <c r="O940" s="30"/>
    </row>
    <row r="941" spans="10:15" x14ac:dyDescent="0.25">
      <c r="J941" t="s">
        <v>1864</v>
      </c>
      <c r="K941" s="22" t="s">
        <v>35</v>
      </c>
      <c r="L941">
        <v>1</v>
      </c>
    </row>
    <row r="942" spans="10:15" x14ac:dyDescent="0.25">
      <c r="J942" t="s">
        <v>1864</v>
      </c>
      <c r="K942" s="22" t="s">
        <v>31</v>
      </c>
      <c r="L942">
        <v>1</v>
      </c>
    </row>
    <row r="943" spans="10:15" x14ac:dyDescent="0.25">
      <c r="J943" t="s">
        <v>1868</v>
      </c>
      <c r="K943" s="22" t="s">
        <v>24</v>
      </c>
      <c r="L943">
        <v>1</v>
      </c>
      <c r="M943">
        <v>1</v>
      </c>
      <c r="O943" s="31"/>
    </row>
    <row r="944" spans="10:15" x14ac:dyDescent="0.25">
      <c r="J944" t="s">
        <v>1868</v>
      </c>
      <c r="K944" s="22" t="s">
        <v>26</v>
      </c>
      <c r="L944">
        <v>2</v>
      </c>
      <c r="M944">
        <v>1</v>
      </c>
      <c r="O944" s="30"/>
    </row>
    <row r="945" spans="10:15" x14ac:dyDescent="0.25">
      <c r="J945" t="s">
        <v>1868</v>
      </c>
      <c r="K945" s="22" t="s">
        <v>30</v>
      </c>
      <c r="L945">
        <v>1</v>
      </c>
      <c r="O945" s="30"/>
    </row>
    <row r="946" spans="10:15" x14ac:dyDescent="0.25">
      <c r="J946" t="s">
        <v>1868</v>
      </c>
      <c r="K946" s="22" t="s">
        <v>35</v>
      </c>
      <c r="L946">
        <v>1</v>
      </c>
      <c r="O946" s="30"/>
    </row>
    <row r="947" spans="10:15" x14ac:dyDescent="0.25">
      <c r="J947" t="s">
        <v>3483</v>
      </c>
      <c r="K947" s="22" t="s">
        <v>22</v>
      </c>
      <c r="L947">
        <v>1</v>
      </c>
      <c r="O947" s="30"/>
    </row>
    <row r="948" spans="10:15" x14ac:dyDescent="0.25">
      <c r="J948" t="s">
        <v>1372</v>
      </c>
      <c r="K948" s="22" t="s">
        <v>24</v>
      </c>
      <c r="L948">
        <v>2</v>
      </c>
      <c r="O948" s="30"/>
    </row>
    <row r="949" spans="10:15" x14ac:dyDescent="0.25">
      <c r="J949" t="s">
        <v>1372</v>
      </c>
      <c r="K949" s="22" t="s">
        <v>26</v>
      </c>
      <c r="L949">
        <v>1</v>
      </c>
      <c r="O949" s="30"/>
    </row>
    <row r="950" spans="10:15" x14ac:dyDescent="0.25">
      <c r="J950" t="s">
        <v>1372</v>
      </c>
      <c r="K950" s="22" t="s">
        <v>30</v>
      </c>
      <c r="L950">
        <v>2</v>
      </c>
      <c r="O950" s="30"/>
    </row>
    <row r="951" spans="10:15" x14ac:dyDescent="0.25">
      <c r="J951" t="s">
        <v>1276</v>
      </c>
      <c r="K951" s="22" t="s">
        <v>24</v>
      </c>
      <c r="L951">
        <v>2</v>
      </c>
    </row>
    <row r="952" spans="10:15" x14ac:dyDescent="0.25">
      <c r="J952" t="s">
        <v>1276</v>
      </c>
      <c r="K952" s="22" t="s">
        <v>26</v>
      </c>
      <c r="L952">
        <v>2</v>
      </c>
      <c r="O952" s="30"/>
    </row>
    <row r="953" spans="10:15" x14ac:dyDescent="0.25">
      <c r="J953" t="s">
        <v>1276</v>
      </c>
      <c r="K953" s="22" t="s">
        <v>30</v>
      </c>
      <c r="L953">
        <v>1</v>
      </c>
    </row>
    <row r="954" spans="10:15" x14ac:dyDescent="0.25">
      <c r="J954" t="s">
        <v>1276</v>
      </c>
      <c r="K954" s="22" t="s">
        <v>31</v>
      </c>
      <c r="L954">
        <v>2</v>
      </c>
      <c r="O954" s="30"/>
    </row>
    <row r="955" spans="10:15" x14ac:dyDescent="0.25">
      <c r="J955" t="s">
        <v>2807</v>
      </c>
      <c r="K955" s="22" t="s">
        <v>24</v>
      </c>
      <c r="L955">
        <v>2</v>
      </c>
      <c r="M955">
        <v>1</v>
      </c>
      <c r="O955" s="30"/>
    </row>
    <row r="956" spans="10:15" x14ac:dyDescent="0.25">
      <c r="J956" t="s">
        <v>1425</v>
      </c>
      <c r="K956" s="22" t="s">
        <v>26</v>
      </c>
      <c r="L956">
        <v>2</v>
      </c>
      <c r="M956">
        <v>1</v>
      </c>
    </row>
    <row r="957" spans="10:15" x14ac:dyDescent="0.25">
      <c r="J957" t="s">
        <v>1425</v>
      </c>
      <c r="K957" s="22" t="s">
        <v>29</v>
      </c>
      <c r="L957">
        <v>1</v>
      </c>
    </row>
    <row r="958" spans="10:15" x14ac:dyDescent="0.25">
      <c r="J958" t="s">
        <v>1425</v>
      </c>
      <c r="K958" s="22" t="s">
        <v>28</v>
      </c>
      <c r="L958">
        <v>1</v>
      </c>
      <c r="M958">
        <v>1</v>
      </c>
      <c r="O958" s="31"/>
    </row>
    <row r="959" spans="10:15" x14ac:dyDescent="0.25">
      <c r="J959" t="s">
        <v>1406</v>
      </c>
      <c r="K959" s="22" t="s">
        <v>24</v>
      </c>
      <c r="L959">
        <v>3</v>
      </c>
      <c r="O959" s="30"/>
    </row>
    <row r="960" spans="10:15" x14ac:dyDescent="0.25">
      <c r="J960" t="s">
        <v>1406</v>
      </c>
      <c r="K960" s="22" t="s">
        <v>29</v>
      </c>
      <c r="L960">
        <v>1</v>
      </c>
      <c r="M960">
        <v>1</v>
      </c>
    </row>
    <row r="961" spans="10:15" x14ac:dyDescent="0.25">
      <c r="J961" t="s">
        <v>1406</v>
      </c>
      <c r="K961" s="22" t="s">
        <v>28</v>
      </c>
      <c r="L961">
        <v>4</v>
      </c>
      <c r="O961" s="30"/>
    </row>
    <row r="962" spans="10:15" x14ac:dyDescent="0.25">
      <c r="J962" t="s">
        <v>3400</v>
      </c>
      <c r="K962" s="22" t="s">
        <v>24</v>
      </c>
      <c r="L962">
        <v>1</v>
      </c>
      <c r="O962" s="30"/>
    </row>
    <row r="963" spans="10:15" x14ac:dyDescent="0.25">
      <c r="J963" t="s">
        <v>845</v>
      </c>
      <c r="K963" s="22" t="s">
        <v>29</v>
      </c>
      <c r="L963">
        <v>1</v>
      </c>
      <c r="M963">
        <v>1</v>
      </c>
      <c r="O963" s="31"/>
    </row>
    <row r="964" spans="10:15" x14ac:dyDescent="0.25">
      <c r="J964" t="s">
        <v>845</v>
      </c>
      <c r="K964" s="22" t="s">
        <v>35</v>
      </c>
      <c r="L964">
        <v>8</v>
      </c>
      <c r="M964">
        <v>7</v>
      </c>
      <c r="O964" s="30"/>
    </row>
    <row r="965" spans="10:15" x14ac:dyDescent="0.25">
      <c r="J965" t="s">
        <v>1813</v>
      </c>
      <c r="K965" s="22" t="s">
        <v>29</v>
      </c>
      <c r="L965">
        <v>2</v>
      </c>
      <c r="M965">
        <v>1</v>
      </c>
    </row>
    <row r="966" spans="10:15" x14ac:dyDescent="0.25">
      <c r="J966" t="s">
        <v>3330</v>
      </c>
      <c r="K966" s="22" t="s">
        <v>24</v>
      </c>
      <c r="L966">
        <v>1</v>
      </c>
      <c r="M966">
        <v>1</v>
      </c>
      <c r="O966" s="31"/>
    </row>
    <row r="967" spans="10:15" x14ac:dyDescent="0.25">
      <c r="J967" t="s">
        <v>860</v>
      </c>
      <c r="K967" s="22" t="s">
        <v>26</v>
      </c>
      <c r="L967">
        <v>2</v>
      </c>
      <c r="M967">
        <v>2</v>
      </c>
    </row>
    <row r="968" spans="10:15" x14ac:dyDescent="0.25">
      <c r="J968" t="s">
        <v>1243</v>
      </c>
      <c r="K968" s="22" t="s">
        <v>24</v>
      </c>
      <c r="L968">
        <v>1</v>
      </c>
      <c r="M968">
        <v>1</v>
      </c>
      <c r="O968" s="31"/>
    </row>
    <row r="969" spans="10:15" x14ac:dyDescent="0.25">
      <c r="J969" t="s">
        <v>1243</v>
      </c>
      <c r="K969" s="22" t="s">
        <v>29</v>
      </c>
      <c r="L969">
        <v>3</v>
      </c>
      <c r="M969">
        <v>1</v>
      </c>
      <c r="O969" s="30"/>
    </row>
    <row r="970" spans="10:15" x14ac:dyDescent="0.25">
      <c r="J970" t="s">
        <v>592</v>
      </c>
      <c r="K970" s="22" t="s">
        <v>24</v>
      </c>
      <c r="L970">
        <v>2</v>
      </c>
      <c r="M970">
        <v>1</v>
      </c>
    </row>
    <row r="971" spans="10:15" x14ac:dyDescent="0.25">
      <c r="J971" t="s">
        <v>592</v>
      </c>
      <c r="K971" s="22" t="s">
        <v>26</v>
      </c>
      <c r="L971">
        <v>1</v>
      </c>
    </row>
    <row r="972" spans="10:15" x14ac:dyDescent="0.25">
      <c r="J972" t="s">
        <v>592</v>
      </c>
      <c r="K972" s="22" t="s">
        <v>29</v>
      </c>
      <c r="L972">
        <v>1</v>
      </c>
      <c r="O972" s="30"/>
    </row>
    <row r="973" spans="10:15" x14ac:dyDescent="0.25">
      <c r="J973" t="s">
        <v>2443</v>
      </c>
      <c r="K973" s="22" t="s">
        <v>29</v>
      </c>
      <c r="L973">
        <v>1</v>
      </c>
      <c r="M973">
        <v>1</v>
      </c>
    </row>
    <row r="974" spans="10:15" x14ac:dyDescent="0.25">
      <c r="J974" t="s">
        <v>3025</v>
      </c>
      <c r="K974" s="22" t="s">
        <v>29</v>
      </c>
      <c r="L974">
        <v>1</v>
      </c>
      <c r="M974">
        <v>1</v>
      </c>
    </row>
    <row r="975" spans="10:15" x14ac:dyDescent="0.25">
      <c r="J975" t="s">
        <v>1427</v>
      </c>
      <c r="K975" s="22" t="s">
        <v>26</v>
      </c>
      <c r="L975">
        <v>1</v>
      </c>
    </row>
    <row r="976" spans="10:15" x14ac:dyDescent="0.25">
      <c r="J976" t="s">
        <v>1427</v>
      </c>
      <c r="K976" s="22" t="s">
        <v>35</v>
      </c>
      <c r="L976">
        <v>1</v>
      </c>
      <c r="M976">
        <v>1</v>
      </c>
    </row>
    <row r="977" spans="10:15" x14ac:dyDescent="0.25">
      <c r="J977" t="s">
        <v>2944</v>
      </c>
      <c r="K977" s="22" t="s">
        <v>24</v>
      </c>
      <c r="L977">
        <v>1</v>
      </c>
    </row>
    <row r="978" spans="10:15" x14ac:dyDescent="0.25">
      <c r="J978" t="s">
        <v>2944</v>
      </c>
      <c r="K978" s="22" t="s">
        <v>26</v>
      </c>
      <c r="L978">
        <v>1</v>
      </c>
      <c r="O978" s="30"/>
    </row>
    <row r="979" spans="10:15" x14ac:dyDescent="0.25">
      <c r="J979" t="s">
        <v>164</v>
      </c>
      <c r="K979" s="22" t="s">
        <v>24</v>
      </c>
      <c r="L979">
        <v>2</v>
      </c>
      <c r="M979">
        <v>1</v>
      </c>
    </row>
    <row r="980" spans="10:15" x14ac:dyDescent="0.25">
      <c r="J980" t="s">
        <v>1668</v>
      </c>
      <c r="K980" s="22" t="s">
        <v>24</v>
      </c>
      <c r="L980">
        <v>5</v>
      </c>
      <c r="M980">
        <v>5</v>
      </c>
      <c r="O980" s="31"/>
    </row>
    <row r="981" spans="10:15" x14ac:dyDescent="0.25">
      <c r="J981" t="s">
        <v>1668</v>
      </c>
      <c r="K981" s="22" t="s">
        <v>26</v>
      </c>
      <c r="L981">
        <v>2</v>
      </c>
      <c r="M981">
        <v>1</v>
      </c>
    </row>
    <row r="982" spans="10:15" x14ac:dyDescent="0.25">
      <c r="J982" t="s">
        <v>1668</v>
      </c>
      <c r="K982" s="22" t="s">
        <v>22</v>
      </c>
      <c r="L982">
        <v>1</v>
      </c>
    </row>
    <row r="983" spans="10:15" x14ac:dyDescent="0.25">
      <c r="J983" t="s">
        <v>2353</v>
      </c>
      <c r="K983" s="22" t="s">
        <v>24</v>
      </c>
      <c r="L983">
        <v>5</v>
      </c>
      <c r="M983">
        <v>3</v>
      </c>
      <c r="O983" s="30"/>
    </row>
    <row r="984" spans="10:15" x14ac:dyDescent="0.25">
      <c r="J984" t="s">
        <v>2353</v>
      </c>
      <c r="K984" s="22" t="s">
        <v>26</v>
      </c>
      <c r="L984">
        <v>6</v>
      </c>
      <c r="M984">
        <v>4</v>
      </c>
      <c r="O984" s="30"/>
    </row>
    <row r="985" spans="10:15" x14ac:dyDescent="0.25">
      <c r="J985" t="s">
        <v>2353</v>
      </c>
      <c r="K985" s="22" t="s">
        <v>28</v>
      </c>
      <c r="L985">
        <v>1</v>
      </c>
    </row>
    <row r="986" spans="10:15" x14ac:dyDescent="0.25">
      <c r="J986" t="s">
        <v>2353</v>
      </c>
      <c r="K986" s="22" t="s">
        <v>35</v>
      </c>
      <c r="L986">
        <v>4</v>
      </c>
      <c r="M986">
        <v>2</v>
      </c>
      <c r="O986" s="30"/>
    </row>
    <row r="987" spans="10:15" x14ac:dyDescent="0.25">
      <c r="J987" t="s">
        <v>697</v>
      </c>
      <c r="K987" s="22" t="s">
        <v>24</v>
      </c>
      <c r="L987">
        <v>1</v>
      </c>
    </row>
    <row r="988" spans="10:15" x14ac:dyDescent="0.25">
      <c r="J988" t="s">
        <v>697</v>
      </c>
      <c r="K988" s="22" t="s">
        <v>26</v>
      </c>
      <c r="L988">
        <v>1</v>
      </c>
    </row>
    <row r="989" spans="10:15" x14ac:dyDescent="0.25">
      <c r="J989" t="s">
        <v>697</v>
      </c>
      <c r="K989" s="22" t="s">
        <v>35</v>
      </c>
      <c r="L989">
        <v>6</v>
      </c>
      <c r="M989">
        <v>1</v>
      </c>
      <c r="O989" s="30"/>
    </row>
    <row r="990" spans="10:15" x14ac:dyDescent="0.25">
      <c r="J990" t="s">
        <v>1385</v>
      </c>
      <c r="K990" s="22" t="s">
        <v>24</v>
      </c>
      <c r="L990">
        <v>2</v>
      </c>
      <c r="M990">
        <v>2</v>
      </c>
      <c r="O990" s="31"/>
    </row>
    <row r="991" spans="10:15" x14ac:dyDescent="0.25">
      <c r="J991" t="s">
        <v>1385</v>
      </c>
      <c r="K991" s="22" t="s">
        <v>26</v>
      </c>
      <c r="L991">
        <v>2</v>
      </c>
      <c r="M991">
        <v>1</v>
      </c>
      <c r="O991" s="31"/>
    </row>
    <row r="992" spans="10:15" x14ac:dyDescent="0.25">
      <c r="J992" t="s">
        <v>2405</v>
      </c>
      <c r="K992" s="22" t="s">
        <v>26</v>
      </c>
      <c r="L992">
        <v>4</v>
      </c>
      <c r="M992">
        <v>3</v>
      </c>
      <c r="O992" s="30"/>
    </row>
    <row r="993" spans="10:15" x14ac:dyDescent="0.25">
      <c r="J993" t="s">
        <v>2405</v>
      </c>
      <c r="K993" s="22" t="s">
        <v>28</v>
      </c>
      <c r="L993">
        <v>1</v>
      </c>
      <c r="M993">
        <v>1</v>
      </c>
      <c r="O993" s="31"/>
    </row>
    <row r="994" spans="10:15" x14ac:dyDescent="0.25">
      <c r="J994" t="s">
        <v>2276</v>
      </c>
      <c r="K994" s="22" t="s">
        <v>24</v>
      </c>
      <c r="L994">
        <v>1</v>
      </c>
      <c r="M994">
        <v>1</v>
      </c>
    </row>
    <row r="995" spans="10:15" x14ac:dyDescent="0.25">
      <c r="J995" t="s">
        <v>629</v>
      </c>
      <c r="K995" s="22" t="s">
        <v>24</v>
      </c>
      <c r="L995">
        <v>2</v>
      </c>
      <c r="M995">
        <v>1</v>
      </c>
    </row>
    <row r="996" spans="10:15" x14ac:dyDescent="0.25">
      <c r="J996" t="s">
        <v>629</v>
      </c>
      <c r="K996" s="22" t="s">
        <v>28</v>
      </c>
      <c r="L996">
        <v>1</v>
      </c>
    </row>
    <row r="997" spans="10:15" x14ac:dyDescent="0.25">
      <c r="J997" t="s">
        <v>629</v>
      </c>
      <c r="K997" s="22" t="s">
        <v>31</v>
      </c>
      <c r="L997">
        <v>1</v>
      </c>
    </row>
    <row r="998" spans="10:15" x14ac:dyDescent="0.25">
      <c r="J998" t="s">
        <v>2571</v>
      </c>
      <c r="K998" s="22" t="s">
        <v>24</v>
      </c>
      <c r="L998">
        <v>2</v>
      </c>
      <c r="O998" s="30"/>
    </row>
    <row r="999" spans="10:15" x14ac:dyDescent="0.25">
      <c r="J999" t="s">
        <v>2571</v>
      </c>
      <c r="K999" s="22" t="s">
        <v>26</v>
      </c>
      <c r="L999">
        <v>2</v>
      </c>
      <c r="O999" s="30"/>
    </row>
    <row r="1000" spans="10:15" x14ac:dyDescent="0.25">
      <c r="J1000" t="s">
        <v>2571</v>
      </c>
      <c r="K1000" s="22" t="s">
        <v>35</v>
      </c>
      <c r="L1000">
        <v>1</v>
      </c>
      <c r="O1000" s="30"/>
    </row>
    <row r="1001" spans="10:15" x14ac:dyDescent="0.25">
      <c r="J1001" t="s">
        <v>609</v>
      </c>
      <c r="K1001" s="22" t="s">
        <v>26</v>
      </c>
      <c r="L1001">
        <v>1</v>
      </c>
      <c r="M1001">
        <v>1</v>
      </c>
    </row>
    <row r="1002" spans="10:15" x14ac:dyDescent="0.25">
      <c r="J1002" t="s">
        <v>2278</v>
      </c>
      <c r="K1002" s="22" t="s">
        <v>26</v>
      </c>
      <c r="L1002">
        <v>3</v>
      </c>
      <c r="M1002">
        <v>2</v>
      </c>
      <c r="O1002" s="30"/>
    </row>
    <row r="1003" spans="10:15" x14ac:dyDescent="0.25">
      <c r="J1003" t="s">
        <v>3194</v>
      </c>
      <c r="K1003" s="22" t="s">
        <v>24</v>
      </c>
      <c r="L1003">
        <v>1</v>
      </c>
      <c r="M1003">
        <v>1</v>
      </c>
      <c r="O1003" s="31"/>
    </row>
    <row r="1004" spans="10:15" x14ac:dyDescent="0.25">
      <c r="J1004" t="s">
        <v>3402</v>
      </c>
      <c r="K1004" s="22" t="s">
        <v>35</v>
      </c>
      <c r="L1004">
        <v>1</v>
      </c>
      <c r="O1004" s="30"/>
    </row>
    <row r="1005" spans="10:15" x14ac:dyDescent="0.25">
      <c r="J1005" t="s">
        <v>847</v>
      </c>
      <c r="K1005" s="22" t="s">
        <v>24</v>
      </c>
      <c r="L1005">
        <v>2</v>
      </c>
      <c r="M1005">
        <v>2</v>
      </c>
    </row>
    <row r="1006" spans="10:15" x14ac:dyDescent="0.25">
      <c r="J1006" t="s">
        <v>1085</v>
      </c>
      <c r="K1006" s="22" t="s">
        <v>24</v>
      </c>
      <c r="L1006">
        <v>3</v>
      </c>
      <c r="M1006">
        <v>3</v>
      </c>
    </row>
    <row r="1007" spans="10:15" x14ac:dyDescent="0.25">
      <c r="J1007" t="s">
        <v>675</v>
      </c>
      <c r="K1007" s="22" t="s">
        <v>26</v>
      </c>
      <c r="L1007">
        <v>2</v>
      </c>
      <c r="M1007">
        <v>1</v>
      </c>
    </row>
    <row r="1008" spans="10:15" x14ac:dyDescent="0.25">
      <c r="J1008" t="s">
        <v>675</v>
      </c>
      <c r="K1008" s="22" t="s">
        <v>22</v>
      </c>
      <c r="L1008">
        <v>1</v>
      </c>
    </row>
    <row r="1009" spans="10:15" x14ac:dyDescent="0.25">
      <c r="J1009" t="s">
        <v>3201</v>
      </c>
      <c r="K1009" s="22" t="s">
        <v>24</v>
      </c>
      <c r="L1009">
        <v>1</v>
      </c>
      <c r="M1009">
        <v>1</v>
      </c>
      <c r="O1009" s="31"/>
    </row>
    <row r="1010" spans="10:15" x14ac:dyDescent="0.25">
      <c r="J1010" t="s">
        <v>676</v>
      </c>
      <c r="K1010" s="22" t="s">
        <v>26</v>
      </c>
      <c r="L1010">
        <v>1</v>
      </c>
    </row>
    <row r="1011" spans="10:15" x14ac:dyDescent="0.25">
      <c r="J1011" t="s">
        <v>335</v>
      </c>
      <c r="K1011" s="22" t="s">
        <v>24</v>
      </c>
      <c r="L1011">
        <v>9</v>
      </c>
      <c r="M1011">
        <v>6</v>
      </c>
      <c r="O1011" s="31"/>
    </row>
    <row r="1012" spans="10:15" x14ac:dyDescent="0.25">
      <c r="J1012" t="s">
        <v>335</v>
      </c>
      <c r="K1012" s="22" t="s">
        <v>26</v>
      </c>
      <c r="L1012">
        <v>8</v>
      </c>
      <c r="M1012">
        <v>5</v>
      </c>
      <c r="O1012" s="31"/>
    </row>
    <row r="1013" spans="10:15" x14ac:dyDescent="0.25">
      <c r="J1013" t="s">
        <v>335</v>
      </c>
      <c r="K1013" s="22" t="s">
        <v>29</v>
      </c>
      <c r="L1013">
        <v>4</v>
      </c>
      <c r="M1013">
        <v>3</v>
      </c>
      <c r="O1013" s="31"/>
    </row>
    <row r="1014" spans="10:15" x14ac:dyDescent="0.25">
      <c r="J1014" t="s">
        <v>335</v>
      </c>
      <c r="K1014" s="22" t="s">
        <v>28</v>
      </c>
      <c r="L1014">
        <v>18</v>
      </c>
      <c r="M1014">
        <v>16</v>
      </c>
      <c r="O1014" s="31"/>
    </row>
    <row r="1015" spans="10:15" x14ac:dyDescent="0.25">
      <c r="J1015" t="s">
        <v>335</v>
      </c>
      <c r="K1015" s="22" t="s">
        <v>35</v>
      </c>
      <c r="L1015">
        <v>17</v>
      </c>
      <c r="M1015">
        <v>10</v>
      </c>
      <c r="O1015" s="31"/>
    </row>
    <row r="1016" spans="10:15" x14ac:dyDescent="0.25">
      <c r="J1016" t="s">
        <v>335</v>
      </c>
      <c r="K1016" s="22" t="s">
        <v>22</v>
      </c>
      <c r="L1016">
        <v>4</v>
      </c>
      <c r="M1016">
        <v>3</v>
      </c>
      <c r="O1016" s="31"/>
    </row>
    <row r="1017" spans="10:15" x14ac:dyDescent="0.25">
      <c r="J1017" t="s">
        <v>335</v>
      </c>
      <c r="K1017" s="22" t="s">
        <v>31</v>
      </c>
      <c r="L1017">
        <v>5</v>
      </c>
      <c r="M1017">
        <v>2</v>
      </c>
      <c r="O1017" s="30"/>
    </row>
    <row r="1018" spans="10:15" x14ac:dyDescent="0.25">
      <c r="J1018" t="s">
        <v>580</v>
      </c>
      <c r="K1018" s="22" t="s">
        <v>24</v>
      </c>
      <c r="L1018">
        <v>2</v>
      </c>
      <c r="M1018">
        <v>1</v>
      </c>
      <c r="O1018" s="31"/>
    </row>
    <row r="1019" spans="10:15" x14ac:dyDescent="0.25">
      <c r="J1019" t="s">
        <v>580</v>
      </c>
      <c r="K1019" s="22" t="s">
        <v>26</v>
      </c>
      <c r="L1019">
        <v>4</v>
      </c>
      <c r="O1019" s="30"/>
    </row>
    <row r="1020" spans="10:15" x14ac:dyDescent="0.25">
      <c r="J1020" t="s">
        <v>580</v>
      </c>
      <c r="K1020" s="22" t="s">
        <v>29</v>
      </c>
      <c r="L1020">
        <v>3</v>
      </c>
      <c r="M1020">
        <v>2</v>
      </c>
      <c r="O1020" s="30"/>
    </row>
    <row r="1021" spans="10:15" x14ac:dyDescent="0.25">
      <c r="J1021" t="s">
        <v>580</v>
      </c>
      <c r="K1021" s="22" t="s">
        <v>35</v>
      </c>
      <c r="L1021">
        <v>2</v>
      </c>
      <c r="M1021">
        <v>1</v>
      </c>
      <c r="O1021" s="31"/>
    </row>
    <row r="1022" spans="10:15" x14ac:dyDescent="0.25">
      <c r="J1022" t="s">
        <v>2539</v>
      </c>
      <c r="K1022" s="22" t="s">
        <v>35</v>
      </c>
      <c r="L1022">
        <v>2</v>
      </c>
      <c r="M1022">
        <v>2</v>
      </c>
      <c r="O1022" s="31"/>
    </row>
    <row r="1023" spans="10:15" x14ac:dyDescent="0.25">
      <c r="J1023" t="s">
        <v>1386</v>
      </c>
      <c r="K1023" s="22" t="s">
        <v>24</v>
      </c>
      <c r="L1023">
        <v>2</v>
      </c>
      <c r="M1023">
        <v>1</v>
      </c>
      <c r="O1023" s="31"/>
    </row>
    <row r="1024" spans="10:15" x14ac:dyDescent="0.25">
      <c r="J1024" t="s">
        <v>1386</v>
      </c>
      <c r="K1024" s="22" t="s">
        <v>26</v>
      </c>
      <c r="L1024">
        <v>4</v>
      </c>
      <c r="M1024">
        <v>3</v>
      </c>
      <c r="O1024" s="30"/>
    </row>
    <row r="1025" spans="10:15" x14ac:dyDescent="0.25">
      <c r="J1025" t="s">
        <v>1386</v>
      </c>
      <c r="K1025" s="22" t="s">
        <v>29</v>
      </c>
      <c r="L1025">
        <v>1</v>
      </c>
      <c r="M1025">
        <v>1</v>
      </c>
      <c r="O1025" s="31"/>
    </row>
    <row r="1026" spans="10:15" x14ac:dyDescent="0.25">
      <c r="J1026" t="s">
        <v>1386</v>
      </c>
      <c r="K1026" s="22" t="s">
        <v>28</v>
      </c>
      <c r="L1026">
        <v>3</v>
      </c>
      <c r="M1026">
        <v>1</v>
      </c>
      <c r="O1026" s="31"/>
    </row>
    <row r="1027" spans="10:15" x14ac:dyDescent="0.25">
      <c r="J1027" t="s">
        <v>1386</v>
      </c>
      <c r="K1027" s="22" t="s">
        <v>35</v>
      </c>
      <c r="L1027">
        <v>8</v>
      </c>
      <c r="M1027">
        <v>5</v>
      </c>
      <c r="O1027" s="30"/>
    </row>
    <row r="1028" spans="10:15" x14ac:dyDescent="0.25">
      <c r="J1028" t="s">
        <v>1386</v>
      </c>
      <c r="K1028" s="22" t="s">
        <v>31</v>
      </c>
      <c r="L1028">
        <v>5</v>
      </c>
      <c r="M1028">
        <v>3</v>
      </c>
      <c r="O1028" s="31"/>
    </row>
    <row r="1029" spans="10:15" x14ac:dyDescent="0.25">
      <c r="J1029" t="s">
        <v>3205</v>
      </c>
      <c r="K1029" s="22" t="s">
        <v>29</v>
      </c>
      <c r="L1029">
        <v>4</v>
      </c>
      <c r="M1029">
        <v>4</v>
      </c>
      <c r="O1029" s="31"/>
    </row>
    <row r="1030" spans="10:15" x14ac:dyDescent="0.25">
      <c r="J1030" t="s">
        <v>3205</v>
      </c>
      <c r="K1030" s="22" t="s">
        <v>35</v>
      </c>
      <c r="L1030">
        <v>3</v>
      </c>
      <c r="M1030">
        <v>2</v>
      </c>
      <c r="O1030" s="30"/>
    </row>
    <row r="1031" spans="10:15" x14ac:dyDescent="0.25">
      <c r="J1031" t="s">
        <v>432</v>
      </c>
      <c r="K1031" s="22" t="s">
        <v>28</v>
      </c>
      <c r="L1031">
        <v>7</v>
      </c>
      <c r="M1031">
        <v>7</v>
      </c>
      <c r="O1031" s="31"/>
    </row>
    <row r="1032" spans="10:15" x14ac:dyDescent="0.25">
      <c r="J1032" t="s">
        <v>912</v>
      </c>
      <c r="K1032" s="22" t="s">
        <v>29</v>
      </c>
      <c r="L1032">
        <v>2</v>
      </c>
      <c r="M1032">
        <v>2</v>
      </c>
      <c r="O1032" s="31"/>
    </row>
    <row r="1033" spans="10:15" x14ac:dyDescent="0.25">
      <c r="J1033" t="s">
        <v>912</v>
      </c>
      <c r="K1033" s="22" t="s">
        <v>31</v>
      </c>
      <c r="L1033">
        <v>7</v>
      </c>
      <c r="M1033">
        <v>6</v>
      </c>
      <c r="O1033" s="31"/>
    </row>
    <row r="1034" spans="10:15" x14ac:dyDescent="0.25">
      <c r="J1034" t="s">
        <v>3268</v>
      </c>
      <c r="K1034" s="22" t="s">
        <v>29</v>
      </c>
      <c r="L1034">
        <v>1</v>
      </c>
      <c r="M1034">
        <v>1</v>
      </c>
      <c r="O1034" s="31"/>
    </row>
    <row r="1035" spans="10:15" x14ac:dyDescent="0.25">
      <c r="J1035" t="s">
        <v>2143</v>
      </c>
      <c r="K1035" s="22" t="s">
        <v>22</v>
      </c>
      <c r="L1035">
        <v>3</v>
      </c>
      <c r="O1035" s="30"/>
    </row>
    <row r="1036" spans="10:15" x14ac:dyDescent="0.25">
      <c r="J1036" t="s">
        <v>2143</v>
      </c>
      <c r="K1036" s="22" t="s">
        <v>31</v>
      </c>
      <c r="L1036">
        <v>4</v>
      </c>
      <c r="M1036">
        <v>3</v>
      </c>
      <c r="O1036" s="30"/>
    </row>
    <row r="1037" spans="10:15" x14ac:dyDescent="0.25">
      <c r="J1037" t="s">
        <v>384</v>
      </c>
      <c r="K1037" s="22" t="s">
        <v>28</v>
      </c>
      <c r="L1037">
        <v>7</v>
      </c>
      <c r="M1037">
        <v>7</v>
      </c>
      <c r="O1037" s="31"/>
    </row>
    <row r="1038" spans="10:15" x14ac:dyDescent="0.25">
      <c r="J1038" t="s">
        <v>372</v>
      </c>
      <c r="K1038" s="22" t="s">
        <v>26</v>
      </c>
      <c r="L1038">
        <v>1</v>
      </c>
      <c r="O1038" s="30"/>
    </row>
    <row r="1039" spans="10:15" x14ac:dyDescent="0.25">
      <c r="J1039" t="s">
        <v>372</v>
      </c>
      <c r="K1039" s="22" t="s">
        <v>29</v>
      </c>
      <c r="L1039">
        <v>1</v>
      </c>
    </row>
    <row r="1040" spans="10:15" x14ac:dyDescent="0.25">
      <c r="J1040" t="s">
        <v>372</v>
      </c>
      <c r="K1040" s="22" t="s">
        <v>28</v>
      </c>
      <c r="L1040">
        <v>1</v>
      </c>
    </row>
    <row r="1041" spans="10:15" x14ac:dyDescent="0.25">
      <c r="J1041" t="s">
        <v>372</v>
      </c>
      <c r="K1041" s="22" t="s">
        <v>31</v>
      </c>
      <c r="L1041">
        <v>1</v>
      </c>
    </row>
    <row r="1042" spans="10:15" x14ac:dyDescent="0.25">
      <c r="J1042" t="s">
        <v>1078</v>
      </c>
      <c r="K1042" s="22" t="s">
        <v>24</v>
      </c>
      <c r="L1042">
        <v>1</v>
      </c>
      <c r="M1042">
        <v>1</v>
      </c>
    </row>
    <row r="1043" spans="10:15" x14ac:dyDescent="0.25">
      <c r="J1043" t="s">
        <v>1078</v>
      </c>
      <c r="K1043" s="22" t="s">
        <v>29</v>
      </c>
      <c r="L1043">
        <v>1</v>
      </c>
    </row>
    <row r="1044" spans="10:15" x14ac:dyDescent="0.25">
      <c r="J1044" t="s">
        <v>1078</v>
      </c>
      <c r="K1044" s="22" t="s">
        <v>28</v>
      </c>
      <c r="L1044">
        <v>1</v>
      </c>
    </row>
    <row r="1045" spans="10:15" x14ac:dyDescent="0.25">
      <c r="J1045" t="s">
        <v>2297</v>
      </c>
      <c r="K1045" s="22" t="s">
        <v>29</v>
      </c>
      <c r="L1045">
        <v>3</v>
      </c>
      <c r="M1045">
        <v>2</v>
      </c>
      <c r="O1045" s="30"/>
    </row>
    <row r="1046" spans="10:15" x14ac:dyDescent="0.25">
      <c r="J1046" t="s">
        <v>2045</v>
      </c>
      <c r="K1046" s="22" t="s">
        <v>35</v>
      </c>
      <c r="L1046">
        <v>2</v>
      </c>
      <c r="M1046">
        <v>2</v>
      </c>
      <c r="O1046" s="31"/>
    </row>
    <row r="1047" spans="10:15" x14ac:dyDescent="0.25">
      <c r="J1047" t="s">
        <v>394</v>
      </c>
      <c r="K1047" s="22" t="s">
        <v>24</v>
      </c>
      <c r="L1047">
        <v>8</v>
      </c>
      <c r="M1047">
        <v>7</v>
      </c>
      <c r="O1047" s="31"/>
    </row>
    <row r="1048" spans="10:15" x14ac:dyDescent="0.25">
      <c r="J1048" t="s">
        <v>394</v>
      </c>
      <c r="K1048" s="22" t="s">
        <v>26</v>
      </c>
      <c r="L1048">
        <v>2</v>
      </c>
      <c r="M1048">
        <v>2</v>
      </c>
      <c r="O1048" s="31"/>
    </row>
    <row r="1049" spans="10:15" x14ac:dyDescent="0.25">
      <c r="J1049" t="s">
        <v>394</v>
      </c>
      <c r="K1049" s="22" t="s">
        <v>29</v>
      </c>
      <c r="L1049">
        <v>4</v>
      </c>
      <c r="M1049">
        <v>1</v>
      </c>
      <c r="O1049" s="30"/>
    </row>
    <row r="1050" spans="10:15" x14ac:dyDescent="0.25">
      <c r="J1050" t="s">
        <v>715</v>
      </c>
      <c r="K1050" s="22" t="s">
        <v>24</v>
      </c>
      <c r="L1050">
        <v>4</v>
      </c>
      <c r="M1050">
        <v>4</v>
      </c>
      <c r="O1050" s="31"/>
    </row>
    <row r="1051" spans="10:15" x14ac:dyDescent="0.25">
      <c r="J1051" t="s">
        <v>392</v>
      </c>
      <c r="K1051" s="22" t="s">
        <v>26</v>
      </c>
      <c r="L1051">
        <v>3</v>
      </c>
      <c r="O1051" s="30"/>
    </row>
    <row r="1052" spans="10:15" x14ac:dyDescent="0.25">
      <c r="J1052" t="s">
        <v>392</v>
      </c>
      <c r="K1052" s="22" t="s">
        <v>29</v>
      </c>
      <c r="L1052">
        <v>2</v>
      </c>
    </row>
    <row r="1053" spans="10:15" x14ac:dyDescent="0.25">
      <c r="J1053" t="s">
        <v>392</v>
      </c>
      <c r="K1053" s="22" t="s">
        <v>31</v>
      </c>
      <c r="L1053">
        <v>13</v>
      </c>
      <c r="M1053">
        <v>13</v>
      </c>
      <c r="O1053" s="31"/>
    </row>
    <row r="1054" spans="10:15" x14ac:dyDescent="0.25">
      <c r="J1054" t="s">
        <v>2964</v>
      </c>
      <c r="K1054" s="22" t="s">
        <v>24</v>
      </c>
      <c r="L1054">
        <v>1</v>
      </c>
    </row>
    <row r="1055" spans="10:15" x14ac:dyDescent="0.25">
      <c r="J1055" t="s">
        <v>813</v>
      </c>
      <c r="K1055" s="22" t="s">
        <v>24</v>
      </c>
      <c r="L1055">
        <v>1</v>
      </c>
    </row>
    <row r="1056" spans="10:15" x14ac:dyDescent="0.25">
      <c r="J1056" t="s">
        <v>813</v>
      </c>
      <c r="K1056" s="22" t="s">
        <v>26</v>
      </c>
      <c r="L1056">
        <v>2</v>
      </c>
      <c r="M1056">
        <v>1</v>
      </c>
    </row>
    <row r="1057" spans="10:15" x14ac:dyDescent="0.25">
      <c r="J1057" t="s">
        <v>813</v>
      </c>
      <c r="K1057" s="22" t="s">
        <v>29</v>
      </c>
      <c r="L1057">
        <v>5</v>
      </c>
      <c r="M1057">
        <v>4</v>
      </c>
      <c r="O1057" s="31"/>
    </row>
    <row r="1058" spans="10:15" x14ac:dyDescent="0.25">
      <c r="J1058" t="s">
        <v>813</v>
      </c>
      <c r="K1058" s="22" t="s">
        <v>35</v>
      </c>
      <c r="L1058">
        <v>4</v>
      </c>
      <c r="O1058" s="30"/>
    </row>
    <row r="1059" spans="10:15" x14ac:dyDescent="0.25">
      <c r="J1059" t="s">
        <v>813</v>
      </c>
      <c r="K1059" s="22" t="s">
        <v>22</v>
      </c>
      <c r="L1059">
        <v>3</v>
      </c>
      <c r="M1059">
        <v>2</v>
      </c>
      <c r="O1059" s="30"/>
    </row>
    <row r="1060" spans="10:15" x14ac:dyDescent="0.25">
      <c r="J1060" t="s">
        <v>3361</v>
      </c>
      <c r="K1060" s="22" t="s">
        <v>29</v>
      </c>
      <c r="L1060">
        <v>1</v>
      </c>
      <c r="M1060">
        <v>1</v>
      </c>
      <c r="O1060" s="31"/>
    </row>
    <row r="1061" spans="10:15" x14ac:dyDescent="0.25">
      <c r="J1061" t="s">
        <v>839</v>
      </c>
      <c r="K1061" s="22" t="s">
        <v>26</v>
      </c>
      <c r="L1061">
        <v>1</v>
      </c>
    </row>
    <row r="1062" spans="10:15" x14ac:dyDescent="0.25">
      <c r="J1062" t="s">
        <v>839</v>
      </c>
      <c r="K1062" s="22" t="s">
        <v>29</v>
      </c>
      <c r="L1062">
        <v>1</v>
      </c>
      <c r="M1062">
        <v>1</v>
      </c>
      <c r="O1062" s="31"/>
    </row>
    <row r="1063" spans="10:15" x14ac:dyDescent="0.25">
      <c r="J1063" t="s">
        <v>839</v>
      </c>
      <c r="K1063" s="22" t="s">
        <v>35</v>
      </c>
      <c r="L1063">
        <v>1</v>
      </c>
      <c r="O1063" s="30"/>
    </row>
    <row r="1064" spans="10:15" x14ac:dyDescent="0.25">
      <c r="J1064" t="s">
        <v>839</v>
      </c>
      <c r="K1064" s="22" t="s">
        <v>31</v>
      </c>
      <c r="L1064">
        <v>4</v>
      </c>
      <c r="O1064" s="30"/>
    </row>
    <row r="1065" spans="10:15" x14ac:dyDescent="0.25">
      <c r="J1065" t="s">
        <v>883</v>
      </c>
      <c r="K1065" s="22" t="s">
        <v>29</v>
      </c>
      <c r="L1065">
        <v>3</v>
      </c>
      <c r="M1065">
        <v>3</v>
      </c>
    </row>
    <row r="1066" spans="10:15" x14ac:dyDescent="0.25">
      <c r="J1066" t="s">
        <v>1519</v>
      </c>
      <c r="K1066" s="22" t="s">
        <v>24</v>
      </c>
      <c r="L1066">
        <v>2</v>
      </c>
      <c r="M1066">
        <v>1</v>
      </c>
    </row>
    <row r="1067" spans="10:15" x14ac:dyDescent="0.25">
      <c r="J1067" t="s">
        <v>1519</v>
      </c>
      <c r="K1067" s="22" t="s">
        <v>29</v>
      </c>
      <c r="L1067">
        <v>1</v>
      </c>
      <c r="M1067">
        <v>1</v>
      </c>
      <c r="O1067" s="31"/>
    </row>
    <row r="1068" spans="10:15" x14ac:dyDescent="0.25">
      <c r="J1068" t="s">
        <v>433</v>
      </c>
      <c r="K1068" s="22" t="s">
        <v>24</v>
      </c>
      <c r="L1068">
        <v>5</v>
      </c>
    </row>
    <row r="1069" spans="10:15" x14ac:dyDescent="0.25">
      <c r="J1069" t="s">
        <v>433</v>
      </c>
      <c r="K1069" s="22" t="s">
        <v>26</v>
      </c>
      <c r="L1069">
        <v>3</v>
      </c>
      <c r="M1069">
        <v>3</v>
      </c>
      <c r="O1069" s="31"/>
    </row>
    <row r="1070" spans="10:15" x14ac:dyDescent="0.25">
      <c r="J1070" t="s">
        <v>1125</v>
      </c>
      <c r="K1070" s="22" t="s">
        <v>24</v>
      </c>
      <c r="L1070">
        <v>1</v>
      </c>
      <c r="M1070">
        <v>1</v>
      </c>
      <c r="O1070" s="31"/>
    </row>
    <row r="1071" spans="10:15" x14ac:dyDescent="0.25">
      <c r="J1071" t="s">
        <v>1125</v>
      </c>
      <c r="K1071" s="22" t="s">
        <v>22</v>
      </c>
      <c r="L1071">
        <v>1</v>
      </c>
    </row>
    <row r="1072" spans="10:15" x14ac:dyDescent="0.25">
      <c r="J1072" t="s">
        <v>3069</v>
      </c>
      <c r="K1072" s="22" t="s">
        <v>26</v>
      </c>
      <c r="L1072">
        <v>2</v>
      </c>
      <c r="O1072" s="30"/>
    </row>
    <row r="1073" spans="10:15" x14ac:dyDescent="0.25">
      <c r="J1073" t="s">
        <v>3069</v>
      </c>
      <c r="K1073" s="22" t="s">
        <v>29</v>
      </c>
      <c r="L1073">
        <v>1</v>
      </c>
      <c r="M1073">
        <v>1</v>
      </c>
      <c r="O1073" s="31"/>
    </row>
    <row r="1074" spans="10:15" x14ac:dyDescent="0.25">
      <c r="J1074" t="s">
        <v>3507</v>
      </c>
      <c r="K1074" s="22" t="s">
        <v>31</v>
      </c>
      <c r="L1074">
        <v>1</v>
      </c>
      <c r="O1074" s="30"/>
    </row>
    <row r="1075" spans="10:15" x14ac:dyDescent="0.25">
      <c r="J1075" t="s">
        <v>1595</v>
      </c>
      <c r="K1075" s="22" t="s">
        <v>29</v>
      </c>
      <c r="L1075">
        <v>2</v>
      </c>
      <c r="M1075">
        <v>2</v>
      </c>
      <c r="O1075" s="31"/>
    </row>
    <row r="1076" spans="10:15" x14ac:dyDescent="0.25">
      <c r="J1076" t="s">
        <v>1584</v>
      </c>
      <c r="K1076" s="22" t="s">
        <v>24</v>
      </c>
      <c r="L1076">
        <v>1</v>
      </c>
      <c r="M1076">
        <v>1</v>
      </c>
    </row>
    <row r="1077" spans="10:15" x14ac:dyDescent="0.25">
      <c r="J1077" t="s">
        <v>1584</v>
      </c>
      <c r="K1077" s="22" t="s">
        <v>26</v>
      </c>
      <c r="L1077">
        <v>2</v>
      </c>
    </row>
    <row r="1078" spans="10:15" x14ac:dyDescent="0.25">
      <c r="J1078" t="s">
        <v>1584</v>
      </c>
      <c r="K1078" s="22" t="s">
        <v>22</v>
      </c>
      <c r="L1078">
        <v>4</v>
      </c>
      <c r="O1078" s="30"/>
    </row>
    <row r="1079" spans="10:15" x14ac:dyDescent="0.25">
      <c r="J1079" t="s">
        <v>2195</v>
      </c>
      <c r="K1079" s="22" t="s">
        <v>24</v>
      </c>
      <c r="L1079">
        <v>1</v>
      </c>
      <c r="O1079" s="30"/>
    </row>
    <row r="1080" spans="10:15" x14ac:dyDescent="0.25">
      <c r="J1080" t="s">
        <v>2195</v>
      </c>
      <c r="K1080" s="22" t="s">
        <v>26</v>
      </c>
      <c r="L1080">
        <v>1</v>
      </c>
      <c r="O1080" s="30"/>
    </row>
    <row r="1081" spans="10:15" x14ac:dyDescent="0.25">
      <c r="J1081" t="s">
        <v>2195</v>
      </c>
      <c r="K1081" s="22" t="s">
        <v>31</v>
      </c>
      <c r="L1081">
        <v>1</v>
      </c>
    </row>
    <row r="1082" spans="10:15" x14ac:dyDescent="0.25">
      <c r="J1082" t="s">
        <v>301</v>
      </c>
      <c r="K1082" s="22" t="s">
        <v>24</v>
      </c>
      <c r="L1082">
        <v>1</v>
      </c>
    </row>
    <row r="1083" spans="10:15" x14ac:dyDescent="0.25">
      <c r="J1083" t="s">
        <v>301</v>
      </c>
      <c r="K1083" s="22" t="s">
        <v>28</v>
      </c>
      <c r="L1083">
        <v>2</v>
      </c>
    </row>
    <row r="1084" spans="10:15" x14ac:dyDescent="0.25">
      <c r="J1084" t="s">
        <v>301</v>
      </c>
      <c r="K1084" s="22" t="s">
        <v>35</v>
      </c>
      <c r="L1084">
        <v>4</v>
      </c>
      <c r="M1084">
        <v>4</v>
      </c>
      <c r="O1084" s="31"/>
    </row>
    <row r="1085" spans="10:15" x14ac:dyDescent="0.25">
      <c r="J1085" t="s">
        <v>2714</v>
      </c>
      <c r="K1085" s="22" t="s">
        <v>31</v>
      </c>
      <c r="L1085">
        <v>5</v>
      </c>
      <c r="M1085">
        <v>5</v>
      </c>
      <c r="O1085" s="31"/>
    </row>
    <row r="1086" spans="10:15" x14ac:dyDescent="0.25">
      <c r="J1086" t="s">
        <v>2148</v>
      </c>
      <c r="K1086" s="22" t="s">
        <v>26</v>
      </c>
      <c r="L1086">
        <v>1</v>
      </c>
      <c r="O1086" s="30"/>
    </row>
    <row r="1087" spans="10:15" x14ac:dyDescent="0.25">
      <c r="J1087" t="s">
        <v>2148</v>
      </c>
      <c r="K1087" s="22" t="s">
        <v>28</v>
      </c>
      <c r="L1087">
        <v>1</v>
      </c>
      <c r="O1087" s="30"/>
    </row>
    <row r="1088" spans="10:15" x14ac:dyDescent="0.25">
      <c r="J1088" t="s">
        <v>2148</v>
      </c>
      <c r="K1088" s="22" t="s">
        <v>22</v>
      </c>
      <c r="L1088">
        <v>3</v>
      </c>
      <c r="M1088">
        <v>2</v>
      </c>
      <c r="O1088" s="30"/>
    </row>
    <row r="1089" spans="10:15" x14ac:dyDescent="0.25">
      <c r="J1089" t="s">
        <v>2751</v>
      </c>
      <c r="K1089" s="22" t="s">
        <v>24</v>
      </c>
      <c r="L1089">
        <v>3</v>
      </c>
      <c r="O1089" s="30"/>
    </row>
    <row r="1090" spans="10:15" x14ac:dyDescent="0.25">
      <c r="J1090" t="s">
        <v>2751</v>
      </c>
      <c r="K1090" s="22" t="s">
        <v>26</v>
      </c>
      <c r="L1090">
        <v>1</v>
      </c>
      <c r="O1090" s="30"/>
    </row>
    <row r="1091" spans="10:15" x14ac:dyDescent="0.25">
      <c r="J1091" t="s">
        <v>2751</v>
      </c>
      <c r="K1091" s="22" t="s">
        <v>28</v>
      </c>
      <c r="L1091">
        <v>1</v>
      </c>
    </row>
    <row r="1092" spans="10:15" x14ac:dyDescent="0.25">
      <c r="J1092" t="s">
        <v>2751</v>
      </c>
      <c r="K1092" s="22" t="s">
        <v>22</v>
      </c>
      <c r="L1092">
        <v>2</v>
      </c>
      <c r="O1092" s="30"/>
    </row>
    <row r="1093" spans="10:15" x14ac:dyDescent="0.25">
      <c r="J1093" t="s">
        <v>2527</v>
      </c>
      <c r="K1093" s="22" t="s">
        <v>26</v>
      </c>
      <c r="L1093">
        <v>5</v>
      </c>
      <c r="M1093">
        <v>5</v>
      </c>
      <c r="O1093" s="31"/>
    </row>
    <row r="1094" spans="10:15" x14ac:dyDescent="0.25">
      <c r="J1094" t="s">
        <v>2527</v>
      </c>
      <c r="K1094" s="22" t="s">
        <v>28</v>
      </c>
      <c r="L1094">
        <v>1</v>
      </c>
    </row>
    <row r="1095" spans="10:15" x14ac:dyDescent="0.25">
      <c r="J1095" t="s">
        <v>3116</v>
      </c>
      <c r="K1095" s="22" t="s">
        <v>26</v>
      </c>
      <c r="L1095">
        <v>1</v>
      </c>
      <c r="O1095" s="30"/>
    </row>
    <row r="1096" spans="10:15" x14ac:dyDescent="0.25">
      <c r="J1096" t="s">
        <v>3116</v>
      </c>
      <c r="K1096" s="22" t="s">
        <v>31</v>
      </c>
      <c r="L1096">
        <v>1</v>
      </c>
      <c r="M1096">
        <v>1</v>
      </c>
      <c r="O1096" s="31"/>
    </row>
    <row r="1097" spans="10:15" x14ac:dyDescent="0.25">
      <c r="J1097" t="s">
        <v>2612</v>
      </c>
      <c r="K1097" s="22" t="s">
        <v>24</v>
      </c>
      <c r="L1097">
        <v>5</v>
      </c>
      <c r="M1097">
        <v>5</v>
      </c>
      <c r="O1097" s="31"/>
    </row>
    <row r="1098" spans="10:15" x14ac:dyDescent="0.25">
      <c r="J1098" t="s">
        <v>2600</v>
      </c>
      <c r="K1098" s="22" t="s">
        <v>24</v>
      </c>
      <c r="L1098">
        <v>2</v>
      </c>
      <c r="O1098" s="30"/>
    </row>
    <row r="1099" spans="10:15" x14ac:dyDescent="0.25">
      <c r="J1099" t="s">
        <v>2600</v>
      </c>
      <c r="K1099" s="22" t="s">
        <v>35</v>
      </c>
      <c r="L1099">
        <v>2</v>
      </c>
      <c r="M1099">
        <v>2</v>
      </c>
      <c r="O1099" s="31"/>
    </row>
    <row r="1100" spans="10:15" x14ac:dyDescent="0.25">
      <c r="J1100" t="s">
        <v>978</v>
      </c>
      <c r="K1100" s="22" t="s">
        <v>24</v>
      </c>
      <c r="L1100">
        <v>1</v>
      </c>
    </row>
    <row r="1101" spans="10:15" x14ac:dyDescent="0.25">
      <c r="J1101" t="s">
        <v>978</v>
      </c>
      <c r="K1101" s="22" t="s">
        <v>26</v>
      </c>
      <c r="L1101">
        <v>1</v>
      </c>
    </row>
    <row r="1102" spans="10:15" x14ac:dyDescent="0.25">
      <c r="J1102" t="s">
        <v>2207</v>
      </c>
      <c r="K1102" s="22" t="s">
        <v>24</v>
      </c>
      <c r="L1102">
        <v>2</v>
      </c>
      <c r="M1102">
        <v>1</v>
      </c>
      <c r="O1102" s="30"/>
    </row>
    <row r="1103" spans="10:15" x14ac:dyDescent="0.25">
      <c r="J1103" t="s">
        <v>337</v>
      </c>
      <c r="K1103" s="22" t="s">
        <v>24</v>
      </c>
      <c r="L1103">
        <v>15</v>
      </c>
      <c r="M1103">
        <v>15</v>
      </c>
      <c r="O1103" s="31"/>
    </row>
    <row r="1104" spans="10:15" x14ac:dyDescent="0.25">
      <c r="J1104" t="s">
        <v>2138</v>
      </c>
      <c r="K1104" s="22" t="s">
        <v>35</v>
      </c>
      <c r="L1104">
        <v>3</v>
      </c>
      <c r="M1104">
        <v>3</v>
      </c>
      <c r="O1104" s="31"/>
    </row>
    <row r="1105" spans="10:15" x14ac:dyDescent="0.25">
      <c r="J1105" t="s">
        <v>3252</v>
      </c>
      <c r="K1105" s="22" t="s">
        <v>35</v>
      </c>
      <c r="L1105">
        <v>1</v>
      </c>
      <c r="M1105">
        <v>1</v>
      </c>
      <c r="O1105" s="31"/>
    </row>
    <row r="1106" spans="10:15" x14ac:dyDescent="0.25">
      <c r="J1106" t="s">
        <v>815</v>
      </c>
      <c r="K1106" s="22" t="s">
        <v>24</v>
      </c>
      <c r="L1106">
        <v>2</v>
      </c>
      <c r="M1106">
        <v>2</v>
      </c>
      <c r="O1106" s="31"/>
    </row>
    <row r="1107" spans="10:15" x14ac:dyDescent="0.25">
      <c r="J1107" t="s">
        <v>1879</v>
      </c>
      <c r="K1107" s="22" t="s">
        <v>26</v>
      </c>
      <c r="L1107">
        <v>6</v>
      </c>
      <c r="M1107">
        <v>6</v>
      </c>
      <c r="O1107" s="31"/>
    </row>
    <row r="1108" spans="10:15" x14ac:dyDescent="0.25">
      <c r="J1108" t="s">
        <v>2430</v>
      </c>
      <c r="K1108" s="22" t="s">
        <v>22</v>
      </c>
      <c r="L1108">
        <v>1</v>
      </c>
    </row>
    <row r="1109" spans="10:15" x14ac:dyDescent="0.25">
      <c r="J1109" t="s">
        <v>3363</v>
      </c>
      <c r="K1109" s="22" t="s">
        <v>26</v>
      </c>
      <c r="L1109">
        <v>1</v>
      </c>
      <c r="M1109">
        <v>1</v>
      </c>
      <c r="O1109" s="31"/>
    </row>
    <row r="1110" spans="10:15" x14ac:dyDescent="0.25">
      <c r="J1110" t="s">
        <v>3303</v>
      </c>
      <c r="K1110" s="22" t="s">
        <v>24</v>
      </c>
      <c r="L1110">
        <v>1</v>
      </c>
      <c r="M1110">
        <v>1</v>
      </c>
      <c r="O1110" s="31"/>
    </row>
    <row r="1111" spans="10:15" x14ac:dyDescent="0.25">
      <c r="J1111" t="s">
        <v>1010</v>
      </c>
      <c r="K1111" s="22" t="s">
        <v>26</v>
      </c>
      <c r="L1111">
        <v>2</v>
      </c>
      <c r="M1111">
        <v>2</v>
      </c>
    </row>
    <row r="1112" spans="10:15" x14ac:dyDescent="0.25">
      <c r="J1112" t="s">
        <v>1580</v>
      </c>
      <c r="K1112" s="22" t="s">
        <v>24</v>
      </c>
      <c r="L1112">
        <v>4</v>
      </c>
      <c r="M1112">
        <v>4</v>
      </c>
      <c r="O1112" s="31"/>
    </row>
    <row r="1113" spans="10:15" x14ac:dyDescent="0.25">
      <c r="J1113" t="s">
        <v>470</v>
      </c>
      <c r="K1113" s="22" t="s">
        <v>24</v>
      </c>
      <c r="L1113">
        <v>4</v>
      </c>
      <c r="M1113">
        <v>2</v>
      </c>
      <c r="O1113" s="30"/>
    </row>
    <row r="1114" spans="10:15" x14ac:dyDescent="0.25">
      <c r="J1114" t="s">
        <v>470</v>
      </c>
      <c r="K1114" s="22" t="s">
        <v>26</v>
      </c>
      <c r="L1114">
        <v>3</v>
      </c>
      <c r="O1114" s="30"/>
    </row>
    <row r="1115" spans="10:15" x14ac:dyDescent="0.25">
      <c r="J1115" t="s">
        <v>470</v>
      </c>
      <c r="K1115" s="22" t="s">
        <v>28</v>
      </c>
      <c r="L1115">
        <v>4</v>
      </c>
      <c r="M1115">
        <v>1</v>
      </c>
      <c r="O1115" s="30"/>
    </row>
    <row r="1116" spans="10:15" x14ac:dyDescent="0.25">
      <c r="J1116" t="s">
        <v>470</v>
      </c>
      <c r="K1116" s="22" t="s">
        <v>35</v>
      </c>
      <c r="L1116">
        <v>2</v>
      </c>
    </row>
    <row r="1117" spans="10:15" x14ac:dyDescent="0.25">
      <c r="J1117" t="s">
        <v>470</v>
      </c>
      <c r="K1117" s="22" t="s">
        <v>22</v>
      </c>
      <c r="L1117">
        <v>5</v>
      </c>
      <c r="M1117">
        <v>3</v>
      </c>
      <c r="O1117" s="30"/>
    </row>
    <row r="1118" spans="10:15" x14ac:dyDescent="0.25">
      <c r="J1118" t="s">
        <v>470</v>
      </c>
      <c r="K1118" s="22" t="s">
        <v>31</v>
      </c>
      <c r="L1118">
        <v>5</v>
      </c>
      <c r="M1118">
        <v>2</v>
      </c>
      <c r="O1118" s="30"/>
    </row>
    <row r="1119" spans="10:15" x14ac:dyDescent="0.25">
      <c r="J1119" t="s">
        <v>3475</v>
      </c>
      <c r="K1119" s="22" t="s">
        <v>24</v>
      </c>
      <c r="L1119">
        <v>2</v>
      </c>
      <c r="M1119">
        <v>1</v>
      </c>
      <c r="O1119" s="30"/>
    </row>
    <row r="1120" spans="10:15" x14ac:dyDescent="0.25">
      <c r="J1120" t="s">
        <v>409</v>
      </c>
      <c r="K1120" s="22" t="s">
        <v>24</v>
      </c>
      <c r="L1120">
        <v>1</v>
      </c>
      <c r="M1120">
        <v>1</v>
      </c>
      <c r="O1120" s="31"/>
    </row>
    <row r="1121" spans="10:15" x14ac:dyDescent="0.25">
      <c r="J1121" t="s">
        <v>409</v>
      </c>
      <c r="K1121" s="22" t="s">
        <v>26</v>
      </c>
      <c r="L1121">
        <v>4</v>
      </c>
      <c r="M1121">
        <v>2</v>
      </c>
      <c r="O1121" s="30"/>
    </row>
    <row r="1122" spans="10:15" x14ac:dyDescent="0.25">
      <c r="J1122" t="s">
        <v>2827</v>
      </c>
      <c r="K1122" s="22" t="s">
        <v>26</v>
      </c>
      <c r="L1122">
        <v>1</v>
      </c>
    </row>
    <row r="1123" spans="10:15" x14ac:dyDescent="0.25">
      <c r="J1123" t="s">
        <v>779</v>
      </c>
      <c r="K1123" s="22" t="s">
        <v>24</v>
      </c>
      <c r="L1123">
        <v>1</v>
      </c>
      <c r="O1123" s="30"/>
    </row>
    <row r="1124" spans="10:15" x14ac:dyDescent="0.25">
      <c r="J1124" t="s">
        <v>779</v>
      </c>
      <c r="K1124" s="22" t="s">
        <v>28</v>
      </c>
      <c r="L1124">
        <v>1</v>
      </c>
      <c r="M1124">
        <v>1</v>
      </c>
      <c r="O1124" s="31"/>
    </row>
    <row r="1125" spans="10:15" x14ac:dyDescent="0.25">
      <c r="J1125" t="s">
        <v>779</v>
      </c>
      <c r="K1125" s="22" t="s">
        <v>35</v>
      </c>
      <c r="L1125">
        <v>2</v>
      </c>
      <c r="M1125">
        <v>1</v>
      </c>
    </row>
    <row r="1126" spans="10:15" x14ac:dyDescent="0.25">
      <c r="J1126" t="s">
        <v>2034</v>
      </c>
      <c r="K1126" s="22" t="s">
        <v>22</v>
      </c>
      <c r="L1126">
        <v>1</v>
      </c>
    </row>
    <row r="1127" spans="10:15" x14ac:dyDescent="0.25">
      <c r="J1127" t="s">
        <v>2034</v>
      </c>
      <c r="K1127" s="22" t="s">
        <v>31</v>
      </c>
      <c r="L1127">
        <v>2</v>
      </c>
      <c r="M1127">
        <v>1</v>
      </c>
      <c r="O1127" s="31"/>
    </row>
    <row r="1128" spans="10:15" x14ac:dyDescent="0.25">
      <c r="J1128" t="s">
        <v>2847</v>
      </c>
      <c r="K1128" s="22" t="s">
        <v>28</v>
      </c>
      <c r="L1128">
        <v>1</v>
      </c>
    </row>
    <row r="1129" spans="10:15" x14ac:dyDescent="0.25">
      <c r="J1129" t="s">
        <v>1901</v>
      </c>
      <c r="K1129" s="22" t="s">
        <v>24</v>
      </c>
      <c r="L1129">
        <v>1</v>
      </c>
    </row>
    <row r="1130" spans="10:15" x14ac:dyDescent="0.25">
      <c r="J1130" t="s">
        <v>1955</v>
      </c>
      <c r="K1130" s="22" t="s">
        <v>26</v>
      </c>
      <c r="L1130">
        <v>1</v>
      </c>
    </row>
    <row r="1131" spans="10:15" x14ac:dyDescent="0.25">
      <c r="J1131" t="s">
        <v>1955</v>
      </c>
      <c r="K1131" s="22" t="s">
        <v>28</v>
      </c>
      <c r="L1131">
        <v>1</v>
      </c>
      <c r="M1131">
        <v>1</v>
      </c>
      <c r="O1131" s="31"/>
    </row>
    <row r="1132" spans="10:15" x14ac:dyDescent="0.25">
      <c r="J1132" t="s">
        <v>2126</v>
      </c>
      <c r="K1132" s="22" t="s">
        <v>26</v>
      </c>
      <c r="L1132">
        <v>2</v>
      </c>
      <c r="M1132">
        <v>1</v>
      </c>
    </row>
    <row r="1133" spans="10:15" x14ac:dyDescent="0.25">
      <c r="J1133" t="s">
        <v>50</v>
      </c>
      <c r="K1133" s="22" t="s">
        <v>26</v>
      </c>
      <c r="L1133">
        <v>2</v>
      </c>
      <c r="M1133">
        <v>1</v>
      </c>
    </row>
    <row r="1134" spans="10:15" x14ac:dyDescent="0.25">
      <c r="J1134" t="s">
        <v>50</v>
      </c>
      <c r="K1134" s="22" t="s">
        <v>22</v>
      </c>
      <c r="L1134">
        <v>2</v>
      </c>
      <c r="M1134">
        <v>1</v>
      </c>
      <c r="O1134" s="30"/>
    </row>
    <row r="1135" spans="10:15" x14ac:dyDescent="0.25">
      <c r="J1135" t="s">
        <v>167</v>
      </c>
      <c r="K1135" s="22" t="s">
        <v>24</v>
      </c>
      <c r="L1135">
        <v>1</v>
      </c>
      <c r="M1135">
        <v>1</v>
      </c>
    </row>
    <row r="1136" spans="10:15" x14ac:dyDescent="0.25">
      <c r="J1136" t="s">
        <v>167</v>
      </c>
      <c r="K1136" s="22" t="s">
        <v>26</v>
      </c>
      <c r="L1136">
        <v>1</v>
      </c>
    </row>
    <row r="1137" spans="10:15" x14ac:dyDescent="0.25">
      <c r="J1137" t="s">
        <v>167</v>
      </c>
      <c r="K1137" s="22" t="s">
        <v>28</v>
      </c>
      <c r="L1137">
        <v>1</v>
      </c>
    </row>
    <row r="1138" spans="10:15" x14ac:dyDescent="0.25">
      <c r="J1138" t="s">
        <v>167</v>
      </c>
      <c r="K1138" s="22" t="s">
        <v>31</v>
      </c>
      <c r="L1138">
        <v>1</v>
      </c>
    </row>
    <row r="1139" spans="10:15" x14ac:dyDescent="0.25">
      <c r="J1139" t="s">
        <v>401</v>
      </c>
      <c r="K1139" s="22" t="s">
        <v>24</v>
      </c>
      <c r="L1139">
        <v>1</v>
      </c>
      <c r="M1139">
        <v>1</v>
      </c>
    </row>
    <row r="1140" spans="10:15" x14ac:dyDescent="0.25">
      <c r="J1140" t="s">
        <v>1693</v>
      </c>
      <c r="K1140" s="22" t="s">
        <v>26</v>
      </c>
      <c r="L1140">
        <v>1</v>
      </c>
    </row>
    <row r="1141" spans="10:15" x14ac:dyDescent="0.25">
      <c r="J1141" t="s">
        <v>1693</v>
      </c>
      <c r="K1141" s="22" t="s">
        <v>22</v>
      </c>
      <c r="L1141">
        <v>1</v>
      </c>
    </row>
    <row r="1142" spans="10:15" x14ac:dyDescent="0.25">
      <c r="J1142" t="s">
        <v>1676</v>
      </c>
      <c r="K1142" s="22" t="s">
        <v>31</v>
      </c>
      <c r="L1142">
        <v>2</v>
      </c>
      <c r="M1142">
        <v>2</v>
      </c>
      <c r="O1142" s="31"/>
    </row>
    <row r="1143" spans="10:15" x14ac:dyDescent="0.25">
      <c r="J1143" t="s">
        <v>456</v>
      </c>
      <c r="K1143" s="22" t="s">
        <v>24</v>
      </c>
      <c r="L1143">
        <v>1</v>
      </c>
      <c r="M1143">
        <v>1</v>
      </c>
    </row>
    <row r="1144" spans="10:15" x14ac:dyDescent="0.25">
      <c r="J1144" t="s">
        <v>456</v>
      </c>
      <c r="K1144" s="22" t="s">
        <v>22</v>
      </c>
      <c r="L1144">
        <v>2</v>
      </c>
    </row>
    <row r="1145" spans="10:15" x14ac:dyDescent="0.25">
      <c r="J1145" t="s">
        <v>1984</v>
      </c>
      <c r="K1145" s="22" t="s">
        <v>26</v>
      </c>
      <c r="L1145">
        <v>1</v>
      </c>
      <c r="M1145">
        <v>1</v>
      </c>
    </row>
    <row r="1146" spans="10:15" x14ac:dyDescent="0.25">
      <c r="J1146" t="s">
        <v>2825</v>
      </c>
      <c r="K1146" s="22" t="s">
        <v>24</v>
      </c>
      <c r="L1146">
        <v>2</v>
      </c>
      <c r="O1146" s="30"/>
    </row>
    <row r="1147" spans="10:15" x14ac:dyDescent="0.25">
      <c r="J1147" t="s">
        <v>2825</v>
      </c>
      <c r="K1147" s="22" t="s">
        <v>26</v>
      </c>
      <c r="L1147">
        <v>1</v>
      </c>
    </row>
    <row r="1148" spans="10:15" x14ac:dyDescent="0.25">
      <c r="J1148" t="s">
        <v>2711</v>
      </c>
      <c r="K1148" s="22" t="s">
        <v>31</v>
      </c>
      <c r="L1148">
        <v>1</v>
      </c>
      <c r="M1148">
        <v>1</v>
      </c>
    </row>
    <row r="1149" spans="10:15" x14ac:dyDescent="0.25">
      <c r="J1149" t="s">
        <v>168</v>
      </c>
      <c r="K1149" s="22" t="s">
        <v>26</v>
      </c>
      <c r="L1149">
        <v>1</v>
      </c>
    </row>
    <row r="1150" spans="10:15" x14ac:dyDescent="0.25">
      <c r="J1150" t="s">
        <v>21</v>
      </c>
      <c r="K1150" s="22" t="s">
        <v>24</v>
      </c>
      <c r="L1150">
        <v>45</v>
      </c>
      <c r="M1150">
        <v>16</v>
      </c>
      <c r="O1150" s="31"/>
    </row>
    <row r="1151" spans="10:15" x14ac:dyDescent="0.25">
      <c r="J1151" t="s">
        <v>21</v>
      </c>
      <c r="K1151" s="22" t="s">
        <v>26</v>
      </c>
      <c r="L1151">
        <v>38</v>
      </c>
      <c r="M1151">
        <v>13</v>
      </c>
      <c r="O1151" s="31"/>
    </row>
    <row r="1152" spans="10:15" x14ac:dyDescent="0.25">
      <c r="J1152" t="s">
        <v>21</v>
      </c>
      <c r="K1152" s="22" t="s">
        <v>30</v>
      </c>
      <c r="L1152">
        <v>65</v>
      </c>
      <c r="M1152">
        <v>20</v>
      </c>
      <c r="O1152" s="30"/>
    </row>
    <row r="1153" spans="10:15" x14ac:dyDescent="0.25">
      <c r="J1153" t="s">
        <v>21</v>
      </c>
      <c r="K1153" s="22" t="s">
        <v>29</v>
      </c>
      <c r="L1153">
        <v>78</v>
      </c>
      <c r="M1153">
        <v>37</v>
      </c>
      <c r="O1153" s="31"/>
    </row>
    <row r="1154" spans="10:15" x14ac:dyDescent="0.25">
      <c r="J1154" t="s">
        <v>21</v>
      </c>
      <c r="K1154" s="22" t="s">
        <v>28</v>
      </c>
      <c r="L1154">
        <v>53</v>
      </c>
      <c r="M1154">
        <v>10</v>
      </c>
      <c r="O1154" s="30"/>
    </row>
    <row r="1155" spans="10:15" x14ac:dyDescent="0.25">
      <c r="J1155" t="s">
        <v>21</v>
      </c>
      <c r="K1155" s="22" t="s">
        <v>35</v>
      </c>
      <c r="L1155">
        <v>53</v>
      </c>
      <c r="M1155">
        <v>21</v>
      </c>
      <c r="O1155" s="31"/>
    </row>
    <row r="1156" spans="10:15" x14ac:dyDescent="0.25">
      <c r="J1156" t="s">
        <v>21</v>
      </c>
      <c r="K1156" s="22" t="s">
        <v>22</v>
      </c>
      <c r="L1156">
        <v>72</v>
      </c>
      <c r="M1156">
        <v>10</v>
      </c>
      <c r="O1156" s="30"/>
    </row>
    <row r="1157" spans="10:15" x14ac:dyDescent="0.25">
      <c r="J1157" t="s">
        <v>21</v>
      </c>
      <c r="K1157" s="22" t="s">
        <v>31</v>
      </c>
      <c r="L1157">
        <v>69</v>
      </c>
      <c r="M1157">
        <v>26</v>
      </c>
      <c r="O1157" s="30"/>
    </row>
    <row r="1158" spans="10:15" x14ac:dyDescent="0.25">
      <c r="J1158" t="s">
        <v>252</v>
      </c>
      <c r="K1158" s="22" t="s">
        <v>24</v>
      </c>
      <c r="L1158">
        <v>13</v>
      </c>
      <c r="M1158">
        <v>8</v>
      </c>
      <c r="O1158" s="31"/>
    </row>
    <row r="1159" spans="10:15" x14ac:dyDescent="0.25">
      <c r="J1159" t="s">
        <v>252</v>
      </c>
      <c r="K1159" s="22" t="s">
        <v>26</v>
      </c>
      <c r="L1159">
        <v>7</v>
      </c>
      <c r="M1159">
        <v>6</v>
      </c>
      <c r="O1159" s="31"/>
    </row>
    <row r="1160" spans="10:15" x14ac:dyDescent="0.25">
      <c r="J1160" t="s">
        <v>252</v>
      </c>
      <c r="K1160" s="22" t="s">
        <v>35</v>
      </c>
      <c r="L1160">
        <v>14</v>
      </c>
      <c r="M1160">
        <v>9</v>
      </c>
      <c r="O1160" s="30"/>
    </row>
    <row r="1161" spans="10:15" x14ac:dyDescent="0.25">
      <c r="J1161" t="s">
        <v>252</v>
      </c>
      <c r="K1161" s="22" t="s">
        <v>22</v>
      </c>
      <c r="L1161">
        <v>7</v>
      </c>
      <c r="M1161">
        <v>7</v>
      </c>
      <c r="O1161" s="31"/>
    </row>
    <row r="1162" spans="10:15" x14ac:dyDescent="0.25">
      <c r="J1162" t="s">
        <v>411</v>
      </c>
      <c r="K1162" s="22" t="s">
        <v>24</v>
      </c>
      <c r="L1162">
        <v>3</v>
      </c>
      <c r="O1162" s="30"/>
    </row>
    <row r="1163" spans="10:15" x14ac:dyDescent="0.25">
      <c r="J1163" t="s">
        <v>411</v>
      </c>
      <c r="K1163" s="22" t="s">
        <v>26</v>
      </c>
      <c r="L1163">
        <v>9</v>
      </c>
      <c r="M1163">
        <v>5</v>
      </c>
      <c r="O1163" s="30"/>
    </row>
    <row r="1164" spans="10:15" x14ac:dyDescent="0.25">
      <c r="J1164" t="s">
        <v>411</v>
      </c>
      <c r="K1164" s="22" t="s">
        <v>30</v>
      </c>
      <c r="L1164">
        <v>10</v>
      </c>
      <c r="M1164">
        <v>4</v>
      </c>
      <c r="O1164" s="30"/>
    </row>
    <row r="1165" spans="10:15" x14ac:dyDescent="0.25">
      <c r="J1165" t="s">
        <v>411</v>
      </c>
      <c r="K1165" s="22" t="s">
        <v>29</v>
      </c>
      <c r="L1165">
        <v>9</v>
      </c>
      <c r="M1165">
        <v>4</v>
      </c>
      <c r="O1165" s="31"/>
    </row>
    <row r="1166" spans="10:15" x14ac:dyDescent="0.25">
      <c r="J1166" t="s">
        <v>411</v>
      </c>
      <c r="K1166" s="22" t="s">
        <v>28</v>
      </c>
      <c r="L1166">
        <v>8</v>
      </c>
      <c r="M1166">
        <v>5</v>
      </c>
      <c r="O1166" s="30"/>
    </row>
    <row r="1167" spans="10:15" x14ac:dyDescent="0.25">
      <c r="J1167" t="s">
        <v>411</v>
      </c>
      <c r="K1167" s="22" t="s">
        <v>35</v>
      </c>
      <c r="L1167">
        <v>10</v>
      </c>
      <c r="M1167">
        <v>6</v>
      </c>
      <c r="O1167" s="31"/>
    </row>
    <row r="1168" spans="10:15" x14ac:dyDescent="0.25">
      <c r="J1168" t="s">
        <v>411</v>
      </c>
      <c r="K1168" s="22" t="s">
        <v>31</v>
      </c>
      <c r="L1168">
        <v>9</v>
      </c>
      <c r="M1168">
        <v>5</v>
      </c>
      <c r="O1168" s="31"/>
    </row>
    <row r="1169" spans="10:15" x14ac:dyDescent="0.25">
      <c r="J1169" t="s">
        <v>412</v>
      </c>
      <c r="K1169" s="22" t="s">
        <v>24</v>
      </c>
      <c r="L1169">
        <v>3</v>
      </c>
      <c r="O1169" s="30"/>
    </row>
    <row r="1170" spans="10:15" x14ac:dyDescent="0.25">
      <c r="J1170" t="s">
        <v>412</v>
      </c>
      <c r="K1170" s="22" t="s">
        <v>26</v>
      </c>
      <c r="L1170">
        <v>5</v>
      </c>
      <c r="M1170">
        <v>2</v>
      </c>
    </row>
    <row r="1171" spans="10:15" x14ac:dyDescent="0.25">
      <c r="J1171" t="s">
        <v>412</v>
      </c>
      <c r="K1171" s="22" t="s">
        <v>30</v>
      </c>
      <c r="L1171">
        <v>2</v>
      </c>
      <c r="O1171" s="30"/>
    </row>
    <row r="1172" spans="10:15" x14ac:dyDescent="0.25">
      <c r="J1172" t="s">
        <v>412</v>
      </c>
      <c r="K1172" s="22" t="s">
        <v>29</v>
      </c>
      <c r="L1172">
        <v>4</v>
      </c>
      <c r="M1172">
        <v>2</v>
      </c>
      <c r="O1172" s="30"/>
    </row>
    <row r="1173" spans="10:15" x14ac:dyDescent="0.25">
      <c r="J1173" t="s">
        <v>412</v>
      </c>
      <c r="K1173" s="22" t="s">
        <v>28</v>
      </c>
      <c r="L1173">
        <v>5</v>
      </c>
      <c r="O1173" s="30"/>
    </row>
    <row r="1174" spans="10:15" x14ac:dyDescent="0.25">
      <c r="J1174" t="s">
        <v>412</v>
      </c>
      <c r="K1174" s="22" t="s">
        <v>35</v>
      </c>
      <c r="L1174">
        <v>3</v>
      </c>
      <c r="M1174">
        <v>1</v>
      </c>
      <c r="O1174" s="30"/>
    </row>
    <row r="1175" spans="10:15" x14ac:dyDescent="0.25">
      <c r="J1175" t="s">
        <v>368</v>
      </c>
      <c r="K1175" s="22" t="s">
        <v>24</v>
      </c>
      <c r="L1175">
        <v>3</v>
      </c>
      <c r="O1175" s="30"/>
    </row>
    <row r="1176" spans="10:15" x14ac:dyDescent="0.25">
      <c r="J1176" t="s">
        <v>368</v>
      </c>
      <c r="K1176" s="22" t="s">
        <v>26</v>
      </c>
      <c r="L1176">
        <v>6</v>
      </c>
      <c r="M1176">
        <v>2</v>
      </c>
      <c r="O1176" s="30"/>
    </row>
    <row r="1177" spans="10:15" x14ac:dyDescent="0.25">
      <c r="J1177" t="s">
        <v>368</v>
      </c>
      <c r="K1177" s="22" t="s">
        <v>28</v>
      </c>
      <c r="L1177">
        <v>8</v>
      </c>
      <c r="M1177">
        <v>3</v>
      </c>
      <c r="O1177" s="31"/>
    </row>
    <row r="1178" spans="10:15" x14ac:dyDescent="0.25">
      <c r="J1178" t="s">
        <v>368</v>
      </c>
      <c r="K1178" s="22" t="s">
        <v>35</v>
      </c>
      <c r="L1178">
        <v>4</v>
      </c>
      <c r="M1178">
        <v>4</v>
      </c>
      <c r="O1178" s="31"/>
    </row>
    <row r="1179" spans="10:15" x14ac:dyDescent="0.25">
      <c r="J1179" t="s">
        <v>465</v>
      </c>
      <c r="K1179" s="22" t="s">
        <v>29</v>
      </c>
      <c r="L1179">
        <v>6</v>
      </c>
      <c r="M1179">
        <v>2</v>
      </c>
      <c r="O1179" s="30"/>
    </row>
    <row r="1180" spans="10:15" x14ac:dyDescent="0.25">
      <c r="J1180" t="s">
        <v>465</v>
      </c>
      <c r="K1180" s="22" t="s">
        <v>28</v>
      </c>
      <c r="L1180">
        <v>8</v>
      </c>
      <c r="M1180">
        <v>6</v>
      </c>
      <c r="O1180" s="31"/>
    </row>
    <row r="1181" spans="10:15" x14ac:dyDescent="0.25">
      <c r="J1181" t="s">
        <v>465</v>
      </c>
      <c r="K1181" s="22" t="s">
        <v>22</v>
      </c>
      <c r="L1181">
        <v>5</v>
      </c>
      <c r="M1181">
        <v>5</v>
      </c>
      <c r="O1181" s="31"/>
    </row>
    <row r="1182" spans="10:15" x14ac:dyDescent="0.25">
      <c r="J1182" t="s">
        <v>465</v>
      </c>
      <c r="K1182" s="22" t="s">
        <v>31</v>
      </c>
      <c r="L1182">
        <v>15</v>
      </c>
      <c r="M1182">
        <v>13</v>
      </c>
      <c r="O1182" s="31"/>
    </row>
    <row r="1183" spans="10:15" x14ac:dyDescent="0.25">
      <c r="J1183" t="s">
        <v>611</v>
      </c>
      <c r="K1183" s="22" t="s">
        <v>24</v>
      </c>
      <c r="L1183">
        <v>1</v>
      </c>
      <c r="O1183" s="30"/>
    </row>
    <row r="1184" spans="10:15" x14ac:dyDescent="0.25">
      <c r="J1184" t="s">
        <v>611</v>
      </c>
      <c r="K1184" s="22" t="s">
        <v>26</v>
      </c>
      <c r="L1184">
        <v>2</v>
      </c>
      <c r="O1184" s="30"/>
    </row>
    <row r="1185" spans="10:15" x14ac:dyDescent="0.25">
      <c r="J1185" t="s">
        <v>611</v>
      </c>
      <c r="K1185" s="22" t="s">
        <v>30</v>
      </c>
      <c r="L1185">
        <v>6</v>
      </c>
      <c r="O1185" s="30"/>
    </row>
    <row r="1186" spans="10:15" x14ac:dyDescent="0.25">
      <c r="J1186" t="s">
        <v>611</v>
      </c>
      <c r="K1186" s="22" t="s">
        <v>29</v>
      </c>
      <c r="L1186">
        <v>3</v>
      </c>
      <c r="M1186">
        <v>1</v>
      </c>
    </row>
    <row r="1187" spans="10:15" x14ac:dyDescent="0.25">
      <c r="J1187" t="s">
        <v>611</v>
      </c>
      <c r="K1187" s="22" t="s">
        <v>28</v>
      </c>
      <c r="L1187">
        <v>2</v>
      </c>
      <c r="M1187">
        <v>1</v>
      </c>
    </row>
    <row r="1188" spans="10:15" x14ac:dyDescent="0.25">
      <c r="J1188" t="s">
        <v>611</v>
      </c>
      <c r="K1188" s="22" t="s">
        <v>22</v>
      </c>
      <c r="L1188">
        <v>4</v>
      </c>
    </row>
    <row r="1189" spans="10:15" x14ac:dyDescent="0.25">
      <c r="J1189" t="s">
        <v>2359</v>
      </c>
      <c r="K1189" s="22" t="s">
        <v>26</v>
      </c>
      <c r="L1189">
        <v>1</v>
      </c>
    </row>
    <row r="1190" spans="10:15" x14ac:dyDescent="0.25">
      <c r="J1190" t="s">
        <v>371</v>
      </c>
      <c r="K1190" s="22" t="s">
        <v>30</v>
      </c>
      <c r="L1190">
        <v>4</v>
      </c>
      <c r="M1190">
        <v>4</v>
      </c>
      <c r="O1190" s="31"/>
    </row>
    <row r="1191" spans="10:15" x14ac:dyDescent="0.25">
      <c r="J1191" t="s">
        <v>371</v>
      </c>
      <c r="K1191" s="22" t="s">
        <v>29</v>
      </c>
      <c r="L1191">
        <v>1</v>
      </c>
    </row>
    <row r="1192" spans="10:15" x14ac:dyDescent="0.25">
      <c r="J1192" t="s">
        <v>371</v>
      </c>
      <c r="K1192" s="22" t="s">
        <v>31</v>
      </c>
      <c r="L1192">
        <v>8</v>
      </c>
      <c r="M1192">
        <v>6</v>
      </c>
      <c r="O1192" s="31"/>
    </row>
    <row r="1193" spans="10:15" x14ac:dyDescent="0.25">
      <c r="J1193" t="s">
        <v>612</v>
      </c>
      <c r="K1193" s="22" t="s">
        <v>24</v>
      </c>
      <c r="L1193">
        <v>1</v>
      </c>
      <c r="O1193" s="30"/>
    </row>
    <row r="1194" spans="10:15" x14ac:dyDescent="0.25">
      <c r="J1194" t="s">
        <v>612</v>
      </c>
      <c r="K1194" s="22" t="s">
        <v>30</v>
      </c>
      <c r="L1194">
        <v>3</v>
      </c>
      <c r="M1194">
        <v>2</v>
      </c>
    </row>
    <row r="1195" spans="10:15" x14ac:dyDescent="0.25">
      <c r="J1195" t="s">
        <v>598</v>
      </c>
      <c r="K1195" s="22" t="s">
        <v>24</v>
      </c>
      <c r="L1195">
        <v>6</v>
      </c>
      <c r="M1195">
        <v>5</v>
      </c>
      <c r="O1195" s="31"/>
    </row>
    <row r="1196" spans="10:15" x14ac:dyDescent="0.25">
      <c r="J1196" t="s">
        <v>598</v>
      </c>
      <c r="K1196" s="22" t="s">
        <v>26</v>
      </c>
      <c r="L1196">
        <v>2</v>
      </c>
    </row>
    <row r="1197" spans="10:15" x14ac:dyDescent="0.25">
      <c r="J1197" t="s">
        <v>598</v>
      </c>
      <c r="K1197" s="22" t="s">
        <v>30</v>
      </c>
      <c r="L1197">
        <v>6</v>
      </c>
      <c r="O1197" s="30"/>
    </row>
    <row r="1198" spans="10:15" x14ac:dyDescent="0.25">
      <c r="J1198" t="s">
        <v>598</v>
      </c>
      <c r="K1198" s="22" t="s">
        <v>29</v>
      </c>
      <c r="L1198">
        <v>3</v>
      </c>
      <c r="M1198">
        <v>1</v>
      </c>
      <c r="O1198" s="30"/>
    </row>
    <row r="1199" spans="10:15" x14ac:dyDescent="0.25">
      <c r="J1199" t="s">
        <v>598</v>
      </c>
      <c r="K1199" s="22" t="s">
        <v>28</v>
      </c>
      <c r="L1199">
        <v>1</v>
      </c>
    </row>
    <row r="1200" spans="10:15" x14ac:dyDescent="0.25">
      <c r="J1200" t="s">
        <v>598</v>
      </c>
      <c r="K1200" s="22" t="s">
        <v>22</v>
      </c>
      <c r="L1200">
        <v>2</v>
      </c>
      <c r="O1200" s="30"/>
    </row>
    <row r="1201" spans="10:15" x14ac:dyDescent="0.25">
      <c r="J1201" t="s">
        <v>326</v>
      </c>
      <c r="K1201" s="22" t="s">
        <v>26</v>
      </c>
      <c r="L1201">
        <v>2</v>
      </c>
      <c r="M1201">
        <v>1</v>
      </c>
      <c r="O1201" s="30"/>
    </row>
    <row r="1202" spans="10:15" x14ac:dyDescent="0.25">
      <c r="J1202" t="s">
        <v>326</v>
      </c>
      <c r="K1202" s="22" t="s">
        <v>30</v>
      </c>
      <c r="L1202">
        <v>4</v>
      </c>
    </row>
    <row r="1203" spans="10:15" x14ac:dyDescent="0.25">
      <c r="J1203" t="s">
        <v>326</v>
      </c>
      <c r="K1203" s="22" t="s">
        <v>28</v>
      </c>
      <c r="L1203">
        <v>1</v>
      </c>
    </row>
    <row r="1204" spans="10:15" x14ac:dyDescent="0.25">
      <c r="J1204" t="s">
        <v>326</v>
      </c>
      <c r="K1204" s="22" t="s">
        <v>31</v>
      </c>
      <c r="L1204">
        <v>2</v>
      </c>
    </row>
    <row r="1205" spans="10:15" x14ac:dyDescent="0.25">
      <c r="J1205" t="s">
        <v>2402</v>
      </c>
      <c r="K1205" s="22" t="s">
        <v>24</v>
      </c>
      <c r="L1205">
        <v>3</v>
      </c>
      <c r="M1205">
        <v>2</v>
      </c>
      <c r="O1205" s="30"/>
    </row>
    <row r="1206" spans="10:15" x14ac:dyDescent="0.25">
      <c r="J1206" t="s">
        <v>2402</v>
      </c>
      <c r="K1206" s="22" t="s">
        <v>29</v>
      </c>
      <c r="L1206">
        <v>2</v>
      </c>
      <c r="M1206">
        <v>1</v>
      </c>
      <c r="O1206" s="31"/>
    </row>
    <row r="1207" spans="10:15" x14ac:dyDescent="0.25">
      <c r="J1207" t="s">
        <v>2402</v>
      </c>
      <c r="K1207" s="22" t="s">
        <v>28</v>
      </c>
      <c r="L1207">
        <v>4</v>
      </c>
      <c r="M1207">
        <v>1</v>
      </c>
      <c r="O1207" s="30"/>
    </row>
    <row r="1208" spans="10:15" x14ac:dyDescent="0.25">
      <c r="J1208" t="s">
        <v>265</v>
      </c>
      <c r="K1208" s="22" t="s">
        <v>24</v>
      </c>
      <c r="L1208">
        <v>10</v>
      </c>
      <c r="M1208">
        <v>5</v>
      </c>
      <c r="O1208" s="30"/>
    </row>
    <row r="1209" spans="10:15" x14ac:dyDescent="0.25">
      <c r="J1209" t="s">
        <v>265</v>
      </c>
      <c r="K1209" s="22" t="s">
        <v>26</v>
      </c>
      <c r="L1209">
        <v>4</v>
      </c>
      <c r="M1209">
        <v>2</v>
      </c>
      <c r="O1209" s="31"/>
    </row>
    <row r="1210" spans="10:15" x14ac:dyDescent="0.25">
      <c r="J1210" t="s">
        <v>265</v>
      </c>
      <c r="K1210" s="22" t="s">
        <v>30</v>
      </c>
      <c r="L1210">
        <v>10</v>
      </c>
      <c r="M1210">
        <v>4</v>
      </c>
      <c r="O1210" s="30"/>
    </row>
    <row r="1211" spans="10:15" x14ac:dyDescent="0.25">
      <c r="J1211" t="s">
        <v>265</v>
      </c>
      <c r="K1211" s="22" t="s">
        <v>29</v>
      </c>
      <c r="L1211">
        <v>12</v>
      </c>
      <c r="M1211">
        <v>11</v>
      </c>
      <c r="O1211" s="31"/>
    </row>
    <row r="1212" spans="10:15" x14ac:dyDescent="0.25">
      <c r="J1212" t="s">
        <v>265</v>
      </c>
      <c r="K1212" s="22" t="s">
        <v>35</v>
      </c>
      <c r="L1212">
        <v>7</v>
      </c>
      <c r="M1212">
        <v>3</v>
      </c>
      <c r="O1212" s="30"/>
    </row>
    <row r="1213" spans="10:15" x14ac:dyDescent="0.25">
      <c r="J1213" t="s">
        <v>265</v>
      </c>
      <c r="K1213" s="22" t="s">
        <v>22</v>
      </c>
      <c r="L1213">
        <v>10</v>
      </c>
      <c r="M1213">
        <v>4</v>
      </c>
      <c r="O1213" s="30"/>
    </row>
    <row r="1214" spans="10:15" x14ac:dyDescent="0.25">
      <c r="J1214" t="s">
        <v>265</v>
      </c>
      <c r="K1214" s="22" t="s">
        <v>31</v>
      </c>
      <c r="L1214">
        <v>5</v>
      </c>
      <c r="M1214">
        <v>2</v>
      </c>
      <c r="O1214" s="31"/>
    </row>
    <row r="1215" spans="10:15" x14ac:dyDescent="0.25">
      <c r="J1215" t="s">
        <v>2016</v>
      </c>
      <c r="K1215" s="22" t="s">
        <v>26</v>
      </c>
      <c r="L1215">
        <v>2</v>
      </c>
      <c r="M1215">
        <v>1</v>
      </c>
    </row>
    <row r="1216" spans="10:15" x14ac:dyDescent="0.25">
      <c r="J1216" t="s">
        <v>2016</v>
      </c>
      <c r="K1216" s="22" t="s">
        <v>29</v>
      </c>
      <c r="L1216">
        <v>6</v>
      </c>
      <c r="M1216">
        <v>6</v>
      </c>
      <c r="O1216" s="31"/>
    </row>
    <row r="1217" spans="10:15" x14ac:dyDescent="0.25">
      <c r="J1217" t="s">
        <v>2321</v>
      </c>
      <c r="K1217" s="22" t="s">
        <v>30</v>
      </c>
      <c r="L1217">
        <v>1</v>
      </c>
      <c r="M1217">
        <v>1</v>
      </c>
    </row>
    <row r="1218" spans="10:15" x14ac:dyDescent="0.25">
      <c r="J1218" t="s">
        <v>2321</v>
      </c>
      <c r="K1218" s="22" t="s">
        <v>35</v>
      </c>
      <c r="L1218">
        <v>3</v>
      </c>
      <c r="M1218">
        <v>1</v>
      </c>
    </row>
    <row r="1219" spans="10:15" x14ac:dyDescent="0.25">
      <c r="J1219" t="s">
        <v>358</v>
      </c>
      <c r="K1219" s="22" t="s">
        <v>24</v>
      </c>
      <c r="L1219">
        <v>8</v>
      </c>
      <c r="M1219">
        <v>1</v>
      </c>
      <c r="O1219" s="30"/>
    </row>
    <row r="1220" spans="10:15" x14ac:dyDescent="0.25">
      <c r="J1220" t="s">
        <v>358</v>
      </c>
      <c r="K1220" s="22" t="s">
        <v>26</v>
      </c>
      <c r="L1220">
        <v>5</v>
      </c>
      <c r="M1220">
        <v>2</v>
      </c>
      <c r="O1220" s="31"/>
    </row>
    <row r="1221" spans="10:15" x14ac:dyDescent="0.25">
      <c r="J1221" t="s">
        <v>358</v>
      </c>
      <c r="K1221" s="22" t="s">
        <v>30</v>
      </c>
      <c r="L1221">
        <v>6</v>
      </c>
      <c r="M1221">
        <v>3</v>
      </c>
      <c r="O1221" s="30"/>
    </row>
    <row r="1222" spans="10:15" x14ac:dyDescent="0.25">
      <c r="J1222" t="s">
        <v>358</v>
      </c>
      <c r="K1222" s="22" t="s">
        <v>29</v>
      </c>
      <c r="L1222">
        <v>2</v>
      </c>
      <c r="M1222">
        <v>1</v>
      </c>
      <c r="O1222" s="30"/>
    </row>
    <row r="1223" spans="10:15" x14ac:dyDescent="0.25">
      <c r="J1223" t="s">
        <v>358</v>
      </c>
      <c r="K1223" s="22" t="s">
        <v>35</v>
      </c>
      <c r="L1223">
        <v>6</v>
      </c>
    </row>
    <row r="1224" spans="10:15" x14ac:dyDescent="0.25">
      <c r="J1224" t="s">
        <v>1728</v>
      </c>
      <c r="K1224" s="22" t="s">
        <v>24</v>
      </c>
      <c r="L1224">
        <v>2</v>
      </c>
      <c r="M1224">
        <v>2</v>
      </c>
      <c r="O1224" s="31"/>
    </row>
    <row r="1225" spans="10:15" x14ac:dyDescent="0.25">
      <c r="J1225" t="s">
        <v>1728</v>
      </c>
      <c r="K1225" s="22" t="s">
        <v>29</v>
      </c>
      <c r="L1225">
        <v>3</v>
      </c>
      <c r="M1225">
        <v>2</v>
      </c>
      <c r="O1225" s="31"/>
    </row>
    <row r="1226" spans="10:15" x14ac:dyDescent="0.25">
      <c r="J1226" t="s">
        <v>1583</v>
      </c>
      <c r="K1226" s="22" t="s">
        <v>30</v>
      </c>
      <c r="L1226">
        <v>6</v>
      </c>
      <c r="M1226">
        <v>6</v>
      </c>
      <c r="O1226" s="31"/>
    </row>
    <row r="1227" spans="10:15" x14ac:dyDescent="0.25">
      <c r="J1227" t="s">
        <v>2224</v>
      </c>
      <c r="K1227" s="22" t="s">
        <v>30</v>
      </c>
      <c r="L1227">
        <v>2</v>
      </c>
      <c r="M1227">
        <v>2</v>
      </c>
      <c r="O1227" s="31"/>
    </row>
    <row r="1228" spans="10:15" x14ac:dyDescent="0.25">
      <c r="J1228" t="s">
        <v>2224</v>
      </c>
      <c r="K1228" s="22" t="s">
        <v>29</v>
      </c>
      <c r="L1228">
        <v>1</v>
      </c>
      <c r="O1228" s="30"/>
    </row>
    <row r="1229" spans="10:15" x14ac:dyDescent="0.25">
      <c r="J1229" t="s">
        <v>2224</v>
      </c>
      <c r="K1229" s="22" t="s">
        <v>31</v>
      </c>
      <c r="L1229">
        <v>1</v>
      </c>
    </row>
    <row r="1230" spans="10:15" x14ac:dyDescent="0.25">
      <c r="J1230" t="s">
        <v>2943</v>
      </c>
      <c r="K1230" s="22" t="s">
        <v>30</v>
      </c>
      <c r="L1230">
        <v>3</v>
      </c>
      <c r="M1230">
        <v>2</v>
      </c>
      <c r="O1230" s="30"/>
    </row>
    <row r="1231" spans="10:15" x14ac:dyDescent="0.25">
      <c r="J1231" t="s">
        <v>2943</v>
      </c>
      <c r="K1231" s="22" t="s">
        <v>22</v>
      </c>
      <c r="L1231">
        <v>5</v>
      </c>
      <c r="O1231" s="30"/>
    </row>
    <row r="1232" spans="10:15" x14ac:dyDescent="0.25">
      <c r="J1232" t="s">
        <v>2705</v>
      </c>
      <c r="K1232" s="22" t="s">
        <v>24</v>
      </c>
      <c r="L1232">
        <v>1</v>
      </c>
    </row>
    <row r="1233" spans="10:15" x14ac:dyDescent="0.25">
      <c r="J1233" t="s">
        <v>2705</v>
      </c>
      <c r="K1233" s="22" t="s">
        <v>30</v>
      </c>
      <c r="L1233">
        <v>1</v>
      </c>
      <c r="O1233" s="30"/>
    </row>
    <row r="1234" spans="10:15" x14ac:dyDescent="0.25">
      <c r="J1234" t="s">
        <v>1294</v>
      </c>
      <c r="K1234" s="22" t="s">
        <v>29</v>
      </c>
      <c r="L1234">
        <v>3</v>
      </c>
      <c r="M1234">
        <v>3</v>
      </c>
    </row>
    <row r="1235" spans="10:15" x14ac:dyDescent="0.25">
      <c r="J1235" t="s">
        <v>1294</v>
      </c>
      <c r="K1235" s="22" t="s">
        <v>31</v>
      </c>
      <c r="L1235">
        <v>2</v>
      </c>
    </row>
    <row r="1236" spans="10:15" x14ac:dyDescent="0.25">
      <c r="J1236" t="s">
        <v>3068</v>
      </c>
      <c r="K1236" s="22" t="s">
        <v>30</v>
      </c>
      <c r="L1236">
        <v>3</v>
      </c>
      <c r="M1236">
        <v>2</v>
      </c>
      <c r="O1236" s="31"/>
    </row>
    <row r="1237" spans="10:15" x14ac:dyDescent="0.25">
      <c r="J1237" t="s">
        <v>3068</v>
      </c>
      <c r="K1237" s="22" t="s">
        <v>29</v>
      </c>
      <c r="L1237">
        <v>1</v>
      </c>
      <c r="M1237">
        <v>1</v>
      </c>
      <c r="O1237" s="31"/>
    </row>
    <row r="1238" spans="10:15" x14ac:dyDescent="0.25">
      <c r="J1238" t="s">
        <v>2575</v>
      </c>
      <c r="K1238" s="22" t="s">
        <v>35</v>
      </c>
      <c r="L1238">
        <v>2</v>
      </c>
      <c r="M1238">
        <v>2</v>
      </c>
      <c r="O1238" s="31"/>
    </row>
    <row r="1239" spans="10:15" x14ac:dyDescent="0.25">
      <c r="J1239" t="s">
        <v>2575</v>
      </c>
      <c r="K1239" s="22" t="s">
        <v>22</v>
      </c>
      <c r="L1239">
        <v>10</v>
      </c>
      <c r="M1239">
        <v>8</v>
      </c>
      <c r="O1239" s="30"/>
    </row>
    <row r="1240" spans="10:15" x14ac:dyDescent="0.25">
      <c r="J1240" t="s">
        <v>385</v>
      </c>
      <c r="K1240" s="22" t="s">
        <v>24</v>
      </c>
      <c r="L1240">
        <v>3</v>
      </c>
      <c r="M1240">
        <v>1</v>
      </c>
      <c r="O1240" s="30"/>
    </row>
    <row r="1241" spans="10:15" x14ac:dyDescent="0.25">
      <c r="J1241" t="s">
        <v>385</v>
      </c>
      <c r="K1241" s="22" t="s">
        <v>26</v>
      </c>
      <c r="L1241">
        <v>6</v>
      </c>
      <c r="M1241">
        <v>1</v>
      </c>
      <c r="O1241" s="31"/>
    </row>
    <row r="1242" spans="10:15" x14ac:dyDescent="0.25">
      <c r="J1242" t="s">
        <v>385</v>
      </c>
      <c r="K1242" s="22" t="s">
        <v>30</v>
      </c>
      <c r="L1242">
        <v>6</v>
      </c>
      <c r="M1242">
        <v>2</v>
      </c>
      <c r="O1242" s="31"/>
    </row>
    <row r="1243" spans="10:15" x14ac:dyDescent="0.25">
      <c r="J1243" t="s">
        <v>385</v>
      </c>
      <c r="K1243" s="22" t="s">
        <v>29</v>
      </c>
      <c r="L1243">
        <v>4</v>
      </c>
      <c r="M1243">
        <v>2</v>
      </c>
      <c r="O1243" s="30"/>
    </row>
    <row r="1244" spans="10:15" x14ac:dyDescent="0.25">
      <c r="J1244" t="s">
        <v>385</v>
      </c>
      <c r="K1244" s="22" t="s">
        <v>35</v>
      </c>
      <c r="L1244">
        <v>5</v>
      </c>
      <c r="O1244" s="30"/>
    </row>
    <row r="1245" spans="10:15" x14ac:dyDescent="0.25">
      <c r="J1245" t="s">
        <v>385</v>
      </c>
      <c r="K1245" s="22" t="s">
        <v>31</v>
      </c>
      <c r="L1245">
        <v>1</v>
      </c>
      <c r="O1245" s="30"/>
    </row>
    <row r="1246" spans="10:15" x14ac:dyDescent="0.25">
      <c r="J1246" t="s">
        <v>1103</v>
      </c>
      <c r="K1246" s="22" t="s">
        <v>35</v>
      </c>
      <c r="L1246">
        <v>5</v>
      </c>
      <c r="M1246">
        <v>5</v>
      </c>
      <c r="O1246" s="31"/>
    </row>
    <row r="1247" spans="10:15" x14ac:dyDescent="0.25">
      <c r="J1247" t="s">
        <v>1601</v>
      </c>
      <c r="K1247" s="22" t="s">
        <v>24</v>
      </c>
      <c r="L1247">
        <v>6</v>
      </c>
      <c r="M1247">
        <v>4</v>
      </c>
      <c r="O1247" s="31"/>
    </row>
    <row r="1248" spans="10:15" x14ac:dyDescent="0.25">
      <c r="J1248" t="s">
        <v>1601</v>
      </c>
      <c r="K1248" s="22" t="s">
        <v>26</v>
      </c>
      <c r="L1248">
        <v>2</v>
      </c>
      <c r="M1248">
        <v>1</v>
      </c>
      <c r="O1248" s="31"/>
    </row>
    <row r="1249" spans="10:15" x14ac:dyDescent="0.25">
      <c r="J1249" t="s">
        <v>1601</v>
      </c>
      <c r="K1249" s="22" t="s">
        <v>30</v>
      </c>
      <c r="L1249">
        <v>4</v>
      </c>
      <c r="M1249">
        <v>1</v>
      </c>
      <c r="O1249" s="30"/>
    </row>
    <row r="1250" spans="10:15" x14ac:dyDescent="0.25">
      <c r="J1250" t="s">
        <v>1601</v>
      </c>
      <c r="K1250" s="22" t="s">
        <v>29</v>
      </c>
      <c r="L1250">
        <v>5</v>
      </c>
      <c r="O1250" s="30"/>
    </row>
    <row r="1251" spans="10:15" x14ac:dyDescent="0.25">
      <c r="J1251" t="s">
        <v>1601</v>
      </c>
      <c r="K1251" s="22" t="s">
        <v>22</v>
      </c>
      <c r="L1251">
        <v>3</v>
      </c>
      <c r="O1251" s="30"/>
    </row>
    <row r="1252" spans="10:15" x14ac:dyDescent="0.25">
      <c r="J1252" t="s">
        <v>1601</v>
      </c>
      <c r="K1252" s="22" t="s">
        <v>31</v>
      </c>
      <c r="L1252">
        <v>2</v>
      </c>
      <c r="M1252">
        <v>2</v>
      </c>
      <c r="O1252" s="31"/>
    </row>
    <row r="1253" spans="10:15" x14ac:dyDescent="0.25">
      <c r="J1253" t="s">
        <v>657</v>
      </c>
      <c r="K1253" s="22" t="s">
        <v>29</v>
      </c>
      <c r="L1253">
        <v>4</v>
      </c>
      <c r="M1253">
        <v>4</v>
      </c>
      <c r="O1253" s="31"/>
    </row>
    <row r="1254" spans="10:15" x14ac:dyDescent="0.25">
      <c r="J1254" t="s">
        <v>1797</v>
      </c>
      <c r="K1254" s="22" t="s">
        <v>26</v>
      </c>
      <c r="L1254">
        <v>3</v>
      </c>
      <c r="M1254">
        <v>2</v>
      </c>
      <c r="O1254" s="30"/>
    </row>
    <row r="1255" spans="10:15" x14ac:dyDescent="0.25">
      <c r="J1255" t="s">
        <v>843</v>
      </c>
      <c r="K1255" s="22" t="s">
        <v>24</v>
      </c>
      <c r="L1255">
        <v>10</v>
      </c>
      <c r="M1255">
        <v>10</v>
      </c>
      <c r="O1255" s="31"/>
    </row>
    <row r="1256" spans="10:15" x14ac:dyDescent="0.25">
      <c r="J1256" t="s">
        <v>2904</v>
      </c>
      <c r="K1256" s="22" t="s">
        <v>29</v>
      </c>
      <c r="L1256">
        <v>6</v>
      </c>
      <c r="M1256">
        <v>6</v>
      </c>
      <c r="O1256" s="31"/>
    </row>
    <row r="1257" spans="10:15" x14ac:dyDescent="0.25">
      <c r="J1257" t="s">
        <v>95</v>
      </c>
      <c r="K1257" s="22" t="s">
        <v>24</v>
      </c>
      <c r="L1257">
        <v>9</v>
      </c>
      <c r="M1257">
        <v>6</v>
      </c>
      <c r="O1257" s="30"/>
    </row>
    <row r="1258" spans="10:15" x14ac:dyDescent="0.25">
      <c r="J1258" t="s">
        <v>95</v>
      </c>
      <c r="K1258" s="22" t="s">
        <v>26</v>
      </c>
      <c r="L1258">
        <v>22</v>
      </c>
      <c r="M1258">
        <v>19</v>
      </c>
      <c r="O1258" s="31"/>
    </row>
    <row r="1259" spans="10:15" x14ac:dyDescent="0.25">
      <c r="J1259" t="s">
        <v>95</v>
      </c>
      <c r="K1259" s="22" t="s">
        <v>30</v>
      </c>
      <c r="L1259">
        <v>11</v>
      </c>
      <c r="M1259">
        <v>7</v>
      </c>
      <c r="O1259" s="31"/>
    </row>
    <row r="1260" spans="10:15" x14ac:dyDescent="0.25">
      <c r="J1260" t="s">
        <v>95</v>
      </c>
      <c r="K1260" s="22" t="s">
        <v>28</v>
      </c>
      <c r="L1260">
        <v>9</v>
      </c>
      <c r="M1260">
        <v>6</v>
      </c>
      <c r="O1260" s="30"/>
    </row>
    <row r="1261" spans="10:15" x14ac:dyDescent="0.25">
      <c r="J1261" t="s">
        <v>95</v>
      </c>
      <c r="K1261" s="22" t="s">
        <v>35</v>
      </c>
      <c r="L1261">
        <v>9</v>
      </c>
      <c r="M1261">
        <v>4</v>
      </c>
      <c r="O1261" s="31"/>
    </row>
    <row r="1262" spans="10:15" x14ac:dyDescent="0.25">
      <c r="J1262" t="s">
        <v>95</v>
      </c>
      <c r="K1262" s="22" t="s">
        <v>22</v>
      </c>
      <c r="L1262">
        <v>13</v>
      </c>
      <c r="M1262">
        <v>8</v>
      </c>
      <c r="O1262" s="31"/>
    </row>
    <row r="1263" spans="10:15" x14ac:dyDescent="0.25">
      <c r="J1263" t="s">
        <v>95</v>
      </c>
      <c r="K1263" s="22" t="s">
        <v>31</v>
      </c>
      <c r="L1263">
        <v>14</v>
      </c>
      <c r="M1263">
        <v>9</v>
      </c>
      <c r="O1263" s="31"/>
    </row>
    <row r="1264" spans="10:15" x14ac:dyDescent="0.25">
      <c r="J1264" t="s">
        <v>615</v>
      </c>
      <c r="K1264" s="22" t="s">
        <v>24</v>
      </c>
      <c r="L1264">
        <v>5</v>
      </c>
      <c r="M1264">
        <v>1</v>
      </c>
      <c r="O1264" s="31"/>
    </row>
    <row r="1265" spans="10:15" x14ac:dyDescent="0.25">
      <c r="J1265" t="s">
        <v>615</v>
      </c>
      <c r="K1265" s="22" t="s">
        <v>26</v>
      </c>
      <c r="L1265">
        <v>4</v>
      </c>
      <c r="M1265">
        <v>2</v>
      </c>
      <c r="O1265" s="30"/>
    </row>
    <row r="1266" spans="10:15" x14ac:dyDescent="0.25">
      <c r="J1266" t="s">
        <v>615</v>
      </c>
      <c r="K1266" s="22" t="s">
        <v>28</v>
      </c>
      <c r="L1266">
        <v>6</v>
      </c>
      <c r="M1266">
        <v>4</v>
      </c>
      <c r="O1266" s="31"/>
    </row>
    <row r="1267" spans="10:15" x14ac:dyDescent="0.25">
      <c r="J1267" t="s">
        <v>615</v>
      </c>
      <c r="K1267" s="22" t="s">
        <v>35</v>
      </c>
      <c r="L1267">
        <v>2</v>
      </c>
    </row>
    <row r="1268" spans="10:15" x14ac:dyDescent="0.25">
      <c r="J1268" t="s">
        <v>615</v>
      </c>
      <c r="K1268" s="22" t="s">
        <v>22</v>
      </c>
      <c r="L1268">
        <v>4</v>
      </c>
      <c r="M1268">
        <v>2</v>
      </c>
      <c r="O1268" s="30"/>
    </row>
    <row r="1269" spans="10:15" x14ac:dyDescent="0.25">
      <c r="J1269" t="s">
        <v>1334</v>
      </c>
      <c r="K1269" s="22" t="s">
        <v>26</v>
      </c>
      <c r="L1269">
        <v>6</v>
      </c>
      <c r="M1269">
        <v>6</v>
      </c>
      <c r="O1269" s="31"/>
    </row>
    <row r="1270" spans="10:15" x14ac:dyDescent="0.25">
      <c r="J1270" t="s">
        <v>373</v>
      </c>
      <c r="K1270" s="22" t="s">
        <v>26</v>
      </c>
      <c r="L1270">
        <v>2</v>
      </c>
    </row>
    <row r="1271" spans="10:15" x14ac:dyDescent="0.25">
      <c r="J1271" t="s">
        <v>373</v>
      </c>
      <c r="K1271" s="22" t="s">
        <v>30</v>
      </c>
      <c r="L1271">
        <v>3</v>
      </c>
      <c r="M1271">
        <v>1</v>
      </c>
      <c r="O1271" s="30"/>
    </row>
    <row r="1272" spans="10:15" x14ac:dyDescent="0.25">
      <c r="J1272" t="s">
        <v>373</v>
      </c>
      <c r="K1272" s="22" t="s">
        <v>28</v>
      </c>
      <c r="L1272">
        <v>4</v>
      </c>
      <c r="M1272">
        <v>3</v>
      </c>
      <c r="O1272" s="30"/>
    </row>
    <row r="1273" spans="10:15" x14ac:dyDescent="0.25">
      <c r="J1273" t="s">
        <v>3337</v>
      </c>
      <c r="K1273" s="22" t="s">
        <v>24</v>
      </c>
      <c r="L1273">
        <v>3</v>
      </c>
      <c r="M1273">
        <v>3</v>
      </c>
      <c r="O1273" s="31"/>
    </row>
    <row r="1274" spans="10:15" x14ac:dyDescent="0.25">
      <c r="J1274" t="s">
        <v>1699</v>
      </c>
      <c r="K1274" s="22" t="s">
        <v>24</v>
      </c>
      <c r="L1274">
        <v>3</v>
      </c>
      <c r="O1274" s="30"/>
    </row>
    <row r="1275" spans="10:15" x14ac:dyDescent="0.25">
      <c r="J1275" t="s">
        <v>1699</v>
      </c>
      <c r="K1275" s="22" t="s">
        <v>30</v>
      </c>
      <c r="L1275">
        <v>2</v>
      </c>
      <c r="M1275">
        <v>1</v>
      </c>
      <c r="O1275" s="30"/>
    </row>
    <row r="1276" spans="10:15" x14ac:dyDescent="0.25">
      <c r="J1276" t="s">
        <v>467</v>
      </c>
      <c r="K1276" s="22" t="s">
        <v>26</v>
      </c>
      <c r="L1276">
        <v>3</v>
      </c>
      <c r="M1276">
        <v>1</v>
      </c>
      <c r="O1276" s="31"/>
    </row>
    <row r="1277" spans="10:15" x14ac:dyDescent="0.25">
      <c r="J1277" t="s">
        <v>467</v>
      </c>
      <c r="K1277" s="22" t="s">
        <v>30</v>
      </c>
      <c r="L1277">
        <v>2</v>
      </c>
      <c r="M1277">
        <v>2</v>
      </c>
    </row>
    <row r="1278" spans="10:15" x14ac:dyDescent="0.25">
      <c r="J1278" t="s">
        <v>1347</v>
      </c>
      <c r="K1278" s="22" t="s">
        <v>24</v>
      </c>
      <c r="L1278">
        <v>7</v>
      </c>
      <c r="M1278">
        <v>5</v>
      </c>
      <c r="O1278" s="31"/>
    </row>
    <row r="1279" spans="10:15" x14ac:dyDescent="0.25">
      <c r="J1279" t="s">
        <v>1347</v>
      </c>
      <c r="K1279" s="22" t="s">
        <v>26</v>
      </c>
      <c r="L1279">
        <v>4</v>
      </c>
      <c r="M1279">
        <v>2</v>
      </c>
      <c r="O1279" s="31"/>
    </row>
    <row r="1280" spans="10:15" x14ac:dyDescent="0.25">
      <c r="J1280" t="s">
        <v>1347</v>
      </c>
      <c r="K1280" s="22" t="s">
        <v>31</v>
      </c>
      <c r="L1280">
        <v>5</v>
      </c>
      <c r="M1280">
        <v>4</v>
      </c>
      <c r="O1280" s="30"/>
    </row>
    <row r="1281" spans="10:15" x14ac:dyDescent="0.25">
      <c r="J1281" t="s">
        <v>2966</v>
      </c>
      <c r="K1281" s="22" t="s">
        <v>28</v>
      </c>
      <c r="L1281">
        <v>2</v>
      </c>
      <c r="M1281">
        <v>2</v>
      </c>
      <c r="O1281" s="31"/>
    </row>
    <row r="1282" spans="10:15" x14ac:dyDescent="0.25">
      <c r="J1282" t="s">
        <v>2966</v>
      </c>
      <c r="K1282" s="22" t="s">
        <v>22</v>
      </c>
      <c r="L1282">
        <v>2</v>
      </c>
      <c r="M1282">
        <v>1</v>
      </c>
      <c r="O1282" s="30"/>
    </row>
    <row r="1283" spans="10:15" x14ac:dyDescent="0.25">
      <c r="J1283" t="s">
        <v>1328</v>
      </c>
      <c r="K1283" s="22" t="s">
        <v>26</v>
      </c>
      <c r="L1283">
        <v>4</v>
      </c>
      <c r="M1283">
        <v>4</v>
      </c>
    </row>
    <row r="1284" spans="10:15" x14ac:dyDescent="0.25">
      <c r="J1284" t="s">
        <v>2727</v>
      </c>
      <c r="K1284" s="22" t="s">
        <v>24</v>
      </c>
      <c r="L1284">
        <v>2</v>
      </c>
      <c r="M1284">
        <v>1</v>
      </c>
      <c r="O1284" s="30"/>
    </row>
    <row r="1285" spans="10:15" x14ac:dyDescent="0.25">
      <c r="J1285" t="s">
        <v>1371</v>
      </c>
      <c r="K1285" s="22" t="s">
        <v>24</v>
      </c>
      <c r="L1285">
        <v>1</v>
      </c>
      <c r="M1285">
        <v>1</v>
      </c>
    </row>
    <row r="1286" spans="10:15" x14ac:dyDescent="0.25">
      <c r="J1286" t="s">
        <v>1371</v>
      </c>
      <c r="K1286" s="22" t="s">
        <v>28</v>
      </c>
      <c r="L1286">
        <v>4</v>
      </c>
      <c r="M1286">
        <v>4</v>
      </c>
      <c r="O1286" s="31"/>
    </row>
    <row r="1287" spans="10:15" x14ac:dyDescent="0.25">
      <c r="J1287" t="s">
        <v>537</v>
      </c>
      <c r="K1287" s="22" t="s">
        <v>26</v>
      </c>
      <c r="L1287">
        <v>3</v>
      </c>
      <c r="M1287">
        <v>3</v>
      </c>
      <c r="O1287" s="31"/>
    </row>
    <row r="1288" spans="10:15" x14ac:dyDescent="0.25">
      <c r="J1288" t="s">
        <v>2806</v>
      </c>
      <c r="K1288" s="22" t="s">
        <v>31</v>
      </c>
      <c r="L1288">
        <v>2</v>
      </c>
      <c r="M1288">
        <v>1</v>
      </c>
      <c r="O1288" s="30"/>
    </row>
    <row r="1289" spans="10:15" x14ac:dyDescent="0.25">
      <c r="J1289" t="s">
        <v>1865</v>
      </c>
      <c r="K1289" s="22" t="s">
        <v>30</v>
      </c>
      <c r="L1289">
        <v>2</v>
      </c>
      <c r="M1289">
        <v>2</v>
      </c>
    </row>
    <row r="1290" spans="10:15" x14ac:dyDescent="0.25">
      <c r="J1290" t="s">
        <v>3102</v>
      </c>
      <c r="K1290" s="22" t="s">
        <v>30</v>
      </c>
      <c r="L1290">
        <v>2</v>
      </c>
      <c r="M1290">
        <v>2</v>
      </c>
      <c r="O1290" s="31"/>
    </row>
    <row r="1291" spans="10:15" x14ac:dyDescent="0.25">
      <c r="J1291" t="s">
        <v>1275</v>
      </c>
      <c r="K1291" s="22" t="s">
        <v>22</v>
      </c>
      <c r="L1291">
        <v>4</v>
      </c>
      <c r="M1291">
        <v>4</v>
      </c>
      <c r="O1291" s="31"/>
    </row>
    <row r="1292" spans="10:15" x14ac:dyDescent="0.25">
      <c r="J1292" t="s">
        <v>3052</v>
      </c>
      <c r="K1292" s="22" t="s">
        <v>30</v>
      </c>
      <c r="L1292">
        <v>3</v>
      </c>
      <c r="M1292">
        <v>3</v>
      </c>
      <c r="O1292" s="31"/>
    </row>
    <row r="1293" spans="10:15" x14ac:dyDescent="0.25">
      <c r="J1293" t="s">
        <v>502</v>
      </c>
      <c r="K1293" s="22" t="s">
        <v>24</v>
      </c>
      <c r="L1293">
        <v>3</v>
      </c>
      <c r="M1293">
        <v>3</v>
      </c>
      <c r="O1293" s="31"/>
    </row>
    <row r="1294" spans="10:15" x14ac:dyDescent="0.25">
      <c r="J1294" t="s">
        <v>2609</v>
      </c>
      <c r="K1294" s="22" t="s">
        <v>30</v>
      </c>
      <c r="L1294">
        <v>2</v>
      </c>
      <c r="M1294">
        <v>2</v>
      </c>
    </row>
    <row r="1295" spans="10:15" x14ac:dyDescent="0.25">
      <c r="J1295" t="s">
        <v>1040</v>
      </c>
      <c r="K1295" s="22" t="s">
        <v>30</v>
      </c>
      <c r="L1295">
        <v>6</v>
      </c>
      <c r="M1295">
        <v>6</v>
      </c>
      <c r="O1295" s="31"/>
    </row>
    <row r="1296" spans="10:15" x14ac:dyDescent="0.25">
      <c r="J1296" t="s">
        <v>1338</v>
      </c>
      <c r="K1296" s="22" t="s">
        <v>26</v>
      </c>
      <c r="L1296">
        <v>2</v>
      </c>
      <c r="O1296" s="30"/>
    </row>
    <row r="1297" spans="10:15" x14ac:dyDescent="0.25">
      <c r="J1297" t="s">
        <v>1338</v>
      </c>
      <c r="K1297" s="22" t="s">
        <v>35</v>
      </c>
      <c r="L1297">
        <v>1</v>
      </c>
      <c r="O1297" s="30"/>
    </row>
    <row r="1298" spans="10:15" x14ac:dyDescent="0.25">
      <c r="J1298" t="s">
        <v>1338</v>
      </c>
      <c r="K1298" s="22" t="s">
        <v>22</v>
      </c>
      <c r="L1298">
        <v>1</v>
      </c>
      <c r="M1298">
        <v>1</v>
      </c>
      <c r="O1298" s="31"/>
    </row>
    <row r="1299" spans="10:15" x14ac:dyDescent="0.25">
      <c r="J1299" t="s">
        <v>1338</v>
      </c>
      <c r="K1299" s="22" t="s">
        <v>31</v>
      </c>
      <c r="L1299">
        <v>8</v>
      </c>
      <c r="M1299">
        <v>7</v>
      </c>
      <c r="O1299" s="31"/>
    </row>
    <row r="1300" spans="10:15" x14ac:dyDescent="0.25">
      <c r="J1300" t="s">
        <v>1563</v>
      </c>
      <c r="K1300" s="22" t="s">
        <v>24</v>
      </c>
      <c r="L1300">
        <v>7</v>
      </c>
      <c r="M1300">
        <v>7</v>
      </c>
      <c r="O1300" s="31"/>
    </row>
    <row r="1301" spans="10:15" x14ac:dyDescent="0.25">
      <c r="J1301" t="s">
        <v>3281</v>
      </c>
      <c r="K1301" s="22" t="s">
        <v>30</v>
      </c>
      <c r="L1301">
        <v>1</v>
      </c>
      <c r="O1301" s="30"/>
    </row>
    <row r="1302" spans="10:15" x14ac:dyDescent="0.25">
      <c r="J1302" t="s">
        <v>2809</v>
      </c>
      <c r="K1302" s="22" t="s">
        <v>24</v>
      </c>
      <c r="L1302">
        <v>4</v>
      </c>
      <c r="M1302">
        <v>4</v>
      </c>
      <c r="O1302" s="31"/>
    </row>
    <row r="1303" spans="10:15" x14ac:dyDescent="0.25">
      <c r="J1303" t="s">
        <v>1321</v>
      </c>
      <c r="K1303" s="22" t="s">
        <v>26</v>
      </c>
      <c r="L1303">
        <v>1</v>
      </c>
    </row>
    <row r="1304" spans="10:15" x14ac:dyDescent="0.25">
      <c r="J1304" t="s">
        <v>1321</v>
      </c>
      <c r="K1304" s="22" t="s">
        <v>31</v>
      </c>
      <c r="L1304">
        <v>2</v>
      </c>
      <c r="M1304">
        <v>2</v>
      </c>
      <c r="O1304" s="31"/>
    </row>
    <row r="1305" spans="10:15" x14ac:dyDescent="0.25">
      <c r="J1305" t="s">
        <v>2410</v>
      </c>
      <c r="K1305" s="22" t="s">
        <v>26</v>
      </c>
      <c r="L1305">
        <v>1</v>
      </c>
      <c r="M1305">
        <v>1</v>
      </c>
    </row>
    <row r="1306" spans="10:15" x14ac:dyDescent="0.25">
      <c r="J1306" t="s">
        <v>643</v>
      </c>
      <c r="K1306" s="22" t="s">
        <v>30</v>
      </c>
      <c r="L1306">
        <v>2</v>
      </c>
      <c r="M1306">
        <v>2</v>
      </c>
    </row>
    <row r="1307" spans="10:15" x14ac:dyDescent="0.25">
      <c r="J1307" t="s">
        <v>923</v>
      </c>
      <c r="K1307" s="22" t="s">
        <v>26</v>
      </c>
      <c r="L1307">
        <v>1</v>
      </c>
      <c r="M1307">
        <v>1</v>
      </c>
    </row>
    <row r="1308" spans="10:15" x14ac:dyDescent="0.25">
      <c r="J1308" t="s">
        <v>105</v>
      </c>
      <c r="K1308" s="22" t="s">
        <v>24</v>
      </c>
      <c r="L1308">
        <v>1</v>
      </c>
    </row>
    <row r="1309" spans="10:15" x14ac:dyDescent="0.25">
      <c r="J1309" t="s">
        <v>105</v>
      </c>
      <c r="K1309" s="22" t="s">
        <v>26</v>
      </c>
      <c r="L1309">
        <v>3</v>
      </c>
      <c r="O1309" s="30"/>
    </row>
    <row r="1310" spans="10:15" x14ac:dyDescent="0.25">
      <c r="J1310" t="s">
        <v>105</v>
      </c>
      <c r="K1310" s="22" t="s">
        <v>30</v>
      </c>
      <c r="L1310">
        <v>2</v>
      </c>
      <c r="O1310" s="30"/>
    </row>
    <row r="1311" spans="10:15" x14ac:dyDescent="0.25">
      <c r="J1311" t="s">
        <v>105</v>
      </c>
      <c r="K1311" s="22" t="s">
        <v>28</v>
      </c>
      <c r="L1311">
        <v>3</v>
      </c>
      <c r="O1311" s="30"/>
    </row>
    <row r="1312" spans="10:15" x14ac:dyDescent="0.25">
      <c r="J1312" t="s">
        <v>105</v>
      </c>
      <c r="K1312" s="22" t="s">
        <v>35</v>
      </c>
      <c r="L1312">
        <v>16</v>
      </c>
      <c r="M1312">
        <v>4</v>
      </c>
      <c r="O1312" s="30"/>
    </row>
    <row r="1313" spans="10:15" x14ac:dyDescent="0.25">
      <c r="J1313" t="s">
        <v>105</v>
      </c>
      <c r="K1313" s="22" t="s">
        <v>22</v>
      </c>
      <c r="L1313">
        <v>4</v>
      </c>
      <c r="O1313" s="30"/>
    </row>
    <row r="1314" spans="10:15" x14ac:dyDescent="0.25">
      <c r="J1314" t="s">
        <v>1681</v>
      </c>
      <c r="K1314" s="22" t="s">
        <v>24</v>
      </c>
      <c r="L1314">
        <v>1</v>
      </c>
    </row>
    <row r="1315" spans="10:15" x14ac:dyDescent="0.25">
      <c r="J1315" t="s">
        <v>1681</v>
      </c>
      <c r="K1315" s="22" t="s">
        <v>26</v>
      </c>
      <c r="L1315">
        <v>4</v>
      </c>
      <c r="O1315" s="30"/>
    </row>
    <row r="1316" spans="10:15" x14ac:dyDescent="0.25">
      <c r="J1316" t="s">
        <v>1681</v>
      </c>
      <c r="K1316" s="22" t="s">
        <v>30</v>
      </c>
      <c r="L1316">
        <v>5</v>
      </c>
      <c r="O1316" s="30"/>
    </row>
    <row r="1317" spans="10:15" x14ac:dyDescent="0.25">
      <c r="J1317" t="s">
        <v>1681</v>
      </c>
      <c r="K1317" s="22" t="s">
        <v>28</v>
      </c>
      <c r="L1317">
        <v>4</v>
      </c>
      <c r="O1317" s="30"/>
    </row>
    <row r="1318" spans="10:15" x14ac:dyDescent="0.25">
      <c r="J1318" t="s">
        <v>1681</v>
      </c>
      <c r="K1318" s="22" t="s">
        <v>35</v>
      </c>
      <c r="L1318">
        <v>9</v>
      </c>
      <c r="M1318">
        <v>2</v>
      </c>
      <c r="O1318" s="30"/>
    </row>
    <row r="1319" spans="10:15" x14ac:dyDescent="0.25">
      <c r="J1319" t="s">
        <v>1681</v>
      </c>
      <c r="K1319" s="22" t="s">
        <v>31</v>
      </c>
      <c r="L1319">
        <v>3</v>
      </c>
      <c r="O1319" s="30"/>
    </row>
    <row r="1320" spans="10:15" x14ac:dyDescent="0.25">
      <c r="J1320" t="s">
        <v>2472</v>
      </c>
      <c r="K1320" s="22" t="s">
        <v>24</v>
      </c>
      <c r="L1320">
        <v>2</v>
      </c>
      <c r="O1320" s="30"/>
    </row>
    <row r="1321" spans="10:15" x14ac:dyDescent="0.25">
      <c r="J1321" t="s">
        <v>2472</v>
      </c>
      <c r="K1321" s="22" t="s">
        <v>28</v>
      </c>
      <c r="L1321">
        <v>3</v>
      </c>
      <c r="O1321" s="30"/>
    </row>
    <row r="1322" spans="10:15" x14ac:dyDescent="0.25">
      <c r="J1322" t="s">
        <v>2472</v>
      </c>
      <c r="K1322" s="22" t="s">
        <v>35</v>
      </c>
      <c r="L1322">
        <v>4</v>
      </c>
      <c r="M1322">
        <v>4</v>
      </c>
      <c r="O1322" s="31"/>
    </row>
    <row r="1323" spans="10:15" x14ac:dyDescent="0.25">
      <c r="J1323" t="s">
        <v>1531</v>
      </c>
      <c r="K1323" s="22" t="s">
        <v>24</v>
      </c>
      <c r="L1323">
        <v>4</v>
      </c>
      <c r="M1323">
        <v>3</v>
      </c>
      <c r="O1323" s="31"/>
    </row>
    <row r="1324" spans="10:15" x14ac:dyDescent="0.25">
      <c r="J1324" t="s">
        <v>1531</v>
      </c>
      <c r="K1324" s="22" t="s">
        <v>26</v>
      </c>
      <c r="L1324">
        <v>1</v>
      </c>
    </row>
    <row r="1325" spans="10:15" x14ac:dyDescent="0.25">
      <c r="J1325" t="s">
        <v>1531</v>
      </c>
      <c r="K1325" s="22" t="s">
        <v>30</v>
      </c>
      <c r="L1325">
        <v>4</v>
      </c>
      <c r="M1325">
        <v>1</v>
      </c>
      <c r="O1325" s="30"/>
    </row>
    <row r="1326" spans="10:15" x14ac:dyDescent="0.25">
      <c r="J1326" t="s">
        <v>1531</v>
      </c>
      <c r="K1326" s="22" t="s">
        <v>28</v>
      </c>
      <c r="L1326">
        <v>3</v>
      </c>
      <c r="O1326" s="30"/>
    </row>
    <row r="1327" spans="10:15" x14ac:dyDescent="0.25">
      <c r="J1327" t="s">
        <v>1531</v>
      </c>
      <c r="K1327" s="22" t="s">
        <v>22</v>
      </c>
      <c r="L1327">
        <v>4</v>
      </c>
      <c r="M1327">
        <v>3</v>
      </c>
      <c r="O1327" s="31"/>
    </row>
    <row r="1328" spans="10:15" x14ac:dyDescent="0.25">
      <c r="J1328" t="s">
        <v>1531</v>
      </c>
      <c r="K1328" s="22" t="s">
        <v>31</v>
      </c>
      <c r="L1328">
        <v>1</v>
      </c>
    </row>
    <row r="1329" spans="10:15" x14ac:dyDescent="0.25">
      <c r="J1329" t="s">
        <v>435</v>
      </c>
      <c r="K1329" s="22" t="s">
        <v>22</v>
      </c>
      <c r="L1329">
        <v>7</v>
      </c>
      <c r="M1329">
        <v>7</v>
      </c>
      <c r="O1329" s="31"/>
    </row>
    <row r="1330" spans="10:15" x14ac:dyDescent="0.25">
      <c r="J1330" t="s">
        <v>2400</v>
      </c>
      <c r="K1330" s="22" t="s">
        <v>31</v>
      </c>
      <c r="L1330">
        <v>5</v>
      </c>
      <c r="M1330">
        <v>5</v>
      </c>
      <c r="O1330" s="31"/>
    </row>
    <row r="1331" spans="10:15" x14ac:dyDescent="0.25">
      <c r="J1331" t="s">
        <v>2541</v>
      </c>
      <c r="K1331" s="22" t="s">
        <v>24</v>
      </c>
      <c r="L1331">
        <v>3</v>
      </c>
      <c r="O1331" s="30"/>
    </row>
    <row r="1332" spans="10:15" x14ac:dyDescent="0.25">
      <c r="J1332" t="s">
        <v>2541</v>
      </c>
      <c r="K1332" s="22" t="s">
        <v>26</v>
      </c>
      <c r="L1332">
        <v>2</v>
      </c>
      <c r="O1332" s="30"/>
    </row>
    <row r="1333" spans="10:15" x14ac:dyDescent="0.25">
      <c r="J1333" t="s">
        <v>2541</v>
      </c>
      <c r="K1333" s="22" t="s">
        <v>30</v>
      </c>
      <c r="L1333">
        <v>2</v>
      </c>
      <c r="O1333" s="30"/>
    </row>
    <row r="1334" spans="10:15" x14ac:dyDescent="0.25">
      <c r="J1334" t="s">
        <v>2541</v>
      </c>
      <c r="K1334" s="22" t="s">
        <v>28</v>
      </c>
      <c r="L1334">
        <v>2</v>
      </c>
      <c r="O1334" s="30"/>
    </row>
    <row r="1335" spans="10:15" x14ac:dyDescent="0.25">
      <c r="J1335" t="s">
        <v>1532</v>
      </c>
      <c r="K1335" s="22" t="s">
        <v>26</v>
      </c>
      <c r="L1335">
        <v>1</v>
      </c>
    </row>
    <row r="1336" spans="10:15" x14ac:dyDescent="0.25">
      <c r="J1336" t="s">
        <v>566</v>
      </c>
      <c r="K1336" s="22" t="s">
        <v>24</v>
      </c>
      <c r="L1336">
        <v>12</v>
      </c>
      <c r="M1336">
        <v>1</v>
      </c>
      <c r="O1336" s="30"/>
    </row>
    <row r="1337" spans="10:15" x14ac:dyDescent="0.25">
      <c r="J1337" t="s">
        <v>566</v>
      </c>
      <c r="K1337" s="22" t="s">
        <v>26</v>
      </c>
      <c r="L1337">
        <v>3</v>
      </c>
    </row>
    <row r="1338" spans="10:15" x14ac:dyDescent="0.25">
      <c r="J1338" t="s">
        <v>566</v>
      </c>
      <c r="K1338" s="22" t="s">
        <v>30</v>
      </c>
      <c r="L1338">
        <v>11</v>
      </c>
      <c r="O1338" s="30"/>
    </row>
    <row r="1339" spans="10:15" x14ac:dyDescent="0.25">
      <c r="J1339" t="s">
        <v>566</v>
      </c>
      <c r="K1339" s="22" t="s">
        <v>35</v>
      </c>
      <c r="L1339">
        <v>8</v>
      </c>
      <c r="O1339" s="30"/>
    </row>
    <row r="1340" spans="10:15" x14ac:dyDescent="0.25">
      <c r="J1340" t="s">
        <v>566</v>
      </c>
      <c r="K1340" s="22" t="s">
        <v>22</v>
      </c>
      <c r="L1340">
        <v>10</v>
      </c>
      <c r="O1340" s="30"/>
    </row>
    <row r="1341" spans="10:15" x14ac:dyDescent="0.25">
      <c r="J1341" t="s">
        <v>566</v>
      </c>
      <c r="K1341" s="22" t="s">
        <v>31</v>
      </c>
      <c r="L1341">
        <v>10</v>
      </c>
      <c r="O1341" s="30"/>
    </row>
    <row r="1342" spans="10:15" x14ac:dyDescent="0.25">
      <c r="J1342" t="s">
        <v>3226</v>
      </c>
      <c r="K1342" s="22" t="s">
        <v>24</v>
      </c>
      <c r="L1342">
        <v>2</v>
      </c>
      <c r="M1342">
        <v>1</v>
      </c>
      <c r="O1342" s="30"/>
    </row>
    <row r="1343" spans="10:15" x14ac:dyDescent="0.25">
      <c r="J1343" t="s">
        <v>3156</v>
      </c>
      <c r="K1343" s="22" t="s">
        <v>35</v>
      </c>
      <c r="L1343">
        <v>3</v>
      </c>
      <c r="M1343">
        <v>2</v>
      </c>
      <c r="O1343" s="30"/>
    </row>
    <row r="1344" spans="10:15" x14ac:dyDescent="0.25">
      <c r="J1344" t="s">
        <v>1878</v>
      </c>
      <c r="K1344" s="22" t="s">
        <v>24</v>
      </c>
      <c r="L1344">
        <v>1</v>
      </c>
    </row>
    <row r="1345" spans="10:15" x14ac:dyDescent="0.25">
      <c r="J1345" t="s">
        <v>1878</v>
      </c>
      <c r="K1345" s="22" t="s">
        <v>26</v>
      </c>
      <c r="L1345">
        <v>3</v>
      </c>
      <c r="O1345" s="30"/>
    </row>
    <row r="1346" spans="10:15" x14ac:dyDescent="0.25">
      <c r="J1346" t="s">
        <v>1878</v>
      </c>
      <c r="K1346" s="22" t="s">
        <v>30</v>
      </c>
      <c r="L1346">
        <v>4</v>
      </c>
      <c r="O1346" s="30"/>
    </row>
    <row r="1347" spans="10:15" x14ac:dyDescent="0.25">
      <c r="J1347" t="s">
        <v>1878</v>
      </c>
      <c r="K1347" s="22" t="s">
        <v>35</v>
      </c>
      <c r="L1347">
        <v>1</v>
      </c>
    </row>
    <row r="1348" spans="10:15" x14ac:dyDescent="0.25">
      <c r="J1348" t="s">
        <v>820</v>
      </c>
      <c r="K1348" s="22" t="s">
        <v>24</v>
      </c>
      <c r="L1348">
        <v>2</v>
      </c>
      <c r="M1348">
        <v>2</v>
      </c>
    </row>
    <row r="1349" spans="10:15" x14ac:dyDescent="0.25">
      <c r="J1349" t="s">
        <v>1579</v>
      </c>
      <c r="K1349" s="22" t="s">
        <v>24</v>
      </c>
      <c r="L1349">
        <v>1</v>
      </c>
      <c r="M1349">
        <v>1</v>
      </c>
    </row>
    <row r="1350" spans="10:15" x14ac:dyDescent="0.25">
      <c r="J1350" t="s">
        <v>1579</v>
      </c>
      <c r="K1350" s="22" t="s">
        <v>26</v>
      </c>
      <c r="L1350">
        <v>2</v>
      </c>
      <c r="O1350" s="30"/>
    </row>
    <row r="1351" spans="10:15" x14ac:dyDescent="0.25">
      <c r="J1351" t="s">
        <v>1579</v>
      </c>
      <c r="K1351" s="22" t="s">
        <v>30</v>
      </c>
      <c r="L1351">
        <v>2</v>
      </c>
    </row>
    <row r="1352" spans="10:15" x14ac:dyDescent="0.25">
      <c r="J1352" t="s">
        <v>2226</v>
      </c>
      <c r="K1352" s="22" t="s">
        <v>30</v>
      </c>
      <c r="L1352">
        <v>1</v>
      </c>
    </row>
    <row r="1353" spans="10:15" x14ac:dyDescent="0.25">
      <c r="J1353" t="s">
        <v>3217</v>
      </c>
      <c r="K1353" s="22" t="s">
        <v>24</v>
      </c>
      <c r="L1353">
        <v>1</v>
      </c>
      <c r="M1353">
        <v>1</v>
      </c>
      <c r="O1353" s="31"/>
    </row>
    <row r="1354" spans="10:15" x14ac:dyDescent="0.25">
      <c r="J1354" t="s">
        <v>3217</v>
      </c>
      <c r="K1354" s="22" t="s">
        <v>30</v>
      </c>
      <c r="L1354">
        <v>1</v>
      </c>
      <c r="O1354" s="30"/>
    </row>
    <row r="1355" spans="10:15" x14ac:dyDescent="0.25">
      <c r="J1355" t="s">
        <v>2631</v>
      </c>
      <c r="K1355" s="22" t="s">
        <v>22</v>
      </c>
      <c r="L1355">
        <v>2</v>
      </c>
      <c r="M1355">
        <v>2</v>
      </c>
      <c r="O1355" s="31"/>
    </row>
    <row r="1356" spans="10:15" x14ac:dyDescent="0.25">
      <c r="J1356" t="s">
        <v>1577</v>
      </c>
      <c r="K1356" s="22" t="s">
        <v>31</v>
      </c>
      <c r="L1356">
        <v>1</v>
      </c>
      <c r="M1356">
        <v>1</v>
      </c>
    </row>
    <row r="1357" spans="10:15" x14ac:dyDescent="0.25">
      <c r="J1357" t="s">
        <v>51</v>
      </c>
      <c r="K1357" s="22" t="s">
        <v>24</v>
      </c>
      <c r="L1357">
        <v>15</v>
      </c>
      <c r="M1357">
        <v>14</v>
      </c>
      <c r="O1357" s="31"/>
    </row>
    <row r="1358" spans="10:15" x14ac:dyDescent="0.25">
      <c r="J1358" t="s">
        <v>51</v>
      </c>
      <c r="K1358" s="22" t="s">
        <v>26</v>
      </c>
      <c r="L1358">
        <v>8</v>
      </c>
      <c r="M1358">
        <v>5</v>
      </c>
      <c r="O1358" s="30"/>
    </row>
    <row r="1359" spans="10:15" x14ac:dyDescent="0.25">
      <c r="J1359" t="s">
        <v>51</v>
      </c>
      <c r="K1359" s="22" t="s">
        <v>29</v>
      </c>
      <c r="L1359">
        <v>12</v>
      </c>
      <c r="M1359">
        <v>8</v>
      </c>
      <c r="O1359" s="31"/>
    </row>
    <row r="1360" spans="10:15" x14ac:dyDescent="0.25">
      <c r="J1360" t="s">
        <v>51</v>
      </c>
      <c r="K1360" s="22" t="s">
        <v>28</v>
      </c>
      <c r="L1360">
        <v>7</v>
      </c>
      <c r="M1360">
        <v>5</v>
      </c>
      <c r="O1360" s="31"/>
    </row>
    <row r="1361" spans="10:15" x14ac:dyDescent="0.25">
      <c r="J1361" t="s">
        <v>51</v>
      </c>
      <c r="K1361" s="22" t="s">
        <v>35</v>
      </c>
      <c r="L1361">
        <v>6</v>
      </c>
      <c r="M1361">
        <v>3</v>
      </c>
      <c r="O1361" s="31"/>
    </row>
    <row r="1362" spans="10:15" x14ac:dyDescent="0.25">
      <c r="J1362" t="s">
        <v>51</v>
      </c>
      <c r="K1362" s="22" t="s">
        <v>22</v>
      </c>
      <c r="L1362">
        <v>13</v>
      </c>
      <c r="M1362">
        <v>5</v>
      </c>
      <c r="O1362" s="31"/>
    </row>
    <row r="1363" spans="10:15" x14ac:dyDescent="0.25">
      <c r="J1363" t="s">
        <v>51</v>
      </c>
      <c r="K1363" s="22" t="s">
        <v>31</v>
      </c>
      <c r="L1363">
        <v>11</v>
      </c>
      <c r="M1363">
        <v>7</v>
      </c>
      <c r="O1363" s="30"/>
    </row>
    <row r="1364" spans="10:15" x14ac:dyDescent="0.25">
      <c r="J1364" t="s">
        <v>3086</v>
      </c>
      <c r="K1364" s="22" t="s">
        <v>24</v>
      </c>
      <c r="L1364">
        <v>1</v>
      </c>
      <c r="O1364" s="30"/>
    </row>
    <row r="1365" spans="10:15" x14ac:dyDescent="0.25">
      <c r="J1365" t="s">
        <v>3086</v>
      </c>
      <c r="K1365" s="22" t="s">
        <v>26</v>
      </c>
      <c r="L1365">
        <v>5</v>
      </c>
      <c r="M1365">
        <v>1</v>
      </c>
      <c r="O1365" s="30"/>
    </row>
    <row r="1366" spans="10:15" x14ac:dyDescent="0.25">
      <c r="J1366" t="s">
        <v>3086</v>
      </c>
      <c r="K1366" s="22" t="s">
        <v>29</v>
      </c>
      <c r="L1366">
        <v>5</v>
      </c>
      <c r="M1366">
        <v>1</v>
      </c>
      <c r="O1366" s="30"/>
    </row>
    <row r="1367" spans="10:15" x14ac:dyDescent="0.25">
      <c r="J1367" t="s">
        <v>3086</v>
      </c>
      <c r="K1367" s="22" t="s">
        <v>28</v>
      </c>
      <c r="L1367">
        <v>1</v>
      </c>
      <c r="O1367" s="30"/>
    </row>
    <row r="1368" spans="10:15" x14ac:dyDescent="0.25">
      <c r="J1368" t="s">
        <v>3086</v>
      </c>
      <c r="K1368" s="22" t="s">
        <v>35</v>
      </c>
      <c r="L1368">
        <v>1</v>
      </c>
      <c r="O1368" s="30"/>
    </row>
    <row r="1369" spans="10:15" x14ac:dyDescent="0.25">
      <c r="J1369" t="s">
        <v>3086</v>
      </c>
      <c r="K1369" s="22" t="s">
        <v>22</v>
      </c>
      <c r="L1369">
        <v>5</v>
      </c>
      <c r="M1369">
        <v>1</v>
      </c>
      <c r="O1369" s="30"/>
    </row>
    <row r="1370" spans="10:15" x14ac:dyDescent="0.25">
      <c r="J1370" t="s">
        <v>2296</v>
      </c>
      <c r="K1370" s="22" t="s">
        <v>26</v>
      </c>
      <c r="L1370">
        <v>2</v>
      </c>
      <c r="M1370">
        <v>1</v>
      </c>
    </row>
    <row r="1371" spans="10:15" x14ac:dyDescent="0.25">
      <c r="J1371" t="s">
        <v>2296</v>
      </c>
      <c r="K1371" s="22" t="s">
        <v>29</v>
      </c>
      <c r="L1371">
        <v>3</v>
      </c>
      <c r="M1371">
        <v>2</v>
      </c>
      <c r="O1371" s="30"/>
    </row>
    <row r="1372" spans="10:15" x14ac:dyDescent="0.25">
      <c r="J1372" t="s">
        <v>2296</v>
      </c>
      <c r="K1372" s="22" t="s">
        <v>28</v>
      </c>
      <c r="L1372">
        <v>1</v>
      </c>
      <c r="O1372" s="30"/>
    </row>
    <row r="1373" spans="10:15" x14ac:dyDescent="0.25">
      <c r="J1373" t="s">
        <v>2296</v>
      </c>
      <c r="K1373" s="22" t="s">
        <v>35</v>
      </c>
      <c r="L1373">
        <v>2</v>
      </c>
      <c r="M1373">
        <v>1</v>
      </c>
      <c r="O1373" s="31"/>
    </row>
    <row r="1374" spans="10:15" x14ac:dyDescent="0.25">
      <c r="J1374" t="s">
        <v>2538</v>
      </c>
      <c r="K1374" s="22" t="s">
        <v>26</v>
      </c>
      <c r="L1374">
        <v>2</v>
      </c>
      <c r="O1374" s="30"/>
    </row>
    <row r="1375" spans="10:15" x14ac:dyDescent="0.25">
      <c r="J1375" t="s">
        <v>2538</v>
      </c>
      <c r="K1375" s="22" t="s">
        <v>29</v>
      </c>
      <c r="L1375">
        <v>2</v>
      </c>
      <c r="M1375">
        <v>1</v>
      </c>
      <c r="O1375" s="31"/>
    </row>
    <row r="1376" spans="10:15" x14ac:dyDescent="0.25">
      <c r="J1376" t="s">
        <v>2538</v>
      </c>
      <c r="K1376" s="22" t="s">
        <v>28</v>
      </c>
      <c r="L1376">
        <v>4</v>
      </c>
      <c r="M1376">
        <v>3</v>
      </c>
      <c r="O1376" s="30"/>
    </row>
    <row r="1377" spans="10:15" x14ac:dyDescent="0.25">
      <c r="J1377" t="s">
        <v>2538</v>
      </c>
      <c r="K1377" s="22" t="s">
        <v>31</v>
      </c>
      <c r="L1377">
        <v>2</v>
      </c>
      <c r="O1377" s="30"/>
    </row>
    <row r="1378" spans="10:15" x14ac:dyDescent="0.25">
      <c r="J1378" t="s">
        <v>3089</v>
      </c>
      <c r="K1378" s="22" t="s">
        <v>24</v>
      </c>
      <c r="L1378">
        <v>1</v>
      </c>
      <c r="M1378">
        <v>1</v>
      </c>
      <c r="O1378" s="31"/>
    </row>
    <row r="1379" spans="10:15" x14ac:dyDescent="0.25">
      <c r="J1379" t="s">
        <v>2414</v>
      </c>
      <c r="K1379" s="22" t="s">
        <v>26</v>
      </c>
      <c r="L1379">
        <v>1</v>
      </c>
    </row>
    <row r="1380" spans="10:15" x14ac:dyDescent="0.25">
      <c r="J1380" t="s">
        <v>2414</v>
      </c>
      <c r="K1380" s="22" t="s">
        <v>28</v>
      </c>
      <c r="L1380">
        <v>1</v>
      </c>
    </row>
    <row r="1381" spans="10:15" x14ac:dyDescent="0.25">
      <c r="J1381" t="s">
        <v>2414</v>
      </c>
      <c r="K1381" s="22" t="s">
        <v>22</v>
      </c>
      <c r="L1381">
        <v>1</v>
      </c>
    </row>
    <row r="1382" spans="10:15" x14ac:dyDescent="0.25">
      <c r="J1382" t="s">
        <v>1479</v>
      </c>
      <c r="K1382" s="22" t="s">
        <v>24</v>
      </c>
      <c r="L1382">
        <v>7</v>
      </c>
      <c r="M1382">
        <v>7</v>
      </c>
      <c r="O1382" s="31"/>
    </row>
    <row r="1383" spans="10:15" x14ac:dyDescent="0.25">
      <c r="J1383" t="s">
        <v>1812</v>
      </c>
      <c r="K1383" s="22" t="s">
        <v>24</v>
      </c>
      <c r="L1383">
        <v>1</v>
      </c>
      <c r="M1383">
        <v>1</v>
      </c>
    </row>
    <row r="1384" spans="10:15" x14ac:dyDescent="0.25">
      <c r="J1384" t="s">
        <v>72</v>
      </c>
      <c r="K1384" s="22" t="s">
        <v>26</v>
      </c>
      <c r="L1384">
        <v>4</v>
      </c>
      <c r="M1384">
        <v>1</v>
      </c>
      <c r="O1384" s="31"/>
    </row>
    <row r="1385" spans="10:15" x14ac:dyDescent="0.25">
      <c r="J1385" t="s">
        <v>72</v>
      </c>
      <c r="K1385" s="22" t="s">
        <v>29</v>
      </c>
      <c r="L1385">
        <v>2</v>
      </c>
      <c r="M1385">
        <v>2</v>
      </c>
    </row>
    <row r="1386" spans="10:15" x14ac:dyDescent="0.25">
      <c r="J1386" t="s">
        <v>72</v>
      </c>
      <c r="K1386" s="22" t="s">
        <v>28</v>
      </c>
      <c r="L1386">
        <v>5</v>
      </c>
      <c r="M1386">
        <v>3</v>
      </c>
      <c r="O1386" s="30"/>
    </row>
    <row r="1387" spans="10:15" x14ac:dyDescent="0.25">
      <c r="J1387" t="s">
        <v>72</v>
      </c>
      <c r="K1387" s="22" t="s">
        <v>22</v>
      </c>
      <c r="L1387">
        <v>5</v>
      </c>
      <c r="M1387">
        <v>1</v>
      </c>
      <c r="O1387" s="30"/>
    </row>
    <row r="1388" spans="10:15" x14ac:dyDescent="0.25">
      <c r="J1388" t="s">
        <v>72</v>
      </c>
      <c r="K1388" s="22" t="s">
        <v>31</v>
      </c>
      <c r="L1388">
        <v>1</v>
      </c>
    </row>
    <row r="1389" spans="10:15" x14ac:dyDescent="0.25">
      <c r="J1389" t="s">
        <v>1124</v>
      </c>
      <c r="K1389" s="22" t="s">
        <v>28</v>
      </c>
      <c r="L1389">
        <v>1</v>
      </c>
      <c r="M1389">
        <v>1</v>
      </c>
    </row>
    <row r="1390" spans="10:15" x14ac:dyDescent="0.25">
      <c r="J1390" t="s">
        <v>1387</v>
      </c>
      <c r="K1390" s="22" t="s">
        <v>24</v>
      </c>
      <c r="L1390">
        <v>1</v>
      </c>
      <c r="O1390" s="30"/>
    </row>
    <row r="1391" spans="10:15" x14ac:dyDescent="0.25">
      <c r="J1391" t="s">
        <v>1387</v>
      </c>
      <c r="K1391" s="22" t="s">
        <v>26</v>
      </c>
      <c r="L1391">
        <v>2</v>
      </c>
    </row>
    <row r="1392" spans="10:15" x14ac:dyDescent="0.25">
      <c r="J1392" t="s">
        <v>1387</v>
      </c>
      <c r="K1392" s="22" t="s">
        <v>29</v>
      </c>
      <c r="L1392">
        <v>4</v>
      </c>
      <c r="M1392">
        <v>3</v>
      </c>
      <c r="O1392" s="31"/>
    </row>
    <row r="1393" spans="10:15" x14ac:dyDescent="0.25">
      <c r="J1393" t="s">
        <v>1387</v>
      </c>
      <c r="K1393" s="22" t="s">
        <v>28</v>
      </c>
      <c r="L1393">
        <v>1</v>
      </c>
      <c r="M1393">
        <v>1</v>
      </c>
      <c r="O1393" s="31"/>
    </row>
    <row r="1394" spans="10:15" x14ac:dyDescent="0.25">
      <c r="J1394" t="s">
        <v>1387</v>
      </c>
      <c r="K1394" s="22" t="s">
        <v>31</v>
      </c>
      <c r="L1394">
        <v>1</v>
      </c>
      <c r="O1394" s="30"/>
    </row>
    <row r="1395" spans="10:15" x14ac:dyDescent="0.25">
      <c r="J1395" t="s">
        <v>69</v>
      </c>
      <c r="K1395" s="22" t="s">
        <v>24</v>
      </c>
      <c r="L1395">
        <v>4</v>
      </c>
      <c r="O1395" s="30"/>
    </row>
    <row r="1396" spans="10:15" x14ac:dyDescent="0.25">
      <c r="J1396" t="s">
        <v>69</v>
      </c>
      <c r="K1396" s="22" t="s">
        <v>26</v>
      </c>
      <c r="L1396">
        <v>2</v>
      </c>
      <c r="M1396">
        <v>1</v>
      </c>
      <c r="O1396" s="31"/>
    </row>
    <row r="1397" spans="10:15" x14ac:dyDescent="0.25">
      <c r="J1397" t="s">
        <v>69</v>
      </c>
      <c r="K1397" s="22" t="s">
        <v>29</v>
      </c>
      <c r="L1397">
        <v>2</v>
      </c>
      <c r="M1397">
        <v>1</v>
      </c>
    </row>
    <row r="1398" spans="10:15" x14ac:dyDescent="0.25">
      <c r="J1398" t="s">
        <v>69</v>
      </c>
      <c r="K1398" s="22" t="s">
        <v>28</v>
      </c>
      <c r="L1398">
        <v>2</v>
      </c>
      <c r="O1398" s="30"/>
    </row>
    <row r="1399" spans="10:15" x14ac:dyDescent="0.25">
      <c r="J1399" t="s">
        <v>1538</v>
      </c>
      <c r="K1399" s="22" t="s">
        <v>24</v>
      </c>
      <c r="L1399">
        <v>2</v>
      </c>
      <c r="O1399" s="30"/>
    </row>
    <row r="1400" spans="10:15" x14ac:dyDescent="0.25">
      <c r="J1400" t="s">
        <v>1538</v>
      </c>
      <c r="K1400" s="22" t="s">
        <v>26</v>
      </c>
      <c r="L1400">
        <v>2</v>
      </c>
    </row>
    <row r="1401" spans="10:15" x14ac:dyDescent="0.25">
      <c r="J1401" t="s">
        <v>1538</v>
      </c>
      <c r="K1401" s="22" t="s">
        <v>29</v>
      </c>
      <c r="L1401">
        <v>1</v>
      </c>
      <c r="M1401">
        <v>1</v>
      </c>
    </row>
    <row r="1402" spans="10:15" x14ac:dyDescent="0.25">
      <c r="J1402" t="s">
        <v>1518</v>
      </c>
      <c r="K1402" s="22" t="s">
        <v>26</v>
      </c>
      <c r="L1402">
        <v>2</v>
      </c>
      <c r="M1402">
        <v>1</v>
      </c>
      <c r="O1402" s="30"/>
    </row>
    <row r="1403" spans="10:15" x14ac:dyDescent="0.25">
      <c r="J1403" t="s">
        <v>1518</v>
      </c>
      <c r="K1403" s="22" t="s">
        <v>22</v>
      </c>
      <c r="L1403">
        <v>1</v>
      </c>
    </row>
    <row r="1404" spans="10:15" x14ac:dyDescent="0.25">
      <c r="J1404" t="s">
        <v>1009</v>
      </c>
      <c r="K1404" s="22" t="s">
        <v>35</v>
      </c>
      <c r="L1404">
        <v>3</v>
      </c>
      <c r="M1404">
        <v>3</v>
      </c>
      <c r="O1404" s="31"/>
    </row>
    <row r="1405" spans="10:15" x14ac:dyDescent="0.25">
      <c r="J1405" t="s">
        <v>1009</v>
      </c>
      <c r="K1405" s="22" t="s">
        <v>31</v>
      </c>
      <c r="L1405">
        <v>3</v>
      </c>
    </row>
    <row r="1406" spans="10:15" x14ac:dyDescent="0.25">
      <c r="J1406" t="s">
        <v>630</v>
      </c>
      <c r="K1406" s="22" t="s">
        <v>29</v>
      </c>
      <c r="L1406">
        <v>4</v>
      </c>
      <c r="M1406">
        <v>4</v>
      </c>
      <c r="O1406" s="31"/>
    </row>
    <row r="1407" spans="10:15" x14ac:dyDescent="0.25">
      <c r="J1407" t="s">
        <v>2093</v>
      </c>
      <c r="K1407" s="22" t="s">
        <v>29</v>
      </c>
      <c r="L1407">
        <v>7</v>
      </c>
      <c r="M1407">
        <v>7</v>
      </c>
      <c r="O1407" s="31"/>
    </row>
    <row r="1408" spans="10:15" x14ac:dyDescent="0.25">
      <c r="J1408" t="s">
        <v>1121</v>
      </c>
      <c r="K1408" s="22" t="s">
        <v>29</v>
      </c>
      <c r="L1408">
        <v>5</v>
      </c>
      <c r="M1408">
        <v>5</v>
      </c>
      <c r="O1408" s="31"/>
    </row>
    <row r="1409" spans="10:15" x14ac:dyDescent="0.25">
      <c r="J1409" t="s">
        <v>3508</v>
      </c>
      <c r="K1409" s="22" t="s">
        <v>24</v>
      </c>
      <c r="L1409">
        <v>1</v>
      </c>
      <c r="M1409">
        <v>1</v>
      </c>
      <c r="O1409" s="31"/>
    </row>
    <row r="1410" spans="10:15" x14ac:dyDescent="0.25">
      <c r="J1410" t="s">
        <v>3074</v>
      </c>
      <c r="K1410" s="22" t="s">
        <v>29</v>
      </c>
      <c r="L1410">
        <v>1</v>
      </c>
      <c r="M1410">
        <v>1</v>
      </c>
      <c r="O1410" s="31"/>
    </row>
    <row r="1411" spans="10:15" x14ac:dyDescent="0.25">
      <c r="J1411" t="s">
        <v>1126</v>
      </c>
      <c r="K1411" s="22" t="s">
        <v>29</v>
      </c>
      <c r="L1411">
        <v>2</v>
      </c>
      <c r="M1411">
        <v>2</v>
      </c>
    </row>
    <row r="1412" spans="10:15" x14ac:dyDescent="0.25">
      <c r="J1412" t="s">
        <v>391</v>
      </c>
      <c r="K1412" s="22" t="s">
        <v>24</v>
      </c>
      <c r="L1412">
        <v>7</v>
      </c>
      <c r="M1412">
        <v>2</v>
      </c>
      <c r="O1412" s="30"/>
    </row>
    <row r="1413" spans="10:15" x14ac:dyDescent="0.25">
      <c r="J1413" t="s">
        <v>391</v>
      </c>
      <c r="K1413" s="22" t="s">
        <v>26</v>
      </c>
      <c r="L1413">
        <v>3</v>
      </c>
      <c r="O1413" s="30"/>
    </row>
    <row r="1414" spans="10:15" x14ac:dyDescent="0.25">
      <c r="J1414" t="s">
        <v>391</v>
      </c>
      <c r="K1414" s="22" t="s">
        <v>29</v>
      </c>
      <c r="L1414">
        <v>1</v>
      </c>
    </row>
    <row r="1415" spans="10:15" x14ac:dyDescent="0.25">
      <c r="J1415" t="s">
        <v>391</v>
      </c>
      <c r="K1415" s="22" t="s">
        <v>35</v>
      </c>
      <c r="L1415">
        <v>14</v>
      </c>
      <c r="M1415">
        <v>4</v>
      </c>
      <c r="O1415" s="30"/>
    </row>
    <row r="1416" spans="10:15" x14ac:dyDescent="0.25">
      <c r="J1416" t="s">
        <v>391</v>
      </c>
      <c r="K1416" s="22" t="s">
        <v>22</v>
      </c>
      <c r="L1416">
        <v>8</v>
      </c>
      <c r="M1416">
        <v>2</v>
      </c>
      <c r="O1416" s="30"/>
    </row>
    <row r="1417" spans="10:15" x14ac:dyDescent="0.25">
      <c r="J1417" t="s">
        <v>391</v>
      </c>
      <c r="K1417" s="22" t="s">
        <v>31</v>
      </c>
      <c r="L1417">
        <v>2</v>
      </c>
      <c r="O1417" s="30"/>
    </row>
    <row r="1418" spans="10:15" x14ac:dyDescent="0.25">
      <c r="J1418" t="s">
        <v>1230</v>
      </c>
      <c r="K1418" s="22" t="s">
        <v>26</v>
      </c>
      <c r="L1418">
        <v>4</v>
      </c>
      <c r="M1418">
        <v>3</v>
      </c>
      <c r="O1418" s="30"/>
    </row>
    <row r="1419" spans="10:15" x14ac:dyDescent="0.25">
      <c r="J1419" t="s">
        <v>2456</v>
      </c>
      <c r="K1419" s="22" t="s">
        <v>26</v>
      </c>
      <c r="L1419">
        <v>1</v>
      </c>
    </row>
    <row r="1420" spans="10:15" x14ac:dyDescent="0.25">
      <c r="J1420" t="s">
        <v>2456</v>
      </c>
      <c r="K1420" s="22" t="s">
        <v>29</v>
      </c>
      <c r="L1420">
        <v>1</v>
      </c>
    </row>
    <row r="1421" spans="10:15" x14ac:dyDescent="0.25">
      <c r="J1421" t="s">
        <v>2456</v>
      </c>
      <c r="K1421" s="22" t="s">
        <v>22</v>
      </c>
      <c r="L1421">
        <v>1</v>
      </c>
      <c r="M1421">
        <v>1</v>
      </c>
    </row>
    <row r="1422" spans="10:15" x14ac:dyDescent="0.25">
      <c r="J1422" t="s">
        <v>571</v>
      </c>
      <c r="K1422" s="22" t="s">
        <v>24</v>
      </c>
      <c r="L1422">
        <v>1</v>
      </c>
      <c r="M1422">
        <v>1</v>
      </c>
    </row>
    <row r="1423" spans="10:15" x14ac:dyDescent="0.25">
      <c r="J1423" t="s">
        <v>1079</v>
      </c>
      <c r="K1423" s="22" t="s">
        <v>29</v>
      </c>
      <c r="L1423">
        <v>1</v>
      </c>
      <c r="M1423">
        <v>1</v>
      </c>
    </row>
    <row r="1424" spans="10:15" x14ac:dyDescent="0.25">
      <c r="J1424" t="s">
        <v>398</v>
      </c>
      <c r="K1424" s="22" t="s">
        <v>24</v>
      </c>
      <c r="L1424">
        <v>4</v>
      </c>
      <c r="M1424">
        <v>1</v>
      </c>
      <c r="O1424" s="30"/>
    </row>
    <row r="1425" spans="10:15" x14ac:dyDescent="0.25">
      <c r="J1425" t="s">
        <v>398</v>
      </c>
      <c r="K1425" s="22" t="s">
        <v>26</v>
      </c>
      <c r="L1425">
        <v>5</v>
      </c>
      <c r="O1425" s="30"/>
    </row>
    <row r="1426" spans="10:15" x14ac:dyDescent="0.25">
      <c r="J1426" t="s">
        <v>398</v>
      </c>
      <c r="K1426" s="22" t="s">
        <v>29</v>
      </c>
      <c r="L1426">
        <v>1</v>
      </c>
    </row>
    <row r="1427" spans="10:15" x14ac:dyDescent="0.25">
      <c r="J1427" t="s">
        <v>398</v>
      </c>
      <c r="K1427" s="22" t="s">
        <v>22</v>
      </c>
      <c r="L1427">
        <v>4</v>
      </c>
      <c r="O1427" s="30"/>
    </row>
    <row r="1428" spans="10:15" x14ac:dyDescent="0.25">
      <c r="J1428" t="s">
        <v>49</v>
      </c>
      <c r="K1428" s="22" t="s">
        <v>26</v>
      </c>
      <c r="L1428">
        <v>3</v>
      </c>
      <c r="M1428">
        <v>3</v>
      </c>
      <c r="O1428" s="31"/>
    </row>
    <row r="1429" spans="10:15" x14ac:dyDescent="0.25">
      <c r="J1429" t="s">
        <v>49</v>
      </c>
      <c r="K1429" s="22" t="s">
        <v>35</v>
      </c>
      <c r="L1429">
        <v>2</v>
      </c>
      <c r="M1429">
        <v>1</v>
      </c>
      <c r="O1429" s="31"/>
    </row>
    <row r="1430" spans="10:15" x14ac:dyDescent="0.25">
      <c r="J1430" t="s">
        <v>49</v>
      </c>
      <c r="K1430" s="22" t="s">
        <v>22</v>
      </c>
      <c r="L1430">
        <v>1</v>
      </c>
    </row>
    <row r="1431" spans="10:15" x14ac:dyDescent="0.25">
      <c r="J1431" t="s">
        <v>159</v>
      </c>
      <c r="K1431" s="22" t="s">
        <v>26</v>
      </c>
      <c r="L1431">
        <v>3</v>
      </c>
      <c r="M1431">
        <v>1</v>
      </c>
      <c r="O1431" s="30"/>
    </row>
    <row r="1432" spans="10:15" x14ac:dyDescent="0.25">
      <c r="J1432" t="s">
        <v>159</v>
      </c>
      <c r="K1432" s="22" t="s">
        <v>35</v>
      </c>
      <c r="L1432">
        <v>2</v>
      </c>
      <c r="M1432">
        <v>1</v>
      </c>
    </row>
    <row r="1433" spans="10:15" x14ac:dyDescent="0.25">
      <c r="J1433" t="s">
        <v>159</v>
      </c>
      <c r="K1433" s="22" t="s">
        <v>31</v>
      </c>
      <c r="L1433">
        <v>1</v>
      </c>
      <c r="M1433">
        <v>1</v>
      </c>
    </row>
    <row r="1434" spans="10:15" x14ac:dyDescent="0.25">
      <c r="J1434" t="s">
        <v>1588</v>
      </c>
      <c r="K1434" s="22" t="s">
        <v>26</v>
      </c>
      <c r="L1434">
        <v>3</v>
      </c>
      <c r="O1434" s="30"/>
    </row>
    <row r="1435" spans="10:15" x14ac:dyDescent="0.25">
      <c r="J1435" t="s">
        <v>1588</v>
      </c>
      <c r="K1435" s="22" t="s">
        <v>28</v>
      </c>
      <c r="L1435">
        <v>2</v>
      </c>
      <c r="M1435">
        <v>2</v>
      </c>
      <c r="O1435" s="31"/>
    </row>
    <row r="1436" spans="10:15" x14ac:dyDescent="0.25">
      <c r="J1436" t="s">
        <v>1957</v>
      </c>
      <c r="K1436" s="22" t="s">
        <v>24</v>
      </c>
      <c r="L1436">
        <v>2</v>
      </c>
      <c r="M1436">
        <v>1</v>
      </c>
    </row>
    <row r="1437" spans="10:15" x14ac:dyDescent="0.25">
      <c r="J1437" t="s">
        <v>1957</v>
      </c>
      <c r="K1437" s="22" t="s">
        <v>31</v>
      </c>
      <c r="L1437">
        <v>2</v>
      </c>
      <c r="M1437">
        <v>2</v>
      </c>
      <c r="O1437" s="31"/>
    </row>
    <row r="1438" spans="10:15" x14ac:dyDescent="0.25">
      <c r="J1438" t="s">
        <v>2035</v>
      </c>
      <c r="K1438" s="22" t="s">
        <v>26</v>
      </c>
      <c r="L1438">
        <v>2</v>
      </c>
      <c r="M1438">
        <v>1</v>
      </c>
      <c r="O1438" s="30"/>
    </row>
    <row r="1439" spans="10:15" x14ac:dyDescent="0.25">
      <c r="J1439" t="s">
        <v>173</v>
      </c>
      <c r="K1439" s="22" t="s">
        <v>24</v>
      </c>
      <c r="L1439">
        <v>1</v>
      </c>
    </row>
    <row r="1440" spans="10:15" x14ac:dyDescent="0.25">
      <c r="J1440" t="s">
        <v>173</v>
      </c>
      <c r="K1440" s="22" t="s">
        <v>28</v>
      </c>
      <c r="L1440">
        <v>1</v>
      </c>
      <c r="M1440">
        <v>1</v>
      </c>
    </row>
    <row r="1441" spans="10:15" x14ac:dyDescent="0.25">
      <c r="J1441" t="s">
        <v>2064</v>
      </c>
      <c r="K1441" s="22" t="s">
        <v>28</v>
      </c>
      <c r="L1441">
        <v>1</v>
      </c>
      <c r="M1441">
        <v>1</v>
      </c>
    </row>
    <row r="1442" spans="10:15" x14ac:dyDescent="0.25">
      <c r="J1442" t="s">
        <v>2731</v>
      </c>
      <c r="K1442" s="22" t="s">
        <v>28</v>
      </c>
      <c r="L1442">
        <v>1</v>
      </c>
      <c r="M1442">
        <v>1</v>
      </c>
    </row>
    <row r="1443" spans="10:15" x14ac:dyDescent="0.25">
      <c r="J1443" t="s">
        <v>1675</v>
      </c>
      <c r="K1443" s="22" t="s">
        <v>22</v>
      </c>
      <c r="L1443">
        <v>1</v>
      </c>
    </row>
    <row r="1444" spans="10:15" x14ac:dyDescent="0.25">
      <c r="J1444" t="s">
        <v>1675</v>
      </c>
      <c r="K1444" s="22" t="s">
        <v>31</v>
      </c>
      <c r="L1444">
        <v>3</v>
      </c>
      <c r="M1444">
        <v>3</v>
      </c>
      <c r="O1444" s="31"/>
    </row>
    <row r="1445" spans="10:15" x14ac:dyDescent="0.25">
      <c r="J1445" t="s">
        <v>2548</v>
      </c>
      <c r="K1445" s="22" t="s">
        <v>24</v>
      </c>
      <c r="L1445">
        <v>1</v>
      </c>
      <c r="M1445">
        <v>1</v>
      </c>
    </row>
    <row r="1446" spans="10:15" x14ac:dyDescent="0.25">
      <c r="J1446" t="s">
        <v>2928</v>
      </c>
      <c r="K1446" s="22" t="s">
        <v>24</v>
      </c>
      <c r="L1446">
        <v>2</v>
      </c>
      <c r="M1446">
        <v>2</v>
      </c>
      <c r="O1446" s="31"/>
    </row>
    <row r="1447" spans="10:15" x14ac:dyDescent="0.25">
      <c r="J1447" t="s">
        <v>1331</v>
      </c>
      <c r="K1447" s="22" t="s">
        <v>24</v>
      </c>
      <c r="L1447">
        <v>1</v>
      </c>
      <c r="M1447">
        <v>1</v>
      </c>
    </row>
    <row r="1448" spans="10:15" x14ac:dyDescent="0.25">
      <c r="J1448" t="s">
        <v>998</v>
      </c>
      <c r="K1448" s="22" t="s">
        <v>24</v>
      </c>
      <c r="L1448">
        <v>1</v>
      </c>
      <c r="M1448">
        <v>1</v>
      </c>
      <c r="O1448" s="31"/>
    </row>
    <row r="1449" spans="10:15" x14ac:dyDescent="0.25">
      <c r="J1449" t="s">
        <v>998</v>
      </c>
      <c r="K1449" s="22" t="s">
        <v>26</v>
      </c>
      <c r="L1449">
        <v>1</v>
      </c>
    </row>
    <row r="1450" spans="10:15" x14ac:dyDescent="0.25">
      <c r="J1450" t="s">
        <v>998</v>
      </c>
      <c r="K1450" s="22" t="s">
        <v>22</v>
      </c>
      <c r="L1450">
        <v>1</v>
      </c>
    </row>
    <row r="1451" spans="10:15" x14ac:dyDescent="0.25">
      <c r="J1451" t="s">
        <v>2824</v>
      </c>
      <c r="K1451" s="22" t="s">
        <v>22</v>
      </c>
      <c r="L1451">
        <v>2</v>
      </c>
      <c r="M1451">
        <v>2</v>
      </c>
    </row>
    <row r="1452" spans="10:15" x14ac:dyDescent="0.25">
      <c r="J1452" t="s">
        <v>2350</v>
      </c>
      <c r="K1452" s="22" t="s">
        <v>24</v>
      </c>
      <c r="L1452">
        <v>2</v>
      </c>
      <c r="M1452">
        <v>1</v>
      </c>
      <c r="O1452" s="30"/>
    </row>
    <row r="1453" spans="10:15" x14ac:dyDescent="0.25">
      <c r="J1453" t="s">
        <v>457</v>
      </c>
      <c r="K1453" s="22" t="s">
        <v>24</v>
      </c>
      <c r="L1453">
        <v>2</v>
      </c>
      <c r="M1453">
        <v>2</v>
      </c>
    </row>
    <row r="1454" spans="10:15" x14ac:dyDescent="0.25">
      <c r="J1454" t="s">
        <v>195</v>
      </c>
      <c r="K1454" s="22" t="s">
        <v>24</v>
      </c>
      <c r="L1454">
        <v>5</v>
      </c>
      <c r="M1454">
        <v>3</v>
      </c>
      <c r="O1454" s="30"/>
    </row>
    <row r="1455" spans="10:15" x14ac:dyDescent="0.25">
      <c r="J1455" t="s">
        <v>195</v>
      </c>
      <c r="K1455" s="22" t="s">
        <v>26</v>
      </c>
      <c r="L1455">
        <v>2</v>
      </c>
      <c r="O1455" s="30"/>
    </row>
    <row r="1456" spans="10:15" x14ac:dyDescent="0.25">
      <c r="J1456" t="s">
        <v>195</v>
      </c>
      <c r="K1456" s="22" t="s">
        <v>28</v>
      </c>
      <c r="L1456">
        <v>4</v>
      </c>
      <c r="O1456" s="30"/>
    </row>
    <row r="1457" spans="10:15" x14ac:dyDescent="0.25">
      <c r="J1457" t="s">
        <v>195</v>
      </c>
      <c r="K1457" s="22" t="s">
        <v>35</v>
      </c>
      <c r="L1457">
        <v>3</v>
      </c>
      <c r="M1457">
        <v>3</v>
      </c>
      <c r="O1457" s="31"/>
    </row>
    <row r="1458" spans="10:15" x14ac:dyDescent="0.25">
      <c r="J1458" t="s">
        <v>195</v>
      </c>
      <c r="K1458" s="22" t="s">
        <v>22</v>
      </c>
      <c r="L1458">
        <v>1</v>
      </c>
      <c r="O1458" s="30"/>
    </row>
    <row r="1459" spans="10:15" x14ac:dyDescent="0.25">
      <c r="J1459" t="s">
        <v>195</v>
      </c>
      <c r="K1459" s="22" t="s">
        <v>31</v>
      </c>
      <c r="L1459">
        <v>5</v>
      </c>
      <c r="M1459">
        <v>3</v>
      </c>
      <c r="O1459" s="30"/>
    </row>
    <row r="1460" spans="10:15" x14ac:dyDescent="0.25">
      <c r="J1460" t="s">
        <v>717</v>
      </c>
      <c r="K1460" s="22" t="s">
        <v>26</v>
      </c>
      <c r="L1460">
        <v>3</v>
      </c>
      <c r="M1460">
        <v>2</v>
      </c>
      <c r="O1460" s="31"/>
    </row>
    <row r="1461" spans="10:15" x14ac:dyDescent="0.25">
      <c r="J1461" t="s">
        <v>717</v>
      </c>
      <c r="K1461" s="22" t="s">
        <v>28</v>
      </c>
      <c r="L1461">
        <v>2</v>
      </c>
      <c r="O1461" s="30"/>
    </row>
    <row r="1462" spans="10:15" x14ac:dyDescent="0.25">
      <c r="J1462" t="s">
        <v>717</v>
      </c>
      <c r="K1462" s="22" t="s">
        <v>35</v>
      </c>
      <c r="L1462">
        <v>6</v>
      </c>
      <c r="M1462">
        <v>6</v>
      </c>
      <c r="O1462" s="31"/>
    </row>
    <row r="1463" spans="10:15" x14ac:dyDescent="0.25">
      <c r="J1463" t="s">
        <v>3115</v>
      </c>
      <c r="K1463" s="22" t="s">
        <v>35</v>
      </c>
      <c r="L1463">
        <v>2</v>
      </c>
      <c r="M1463">
        <v>1</v>
      </c>
      <c r="O1463" s="30"/>
    </row>
    <row r="1464" spans="10:15" x14ac:dyDescent="0.25">
      <c r="J1464" t="s">
        <v>2715</v>
      </c>
      <c r="K1464" s="22" t="s">
        <v>24</v>
      </c>
      <c r="L1464">
        <v>2</v>
      </c>
      <c r="O1464" s="30"/>
    </row>
    <row r="1465" spans="10:15" x14ac:dyDescent="0.25">
      <c r="J1465" t="s">
        <v>2715</v>
      </c>
      <c r="K1465" s="22" t="s">
        <v>26</v>
      </c>
      <c r="L1465">
        <v>2</v>
      </c>
      <c r="O1465" s="30"/>
    </row>
    <row r="1466" spans="10:15" x14ac:dyDescent="0.25">
      <c r="J1466" t="s">
        <v>2715</v>
      </c>
      <c r="K1466" s="22" t="s">
        <v>28</v>
      </c>
      <c r="L1466">
        <v>2</v>
      </c>
      <c r="O1466" s="30"/>
    </row>
    <row r="1467" spans="10:15" x14ac:dyDescent="0.25">
      <c r="J1467" t="s">
        <v>2715</v>
      </c>
      <c r="K1467" s="22" t="s">
        <v>35</v>
      </c>
      <c r="L1467">
        <v>3</v>
      </c>
      <c r="O1467" s="30"/>
    </row>
    <row r="1468" spans="10:15" x14ac:dyDescent="0.25">
      <c r="J1468" t="s">
        <v>3328</v>
      </c>
      <c r="K1468" s="22" t="s">
        <v>31</v>
      </c>
      <c r="L1468">
        <v>1</v>
      </c>
      <c r="M1468">
        <v>1</v>
      </c>
      <c r="O1468" s="31"/>
    </row>
    <row r="1469" spans="10:15" x14ac:dyDescent="0.25">
      <c r="J1469" t="s">
        <v>2298</v>
      </c>
      <c r="K1469" s="22" t="s">
        <v>24</v>
      </c>
      <c r="L1469">
        <v>2</v>
      </c>
      <c r="M1469">
        <v>2</v>
      </c>
      <c r="O1469" s="31"/>
    </row>
    <row r="1470" spans="10:15" x14ac:dyDescent="0.25">
      <c r="J1470" t="s">
        <v>2298</v>
      </c>
      <c r="K1470" s="22" t="s">
        <v>26</v>
      </c>
      <c r="L1470">
        <v>1</v>
      </c>
    </row>
    <row r="1471" spans="10:15" x14ac:dyDescent="0.25">
      <c r="J1471" t="s">
        <v>2298</v>
      </c>
      <c r="K1471" s="22" t="s">
        <v>28</v>
      </c>
      <c r="L1471">
        <v>2</v>
      </c>
      <c r="O1471" s="30"/>
    </row>
    <row r="1472" spans="10:15" x14ac:dyDescent="0.25">
      <c r="J1472" t="s">
        <v>2526</v>
      </c>
      <c r="K1472" s="22" t="s">
        <v>24</v>
      </c>
      <c r="L1472">
        <v>1</v>
      </c>
      <c r="M1472">
        <v>1</v>
      </c>
      <c r="O1472" s="31"/>
    </row>
    <row r="1473" spans="10:15" x14ac:dyDescent="0.25">
      <c r="J1473" t="s">
        <v>2526</v>
      </c>
      <c r="K1473" s="22" t="s">
        <v>28</v>
      </c>
      <c r="L1473">
        <v>1</v>
      </c>
      <c r="O1473" s="30"/>
    </row>
    <row r="1474" spans="10:15" x14ac:dyDescent="0.25">
      <c r="J1474" t="s">
        <v>2526</v>
      </c>
      <c r="K1474" s="22" t="s">
        <v>31</v>
      </c>
      <c r="L1474">
        <v>2</v>
      </c>
      <c r="M1474">
        <v>1</v>
      </c>
      <c r="O1474" s="30"/>
    </row>
    <row r="1475" spans="10:15" x14ac:dyDescent="0.25">
      <c r="J1475" t="s">
        <v>1496</v>
      </c>
      <c r="K1475" s="22" t="s">
        <v>24</v>
      </c>
      <c r="L1475">
        <v>3</v>
      </c>
      <c r="M1475">
        <v>3</v>
      </c>
      <c r="O1475" s="31"/>
    </row>
    <row r="1476" spans="10:15" x14ac:dyDescent="0.25">
      <c r="J1476" t="s">
        <v>814</v>
      </c>
      <c r="K1476" s="22" t="s">
        <v>35</v>
      </c>
      <c r="L1476">
        <v>3</v>
      </c>
      <c r="M1476">
        <v>2</v>
      </c>
      <c r="O1476" s="30"/>
    </row>
    <row r="1477" spans="10:15" x14ac:dyDescent="0.25">
      <c r="J1477" t="s">
        <v>814</v>
      </c>
      <c r="K1477" s="22" t="s">
        <v>22</v>
      </c>
      <c r="L1477">
        <v>2</v>
      </c>
      <c r="O1477" s="30"/>
    </row>
    <row r="1478" spans="10:15" x14ac:dyDescent="0.25">
      <c r="J1478" t="s">
        <v>3362</v>
      </c>
      <c r="K1478" s="22" t="s">
        <v>35</v>
      </c>
      <c r="L1478">
        <v>1</v>
      </c>
      <c r="O1478" s="30"/>
    </row>
    <row r="1479" spans="10:15" x14ac:dyDescent="0.25">
      <c r="J1479" t="s">
        <v>3487</v>
      </c>
      <c r="K1479" s="22" t="s">
        <v>24</v>
      </c>
      <c r="L1479">
        <v>1</v>
      </c>
      <c r="O1479" s="30"/>
    </row>
    <row r="1480" spans="10:15" x14ac:dyDescent="0.25">
      <c r="J1480" t="s">
        <v>3251</v>
      </c>
      <c r="K1480" s="22" t="s">
        <v>31</v>
      </c>
      <c r="L1480">
        <v>1</v>
      </c>
      <c r="O1480" s="30"/>
    </row>
    <row r="1481" spans="10:15" x14ac:dyDescent="0.25">
      <c r="J1481" t="s">
        <v>884</v>
      </c>
      <c r="K1481" s="22" t="s">
        <v>24</v>
      </c>
      <c r="L1481">
        <v>1</v>
      </c>
    </row>
    <row r="1482" spans="10:15" x14ac:dyDescent="0.25">
      <c r="J1482" t="s">
        <v>884</v>
      </c>
      <c r="K1482" s="22" t="s">
        <v>26</v>
      </c>
      <c r="L1482">
        <v>1</v>
      </c>
    </row>
    <row r="1483" spans="10:15" x14ac:dyDescent="0.25">
      <c r="J1483" t="s">
        <v>884</v>
      </c>
      <c r="K1483" s="22" t="s">
        <v>35</v>
      </c>
      <c r="L1483">
        <v>1</v>
      </c>
    </row>
    <row r="1484" spans="10:15" x14ac:dyDescent="0.25">
      <c r="J1484" t="s">
        <v>2431</v>
      </c>
      <c r="K1484" s="22" t="s">
        <v>24</v>
      </c>
      <c r="L1484">
        <v>3</v>
      </c>
      <c r="M1484">
        <v>3</v>
      </c>
      <c r="O1484" s="31"/>
    </row>
    <row r="1485" spans="10:15" x14ac:dyDescent="0.25">
      <c r="J1485" t="s">
        <v>2123</v>
      </c>
      <c r="K1485" s="22" t="s">
        <v>24</v>
      </c>
      <c r="L1485">
        <v>1</v>
      </c>
      <c r="M1485">
        <v>1</v>
      </c>
    </row>
    <row r="1486" spans="10:15" x14ac:dyDescent="0.25">
      <c r="J1486" t="s">
        <v>2123</v>
      </c>
      <c r="K1486" s="22" t="s">
        <v>26</v>
      </c>
      <c r="L1486">
        <v>1</v>
      </c>
    </row>
    <row r="1487" spans="10:15" x14ac:dyDescent="0.25">
      <c r="J1487" t="s">
        <v>302</v>
      </c>
      <c r="K1487" s="22" t="s">
        <v>35</v>
      </c>
      <c r="L1487">
        <v>2</v>
      </c>
      <c r="M1487">
        <v>2</v>
      </c>
    </row>
    <row r="1488" spans="10:15" x14ac:dyDescent="0.25">
      <c r="J1488" t="s">
        <v>312</v>
      </c>
      <c r="K1488" s="22" t="s">
        <v>24</v>
      </c>
      <c r="L1488">
        <v>2</v>
      </c>
      <c r="M1488">
        <v>1</v>
      </c>
      <c r="O1488" s="31"/>
    </row>
    <row r="1489" spans="10:15" x14ac:dyDescent="0.25">
      <c r="J1489" t="s">
        <v>312</v>
      </c>
      <c r="K1489" s="22" t="s">
        <v>35</v>
      </c>
      <c r="L1489">
        <v>2</v>
      </c>
      <c r="M1489">
        <v>1</v>
      </c>
      <c r="O1489" s="31"/>
    </row>
    <row r="1490" spans="10:15" x14ac:dyDescent="0.25">
      <c r="J1490" t="s">
        <v>312</v>
      </c>
      <c r="K1490" s="22" t="s">
        <v>31</v>
      </c>
      <c r="L1490">
        <v>3</v>
      </c>
      <c r="M1490">
        <v>2</v>
      </c>
      <c r="O1490" s="30"/>
    </row>
    <row r="1491" spans="10:15" x14ac:dyDescent="0.25">
      <c r="J1491" t="s">
        <v>2963</v>
      </c>
      <c r="K1491" s="22" t="s">
        <v>35</v>
      </c>
      <c r="L1491">
        <v>1</v>
      </c>
      <c r="M1491">
        <v>1</v>
      </c>
    </row>
    <row r="1492" spans="10:15" x14ac:dyDescent="0.25">
      <c r="J1492" t="s">
        <v>561</v>
      </c>
      <c r="K1492" s="22" t="s">
        <v>24</v>
      </c>
      <c r="L1492">
        <v>4</v>
      </c>
      <c r="M1492">
        <v>4</v>
      </c>
      <c r="O1492" s="31"/>
    </row>
    <row r="1493" spans="10:15" x14ac:dyDescent="0.25">
      <c r="J1493" t="s">
        <v>2773</v>
      </c>
      <c r="K1493" s="22" t="s">
        <v>22</v>
      </c>
      <c r="L1493">
        <v>1</v>
      </c>
      <c r="M1493">
        <v>1</v>
      </c>
    </row>
    <row r="1494" spans="10:15" x14ac:dyDescent="0.25">
      <c r="J1494" t="s">
        <v>2255</v>
      </c>
      <c r="K1494" s="22" t="s">
        <v>24</v>
      </c>
      <c r="L1494">
        <v>2</v>
      </c>
      <c r="M1494">
        <v>2</v>
      </c>
    </row>
    <row r="1495" spans="10:15" x14ac:dyDescent="0.25">
      <c r="J1495" t="s">
        <v>1424</v>
      </c>
      <c r="K1495" s="22" t="s">
        <v>24</v>
      </c>
      <c r="L1495">
        <v>8</v>
      </c>
      <c r="M1495">
        <v>7</v>
      </c>
      <c r="O1495" s="31"/>
    </row>
    <row r="1496" spans="10:15" x14ac:dyDescent="0.25">
      <c r="J1496" t="s">
        <v>1424</v>
      </c>
      <c r="K1496" s="22" t="s">
        <v>28</v>
      </c>
      <c r="L1496">
        <v>5</v>
      </c>
      <c r="M1496">
        <v>1</v>
      </c>
      <c r="O1496" s="31"/>
    </row>
    <row r="1497" spans="10:15" x14ac:dyDescent="0.25">
      <c r="J1497" t="s">
        <v>1424</v>
      </c>
      <c r="K1497" s="22" t="s">
        <v>35</v>
      </c>
      <c r="L1497">
        <v>3</v>
      </c>
      <c r="M1497">
        <v>3</v>
      </c>
      <c r="O1497" s="31"/>
    </row>
    <row r="1498" spans="10:15" x14ac:dyDescent="0.25">
      <c r="J1498" t="s">
        <v>1424</v>
      </c>
      <c r="K1498" s="22" t="s">
        <v>22</v>
      </c>
      <c r="L1498">
        <v>5</v>
      </c>
      <c r="M1498">
        <v>3</v>
      </c>
      <c r="O1498" s="31"/>
    </row>
    <row r="1499" spans="10:15" x14ac:dyDescent="0.25">
      <c r="J1499" t="s">
        <v>1755</v>
      </c>
      <c r="K1499" s="22" t="s">
        <v>24</v>
      </c>
      <c r="L1499">
        <v>2</v>
      </c>
      <c r="M1499">
        <v>1</v>
      </c>
    </row>
    <row r="1500" spans="10:15" x14ac:dyDescent="0.25">
      <c r="J1500" t="s">
        <v>1755</v>
      </c>
      <c r="K1500" s="22" t="s">
        <v>29</v>
      </c>
      <c r="L1500">
        <v>6</v>
      </c>
      <c r="M1500">
        <v>1</v>
      </c>
      <c r="O1500" s="30"/>
    </row>
    <row r="1501" spans="10:15" x14ac:dyDescent="0.25">
      <c r="J1501" t="s">
        <v>1755</v>
      </c>
      <c r="K1501" s="22" t="s">
        <v>28</v>
      </c>
      <c r="L1501">
        <v>2</v>
      </c>
      <c r="M1501">
        <v>1</v>
      </c>
      <c r="O1501" s="30"/>
    </row>
    <row r="1502" spans="10:15" x14ac:dyDescent="0.25">
      <c r="J1502" t="s">
        <v>256</v>
      </c>
      <c r="K1502" s="22" t="s">
        <v>24</v>
      </c>
      <c r="L1502">
        <v>3</v>
      </c>
      <c r="M1502">
        <v>3</v>
      </c>
      <c r="O1502" s="31"/>
    </row>
    <row r="1503" spans="10:15" x14ac:dyDescent="0.25">
      <c r="J1503" t="s">
        <v>82</v>
      </c>
      <c r="K1503" s="22" t="s">
        <v>24</v>
      </c>
      <c r="L1503">
        <v>3</v>
      </c>
      <c r="M1503">
        <v>2</v>
      </c>
      <c r="O1503" s="30"/>
    </row>
    <row r="1504" spans="10:15" x14ac:dyDescent="0.25">
      <c r="J1504" t="s">
        <v>82</v>
      </c>
      <c r="K1504" s="22" t="s">
        <v>29</v>
      </c>
      <c r="L1504">
        <v>2</v>
      </c>
      <c r="M1504">
        <v>1</v>
      </c>
      <c r="O1504" s="30"/>
    </row>
    <row r="1505" spans="10:15" x14ac:dyDescent="0.25">
      <c r="J1505" t="s">
        <v>82</v>
      </c>
      <c r="K1505" s="22" t="s">
        <v>28</v>
      </c>
      <c r="L1505">
        <v>2</v>
      </c>
      <c r="M1505">
        <v>1</v>
      </c>
    </row>
    <row r="1506" spans="10:15" x14ac:dyDescent="0.25">
      <c r="J1506" t="s">
        <v>82</v>
      </c>
      <c r="K1506" s="22" t="s">
        <v>22</v>
      </c>
      <c r="L1506">
        <v>1</v>
      </c>
      <c r="M1506">
        <v>1</v>
      </c>
      <c r="O1506" s="31"/>
    </row>
    <row r="1507" spans="10:15" x14ac:dyDescent="0.25">
      <c r="J1507" t="s">
        <v>82</v>
      </c>
      <c r="K1507" s="22" t="s">
        <v>31</v>
      </c>
      <c r="L1507">
        <v>5</v>
      </c>
      <c r="M1507">
        <v>4</v>
      </c>
      <c r="O1507" s="31"/>
    </row>
    <row r="1508" spans="10:15" x14ac:dyDescent="0.25">
      <c r="J1508" t="s">
        <v>591</v>
      </c>
      <c r="K1508" s="22" t="s">
        <v>28</v>
      </c>
      <c r="L1508">
        <v>3</v>
      </c>
      <c r="M1508">
        <v>2</v>
      </c>
      <c r="O1508" s="31"/>
    </row>
    <row r="1509" spans="10:15" x14ac:dyDescent="0.25">
      <c r="J1509" t="s">
        <v>591</v>
      </c>
      <c r="K1509" s="22" t="s">
        <v>22</v>
      </c>
      <c r="L1509">
        <v>4</v>
      </c>
      <c r="M1509">
        <v>4</v>
      </c>
      <c r="O1509" s="31"/>
    </row>
    <row r="1510" spans="10:15" x14ac:dyDescent="0.25">
      <c r="J1510" t="s">
        <v>1253</v>
      </c>
      <c r="K1510" s="22" t="s">
        <v>24</v>
      </c>
      <c r="L1510">
        <v>3</v>
      </c>
      <c r="M1510">
        <v>1</v>
      </c>
      <c r="O1510" s="30"/>
    </row>
    <row r="1511" spans="10:15" x14ac:dyDescent="0.25">
      <c r="J1511" t="s">
        <v>1253</v>
      </c>
      <c r="K1511" s="22" t="s">
        <v>26</v>
      </c>
      <c r="L1511">
        <v>1</v>
      </c>
      <c r="M1511">
        <v>1</v>
      </c>
      <c r="O1511" s="31"/>
    </row>
    <row r="1512" spans="10:15" x14ac:dyDescent="0.25">
      <c r="J1512" t="s">
        <v>1253</v>
      </c>
      <c r="K1512" s="22" t="s">
        <v>29</v>
      </c>
      <c r="L1512">
        <v>4</v>
      </c>
      <c r="M1512">
        <v>3</v>
      </c>
    </row>
    <row r="1513" spans="10:15" x14ac:dyDescent="0.25">
      <c r="J1513" t="s">
        <v>328</v>
      </c>
      <c r="K1513" s="22" t="s">
        <v>24</v>
      </c>
      <c r="L1513">
        <v>1</v>
      </c>
    </row>
    <row r="1514" spans="10:15" x14ac:dyDescent="0.25">
      <c r="J1514" t="s">
        <v>328</v>
      </c>
      <c r="K1514" s="22" t="s">
        <v>26</v>
      </c>
      <c r="L1514">
        <v>1</v>
      </c>
    </row>
    <row r="1515" spans="10:15" x14ac:dyDescent="0.25">
      <c r="J1515" t="s">
        <v>328</v>
      </c>
      <c r="K1515" s="22" t="s">
        <v>29</v>
      </c>
      <c r="L1515">
        <v>2</v>
      </c>
      <c r="M1515">
        <v>1</v>
      </c>
      <c r="O1515" s="31"/>
    </row>
    <row r="1516" spans="10:15" x14ac:dyDescent="0.25">
      <c r="J1516" t="s">
        <v>328</v>
      </c>
      <c r="K1516" s="22" t="s">
        <v>35</v>
      </c>
      <c r="L1516">
        <v>2</v>
      </c>
      <c r="M1516">
        <v>1</v>
      </c>
      <c r="O1516" s="31"/>
    </row>
    <row r="1517" spans="10:15" x14ac:dyDescent="0.25">
      <c r="J1517" t="s">
        <v>328</v>
      </c>
      <c r="K1517" s="22" t="s">
        <v>22</v>
      </c>
      <c r="L1517">
        <v>1</v>
      </c>
    </row>
    <row r="1518" spans="10:15" x14ac:dyDescent="0.25">
      <c r="J1518" t="s">
        <v>328</v>
      </c>
      <c r="K1518" s="22" t="s">
        <v>31</v>
      </c>
      <c r="L1518">
        <v>4</v>
      </c>
      <c r="O1518" s="30"/>
    </row>
    <row r="1519" spans="10:15" x14ac:dyDescent="0.25">
      <c r="J1519" t="s">
        <v>3193</v>
      </c>
      <c r="K1519" s="22" t="s">
        <v>26</v>
      </c>
      <c r="L1519">
        <v>1</v>
      </c>
      <c r="O1519" s="30"/>
    </row>
    <row r="1520" spans="10:15" x14ac:dyDescent="0.25">
      <c r="J1520" t="s">
        <v>3193</v>
      </c>
      <c r="K1520" s="22" t="s">
        <v>29</v>
      </c>
      <c r="L1520">
        <v>1</v>
      </c>
      <c r="O1520" s="30"/>
    </row>
    <row r="1521" spans="10:15" x14ac:dyDescent="0.25">
      <c r="J1521" t="s">
        <v>3193</v>
      </c>
      <c r="K1521" s="22" t="s">
        <v>22</v>
      </c>
      <c r="L1521">
        <v>1</v>
      </c>
      <c r="O1521" s="30"/>
    </row>
    <row r="1522" spans="10:15" x14ac:dyDescent="0.25">
      <c r="J1522" t="s">
        <v>3048</v>
      </c>
      <c r="K1522" s="22" t="s">
        <v>24</v>
      </c>
      <c r="L1522">
        <v>2</v>
      </c>
      <c r="M1522">
        <v>2</v>
      </c>
      <c r="O1522" s="31"/>
    </row>
    <row r="1523" spans="10:15" x14ac:dyDescent="0.25">
      <c r="J1523" t="s">
        <v>2442</v>
      </c>
      <c r="K1523" s="22" t="s">
        <v>26</v>
      </c>
      <c r="L1523">
        <v>1</v>
      </c>
    </row>
    <row r="1524" spans="10:15" x14ac:dyDescent="0.25">
      <c r="J1524" t="s">
        <v>2442</v>
      </c>
      <c r="K1524" s="22" t="s">
        <v>29</v>
      </c>
      <c r="L1524">
        <v>1</v>
      </c>
      <c r="M1524">
        <v>1</v>
      </c>
      <c r="O1524" s="31"/>
    </row>
    <row r="1525" spans="10:15" x14ac:dyDescent="0.25">
      <c r="J1525" t="s">
        <v>2442</v>
      </c>
      <c r="K1525" s="22" t="s">
        <v>35</v>
      </c>
      <c r="L1525">
        <v>1</v>
      </c>
    </row>
    <row r="1526" spans="10:15" x14ac:dyDescent="0.25">
      <c r="J1526" t="s">
        <v>1807</v>
      </c>
      <c r="K1526" s="22" t="s">
        <v>31</v>
      </c>
      <c r="L1526">
        <v>1</v>
      </c>
      <c r="M1526">
        <v>1</v>
      </c>
    </row>
    <row r="1527" spans="10:15" x14ac:dyDescent="0.25">
      <c r="J1527" t="s">
        <v>3024</v>
      </c>
      <c r="K1527" s="22" t="s">
        <v>22</v>
      </c>
      <c r="L1527">
        <v>1</v>
      </c>
    </row>
    <row r="1528" spans="10:15" x14ac:dyDescent="0.25">
      <c r="J1528" t="s">
        <v>2048</v>
      </c>
      <c r="K1528" s="22" t="s">
        <v>26</v>
      </c>
      <c r="L1528">
        <v>1</v>
      </c>
      <c r="M1528">
        <v>1</v>
      </c>
    </row>
    <row r="1529" spans="10:15" x14ac:dyDescent="0.25">
      <c r="J1529" t="s">
        <v>846</v>
      </c>
      <c r="K1529" s="22" t="s">
        <v>24</v>
      </c>
      <c r="L1529">
        <v>4</v>
      </c>
      <c r="M1529">
        <v>1</v>
      </c>
      <c r="O1529" s="30"/>
    </row>
    <row r="1530" spans="10:15" x14ac:dyDescent="0.25">
      <c r="J1530" t="s">
        <v>846</v>
      </c>
      <c r="K1530" s="22" t="s">
        <v>26</v>
      </c>
      <c r="L1530">
        <v>2</v>
      </c>
      <c r="O1530" s="30"/>
    </row>
    <row r="1531" spans="10:15" x14ac:dyDescent="0.25">
      <c r="J1531" t="s">
        <v>846</v>
      </c>
      <c r="K1531" s="22" t="s">
        <v>29</v>
      </c>
      <c r="L1531">
        <v>2</v>
      </c>
    </row>
    <row r="1532" spans="10:15" x14ac:dyDescent="0.25">
      <c r="J1532" t="s">
        <v>846</v>
      </c>
      <c r="K1532" s="22" t="s">
        <v>22</v>
      </c>
      <c r="L1532">
        <v>2</v>
      </c>
    </row>
    <row r="1533" spans="10:15" x14ac:dyDescent="0.25">
      <c r="J1533" t="s">
        <v>1296</v>
      </c>
      <c r="K1533" s="22" t="s">
        <v>24</v>
      </c>
      <c r="L1533">
        <v>1</v>
      </c>
      <c r="M1533">
        <v>1</v>
      </c>
    </row>
    <row r="1534" spans="10:15" x14ac:dyDescent="0.25">
      <c r="J1534" t="s">
        <v>1296</v>
      </c>
      <c r="K1534" s="22" t="s">
        <v>26</v>
      </c>
      <c r="L1534">
        <v>1</v>
      </c>
    </row>
    <row r="1535" spans="10:15" x14ac:dyDescent="0.25">
      <c r="J1535" t="s">
        <v>1296</v>
      </c>
      <c r="K1535" s="22" t="s">
        <v>29</v>
      </c>
      <c r="L1535">
        <v>1</v>
      </c>
    </row>
    <row r="1536" spans="10:15" x14ac:dyDescent="0.25">
      <c r="J1536" t="s">
        <v>3060</v>
      </c>
      <c r="K1536" s="22" t="s">
        <v>24</v>
      </c>
      <c r="L1536">
        <v>2</v>
      </c>
      <c r="O1536" s="30"/>
    </row>
    <row r="1537" spans="10:15" x14ac:dyDescent="0.25">
      <c r="J1537" t="s">
        <v>3060</v>
      </c>
      <c r="K1537" s="22" t="s">
        <v>29</v>
      </c>
      <c r="L1537">
        <v>1</v>
      </c>
      <c r="M1537">
        <v>1</v>
      </c>
      <c r="O1537" s="31"/>
    </row>
    <row r="1538" spans="10:15" x14ac:dyDescent="0.25">
      <c r="J1538" t="s">
        <v>1407</v>
      </c>
      <c r="K1538" s="22" t="s">
        <v>22</v>
      </c>
      <c r="L1538">
        <v>6</v>
      </c>
      <c r="M1538">
        <v>6</v>
      </c>
      <c r="O1538" s="31"/>
    </row>
    <row r="1539" spans="10:15" x14ac:dyDescent="0.25">
      <c r="J1539" t="s">
        <v>1420</v>
      </c>
      <c r="K1539" s="22" t="s">
        <v>24</v>
      </c>
      <c r="L1539">
        <v>6</v>
      </c>
      <c r="M1539">
        <v>2</v>
      </c>
      <c r="O1539" s="30"/>
    </row>
    <row r="1540" spans="10:15" x14ac:dyDescent="0.25">
      <c r="J1540" t="s">
        <v>1420</v>
      </c>
      <c r="K1540" s="22" t="s">
        <v>26</v>
      </c>
      <c r="L1540">
        <v>2</v>
      </c>
      <c r="M1540">
        <v>1</v>
      </c>
      <c r="O1540" s="31"/>
    </row>
    <row r="1541" spans="10:15" x14ac:dyDescent="0.25">
      <c r="J1541" t="s">
        <v>1420</v>
      </c>
      <c r="K1541" s="22" t="s">
        <v>28</v>
      </c>
      <c r="L1541">
        <v>1</v>
      </c>
    </row>
    <row r="1542" spans="10:15" x14ac:dyDescent="0.25">
      <c r="J1542" t="s">
        <v>1420</v>
      </c>
      <c r="K1542" s="22" t="s">
        <v>35</v>
      </c>
      <c r="L1542">
        <v>4</v>
      </c>
      <c r="O1542" s="30"/>
    </row>
    <row r="1543" spans="10:15" x14ac:dyDescent="0.25">
      <c r="J1543" t="s">
        <v>1420</v>
      </c>
      <c r="K1543" s="22" t="s">
        <v>22</v>
      </c>
      <c r="L1543">
        <v>11</v>
      </c>
      <c r="M1543">
        <v>7</v>
      </c>
      <c r="O1543" s="31"/>
    </row>
    <row r="1544" spans="10:15" x14ac:dyDescent="0.25">
      <c r="J1544" t="s">
        <v>1420</v>
      </c>
      <c r="K1544" s="22" t="s">
        <v>31</v>
      </c>
      <c r="L1544">
        <v>9</v>
      </c>
      <c r="M1544">
        <v>3</v>
      </c>
      <c r="O1544" s="31"/>
    </row>
    <row r="1545" spans="10:15" x14ac:dyDescent="0.25">
      <c r="J1545" t="s">
        <v>285</v>
      </c>
      <c r="K1545" s="22" t="s">
        <v>26</v>
      </c>
      <c r="L1545">
        <v>2</v>
      </c>
      <c r="M1545">
        <v>2</v>
      </c>
    </row>
    <row r="1546" spans="10:15" x14ac:dyDescent="0.25">
      <c r="J1546" t="s">
        <v>285</v>
      </c>
      <c r="K1546" s="22" t="s">
        <v>22</v>
      </c>
      <c r="L1546">
        <v>3</v>
      </c>
      <c r="M1546">
        <v>2</v>
      </c>
    </row>
    <row r="1547" spans="10:15" x14ac:dyDescent="0.25">
      <c r="J1547" t="s">
        <v>1176</v>
      </c>
      <c r="K1547" s="22" t="s">
        <v>24</v>
      </c>
      <c r="L1547">
        <v>1</v>
      </c>
    </row>
    <row r="1548" spans="10:15" x14ac:dyDescent="0.25">
      <c r="J1548" t="s">
        <v>1176</v>
      </c>
      <c r="K1548" s="22" t="s">
        <v>31</v>
      </c>
      <c r="L1548">
        <v>6</v>
      </c>
      <c r="M1548">
        <v>6</v>
      </c>
      <c r="O1548" s="31"/>
    </row>
    <row r="1549" spans="10:15" x14ac:dyDescent="0.25">
      <c r="J1549" t="s">
        <v>1626</v>
      </c>
      <c r="K1549" s="22" t="s">
        <v>26</v>
      </c>
      <c r="L1549">
        <v>3</v>
      </c>
      <c r="M1549">
        <v>3</v>
      </c>
      <c r="O1549" s="31"/>
    </row>
    <row r="1550" spans="10:15" x14ac:dyDescent="0.25">
      <c r="J1550" t="s">
        <v>1669</v>
      </c>
      <c r="K1550" s="22" t="s">
        <v>24</v>
      </c>
      <c r="L1550">
        <v>6</v>
      </c>
      <c r="M1550">
        <v>6</v>
      </c>
      <c r="O1550" s="31"/>
    </row>
    <row r="1551" spans="10:15" x14ac:dyDescent="0.25">
      <c r="J1551" t="s">
        <v>2236</v>
      </c>
      <c r="K1551" s="22" t="s">
        <v>24</v>
      </c>
      <c r="L1551">
        <v>1</v>
      </c>
      <c r="M1551">
        <v>1</v>
      </c>
    </row>
    <row r="1552" spans="10:15" x14ac:dyDescent="0.25">
      <c r="J1552" t="s">
        <v>532</v>
      </c>
      <c r="K1552" s="22" t="s">
        <v>26</v>
      </c>
      <c r="L1552">
        <v>2</v>
      </c>
      <c r="M1552">
        <v>2</v>
      </c>
    </row>
    <row r="1553" spans="10:15" x14ac:dyDescent="0.25">
      <c r="J1553" t="s">
        <v>2275</v>
      </c>
      <c r="K1553" s="22" t="s">
        <v>31</v>
      </c>
      <c r="L1553">
        <v>1</v>
      </c>
    </row>
    <row r="1554" spans="10:15" x14ac:dyDescent="0.25">
      <c r="J1554" t="s">
        <v>1384</v>
      </c>
      <c r="K1554" s="22" t="s">
        <v>26</v>
      </c>
      <c r="L1554">
        <v>3</v>
      </c>
      <c r="M1554">
        <v>3</v>
      </c>
      <c r="O1554" s="31"/>
    </row>
    <row r="1555" spans="10:15" x14ac:dyDescent="0.25">
      <c r="J1555" t="s">
        <v>1384</v>
      </c>
      <c r="K1555" s="22" t="s">
        <v>31</v>
      </c>
      <c r="L1555">
        <v>4</v>
      </c>
      <c r="M1555">
        <v>1</v>
      </c>
      <c r="O1555" s="30"/>
    </row>
    <row r="1556" spans="10:15" x14ac:dyDescent="0.25">
      <c r="J1556" t="s">
        <v>321</v>
      </c>
      <c r="K1556" s="22" t="s">
        <v>26</v>
      </c>
      <c r="L1556">
        <v>6</v>
      </c>
      <c r="M1556">
        <v>6</v>
      </c>
      <c r="O1556" s="31"/>
    </row>
    <row r="1557" spans="10:15" x14ac:dyDescent="0.25">
      <c r="J1557" t="s">
        <v>321</v>
      </c>
      <c r="K1557" s="22" t="s">
        <v>28</v>
      </c>
      <c r="L1557">
        <v>2</v>
      </c>
    </row>
    <row r="1558" spans="10:15" x14ac:dyDescent="0.25">
      <c r="J1558" t="s">
        <v>315</v>
      </c>
      <c r="K1558" s="22" t="s">
        <v>26</v>
      </c>
      <c r="L1558">
        <v>3</v>
      </c>
      <c r="M1558">
        <v>3</v>
      </c>
      <c r="O1558" s="31"/>
    </row>
    <row r="1559" spans="10:15" x14ac:dyDescent="0.25">
      <c r="J1559" t="s">
        <v>315</v>
      </c>
      <c r="K1559" s="22" t="s">
        <v>35</v>
      </c>
      <c r="L1559">
        <v>3</v>
      </c>
      <c r="M1559">
        <v>2</v>
      </c>
    </row>
    <row r="1560" spans="10:15" x14ac:dyDescent="0.25">
      <c r="J1560" t="s">
        <v>2285</v>
      </c>
      <c r="K1560" s="22" t="s">
        <v>35</v>
      </c>
      <c r="L1560">
        <v>1</v>
      </c>
      <c r="O1560" s="30"/>
    </row>
    <row r="1561" spans="10:15" x14ac:dyDescent="0.25">
      <c r="J1561" t="s">
        <v>2133</v>
      </c>
      <c r="K1561" s="22" t="s">
        <v>26</v>
      </c>
      <c r="L1561">
        <v>1</v>
      </c>
      <c r="M1561">
        <v>1</v>
      </c>
    </row>
    <row r="1562" spans="10:15" x14ac:dyDescent="0.25">
      <c r="J1562" t="s">
        <v>3139</v>
      </c>
      <c r="K1562" s="22" t="s">
        <v>24</v>
      </c>
      <c r="L1562">
        <v>1</v>
      </c>
      <c r="M1562">
        <v>1</v>
      </c>
      <c r="O1562" s="31"/>
    </row>
    <row r="1563" spans="10:15" x14ac:dyDescent="0.25">
      <c r="J1563" t="s">
        <v>3030</v>
      </c>
      <c r="K1563" s="22" t="s">
        <v>26</v>
      </c>
      <c r="L1563">
        <v>1</v>
      </c>
      <c r="M1563">
        <v>1</v>
      </c>
      <c r="O1563" s="31"/>
    </row>
    <row r="1564" spans="10:15" x14ac:dyDescent="0.25">
      <c r="J1564" t="s">
        <v>560</v>
      </c>
      <c r="K1564" s="22" t="s">
        <v>31</v>
      </c>
      <c r="L1564">
        <v>1</v>
      </c>
      <c r="M1564">
        <v>1</v>
      </c>
    </row>
    <row r="1565" spans="10:15" x14ac:dyDescent="0.25">
      <c r="J1565" t="s">
        <v>2849</v>
      </c>
      <c r="K1565" s="22" t="s">
        <v>24</v>
      </c>
      <c r="L1565">
        <v>1</v>
      </c>
      <c r="M1565">
        <v>1</v>
      </c>
    </row>
    <row r="1566" spans="10:15" x14ac:dyDescent="0.25">
      <c r="J1566" t="s">
        <v>289</v>
      </c>
      <c r="K1566" s="22" t="s">
        <v>26</v>
      </c>
      <c r="L1566">
        <v>3</v>
      </c>
      <c r="M1566">
        <v>3</v>
      </c>
    </row>
    <row r="1567" spans="10:15" x14ac:dyDescent="0.25">
      <c r="J1567" t="s">
        <v>1413</v>
      </c>
      <c r="K1567" s="22" t="s">
        <v>24</v>
      </c>
      <c r="L1567">
        <v>4</v>
      </c>
      <c r="M1567">
        <v>4</v>
      </c>
      <c r="O1567" s="31"/>
    </row>
    <row r="1568" spans="10:15" x14ac:dyDescent="0.25">
      <c r="J1568" t="s">
        <v>3177</v>
      </c>
      <c r="K1568" s="22" t="s">
        <v>22</v>
      </c>
      <c r="L1568">
        <v>2</v>
      </c>
      <c r="M1568">
        <v>2</v>
      </c>
      <c r="O1568" s="31"/>
    </row>
    <row r="1569" spans="10:15" x14ac:dyDescent="0.25">
      <c r="J1569" t="s">
        <v>2475</v>
      </c>
      <c r="K1569" s="22" t="s">
        <v>24</v>
      </c>
      <c r="L1569">
        <v>2</v>
      </c>
      <c r="O1569" s="30"/>
    </row>
    <row r="1570" spans="10:15" x14ac:dyDescent="0.25">
      <c r="J1570" t="s">
        <v>2475</v>
      </c>
      <c r="K1570" s="22" t="s">
        <v>31</v>
      </c>
      <c r="L1570">
        <v>2</v>
      </c>
      <c r="M1570">
        <v>2</v>
      </c>
    </row>
    <row r="1571" spans="10:15" x14ac:dyDescent="0.25">
      <c r="J1571" t="s">
        <v>187</v>
      </c>
      <c r="K1571" s="22" t="s">
        <v>24</v>
      </c>
      <c r="L1571">
        <v>3</v>
      </c>
      <c r="M1571">
        <v>3</v>
      </c>
      <c r="O1571" s="31"/>
    </row>
    <row r="1572" spans="10:15" x14ac:dyDescent="0.25">
      <c r="J1572" t="s">
        <v>608</v>
      </c>
      <c r="K1572" s="22" t="s">
        <v>24</v>
      </c>
      <c r="L1572">
        <v>2</v>
      </c>
      <c r="O1572" s="30"/>
    </row>
    <row r="1573" spans="10:15" x14ac:dyDescent="0.25">
      <c r="J1573" t="s">
        <v>608</v>
      </c>
      <c r="K1573" s="22" t="s">
        <v>26</v>
      </c>
      <c r="L1573">
        <v>2</v>
      </c>
      <c r="M1573">
        <v>1</v>
      </c>
      <c r="O1573" s="30"/>
    </row>
    <row r="1574" spans="10:15" x14ac:dyDescent="0.25">
      <c r="J1574" t="s">
        <v>608</v>
      </c>
      <c r="K1574" s="22" t="s">
        <v>22</v>
      </c>
      <c r="L1574">
        <v>1</v>
      </c>
    </row>
    <row r="1575" spans="10:15" x14ac:dyDescent="0.25">
      <c r="J1575" t="s">
        <v>1999</v>
      </c>
      <c r="K1575" s="22" t="s">
        <v>22</v>
      </c>
      <c r="L1575">
        <v>3</v>
      </c>
      <c r="M1575">
        <v>3</v>
      </c>
      <c r="O1575" s="31"/>
    </row>
    <row r="1576" spans="10:15" x14ac:dyDescent="0.25">
      <c r="J1576" t="s">
        <v>2106</v>
      </c>
      <c r="K1576" s="22" t="s">
        <v>31</v>
      </c>
      <c r="L1576">
        <v>1</v>
      </c>
      <c r="M1576">
        <v>1</v>
      </c>
    </row>
    <row r="1577" spans="10:15" x14ac:dyDescent="0.25">
      <c r="J1577" t="s">
        <v>3309</v>
      </c>
      <c r="K1577" s="22" t="s">
        <v>24</v>
      </c>
      <c r="L1577">
        <v>1</v>
      </c>
      <c r="M1577">
        <v>1</v>
      </c>
      <c r="O1577" s="31"/>
    </row>
    <row r="1578" spans="10:15" x14ac:dyDescent="0.25">
      <c r="J1578" t="s">
        <v>1912</v>
      </c>
      <c r="K1578" s="22" t="s">
        <v>26</v>
      </c>
      <c r="L1578">
        <v>7</v>
      </c>
      <c r="M1578">
        <v>7</v>
      </c>
      <c r="O1578" s="31"/>
    </row>
    <row r="1579" spans="10:15" x14ac:dyDescent="0.25">
      <c r="J1579" t="s">
        <v>1426</v>
      </c>
      <c r="K1579" s="22" t="s">
        <v>28</v>
      </c>
      <c r="L1579">
        <v>1</v>
      </c>
      <c r="M1579">
        <v>1</v>
      </c>
    </row>
    <row r="1580" spans="10:15" x14ac:dyDescent="0.25">
      <c r="J1580" t="s">
        <v>2568</v>
      </c>
      <c r="K1580" s="22" t="s">
        <v>26</v>
      </c>
      <c r="L1580">
        <v>1</v>
      </c>
    </row>
    <row r="1581" spans="10:15" x14ac:dyDescent="0.25">
      <c r="J1581" t="s">
        <v>1917</v>
      </c>
      <c r="K1581" s="22" t="s">
        <v>31</v>
      </c>
      <c r="L1581">
        <v>4</v>
      </c>
      <c r="M1581">
        <v>4</v>
      </c>
      <c r="O1581" s="31"/>
    </row>
    <row r="1582" spans="10:15" x14ac:dyDescent="0.25">
      <c r="J1582" t="s">
        <v>3486</v>
      </c>
      <c r="K1582" s="22" t="s">
        <v>24</v>
      </c>
      <c r="L1582">
        <v>1</v>
      </c>
      <c r="O1582" s="30"/>
    </row>
    <row r="1583" spans="10:15" x14ac:dyDescent="0.25">
      <c r="J1583" t="s">
        <v>1814</v>
      </c>
      <c r="K1583" s="22" t="s">
        <v>35</v>
      </c>
      <c r="L1583">
        <v>1</v>
      </c>
      <c r="M1583">
        <v>1</v>
      </c>
    </row>
    <row r="1584" spans="10:15" x14ac:dyDescent="0.25">
      <c r="J1584" t="s">
        <v>1814</v>
      </c>
      <c r="K1584" s="22" t="s">
        <v>31</v>
      </c>
      <c r="L1584">
        <v>1</v>
      </c>
    </row>
    <row r="1585" spans="10:15" x14ac:dyDescent="0.25">
      <c r="J1585" t="s">
        <v>1244</v>
      </c>
      <c r="K1585" s="22" t="s">
        <v>22</v>
      </c>
      <c r="L1585">
        <v>1</v>
      </c>
    </row>
    <row r="1586" spans="10:15" x14ac:dyDescent="0.25">
      <c r="J1586" t="s">
        <v>1244</v>
      </c>
      <c r="K1586" s="22" t="s">
        <v>31</v>
      </c>
      <c r="L1586">
        <v>2</v>
      </c>
      <c r="M1586">
        <v>2</v>
      </c>
      <c r="O1586" s="31"/>
    </row>
    <row r="1587" spans="10:15" x14ac:dyDescent="0.25">
      <c r="J1587" t="s">
        <v>2000</v>
      </c>
      <c r="K1587" s="22" t="s">
        <v>22</v>
      </c>
      <c r="L1587">
        <v>4</v>
      </c>
      <c r="M1587">
        <v>4</v>
      </c>
      <c r="O1587" s="31"/>
    </row>
    <row r="1588" spans="10:15" x14ac:dyDescent="0.25">
      <c r="J1588" t="s">
        <v>3375</v>
      </c>
      <c r="K1588" s="22" t="s">
        <v>31</v>
      </c>
      <c r="L1588">
        <v>1</v>
      </c>
      <c r="M1588">
        <v>1</v>
      </c>
      <c r="O1588" s="31"/>
    </row>
    <row r="1589" spans="10:15" x14ac:dyDescent="0.25">
      <c r="J1589" t="s">
        <v>3026</v>
      </c>
      <c r="K1589" s="22" t="s">
        <v>26</v>
      </c>
      <c r="L1589">
        <v>1</v>
      </c>
    </row>
    <row r="1590" spans="10:15" x14ac:dyDescent="0.25">
      <c r="J1590" t="s">
        <v>2444</v>
      </c>
      <c r="K1590" s="22" t="s">
        <v>24</v>
      </c>
      <c r="L1590">
        <v>1</v>
      </c>
    </row>
    <row r="1591" spans="10:15" x14ac:dyDescent="0.25">
      <c r="J1591" t="s">
        <v>76</v>
      </c>
      <c r="K1591" s="22" t="s">
        <v>24</v>
      </c>
      <c r="L1591">
        <v>5</v>
      </c>
      <c r="M1591">
        <v>2</v>
      </c>
      <c r="O1591" s="30"/>
    </row>
    <row r="1592" spans="10:15" x14ac:dyDescent="0.25">
      <c r="J1592" t="s">
        <v>76</v>
      </c>
      <c r="K1592" s="22" t="s">
        <v>20</v>
      </c>
      <c r="L1592">
        <v>10</v>
      </c>
      <c r="M1592">
        <v>5</v>
      </c>
      <c r="O1592" s="30"/>
    </row>
    <row r="1593" spans="10:15" x14ac:dyDescent="0.25">
      <c r="J1593" t="s">
        <v>76</v>
      </c>
      <c r="K1593" s="22" t="s">
        <v>30</v>
      </c>
      <c r="L1593">
        <v>8</v>
      </c>
      <c r="M1593">
        <v>2</v>
      </c>
      <c r="O1593" s="30"/>
    </row>
    <row r="1594" spans="10:15" x14ac:dyDescent="0.25">
      <c r="J1594" t="s">
        <v>76</v>
      </c>
      <c r="K1594" s="22" t="s">
        <v>29</v>
      </c>
      <c r="L1594">
        <v>6</v>
      </c>
      <c r="M1594">
        <v>4</v>
      </c>
      <c r="O1594" s="31"/>
    </row>
    <row r="1595" spans="10:15" x14ac:dyDescent="0.25">
      <c r="J1595" t="s">
        <v>76</v>
      </c>
      <c r="K1595" s="22" t="s">
        <v>28</v>
      </c>
      <c r="L1595">
        <v>3</v>
      </c>
      <c r="M1595">
        <v>2</v>
      </c>
      <c r="O1595" s="31"/>
    </row>
    <row r="1596" spans="10:15" x14ac:dyDescent="0.25">
      <c r="J1596" t="s">
        <v>76</v>
      </c>
      <c r="K1596" s="22" t="s">
        <v>35</v>
      </c>
      <c r="L1596">
        <v>7</v>
      </c>
      <c r="M1596">
        <v>3</v>
      </c>
      <c r="O1596" s="31"/>
    </row>
    <row r="1597" spans="10:15" x14ac:dyDescent="0.25">
      <c r="J1597" t="s">
        <v>76</v>
      </c>
      <c r="K1597" s="22" t="s">
        <v>22</v>
      </c>
      <c r="L1597">
        <v>18</v>
      </c>
      <c r="M1597">
        <v>13</v>
      </c>
      <c r="O1597" s="30"/>
    </row>
    <row r="1598" spans="10:15" x14ac:dyDescent="0.25">
      <c r="J1598" t="s">
        <v>377</v>
      </c>
      <c r="K1598" s="22" t="s">
        <v>24</v>
      </c>
      <c r="L1598">
        <v>3</v>
      </c>
      <c r="M1598">
        <v>2</v>
      </c>
      <c r="O1598" s="31"/>
    </row>
    <row r="1599" spans="10:15" x14ac:dyDescent="0.25">
      <c r="J1599" t="s">
        <v>377</v>
      </c>
      <c r="K1599" s="22" t="s">
        <v>20</v>
      </c>
      <c r="L1599">
        <v>8</v>
      </c>
      <c r="M1599">
        <v>6</v>
      </c>
      <c r="O1599" s="30"/>
    </row>
    <row r="1600" spans="10:15" x14ac:dyDescent="0.25">
      <c r="J1600" t="s">
        <v>377</v>
      </c>
      <c r="K1600" s="22" t="s">
        <v>30</v>
      </c>
      <c r="L1600">
        <v>7</v>
      </c>
      <c r="M1600">
        <v>4</v>
      </c>
      <c r="O1600" s="31"/>
    </row>
    <row r="1601" spans="10:15" x14ac:dyDescent="0.25">
      <c r="J1601" t="s">
        <v>377</v>
      </c>
      <c r="K1601" s="22" t="s">
        <v>29</v>
      </c>
      <c r="L1601">
        <v>4</v>
      </c>
      <c r="M1601">
        <v>2</v>
      </c>
      <c r="O1601" s="30"/>
    </row>
    <row r="1602" spans="10:15" x14ac:dyDescent="0.25">
      <c r="J1602" t="s">
        <v>377</v>
      </c>
      <c r="K1602" s="22" t="s">
        <v>28</v>
      </c>
      <c r="L1602">
        <v>5</v>
      </c>
      <c r="M1602">
        <v>3</v>
      </c>
      <c r="O1602" s="30"/>
    </row>
    <row r="1603" spans="10:15" x14ac:dyDescent="0.25">
      <c r="J1603" t="s">
        <v>377</v>
      </c>
      <c r="K1603" s="22" t="s">
        <v>35</v>
      </c>
      <c r="L1603">
        <v>9</v>
      </c>
      <c r="M1603">
        <v>7</v>
      </c>
      <c r="O1603" s="31"/>
    </row>
    <row r="1604" spans="10:15" x14ac:dyDescent="0.25">
      <c r="J1604" t="s">
        <v>377</v>
      </c>
      <c r="K1604" s="22" t="s">
        <v>31</v>
      </c>
      <c r="L1604">
        <v>4</v>
      </c>
      <c r="M1604">
        <v>3</v>
      </c>
      <c r="O1604" s="31"/>
    </row>
    <row r="1605" spans="10:15" x14ac:dyDescent="0.25">
      <c r="J1605" t="s">
        <v>2079</v>
      </c>
      <c r="K1605" s="22" t="s">
        <v>24</v>
      </c>
      <c r="L1605">
        <v>4</v>
      </c>
      <c r="M1605">
        <v>1</v>
      </c>
      <c r="O1605" s="30"/>
    </row>
    <row r="1606" spans="10:15" x14ac:dyDescent="0.25">
      <c r="J1606" t="s">
        <v>2079</v>
      </c>
      <c r="K1606" s="22" t="s">
        <v>20</v>
      </c>
      <c r="L1606">
        <v>1</v>
      </c>
    </row>
    <row r="1607" spans="10:15" x14ac:dyDescent="0.25">
      <c r="J1607" t="s">
        <v>2079</v>
      </c>
      <c r="K1607" s="22" t="s">
        <v>35</v>
      </c>
      <c r="L1607">
        <v>2</v>
      </c>
      <c r="M1607">
        <v>2</v>
      </c>
      <c r="O1607" s="31"/>
    </row>
    <row r="1608" spans="10:15" x14ac:dyDescent="0.25">
      <c r="J1608" t="s">
        <v>603</v>
      </c>
      <c r="K1608" s="22" t="s">
        <v>20</v>
      </c>
      <c r="L1608">
        <v>4</v>
      </c>
      <c r="M1608">
        <v>4</v>
      </c>
    </row>
    <row r="1609" spans="10:15" x14ac:dyDescent="0.25">
      <c r="J1609" t="s">
        <v>736</v>
      </c>
      <c r="K1609" s="22" t="s">
        <v>24</v>
      </c>
      <c r="L1609">
        <v>15</v>
      </c>
      <c r="M1609">
        <v>8</v>
      </c>
      <c r="O1609" s="31"/>
    </row>
    <row r="1610" spans="10:15" x14ac:dyDescent="0.25">
      <c r="J1610" t="s">
        <v>736</v>
      </c>
      <c r="K1610" s="22" t="s">
        <v>30</v>
      </c>
      <c r="L1610">
        <v>5</v>
      </c>
      <c r="M1610">
        <v>4</v>
      </c>
      <c r="O1610" s="31"/>
    </row>
    <row r="1611" spans="10:15" x14ac:dyDescent="0.25">
      <c r="J1611" t="s">
        <v>736</v>
      </c>
      <c r="K1611" s="22" t="s">
        <v>29</v>
      </c>
      <c r="L1611">
        <v>10</v>
      </c>
      <c r="M1611">
        <v>7</v>
      </c>
      <c r="O1611" s="31"/>
    </row>
    <row r="1612" spans="10:15" x14ac:dyDescent="0.25">
      <c r="J1612" t="s">
        <v>736</v>
      </c>
      <c r="K1612" s="22" t="s">
        <v>28</v>
      </c>
      <c r="L1612">
        <v>10</v>
      </c>
      <c r="M1612">
        <v>6</v>
      </c>
      <c r="O1612" s="31"/>
    </row>
    <row r="1613" spans="10:15" x14ac:dyDescent="0.25">
      <c r="J1613" t="s">
        <v>736</v>
      </c>
      <c r="K1613" s="22" t="s">
        <v>22</v>
      </c>
      <c r="L1613">
        <v>7</v>
      </c>
      <c r="M1613">
        <v>4</v>
      </c>
      <c r="O1613" s="31"/>
    </row>
    <row r="1614" spans="10:15" x14ac:dyDescent="0.25">
      <c r="J1614" t="s">
        <v>549</v>
      </c>
      <c r="K1614" s="22" t="s">
        <v>24</v>
      </c>
      <c r="L1614">
        <v>7</v>
      </c>
      <c r="M1614">
        <v>4</v>
      </c>
      <c r="O1614" s="30"/>
    </row>
    <row r="1615" spans="10:15" x14ac:dyDescent="0.25">
      <c r="J1615" t="s">
        <v>549</v>
      </c>
      <c r="K1615" s="22" t="s">
        <v>20</v>
      </c>
      <c r="L1615">
        <v>8</v>
      </c>
      <c r="M1615">
        <v>1</v>
      </c>
      <c r="O1615" s="30"/>
    </row>
    <row r="1616" spans="10:15" x14ac:dyDescent="0.25">
      <c r="J1616" t="s">
        <v>549</v>
      </c>
      <c r="K1616" s="22" t="s">
        <v>30</v>
      </c>
      <c r="L1616">
        <v>4</v>
      </c>
      <c r="O1616" s="30"/>
    </row>
    <row r="1617" spans="10:15" x14ac:dyDescent="0.25">
      <c r="J1617" t="s">
        <v>549</v>
      </c>
      <c r="K1617" s="22" t="s">
        <v>29</v>
      </c>
      <c r="L1617">
        <v>7</v>
      </c>
      <c r="O1617" s="30"/>
    </row>
    <row r="1618" spans="10:15" x14ac:dyDescent="0.25">
      <c r="J1618" t="s">
        <v>549</v>
      </c>
      <c r="K1618" s="22" t="s">
        <v>28</v>
      </c>
      <c r="L1618">
        <v>5</v>
      </c>
      <c r="O1618" s="30"/>
    </row>
    <row r="1619" spans="10:15" x14ac:dyDescent="0.25">
      <c r="J1619" t="s">
        <v>549</v>
      </c>
      <c r="K1619" s="22" t="s">
        <v>22</v>
      </c>
      <c r="L1619">
        <v>5</v>
      </c>
      <c r="M1619">
        <v>2</v>
      </c>
      <c r="O1619" s="30"/>
    </row>
    <row r="1620" spans="10:15" x14ac:dyDescent="0.25">
      <c r="J1620" t="s">
        <v>2516</v>
      </c>
      <c r="K1620" s="22" t="s">
        <v>24</v>
      </c>
      <c r="L1620">
        <v>4</v>
      </c>
      <c r="M1620">
        <v>4</v>
      </c>
      <c r="O1620" s="31"/>
    </row>
    <row r="1621" spans="10:15" x14ac:dyDescent="0.25">
      <c r="J1621" t="s">
        <v>2516</v>
      </c>
      <c r="K1621" s="22" t="s">
        <v>30</v>
      </c>
      <c r="L1621">
        <v>1</v>
      </c>
    </row>
    <row r="1622" spans="10:15" x14ac:dyDescent="0.25">
      <c r="J1622" t="s">
        <v>2516</v>
      </c>
      <c r="K1622" s="22" t="s">
        <v>28</v>
      </c>
      <c r="L1622">
        <v>2</v>
      </c>
      <c r="O1622" s="30"/>
    </row>
    <row r="1623" spans="10:15" x14ac:dyDescent="0.25">
      <c r="J1623" t="s">
        <v>2569</v>
      </c>
      <c r="K1623" s="22" t="s">
        <v>24</v>
      </c>
      <c r="L1623">
        <v>1</v>
      </c>
      <c r="O1623" s="30"/>
    </row>
    <row r="1624" spans="10:15" x14ac:dyDescent="0.25">
      <c r="J1624" t="s">
        <v>2569</v>
      </c>
      <c r="K1624" s="22" t="s">
        <v>20</v>
      </c>
      <c r="L1624">
        <v>11</v>
      </c>
      <c r="M1624">
        <v>2</v>
      </c>
      <c r="O1624" s="30"/>
    </row>
    <row r="1625" spans="10:15" x14ac:dyDescent="0.25">
      <c r="J1625" t="s">
        <v>2569</v>
      </c>
      <c r="K1625" s="22" t="s">
        <v>30</v>
      </c>
      <c r="L1625">
        <v>1</v>
      </c>
      <c r="O1625" s="30"/>
    </row>
    <row r="1626" spans="10:15" x14ac:dyDescent="0.25">
      <c r="J1626" t="s">
        <v>2569</v>
      </c>
      <c r="K1626" s="22" t="s">
        <v>29</v>
      </c>
      <c r="L1626">
        <v>1</v>
      </c>
    </row>
    <row r="1627" spans="10:15" x14ac:dyDescent="0.25">
      <c r="J1627" t="s">
        <v>2569</v>
      </c>
      <c r="K1627" s="22" t="s">
        <v>28</v>
      </c>
      <c r="L1627">
        <v>4</v>
      </c>
      <c r="O1627" s="30"/>
    </row>
    <row r="1628" spans="10:15" x14ac:dyDescent="0.25">
      <c r="J1628" t="s">
        <v>2569</v>
      </c>
      <c r="K1628" s="22" t="s">
        <v>31</v>
      </c>
      <c r="L1628">
        <v>1</v>
      </c>
      <c r="O1628" s="30"/>
    </row>
    <row r="1629" spans="10:15" x14ac:dyDescent="0.25">
      <c r="J1629" t="s">
        <v>1122</v>
      </c>
      <c r="K1629" s="22" t="s">
        <v>24</v>
      </c>
      <c r="L1629">
        <v>1</v>
      </c>
      <c r="M1629">
        <v>1</v>
      </c>
      <c r="O1629" s="31"/>
    </row>
    <row r="1630" spans="10:15" x14ac:dyDescent="0.25">
      <c r="J1630" t="s">
        <v>1122</v>
      </c>
      <c r="K1630" s="22" t="s">
        <v>20</v>
      </c>
      <c r="L1630">
        <v>1</v>
      </c>
    </row>
    <row r="1631" spans="10:15" x14ac:dyDescent="0.25">
      <c r="J1631" t="s">
        <v>1122</v>
      </c>
      <c r="K1631" s="22" t="s">
        <v>29</v>
      </c>
      <c r="L1631">
        <v>2</v>
      </c>
      <c r="M1631">
        <v>1</v>
      </c>
    </row>
    <row r="1632" spans="10:15" x14ac:dyDescent="0.25">
      <c r="J1632" t="s">
        <v>3415</v>
      </c>
      <c r="K1632" s="22" t="s">
        <v>29</v>
      </c>
      <c r="L1632">
        <v>2</v>
      </c>
      <c r="M1632">
        <v>1</v>
      </c>
      <c r="O1632" s="30"/>
    </row>
    <row r="1633" spans="10:15" x14ac:dyDescent="0.25">
      <c r="J1633" t="s">
        <v>3344</v>
      </c>
      <c r="K1633" s="22" t="s">
        <v>20</v>
      </c>
      <c r="L1633">
        <v>1</v>
      </c>
      <c r="M1633">
        <v>1</v>
      </c>
      <c r="O1633" s="31"/>
    </row>
    <row r="1634" spans="10:15" x14ac:dyDescent="0.25">
      <c r="J1634" t="s">
        <v>776</v>
      </c>
      <c r="K1634" s="22" t="s">
        <v>24</v>
      </c>
      <c r="L1634">
        <v>1</v>
      </c>
      <c r="M1634">
        <v>1</v>
      </c>
    </row>
    <row r="1635" spans="10:15" x14ac:dyDescent="0.25">
      <c r="J1635" t="s">
        <v>776</v>
      </c>
      <c r="K1635" s="22" t="s">
        <v>30</v>
      </c>
      <c r="L1635">
        <v>4</v>
      </c>
      <c r="M1635">
        <v>2</v>
      </c>
      <c r="O1635" s="31"/>
    </row>
    <row r="1636" spans="10:15" x14ac:dyDescent="0.25">
      <c r="J1636" t="s">
        <v>262</v>
      </c>
      <c r="K1636" s="22" t="s">
        <v>24</v>
      </c>
      <c r="L1636">
        <v>7</v>
      </c>
      <c r="M1636">
        <v>6</v>
      </c>
      <c r="O1636" s="31"/>
    </row>
    <row r="1637" spans="10:15" x14ac:dyDescent="0.25">
      <c r="J1637" t="s">
        <v>262</v>
      </c>
      <c r="K1637" s="22" t="s">
        <v>20</v>
      </c>
      <c r="L1637">
        <v>7</v>
      </c>
      <c r="M1637">
        <v>5</v>
      </c>
      <c r="O1637" s="31"/>
    </row>
    <row r="1638" spans="10:15" x14ac:dyDescent="0.25">
      <c r="J1638" t="s">
        <v>262</v>
      </c>
      <c r="K1638" s="22" t="s">
        <v>30</v>
      </c>
      <c r="L1638">
        <v>3</v>
      </c>
      <c r="O1638" s="30"/>
    </row>
    <row r="1639" spans="10:15" x14ac:dyDescent="0.25">
      <c r="J1639" t="s">
        <v>262</v>
      </c>
      <c r="K1639" s="22" t="s">
        <v>29</v>
      </c>
      <c r="L1639">
        <v>12</v>
      </c>
      <c r="M1639">
        <v>11</v>
      </c>
      <c r="O1639" s="31"/>
    </row>
    <row r="1640" spans="10:15" x14ac:dyDescent="0.25">
      <c r="J1640" t="s">
        <v>262</v>
      </c>
      <c r="K1640" s="22" t="s">
        <v>35</v>
      </c>
      <c r="L1640">
        <v>8</v>
      </c>
      <c r="M1640">
        <v>3</v>
      </c>
      <c r="O1640" s="31"/>
    </row>
    <row r="1641" spans="10:15" x14ac:dyDescent="0.25">
      <c r="J1641" t="s">
        <v>262</v>
      </c>
      <c r="K1641" s="22" t="s">
        <v>22</v>
      </c>
      <c r="L1641">
        <v>17</v>
      </c>
      <c r="M1641">
        <v>9</v>
      </c>
      <c r="O1641" s="30"/>
    </row>
    <row r="1642" spans="10:15" x14ac:dyDescent="0.25">
      <c r="J1642" t="s">
        <v>262</v>
      </c>
      <c r="K1642" s="22" t="s">
        <v>31</v>
      </c>
      <c r="L1642">
        <v>9</v>
      </c>
      <c r="M1642">
        <v>5</v>
      </c>
      <c r="O1642" s="31"/>
    </row>
    <row r="1643" spans="10:15" x14ac:dyDescent="0.25">
      <c r="J1643" t="s">
        <v>677</v>
      </c>
      <c r="K1643" s="22" t="s">
        <v>24</v>
      </c>
      <c r="L1643">
        <v>3</v>
      </c>
      <c r="M1643">
        <v>2</v>
      </c>
      <c r="O1643" s="31"/>
    </row>
    <row r="1644" spans="10:15" x14ac:dyDescent="0.25">
      <c r="J1644" t="s">
        <v>677</v>
      </c>
      <c r="K1644" s="22" t="s">
        <v>20</v>
      </c>
      <c r="L1644">
        <v>8</v>
      </c>
      <c r="M1644">
        <v>7</v>
      </c>
    </row>
    <row r="1645" spans="10:15" x14ac:dyDescent="0.25">
      <c r="J1645" t="s">
        <v>677</v>
      </c>
      <c r="K1645" s="22" t="s">
        <v>30</v>
      </c>
      <c r="L1645">
        <v>5</v>
      </c>
      <c r="O1645" s="30"/>
    </row>
    <row r="1646" spans="10:15" x14ac:dyDescent="0.25">
      <c r="J1646" t="s">
        <v>677</v>
      </c>
      <c r="K1646" s="22" t="s">
        <v>29</v>
      </c>
      <c r="L1646">
        <v>3</v>
      </c>
      <c r="M1646">
        <v>2</v>
      </c>
      <c r="O1646" s="31"/>
    </row>
    <row r="1647" spans="10:15" x14ac:dyDescent="0.25">
      <c r="J1647" t="s">
        <v>677</v>
      </c>
      <c r="K1647" s="22" t="s">
        <v>35</v>
      </c>
      <c r="L1647">
        <v>2</v>
      </c>
      <c r="O1647" s="30"/>
    </row>
    <row r="1648" spans="10:15" x14ac:dyDescent="0.25">
      <c r="J1648" t="s">
        <v>677</v>
      </c>
      <c r="K1648" s="22" t="s">
        <v>22</v>
      </c>
      <c r="L1648">
        <v>1</v>
      </c>
    </row>
    <row r="1649" spans="10:15" x14ac:dyDescent="0.25">
      <c r="J1649" t="s">
        <v>1559</v>
      </c>
      <c r="K1649" s="22" t="s">
        <v>30</v>
      </c>
      <c r="L1649">
        <v>2</v>
      </c>
    </row>
    <row r="1650" spans="10:15" x14ac:dyDescent="0.25">
      <c r="J1650" t="s">
        <v>1559</v>
      </c>
      <c r="K1650" s="22" t="s">
        <v>35</v>
      </c>
      <c r="L1650">
        <v>7</v>
      </c>
      <c r="M1650">
        <v>6</v>
      </c>
      <c r="O1650" s="30"/>
    </row>
    <row r="1651" spans="10:15" x14ac:dyDescent="0.25">
      <c r="J1651" t="s">
        <v>361</v>
      </c>
      <c r="K1651" s="22" t="s">
        <v>24</v>
      </c>
      <c r="L1651">
        <v>4</v>
      </c>
      <c r="M1651">
        <v>2</v>
      </c>
      <c r="O1651" s="31"/>
    </row>
    <row r="1652" spans="10:15" x14ac:dyDescent="0.25">
      <c r="J1652" t="s">
        <v>361</v>
      </c>
      <c r="K1652" s="22" t="s">
        <v>20</v>
      </c>
      <c r="L1652">
        <v>3</v>
      </c>
      <c r="M1652">
        <v>3</v>
      </c>
      <c r="O1652" s="31"/>
    </row>
    <row r="1653" spans="10:15" x14ac:dyDescent="0.25">
      <c r="J1653" t="s">
        <v>361</v>
      </c>
      <c r="K1653" s="22" t="s">
        <v>30</v>
      </c>
      <c r="L1653">
        <v>1</v>
      </c>
    </row>
    <row r="1654" spans="10:15" x14ac:dyDescent="0.25">
      <c r="J1654" t="s">
        <v>361</v>
      </c>
      <c r="K1654" s="22" t="s">
        <v>29</v>
      </c>
      <c r="L1654">
        <v>4</v>
      </c>
      <c r="M1654">
        <v>2</v>
      </c>
      <c r="O1654" s="31"/>
    </row>
    <row r="1655" spans="10:15" x14ac:dyDescent="0.25">
      <c r="J1655" t="s">
        <v>361</v>
      </c>
      <c r="K1655" s="22" t="s">
        <v>31</v>
      </c>
      <c r="L1655">
        <v>1</v>
      </c>
    </row>
    <row r="1656" spans="10:15" x14ac:dyDescent="0.25">
      <c r="J1656" t="s">
        <v>915</v>
      </c>
      <c r="K1656" s="22" t="s">
        <v>24</v>
      </c>
      <c r="L1656">
        <v>5</v>
      </c>
      <c r="M1656">
        <v>5</v>
      </c>
    </row>
    <row r="1657" spans="10:15" x14ac:dyDescent="0.25">
      <c r="J1657" t="s">
        <v>892</v>
      </c>
      <c r="K1657" s="22" t="s">
        <v>30</v>
      </c>
      <c r="L1657">
        <v>1</v>
      </c>
    </row>
    <row r="1658" spans="10:15" x14ac:dyDescent="0.25">
      <c r="J1658" t="s">
        <v>892</v>
      </c>
      <c r="K1658" s="22" t="s">
        <v>29</v>
      </c>
      <c r="L1658">
        <v>1</v>
      </c>
    </row>
    <row r="1659" spans="10:15" x14ac:dyDescent="0.25">
      <c r="J1659" t="s">
        <v>892</v>
      </c>
      <c r="K1659" s="22" t="s">
        <v>22</v>
      </c>
      <c r="L1659">
        <v>2</v>
      </c>
      <c r="M1659">
        <v>1</v>
      </c>
    </row>
    <row r="1660" spans="10:15" x14ac:dyDescent="0.25">
      <c r="J1660" t="s">
        <v>722</v>
      </c>
      <c r="K1660" s="22" t="s">
        <v>20</v>
      </c>
      <c r="L1660">
        <v>3</v>
      </c>
      <c r="M1660">
        <v>3</v>
      </c>
      <c r="O1660" s="31"/>
    </row>
    <row r="1661" spans="10:15" x14ac:dyDescent="0.25">
      <c r="J1661" t="s">
        <v>3314</v>
      </c>
      <c r="K1661" s="22" t="s">
        <v>29</v>
      </c>
      <c r="L1661">
        <v>1</v>
      </c>
      <c r="M1661">
        <v>1</v>
      </c>
      <c r="O1661" s="31"/>
    </row>
    <row r="1662" spans="10:15" x14ac:dyDescent="0.25">
      <c r="J1662" t="s">
        <v>3179</v>
      </c>
      <c r="K1662" s="22" t="s">
        <v>20</v>
      </c>
      <c r="L1662">
        <v>3</v>
      </c>
      <c r="M1662">
        <v>3</v>
      </c>
      <c r="O1662" s="31"/>
    </row>
    <row r="1663" spans="10:15" x14ac:dyDescent="0.25">
      <c r="J1663" t="s">
        <v>658</v>
      </c>
      <c r="K1663" s="22" t="s">
        <v>20</v>
      </c>
      <c r="L1663">
        <v>2</v>
      </c>
      <c r="M1663">
        <v>2</v>
      </c>
    </row>
    <row r="1664" spans="10:15" x14ac:dyDescent="0.25">
      <c r="J1664" t="s">
        <v>658</v>
      </c>
      <c r="K1664" s="22" t="s">
        <v>22</v>
      </c>
      <c r="L1664">
        <v>4</v>
      </c>
    </row>
    <row r="1665" spans="10:15" x14ac:dyDescent="0.25">
      <c r="J1665" t="s">
        <v>2111</v>
      </c>
      <c r="K1665" s="22" t="s">
        <v>20</v>
      </c>
      <c r="L1665">
        <v>4</v>
      </c>
      <c r="M1665">
        <v>3</v>
      </c>
      <c r="O1665" s="31"/>
    </row>
    <row r="1666" spans="10:15" x14ac:dyDescent="0.25">
      <c r="J1666" t="s">
        <v>2111</v>
      </c>
      <c r="K1666" s="22" t="s">
        <v>30</v>
      </c>
      <c r="L1666">
        <v>1</v>
      </c>
      <c r="M1666">
        <v>1</v>
      </c>
    </row>
    <row r="1667" spans="10:15" x14ac:dyDescent="0.25">
      <c r="J1667" t="s">
        <v>1809</v>
      </c>
      <c r="K1667" s="22" t="s">
        <v>20</v>
      </c>
      <c r="L1667">
        <v>1</v>
      </c>
      <c r="M1667">
        <v>1</v>
      </c>
    </row>
    <row r="1668" spans="10:15" x14ac:dyDescent="0.25">
      <c r="J1668" t="s">
        <v>274</v>
      </c>
      <c r="K1668" s="22" t="s">
        <v>20</v>
      </c>
      <c r="L1668">
        <v>1</v>
      </c>
      <c r="M1668">
        <v>1</v>
      </c>
    </row>
    <row r="1669" spans="10:15" x14ac:dyDescent="0.25">
      <c r="J1669" t="s">
        <v>274</v>
      </c>
      <c r="K1669" s="22" t="s">
        <v>30</v>
      </c>
      <c r="L1669">
        <v>4</v>
      </c>
      <c r="M1669">
        <v>3</v>
      </c>
      <c r="O1669" s="31"/>
    </row>
    <row r="1670" spans="10:15" x14ac:dyDescent="0.25">
      <c r="J1670" t="s">
        <v>521</v>
      </c>
      <c r="K1670" s="22" t="s">
        <v>31</v>
      </c>
      <c r="L1670">
        <v>5</v>
      </c>
      <c r="M1670">
        <v>5</v>
      </c>
      <c r="O1670" s="31"/>
    </row>
    <row r="1671" spans="10:15" x14ac:dyDescent="0.25">
      <c r="J1671" t="s">
        <v>543</v>
      </c>
      <c r="K1671" s="22" t="s">
        <v>24</v>
      </c>
      <c r="L1671">
        <v>1</v>
      </c>
    </row>
    <row r="1672" spans="10:15" x14ac:dyDescent="0.25">
      <c r="J1672" t="s">
        <v>543</v>
      </c>
      <c r="K1672" s="22" t="s">
        <v>30</v>
      </c>
      <c r="L1672">
        <v>1</v>
      </c>
    </row>
    <row r="1673" spans="10:15" x14ac:dyDescent="0.25">
      <c r="J1673" t="s">
        <v>543</v>
      </c>
      <c r="K1673" s="22" t="s">
        <v>35</v>
      </c>
      <c r="L1673">
        <v>1</v>
      </c>
      <c r="M1673">
        <v>1</v>
      </c>
      <c r="O1673" s="31"/>
    </row>
    <row r="1674" spans="10:15" x14ac:dyDescent="0.25">
      <c r="J1674" t="s">
        <v>3172</v>
      </c>
      <c r="K1674" s="22" t="s">
        <v>35</v>
      </c>
      <c r="L1674">
        <v>2</v>
      </c>
      <c r="M1674">
        <v>1</v>
      </c>
      <c r="O1674" s="30"/>
    </row>
    <row r="1675" spans="10:15" x14ac:dyDescent="0.25">
      <c r="J1675" t="s">
        <v>3208</v>
      </c>
      <c r="K1675" s="22" t="s">
        <v>20</v>
      </c>
      <c r="L1675">
        <v>2</v>
      </c>
      <c r="M1675">
        <v>1</v>
      </c>
      <c r="O1675" s="30"/>
    </row>
    <row r="1676" spans="10:15" x14ac:dyDescent="0.25">
      <c r="J1676" t="s">
        <v>2364</v>
      </c>
      <c r="K1676" s="22" t="s">
        <v>24</v>
      </c>
      <c r="L1676">
        <v>2</v>
      </c>
      <c r="M1676">
        <v>1</v>
      </c>
      <c r="O1676" s="30"/>
    </row>
    <row r="1677" spans="10:15" x14ac:dyDescent="0.25">
      <c r="J1677" t="s">
        <v>2364</v>
      </c>
      <c r="K1677" s="22" t="s">
        <v>30</v>
      </c>
      <c r="L1677">
        <v>1</v>
      </c>
    </row>
    <row r="1678" spans="10:15" x14ac:dyDescent="0.25">
      <c r="J1678" t="s">
        <v>523</v>
      </c>
      <c r="K1678" s="22" t="s">
        <v>20</v>
      </c>
      <c r="L1678">
        <v>5</v>
      </c>
      <c r="M1678">
        <v>5</v>
      </c>
      <c r="O1678" s="31"/>
    </row>
    <row r="1679" spans="10:15" x14ac:dyDescent="0.25">
      <c r="J1679" t="s">
        <v>2152</v>
      </c>
      <c r="K1679" s="22" t="s">
        <v>24</v>
      </c>
      <c r="L1679">
        <v>1</v>
      </c>
      <c r="M1679">
        <v>1</v>
      </c>
      <c r="O1679" s="31"/>
    </row>
    <row r="1680" spans="10:15" x14ac:dyDescent="0.25">
      <c r="J1680" t="s">
        <v>2152</v>
      </c>
      <c r="K1680" s="22" t="s">
        <v>20</v>
      </c>
      <c r="L1680">
        <v>1</v>
      </c>
    </row>
    <row r="1681" spans="10:15" x14ac:dyDescent="0.25">
      <c r="J1681" t="s">
        <v>3176</v>
      </c>
      <c r="K1681" s="22" t="s">
        <v>24</v>
      </c>
      <c r="L1681">
        <v>1</v>
      </c>
      <c r="M1681">
        <v>1</v>
      </c>
      <c r="O1681" s="31"/>
    </row>
    <row r="1682" spans="10:15" x14ac:dyDescent="0.25">
      <c r="J1682" t="s">
        <v>198</v>
      </c>
      <c r="K1682" s="22" t="s">
        <v>24</v>
      </c>
      <c r="L1682">
        <v>6</v>
      </c>
      <c r="M1682">
        <v>3</v>
      </c>
      <c r="O1682" s="30"/>
    </row>
    <row r="1683" spans="10:15" x14ac:dyDescent="0.25">
      <c r="J1683" t="s">
        <v>198</v>
      </c>
      <c r="K1683" s="22" t="s">
        <v>20</v>
      </c>
      <c r="L1683">
        <v>12</v>
      </c>
      <c r="M1683">
        <v>6</v>
      </c>
      <c r="O1683" s="30"/>
    </row>
    <row r="1684" spans="10:15" x14ac:dyDescent="0.25">
      <c r="J1684" t="s">
        <v>198</v>
      </c>
      <c r="K1684" s="22" t="s">
        <v>30</v>
      </c>
      <c r="L1684">
        <v>5</v>
      </c>
      <c r="M1684">
        <v>2</v>
      </c>
      <c r="O1684" s="31"/>
    </row>
    <row r="1685" spans="10:15" x14ac:dyDescent="0.25">
      <c r="J1685" t="s">
        <v>198</v>
      </c>
      <c r="K1685" s="22" t="s">
        <v>28</v>
      </c>
      <c r="L1685">
        <v>16</v>
      </c>
      <c r="M1685">
        <v>7</v>
      </c>
      <c r="O1685" s="31"/>
    </row>
    <row r="1686" spans="10:15" x14ac:dyDescent="0.25">
      <c r="J1686" t="s">
        <v>198</v>
      </c>
      <c r="K1686" s="22" t="s">
        <v>35</v>
      </c>
      <c r="L1686">
        <v>10</v>
      </c>
      <c r="M1686">
        <v>2</v>
      </c>
      <c r="O1686" s="31"/>
    </row>
    <row r="1687" spans="10:15" x14ac:dyDescent="0.25">
      <c r="J1687" t="s">
        <v>198</v>
      </c>
      <c r="K1687" s="22" t="s">
        <v>22</v>
      </c>
      <c r="L1687">
        <v>5</v>
      </c>
      <c r="M1687">
        <v>2</v>
      </c>
      <c r="O1687" s="31"/>
    </row>
    <row r="1688" spans="10:15" x14ac:dyDescent="0.25">
      <c r="J1688" t="s">
        <v>198</v>
      </c>
      <c r="K1688" s="22" t="s">
        <v>31</v>
      </c>
      <c r="L1688">
        <v>13</v>
      </c>
      <c r="M1688">
        <v>8</v>
      </c>
      <c r="O1688" s="31"/>
    </row>
    <row r="1689" spans="10:15" x14ac:dyDescent="0.25">
      <c r="J1689" t="s">
        <v>801</v>
      </c>
      <c r="K1689" s="22" t="s">
        <v>24</v>
      </c>
      <c r="L1689">
        <v>2</v>
      </c>
      <c r="M1689">
        <v>1</v>
      </c>
    </row>
    <row r="1690" spans="10:15" x14ac:dyDescent="0.25">
      <c r="J1690" t="s">
        <v>801</v>
      </c>
      <c r="K1690" s="22" t="s">
        <v>20</v>
      </c>
      <c r="L1690">
        <v>6</v>
      </c>
      <c r="M1690">
        <v>2</v>
      </c>
      <c r="O1690" s="30"/>
    </row>
    <row r="1691" spans="10:15" x14ac:dyDescent="0.25">
      <c r="J1691" t="s">
        <v>801</v>
      </c>
      <c r="K1691" s="22" t="s">
        <v>30</v>
      </c>
      <c r="L1691">
        <v>4</v>
      </c>
      <c r="O1691" s="30"/>
    </row>
    <row r="1692" spans="10:15" x14ac:dyDescent="0.25">
      <c r="J1692" t="s">
        <v>801</v>
      </c>
      <c r="K1692" s="22" t="s">
        <v>28</v>
      </c>
      <c r="L1692">
        <v>2</v>
      </c>
      <c r="M1692">
        <v>1</v>
      </c>
    </row>
    <row r="1693" spans="10:15" x14ac:dyDescent="0.25">
      <c r="J1693" t="s">
        <v>801</v>
      </c>
      <c r="K1693" s="22" t="s">
        <v>35</v>
      </c>
      <c r="L1693">
        <v>1</v>
      </c>
    </row>
    <row r="1694" spans="10:15" x14ac:dyDescent="0.25">
      <c r="J1694" t="s">
        <v>801</v>
      </c>
      <c r="K1694" s="22" t="s">
        <v>22</v>
      </c>
      <c r="L1694">
        <v>3</v>
      </c>
      <c r="O1694" s="30"/>
    </row>
    <row r="1695" spans="10:15" x14ac:dyDescent="0.25">
      <c r="J1695" t="s">
        <v>1510</v>
      </c>
      <c r="K1695" s="22" t="s">
        <v>24</v>
      </c>
      <c r="L1695">
        <v>3</v>
      </c>
      <c r="M1695">
        <v>2</v>
      </c>
    </row>
    <row r="1696" spans="10:15" x14ac:dyDescent="0.25">
      <c r="J1696" t="s">
        <v>1510</v>
      </c>
      <c r="K1696" s="22" t="s">
        <v>20</v>
      </c>
      <c r="L1696">
        <v>2</v>
      </c>
      <c r="O1696" s="30"/>
    </row>
    <row r="1697" spans="10:15" x14ac:dyDescent="0.25">
      <c r="J1697" t="s">
        <v>1510</v>
      </c>
      <c r="K1697" s="22" t="s">
        <v>30</v>
      </c>
      <c r="L1697">
        <v>1</v>
      </c>
      <c r="M1697">
        <v>1</v>
      </c>
      <c r="O1697" s="31"/>
    </row>
    <row r="1698" spans="10:15" x14ac:dyDescent="0.25">
      <c r="J1698" t="s">
        <v>1510</v>
      </c>
      <c r="K1698" s="22" t="s">
        <v>35</v>
      </c>
      <c r="L1698">
        <v>1</v>
      </c>
    </row>
    <row r="1699" spans="10:15" x14ac:dyDescent="0.25">
      <c r="J1699" t="s">
        <v>2306</v>
      </c>
      <c r="K1699" s="22" t="s">
        <v>20</v>
      </c>
      <c r="L1699">
        <v>4</v>
      </c>
      <c r="M1699">
        <v>3</v>
      </c>
      <c r="O1699" s="30"/>
    </row>
    <row r="1700" spans="10:15" x14ac:dyDescent="0.25">
      <c r="J1700" t="s">
        <v>2306</v>
      </c>
      <c r="K1700" s="22" t="s">
        <v>30</v>
      </c>
      <c r="L1700">
        <v>2</v>
      </c>
      <c r="M1700">
        <v>1</v>
      </c>
      <c r="O1700" s="31"/>
    </row>
    <row r="1701" spans="10:15" x14ac:dyDescent="0.25">
      <c r="J1701" t="s">
        <v>1196</v>
      </c>
      <c r="K1701" s="22" t="s">
        <v>24</v>
      </c>
      <c r="L1701">
        <v>1</v>
      </c>
    </row>
    <row r="1702" spans="10:15" x14ac:dyDescent="0.25">
      <c r="J1702" t="s">
        <v>1196</v>
      </c>
      <c r="K1702" s="22" t="s">
        <v>30</v>
      </c>
      <c r="L1702">
        <v>1</v>
      </c>
    </row>
    <row r="1703" spans="10:15" x14ac:dyDescent="0.25">
      <c r="J1703" t="s">
        <v>1196</v>
      </c>
      <c r="K1703" s="22" t="s">
        <v>35</v>
      </c>
      <c r="L1703">
        <v>1</v>
      </c>
      <c r="M1703">
        <v>1</v>
      </c>
      <c r="O1703" s="31"/>
    </row>
    <row r="1704" spans="10:15" x14ac:dyDescent="0.25">
      <c r="J1704" t="s">
        <v>2938</v>
      </c>
      <c r="K1704" s="22" t="s">
        <v>24</v>
      </c>
      <c r="L1704">
        <v>1</v>
      </c>
      <c r="O1704" s="30"/>
    </row>
    <row r="1705" spans="10:15" x14ac:dyDescent="0.25">
      <c r="J1705" t="s">
        <v>2938</v>
      </c>
      <c r="K1705" s="22" t="s">
        <v>20</v>
      </c>
      <c r="L1705">
        <v>2</v>
      </c>
      <c r="M1705">
        <v>1</v>
      </c>
      <c r="O1705" s="30"/>
    </row>
    <row r="1706" spans="10:15" x14ac:dyDescent="0.25">
      <c r="J1706" t="s">
        <v>2938</v>
      </c>
      <c r="K1706" s="22" t="s">
        <v>30</v>
      </c>
      <c r="L1706">
        <v>1</v>
      </c>
    </row>
    <row r="1707" spans="10:15" x14ac:dyDescent="0.25">
      <c r="J1707" t="s">
        <v>2938</v>
      </c>
      <c r="K1707" s="22" t="s">
        <v>28</v>
      </c>
      <c r="L1707">
        <v>1</v>
      </c>
    </row>
    <row r="1708" spans="10:15" x14ac:dyDescent="0.25">
      <c r="J1708" t="s">
        <v>2938</v>
      </c>
      <c r="K1708" s="22" t="s">
        <v>22</v>
      </c>
      <c r="L1708">
        <v>2</v>
      </c>
      <c r="O1708" s="30"/>
    </row>
    <row r="1709" spans="10:15" x14ac:dyDescent="0.25">
      <c r="J1709" t="s">
        <v>2191</v>
      </c>
      <c r="K1709" s="22" t="s">
        <v>24</v>
      </c>
      <c r="L1709">
        <v>1</v>
      </c>
      <c r="M1709">
        <v>1</v>
      </c>
    </row>
    <row r="1710" spans="10:15" x14ac:dyDescent="0.25">
      <c r="J1710" t="s">
        <v>1399</v>
      </c>
      <c r="K1710" s="22" t="s">
        <v>20</v>
      </c>
      <c r="L1710">
        <v>8</v>
      </c>
      <c r="M1710">
        <v>7</v>
      </c>
      <c r="O1710" s="31"/>
    </row>
    <row r="1711" spans="10:15" x14ac:dyDescent="0.25">
      <c r="J1711" t="s">
        <v>1399</v>
      </c>
      <c r="K1711" s="22" t="s">
        <v>30</v>
      </c>
      <c r="L1711">
        <v>1</v>
      </c>
    </row>
    <row r="1712" spans="10:15" x14ac:dyDescent="0.25">
      <c r="J1712" t="s">
        <v>774</v>
      </c>
      <c r="K1712" s="22" t="s">
        <v>24</v>
      </c>
      <c r="L1712">
        <v>1</v>
      </c>
    </row>
    <row r="1713" spans="10:15" x14ac:dyDescent="0.25">
      <c r="J1713" t="s">
        <v>774</v>
      </c>
      <c r="K1713" s="22" t="s">
        <v>20</v>
      </c>
      <c r="L1713">
        <v>1</v>
      </c>
      <c r="M1713">
        <v>1</v>
      </c>
    </row>
    <row r="1714" spans="10:15" x14ac:dyDescent="0.25">
      <c r="J1714" t="s">
        <v>774</v>
      </c>
      <c r="K1714" s="22" t="s">
        <v>30</v>
      </c>
      <c r="L1714">
        <v>1</v>
      </c>
    </row>
    <row r="1715" spans="10:15" x14ac:dyDescent="0.25">
      <c r="J1715" t="s">
        <v>774</v>
      </c>
      <c r="K1715" s="22" t="s">
        <v>28</v>
      </c>
      <c r="L1715">
        <v>1</v>
      </c>
    </row>
    <row r="1716" spans="10:15" x14ac:dyDescent="0.25">
      <c r="J1716" t="s">
        <v>774</v>
      </c>
      <c r="K1716" s="22" t="s">
        <v>31</v>
      </c>
      <c r="L1716">
        <v>1</v>
      </c>
    </row>
    <row r="1717" spans="10:15" x14ac:dyDescent="0.25">
      <c r="J1717" t="s">
        <v>2942</v>
      </c>
      <c r="K1717" s="22" t="s">
        <v>20</v>
      </c>
      <c r="L1717">
        <v>1</v>
      </c>
    </row>
    <row r="1718" spans="10:15" x14ac:dyDescent="0.25">
      <c r="J1718" t="s">
        <v>2942</v>
      </c>
      <c r="K1718" s="22" t="s">
        <v>28</v>
      </c>
      <c r="L1718">
        <v>1</v>
      </c>
      <c r="O1718" s="30"/>
    </row>
    <row r="1719" spans="10:15" x14ac:dyDescent="0.25">
      <c r="J1719" t="s">
        <v>1663</v>
      </c>
      <c r="K1719" s="22" t="s">
        <v>24</v>
      </c>
      <c r="L1719">
        <v>1</v>
      </c>
    </row>
    <row r="1720" spans="10:15" x14ac:dyDescent="0.25">
      <c r="J1720" t="s">
        <v>1663</v>
      </c>
      <c r="K1720" s="22" t="s">
        <v>30</v>
      </c>
      <c r="L1720">
        <v>1</v>
      </c>
      <c r="O1720" s="30"/>
    </row>
    <row r="1721" spans="10:15" x14ac:dyDescent="0.25">
      <c r="J1721" t="s">
        <v>1663</v>
      </c>
      <c r="K1721" s="22" t="s">
        <v>28</v>
      </c>
      <c r="L1721">
        <v>1</v>
      </c>
      <c r="M1721">
        <v>1</v>
      </c>
      <c r="O1721" s="31"/>
    </row>
    <row r="1722" spans="10:15" x14ac:dyDescent="0.25">
      <c r="J1722" t="s">
        <v>1789</v>
      </c>
      <c r="K1722" s="22" t="s">
        <v>35</v>
      </c>
      <c r="L1722">
        <v>2</v>
      </c>
      <c r="M1722">
        <v>1</v>
      </c>
    </row>
    <row r="1723" spans="10:15" x14ac:dyDescent="0.25">
      <c r="J1723" t="s">
        <v>140</v>
      </c>
      <c r="K1723" s="22" t="s">
        <v>24</v>
      </c>
      <c r="L1723">
        <v>2</v>
      </c>
      <c r="M1723">
        <v>1</v>
      </c>
    </row>
    <row r="1724" spans="10:15" x14ac:dyDescent="0.25">
      <c r="J1724" t="s">
        <v>140</v>
      </c>
      <c r="K1724" s="22" t="s">
        <v>20</v>
      </c>
      <c r="L1724">
        <v>1</v>
      </c>
    </row>
    <row r="1725" spans="10:15" x14ac:dyDescent="0.25">
      <c r="J1725" t="s">
        <v>140</v>
      </c>
      <c r="K1725" s="22" t="s">
        <v>30</v>
      </c>
      <c r="L1725">
        <v>3</v>
      </c>
      <c r="O1725" s="30"/>
    </row>
    <row r="1726" spans="10:15" x14ac:dyDescent="0.25">
      <c r="J1726" t="s">
        <v>140</v>
      </c>
      <c r="K1726" s="22" t="s">
        <v>35</v>
      </c>
      <c r="L1726">
        <v>1</v>
      </c>
    </row>
    <row r="1727" spans="10:15" x14ac:dyDescent="0.25">
      <c r="J1727" t="s">
        <v>2971</v>
      </c>
      <c r="K1727" s="22" t="s">
        <v>20</v>
      </c>
      <c r="L1727">
        <v>1</v>
      </c>
    </row>
    <row r="1728" spans="10:15" x14ac:dyDescent="0.25">
      <c r="J1728" t="s">
        <v>811</v>
      </c>
      <c r="K1728" s="22" t="s">
        <v>24</v>
      </c>
      <c r="L1728">
        <v>3</v>
      </c>
      <c r="M1728">
        <v>2</v>
      </c>
      <c r="O1728" s="30"/>
    </row>
    <row r="1729" spans="10:15" x14ac:dyDescent="0.25">
      <c r="J1729" t="s">
        <v>811</v>
      </c>
      <c r="K1729" s="22" t="s">
        <v>30</v>
      </c>
      <c r="L1729">
        <v>1</v>
      </c>
      <c r="O1729" s="30"/>
    </row>
    <row r="1730" spans="10:15" x14ac:dyDescent="0.25">
      <c r="J1730" t="s">
        <v>811</v>
      </c>
      <c r="K1730" s="22" t="s">
        <v>22</v>
      </c>
      <c r="L1730">
        <v>4</v>
      </c>
    </row>
    <row r="1731" spans="10:15" x14ac:dyDescent="0.25">
      <c r="J1731" t="s">
        <v>811</v>
      </c>
      <c r="K1731" s="22" t="s">
        <v>31</v>
      </c>
      <c r="L1731">
        <v>4</v>
      </c>
      <c r="M1731">
        <v>1</v>
      </c>
      <c r="O1731" s="30"/>
    </row>
    <row r="1732" spans="10:15" x14ac:dyDescent="0.25">
      <c r="J1732" t="s">
        <v>1872</v>
      </c>
      <c r="K1732" s="22" t="s">
        <v>24</v>
      </c>
      <c r="L1732">
        <v>3</v>
      </c>
      <c r="O1732" s="30"/>
    </row>
    <row r="1733" spans="10:15" x14ac:dyDescent="0.25">
      <c r="J1733" t="s">
        <v>1872</v>
      </c>
      <c r="K1733" s="22" t="s">
        <v>20</v>
      </c>
      <c r="L1733">
        <v>1</v>
      </c>
    </row>
    <row r="1734" spans="10:15" x14ac:dyDescent="0.25">
      <c r="J1734" t="s">
        <v>1872</v>
      </c>
      <c r="K1734" s="22" t="s">
        <v>30</v>
      </c>
      <c r="L1734">
        <v>2</v>
      </c>
      <c r="O1734" s="30"/>
    </row>
    <row r="1735" spans="10:15" x14ac:dyDescent="0.25">
      <c r="J1735" t="s">
        <v>1872</v>
      </c>
      <c r="K1735" s="22" t="s">
        <v>22</v>
      </c>
      <c r="L1735">
        <v>1</v>
      </c>
      <c r="O1735" s="30"/>
    </row>
    <row r="1736" spans="10:15" x14ac:dyDescent="0.25">
      <c r="J1736" t="s">
        <v>1066</v>
      </c>
      <c r="K1736" s="22" t="s">
        <v>20</v>
      </c>
      <c r="L1736">
        <v>1</v>
      </c>
      <c r="M1736">
        <v>1</v>
      </c>
      <c r="O1736" s="31"/>
    </row>
    <row r="1737" spans="10:15" x14ac:dyDescent="0.25">
      <c r="J1737" t="s">
        <v>1066</v>
      </c>
      <c r="K1737" s="22" t="s">
        <v>30</v>
      </c>
      <c r="L1737">
        <v>1</v>
      </c>
    </row>
    <row r="1738" spans="10:15" x14ac:dyDescent="0.25">
      <c r="J1738" t="s">
        <v>3247</v>
      </c>
      <c r="K1738" s="22" t="s">
        <v>30</v>
      </c>
      <c r="L1738">
        <v>1</v>
      </c>
      <c r="O1738" s="30"/>
    </row>
    <row r="1739" spans="10:15" x14ac:dyDescent="0.25">
      <c r="J1739" t="s">
        <v>1656</v>
      </c>
      <c r="K1739" s="22" t="s">
        <v>24</v>
      </c>
      <c r="L1739">
        <v>2</v>
      </c>
      <c r="M1739">
        <v>1</v>
      </c>
      <c r="O1739" s="31"/>
    </row>
    <row r="1740" spans="10:15" x14ac:dyDescent="0.25">
      <c r="J1740" t="s">
        <v>1656</v>
      </c>
      <c r="K1740" s="22" t="s">
        <v>20</v>
      </c>
      <c r="L1740">
        <v>3</v>
      </c>
      <c r="M1740">
        <v>1</v>
      </c>
      <c r="O1740" s="30"/>
    </row>
    <row r="1741" spans="10:15" x14ac:dyDescent="0.25">
      <c r="J1741" t="s">
        <v>1656</v>
      </c>
      <c r="K1741" s="22" t="s">
        <v>30</v>
      </c>
      <c r="L1741">
        <v>1</v>
      </c>
    </row>
    <row r="1742" spans="10:15" x14ac:dyDescent="0.25">
      <c r="J1742" t="s">
        <v>1656</v>
      </c>
      <c r="K1742" s="22" t="s">
        <v>35</v>
      </c>
      <c r="L1742">
        <v>1</v>
      </c>
      <c r="O1742" s="30"/>
    </row>
    <row r="1743" spans="10:15" x14ac:dyDescent="0.25">
      <c r="J1743" t="s">
        <v>1656</v>
      </c>
      <c r="K1743" s="22" t="s">
        <v>22</v>
      </c>
      <c r="L1743">
        <v>1</v>
      </c>
      <c r="O1743" s="30"/>
    </row>
    <row r="1744" spans="10:15" x14ac:dyDescent="0.25">
      <c r="J1744" t="s">
        <v>1656</v>
      </c>
      <c r="K1744" s="22" t="s">
        <v>31</v>
      </c>
      <c r="L1744">
        <v>1</v>
      </c>
      <c r="O1744" s="30"/>
    </row>
    <row r="1745" spans="10:15" x14ac:dyDescent="0.25">
      <c r="J1745" t="s">
        <v>1712</v>
      </c>
      <c r="K1745" s="22" t="s">
        <v>24</v>
      </c>
      <c r="L1745">
        <v>1</v>
      </c>
    </row>
    <row r="1746" spans="10:15" x14ac:dyDescent="0.25">
      <c r="J1746" t="s">
        <v>1712</v>
      </c>
      <c r="K1746" s="22" t="s">
        <v>20</v>
      </c>
      <c r="L1746">
        <v>1</v>
      </c>
    </row>
    <row r="1747" spans="10:15" x14ac:dyDescent="0.25">
      <c r="J1747" t="s">
        <v>1712</v>
      </c>
      <c r="K1747" s="22" t="s">
        <v>35</v>
      </c>
      <c r="L1747">
        <v>2</v>
      </c>
      <c r="M1747">
        <v>1</v>
      </c>
      <c r="O1747" s="30"/>
    </row>
    <row r="1748" spans="10:15" x14ac:dyDescent="0.25">
      <c r="J1748" t="s">
        <v>1712</v>
      </c>
      <c r="K1748" s="22" t="s">
        <v>22</v>
      </c>
      <c r="L1748">
        <v>2</v>
      </c>
      <c r="O1748" s="30"/>
    </row>
    <row r="1749" spans="10:15" x14ac:dyDescent="0.25">
      <c r="J1749" t="s">
        <v>1225</v>
      </c>
      <c r="K1749" s="22" t="s">
        <v>24</v>
      </c>
      <c r="L1749">
        <v>2</v>
      </c>
      <c r="M1749">
        <v>2</v>
      </c>
    </row>
    <row r="1750" spans="10:15" x14ac:dyDescent="0.25">
      <c r="J1750" t="s">
        <v>1225</v>
      </c>
      <c r="K1750" s="22" t="s">
        <v>20</v>
      </c>
      <c r="L1750">
        <v>2</v>
      </c>
      <c r="O1750" s="30"/>
    </row>
    <row r="1751" spans="10:15" x14ac:dyDescent="0.25">
      <c r="J1751" t="s">
        <v>1225</v>
      </c>
      <c r="K1751" s="22" t="s">
        <v>30</v>
      </c>
      <c r="L1751">
        <v>1</v>
      </c>
    </row>
    <row r="1752" spans="10:15" x14ac:dyDescent="0.25">
      <c r="J1752" t="s">
        <v>1225</v>
      </c>
      <c r="K1752" s="22" t="s">
        <v>35</v>
      </c>
      <c r="L1752">
        <v>2</v>
      </c>
      <c r="O1752" s="30"/>
    </row>
    <row r="1753" spans="10:15" x14ac:dyDescent="0.25">
      <c r="J1753" t="s">
        <v>1098</v>
      </c>
      <c r="K1753" s="22" t="s">
        <v>24</v>
      </c>
      <c r="L1753">
        <v>3</v>
      </c>
      <c r="O1753" s="30"/>
    </row>
    <row r="1754" spans="10:15" x14ac:dyDescent="0.25">
      <c r="J1754" t="s">
        <v>1098</v>
      </c>
      <c r="K1754" s="22" t="s">
        <v>20</v>
      </c>
      <c r="L1754">
        <v>1</v>
      </c>
    </row>
    <row r="1755" spans="10:15" x14ac:dyDescent="0.25">
      <c r="J1755" t="s">
        <v>1098</v>
      </c>
      <c r="K1755" s="22" t="s">
        <v>30</v>
      </c>
      <c r="L1755">
        <v>1</v>
      </c>
    </row>
    <row r="1756" spans="10:15" x14ac:dyDescent="0.25">
      <c r="J1756" t="s">
        <v>1098</v>
      </c>
      <c r="K1756" s="22" t="s">
        <v>35</v>
      </c>
      <c r="L1756">
        <v>1</v>
      </c>
    </row>
    <row r="1757" spans="10:15" x14ac:dyDescent="0.25">
      <c r="J1757" t="s">
        <v>1884</v>
      </c>
      <c r="K1757" s="22" t="s">
        <v>24</v>
      </c>
      <c r="L1757">
        <v>2</v>
      </c>
      <c r="O1757" s="30"/>
    </row>
    <row r="1758" spans="10:15" x14ac:dyDescent="0.25">
      <c r="J1758" t="s">
        <v>1884</v>
      </c>
      <c r="K1758" s="22" t="s">
        <v>20</v>
      </c>
      <c r="L1758">
        <v>1</v>
      </c>
    </row>
    <row r="1759" spans="10:15" x14ac:dyDescent="0.25">
      <c r="J1759" t="s">
        <v>1884</v>
      </c>
      <c r="K1759" s="22" t="s">
        <v>30</v>
      </c>
      <c r="L1759">
        <v>1</v>
      </c>
    </row>
    <row r="1760" spans="10:15" x14ac:dyDescent="0.25">
      <c r="J1760" t="s">
        <v>1884</v>
      </c>
      <c r="K1760" s="22" t="s">
        <v>22</v>
      </c>
      <c r="L1760">
        <v>2</v>
      </c>
      <c r="O1760" s="30"/>
    </row>
    <row r="1761" spans="10:15" x14ac:dyDescent="0.25">
      <c r="J1761" t="s">
        <v>1884</v>
      </c>
      <c r="K1761" s="22" t="s">
        <v>31</v>
      </c>
      <c r="L1761">
        <v>3</v>
      </c>
      <c r="M1761">
        <v>1</v>
      </c>
      <c r="O1761" s="30"/>
    </row>
    <row r="1762" spans="10:15" x14ac:dyDescent="0.25">
      <c r="J1762" t="s">
        <v>1867</v>
      </c>
      <c r="K1762" s="22" t="s">
        <v>24</v>
      </c>
      <c r="L1762">
        <v>1</v>
      </c>
      <c r="O1762" s="30"/>
    </row>
    <row r="1763" spans="10:15" x14ac:dyDescent="0.25">
      <c r="J1763" t="s">
        <v>1867</v>
      </c>
      <c r="K1763" s="22" t="s">
        <v>22</v>
      </c>
      <c r="L1763">
        <v>1</v>
      </c>
    </row>
    <row r="1764" spans="10:15" x14ac:dyDescent="0.25">
      <c r="J1764" t="s">
        <v>1638</v>
      </c>
      <c r="K1764" s="22" t="s">
        <v>20</v>
      </c>
      <c r="L1764">
        <v>1</v>
      </c>
    </row>
    <row r="1765" spans="10:15" x14ac:dyDescent="0.25">
      <c r="J1765" t="s">
        <v>2552</v>
      </c>
      <c r="K1765" s="22" t="s">
        <v>24</v>
      </c>
      <c r="L1765">
        <v>2</v>
      </c>
      <c r="M1765">
        <v>1</v>
      </c>
      <c r="O1765" s="30"/>
    </row>
    <row r="1766" spans="10:15" x14ac:dyDescent="0.25">
      <c r="J1766" t="s">
        <v>2888</v>
      </c>
      <c r="K1766" s="22" t="s">
        <v>30</v>
      </c>
      <c r="L1766">
        <v>1</v>
      </c>
    </row>
    <row r="1767" spans="10:15" x14ac:dyDescent="0.25">
      <c r="J1767" t="s">
        <v>660</v>
      </c>
      <c r="K1767" s="22" t="s">
        <v>24</v>
      </c>
      <c r="L1767">
        <v>3</v>
      </c>
      <c r="O1767" s="30"/>
    </row>
    <row r="1768" spans="10:15" x14ac:dyDescent="0.25">
      <c r="J1768" t="s">
        <v>660</v>
      </c>
      <c r="K1768" s="22" t="s">
        <v>20</v>
      </c>
      <c r="L1768">
        <v>3</v>
      </c>
      <c r="O1768" s="30"/>
    </row>
    <row r="1769" spans="10:15" x14ac:dyDescent="0.25">
      <c r="J1769" t="s">
        <v>660</v>
      </c>
      <c r="K1769" s="22" t="s">
        <v>30</v>
      </c>
      <c r="L1769">
        <v>1</v>
      </c>
    </row>
    <row r="1770" spans="10:15" x14ac:dyDescent="0.25">
      <c r="J1770" t="s">
        <v>1523</v>
      </c>
      <c r="K1770" s="22" t="s">
        <v>20</v>
      </c>
      <c r="L1770">
        <v>2</v>
      </c>
      <c r="M1770">
        <v>1</v>
      </c>
      <c r="O1770" s="30"/>
    </row>
    <row r="1771" spans="10:15" x14ac:dyDescent="0.25">
      <c r="J1771" t="s">
        <v>1523</v>
      </c>
      <c r="K1771" s="22" t="s">
        <v>29</v>
      </c>
      <c r="L1771">
        <v>5</v>
      </c>
      <c r="M1771">
        <v>4</v>
      </c>
      <c r="O1771" s="31"/>
    </row>
    <row r="1772" spans="10:15" x14ac:dyDescent="0.25">
      <c r="J1772" t="s">
        <v>857</v>
      </c>
      <c r="K1772" s="22" t="s">
        <v>24</v>
      </c>
      <c r="L1772">
        <v>2</v>
      </c>
      <c r="M1772">
        <v>1</v>
      </c>
    </row>
    <row r="1773" spans="10:15" x14ac:dyDescent="0.25">
      <c r="J1773" t="s">
        <v>857</v>
      </c>
      <c r="K1773" s="22" t="s">
        <v>20</v>
      </c>
      <c r="L1773">
        <v>2</v>
      </c>
      <c r="O1773" s="30"/>
    </row>
    <row r="1774" spans="10:15" x14ac:dyDescent="0.25">
      <c r="J1774" t="s">
        <v>857</v>
      </c>
      <c r="K1774" s="22" t="s">
        <v>29</v>
      </c>
      <c r="L1774">
        <v>2</v>
      </c>
      <c r="M1774">
        <v>1</v>
      </c>
      <c r="O1774" s="30"/>
    </row>
    <row r="1775" spans="10:15" x14ac:dyDescent="0.25">
      <c r="J1775" t="s">
        <v>857</v>
      </c>
      <c r="K1775" s="22" t="s">
        <v>28</v>
      </c>
      <c r="L1775">
        <v>1</v>
      </c>
    </row>
    <row r="1776" spans="10:15" x14ac:dyDescent="0.25">
      <c r="J1776" t="s">
        <v>857</v>
      </c>
      <c r="K1776" s="22" t="s">
        <v>22</v>
      </c>
      <c r="L1776">
        <v>2</v>
      </c>
      <c r="O1776" s="30"/>
    </row>
    <row r="1777" spans="10:15" x14ac:dyDescent="0.25">
      <c r="J1777" t="s">
        <v>1717</v>
      </c>
      <c r="K1777" s="22" t="s">
        <v>24</v>
      </c>
      <c r="L1777">
        <v>1</v>
      </c>
      <c r="O1777" s="30"/>
    </row>
    <row r="1778" spans="10:15" x14ac:dyDescent="0.25">
      <c r="J1778" t="s">
        <v>1717</v>
      </c>
      <c r="K1778" s="22" t="s">
        <v>29</v>
      </c>
      <c r="L1778">
        <v>1</v>
      </c>
    </row>
    <row r="1779" spans="10:15" x14ac:dyDescent="0.25">
      <c r="J1779" t="s">
        <v>1717</v>
      </c>
      <c r="K1779" s="22" t="s">
        <v>28</v>
      </c>
      <c r="L1779">
        <v>1</v>
      </c>
    </row>
    <row r="1780" spans="10:15" x14ac:dyDescent="0.25">
      <c r="J1780" t="s">
        <v>1717</v>
      </c>
      <c r="K1780" s="22" t="s">
        <v>31</v>
      </c>
      <c r="L1780">
        <v>1</v>
      </c>
      <c r="M1780">
        <v>1</v>
      </c>
      <c r="O1780" s="31"/>
    </row>
    <row r="1781" spans="10:15" x14ac:dyDescent="0.25">
      <c r="J1781" t="s">
        <v>644</v>
      </c>
      <c r="K1781" s="22" t="s">
        <v>29</v>
      </c>
      <c r="L1781">
        <v>1</v>
      </c>
      <c r="M1781">
        <v>1</v>
      </c>
    </row>
    <row r="1782" spans="10:15" x14ac:dyDescent="0.25">
      <c r="J1782" t="s">
        <v>644</v>
      </c>
      <c r="K1782" s="22" t="s">
        <v>35</v>
      </c>
      <c r="L1782">
        <v>2</v>
      </c>
    </row>
    <row r="1783" spans="10:15" x14ac:dyDescent="0.25">
      <c r="J1783" t="s">
        <v>3502</v>
      </c>
      <c r="K1783" s="22" t="s">
        <v>29</v>
      </c>
      <c r="L1783">
        <v>1</v>
      </c>
      <c r="O1783" s="30"/>
    </row>
    <row r="1784" spans="10:15" x14ac:dyDescent="0.25">
      <c r="J1784" t="s">
        <v>649</v>
      </c>
      <c r="K1784" s="22" t="s">
        <v>24</v>
      </c>
      <c r="L1784">
        <v>3</v>
      </c>
    </row>
    <row r="1785" spans="10:15" x14ac:dyDescent="0.25">
      <c r="J1785" t="s">
        <v>649</v>
      </c>
      <c r="K1785" s="22" t="s">
        <v>20</v>
      </c>
      <c r="L1785">
        <v>2</v>
      </c>
    </row>
    <row r="1786" spans="10:15" x14ac:dyDescent="0.25">
      <c r="J1786" t="s">
        <v>649</v>
      </c>
      <c r="K1786" s="22" t="s">
        <v>29</v>
      </c>
      <c r="L1786">
        <v>5</v>
      </c>
      <c r="O1786" s="30"/>
    </row>
    <row r="1787" spans="10:15" x14ac:dyDescent="0.25">
      <c r="J1787" t="s">
        <v>649</v>
      </c>
      <c r="K1787" s="22" t="s">
        <v>35</v>
      </c>
      <c r="L1787">
        <v>2</v>
      </c>
      <c r="M1787">
        <v>1</v>
      </c>
      <c r="O1787" s="31"/>
    </row>
    <row r="1788" spans="10:15" x14ac:dyDescent="0.25">
      <c r="J1788" t="s">
        <v>1557</v>
      </c>
      <c r="K1788" s="22" t="s">
        <v>22</v>
      </c>
      <c r="L1788">
        <v>6</v>
      </c>
      <c r="M1788">
        <v>4</v>
      </c>
      <c r="O1788" s="30"/>
    </row>
    <row r="1789" spans="10:15" x14ac:dyDescent="0.25">
      <c r="J1789" t="s">
        <v>1557</v>
      </c>
      <c r="K1789" s="22" t="s">
        <v>31</v>
      </c>
      <c r="L1789">
        <v>1</v>
      </c>
      <c r="M1789">
        <v>1</v>
      </c>
      <c r="O1789" s="31"/>
    </row>
    <row r="1790" spans="10:15" x14ac:dyDescent="0.25">
      <c r="J1790" t="s">
        <v>2325</v>
      </c>
      <c r="K1790" s="22" t="s">
        <v>24</v>
      </c>
      <c r="L1790">
        <v>1</v>
      </c>
    </row>
    <row r="1791" spans="10:15" x14ac:dyDescent="0.25">
      <c r="J1791" t="s">
        <v>2325</v>
      </c>
      <c r="K1791" s="22" t="s">
        <v>20</v>
      </c>
      <c r="L1791">
        <v>1</v>
      </c>
    </row>
    <row r="1792" spans="10:15" x14ac:dyDescent="0.25">
      <c r="J1792" t="s">
        <v>2325</v>
      </c>
      <c r="K1792" s="22" t="s">
        <v>22</v>
      </c>
      <c r="L1792">
        <v>1</v>
      </c>
    </row>
    <row r="1793" spans="10:15" x14ac:dyDescent="0.25">
      <c r="J1793" t="s">
        <v>2164</v>
      </c>
      <c r="K1793" s="22" t="s">
        <v>20</v>
      </c>
      <c r="L1793">
        <v>2</v>
      </c>
      <c r="M1793">
        <v>2</v>
      </c>
      <c r="O1793" s="31"/>
    </row>
    <row r="1794" spans="10:15" x14ac:dyDescent="0.25">
      <c r="J1794" t="s">
        <v>3079</v>
      </c>
      <c r="K1794" s="22" t="s">
        <v>24</v>
      </c>
      <c r="L1794">
        <v>1</v>
      </c>
      <c r="M1794">
        <v>1</v>
      </c>
      <c r="O1794" s="31"/>
    </row>
    <row r="1795" spans="10:15" x14ac:dyDescent="0.25">
      <c r="J1795" t="s">
        <v>133</v>
      </c>
      <c r="K1795" s="22" t="s">
        <v>24</v>
      </c>
      <c r="L1795">
        <v>2</v>
      </c>
      <c r="O1795" s="30"/>
    </row>
    <row r="1796" spans="10:15" x14ac:dyDescent="0.25">
      <c r="J1796" t="s">
        <v>133</v>
      </c>
      <c r="K1796" s="22" t="s">
        <v>20</v>
      </c>
      <c r="L1796">
        <v>2</v>
      </c>
      <c r="O1796" s="30"/>
    </row>
    <row r="1797" spans="10:15" x14ac:dyDescent="0.25">
      <c r="J1797" t="s">
        <v>133</v>
      </c>
      <c r="K1797" s="22" t="s">
        <v>35</v>
      </c>
      <c r="L1797">
        <v>1</v>
      </c>
      <c r="M1797">
        <v>1</v>
      </c>
    </row>
    <row r="1798" spans="10:15" x14ac:dyDescent="0.25">
      <c r="J1798" t="s">
        <v>2209</v>
      </c>
      <c r="K1798" s="22" t="s">
        <v>24</v>
      </c>
      <c r="L1798">
        <v>1</v>
      </c>
    </row>
    <row r="1799" spans="10:15" x14ac:dyDescent="0.25">
      <c r="J1799" t="s">
        <v>2209</v>
      </c>
      <c r="K1799" s="22" t="s">
        <v>20</v>
      </c>
      <c r="L1799">
        <v>1</v>
      </c>
    </row>
    <row r="1800" spans="10:15" x14ac:dyDescent="0.25">
      <c r="J1800" t="s">
        <v>2209</v>
      </c>
      <c r="K1800" s="22" t="s">
        <v>28</v>
      </c>
      <c r="L1800">
        <v>1</v>
      </c>
    </row>
    <row r="1801" spans="10:15" x14ac:dyDescent="0.25">
      <c r="J1801" t="s">
        <v>2209</v>
      </c>
      <c r="K1801" s="22" t="s">
        <v>22</v>
      </c>
      <c r="L1801">
        <v>1</v>
      </c>
    </row>
    <row r="1802" spans="10:15" x14ac:dyDescent="0.25">
      <c r="J1802" t="s">
        <v>1443</v>
      </c>
      <c r="K1802" s="22" t="s">
        <v>24</v>
      </c>
      <c r="L1802">
        <v>2</v>
      </c>
      <c r="M1802">
        <v>2</v>
      </c>
      <c r="O1802" s="31"/>
    </row>
    <row r="1803" spans="10:15" x14ac:dyDescent="0.25">
      <c r="J1803" t="s">
        <v>1443</v>
      </c>
      <c r="K1803" s="22" t="s">
        <v>35</v>
      </c>
      <c r="L1803">
        <v>2</v>
      </c>
      <c r="M1803">
        <v>1</v>
      </c>
    </row>
    <row r="1804" spans="10:15" x14ac:dyDescent="0.25">
      <c r="J1804" t="s">
        <v>1361</v>
      </c>
      <c r="K1804" s="22" t="s">
        <v>24</v>
      </c>
      <c r="L1804">
        <v>1</v>
      </c>
    </row>
    <row r="1805" spans="10:15" x14ac:dyDescent="0.25">
      <c r="J1805" t="s">
        <v>1361</v>
      </c>
      <c r="K1805" s="22" t="s">
        <v>20</v>
      </c>
      <c r="L1805">
        <v>1</v>
      </c>
    </row>
    <row r="1806" spans="10:15" x14ac:dyDescent="0.25">
      <c r="J1806" t="s">
        <v>1361</v>
      </c>
      <c r="K1806" s="22" t="s">
        <v>28</v>
      </c>
      <c r="L1806">
        <v>1</v>
      </c>
    </row>
    <row r="1807" spans="10:15" x14ac:dyDescent="0.25">
      <c r="J1807" t="s">
        <v>1361</v>
      </c>
      <c r="K1807" s="22" t="s">
        <v>35</v>
      </c>
      <c r="L1807">
        <v>1</v>
      </c>
      <c r="M1807">
        <v>1</v>
      </c>
      <c r="O1807" s="31"/>
    </row>
    <row r="1808" spans="10:15" x14ac:dyDescent="0.25">
      <c r="J1808" t="s">
        <v>2796</v>
      </c>
      <c r="K1808" s="22" t="s">
        <v>28</v>
      </c>
      <c r="L1808">
        <v>1</v>
      </c>
    </row>
    <row r="1809" spans="10:15" x14ac:dyDescent="0.25">
      <c r="J1809" t="s">
        <v>2693</v>
      </c>
      <c r="K1809" s="22" t="s">
        <v>20</v>
      </c>
      <c r="L1809">
        <v>2</v>
      </c>
      <c r="M1809">
        <v>1</v>
      </c>
      <c r="O1809" s="30"/>
    </row>
    <row r="1810" spans="10:15" x14ac:dyDescent="0.25">
      <c r="J1810" t="s">
        <v>2693</v>
      </c>
      <c r="K1810" s="22" t="s">
        <v>28</v>
      </c>
      <c r="L1810">
        <v>2</v>
      </c>
      <c r="O1810" s="30"/>
    </row>
    <row r="1811" spans="10:15" x14ac:dyDescent="0.25">
      <c r="J1811" t="s">
        <v>639</v>
      </c>
      <c r="K1811" s="22" t="s">
        <v>24</v>
      </c>
      <c r="L1811">
        <v>2</v>
      </c>
      <c r="O1811" s="30"/>
    </row>
    <row r="1812" spans="10:15" x14ac:dyDescent="0.25">
      <c r="J1812" t="s">
        <v>639</v>
      </c>
      <c r="K1812" s="22" t="s">
        <v>20</v>
      </c>
      <c r="L1812">
        <v>3</v>
      </c>
      <c r="M1812">
        <v>1</v>
      </c>
      <c r="O1812" s="30"/>
    </row>
    <row r="1813" spans="10:15" x14ac:dyDescent="0.25">
      <c r="J1813" t="s">
        <v>639</v>
      </c>
      <c r="K1813" s="22" t="s">
        <v>28</v>
      </c>
      <c r="L1813">
        <v>2</v>
      </c>
      <c r="O1813" s="30"/>
    </row>
    <row r="1814" spans="10:15" x14ac:dyDescent="0.25">
      <c r="J1814" t="s">
        <v>639</v>
      </c>
      <c r="K1814" s="22" t="s">
        <v>31</v>
      </c>
      <c r="L1814">
        <v>2</v>
      </c>
      <c r="O1814" s="30"/>
    </row>
    <row r="1815" spans="10:15" x14ac:dyDescent="0.25">
      <c r="J1815" t="s">
        <v>777</v>
      </c>
      <c r="K1815" s="22" t="s">
        <v>24</v>
      </c>
      <c r="L1815">
        <v>2</v>
      </c>
      <c r="O1815" s="30"/>
    </row>
    <row r="1816" spans="10:15" x14ac:dyDescent="0.25">
      <c r="J1816" t="s">
        <v>777</v>
      </c>
      <c r="K1816" s="22" t="s">
        <v>31</v>
      </c>
      <c r="L1816">
        <v>1</v>
      </c>
      <c r="M1816">
        <v>1</v>
      </c>
    </row>
    <row r="1817" spans="10:15" x14ac:dyDescent="0.25">
      <c r="J1817" t="s">
        <v>1166</v>
      </c>
      <c r="K1817" s="22" t="s">
        <v>24</v>
      </c>
      <c r="L1817">
        <v>2</v>
      </c>
      <c r="M1817">
        <v>1</v>
      </c>
      <c r="O1817" s="31"/>
    </row>
    <row r="1818" spans="10:15" x14ac:dyDescent="0.25">
      <c r="J1818" t="s">
        <v>1166</v>
      </c>
      <c r="K1818" s="22" t="s">
        <v>20</v>
      </c>
      <c r="L1818">
        <v>1</v>
      </c>
    </row>
    <row r="1819" spans="10:15" x14ac:dyDescent="0.25">
      <c r="J1819" t="s">
        <v>1166</v>
      </c>
      <c r="K1819" s="22" t="s">
        <v>35</v>
      </c>
      <c r="L1819">
        <v>1</v>
      </c>
      <c r="O1819" s="30"/>
    </row>
    <row r="1820" spans="10:15" x14ac:dyDescent="0.25">
      <c r="J1820" t="s">
        <v>1166</v>
      </c>
      <c r="K1820" s="22" t="s">
        <v>31</v>
      </c>
      <c r="L1820">
        <v>1</v>
      </c>
    </row>
    <row r="1821" spans="10:15" x14ac:dyDescent="0.25">
      <c r="J1821" t="s">
        <v>1445</v>
      </c>
      <c r="K1821" s="22" t="s">
        <v>31</v>
      </c>
      <c r="L1821">
        <v>1</v>
      </c>
      <c r="M1821">
        <v>1</v>
      </c>
    </row>
    <row r="1822" spans="10:15" x14ac:dyDescent="0.25">
      <c r="J1822" t="s">
        <v>269</v>
      </c>
      <c r="K1822" s="22" t="s">
        <v>24</v>
      </c>
      <c r="L1822">
        <v>2</v>
      </c>
      <c r="M1822">
        <v>2</v>
      </c>
      <c r="O1822" s="31"/>
    </row>
    <row r="1823" spans="10:15" x14ac:dyDescent="0.25">
      <c r="J1823" t="s">
        <v>269</v>
      </c>
      <c r="K1823" s="22" t="s">
        <v>20</v>
      </c>
      <c r="L1823">
        <v>1</v>
      </c>
    </row>
    <row r="1824" spans="10:15" x14ac:dyDescent="0.25">
      <c r="J1824" t="s">
        <v>2282</v>
      </c>
      <c r="K1824" s="22" t="s">
        <v>22</v>
      </c>
      <c r="L1824">
        <v>1</v>
      </c>
    </row>
    <row r="1825" spans="10:15" x14ac:dyDescent="0.25">
      <c r="J1825" t="s">
        <v>1401</v>
      </c>
      <c r="K1825" s="22" t="s">
        <v>24</v>
      </c>
      <c r="L1825">
        <v>1</v>
      </c>
    </row>
    <row r="1826" spans="10:15" x14ac:dyDescent="0.25">
      <c r="J1826" t="s">
        <v>1401</v>
      </c>
      <c r="K1826" s="22" t="s">
        <v>20</v>
      </c>
      <c r="L1826">
        <v>1</v>
      </c>
      <c r="M1826">
        <v>1</v>
      </c>
      <c r="O1826" s="31"/>
    </row>
    <row r="1827" spans="10:15" x14ac:dyDescent="0.25">
      <c r="J1827" t="s">
        <v>1227</v>
      </c>
      <c r="K1827" s="22" t="s">
        <v>24</v>
      </c>
      <c r="L1827">
        <v>3</v>
      </c>
      <c r="O1827" s="30"/>
    </row>
    <row r="1828" spans="10:15" x14ac:dyDescent="0.25">
      <c r="J1828" t="s">
        <v>1227</v>
      </c>
      <c r="K1828" s="22" t="s">
        <v>20</v>
      </c>
      <c r="L1828">
        <v>1</v>
      </c>
      <c r="M1828">
        <v>1</v>
      </c>
    </row>
    <row r="1829" spans="10:15" x14ac:dyDescent="0.25">
      <c r="J1829" t="s">
        <v>937</v>
      </c>
      <c r="K1829" s="22" t="s">
        <v>24</v>
      </c>
      <c r="L1829">
        <v>1</v>
      </c>
    </row>
    <row r="1830" spans="10:15" x14ac:dyDescent="0.25">
      <c r="J1830" t="s">
        <v>751</v>
      </c>
      <c r="K1830" s="22" t="s">
        <v>24</v>
      </c>
      <c r="L1830">
        <v>5</v>
      </c>
      <c r="M1830">
        <v>5</v>
      </c>
      <c r="O1830" s="31"/>
    </row>
    <row r="1831" spans="10:15" x14ac:dyDescent="0.25">
      <c r="J1831" t="s">
        <v>751</v>
      </c>
      <c r="K1831" s="22" t="s">
        <v>20</v>
      </c>
      <c r="L1831">
        <v>11</v>
      </c>
      <c r="M1831">
        <v>8</v>
      </c>
      <c r="O1831" s="31"/>
    </row>
    <row r="1832" spans="10:15" x14ac:dyDescent="0.25">
      <c r="J1832" t="s">
        <v>751</v>
      </c>
      <c r="K1832" s="22" t="s">
        <v>29</v>
      </c>
      <c r="L1832">
        <v>11</v>
      </c>
      <c r="M1832">
        <v>10</v>
      </c>
      <c r="O1832" s="31"/>
    </row>
    <row r="1833" spans="10:15" x14ac:dyDescent="0.25">
      <c r="J1833" t="s">
        <v>751</v>
      </c>
      <c r="K1833" s="22" t="s">
        <v>28</v>
      </c>
      <c r="L1833">
        <v>10</v>
      </c>
      <c r="M1833">
        <v>4</v>
      </c>
      <c r="O1833" s="30"/>
    </row>
    <row r="1834" spans="10:15" x14ac:dyDescent="0.25">
      <c r="J1834" t="s">
        <v>751</v>
      </c>
      <c r="K1834" s="22" t="s">
        <v>35</v>
      </c>
      <c r="L1834">
        <v>10</v>
      </c>
      <c r="M1834">
        <v>4</v>
      </c>
      <c r="O1834" s="31"/>
    </row>
    <row r="1835" spans="10:15" x14ac:dyDescent="0.25">
      <c r="J1835" t="s">
        <v>751</v>
      </c>
      <c r="K1835" s="22" t="s">
        <v>31</v>
      </c>
      <c r="L1835">
        <v>14</v>
      </c>
      <c r="M1835">
        <v>6</v>
      </c>
      <c r="O1835" s="30"/>
    </row>
    <row r="1836" spans="10:15" x14ac:dyDescent="0.25">
      <c r="J1836" t="s">
        <v>916</v>
      </c>
      <c r="K1836" s="22" t="s">
        <v>24</v>
      </c>
      <c r="L1836">
        <v>6</v>
      </c>
      <c r="M1836">
        <v>4</v>
      </c>
      <c r="O1836" s="31"/>
    </row>
    <row r="1837" spans="10:15" x14ac:dyDescent="0.25">
      <c r="J1837" t="s">
        <v>916</v>
      </c>
      <c r="K1837" s="22" t="s">
        <v>20</v>
      </c>
      <c r="L1837">
        <v>5</v>
      </c>
      <c r="M1837">
        <v>3</v>
      </c>
      <c r="O1837" s="31"/>
    </row>
    <row r="1838" spans="10:15" x14ac:dyDescent="0.25">
      <c r="J1838" t="s">
        <v>916</v>
      </c>
      <c r="K1838" s="22" t="s">
        <v>29</v>
      </c>
      <c r="L1838">
        <v>4</v>
      </c>
      <c r="M1838">
        <v>2</v>
      </c>
      <c r="O1838" s="31"/>
    </row>
    <row r="1839" spans="10:15" x14ac:dyDescent="0.25">
      <c r="J1839" t="s">
        <v>916</v>
      </c>
      <c r="K1839" s="22" t="s">
        <v>28</v>
      </c>
      <c r="L1839">
        <v>7</v>
      </c>
      <c r="M1839">
        <v>2</v>
      </c>
      <c r="O1839" s="31"/>
    </row>
    <row r="1840" spans="10:15" x14ac:dyDescent="0.25">
      <c r="J1840" t="s">
        <v>916</v>
      </c>
      <c r="K1840" s="22" t="s">
        <v>35</v>
      </c>
      <c r="L1840">
        <v>5</v>
      </c>
      <c r="M1840">
        <v>1</v>
      </c>
      <c r="O1840" s="30"/>
    </row>
    <row r="1841" spans="10:15" x14ac:dyDescent="0.25">
      <c r="J1841" t="s">
        <v>916</v>
      </c>
      <c r="K1841" s="22" t="s">
        <v>22</v>
      </c>
      <c r="L1841">
        <v>5</v>
      </c>
      <c r="M1841">
        <v>2</v>
      </c>
      <c r="O1841" s="30"/>
    </row>
    <row r="1842" spans="10:15" x14ac:dyDescent="0.25">
      <c r="J1842" t="s">
        <v>2759</v>
      </c>
      <c r="K1842" s="22" t="s">
        <v>29</v>
      </c>
      <c r="L1842">
        <v>2</v>
      </c>
      <c r="M1842">
        <v>2</v>
      </c>
      <c r="O1842" s="31"/>
    </row>
    <row r="1843" spans="10:15" x14ac:dyDescent="0.25">
      <c r="J1843" t="s">
        <v>3040</v>
      </c>
      <c r="K1843" s="22" t="s">
        <v>24</v>
      </c>
      <c r="L1843">
        <v>1</v>
      </c>
      <c r="M1843">
        <v>1</v>
      </c>
      <c r="O1843" s="31"/>
    </row>
    <row r="1844" spans="10:15" x14ac:dyDescent="0.25">
      <c r="J1844" t="s">
        <v>3265</v>
      </c>
      <c r="K1844" s="22" t="s">
        <v>35</v>
      </c>
      <c r="L1844">
        <v>3</v>
      </c>
      <c r="M1844">
        <v>3</v>
      </c>
      <c r="O1844" s="31"/>
    </row>
    <row r="1845" spans="10:15" x14ac:dyDescent="0.25">
      <c r="J1845" t="s">
        <v>2536</v>
      </c>
      <c r="K1845" s="22" t="s">
        <v>24</v>
      </c>
      <c r="L1845">
        <v>1</v>
      </c>
    </row>
    <row r="1846" spans="10:15" x14ac:dyDescent="0.25">
      <c r="J1846" t="s">
        <v>2536</v>
      </c>
      <c r="K1846" s="22" t="s">
        <v>22</v>
      </c>
      <c r="L1846">
        <v>2</v>
      </c>
      <c r="M1846">
        <v>2</v>
      </c>
      <c r="O1846" s="31"/>
    </row>
    <row r="1847" spans="10:15" x14ac:dyDescent="0.25">
      <c r="J1847" t="s">
        <v>3168</v>
      </c>
      <c r="K1847" s="22" t="s">
        <v>28</v>
      </c>
      <c r="L1847">
        <v>1</v>
      </c>
      <c r="M1847">
        <v>1</v>
      </c>
      <c r="O1847" s="31"/>
    </row>
    <row r="1848" spans="10:15" x14ac:dyDescent="0.25">
      <c r="J1848" t="s">
        <v>2561</v>
      </c>
      <c r="K1848" s="22" t="s">
        <v>20</v>
      </c>
      <c r="L1848">
        <v>1</v>
      </c>
    </row>
    <row r="1849" spans="10:15" x14ac:dyDescent="0.25">
      <c r="J1849" t="s">
        <v>2561</v>
      </c>
      <c r="K1849" s="22" t="s">
        <v>28</v>
      </c>
      <c r="L1849">
        <v>1</v>
      </c>
    </row>
    <row r="1850" spans="10:15" x14ac:dyDescent="0.25">
      <c r="J1850" t="s">
        <v>2080</v>
      </c>
      <c r="K1850" s="22" t="s">
        <v>24</v>
      </c>
      <c r="L1850">
        <v>5</v>
      </c>
      <c r="M1850">
        <v>5</v>
      </c>
      <c r="O1850" s="31"/>
    </row>
    <row r="1851" spans="10:15" x14ac:dyDescent="0.25">
      <c r="J1851" t="s">
        <v>2080</v>
      </c>
      <c r="K1851" s="22" t="s">
        <v>29</v>
      </c>
      <c r="L1851">
        <v>6</v>
      </c>
      <c r="O1851" s="30"/>
    </row>
    <row r="1852" spans="10:15" x14ac:dyDescent="0.25">
      <c r="J1852" t="s">
        <v>2080</v>
      </c>
      <c r="K1852" s="22" t="s">
        <v>28</v>
      </c>
      <c r="L1852">
        <v>6</v>
      </c>
      <c r="O1852" s="30"/>
    </row>
    <row r="1853" spans="10:15" x14ac:dyDescent="0.25">
      <c r="J1853" t="s">
        <v>2881</v>
      </c>
      <c r="K1853" s="22" t="s">
        <v>24</v>
      </c>
      <c r="L1853">
        <v>1</v>
      </c>
      <c r="M1853">
        <v>1</v>
      </c>
      <c r="O1853" s="31"/>
    </row>
    <row r="1854" spans="10:15" x14ac:dyDescent="0.25">
      <c r="J1854" t="s">
        <v>2881</v>
      </c>
      <c r="K1854" s="22" t="s">
        <v>20</v>
      </c>
      <c r="L1854">
        <v>1</v>
      </c>
    </row>
    <row r="1855" spans="10:15" x14ac:dyDescent="0.25">
      <c r="J1855" t="s">
        <v>2881</v>
      </c>
      <c r="K1855" s="22" t="s">
        <v>29</v>
      </c>
      <c r="L1855">
        <v>1</v>
      </c>
    </row>
    <row r="1856" spans="10:15" x14ac:dyDescent="0.25">
      <c r="J1856" t="s">
        <v>2881</v>
      </c>
      <c r="K1856" s="22" t="s">
        <v>28</v>
      </c>
      <c r="L1856">
        <v>3</v>
      </c>
      <c r="O1856" s="30"/>
    </row>
    <row r="1857" spans="10:15" x14ac:dyDescent="0.25">
      <c r="J1857" t="s">
        <v>3142</v>
      </c>
      <c r="K1857" s="22" t="s">
        <v>20</v>
      </c>
      <c r="L1857">
        <v>1</v>
      </c>
      <c r="O1857" s="30"/>
    </row>
    <row r="1858" spans="10:15" x14ac:dyDescent="0.25">
      <c r="J1858" t="s">
        <v>3142</v>
      </c>
      <c r="K1858" s="22" t="s">
        <v>29</v>
      </c>
      <c r="L1858">
        <v>1</v>
      </c>
      <c r="M1858">
        <v>1</v>
      </c>
      <c r="O1858" s="31"/>
    </row>
    <row r="1859" spans="10:15" x14ac:dyDescent="0.25">
      <c r="J1859" t="s">
        <v>3142</v>
      </c>
      <c r="K1859" s="22" t="s">
        <v>28</v>
      </c>
      <c r="L1859">
        <v>1</v>
      </c>
      <c r="O1859" s="30"/>
    </row>
    <row r="1860" spans="10:15" x14ac:dyDescent="0.25">
      <c r="J1860" t="s">
        <v>2267</v>
      </c>
      <c r="K1860" s="22" t="s">
        <v>24</v>
      </c>
      <c r="L1860">
        <v>2</v>
      </c>
      <c r="M1860">
        <v>2</v>
      </c>
      <c r="O1860" s="31"/>
    </row>
    <row r="1861" spans="10:15" x14ac:dyDescent="0.25">
      <c r="J1861" t="s">
        <v>2267</v>
      </c>
      <c r="K1861" s="22" t="s">
        <v>28</v>
      </c>
      <c r="L1861">
        <v>3</v>
      </c>
      <c r="M1861">
        <v>2</v>
      </c>
    </row>
    <row r="1862" spans="10:15" x14ac:dyDescent="0.25">
      <c r="J1862" t="s">
        <v>2525</v>
      </c>
      <c r="K1862" s="22" t="s">
        <v>24</v>
      </c>
      <c r="L1862">
        <v>1</v>
      </c>
    </row>
    <row r="1863" spans="10:15" x14ac:dyDescent="0.25">
      <c r="J1863" t="s">
        <v>2525</v>
      </c>
      <c r="K1863" s="22" t="s">
        <v>20</v>
      </c>
      <c r="L1863">
        <v>1</v>
      </c>
      <c r="M1863">
        <v>1</v>
      </c>
      <c r="O1863" s="31"/>
    </row>
    <row r="1864" spans="10:15" x14ac:dyDescent="0.25">
      <c r="J1864" t="s">
        <v>2525</v>
      </c>
      <c r="K1864" s="22" t="s">
        <v>29</v>
      </c>
      <c r="L1864">
        <v>1</v>
      </c>
      <c r="O1864" s="30"/>
    </row>
    <row r="1865" spans="10:15" x14ac:dyDescent="0.25">
      <c r="J1865" t="s">
        <v>2525</v>
      </c>
      <c r="K1865" s="22" t="s">
        <v>28</v>
      </c>
      <c r="L1865">
        <v>1</v>
      </c>
      <c r="O1865" s="30"/>
    </row>
    <row r="1866" spans="10:15" x14ac:dyDescent="0.25">
      <c r="J1866" t="s">
        <v>1894</v>
      </c>
      <c r="K1866" s="22" t="s">
        <v>29</v>
      </c>
      <c r="L1866">
        <v>4</v>
      </c>
      <c r="M1866">
        <v>3</v>
      </c>
      <c r="O1866" s="30"/>
    </row>
    <row r="1867" spans="10:15" x14ac:dyDescent="0.25">
      <c r="J1867" t="s">
        <v>1894</v>
      </c>
      <c r="K1867" s="22" t="s">
        <v>22</v>
      </c>
      <c r="L1867">
        <v>1</v>
      </c>
      <c r="M1867">
        <v>1</v>
      </c>
      <c r="O1867" s="31"/>
    </row>
    <row r="1868" spans="10:15" x14ac:dyDescent="0.25">
      <c r="J1868" t="s">
        <v>2922</v>
      </c>
      <c r="K1868" s="22" t="s">
        <v>29</v>
      </c>
      <c r="L1868">
        <v>2</v>
      </c>
      <c r="O1868" s="30"/>
    </row>
    <row r="1869" spans="10:15" x14ac:dyDescent="0.25">
      <c r="J1869" t="s">
        <v>2922</v>
      </c>
      <c r="K1869" s="22" t="s">
        <v>31</v>
      </c>
      <c r="L1869">
        <v>1</v>
      </c>
      <c r="M1869">
        <v>1</v>
      </c>
      <c r="O1869" s="31"/>
    </row>
    <row r="1870" spans="10:15" x14ac:dyDescent="0.25">
      <c r="J1870" t="s">
        <v>442</v>
      </c>
      <c r="K1870" s="22" t="s">
        <v>24</v>
      </c>
      <c r="L1870">
        <v>1</v>
      </c>
    </row>
    <row r="1871" spans="10:15" x14ac:dyDescent="0.25">
      <c r="J1871" t="s">
        <v>442</v>
      </c>
      <c r="K1871" s="22" t="s">
        <v>20</v>
      </c>
      <c r="L1871">
        <v>1</v>
      </c>
    </row>
    <row r="1872" spans="10:15" x14ac:dyDescent="0.25">
      <c r="J1872" t="s">
        <v>2222</v>
      </c>
      <c r="K1872" s="22" t="s">
        <v>20</v>
      </c>
      <c r="L1872">
        <v>2</v>
      </c>
      <c r="M1872">
        <v>2</v>
      </c>
      <c r="O1872" s="31"/>
    </row>
    <row r="1873" spans="10:15" x14ac:dyDescent="0.25">
      <c r="J1873" t="s">
        <v>738</v>
      </c>
      <c r="K1873" s="22" t="s">
        <v>24</v>
      </c>
      <c r="L1873">
        <v>2</v>
      </c>
      <c r="M1873">
        <v>2</v>
      </c>
      <c r="O1873" s="31"/>
    </row>
    <row r="1874" spans="10:15" x14ac:dyDescent="0.25">
      <c r="J1874" t="s">
        <v>738</v>
      </c>
      <c r="K1874" s="22" t="s">
        <v>29</v>
      </c>
      <c r="L1874">
        <v>1</v>
      </c>
    </row>
    <row r="1875" spans="10:15" x14ac:dyDescent="0.25">
      <c r="J1875" t="s">
        <v>738</v>
      </c>
      <c r="K1875" s="22" t="s">
        <v>22</v>
      </c>
      <c r="L1875">
        <v>2</v>
      </c>
      <c r="M1875">
        <v>1</v>
      </c>
    </row>
    <row r="1876" spans="10:15" x14ac:dyDescent="0.25">
      <c r="J1876" t="s">
        <v>738</v>
      </c>
      <c r="K1876" s="22" t="s">
        <v>31</v>
      </c>
      <c r="L1876">
        <v>1</v>
      </c>
    </row>
    <row r="1877" spans="10:15" x14ac:dyDescent="0.25">
      <c r="J1877" t="s">
        <v>740</v>
      </c>
      <c r="K1877" s="22" t="s">
        <v>24</v>
      </c>
      <c r="L1877">
        <v>1</v>
      </c>
      <c r="M1877">
        <v>1</v>
      </c>
    </row>
    <row r="1878" spans="10:15" x14ac:dyDescent="0.25">
      <c r="J1878" t="s">
        <v>740</v>
      </c>
      <c r="K1878" s="22" t="s">
        <v>20</v>
      </c>
      <c r="L1878">
        <v>5</v>
      </c>
      <c r="M1878">
        <v>3</v>
      </c>
      <c r="O1878" s="31"/>
    </row>
    <row r="1879" spans="10:15" x14ac:dyDescent="0.25">
      <c r="J1879" t="s">
        <v>3258</v>
      </c>
      <c r="K1879" s="22" t="s">
        <v>24</v>
      </c>
      <c r="L1879">
        <v>1</v>
      </c>
      <c r="M1879">
        <v>1</v>
      </c>
      <c r="O1879" s="31"/>
    </row>
    <row r="1880" spans="10:15" x14ac:dyDescent="0.25">
      <c r="J1880" t="s">
        <v>2604</v>
      </c>
      <c r="K1880" s="22" t="s">
        <v>24</v>
      </c>
      <c r="L1880">
        <v>1</v>
      </c>
      <c r="O1880" s="30"/>
    </row>
    <row r="1881" spans="10:15" x14ac:dyDescent="0.25">
      <c r="J1881" t="s">
        <v>2604</v>
      </c>
      <c r="K1881" s="22" t="s">
        <v>20</v>
      </c>
      <c r="L1881">
        <v>1</v>
      </c>
      <c r="M1881">
        <v>1</v>
      </c>
      <c r="O1881" s="31"/>
    </row>
    <row r="1882" spans="10:15" x14ac:dyDescent="0.25">
      <c r="J1882" t="s">
        <v>2604</v>
      </c>
      <c r="K1882" s="22" t="s">
        <v>35</v>
      </c>
      <c r="L1882">
        <v>2</v>
      </c>
      <c r="M1882">
        <v>1</v>
      </c>
      <c r="O1882" s="31"/>
    </row>
    <row r="1883" spans="10:15" x14ac:dyDescent="0.25">
      <c r="J1883" t="s">
        <v>2604</v>
      </c>
      <c r="K1883" s="22" t="s">
        <v>22</v>
      </c>
      <c r="L1883">
        <v>4</v>
      </c>
      <c r="M1883">
        <v>3</v>
      </c>
      <c r="O1883" s="30"/>
    </row>
    <row r="1884" spans="10:15" x14ac:dyDescent="0.25">
      <c r="J1884" t="s">
        <v>2604</v>
      </c>
      <c r="K1884" s="22" t="s">
        <v>31</v>
      </c>
      <c r="L1884">
        <v>1</v>
      </c>
      <c r="O1884" s="30"/>
    </row>
    <row r="1885" spans="10:15" x14ac:dyDescent="0.25">
      <c r="J1885" t="s">
        <v>716</v>
      </c>
      <c r="K1885" s="22" t="s">
        <v>24</v>
      </c>
      <c r="L1885">
        <v>2</v>
      </c>
      <c r="M1885">
        <v>1</v>
      </c>
      <c r="O1885" s="30"/>
    </row>
    <row r="1886" spans="10:15" x14ac:dyDescent="0.25">
      <c r="J1886" t="s">
        <v>716</v>
      </c>
      <c r="K1886" s="22" t="s">
        <v>20</v>
      </c>
      <c r="L1886">
        <v>1</v>
      </c>
    </row>
    <row r="1887" spans="10:15" x14ac:dyDescent="0.25">
      <c r="J1887" t="s">
        <v>716</v>
      </c>
      <c r="K1887" s="22" t="s">
        <v>29</v>
      </c>
      <c r="L1887">
        <v>2</v>
      </c>
      <c r="M1887">
        <v>2</v>
      </c>
      <c r="O1887" s="31"/>
    </row>
    <row r="1888" spans="10:15" x14ac:dyDescent="0.25">
      <c r="J1888" t="s">
        <v>716</v>
      </c>
      <c r="K1888" s="22" t="s">
        <v>22</v>
      </c>
      <c r="L1888">
        <v>2</v>
      </c>
      <c r="M1888">
        <v>1</v>
      </c>
    </row>
    <row r="1889" spans="10:15" x14ac:dyDescent="0.25">
      <c r="J1889" t="s">
        <v>688</v>
      </c>
      <c r="K1889" s="22" t="s">
        <v>24</v>
      </c>
      <c r="L1889">
        <v>2</v>
      </c>
    </row>
    <row r="1890" spans="10:15" x14ac:dyDescent="0.25">
      <c r="J1890" t="s">
        <v>688</v>
      </c>
      <c r="K1890" s="22" t="s">
        <v>20</v>
      </c>
      <c r="L1890">
        <v>2</v>
      </c>
      <c r="O1890" s="30"/>
    </row>
    <row r="1891" spans="10:15" x14ac:dyDescent="0.25">
      <c r="J1891" t="s">
        <v>688</v>
      </c>
      <c r="K1891" s="22" t="s">
        <v>29</v>
      </c>
      <c r="L1891">
        <v>3</v>
      </c>
      <c r="M1891">
        <v>3</v>
      </c>
      <c r="O1891" s="31"/>
    </row>
    <row r="1892" spans="10:15" x14ac:dyDescent="0.25">
      <c r="J1892" t="s">
        <v>688</v>
      </c>
      <c r="K1892" s="22" t="s">
        <v>35</v>
      </c>
      <c r="L1892">
        <v>3</v>
      </c>
      <c r="M1892">
        <v>2</v>
      </c>
    </row>
    <row r="1893" spans="10:15" x14ac:dyDescent="0.25">
      <c r="J1893" t="s">
        <v>2054</v>
      </c>
      <c r="K1893" s="22" t="s">
        <v>24</v>
      </c>
      <c r="L1893">
        <v>3</v>
      </c>
      <c r="O1893" s="30"/>
    </row>
    <row r="1894" spans="10:15" x14ac:dyDescent="0.25">
      <c r="J1894" t="s">
        <v>2054</v>
      </c>
      <c r="K1894" s="22" t="s">
        <v>20</v>
      </c>
      <c r="L1894">
        <v>3</v>
      </c>
      <c r="O1894" s="30"/>
    </row>
    <row r="1895" spans="10:15" x14ac:dyDescent="0.25">
      <c r="J1895" t="s">
        <v>2054</v>
      </c>
      <c r="K1895" s="22" t="s">
        <v>29</v>
      </c>
      <c r="L1895">
        <v>4</v>
      </c>
      <c r="M1895">
        <v>4</v>
      </c>
    </row>
    <row r="1896" spans="10:15" x14ac:dyDescent="0.25">
      <c r="J1896" t="s">
        <v>3237</v>
      </c>
      <c r="K1896" s="22" t="s">
        <v>24</v>
      </c>
      <c r="L1896">
        <v>2</v>
      </c>
      <c r="M1896">
        <v>2</v>
      </c>
      <c r="O1896" s="31"/>
    </row>
    <row r="1897" spans="10:15" x14ac:dyDescent="0.25">
      <c r="J1897" t="s">
        <v>3237</v>
      </c>
      <c r="K1897" s="22" t="s">
        <v>20</v>
      </c>
      <c r="L1897">
        <v>1</v>
      </c>
      <c r="O1897" s="30"/>
    </row>
    <row r="1898" spans="10:15" x14ac:dyDescent="0.25">
      <c r="J1898" t="s">
        <v>3237</v>
      </c>
      <c r="K1898" s="22" t="s">
        <v>31</v>
      </c>
      <c r="L1898">
        <v>1</v>
      </c>
      <c r="O1898" s="30"/>
    </row>
    <row r="1899" spans="10:15" x14ac:dyDescent="0.25">
      <c r="J1899" t="s">
        <v>875</v>
      </c>
      <c r="K1899" s="22" t="s">
        <v>29</v>
      </c>
      <c r="L1899">
        <v>10</v>
      </c>
      <c r="M1899">
        <v>10</v>
      </c>
      <c r="O1899" s="31"/>
    </row>
    <row r="1900" spans="10:15" x14ac:dyDescent="0.25">
      <c r="J1900" t="s">
        <v>2217</v>
      </c>
      <c r="K1900" s="22" t="s">
        <v>20</v>
      </c>
      <c r="L1900">
        <v>2</v>
      </c>
      <c r="M1900">
        <v>1</v>
      </c>
      <c r="O1900" s="30"/>
    </row>
    <row r="1901" spans="10:15" x14ac:dyDescent="0.25">
      <c r="J1901" t="s">
        <v>3322</v>
      </c>
      <c r="K1901" s="22" t="s">
        <v>24</v>
      </c>
      <c r="L1901">
        <v>1</v>
      </c>
      <c r="M1901">
        <v>1</v>
      </c>
      <c r="O1901" s="31"/>
    </row>
    <row r="1902" spans="10:15" x14ac:dyDescent="0.25">
      <c r="J1902" t="s">
        <v>3434</v>
      </c>
      <c r="K1902" s="22" t="s">
        <v>22</v>
      </c>
      <c r="L1902">
        <v>1</v>
      </c>
      <c r="O1902" s="30"/>
    </row>
    <row r="1903" spans="10:15" x14ac:dyDescent="0.25">
      <c r="J1903" t="s">
        <v>2867</v>
      </c>
      <c r="K1903" s="22" t="s">
        <v>29</v>
      </c>
      <c r="L1903">
        <v>2</v>
      </c>
      <c r="M1903">
        <v>2</v>
      </c>
      <c r="O1903" s="31"/>
    </row>
    <row r="1904" spans="10:15" x14ac:dyDescent="0.25">
      <c r="J1904" t="s">
        <v>2369</v>
      </c>
      <c r="K1904" s="22" t="s">
        <v>20</v>
      </c>
      <c r="L1904">
        <v>1</v>
      </c>
      <c r="M1904">
        <v>1</v>
      </c>
    </row>
    <row r="1905" spans="10:15" x14ac:dyDescent="0.25">
      <c r="J1905" t="s">
        <v>1022</v>
      </c>
      <c r="K1905" s="22" t="s">
        <v>28</v>
      </c>
      <c r="L1905">
        <v>5</v>
      </c>
      <c r="O1905" s="30"/>
    </row>
    <row r="1906" spans="10:15" x14ac:dyDescent="0.25">
      <c r="J1906" t="s">
        <v>1022</v>
      </c>
      <c r="K1906" s="22" t="s">
        <v>31</v>
      </c>
      <c r="L1906">
        <v>3</v>
      </c>
      <c r="M1906">
        <v>2</v>
      </c>
      <c r="O1906" s="30"/>
    </row>
    <row r="1907" spans="10:15" x14ac:dyDescent="0.25">
      <c r="J1907" t="s">
        <v>1274</v>
      </c>
      <c r="K1907" s="22" t="s">
        <v>20</v>
      </c>
      <c r="L1907">
        <v>1</v>
      </c>
      <c r="M1907">
        <v>1</v>
      </c>
    </row>
    <row r="1908" spans="10:15" x14ac:dyDescent="0.25">
      <c r="J1908" t="s">
        <v>1274</v>
      </c>
      <c r="K1908" s="22" t="s">
        <v>28</v>
      </c>
      <c r="L1908">
        <v>2</v>
      </c>
    </row>
    <row r="1909" spans="10:15" x14ac:dyDescent="0.25">
      <c r="J1909" t="s">
        <v>1274</v>
      </c>
      <c r="K1909" s="22" t="s">
        <v>35</v>
      </c>
      <c r="L1909">
        <v>1</v>
      </c>
    </row>
    <row r="1910" spans="10:15" x14ac:dyDescent="0.25">
      <c r="J1910" t="s">
        <v>1205</v>
      </c>
      <c r="K1910" s="22" t="s">
        <v>24</v>
      </c>
      <c r="L1910">
        <v>6</v>
      </c>
      <c r="M1910">
        <v>5</v>
      </c>
      <c r="O1910" s="31"/>
    </row>
    <row r="1911" spans="10:15" x14ac:dyDescent="0.25">
      <c r="J1911" t="s">
        <v>1205</v>
      </c>
      <c r="K1911" s="22" t="s">
        <v>20</v>
      </c>
      <c r="L1911">
        <v>1</v>
      </c>
      <c r="M1911">
        <v>1</v>
      </c>
      <c r="O1911" s="31"/>
    </row>
    <row r="1912" spans="10:15" x14ac:dyDescent="0.25">
      <c r="J1912" t="s">
        <v>1205</v>
      </c>
      <c r="K1912" s="22" t="s">
        <v>28</v>
      </c>
      <c r="L1912">
        <v>2</v>
      </c>
    </row>
    <row r="1913" spans="10:15" x14ac:dyDescent="0.25">
      <c r="J1913" t="s">
        <v>3109</v>
      </c>
      <c r="K1913" s="22" t="s">
        <v>20</v>
      </c>
      <c r="L1913">
        <v>1</v>
      </c>
      <c r="O1913" s="30"/>
    </row>
    <row r="1914" spans="10:15" x14ac:dyDescent="0.25">
      <c r="J1914" t="s">
        <v>3109</v>
      </c>
      <c r="K1914" s="22" t="s">
        <v>22</v>
      </c>
      <c r="L1914">
        <v>1</v>
      </c>
      <c r="M1914">
        <v>1</v>
      </c>
      <c r="O1914" s="31"/>
    </row>
    <row r="1915" spans="10:15" x14ac:dyDescent="0.25">
      <c r="J1915" t="s">
        <v>1760</v>
      </c>
      <c r="K1915" s="22" t="s">
        <v>24</v>
      </c>
      <c r="L1915">
        <v>4</v>
      </c>
      <c r="M1915">
        <v>4</v>
      </c>
      <c r="O1915" s="31"/>
    </row>
    <row r="1916" spans="10:15" x14ac:dyDescent="0.25">
      <c r="J1916" t="s">
        <v>1760</v>
      </c>
      <c r="K1916" s="22" t="s">
        <v>20</v>
      </c>
      <c r="L1916">
        <v>3</v>
      </c>
      <c r="O1916" s="30"/>
    </row>
    <row r="1917" spans="10:15" x14ac:dyDescent="0.25">
      <c r="J1917" t="s">
        <v>1760</v>
      </c>
      <c r="K1917" s="22" t="s">
        <v>28</v>
      </c>
      <c r="L1917">
        <v>1</v>
      </c>
    </row>
    <row r="1918" spans="10:15" x14ac:dyDescent="0.25">
      <c r="J1918" t="s">
        <v>2370</v>
      </c>
      <c r="K1918" s="22" t="s">
        <v>20</v>
      </c>
      <c r="L1918">
        <v>1</v>
      </c>
      <c r="O1918" s="30"/>
    </row>
    <row r="1919" spans="10:15" x14ac:dyDescent="0.25">
      <c r="J1919" t="s">
        <v>2910</v>
      </c>
      <c r="K1919" s="22" t="s">
        <v>24</v>
      </c>
      <c r="L1919">
        <v>1</v>
      </c>
    </row>
    <row r="1920" spans="10:15" x14ac:dyDescent="0.25">
      <c r="J1920" t="s">
        <v>2910</v>
      </c>
      <c r="K1920" s="22" t="s">
        <v>22</v>
      </c>
      <c r="L1920">
        <v>1</v>
      </c>
      <c r="M1920">
        <v>1</v>
      </c>
    </row>
    <row r="1921" spans="10:15" x14ac:dyDescent="0.25">
      <c r="J1921" t="s">
        <v>1024</v>
      </c>
      <c r="K1921" s="22" t="s">
        <v>24</v>
      </c>
      <c r="L1921">
        <v>1</v>
      </c>
    </row>
    <row r="1922" spans="10:15" x14ac:dyDescent="0.25">
      <c r="J1922" t="s">
        <v>1024</v>
      </c>
      <c r="K1922" s="22" t="s">
        <v>20</v>
      </c>
      <c r="L1922">
        <v>5</v>
      </c>
      <c r="O1922" s="30"/>
    </row>
    <row r="1923" spans="10:15" x14ac:dyDescent="0.25">
      <c r="J1923" t="s">
        <v>1024</v>
      </c>
      <c r="K1923" s="22" t="s">
        <v>31</v>
      </c>
      <c r="L1923">
        <v>2</v>
      </c>
      <c r="O1923" s="30"/>
    </row>
    <row r="1924" spans="10:15" x14ac:dyDescent="0.25">
      <c r="J1924" t="s">
        <v>2022</v>
      </c>
      <c r="K1924" s="22" t="s">
        <v>20</v>
      </c>
      <c r="L1924">
        <v>3</v>
      </c>
      <c r="M1924">
        <v>3</v>
      </c>
      <c r="O1924" s="31"/>
    </row>
    <row r="1925" spans="10:15" x14ac:dyDescent="0.25">
      <c r="J1925" t="s">
        <v>3426</v>
      </c>
      <c r="K1925" s="22" t="s">
        <v>22</v>
      </c>
      <c r="L1925">
        <v>1</v>
      </c>
      <c r="M1925">
        <v>1</v>
      </c>
      <c r="O1925" s="31"/>
    </row>
    <row r="1926" spans="10:15" x14ac:dyDescent="0.25">
      <c r="J1926" t="s">
        <v>3271</v>
      </c>
      <c r="K1926" s="22" t="s">
        <v>24</v>
      </c>
      <c r="L1926">
        <v>1</v>
      </c>
      <c r="M1926">
        <v>1</v>
      </c>
      <c r="O1926" s="31"/>
    </row>
    <row r="1927" spans="10:15" x14ac:dyDescent="0.25">
      <c r="J1927" t="s">
        <v>2101</v>
      </c>
      <c r="K1927" s="22" t="s">
        <v>24</v>
      </c>
      <c r="L1927">
        <v>2</v>
      </c>
      <c r="M1927">
        <v>2</v>
      </c>
      <c r="O1927" s="31"/>
    </row>
    <row r="1928" spans="10:15" x14ac:dyDescent="0.25">
      <c r="J1928" t="s">
        <v>3391</v>
      </c>
      <c r="K1928" s="22" t="s">
        <v>22</v>
      </c>
      <c r="L1928">
        <v>1</v>
      </c>
      <c r="M1928">
        <v>1</v>
      </c>
      <c r="O1928" s="31"/>
    </row>
    <row r="1929" spans="10:15" x14ac:dyDescent="0.25">
      <c r="J1929" t="s">
        <v>3316</v>
      </c>
      <c r="K1929" s="22" t="s">
        <v>20</v>
      </c>
      <c r="L1929">
        <v>1</v>
      </c>
      <c r="M1929">
        <v>1</v>
      </c>
      <c r="O1929" s="31"/>
    </row>
    <row r="1930" spans="10:15" x14ac:dyDescent="0.25">
      <c r="J1930" t="s">
        <v>3346</v>
      </c>
      <c r="K1930" s="22" t="s">
        <v>22</v>
      </c>
      <c r="L1930">
        <v>2</v>
      </c>
      <c r="M1930">
        <v>2</v>
      </c>
      <c r="O1930" s="31"/>
    </row>
    <row r="1931" spans="10:15" x14ac:dyDescent="0.25">
      <c r="J1931" t="s">
        <v>2086</v>
      </c>
      <c r="K1931" s="22" t="s">
        <v>22</v>
      </c>
      <c r="L1931">
        <v>3</v>
      </c>
      <c r="M1931">
        <v>3</v>
      </c>
      <c r="O1931" s="31"/>
    </row>
    <row r="1932" spans="10:15" x14ac:dyDescent="0.25">
      <c r="J1932" t="s">
        <v>2814</v>
      </c>
      <c r="K1932" s="22" t="s">
        <v>20</v>
      </c>
      <c r="L1932">
        <v>1</v>
      </c>
    </row>
    <row r="1933" spans="10:15" x14ac:dyDescent="0.25">
      <c r="J1933" t="s">
        <v>464</v>
      </c>
      <c r="K1933" s="22" t="s">
        <v>24</v>
      </c>
      <c r="L1933">
        <v>4</v>
      </c>
      <c r="O1933" s="30"/>
    </row>
    <row r="1934" spans="10:15" x14ac:dyDescent="0.25">
      <c r="J1934" t="s">
        <v>464</v>
      </c>
      <c r="K1934" s="22" t="s">
        <v>20</v>
      </c>
      <c r="L1934">
        <v>7</v>
      </c>
      <c r="O1934" s="30"/>
    </row>
    <row r="1935" spans="10:15" x14ac:dyDescent="0.25">
      <c r="J1935" t="s">
        <v>464</v>
      </c>
      <c r="K1935" s="22" t="s">
        <v>28</v>
      </c>
      <c r="L1935">
        <v>15</v>
      </c>
      <c r="M1935">
        <v>1</v>
      </c>
      <c r="O1935" s="30"/>
    </row>
    <row r="1936" spans="10:15" x14ac:dyDescent="0.25">
      <c r="J1936" t="s">
        <v>464</v>
      </c>
      <c r="K1936" s="22" t="s">
        <v>35</v>
      </c>
      <c r="L1936">
        <v>7</v>
      </c>
      <c r="O1936" s="30"/>
    </row>
    <row r="1937" spans="10:15" x14ac:dyDescent="0.25">
      <c r="J1937" t="s">
        <v>464</v>
      </c>
      <c r="K1937" s="22" t="s">
        <v>22</v>
      </c>
      <c r="L1937">
        <v>6</v>
      </c>
      <c r="O1937" s="30"/>
    </row>
    <row r="1938" spans="10:15" x14ac:dyDescent="0.25">
      <c r="J1938" t="s">
        <v>464</v>
      </c>
      <c r="K1938" s="22" t="s">
        <v>31</v>
      </c>
      <c r="L1938">
        <v>7</v>
      </c>
      <c r="O1938" s="30"/>
    </row>
    <row r="1939" spans="10:15" x14ac:dyDescent="0.25">
      <c r="J1939" t="s">
        <v>3297</v>
      </c>
      <c r="K1939" s="22" t="s">
        <v>28</v>
      </c>
      <c r="L1939">
        <v>2</v>
      </c>
      <c r="M1939">
        <v>1</v>
      </c>
      <c r="O1939" s="30"/>
    </row>
    <row r="1940" spans="10:15" x14ac:dyDescent="0.25">
      <c r="J1940" t="s">
        <v>3399</v>
      </c>
      <c r="K1940" s="22" t="s">
        <v>24</v>
      </c>
      <c r="L1940">
        <v>1</v>
      </c>
      <c r="M1940">
        <v>1</v>
      </c>
      <c r="O1940" s="31"/>
    </row>
    <row r="1941" spans="10:15" x14ac:dyDescent="0.25">
      <c r="J1941" t="s">
        <v>3399</v>
      </c>
      <c r="K1941" s="22" t="s">
        <v>20</v>
      </c>
      <c r="L1941">
        <v>1</v>
      </c>
      <c r="O1941" s="30"/>
    </row>
    <row r="1942" spans="10:15" x14ac:dyDescent="0.25">
      <c r="J1942" t="s">
        <v>345</v>
      </c>
      <c r="K1942" s="22" t="s">
        <v>24</v>
      </c>
      <c r="L1942">
        <v>2</v>
      </c>
    </row>
    <row r="1943" spans="10:15" x14ac:dyDescent="0.25">
      <c r="J1943" t="s">
        <v>345</v>
      </c>
      <c r="K1943" s="22" t="s">
        <v>20</v>
      </c>
      <c r="L1943">
        <v>1</v>
      </c>
    </row>
    <row r="1944" spans="10:15" x14ac:dyDescent="0.25">
      <c r="J1944" t="s">
        <v>345</v>
      </c>
      <c r="K1944" s="22" t="s">
        <v>28</v>
      </c>
      <c r="L1944">
        <v>2</v>
      </c>
      <c r="O1944" s="30"/>
    </row>
    <row r="1945" spans="10:15" x14ac:dyDescent="0.25">
      <c r="J1945" t="s">
        <v>345</v>
      </c>
      <c r="K1945" s="22" t="s">
        <v>35</v>
      </c>
      <c r="L1945">
        <v>5</v>
      </c>
      <c r="O1945" s="30"/>
    </row>
    <row r="1946" spans="10:15" x14ac:dyDescent="0.25">
      <c r="J1946" t="s">
        <v>1144</v>
      </c>
      <c r="K1946" s="22" t="s">
        <v>24</v>
      </c>
      <c r="L1946">
        <v>2</v>
      </c>
    </row>
    <row r="1947" spans="10:15" x14ac:dyDescent="0.25">
      <c r="J1947" t="s">
        <v>1144</v>
      </c>
      <c r="K1947" s="22" t="s">
        <v>22</v>
      </c>
      <c r="L1947">
        <v>2</v>
      </c>
      <c r="O1947" s="30"/>
    </row>
    <row r="1948" spans="10:15" x14ac:dyDescent="0.25">
      <c r="J1948" t="s">
        <v>1144</v>
      </c>
      <c r="K1948" s="22" t="s">
        <v>31</v>
      </c>
      <c r="L1948">
        <v>2</v>
      </c>
      <c r="M1948">
        <v>1</v>
      </c>
      <c r="O1948" s="30"/>
    </row>
    <row r="1949" spans="10:15" x14ac:dyDescent="0.25">
      <c r="J1949" t="s">
        <v>3099</v>
      </c>
      <c r="K1949" s="22" t="s">
        <v>20</v>
      </c>
      <c r="L1949">
        <v>2</v>
      </c>
      <c r="M1949">
        <v>2</v>
      </c>
      <c r="O1949" s="31"/>
    </row>
    <row r="1950" spans="10:15" x14ac:dyDescent="0.25">
      <c r="J1950" t="s">
        <v>2988</v>
      </c>
      <c r="K1950" s="22" t="s">
        <v>24</v>
      </c>
      <c r="L1950">
        <v>1</v>
      </c>
    </row>
    <row r="1951" spans="10:15" x14ac:dyDescent="0.25">
      <c r="J1951" t="s">
        <v>951</v>
      </c>
      <c r="K1951" s="22" t="s">
        <v>24</v>
      </c>
      <c r="L1951">
        <v>1</v>
      </c>
      <c r="M1951">
        <v>1</v>
      </c>
      <c r="O1951" s="31"/>
    </row>
    <row r="1952" spans="10:15" x14ac:dyDescent="0.25">
      <c r="J1952" t="s">
        <v>951</v>
      </c>
      <c r="K1952" s="22" t="s">
        <v>20</v>
      </c>
      <c r="L1952">
        <v>2</v>
      </c>
      <c r="M1952">
        <v>1</v>
      </c>
    </row>
    <row r="1953" spans="10:15" x14ac:dyDescent="0.25">
      <c r="J1953" t="s">
        <v>951</v>
      </c>
      <c r="K1953" s="22" t="s">
        <v>22</v>
      </c>
      <c r="L1953">
        <v>1</v>
      </c>
      <c r="O1953" s="30"/>
    </row>
    <row r="1954" spans="10:15" x14ac:dyDescent="0.25">
      <c r="J1954" t="s">
        <v>951</v>
      </c>
      <c r="K1954" s="22" t="s">
        <v>31</v>
      </c>
      <c r="L1954">
        <v>3</v>
      </c>
      <c r="M1954">
        <v>2</v>
      </c>
      <c r="O1954" s="31"/>
    </row>
    <row r="1955" spans="10:15" x14ac:dyDescent="0.25">
      <c r="J1955" t="s">
        <v>1818</v>
      </c>
      <c r="K1955" s="22" t="s">
        <v>24</v>
      </c>
      <c r="L1955">
        <v>3</v>
      </c>
      <c r="M1955">
        <v>2</v>
      </c>
      <c r="O1955" s="31"/>
    </row>
    <row r="1956" spans="10:15" x14ac:dyDescent="0.25">
      <c r="J1956" t="s">
        <v>1818</v>
      </c>
      <c r="K1956" s="22" t="s">
        <v>20</v>
      </c>
      <c r="L1956">
        <v>6</v>
      </c>
      <c r="O1956" s="30"/>
    </row>
    <row r="1957" spans="10:15" x14ac:dyDescent="0.25">
      <c r="J1957" t="s">
        <v>1818</v>
      </c>
      <c r="K1957" s="22" t="s">
        <v>35</v>
      </c>
      <c r="L1957">
        <v>1</v>
      </c>
    </row>
    <row r="1958" spans="10:15" x14ac:dyDescent="0.25">
      <c r="J1958" t="s">
        <v>1818</v>
      </c>
      <c r="K1958" s="22" t="s">
        <v>22</v>
      </c>
      <c r="L1958">
        <v>4</v>
      </c>
      <c r="O1958" s="30"/>
    </row>
    <row r="1959" spans="10:15" x14ac:dyDescent="0.25">
      <c r="J1959" t="s">
        <v>3097</v>
      </c>
      <c r="K1959" s="22" t="s">
        <v>35</v>
      </c>
      <c r="L1959">
        <v>1</v>
      </c>
      <c r="O1959" s="30"/>
    </row>
    <row r="1960" spans="10:15" x14ac:dyDescent="0.25">
      <c r="J1960" t="s">
        <v>3287</v>
      </c>
      <c r="K1960" s="22" t="s">
        <v>35</v>
      </c>
      <c r="L1960">
        <v>1</v>
      </c>
      <c r="O1960" s="30"/>
    </row>
    <row r="1961" spans="10:15" x14ac:dyDescent="0.25">
      <c r="J1961" t="s">
        <v>1711</v>
      </c>
      <c r="K1961" s="22" t="s">
        <v>20</v>
      </c>
      <c r="L1961">
        <v>3</v>
      </c>
      <c r="M1961">
        <v>3</v>
      </c>
      <c r="O1961" s="31"/>
    </row>
    <row r="1962" spans="10:15" x14ac:dyDescent="0.25">
      <c r="J1962" t="s">
        <v>2940</v>
      </c>
      <c r="K1962" s="22" t="s">
        <v>22</v>
      </c>
      <c r="L1962">
        <v>1</v>
      </c>
    </row>
    <row r="1963" spans="10:15" x14ac:dyDescent="0.25">
      <c r="J1963" t="s">
        <v>2344</v>
      </c>
      <c r="K1963" s="22" t="s">
        <v>20</v>
      </c>
      <c r="L1963">
        <v>3</v>
      </c>
      <c r="M1963">
        <v>3</v>
      </c>
      <c r="O1963" s="31"/>
    </row>
    <row r="1964" spans="10:15" x14ac:dyDescent="0.25">
      <c r="J1964" t="s">
        <v>3289</v>
      </c>
      <c r="K1964" s="22" t="s">
        <v>20</v>
      </c>
      <c r="L1964">
        <v>1</v>
      </c>
      <c r="O1964" s="30"/>
    </row>
    <row r="1965" spans="10:15" x14ac:dyDescent="0.25">
      <c r="J1965" t="s">
        <v>2094</v>
      </c>
      <c r="K1965" s="22" t="s">
        <v>20</v>
      </c>
      <c r="L1965">
        <v>2</v>
      </c>
      <c r="M1965">
        <v>2</v>
      </c>
      <c r="O1965" s="31"/>
    </row>
    <row r="1966" spans="10:15" x14ac:dyDescent="0.25">
      <c r="J1966" t="s">
        <v>2094</v>
      </c>
      <c r="K1966" s="22" t="s">
        <v>22</v>
      </c>
      <c r="L1966">
        <v>1</v>
      </c>
    </row>
    <row r="1967" spans="10:15" x14ac:dyDescent="0.25">
      <c r="J1967" t="s">
        <v>1891</v>
      </c>
      <c r="K1967" s="22" t="s">
        <v>20</v>
      </c>
      <c r="L1967">
        <v>1</v>
      </c>
    </row>
    <row r="1968" spans="10:15" x14ac:dyDescent="0.25">
      <c r="J1968" t="s">
        <v>2040</v>
      </c>
      <c r="K1968" s="22" t="s">
        <v>24</v>
      </c>
      <c r="L1968">
        <v>3</v>
      </c>
      <c r="O1968" s="30"/>
    </row>
    <row r="1969" spans="10:15" x14ac:dyDescent="0.25">
      <c r="J1969" t="s">
        <v>2040</v>
      </c>
      <c r="K1969" s="22" t="s">
        <v>20</v>
      </c>
      <c r="L1969">
        <v>4</v>
      </c>
      <c r="O1969" s="30"/>
    </row>
    <row r="1970" spans="10:15" x14ac:dyDescent="0.25">
      <c r="J1970" t="s">
        <v>1044</v>
      </c>
      <c r="K1970" s="22" t="s">
        <v>20</v>
      </c>
      <c r="L1970">
        <v>4</v>
      </c>
      <c r="M1970">
        <v>4</v>
      </c>
      <c r="O1970" s="31"/>
    </row>
    <row r="1971" spans="10:15" x14ac:dyDescent="0.25">
      <c r="J1971" t="s">
        <v>2691</v>
      </c>
      <c r="K1971" s="22" t="s">
        <v>30</v>
      </c>
      <c r="L1971">
        <v>6</v>
      </c>
      <c r="M1971">
        <v>4</v>
      </c>
      <c r="O1971" s="30"/>
    </row>
    <row r="1972" spans="10:15" x14ac:dyDescent="0.25">
      <c r="J1972" t="s">
        <v>2691</v>
      </c>
      <c r="K1972" s="22" t="s">
        <v>29</v>
      </c>
      <c r="L1972">
        <v>3</v>
      </c>
      <c r="O1972" s="30"/>
    </row>
    <row r="1973" spans="10:15" x14ac:dyDescent="0.25">
      <c r="J1973" t="s">
        <v>2691</v>
      </c>
      <c r="K1973" s="22" t="s">
        <v>35</v>
      </c>
      <c r="L1973">
        <v>2</v>
      </c>
      <c r="M1973">
        <v>2</v>
      </c>
      <c r="O1973" s="31"/>
    </row>
    <row r="1974" spans="10:15" x14ac:dyDescent="0.25">
      <c r="J1974" t="s">
        <v>1997</v>
      </c>
      <c r="K1974" s="22" t="s">
        <v>24</v>
      </c>
      <c r="L1974">
        <v>7</v>
      </c>
      <c r="M1974">
        <v>7</v>
      </c>
      <c r="O1974" s="31"/>
    </row>
    <row r="1975" spans="10:15" x14ac:dyDescent="0.25">
      <c r="J1975" t="s">
        <v>2287</v>
      </c>
      <c r="K1975" s="22" t="s">
        <v>24</v>
      </c>
      <c r="L1975">
        <v>2</v>
      </c>
      <c r="M1975">
        <v>2</v>
      </c>
      <c r="O1975" s="31"/>
    </row>
    <row r="1976" spans="10:15" x14ac:dyDescent="0.25">
      <c r="J1976" t="s">
        <v>2529</v>
      </c>
      <c r="K1976" s="22" t="s">
        <v>24</v>
      </c>
      <c r="L1976">
        <v>5</v>
      </c>
      <c r="M1976">
        <v>5</v>
      </c>
      <c r="O1976" s="31"/>
    </row>
    <row r="1977" spans="10:15" x14ac:dyDescent="0.25">
      <c r="J1977" t="s">
        <v>1083</v>
      </c>
      <c r="K1977" s="22" t="s">
        <v>35</v>
      </c>
      <c r="L1977">
        <v>2</v>
      </c>
      <c r="M1977">
        <v>2</v>
      </c>
      <c r="O1977" s="31"/>
    </row>
    <row r="1978" spans="10:15" x14ac:dyDescent="0.25">
      <c r="J1978" t="s">
        <v>723</v>
      </c>
      <c r="K1978" s="22" t="s">
        <v>30</v>
      </c>
      <c r="L1978">
        <v>3</v>
      </c>
      <c r="M1978">
        <v>3</v>
      </c>
    </row>
    <row r="1979" spans="10:15" x14ac:dyDescent="0.25">
      <c r="J1979" t="s">
        <v>551</v>
      </c>
      <c r="K1979" s="22" t="s">
        <v>24</v>
      </c>
      <c r="L1979">
        <v>4</v>
      </c>
      <c r="M1979">
        <v>4</v>
      </c>
      <c r="O1979" s="31"/>
    </row>
    <row r="1980" spans="10:15" x14ac:dyDescent="0.25">
      <c r="J1980" t="s">
        <v>2724</v>
      </c>
      <c r="K1980" s="22" t="s">
        <v>30</v>
      </c>
      <c r="L1980">
        <v>1</v>
      </c>
      <c r="M1980">
        <v>1</v>
      </c>
    </row>
    <row r="1981" spans="10:15" x14ac:dyDescent="0.25">
      <c r="J1981" t="s">
        <v>2295</v>
      </c>
      <c r="K1981" s="22" t="s">
        <v>30</v>
      </c>
      <c r="L1981">
        <v>1</v>
      </c>
      <c r="M1981">
        <v>1</v>
      </c>
      <c r="O1981" s="31"/>
    </row>
    <row r="1982" spans="10:15" x14ac:dyDescent="0.25">
      <c r="J1982" t="s">
        <v>2295</v>
      </c>
      <c r="K1982" s="22" t="s">
        <v>29</v>
      </c>
      <c r="L1982">
        <v>1</v>
      </c>
    </row>
    <row r="1983" spans="10:15" x14ac:dyDescent="0.25">
      <c r="J1983" t="s">
        <v>2608</v>
      </c>
      <c r="K1983" s="22" t="s">
        <v>24</v>
      </c>
      <c r="L1983">
        <v>3</v>
      </c>
      <c r="M1983">
        <v>3</v>
      </c>
      <c r="O1983" s="31"/>
    </row>
    <row r="1984" spans="10:15" x14ac:dyDescent="0.25">
      <c r="J1984" t="s">
        <v>850</v>
      </c>
      <c r="K1984" s="22" t="s">
        <v>22</v>
      </c>
      <c r="L1984">
        <v>2</v>
      </c>
      <c r="M1984">
        <v>2</v>
      </c>
      <c r="O1984" s="31"/>
    </row>
    <row r="1985" spans="10:15" x14ac:dyDescent="0.25">
      <c r="J1985" t="s">
        <v>2213</v>
      </c>
      <c r="K1985" s="22" t="s">
        <v>24</v>
      </c>
      <c r="L1985">
        <v>7</v>
      </c>
      <c r="M1985">
        <v>7</v>
      </c>
      <c r="O1985" s="31"/>
    </row>
    <row r="1986" spans="10:15" x14ac:dyDescent="0.25">
      <c r="J1986" t="s">
        <v>1016</v>
      </c>
      <c r="K1986" s="22" t="s">
        <v>28</v>
      </c>
      <c r="L1986">
        <v>4</v>
      </c>
      <c r="M1986">
        <v>3</v>
      </c>
      <c r="O1986" s="30"/>
    </row>
    <row r="1987" spans="10:15" x14ac:dyDescent="0.25">
      <c r="J1987" t="s">
        <v>1016</v>
      </c>
      <c r="K1987" s="22" t="s">
        <v>35</v>
      </c>
      <c r="L1987">
        <v>4</v>
      </c>
      <c r="M1987">
        <v>3</v>
      </c>
      <c r="O1987" s="31"/>
    </row>
    <row r="1988" spans="10:15" x14ac:dyDescent="0.25">
      <c r="J1988" t="s">
        <v>1016</v>
      </c>
      <c r="K1988" s="22" t="s">
        <v>22</v>
      </c>
      <c r="L1988">
        <v>3</v>
      </c>
      <c r="O1988" s="30"/>
    </row>
    <row r="1989" spans="10:15" x14ac:dyDescent="0.25">
      <c r="J1989" t="s">
        <v>3421</v>
      </c>
      <c r="K1989" s="22" t="s">
        <v>30</v>
      </c>
      <c r="L1989">
        <v>1</v>
      </c>
      <c r="M1989">
        <v>1</v>
      </c>
      <c r="O1989" s="31"/>
    </row>
    <row r="1990" spans="10:15" x14ac:dyDescent="0.25">
      <c r="J1990" t="s">
        <v>1148</v>
      </c>
      <c r="K1990" s="22" t="s">
        <v>24</v>
      </c>
      <c r="L1990">
        <v>4</v>
      </c>
      <c r="M1990">
        <v>4</v>
      </c>
      <c r="O1990" s="31"/>
    </row>
    <row r="1991" spans="10:15" x14ac:dyDescent="0.25">
      <c r="J1991" t="s">
        <v>1148</v>
      </c>
      <c r="K1991" s="22" t="s">
        <v>28</v>
      </c>
      <c r="L1991">
        <v>4</v>
      </c>
      <c r="O1991" s="30"/>
    </row>
    <row r="1992" spans="10:15" x14ac:dyDescent="0.25">
      <c r="J1992" t="s">
        <v>546</v>
      </c>
      <c r="K1992" s="22" t="s">
        <v>30</v>
      </c>
      <c r="L1992">
        <v>6</v>
      </c>
      <c r="M1992">
        <v>6</v>
      </c>
      <c r="O1992" s="31"/>
    </row>
    <row r="1993" spans="10:15" x14ac:dyDescent="0.25">
      <c r="J1993" t="s">
        <v>940</v>
      </c>
      <c r="K1993" s="22" t="s">
        <v>24</v>
      </c>
      <c r="L1993">
        <v>1</v>
      </c>
      <c r="M1993">
        <v>1</v>
      </c>
      <c r="O1993" s="31"/>
    </row>
    <row r="1994" spans="10:15" x14ac:dyDescent="0.25">
      <c r="J1994" t="s">
        <v>940</v>
      </c>
      <c r="K1994" s="22" t="s">
        <v>28</v>
      </c>
      <c r="L1994">
        <v>2</v>
      </c>
      <c r="M1994">
        <v>1</v>
      </c>
    </row>
    <row r="1995" spans="10:15" x14ac:dyDescent="0.25">
      <c r="J1995" t="s">
        <v>940</v>
      </c>
      <c r="K1995" s="22" t="s">
        <v>22</v>
      </c>
      <c r="L1995">
        <v>2</v>
      </c>
      <c r="M1995">
        <v>1</v>
      </c>
      <c r="O1995" s="31"/>
    </row>
    <row r="1996" spans="10:15" x14ac:dyDescent="0.25">
      <c r="J1996" t="s">
        <v>888</v>
      </c>
      <c r="K1996" s="22" t="s">
        <v>24</v>
      </c>
      <c r="L1996">
        <v>1</v>
      </c>
      <c r="M1996">
        <v>1</v>
      </c>
    </row>
    <row r="1997" spans="10:15" x14ac:dyDescent="0.25">
      <c r="J1997" t="s">
        <v>888</v>
      </c>
      <c r="K1997" s="22" t="s">
        <v>30</v>
      </c>
      <c r="L1997">
        <v>1</v>
      </c>
    </row>
    <row r="1998" spans="10:15" x14ac:dyDescent="0.25">
      <c r="J1998" t="s">
        <v>888</v>
      </c>
      <c r="K1998" s="22" t="s">
        <v>28</v>
      </c>
      <c r="L1998">
        <v>3</v>
      </c>
      <c r="O1998" s="30"/>
    </row>
    <row r="1999" spans="10:15" x14ac:dyDescent="0.25">
      <c r="J1999" t="s">
        <v>888</v>
      </c>
      <c r="K1999" s="22" t="s">
        <v>22</v>
      </c>
      <c r="L1999">
        <v>3</v>
      </c>
      <c r="O1999" s="30"/>
    </row>
    <row r="2000" spans="10:15" x14ac:dyDescent="0.25">
      <c r="J2000" t="s">
        <v>3398</v>
      </c>
      <c r="K2000" s="22" t="s">
        <v>28</v>
      </c>
      <c r="L2000">
        <v>1</v>
      </c>
      <c r="O2000" s="30"/>
    </row>
    <row r="2001" spans="10:15" x14ac:dyDescent="0.25">
      <c r="J2001" t="s">
        <v>2783</v>
      </c>
      <c r="K2001" s="22" t="s">
        <v>24</v>
      </c>
      <c r="L2001">
        <v>1</v>
      </c>
      <c r="M2001">
        <v>1</v>
      </c>
      <c r="O2001" s="31"/>
    </row>
    <row r="2002" spans="10:15" x14ac:dyDescent="0.25">
      <c r="J2002" t="s">
        <v>2783</v>
      </c>
      <c r="K2002" s="22" t="s">
        <v>30</v>
      </c>
      <c r="L2002">
        <v>1</v>
      </c>
    </row>
    <row r="2003" spans="10:15" x14ac:dyDescent="0.25">
      <c r="J2003" t="s">
        <v>2616</v>
      </c>
      <c r="K2003" s="22" t="s">
        <v>24</v>
      </c>
      <c r="L2003">
        <v>4</v>
      </c>
      <c r="M2003">
        <v>4</v>
      </c>
      <c r="O2003" s="31"/>
    </row>
    <row r="2004" spans="10:15" x14ac:dyDescent="0.25">
      <c r="J2004" t="s">
        <v>3036</v>
      </c>
      <c r="K2004" s="22" t="s">
        <v>24</v>
      </c>
      <c r="L2004">
        <v>1</v>
      </c>
      <c r="M2004">
        <v>1</v>
      </c>
    </row>
    <row r="2005" spans="10:15" x14ac:dyDescent="0.25">
      <c r="J2005" t="s">
        <v>1068</v>
      </c>
      <c r="K2005" s="22" t="s">
        <v>22</v>
      </c>
      <c r="L2005">
        <v>1</v>
      </c>
    </row>
    <row r="2006" spans="10:15" x14ac:dyDescent="0.25">
      <c r="J2006" t="s">
        <v>1118</v>
      </c>
      <c r="K2006" s="22" t="s">
        <v>30</v>
      </c>
      <c r="L2006">
        <v>2</v>
      </c>
      <c r="M2006">
        <v>2</v>
      </c>
    </row>
    <row r="2007" spans="10:15" x14ac:dyDescent="0.25">
      <c r="J2007" t="s">
        <v>3210</v>
      </c>
      <c r="K2007" s="22" t="s">
        <v>30</v>
      </c>
      <c r="L2007">
        <v>1</v>
      </c>
      <c r="O2007" s="30"/>
    </row>
    <row r="2008" spans="10:15" x14ac:dyDescent="0.25">
      <c r="J2008" t="s">
        <v>1964</v>
      </c>
      <c r="K2008" s="22" t="s">
        <v>24</v>
      </c>
      <c r="L2008">
        <v>5</v>
      </c>
      <c r="M2008">
        <v>5</v>
      </c>
      <c r="O2008" s="31"/>
    </row>
    <row r="2009" spans="10:15" x14ac:dyDescent="0.25">
      <c r="J2009" t="s">
        <v>3165</v>
      </c>
      <c r="K2009" s="22" t="s">
        <v>24</v>
      </c>
      <c r="L2009">
        <v>1</v>
      </c>
      <c r="M2009">
        <v>1</v>
      </c>
      <c r="O2009" s="31"/>
    </row>
    <row r="2010" spans="10:15" x14ac:dyDescent="0.25">
      <c r="J2010" t="s">
        <v>1743</v>
      </c>
      <c r="K2010" s="22" t="s">
        <v>24</v>
      </c>
      <c r="L2010">
        <v>1</v>
      </c>
      <c r="M2010">
        <v>1</v>
      </c>
      <c r="O2010" s="31"/>
    </row>
    <row r="2011" spans="10:15" x14ac:dyDescent="0.25">
      <c r="J2011" t="s">
        <v>1743</v>
      </c>
      <c r="K2011" s="22" t="s">
        <v>30</v>
      </c>
      <c r="L2011">
        <v>1</v>
      </c>
      <c r="O2011" s="30"/>
    </row>
    <row r="2012" spans="10:15" x14ac:dyDescent="0.25">
      <c r="J2012" t="s">
        <v>1743</v>
      </c>
      <c r="K2012" s="22" t="s">
        <v>22</v>
      </c>
      <c r="L2012">
        <v>1</v>
      </c>
    </row>
    <row r="2013" spans="10:15" x14ac:dyDescent="0.25">
      <c r="J2013" t="s">
        <v>3224</v>
      </c>
      <c r="K2013" s="22" t="s">
        <v>24</v>
      </c>
      <c r="L2013">
        <v>1</v>
      </c>
      <c r="M2013">
        <v>1</v>
      </c>
      <c r="O2013" s="31"/>
    </row>
    <row r="2014" spans="10:15" x14ac:dyDescent="0.25">
      <c r="J2014" t="s">
        <v>109</v>
      </c>
      <c r="K2014" s="22" t="s">
        <v>22</v>
      </c>
      <c r="L2014">
        <v>1</v>
      </c>
    </row>
    <row r="2015" spans="10:15" x14ac:dyDescent="0.25">
      <c r="J2015" t="s">
        <v>449</v>
      </c>
      <c r="K2015" s="22" t="s">
        <v>24</v>
      </c>
      <c r="L2015">
        <v>3</v>
      </c>
      <c r="M2015">
        <v>3</v>
      </c>
      <c r="O2015" s="31"/>
    </row>
    <row r="2016" spans="10:15" x14ac:dyDescent="0.25">
      <c r="J2016" t="s">
        <v>1100</v>
      </c>
      <c r="K2016" s="22" t="s">
        <v>24</v>
      </c>
      <c r="L2016">
        <v>1</v>
      </c>
      <c r="M2016">
        <v>1</v>
      </c>
    </row>
    <row r="2017" spans="10:15" x14ac:dyDescent="0.25">
      <c r="J2017" t="s">
        <v>1100</v>
      </c>
      <c r="K2017" s="22" t="s">
        <v>30</v>
      </c>
      <c r="L2017">
        <v>1</v>
      </c>
    </row>
    <row r="2018" spans="10:15" x14ac:dyDescent="0.25">
      <c r="J2018" t="s">
        <v>1811</v>
      </c>
      <c r="K2018" s="22" t="s">
        <v>24</v>
      </c>
      <c r="L2018">
        <v>1</v>
      </c>
      <c r="M2018">
        <v>1</v>
      </c>
    </row>
    <row r="2019" spans="10:15" x14ac:dyDescent="0.25">
      <c r="J2019" t="s">
        <v>1733</v>
      </c>
      <c r="K2019" s="22" t="s">
        <v>24</v>
      </c>
      <c r="L2019">
        <v>5</v>
      </c>
      <c r="M2019">
        <v>5</v>
      </c>
      <c r="O2019" s="31"/>
    </row>
    <row r="2020" spans="10:15" x14ac:dyDescent="0.25">
      <c r="J2020" t="s">
        <v>2181</v>
      </c>
      <c r="K2020" s="22" t="s">
        <v>24</v>
      </c>
      <c r="L2020">
        <v>2</v>
      </c>
      <c r="M2020">
        <v>2</v>
      </c>
      <c r="O2020" s="31"/>
    </row>
    <row r="2021" spans="10:15" x14ac:dyDescent="0.25">
      <c r="J2021" t="s">
        <v>2181</v>
      </c>
      <c r="K2021" s="22" t="s">
        <v>28</v>
      </c>
      <c r="L2021">
        <v>1</v>
      </c>
    </row>
    <row r="2022" spans="10:15" x14ac:dyDescent="0.25">
      <c r="J2022" t="s">
        <v>2181</v>
      </c>
      <c r="K2022" s="22" t="s">
        <v>35</v>
      </c>
      <c r="L2022">
        <v>1</v>
      </c>
      <c r="O2022" s="30"/>
    </row>
    <row r="2023" spans="10:15" x14ac:dyDescent="0.25">
      <c r="J2023" t="s">
        <v>2760</v>
      </c>
      <c r="K2023" s="22" t="s">
        <v>24</v>
      </c>
      <c r="L2023">
        <v>2</v>
      </c>
      <c r="M2023">
        <v>2</v>
      </c>
      <c r="O2023" s="31"/>
    </row>
    <row r="2024" spans="10:15" x14ac:dyDescent="0.25">
      <c r="J2024" t="s">
        <v>2760</v>
      </c>
      <c r="K2024" s="22" t="s">
        <v>28</v>
      </c>
      <c r="L2024">
        <v>1</v>
      </c>
    </row>
    <row r="2025" spans="10:15" x14ac:dyDescent="0.25">
      <c r="J2025" t="s">
        <v>2407</v>
      </c>
      <c r="K2025" s="22" t="s">
        <v>31</v>
      </c>
      <c r="L2025">
        <v>2</v>
      </c>
      <c r="M2025">
        <v>2</v>
      </c>
      <c r="O2025" s="31"/>
    </row>
    <row r="2026" spans="10:15" x14ac:dyDescent="0.25">
      <c r="J2026" t="s">
        <v>2211</v>
      </c>
      <c r="K2026" s="22" t="s">
        <v>24</v>
      </c>
      <c r="L2026">
        <v>2</v>
      </c>
      <c r="M2026">
        <v>2</v>
      </c>
    </row>
    <row r="2027" spans="10:15" x14ac:dyDescent="0.25">
      <c r="J2027" t="s">
        <v>2211</v>
      </c>
      <c r="K2027" s="22" t="s">
        <v>35</v>
      </c>
      <c r="L2027">
        <v>1</v>
      </c>
    </row>
    <row r="2028" spans="10:15" x14ac:dyDescent="0.25">
      <c r="J2028" t="s">
        <v>2664</v>
      </c>
      <c r="K2028" s="22" t="s">
        <v>24</v>
      </c>
      <c r="L2028">
        <v>3</v>
      </c>
      <c r="M2028">
        <v>3</v>
      </c>
      <c r="O2028" s="31"/>
    </row>
    <row r="2029" spans="10:15" x14ac:dyDescent="0.25">
      <c r="J2029" t="s">
        <v>296</v>
      </c>
      <c r="K2029" s="22" t="s">
        <v>24</v>
      </c>
      <c r="L2029">
        <v>1</v>
      </c>
      <c r="M2029">
        <v>1</v>
      </c>
    </row>
    <row r="2030" spans="10:15" x14ac:dyDescent="0.25">
      <c r="J2030" t="s">
        <v>296</v>
      </c>
      <c r="K2030" s="22" t="s">
        <v>35</v>
      </c>
      <c r="L2030">
        <v>3</v>
      </c>
    </row>
    <row r="2031" spans="10:15" x14ac:dyDescent="0.25">
      <c r="J2031" t="s">
        <v>129</v>
      </c>
      <c r="K2031" s="22" t="s">
        <v>24</v>
      </c>
      <c r="L2031">
        <v>11</v>
      </c>
      <c r="M2031">
        <v>11</v>
      </c>
      <c r="O2031" s="31"/>
    </row>
    <row r="2032" spans="10:15" x14ac:dyDescent="0.25">
      <c r="J2032" t="s">
        <v>2878</v>
      </c>
      <c r="K2032" s="22" t="s">
        <v>24</v>
      </c>
      <c r="L2032">
        <v>1</v>
      </c>
      <c r="M2032">
        <v>1</v>
      </c>
    </row>
    <row r="2033" spans="10:15" x14ac:dyDescent="0.25">
      <c r="J2033" t="s">
        <v>111</v>
      </c>
      <c r="K2033" s="22" t="s">
        <v>24</v>
      </c>
      <c r="L2033">
        <v>2</v>
      </c>
      <c r="M2033">
        <v>2</v>
      </c>
    </row>
    <row r="2034" spans="10:15" x14ac:dyDescent="0.25">
      <c r="J2034" t="s">
        <v>2356</v>
      </c>
      <c r="K2034" s="22" t="s">
        <v>24</v>
      </c>
      <c r="L2034">
        <v>3</v>
      </c>
      <c r="M2034">
        <v>3</v>
      </c>
      <c r="O2034" s="31"/>
    </row>
    <row r="2035" spans="10:15" x14ac:dyDescent="0.25">
      <c r="J2035" t="s">
        <v>298</v>
      </c>
      <c r="K2035" s="22" t="s">
        <v>24</v>
      </c>
      <c r="L2035">
        <v>2</v>
      </c>
      <c r="M2035">
        <v>2</v>
      </c>
      <c r="O2035" s="31"/>
    </row>
    <row r="2036" spans="10:15" x14ac:dyDescent="0.25">
      <c r="J2036" t="s">
        <v>2409</v>
      </c>
      <c r="K2036" s="22" t="s">
        <v>24</v>
      </c>
      <c r="L2036">
        <v>3</v>
      </c>
      <c r="M2036">
        <v>3</v>
      </c>
      <c r="O2036" s="31"/>
    </row>
    <row r="2037" spans="10:15" x14ac:dyDescent="0.25">
      <c r="J2037" t="s">
        <v>408</v>
      </c>
      <c r="K2037" s="22" t="s">
        <v>29</v>
      </c>
      <c r="L2037">
        <v>1</v>
      </c>
      <c r="M2037">
        <v>1</v>
      </c>
    </row>
    <row r="2038" spans="10:15" x14ac:dyDescent="0.25">
      <c r="J2038" t="s">
        <v>408</v>
      </c>
      <c r="K2038" s="22" t="s">
        <v>28</v>
      </c>
      <c r="L2038">
        <v>3</v>
      </c>
      <c r="M2038">
        <v>2</v>
      </c>
      <c r="O2038" s="31"/>
    </row>
    <row r="2039" spans="10:15" x14ac:dyDescent="0.25">
      <c r="J2039" t="s">
        <v>2978</v>
      </c>
      <c r="K2039" s="22" t="s">
        <v>24</v>
      </c>
      <c r="L2039">
        <v>2</v>
      </c>
      <c r="M2039">
        <v>2</v>
      </c>
      <c r="O2039" s="31"/>
    </row>
    <row r="2040" spans="10:15" x14ac:dyDescent="0.25">
      <c r="J2040" t="s">
        <v>2978</v>
      </c>
      <c r="K2040" s="22" t="s">
        <v>29</v>
      </c>
      <c r="L2040">
        <v>1</v>
      </c>
    </row>
    <row r="2041" spans="10:15" x14ac:dyDescent="0.25">
      <c r="J2041" t="s">
        <v>754</v>
      </c>
      <c r="K2041" s="22" t="s">
        <v>28</v>
      </c>
      <c r="L2041">
        <v>3</v>
      </c>
      <c r="M2041">
        <v>3</v>
      </c>
      <c r="O2041" s="31"/>
    </row>
    <row r="2042" spans="10:15" x14ac:dyDescent="0.25">
      <c r="J2042" t="s">
        <v>752</v>
      </c>
      <c r="K2042" s="22" t="s">
        <v>24</v>
      </c>
      <c r="L2042">
        <v>6</v>
      </c>
      <c r="M2042">
        <v>6</v>
      </c>
      <c r="O2042" s="31"/>
    </row>
    <row r="2043" spans="10:15" x14ac:dyDescent="0.25">
      <c r="J2043" t="s">
        <v>752</v>
      </c>
      <c r="K2043" s="22" t="s">
        <v>31</v>
      </c>
      <c r="L2043">
        <v>4</v>
      </c>
      <c r="O2043" s="30"/>
    </row>
    <row r="2044" spans="10:15" x14ac:dyDescent="0.25">
      <c r="J2044" t="s">
        <v>2613</v>
      </c>
      <c r="K2044" s="22" t="s">
        <v>29</v>
      </c>
      <c r="L2044">
        <v>1</v>
      </c>
      <c r="M2044">
        <v>1</v>
      </c>
    </row>
    <row r="2045" spans="10:15" x14ac:dyDescent="0.25">
      <c r="J2045" t="s">
        <v>3278</v>
      </c>
      <c r="K2045" s="22" t="s">
        <v>29</v>
      </c>
      <c r="L2045">
        <v>1</v>
      </c>
      <c r="O2045" s="30"/>
    </row>
    <row r="2046" spans="10:15" x14ac:dyDescent="0.25">
      <c r="J2046" t="s">
        <v>3278</v>
      </c>
      <c r="K2046" s="22" t="s">
        <v>28</v>
      </c>
      <c r="L2046">
        <v>1</v>
      </c>
      <c r="O2046" s="30"/>
    </row>
    <row r="2047" spans="10:15" x14ac:dyDescent="0.25">
      <c r="J2047" t="s">
        <v>2557</v>
      </c>
      <c r="K2047" s="22" t="s">
        <v>29</v>
      </c>
      <c r="L2047">
        <v>1</v>
      </c>
    </row>
    <row r="2048" spans="10:15" x14ac:dyDescent="0.25">
      <c r="J2048" t="s">
        <v>2557</v>
      </c>
      <c r="K2048" s="22" t="s">
        <v>31</v>
      </c>
      <c r="L2048">
        <v>1</v>
      </c>
      <c r="M2048">
        <v>1</v>
      </c>
      <c r="O2048" s="31"/>
    </row>
    <row r="2049" spans="10:15" x14ac:dyDescent="0.25">
      <c r="J2049" t="s">
        <v>1773</v>
      </c>
      <c r="K2049" s="22" t="s">
        <v>24</v>
      </c>
      <c r="L2049">
        <v>7</v>
      </c>
      <c r="M2049">
        <v>7</v>
      </c>
      <c r="O2049" s="31"/>
    </row>
    <row r="2050" spans="10:15" x14ac:dyDescent="0.25">
      <c r="J2050" t="s">
        <v>1773</v>
      </c>
      <c r="K2050" s="22" t="s">
        <v>31</v>
      </c>
      <c r="L2050">
        <v>2</v>
      </c>
      <c r="O2050" s="30"/>
    </row>
    <row r="2051" spans="10:15" x14ac:dyDescent="0.25">
      <c r="J2051" t="s">
        <v>1184</v>
      </c>
      <c r="K2051" s="22" t="s">
        <v>35</v>
      </c>
      <c r="L2051">
        <v>2</v>
      </c>
      <c r="M2051">
        <v>1</v>
      </c>
    </row>
    <row r="2052" spans="10:15" x14ac:dyDescent="0.25">
      <c r="J2052" t="s">
        <v>2146</v>
      </c>
      <c r="K2052" s="22" t="s">
        <v>24</v>
      </c>
      <c r="L2052">
        <v>2</v>
      </c>
      <c r="M2052">
        <v>2</v>
      </c>
      <c r="O2052" s="31"/>
    </row>
    <row r="2053" spans="10:15" x14ac:dyDescent="0.25">
      <c r="J2053" t="s">
        <v>2485</v>
      </c>
      <c r="K2053" s="22" t="s">
        <v>29</v>
      </c>
      <c r="L2053">
        <v>1</v>
      </c>
      <c r="M2053">
        <v>1</v>
      </c>
      <c r="O2053" s="31"/>
    </row>
    <row r="2054" spans="10:15" x14ac:dyDescent="0.25">
      <c r="J2054" t="s">
        <v>2485</v>
      </c>
      <c r="K2054" s="22" t="s">
        <v>31</v>
      </c>
      <c r="L2054">
        <v>1</v>
      </c>
    </row>
    <row r="2055" spans="10:15" x14ac:dyDescent="0.25">
      <c r="J2055" t="s">
        <v>3189</v>
      </c>
      <c r="K2055" s="22" t="s">
        <v>24</v>
      </c>
      <c r="L2055">
        <v>2</v>
      </c>
      <c r="M2055">
        <v>2</v>
      </c>
      <c r="O2055" s="31"/>
    </row>
    <row r="2056" spans="10:15" x14ac:dyDescent="0.25">
      <c r="J2056" t="s">
        <v>1084</v>
      </c>
      <c r="K2056" s="22" t="s">
        <v>29</v>
      </c>
      <c r="L2056">
        <v>2</v>
      </c>
      <c r="M2056">
        <v>2</v>
      </c>
    </row>
    <row r="2057" spans="10:15" x14ac:dyDescent="0.25">
      <c r="J2057" t="s">
        <v>822</v>
      </c>
      <c r="K2057" s="22" t="s">
        <v>24</v>
      </c>
      <c r="L2057">
        <v>4</v>
      </c>
      <c r="M2057">
        <v>4</v>
      </c>
      <c r="O2057" s="31"/>
    </row>
    <row r="2058" spans="10:15" x14ac:dyDescent="0.25">
      <c r="J2058" t="s">
        <v>2534</v>
      </c>
      <c r="K2058" s="22" t="s">
        <v>24</v>
      </c>
      <c r="L2058">
        <v>1</v>
      </c>
      <c r="M2058">
        <v>1</v>
      </c>
      <c r="O2058" s="31"/>
    </row>
    <row r="2059" spans="10:15" x14ac:dyDescent="0.25">
      <c r="J2059" t="s">
        <v>2534</v>
      </c>
      <c r="K2059" s="22" t="s">
        <v>31</v>
      </c>
      <c r="L2059">
        <v>1</v>
      </c>
    </row>
    <row r="2060" spans="10:15" x14ac:dyDescent="0.25">
      <c r="J2060" t="s">
        <v>2480</v>
      </c>
      <c r="K2060" s="22" t="s">
        <v>24</v>
      </c>
      <c r="L2060">
        <v>2</v>
      </c>
      <c r="M2060">
        <v>2</v>
      </c>
      <c r="O2060" s="31"/>
    </row>
    <row r="2061" spans="10:15" x14ac:dyDescent="0.25">
      <c r="J2061" t="s">
        <v>2585</v>
      </c>
      <c r="K2061" s="22" t="s">
        <v>24</v>
      </c>
      <c r="L2061">
        <v>3</v>
      </c>
      <c r="M2061">
        <v>3</v>
      </c>
      <c r="O2061" s="31"/>
    </row>
    <row r="2062" spans="10:15" x14ac:dyDescent="0.25">
      <c r="J2062" t="s">
        <v>1648</v>
      </c>
      <c r="K2062" s="22" t="s">
        <v>24</v>
      </c>
      <c r="L2062">
        <v>1</v>
      </c>
      <c r="M2062">
        <v>1</v>
      </c>
    </row>
    <row r="2063" spans="10:15" x14ac:dyDescent="0.25">
      <c r="J2063" t="s">
        <v>2675</v>
      </c>
      <c r="K2063" s="22" t="s">
        <v>31</v>
      </c>
      <c r="L2063">
        <v>1</v>
      </c>
      <c r="M2063">
        <v>1</v>
      </c>
    </row>
    <row r="2064" spans="10:15" x14ac:dyDescent="0.25">
      <c r="J2064" t="s">
        <v>2024</v>
      </c>
      <c r="K2064" s="22" t="s">
        <v>22</v>
      </c>
      <c r="L2064">
        <v>1</v>
      </c>
      <c r="M2064">
        <v>1</v>
      </c>
    </row>
    <row r="2065" spans="10:15" x14ac:dyDescent="0.25">
      <c r="J2065" t="s">
        <v>2450</v>
      </c>
      <c r="K2065" s="22" t="s">
        <v>24</v>
      </c>
      <c r="L2065">
        <v>3</v>
      </c>
      <c r="M2065">
        <v>3</v>
      </c>
      <c r="O2065" s="31"/>
    </row>
    <row r="2066" spans="10:15" x14ac:dyDescent="0.25">
      <c r="J2066" t="s">
        <v>1003</v>
      </c>
      <c r="K2066" s="22" t="s">
        <v>24</v>
      </c>
      <c r="L2066">
        <v>6</v>
      </c>
      <c r="M2066">
        <v>6</v>
      </c>
      <c r="O2066" s="31"/>
    </row>
    <row r="2067" spans="10:15" x14ac:dyDescent="0.25">
      <c r="J2067" t="s">
        <v>1881</v>
      </c>
      <c r="K2067" s="22" t="s">
        <v>24</v>
      </c>
      <c r="L2067">
        <v>5</v>
      </c>
      <c r="M2067">
        <v>5</v>
      </c>
      <c r="O2067" s="31"/>
    </row>
    <row r="2068" spans="10:15" x14ac:dyDescent="0.25">
      <c r="J2068" t="s">
        <v>796</v>
      </c>
      <c r="K2068" s="22" t="s">
        <v>24</v>
      </c>
      <c r="L2068">
        <v>2</v>
      </c>
      <c r="M2068">
        <v>2</v>
      </c>
      <c r="O2068" s="31"/>
    </row>
    <row r="2069" spans="10:15" x14ac:dyDescent="0.25">
      <c r="J2069" t="s">
        <v>796</v>
      </c>
      <c r="K2069" s="22" t="s">
        <v>28</v>
      </c>
      <c r="L2069">
        <v>1</v>
      </c>
    </row>
    <row r="2070" spans="10:15" x14ac:dyDescent="0.25">
      <c r="J2070" t="s">
        <v>796</v>
      </c>
      <c r="K2070" s="22" t="s">
        <v>35</v>
      </c>
      <c r="L2070">
        <v>3</v>
      </c>
      <c r="O2070" s="30"/>
    </row>
    <row r="2071" spans="10:15" x14ac:dyDescent="0.25">
      <c r="J2071" t="s">
        <v>1129</v>
      </c>
      <c r="K2071" s="22" t="s">
        <v>24</v>
      </c>
      <c r="L2071">
        <v>1</v>
      </c>
      <c r="M2071">
        <v>1</v>
      </c>
    </row>
    <row r="2072" spans="10:15" x14ac:dyDescent="0.25">
      <c r="J2072" t="s">
        <v>1667</v>
      </c>
      <c r="K2072" s="22" t="s">
        <v>24</v>
      </c>
      <c r="L2072">
        <v>4</v>
      </c>
      <c r="M2072">
        <v>4</v>
      </c>
      <c r="O2072" s="31"/>
    </row>
    <row r="2073" spans="10:15" x14ac:dyDescent="0.25">
      <c r="J2073" t="s">
        <v>1018</v>
      </c>
      <c r="K2073" s="22" t="s">
        <v>24</v>
      </c>
      <c r="L2073">
        <v>1</v>
      </c>
      <c r="M2073">
        <v>1</v>
      </c>
    </row>
    <row r="2074" spans="10:15" x14ac:dyDescent="0.25">
      <c r="J2074" t="s">
        <v>2563</v>
      </c>
      <c r="K2074" s="22" t="s">
        <v>24</v>
      </c>
      <c r="L2074">
        <v>1</v>
      </c>
      <c r="M2074">
        <v>1</v>
      </c>
      <c r="O2074" s="31"/>
    </row>
    <row r="2075" spans="10:15" x14ac:dyDescent="0.25">
      <c r="J2075" t="s">
        <v>2563</v>
      </c>
      <c r="K2075" s="22" t="s">
        <v>28</v>
      </c>
      <c r="L2075">
        <v>1</v>
      </c>
    </row>
    <row r="2076" spans="10:15" x14ac:dyDescent="0.25">
      <c r="J2076" t="s">
        <v>2543</v>
      </c>
      <c r="K2076" s="22" t="s">
        <v>22</v>
      </c>
      <c r="L2076">
        <v>1</v>
      </c>
    </row>
    <row r="2077" spans="10:15" x14ac:dyDescent="0.25">
      <c r="J2077" t="s">
        <v>2098</v>
      </c>
      <c r="K2077" s="22" t="s">
        <v>24</v>
      </c>
      <c r="L2077">
        <v>3</v>
      </c>
      <c r="M2077">
        <v>3</v>
      </c>
      <c r="O2077" s="31"/>
    </row>
    <row r="2078" spans="10:15" x14ac:dyDescent="0.25">
      <c r="J2078" t="s">
        <v>925</v>
      </c>
      <c r="K2078" s="22" t="s">
        <v>28</v>
      </c>
      <c r="L2078">
        <v>1</v>
      </c>
    </row>
    <row r="2079" spans="10:15" x14ac:dyDescent="0.25">
      <c r="J2079" t="s">
        <v>146</v>
      </c>
      <c r="K2079" s="22" t="s">
        <v>28</v>
      </c>
      <c r="L2079">
        <v>1</v>
      </c>
      <c r="M2079">
        <v>1</v>
      </c>
    </row>
    <row r="2080" spans="10:15" x14ac:dyDescent="0.25">
      <c r="J2080" t="s">
        <v>459</v>
      </c>
      <c r="K2080" s="22" t="s">
        <v>31</v>
      </c>
      <c r="L2080">
        <v>3</v>
      </c>
      <c r="M2080">
        <v>3</v>
      </c>
      <c r="O2080" s="31"/>
    </row>
    <row r="2081" spans="10:15" x14ac:dyDescent="0.25">
      <c r="J2081" t="s">
        <v>547</v>
      </c>
      <c r="K2081" s="22" t="s">
        <v>24</v>
      </c>
      <c r="L2081">
        <v>7</v>
      </c>
      <c r="M2081">
        <v>7</v>
      </c>
      <c r="O2081" s="31"/>
    </row>
    <row r="2082" spans="10:15" x14ac:dyDescent="0.25">
      <c r="J2082" t="s">
        <v>403</v>
      </c>
      <c r="K2082" s="22" t="s">
        <v>24</v>
      </c>
      <c r="L2082">
        <v>3</v>
      </c>
      <c r="M2082">
        <v>3</v>
      </c>
      <c r="O2082" s="31"/>
    </row>
    <row r="2083" spans="10:15" x14ac:dyDescent="0.25">
      <c r="J2083" t="s">
        <v>458</v>
      </c>
      <c r="K2083" s="22" t="s">
        <v>24</v>
      </c>
      <c r="L2083">
        <v>7</v>
      </c>
      <c r="M2083">
        <v>7</v>
      </c>
      <c r="O2083" s="31"/>
    </row>
    <row r="2084" spans="10:15" x14ac:dyDescent="0.25">
      <c r="J2084" t="s">
        <v>79</v>
      </c>
      <c r="K2084" s="22" t="s">
        <v>24</v>
      </c>
      <c r="L2084">
        <v>5</v>
      </c>
      <c r="M2084">
        <v>2</v>
      </c>
      <c r="O2084" s="30"/>
    </row>
    <row r="2085" spans="10:15" x14ac:dyDescent="0.25">
      <c r="J2085" t="s">
        <v>79</v>
      </c>
      <c r="K2085" s="22" t="s">
        <v>30</v>
      </c>
      <c r="L2085">
        <v>2</v>
      </c>
      <c r="M2085">
        <v>1</v>
      </c>
      <c r="O2085" s="31"/>
    </row>
    <row r="2086" spans="10:15" x14ac:dyDescent="0.25">
      <c r="J2086" t="s">
        <v>79</v>
      </c>
      <c r="K2086" s="22" t="s">
        <v>29</v>
      </c>
      <c r="L2086">
        <v>4</v>
      </c>
      <c r="M2086">
        <v>3</v>
      </c>
      <c r="O2086" s="31"/>
    </row>
    <row r="2087" spans="10:15" x14ac:dyDescent="0.25">
      <c r="J2087" t="s">
        <v>79</v>
      </c>
      <c r="K2087" s="22" t="s">
        <v>28</v>
      </c>
      <c r="L2087">
        <v>5</v>
      </c>
      <c r="M2087">
        <v>3</v>
      </c>
      <c r="O2087" s="31"/>
    </row>
    <row r="2088" spans="10:15" x14ac:dyDescent="0.25">
      <c r="J2088" t="s">
        <v>79</v>
      </c>
      <c r="K2088" s="22" t="s">
        <v>35</v>
      </c>
      <c r="L2088">
        <v>8</v>
      </c>
      <c r="M2088">
        <v>4</v>
      </c>
      <c r="O2088" s="31"/>
    </row>
    <row r="2089" spans="10:15" x14ac:dyDescent="0.25">
      <c r="J2089" t="s">
        <v>79</v>
      </c>
      <c r="K2089" s="22" t="s">
        <v>22</v>
      </c>
      <c r="L2089">
        <v>11</v>
      </c>
      <c r="M2089">
        <v>7</v>
      </c>
      <c r="O2089" s="31"/>
    </row>
    <row r="2090" spans="10:15" x14ac:dyDescent="0.25">
      <c r="J2090" t="s">
        <v>79</v>
      </c>
      <c r="K2090" s="22" t="s">
        <v>31</v>
      </c>
      <c r="L2090">
        <v>15</v>
      </c>
      <c r="M2090">
        <v>10</v>
      </c>
      <c r="O2090" s="30"/>
    </row>
    <row r="2091" spans="10:15" x14ac:dyDescent="0.25">
      <c r="J2091" t="s">
        <v>259</v>
      </c>
      <c r="K2091" s="22" t="s">
        <v>24</v>
      </c>
      <c r="L2091">
        <v>3</v>
      </c>
      <c r="O2091" s="30"/>
    </row>
    <row r="2092" spans="10:15" x14ac:dyDescent="0.25">
      <c r="J2092" t="s">
        <v>259</v>
      </c>
      <c r="K2092" s="22" t="s">
        <v>30</v>
      </c>
      <c r="L2092">
        <v>2</v>
      </c>
      <c r="O2092" s="30"/>
    </row>
    <row r="2093" spans="10:15" x14ac:dyDescent="0.25">
      <c r="J2093" t="s">
        <v>259</v>
      </c>
      <c r="K2093" s="22" t="s">
        <v>29</v>
      </c>
      <c r="L2093">
        <v>11</v>
      </c>
      <c r="M2093">
        <v>1</v>
      </c>
      <c r="O2093" s="30"/>
    </row>
    <row r="2094" spans="10:15" x14ac:dyDescent="0.25">
      <c r="J2094" t="s">
        <v>259</v>
      </c>
      <c r="K2094" s="22" t="s">
        <v>28</v>
      </c>
      <c r="L2094">
        <v>1</v>
      </c>
    </row>
    <row r="2095" spans="10:15" x14ac:dyDescent="0.25">
      <c r="J2095" t="s">
        <v>259</v>
      </c>
      <c r="K2095" s="22" t="s">
        <v>35</v>
      </c>
      <c r="L2095">
        <v>3</v>
      </c>
      <c r="O2095" s="30"/>
    </row>
    <row r="2096" spans="10:15" x14ac:dyDescent="0.25">
      <c r="J2096" t="s">
        <v>259</v>
      </c>
      <c r="K2096" s="22" t="s">
        <v>22</v>
      </c>
      <c r="L2096">
        <v>1</v>
      </c>
    </row>
    <row r="2097" spans="10:15" x14ac:dyDescent="0.25">
      <c r="J2097" t="s">
        <v>1139</v>
      </c>
      <c r="K2097" s="22" t="s">
        <v>24</v>
      </c>
      <c r="L2097">
        <v>4</v>
      </c>
      <c r="M2097">
        <v>2</v>
      </c>
      <c r="O2097" s="31"/>
    </row>
    <row r="2098" spans="10:15" x14ac:dyDescent="0.25">
      <c r="J2098" t="s">
        <v>1139</v>
      </c>
      <c r="K2098" s="22" t="s">
        <v>30</v>
      </c>
      <c r="L2098">
        <v>3</v>
      </c>
      <c r="M2098">
        <v>2</v>
      </c>
      <c r="O2098" s="30"/>
    </row>
    <row r="2099" spans="10:15" x14ac:dyDescent="0.25">
      <c r="J2099" t="s">
        <v>1108</v>
      </c>
      <c r="K2099" s="22" t="s">
        <v>24</v>
      </c>
      <c r="L2099">
        <v>3</v>
      </c>
      <c r="M2099">
        <v>1</v>
      </c>
    </row>
    <row r="2100" spans="10:15" x14ac:dyDescent="0.25">
      <c r="J2100" t="s">
        <v>1108</v>
      </c>
      <c r="K2100" s="22" t="s">
        <v>30</v>
      </c>
      <c r="L2100">
        <v>4</v>
      </c>
    </row>
    <row r="2101" spans="10:15" x14ac:dyDescent="0.25">
      <c r="J2101" t="s">
        <v>1108</v>
      </c>
      <c r="K2101" s="22" t="s">
        <v>29</v>
      </c>
      <c r="L2101">
        <v>5</v>
      </c>
      <c r="M2101">
        <v>2</v>
      </c>
      <c r="O2101" s="30"/>
    </row>
    <row r="2102" spans="10:15" x14ac:dyDescent="0.25">
      <c r="J2102" t="s">
        <v>1108</v>
      </c>
      <c r="K2102" s="22" t="s">
        <v>28</v>
      </c>
      <c r="L2102">
        <v>3</v>
      </c>
      <c r="O2102" s="30"/>
    </row>
    <row r="2103" spans="10:15" x14ac:dyDescent="0.25">
      <c r="J2103" t="s">
        <v>1108</v>
      </c>
      <c r="K2103" s="22" t="s">
        <v>35</v>
      </c>
      <c r="L2103">
        <v>2</v>
      </c>
    </row>
    <row r="2104" spans="10:15" x14ac:dyDescent="0.25">
      <c r="J2104" t="s">
        <v>1108</v>
      </c>
      <c r="K2104" s="22" t="s">
        <v>31</v>
      </c>
      <c r="L2104">
        <v>2</v>
      </c>
    </row>
    <row r="2105" spans="10:15" x14ac:dyDescent="0.25">
      <c r="J2105" t="s">
        <v>980</v>
      </c>
      <c r="K2105" s="22" t="s">
        <v>24</v>
      </c>
      <c r="L2105">
        <v>5</v>
      </c>
      <c r="M2105">
        <v>4</v>
      </c>
    </row>
    <row r="2106" spans="10:15" x14ac:dyDescent="0.25">
      <c r="J2106" t="s">
        <v>980</v>
      </c>
      <c r="K2106" s="22" t="s">
        <v>30</v>
      </c>
      <c r="L2106">
        <v>4</v>
      </c>
      <c r="M2106">
        <v>4</v>
      </c>
    </row>
    <row r="2107" spans="10:15" x14ac:dyDescent="0.25">
      <c r="J2107" t="s">
        <v>720</v>
      </c>
      <c r="K2107" s="22" t="s">
        <v>29</v>
      </c>
      <c r="L2107">
        <v>1</v>
      </c>
      <c r="M2107">
        <v>1</v>
      </c>
    </row>
    <row r="2108" spans="10:15" x14ac:dyDescent="0.25">
      <c r="J2108" t="s">
        <v>720</v>
      </c>
      <c r="K2108" s="22" t="s">
        <v>22</v>
      </c>
      <c r="L2108">
        <v>2</v>
      </c>
      <c r="O2108" s="30"/>
    </row>
    <row r="2109" spans="10:15" x14ac:dyDescent="0.25">
      <c r="J2109" t="s">
        <v>2689</v>
      </c>
      <c r="K2109" s="22" t="s">
        <v>24</v>
      </c>
      <c r="L2109">
        <v>4</v>
      </c>
      <c r="M2109">
        <v>4</v>
      </c>
      <c r="O2109" s="31"/>
    </row>
    <row r="2110" spans="10:15" x14ac:dyDescent="0.25">
      <c r="J2110" t="s">
        <v>3403</v>
      </c>
      <c r="K2110" s="22" t="s">
        <v>22</v>
      </c>
      <c r="L2110">
        <v>2</v>
      </c>
      <c r="M2110">
        <v>2</v>
      </c>
      <c r="O2110" s="31"/>
    </row>
    <row r="2111" spans="10:15" x14ac:dyDescent="0.25">
      <c r="J2111" t="s">
        <v>1608</v>
      </c>
      <c r="K2111" s="22" t="s">
        <v>29</v>
      </c>
      <c r="L2111">
        <v>2</v>
      </c>
      <c r="M2111">
        <v>2</v>
      </c>
    </row>
    <row r="2112" spans="10:15" x14ac:dyDescent="0.25">
      <c r="J2112" t="s">
        <v>1608</v>
      </c>
      <c r="K2112" s="22" t="s">
        <v>28</v>
      </c>
      <c r="L2112">
        <v>1</v>
      </c>
    </row>
    <row r="2113" spans="10:15" x14ac:dyDescent="0.25">
      <c r="J2113" t="s">
        <v>2065</v>
      </c>
      <c r="K2113" s="22" t="s">
        <v>30</v>
      </c>
      <c r="L2113">
        <v>6</v>
      </c>
      <c r="M2113">
        <v>6</v>
      </c>
      <c r="O2113" s="31"/>
    </row>
    <row r="2114" spans="10:15" x14ac:dyDescent="0.25">
      <c r="J2114" t="s">
        <v>719</v>
      </c>
      <c r="K2114" s="22" t="s">
        <v>28</v>
      </c>
      <c r="L2114">
        <v>3</v>
      </c>
      <c r="M2114">
        <v>2</v>
      </c>
    </row>
    <row r="2115" spans="10:15" x14ac:dyDescent="0.25">
      <c r="J2115" t="s">
        <v>2068</v>
      </c>
      <c r="K2115" s="22" t="s">
        <v>24</v>
      </c>
      <c r="L2115">
        <v>1</v>
      </c>
      <c r="O2115" s="30"/>
    </row>
    <row r="2116" spans="10:15" x14ac:dyDescent="0.25">
      <c r="J2116" t="s">
        <v>2068</v>
      </c>
      <c r="K2116" s="22" t="s">
        <v>28</v>
      </c>
      <c r="L2116">
        <v>1</v>
      </c>
    </row>
    <row r="2117" spans="10:15" x14ac:dyDescent="0.25">
      <c r="J2117" t="s">
        <v>2787</v>
      </c>
      <c r="K2117" s="22" t="s">
        <v>24</v>
      </c>
      <c r="L2117">
        <v>1</v>
      </c>
    </row>
    <row r="2118" spans="10:15" x14ac:dyDescent="0.25">
      <c r="J2118" t="s">
        <v>2787</v>
      </c>
      <c r="K2118" s="22" t="s">
        <v>30</v>
      </c>
      <c r="L2118">
        <v>3</v>
      </c>
      <c r="M2118">
        <v>2</v>
      </c>
      <c r="O2118" s="31"/>
    </row>
    <row r="2119" spans="10:15" x14ac:dyDescent="0.25">
      <c r="J2119" t="s">
        <v>2787</v>
      </c>
      <c r="K2119" s="22" t="s">
        <v>35</v>
      </c>
      <c r="L2119">
        <v>1</v>
      </c>
      <c r="M2119">
        <v>1</v>
      </c>
      <c r="O2119" s="31"/>
    </row>
    <row r="2120" spans="10:15" x14ac:dyDescent="0.25">
      <c r="J2120" t="s">
        <v>3075</v>
      </c>
      <c r="K2120" s="22" t="s">
        <v>30</v>
      </c>
      <c r="L2120">
        <v>1</v>
      </c>
      <c r="M2120">
        <v>1</v>
      </c>
      <c r="O2120" s="31"/>
    </row>
    <row r="2121" spans="10:15" x14ac:dyDescent="0.25">
      <c r="J2121" t="s">
        <v>3147</v>
      </c>
      <c r="K2121" s="22" t="s">
        <v>29</v>
      </c>
      <c r="L2121">
        <v>3</v>
      </c>
      <c r="M2121">
        <v>3</v>
      </c>
      <c r="O2121" s="31"/>
    </row>
    <row r="2122" spans="10:15" x14ac:dyDescent="0.25">
      <c r="J2122" t="s">
        <v>606</v>
      </c>
      <c r="K2122" s="22" t="s">
        <v>24</v>
      </c>
      <c r="L2122">
        <v>6</v>
      </c>
      <c r="O2122" s="30"/>
    </row>
    <row r="2123" spans="10:15" x14ac:dyDescent="0.25">
      <c r="J2123" t="s">
        <v>606</v>
      </c>
      <c r="K2123" s="22" t="s">
        <v>30</v>
      </c>
      <c r="L2123">
        <v>3</v>
      </c>
      <c r="M2123">
        <v>2</v>
      </c>
      <c r="O2123" s="31"/>
    </row>
    <row r="2124" spans="10:15" x14ac:dyDescent="0.25">
      <c r="J2124" t="s">
        <v>606</v>
      </c>
      <c r="K2124" s="22" t="s">
        <v>29</v>
      </c>
      <c r="L2124">
        <v>2</v>
      </c>
      <c r="O2124" s="30"/>
    </row>
    <row r="2125" spans="10:15" x14ac:dyDescent="0.25">
      <c r="J2125" t="s">
        <v>606</v>
      </c>
      <c r="K2125" s="22" t="s">
        <v>31</v>
      </c>
      <c r="L2125">
        <v>4</v>
      </c>
      <c r="O2125" s="30"/>
    </row>
    <row r="2126" spans="10:15" x14ac:dyDescent="0.25">
      <c r="J2126" t="s">
        <v>3199</v>
      </c>
      <c r="K2126" s="22" t="s">
        <v>24</v>
      </c>
      <c r="L2126">
        <v>2</v>
      </c>
      <c r="O2126" s="30"/>
    </row>
    <row r="2127" spans="10:15" x14ac:dyDescent="0.25">
      <c r="J2127" t="s">
        <v>3199</v>
      </c>
      <c r="K2127" s="22" t="s">
        <v>30</v>
      </c>
      <c r="L2127">
        <v>1</v>
      </c>
      <c r="O2127" s="30"/>
    </row>
    <row r="2128" spans="10:15" x14ac:dyDescent="0.25">
      <c r="J2128" t="s">
        <v>3199</v>
      </c>
      <c r="K2128" s="22" t="s">
        <v>29</v>
      </c>
      <c r="L2128">
        <v>2</v>
      </c>
      <c r="O2128" s="30"/>
    </row>
    <row r="2129" spans="10:15" x14ac:dyDescent="0.25">
      <c r="J2129" t="s">
        <v>3199</v>
      </c>
      <c r="K2129" s="22" t="s">
        <v>22</v>
      </c>
      <c r="L2129">
        <v>1</v>
      </c>
      <c r="O2129" s="30"/>
    </row>
    <row r="2130" spans="10:15" x14ac:dyDescent="0.25">
      <c r="J2130" t="s">
        <v>869</v>
      </c>
      <c r="K2130" s="22" t="s">
        <v>35</v>
      </c>
      <c r="L2130">
        <v>3</v>
      </c>
      <c r="M2130">
        <v>3</v>
      </c>
    </row>
    <row r="2131" spans="10:15" x14ac:dyDescent="0.25">
      <c r="J2131" t="s">
        <v>869</v>
      </c>
      <c r="K2131" s="22" t="s">
        <v>22</v>
      </c>
      <c r="L2131">
        <v>4</v>
      </c>
      <c r="M2131">
        <v>3</v>
      </c>
      <c r="O2131" s="31"/>
    </row>
    <row r="2132" spans="10:15" x14ac:dyDescent="0.25">
      <c r="J2132" t="s">
        <v>1106</v>
      </c>
      <c r="K2132" s="22" t="s">
        <v>30</v>
      </c>
      <c r="L2132">
        <v>3</v>
      </c>
      <c r="M2132">
        <v>2</v>
      </c>
    </row>
    <row r="2133" spans="10:15" x14ac:dyDescent="0.25">
      <c r="J2133" t="s">
        <v>1106</v>
      </c>
      <c r="K2133" s="22" t="s">
        <v>31</v>
      </c>
      <c r="L2133">
        <v>2</v>
      </c>
      <c r="M2133">
        <v>2</v>
      </c>
      <c r="O2133" s="31"/>
    </row>
    <row r="2134" spans="10:15" x14ac:dyDescent="0.25">
      <c r="J2134" t="s">
        <v>2764</v>
      </c>
      <c r="K2134" s="22" t="s">
        <v>29</v>
      </c>
      <c r="L2134">
        <v>5</v>
      </c>
      <c r="O2134" s="30"/>
    </row>
    <row r="2135" spans="10:15" x14ac:dyDescent="0.25">
      <c r="J2135" t="s">
        <v>2764</v>
      </c>
      <c r="K2135" s="22" t="s">
        <v>31</v>
      </c>
      <c r="L2135">
        <v>1</v>
      </c>
      <c r="M2135">
        <v>1</v>
      </c>
      <c r="O2135" s="31"/>
    </row>
    <row r="2136" spans="10:15" x14ac:dyDescent="0.25">
      <c r="J2136" t="s">
        <v>2250</v>
      </c>
      <c r="K2136" s="22" t="s">
        <v>24</v>
      </c>
      <c r="L2136">
        <v>1</v>
      </c>
    </row>
    <row r="2137" spans="10:15" x14ac:dyDescent="0.25">
      <c r="J2137" t="s">
        <v>2250</v>
      </c>
      <c r="K2137" s="22" t="s">
        <v>30</v>
      </c>
      <c r="L2137">
        <v>1</v>
      </c>
      <c r="M2137">
        <v>1</v>
      </c>
      <c r="O2137" s="31"/>
    </row>
    <row r="2138" spans="10:15" x14ac:dyDescent="0.25">
      <c r="J2138" t="s">
        <v>3113</v>
      </c>
      <c r="K2138" s="22" t="s">
        <v>30</v>
      </c>
      <c r="L2138">
        <v>1</v>
      </c>
      <c r="M2138">
        <v>1</v>
      </c>
      <c r="O2138" s="31"/>
    </row>
    <row r="2139" spans="10:15" x14ac:dyDescent="0.25">
      <c r="J2139" t="s">
        <v>3404</v>
      </c>
      <c r="K2139" s="22" t="s">
        <v>24</v>
      </c>
      <c r="L2139">
        <v>1</v>
      </c>
      <c r="M2139">
        <v>1</v>
      </c>
      <c r="O2139" s="31"/>
    </row>
    <row r="2140" spans="10:15" x14ac:dyDescent="0.25">
      <c r="J2140" t="s">
        <v>871</v>
      </c>
      <c r="K2140" s="22" t="s">
        <v>29</v>
      </c>
      <c r="L2140">
        <v>1</v>
      </c>
      <c r="M2140">
        <v>1</v>
      </c>
    </row>
    <row r="2141" spans="10:15" x14ac:dyDescent="0.25">
      <c r="J2141" t="s">
        <v>2626</v>
      </c>
      <c r="K2141" s="22" t="s">
        <v>22</v>
      </c>
      <c r="L2141">
        <v>3</v>
      </c>
      <c r="M2141">
        <v>3</v>
      </c>
      <c r="O2141" s="31"/>
    </row>
    <row r="2142" spans="10:15" x14ac:dyDescent="0.25">
      <c r="J2142" t="s">
        <v>2634</v>
      </c>
      <c r="K2142" s="22" t="s">
        <v>24</v>
      </c>
      <c r="L2142">
        <v>5</v>
      </c>
      <c r="O2142" s="30"/>
    </row>
    <row r="2143" spans="10:15" x14ac:dyDescent="0.25">
      <c r="J2143" t="s">
        <v>2634</v>
      </c>
      <c r="K2143" s="22" t="s">
        <v>31</v>
      </c>
      <c r="L2143">
        <v>3</v>
      </c>
      <c r="M2143">
        <v>3</v>
      </c>
    </row>
    <row r="2144" spans="10:15" x14ac:dyDescent="0.25">
      <c r="J2144" t="s">
        <v>2242</v>
      </c>
      <c r="K2144" s="22" t="s">
        <v>24</v>
      </c>
      <c r="L2144">
        <v>1</v>
      </c>
    </row>
    <row r="2145" spans="10:15" x14ac:dyDescent="0.25">
      <c r="J2145" t="s">
        <v>2242</v>
      </c>
      <c r="K2145" s="22" t="s">
        <v>30</v>
      </c>
      <c r="L2145">
        <v>2</v>
      </c>
      <c r="M2145">
        <v>1</v>
      </c>
      <c r="O2145" s="30"/>
    </row>
    <row r="2146" spans="10:15" x14ac:dyDescent="0.25">
      <c r="J2146" t="s">
        <v>2242</v>
      </c>
      <c r="K2146" s="22" t="s">
        <v>35</v>
      </c>
      <c r="L2146">
        <v>1</v>
      </c>
    </row>
    <row r="2147" spans="10:15" x14ac:dyDescent="0.25">
      <c r="J2147" t="s">
        <v>96</v>
      </c>
      <c r="K2147" s="22" t="s">
        <v>24</v>
      </c>
      <c r="L2147">
        <v>1</v>
      </c>
    </row>
    <row r="2148" spans="10:15" x14ac:dyDescent="0.25">
      <c r="J2148" t="s">
        <v>96</v>
      </c>
      <c r="K2148" s="22" t="s">
        <v>30</v>
      </c>
      <c r="L2148">
        <v>1</v>
      </c>
    </row>
    <row r="2149" spans="10:15" x14ac:dyDescent="0.25">
      <c r="J2149" t="s">
        <v>96</v>
      </c>
      <c r="K2149" s="22" t="s">
        <v>28</v>
      </c>
      <c r="L2149">
        <v>1</v>
      </c>
      <c r="M2149">
        <v>1</v>
      </c>
      <c r="O2149" s="31"/>
    </row>
    <row r="2150" spans="10:15" x14ac:dyDescent="0.25">
      <c r="J2150" t="s">
        <v>2179</v>
      </c>
      <c r="K2150" s="22" t="s">
        <v>24</v>
      </c>
      <c r="L2150">
        <v>2</v>
      </c>
    </row>
    <row r="2151" spans="10:15" x14ac:dyDescent="0.25">
      <c r="J2151" t="s">
        <v>2179</v>
      </c>
      <c r="K2151" s="22" t="s">
        <v>30</v>
      </c>
      <c r="L2151">
        <v>5</v>
      </c>
      <c r="M2151">
        <v>5</v>
      </c>
      <c r="O2151" s="31"/>
    </row>
    <row r="2152" spans="10:15" x14ac:dyDescent="0.25">
      <c r="J2152" t="s">
        <v>1349</v>
      </c>
      <c r="K2152" s="22" t="s">
        <v>24</v>
      </c>
      <c r="L2152">
        <v>1</v>
      </c>
    </row>
    <row r="2153" spans="10:15" x14ac:dyDescent="0.25">
      <c r="J2153" t="s">
        <v>1349</v>
      </c>
      <c r="K2153" s="22" t="s">
        <v>28</v>
      </c>
      <c r="L2153">
        <v>1</v>
      </c>
    </row>
    <row r="2154" spans="10:15" x14ac:dyDescent="0.25">
      <c r="J2154" t="s">
        <v>1349</v>
      </c>
      <c r="K2154" s="22" t="s">
        <v>31</v>
      </c>
      <c r="L2154">
        <v>1</v>
      </c>
      <c r="M2154">
        <v>1</v>
      </c>
      <c r="O2154" s="31"/>
    </row>
    <row r="2155" spans="10:15" x14ac:dyDescent="0.25">
      <c r="J2155" t="s">
        <v>830</v>
      </c>
      <c r="K2155" s="22" t="s">
        <v>24</v>
      </c>
      <c r="L2155">
        <v>6</v>
      </c>
      <c r="M2155">
        <v>6</v>
      </c>
      <c r="O2155" s="31"/>
    </row>
    <row r="2156" spans="10:15" x14ac:dyDescent="0.25">
      <c r="J2156" t="s">
        <v>3466</v>
      </c>
      <c r="K2156" s="22" t="s">
        <v>22</v>
      </c>
      <c r="L2156">
        <v>1</v>
      </c>
      <c r="M2156">
        <v>1</v>
      </c>
      <c r="O2156" s="31"/>
    </row>
    <row r="2157" spans="10:15" x14ac:dyDescent="0.25">
      <c r="J2157" t="s">
        <v>3342</v>
      </c>
      <c r="K2157" s="22" t="s">
        <v>31</v>
      </c>
      <c r="L2157">
        <v>2</v>
      </c>
      <c r="M2157">
        <v>2</v>
      </c>
      <c r="O2157" s="31"/>
    </row>
    <row r="2158" spans="10:15" x14ac:dyDescent="0.25">
      <c r="J2158" t="s">
        <v>1924</v>
      </c>
      <c r="K2158" s="22" t="s">
        <v>31</v>
      </c>
      <c r="L2158">
        <v>7</v>
      </c>
      <c r="M2158">
        <v>7</v>
      </c>
      <c r="O2158" s="31"/>
    </row>
    <row r="2159" spans="10:15" x14ac:dyDescent="0.25">
      <c r="J2159" t="s">
        <v>1250</v>
      </c>
      <c r="K2159" s="22" t="s">
        <v>30</v>
      </c>
      <c r="L2159">
        <v>1</v>
      </c>
    </row>
    <row r="2160" spans="10:15" x14ac:dyDescent="0.25">
      <c r="J2160" t="s">
        <v>1250</v>
      </c>
      <c r="K2160" s="22" t="s">
        <v>35</v>
      </c>
      <c r="L2160">
        <v>1</v>
      </c>
    </row>
    <row r="2161" spans="10:15" x14ac:dyDescent="0.25">
      <c r="J2161" t="s">
        <v>1250</v>
      </c>
      <c r="K2161" s="22" t="s">
        <v>31</v>
      </c>
      <c r="L2161">
        <v>1</v>
      </c>
      <c r="M2161">
        <v>1</v>
      </c>
    </row>
    <row r="2162" spans="10:15" x14ac:dyDescent="0.25">
      <c r="J2162" t="s">
        <v>2648</v>
      </c>
      <c r="K2162" s="22" t="s">
        <v>24</v>
      </c>
      <c r="L2162">
        <v>3</v>
      </c>
      <c r="M2162">
        <v>3</v>
      </c>
      <c r="O2162" s="31"/>
    </row>
    <row r="2163" spans="10:15" x14ac:dyDescent="0.25">
      <c r="J2163" t="s">
        <v>1926</v>
      </c>
      <c r="K2163" s="22" t="s">
        <v>22</v>
      </c>
      <c r="L2163">
        <v>1</v>
      </c>
      <c r="M2163">
        <v>1</v>
      </c>
    </row>
    <row r="2164" spans="10:15" x14ac:dyDescent="0.25">
      <c r="J2164" t="s">
        <v>2726</v>
      </c>
      <c r="K2164" s="22" t="s">
        <v>24</v>
      </c>
      <c r="L2164">
        <v>1</v>
      </c>
      <c r="M2164">
        <v>1</v>
      </c>
    </row>
    <row r="2165" spans="10:15" x14ac:dyDescent="0.25">
      <c r="J2165" t="s">
        <v>496</v>
      </c>
      <c r="K2165" s="22" t="s">
        <v>24</v>
      </c>
      <c r="L2165">
        <v>2</v>
      </c>
    </row>
    <row r="2166" spans="10:15" x14ac:dyDescent="0.25">
      <c r="J2166" t="s">
        <v>496</v>
      </c>
      <c r="K2166" s="22" t="s">
        <v>30</v>
      </c>
      <c r="L2166">
        <v>8</v>
      </c>
    </row>
    <row r="2167" spans="10:15" x14ac:dyDescent="0.25">
      <c r="J2167" t="s">
        <v>496</v>
      </c>
      <c r="K2167" s="22" t="s">
        <v>35</v>
      </c>
      <c r="L2167">
        <v>3</v>
      </c>
      <c r="M2167">
        <v>2</v>
      </c>
      <c r="O2167" s="30"/>
    </row>
    <row r="2168" spans="10:15" x14ac:dyDescent="0.25">
      <c r="J2168" t="s">
        <v>496</v>
      </c>
      <c r="K2168" s="22" t="s">
        <v>22</v>
      </c>
      <c r="L2168">
        <v>7</v>
      </c>
      <c r="O2168" s="30"/>
    </row>
    <row r="2169" spans="10:15" x14ac:dyDescent="0.25">
      <c r="J2169" t="s">
        <v>496</v>
      </c>
      <c r="K2169" s="22" t="s">
        <v>31</v>
      </c>
      <c r="L2169">
        <v>3</v>
      </c>
      <c r="M2169">
        <v>1</v>
      </c>
      <c r="O2169" s="30"/>
    </row>
    <row r="2170" spans="10:15" x14ac:dyDescent="0.25">
      <c r="J2170" t="s">
        <v>1493</v>
      </c>
      <c r="K2170" s="22" t="s">
        <v>22</v>
      </c>
      <c r="L2170">
        <v>5</v>
      </c>
      <c r="M2170">
        <v>4</v>
      </c>
      <c r="O2170" s="30"/>
    </row>
    <row r="2171" spans="10:15" x14ac:dyDescent="0.25">
      <c r="J2171" t="s">
        <v>2235</v>
      </c>
      <c r="K2171" s="22" t="s">
        <v>24</v>
      </c>
      <c r="L2171">
        <v>2</v>
      </c>
      <c r="O2171" s="30"/>
    </row>
    <row r="2172" spans="10:15" x14ac:dyDescent="0.25">
      <c r="J2172" t="s">
        <v>2235</v>
      </c>
      <c r="K2172" s="22" t="s">
        <v>30</v>
      </c>
      <c r="L2172">
        <v>1</v>
      </c>
      <c r="O2172" s="30"/>
    </row>
    <row r="2173" spans="10:15" x14ac:dyDescent="0.25">
      <c r="J2173" t="s">
        <v>2235</v>
      </c>
      <c r="K2173" s="22" t="s">
        <v>28</v>
      </c>
      <c r="L2173">
        <v>1</v>
      </c>
      <c r="O2173" s="30"/>
    </row>
    <row r="2174" spans="10:15" x14ac:dyDescent="0.25">
      <c r="J2174" t="s">
        <v>2235</v>
      </c>
      <c r="K2174" s="22" t="s">
        <v>35</v>
      </c>
      <c r="L2174">
        <v>1</v>
      </c>
      <c r="O2174" s="30"/>
    </row>
    <row r="2175" spans="10:15" x14ac:dyDescent="0.25">
      <c r="J2175" t="s">
        <v>2235</v>
      </c>
      <c r="K2175" s="22" t="s">
        <v>31</v>
      </c>
      <c r="L2175">
        <v>2</v>
      </c>
      <c r="O2175" s="30"/>
    </row>
    <row r="2176" spans="10:15" x14ac:dyDescent="0.25">
      <c r="J2176" t="s">
        <v>415</v>
      </c>
      <c r="K2176" s="22" t="s">
        <v>24</v>
      </c>
      <c r="L2176">
        <v>3</v>
      </c>
      <c r="O2176" s="30"/>
    </row>
    <row r="2177" spans="10:15" x14ac:dyDescent="0.25">
      <c r="J2177" t="s">
        <v>415</v>
      </c>
      <c r="K2177" s="22" t="s">
        <v>30</v>
      </c>
      <c r="L2177">
        <v>6</v>
      </c>
      <c r="O2177" s="30"/>
    </row>
    <row r="2178" spans="10:15" x14ac:dyDescent="0.25">
      <c r="J2178" t="s">
        <v>415</v>
      </c>
      <c r="K2178" s="22" t="s">
        <v>28</v>
      </c>
      <c r="L2178">
        <v>3</v>
      </c>
    </row>
    <row r="2179" spans="10:15" x14ac:dyDescent="0.25">
      <c r="J2179" t="s">
        <v>415</v>
      </c>
      <c r="K2179" s="22" t="s">
        <v>35</v>
      </c>
      <c r="L2179">
        <v>3</v>
      </c>
    </row>
    <row r="2180" spans="10:15" x14ac:dyDescent="0.25">
      <c r="J2180" t="s">
        <v>618</v>
      </c>
      <c r="K2180" s="22" t="s">
        <v>24</v>
      </c>
      <c r="L2180">
        <v>3</v>
      </c>
      <c r="O2180" s="30"/>
    </row>
    <row r="2181" spans="10:15" x14ac:dyDescent="0.25">
      <c r="J2181" t="s">
        <v>618</v>
      </c>
      <c r="K2181" s="22" t="s">
        <v>30</v>
      </c>
      <c r="L2181">
        <v>1</v>
      </c>
      <c r="O2181" s="30"/>
    </row>
    <row r="2182" spans="10:15" x14ac:dyDescent="0.25">
      <c r="J2182" t="s">
        <v>618</v>
      </c>
      <c r="K2182" s="22" t="s">
        <v>28</v>
      </c>
      <c r="L2182">
        <v>1</v>
      </c>
    </row>
    <row r="2183" spans="10:15" x14ac:dyDescent="0.25">
      <c r="J2183" t="s">
        <v>618</v>
      </c>
      <c r="K2183" s="22" t="s">
        <v>22</v>
      </c>
      <c r="L2183">
        <v>4</v>
      </c>
      <c r="O2183" s="30"/>
    </row>
    <row r="2184" spans="10:15" x14ac:dyDescent="0.25">
      <c r="J2184" t="s">
        <v>383</v>
      </c>
      <c r="K2184" s="22" t="s">
        <v>24</v>
      </c>
      <c r="L2184">
        <v>1</v>
      </c>
    </row>
    <row r="2185" spans="10:15" x14ac:dyDescent="0.25">
      <c r="J2185" t="s">
        <v>383</v>
      </c>
      <c r="K2185" s="22" t="s">
        <v>30</v>
      </c>
      <c r="L2185">
        <v>1</v>
      </c>
      <c r="O2185" s="30"/>
    </row>
    <row r="2186" spans="10:15" x14ac:dyDescent="0.25">
      <c r="J2186" t="s">
        <v>383</v>
      </c>
      <c r="K2186" s="22" t="s">
        <v>28</v>
      </c>
      <c r="L2186">
        <v>1</v>
      </c>
    </row>
    <row r="2187" spans="10:15" x14ac:dyDescent="0.25">
      <c r="J2187" t="s">
        <v>932</v>
      </c>
      <c r="K2187" s="22" t="s">
        <v>30</v>
      </c>
      <c r="L2187">
        <v>1</v>
      </c>
    </row>
    <row r="2188" spans="10:15" x14ac:dyDescent="0.25">
      <c r="J2188" t="s">
        <v>2595</v>
      </c>
      <c r="K2188" s="22" t="s">
        <v>24</v>
      </c>
      <c r="L2188">
        <v>1</v>
      </c>
      <c r="O2188" s="30"/>
    </row>
    <row r="2189" spans="10:15" x14ac:dyDescent="0.25">
      <c r="J2189" t="s">
        <v>2595</v>
      </c>
      <c r="K2189" s="22" t="s">
        <v>30</v>
      </c>
      <c r="L2189">
        <v>1</v>
      </c>
      <c r="O2189" s="30"/>
    </row>
    <row r="2190" spans="10:15" x14ac:dyDescent="0.25">
      <c r="J2190" t="s">
        <v>2595</v>
      </c>
      <c r="K2190" s="22" t="s">
        <v>22</v>
      </c>
      <c r="L2190">
        <v>1</v>
      </c>
    </row>
    <row r="2191" spans="10:15" x14ac:dyDescent="0.25">
      <c r="J2191" t="s">
        <v>2595</v>
      </c>
      <c r="K2191" s="22" t="s">
        <v>31</v>
      </c>
      <c r="L2191">
        <v>1</v>
      </c>
      <c r="O2191" s="30"/>
    </row>
    <row r="2192" spans="10:15" x14ac:dyDescent="0.25">
      <c r="J2192" t="s">
        <v>2482</v>
      </c>
      <c r="K2192" s="22" t="s">
        <v>30</v>
      </c>
      <c r="L2192">
        <v>1</v>
      </c>
    </row>
    <row r="2193" spans="10:15" x14ac:dyDescent="0.25">
      <c r="J2193" t="s">
        <v>2482</v>
      </c>
      <c r="K2193" s="22" t="s">
        <v>22</v>
      </c>
      <c r="L2193">
        <v>1</v>
      </c>
    </row>
    <row r="2194" spans="10:15" x14ac:dyDescent="0.25">
      <c r="J2194" t="s">
        <v>3219</v>
      </c>
      <c r="K2194" s="22" t="s">
        <v>30</v>
      </c>
      <c r="L2194">
        <v>1</v>
      </c>
      <c r="O2194" s="30"/>
    </row>
    <row r="2195" spans="10:15" x14ac:dyDescent="0.25">
      <c r="J2195" t="s">
        <v>2593</v>
      </c>
      <c r="K2195" s="22" t="s">
        <v>24</v>
      </c>
      <c r="L2195">
        <v>1</v>
      </c>
      <c r="M2195">
        <v>1</v>
      </c>
    </row>
    <row r="2196" spans="10:15" x14ac:dyDescent="0.25">
      <c r="J2196" t="s">
        <v>803</v>
      </c>
      <c r="K2196" s="22" t="s">
        <v>30</v>
      </c>
      <c r="L2196">
        <v>1</v>
      </c>
    </row>
    <row r="2197" spans="10:15" x14ac:dyDescent="0.25">
      <c r="J2197" t="s">
        <v>389</v>
      </c>
      <c r="K2197" s="22" t="s">
        <v>24</v>
      </c>
      <c r="L2197">
        <v>2</v>
      </c>
      <c r="O2197" s="30"/>
    </row>
    <row r="2198" spans="10:15" x14ac:dyDescent="0.25">
      <c r="J2198" t="s">
        <v>389</v>
      </c>
      <c r="K2198" s="22" t="s">
        <v>30</v>
      </c>
      <c r="L2198">
        <v>1</v>
      </c>
    </row>
    <row r="2199" spans="10:15" x14ac:dyDescent="0.25">
      <c r="J2199" t="s">
        <v>389</v>
      </c>
      <c r="K2199" s="22" t="s">
        <v>35</v>
      </c>
      <c r="L2199">
        <v>2</v>
      </c>
      <c r="O2199" s="30"/>
    </row>
    <row r="2200" spans="10:15" x14ac:dyDescent="0.25">
      <c r="J2200" t="s">
        <v>389</v>
      </c>
      <c r="K2200" s="22" t="s">
        <v>31</v>
      </c>
      <c r="L2200">
        <v>1</v>
      </c>
      <c r="O2200" s="30"/>
    </row>
    <row r="2201" spans="10:15" x14ac:dyDescent="0.25">
      <c r="J2201" t="s">
        <v>711</v>
      </c>
      <c r="K2201" s="22" t="s">
        <v>35</v>
      </c>
      <c r="L2201">
        <v>3</v>
      </c>
      <c r="M2201">
        <v>3</v>
      </c>
    </row>
    <row r="2202" spans="10:15" x14ac:dyDescent="0.25">
      <c r="J2202" t="s">
        <v>3372</v>
      </c>
      <c r="K2202" s="22" t="s">
        <v>30</v>
      </c>
      <c r="L2202">
        <v>1</v>
      </c>
      <c r="O2202" s="30"/>
    </row>
    <row r="2203" spans="10:15" x14ac:dyDescent="0.25">
      <c r="J2203" t="s">
        <v>1784</v>
      </c>
      <c r="K2203" s="22" t="s">
        <v>22</v>
      </c>
      <c r="L2203">
        <v>2</v>
      </c>
      <c r="M2203">
        <v>2</v>
      </c>
      <c r="O2203" s="31"/>
    </row>
    <row r="2204" spans="10:15" x14ac:dyDescent="0.25">
      <c r="J2204" t="s">
        <v>1429</v>
      </c>
      <c r="K2204" s="22" t="s">
        <v>29</v>
      </c>
      <c r="L2204">
        <v>3</v>
      </c>
      <c r="M2204">
        <v>2</v>
      </c>
      <c r="O2204" s="31"/>
    </row>
    <row r="2205" spans="10:15" x14ac:dyDescent="0.25">
      <c r="J2205" t="s">
        <v>1429</v>
      </c>
      <c r="K2205" s="22" t="s">
        <v>22</v>
      </c>
      <c r="L2205">
        <v>3</v>
      </c>
      <c r="M2205">
        <v>2</v>
      </c>
      <c r="O2205" s="30"/>
    </row>
    <row r="2206" spans="10:15" x14ac:dyDescent="0.25">
      <c r="J2206" t="s">
        <v>1396</v>
      </c>
      <c r="K2206" s="22" t="s">
        <v>24</v>
      </c>
      <c r="L2206">
        <v>3</v>
      </c>
      <c r="O2206" s="30"/>
    </row>
    <row r="2207" spans="10:15" x14ac:dyDescent="0.25">
      <c r="J2207" t="s">
        <v>1396</v>
      </c>
      <c r="K2207" s="22" t="s">
        <v>29</v>
      </c>
      <c r="L2207">
        <v>1</v>
      </c>
    </row>
    <row r="2208" spans="10:15" x14ac:dyDescent="0.25">
      <c r="J2208" t="s">
        <v>1396</v>
      </c>
      <c r="K2208" s="22" t="s">
        <v>28</v>
      </c>
      <c r="L2208">
        <v>3</v>
      </c>
      <c r="M2208">
        <v>1</v>
      </c>
      <c r="O2208" s="30"/>
    </row>
    <row r="2209" spans="10:15" x14ac:dyDescent="0.25">
      <c r="J2209" t="s">
        <v>1396</v>
      </c>
      <c r="K2209" s="22" t="s">
        <v>35</v>
      </c>
      <c r="L2209">
        <v>2</v>
      </c>
      <c r="O2209" s="30"/>
    </row>
    <row r="2210" spans="10:15" x14ac:dyDescent="0.25">
      <c r="J2210" t="s">
        <v>2508</v>
      </c>
      <c r="K2210" s="22" t="s">
        <v>29</v>
      </c>
      <c r="L2210">
        <v>5</v>
      </c>
      <c r="M2210">
        <v>5</v>
      </c>
      <c r="O2210" s="31"/>
    </row>
    <row r="2211" spans="10:15" x14ac:dyDescent="0.25">
      <c r="J2211" t="s">
        <v>1888</v>
      </c>
      <c r="K2211" s="22" t="s">
        <v>28</v>
      </c>
      <c r="L2211">
        <v>1</v>
      </c>
      <c r="M2211">
        <v>1</v>
      </c>
    </row>
    <row r="2212" spans="10:15" x14ac:dyDescent="0.25">
      <c r="J2212" t="s">
        <v>1613</v>
      </c>
      <c r="K2212" s="22" t="s">
        <v>35</v>
      </c>
      <c r="L2212">
        <v>1</v>
      </c>
      <c r="M2212">
        <v>1</v>
      </c>
    </row>
    <row r="2213" spans="10:15" x14ac:dyDescent="0.25">
      <c r="J2213" t="s">
        <v>872</v>
      </c>
      <c r="K2213" s="22" t="s">
        <v>29</v>
      </c>
      <c r="L2213">
        <v>6</v>
      </c>
      <c r="M2213">
        <v>6</v>
      </c>
      <c r="O2213" s="31"/>
    </row>
    <row r="2214" spans="10:15" x14ac:dyDescent="0.25">
      <c r="J2214" t="s">
        <v>1822</v>
      </c>
      <c r="K2214" s="22" t="s">
        <v>31</v>
      </c>
      <c r="L2214">
        <v>3</v>
      </c>
      <c r="M2214">
        <v>3</v>
      </c>
    </row>
    <row r="2215" spans="10:15" x14ac:dyDescent="0.25">
      <c r="J2215" t="s">
        <v>2095</v>
      </c>
      <c r="K2215" s="22" t="s">
        <v>29</v>
      </c>
      <c r="L2215">
        <v>1</v>
      </c>
      <c r="M2215">
        <v>1</v>
      </c>
    </row>
    <row r="2216" spans="10:15" x14ac:dyDescent="0.25">
      <c r="J2216" t="s">
        <v>2458</v>
      </c>
      <c r="K2216" s="22" t="s">
        <v>29</v>
      </c>
      <c r="L2216">
        <v>1</v>
      </c>
    </row>
    <row r="2217" spans="10:15" x14ac:dyDescent="0.25">
      <c r="J2217" t="s">
        <v>1695</v>
      </c>
      <c r="K2217" s="22" t="s">
        <v>24</v>
      </c>
      <c r="L2217">
        <v>2</v>
      </c>
      <c r="O2217" s="30"/>
    </row>
    <row r="2218" spans="10:15" x14ac:dyDescent="0.25">
      <c r="J2218" t="s">
        <v>1695</v>
      </c>
      <c r="K2218" s="22" t="s">
        <v>29</v>
      </c>
      <c r="L2218">
        <v>3</v>
      </c>
      <c r="O2218" s="30"/>
    </row>
    <row r="2219" spans="10:15" x14ac:dyDescent="0.25">
      <c r="J2219" t="s">
        <v>1695</v>
      </c>
      <c r="K2219" s="22" t="s">
        <v>22</v>
      </c>
      <c r="L2219">
        <v>2</v>
      </c>
      <c r="M2219">
        <v>1</v>
      </c>
      <c r="O2219" s="31"/>
    </row>
    <row r="2220" spans="10:15" x14ac:dyDescent="0.25">
      <c r="J2220" t="s">
        <v>1695</v>
      </c>
      <c r="K2220" s="22" t="s">
        <v>31</v>
      </c>
      <c r="L2220">
        <v>1</v>
      </c>
    </row>
    <row r="2221" spans="10:15" x14ac:dyDescent="0.25">
      <c r="J2221" t="s">
        <v>2685</v>
      </c>
      <c r="K2221" s="22" t="s">
        <v>29</v>
      </c>
      <c r="L2221">
        <v>2</v>
      </c>
      <c r="M2221">
        <v>2</v>
      </c>
      <c r="O2221" s="31"/>
    </row>
    <row r="2222" spans="10:15" x14ac:dyDescent="0.25">
      <c r="J2222" t="s">
        <v>1231</v>
      </c>
      <c r="K2222" s="22" t="s">
        <v>29</v>
      </c>
      <c r="L2222">
        <v>5</v>
      </c>
      <c r="M2222">
        <v>5</v>
      </c>
      <c r="O2222" s="31"/>
    </row>
    <row r="2223" spans="10:15" x14ac:dyDescent="0.25">
      <c r="J2223" t="s">
        <v>1231</v>
      </c>
      <c r="K2223" s="22" t="s">
        <v>31</v>
      </c>
      <c r="L2223">
        <v>3</v>
      </c>
      <c r="M2223">
        <v>2</v>
      </c>
    </row>
    <row r="2224" spans="10:15" x14ac:dyDescent="0.25">
      <c r="J2224" t="s">
        <v>729</v>
      </c>
      <c r="K2224" s="22" t="s">
        <v>28</v>
      </c>
      <c r="L2224">
        <v>8</v>
      </c>
      <c r="M2224">
        <v>8</v>
      </c>
      <c r="O2224" s="31"/>
    </row>
    <row r="2225" spans="10:15" x14ac:dyDescent="0.25">
      <c r="J2225" t="s">
        <v>2811</v>
      </c>
      <c r="K2225" s="22" t="s">
        <v>28</v>
      </c>
      <c r="L2225">
        <v>3</v>
      </c>
      <c r="M2225">
        <v>3</v>
      </c>
      <c r="O2225" s="31"/>
    </row>
    <row r="2226" spans="10:15" x14ac:dyDescent="0.25">
      <c r="J2226" t="s">
        <v>1178</v>
      </c>
      <c r="K2226" s="22" t="s">
        <v>24</v>
      </c>
      <c r="L2226">
        <v>1</v>
      </c>
    </row>
    <row r="2227" spans="10:15" x14ac:dyDescent="0.25">
      <c r="J2227" t="s">
        <v>1178</v>
      </c>
      <c r="K2227" s="22" t="s">
        <v>28</v>
      </c>
      <c r="L2227">
        <v>2</v>
      </c>
      <c r="M2227">
        <v>2</v>
      </c>
      <c r="O2227" s="31"/>
    </row>
    <row r="2228" spans="10:15" x14ac:dyDescent="0.25">
      <c r="J2228" t="s">
        <v>1081</v>
      </c>
      <c r="K2228" s="22" t="s">
        <v>24</v>
      </c>
      <c r="L2228">
        <v>2</v>
      </c>
      <c r="M2228">
        <v>1</v>
      </c>
      <c r="O2228" s="30"/>
    </row>
    <row r="2229" spans="10:15" x14ac:dyDescent="0.25">
      <c r="J2229" t="s">
        <v>3311</v>
      </c>
      <c r="K2229" s="22" t="s">
        <v>31</v>
      </c>
      <c r="L2229">
        <v>2</v>
      </c>
      <c r="M2229">
        <v>2</v>
      </c>
      <c r="O2229" s="31"/>
    </row>
    <row r="2230" spans="10:15" x14ac:dyDescent="0.25">
      <c r="J2230" t="s">
        <v>2241</v>
      </c>
      <c r="K2230" s="22" t="s">
        <v>24</v>
      </c>
      <c r="L2230">
        <v>4</v>
      </c>
      <c r="M2230">
        <v>4</v>
      </c>
      <c r="O2230" s="31"/>
    </row>
    <row r="2231" spans="10:15" x14ac:dyDescent="0.25">
      <c r="J2231" t="s">
        <v>2129</v>
      </c>
      <c r="K2231" s="22" t="s">
        <v>28</v>
      </c>
      <c r="L2231">
        <v>1</v>
      </c>
    </row>
    <row r="2232" spans="10:15" x14ac:dyDescent="0.25">
      <c r="J2232" t="s">
        <v>2129</v>
      </c>
      <c r="K2232" s="22" t="s">
        <v>22</v>
      </c>
      <c r="L2232">
        <v>1</v>
      </c>
    </row>
    <row r="2233" spans="10:15" x14ac:dyDescent="0.25">
      <c r="J2233" t="s">
        <v>3121</v>
      </c>
      <c r="K2233" s="22" t="s">
        <v>24</v>
      </c>
      <c r="L2233">
        <v>1</v>
      </c>
      <c r="O2233" s="30"/>
    </row>
    <row r="2234" spans="10:15" x14ac:dyDescent="0.25">
      <c r="J2234" t="s">
        <v>3121</v>
      </c>
      <c r="K2234" s="22" t="s">
        <v>35</v>
      </c>
      <c r="L2234">
        <v>1</v>
      </c>
      <c r="O2234" s="30"/>
    </row>
    <row r="2235" spans="10:15" x14ac:dyDescent="0.25">
      <c r="J2235" t="s">
        <v>2131</v>
      </c>
      <c r="K2235" s="22" t="s">
        <v>24</v>
      </c>
      <c r="L2235">
        <v>3</v>
      </c>
      <c r="O2235" s="30"/>
    </row>
    <row r="2236" spans="10:15" x14ac:dyDescent="0.25">
      <c r="J2236" t="s">
        <v>2131</v>
      </c>
      <c r="K2236" s="22" t="s">
        <v>28</v>
      </c>
      <c r="L2236">
        <v>1</v>
      </c>
    </row>
    <row r="2237" spans="10:15" x14ac:dyDescent="0.25">
      <c r="J2237" t="s">
        <v>2131</v>
      </c>
      <c r="K2237" s="22" t="s">
        <v>35</v>
      </c>
      <c r="L2237">
        <v>1</v>
      </c>
    </row>
    <row r="2238" spans="10:15" x14ac:dyDescent="0.25">
      <c r="J2238" t="s">
        <v>718</v>
      </c>
      <c r="K2238" s="22" t="s">
        <v>24</v>
      </c>
      <c r="L2238">
        <v>2</v>
      </c>
      <c r="M2238">
        <v>1</v>
      </c>
    </row>
    <row r="2239" spans="10:15" x14ac:dyDescent="0.25">
      <c r="J2239" t="s">
        <v>718</v>
      </c>
      <c r="K2239" s="22" t="s">
        <v>35</v>
      </c>
      <c r="L2239">
        <v>1</v>
      </c>
      <c r="M2239">
        <v>1</v>
      </c>
    </row>
    <row r="2240" spans="10:15" x14ac:dyDescent="0.25">
      <c r="J2240" t="s">
        <v>2948</v>
      </c>
      <c r="K2240" s="22" t="s">
        <v>24</v>
      </c>
      <c r="L2240">
        <v>1</v>
      </c>
      <c r="M2240">
        <v>1</v>
      </c>
      <c r="O2240" s="31"/>
    </row>
    <row r="2241" spans="10:15" x14ac:dyDescent="0.25">
      <c r="J2241" t="s">
        <v>2948</v>
      </c>
      <c r="K2241" s="22" t="s">
        <v>28</v>
      </c>
      <c r="L2241">
        <v>1</v>
      </c>
    </row>
    <row r="2242" spans="10:15" x14ac:dyDescent="0.25">
      <c r="J2242" t="s">
        <v>2948</v>
      </c>
      <c r="K2242" s="22" t="s">
        <v>22</v>
      </c>
      <c r="L2242">
        <v>2</v>
      </c>
      <c r="O2242" s="30"/>
    </row>
    <row r="2243" spans="10:15" x14ac:dyDescent="0.25">
      <c r="J2243" t="s">
        <v>317</v>
      </c>
      <c r="K2243" s="22" t="s">
        <v>28</v>
      </c>
      <c r="L2243">
        <v>1</v>
      </c>
    </row>
    <row r="2244" spans="10:15" x14ac:dyDescent="0.25">
      <c r="J2244" t="s">
        <v>2930</v>
      </c>
      <c r="K2244" s="22" t="s">
        <v>24</v>
      </c>
      <c r="L2244">
        <v>1</v>
      </c>
    </row>
    <row r="2245" spans="10:15" x14ac:dyDescent="0.25">
      <c r="J2245" t="s">
        <v>2930</v>
      </c>
      <c r="K2245" s="22" t="s">
        <v>35</v>
      </c>
      <c r="L2245">
        <v>1</v>
      </c>
      <c r="M2245">
        <v>1</v>
      </c>
      <c r="O2245" s="31"/>
    </row>
    <row r="2246" spans="10:15" x14ac:dyDescent="0.25">
      <c r="J2246" t="s">
        <v>2930</v>
      </c>
      <c r="K2246" s="22" t="s">
        <v>31</v>
      </c>
      <c r="L2246">
        <v>1</v>
      </c>
    </row>
    <row r="2247" spans="10:15" x14ac:dyDescent="0.25">
      <c r="J2247" t="s">
        <v>2484</v>
      </c>
      <c r="K2247" s="22" t="s">
        <v>24</v>
      </c>
      <c r="L2247">
        <v>1</v>
      </c>
      <c r="O2247" s="30"/>
    </row>
    <row r="2248" spans="10:15" x14ac:dyDescent="0.25">
      <c r="J2248" t="s">
        <v>2484</v>
      </c>
      <c r="K2248" s="22" t="s">
        <v>35</v>
      </c>
      <c r="L2248">
        <v>1</v>
      </c>
    </row>
    <row r="2249" spans="10:15" x14ac:dyDescent="0.25">
      <c r="J2249" t="s">
        <v>3076</v>
      </c>
      <c r="K2249" s="22" t="s">
        <v>24</v>
      </c>
      <c r="L2249">
        <v>2</v>
      </c>
      <c r="M2249">
        <v>2</v>
      </c>
      <c r="O2249" s="31"/>
    </row>
    <row r="2250" spans="10:15" x14ac:dyDescent="0.25">
      <c r="J2250" t="s">
        <v>1549</v>
      </c>
      <c r="K2250" s="22" t="s">
        <v>24</v>
      </c>
      <c r="L2250">
        <v>1</v>
      </c>
      <c r="M2250">
        <v>1</v>
      </c>
      <c r="O2250" s="31"/>
    </row>
    <row r="2251" spans="10:15" x14ac:dyDescent="0.25">
      <c r="J2251" t="s">
        <v>1549</v>
      </c>
      <c r="K2251" s="22" t="s">
        <v>22</v>
      </c>
      <c r="L2251">
        <v>1</v>
      </c>
    </row>
    <row r="2252" spans="10:15" x14ac:dyDescent="0.25">
      <c r="J2252" t="s">
        <v>1549</v>
      </c>
      <c r="K2252" s="22" t="s">
        <v>31</v>
      </c>
      <c r="L2252">
        <v>1</v>
      </c>
    </row>
    <row r="2253" spans="10:15" x14ac:dyDescent="0.25">
      <c r="J2253" t="s">
        <v>2850</v>
      </c>
      <c r="K2253" s="22" t="s">
        <v>35</v>
      </c>
      <c r="L2253">
        <v>2</v>
      </c>
      <c r="M2253">
        <v>2</v>
      </c>
      <c r="O2253" s="31"/>
    </row>
    <row r="2254" spans="10:15" x14ac:dyDescent="0.25">
      <c r="J2254" t="s">
        <v>2012</v>
      </c>
      <c r="K2254" s="22" t="s">
        <v>35</v>
      </c>
      <c r="L2254">
        <v>3</v>
      </c>
      <c r="M2254">
        <v>2</v>
      </c>
      <c r="O2254" s="30"/>
    </row>
    <row r="2255" spans="10:15" x14ac:dyDescent="0.25">
      <c r="J2255" t="s">
        <v>2307</v>
      </c>
      <c r="K2255" s="22" t="s">
        <v>24</v>
      </c>
      <c r="L2255">
        <v>1</v>
      </c>
    </row>
    <row r="2256" spans="10:15" x14ac:dyDescent="0.25">
      <c r="J2256" t="s">
        <v>2170</v>
      </c>
      <c r="K2256" s="22" t="s">
        <v>22</v>
      </c>
      <c r="L2256">
        <v>1</v>
      </c>
    </row>
    <row r="2257" spans="10:15" x14ac:dyDescent="0.25">
      <c r="J2257" t="s">
        <v>3495</v>
      </c>
      <c r="K2257" s="22" t="s">
        <v>24</v>
      </c>
      <c r="L2257">
        <v>1</v>
      </c>
      <c r="M2257">
        <v>1</v>
      </c>
      <c r="O2257" s="31"/>
    </row>
    <row r="2258" spans="10:15" x14ac:dyDescent="0.25">
      <c r="J2258" t="s">
        <v>1447</v>
      </c>
      <c r="K2258" s="22" t="s">
        <v>24</v>
      </c>
      <c r="L2258">
        <v>4</v>
      </c>
      <c r="M2258">
        <v>4</v>
      </c>
      <c r="O2258" s="31"/>
    </row>
    <row r="2259" spans="10:15" x14ac:dyDescent="0.25">
      <c r="J2259" t="s">
        <v>2837</v>
      </c>
      <c r="K2259" s="22" t="s">
        <v>24</v>
      </c>
      <c r="L2259">
        <v>1</v>
      </c>
    </row>
    <row r="2260" spans="10:15" x14ac:dyDescent="0.25">
      <c r="J2260" t="s">
        <v>2837</v>
      </c>
      <c r="K2260" s="22" t="s">
        <v>29</v>
      </c>
      <c r="L2260">
        <v>2</v>
      </c>
      <c r="M2260">
        <v>1</v>
      </c>
      <c r="O2260" s="31"/>
    </row>
    <row r="2261" spans="10:15" x14ac:dyDescent="0.25">
      <c r="J2261" t="s">
        <v>2837</v>
      </c>
      <c r="K2261" s="22" t="s">
        <v>28</v>
      </c>
      <c r="L2261">
        <v>1</v>
      </c>
      <c r="O2261" s="30"/>
    </row>
    <row r="2262" spans="10:15" x14ac:dyDescent="0.25">
      <c r="J2262" t="s">
        <v>2837</v>
      </c>
      <c r="K2262" s="22" t="s">
        <v>35</v>
      </c>
      <c r="L2262">
        <v>1</v>
      </c>
      <c r="O2262" s="30"/>
    </row>
    <row r="2263" spans="10:15" x14ac:dyDescent="0.25">
      <c r="J2263" t="s">
        <v>2837</v>
      </c>
      <c r="K2263" s="22" t="s">
        <v>22</v>
      </c>
      <c r="L2263">
        <v>2</v>
      </c>
      <c r="M2263">
        <v>1</v>
      </c>
      <c r="O2263" s="31"/>
    </row>
    <row r="2264" spans="10:15" x14ac:dyDescent="0.25">
      <c r="J2264" t="s">
        <v>2837</v>
      </c>
      <c r="K2264" s="22" t="s">
        <v>31</v>
      </c>
      <c r="L2264">
        <v>4</v>
      </c>
      <c r="M2264">
        <v>2</v>
      </c>
      <c r="O2264" s="31"/>
    </row>
    <row r="2265" spans="10:15" x14ac:dyDescent="0.25">
      <c r="J2265" t="s">
        <v>707</v>
      </c>
      <c r="K2265" s="22" t="s">
        <v>24</v>
      </c>
      <c r="L2265">
        <v>4</v>
      </c>
      <c r="M2265">
        <v>3</v>
      </c>
    </row>
    <row r="2266" spans="10:15" x14ac:dyDescent="0.25">
      <c r="J2266" t="s">
        <v>707</v>
      </c>
      <c r="K2266" s="22" t="s">
        <v>29</v>
      </c>
      <c r="L2266">
        <v>1</v>
      </c>
      <c r="M2266">
        <v>1</v>
      </c>
    </row>
    <row r="2267" spans="10:15" x14ac:dyDescent="0.25">
      <c r="J2267" t="s">
        <v>707</v>
      </c>
      <c r="K2267" s="22" t="s">
        <v>28</v>
      </c>
      <c r="L2267">
        <v>2</v>
      </c>
    </row>
    <row r="2268" spans="10:15" x14ac:dyDescent="0.25">
      <c r="J2268" t="s">
        <v>707</v>
      </c>
      <c r="K2268" s="22" t="s">
        <v>35</v>
      </c>
      <c r="L2268">
        <v>3</v>
      </c>
      <c r="M2268">
        <v>2</v>
      </c>
    </row>
    <row r="2269" spans="10:15" x14ac:dyDescent="0.25">
      <c r="J2269" t="s">
        <v>370</v>
      </c>
      <c r="K2269" s="22" t="s">
        <v>24</v>
      </c>
      <c r="L2269">
        <v>2</v>
      </c>
      <c r="M2269">
        <v>1</v>
      </c>
    </row>
    <row r="2270" spans="10:15" x14ac:dyDescent="0.25">
      <c r="J2270" t="s">
        <v>370</v>
      </c>
      <c r="K2270" s="22" t="s">
        <v>29</v>
      </c>
      <c r="L2270">
        <v>1</v>
      </c>
      <c r="M2270">
        <v>1</v>
      </c>
      <c r="O2270" s="31"/>
    </row>
    <row r="2271" spans="10:15" x14ac:dyDescent="0.25">
      <c r="J2271" t="s">
        <v>370</v>
      </c>
      <c r="K2271" s="22" t="s">
        <v>28</v>
      </c>
      <c r="L2271">
        <v>3</v>
      </c>
      <c r="O2271" s="30"/>
    </row>
    <row r="2272" spans="10:15" x14ac:dyDescent="0.25">
      <c r="J2272" t="s">
        <v>909</v>
      </c>
      <c r="K2272" s="22" t="s">
        <v>24</v>
      </c>
      <c r="L2272">
        <v>2</v>
      </c>
    </row>
    <row r="2273" spans="10:15" x14ac:dyDescent="0.25">
      <c r="J2273" t="s">
        <v>909</v>
      </c>
      <c r="K2273" s="22" t="s">
        <v>29</v>
      </c>
      <c r="L2273">
        <v>3</v>
      </c>
      <c r="M2273">
        <v>2</v>
      </c>
    </row>
    <row r="2274" spans="10:15" x14ac:dyDescent="0.25">
      <c r="J2274" t="s">
        <v>909</v>
      </c>
      <c r="K2274" s="22" t="s">
        <v>22</v>
      </c>
      <c r="L2274">
        <v>1</v>
      </c>
    </row>
    <row r="2275" spans="10:15" x14ac:dyDescent="0.25">
      <c r="J2275" t="s">
        <v>909</v>
      </c>
      <c r="K2275" s="22" t="s">
        <v>31</v>
      </c>
      <c r="L2275">
        <v>1</v>
      </c>
      <c r="M2275">
        <v>1</v>
      </c>
    </row>
    <row r="2276" spans="10:15" x14ac:dyDescent="0.25">
      <c r="J2276" t="s">
        <v>2347</v>
      </c>
      <c r="K2276" s="22" t="s">
        <v>24</v>
      </c>
      <c r="L2276">
        <v>1</v>
      </c>
    </row>
    <row r="2277" spans="10:15" x14ac:dyDescent="0.25">
      <c r="J2277" t="s">
        <v>2347</v>
      </c>
      <c r="K2277" s="22" t="s">
        <v>29</v>
      </c>
      <c r="L2277">
        <v>1</v>
      </c>
      <c r="M2277">
        <v>1</v>
      </c>
      <c r="O2277" s="31"/>
    </row>
    <row r="2278" spans="10:15" x14ac:dyDescent="0.25">
      <c r="J2278" t="s">
        <v>1150</v>
      </c>
      <c r="K2278" s="22" t="s">
        <v>24</v>
      </c>
      <c r="L2278">
        <v>1</v>
      </c>
    </row>
    <row r="2279" spans="10:15" x14ac:dyDescent="0.25">
      <c r="J2279" t="s">
        <v>1150</v>
      </c>
      <c r="K2279" s="22" t="s">
        <v>31</v>
      </c>
      <c r="L2279">
        <v>1</v>
      </c>
    </row>
    <row r="2280" spans="10:15" x14ac:dyDescent="0.25">
      <c r="J2280" t="s">
        <v>1418</v>
      </c>
      <c r="K2280" s="22" t="s">
        <v>24</v>
      </c>
      <c r="L2280">
        <v>1</v>
      </c>
      <c r="M2280">
        <v>1</v>
      </c>
    </row>
    <row r="2281" spans="10:15" x14ac:dyDescent="0.25">
      <c r="J2281" t="s">
        <v>744</v>
      </c>
      <c r="K2281" s="22" t="s">
        <v>24</v>
      </c>
      <c r="L2281">
        <v>2</v>
      </c>
      <c r="M2281">
        <v>1</v>
      </c>
      <c r="O2281" s="31"/>
    </row>
    <row r="2282" spans="10:15" x14ac:dyDescent="0.25">
      <c r="J2282" t="s">
        <v>744</v>
      </c>
      <c r="K2282" s="22" t="s">
        <v>29</v>
      </c>
      <c r="L2282">
        <v>2</v>
      </c>
      <c r="M2282">
        <v>1</v>
      </c>
      <c r="O2282" s="30"/>
    </row>
    <row r="2283" spans="10:15" x14ac:dyDescent="0.25">
      <c r="J2283" t="s">
        <v>744</v>
      </c>
      <c r="K2283" s="22" t="s">
        <v>28</v>
      </c>
      <c r="L2283">
        <v>4</v>
      </c>
      <c r="O2283" s="30"/>
    </row>
    <row r="2284" spans="10:15" x14ac:dyDescent="0.25">
      <c r="J2284" t="s">
        <v>744</v>
      </c>
      <c r="K2284" s="22" t="s">
        <v>22</v>
      </c>
      <c r="L2284">
        <v>1</v>
      </c>
      <c r="O2284" s="30"/>
    </row>
    <row r="2285" spans="10:15" x14ac:dyDescent="0.25">
      <c r="J2285" t="s">
        <v>3479</v>
      </c>
      <c r="K2285" s="22" t="s">
        <v>31</v>
      </c>
      <c r="L2285">
        <v>1</v>
      </c>
      <c r="O2285" s="30"/>
    </row>
    <row r="2286" spans="10:15" x14ac:dyDescent="0.25">
      <c r="J2286" t="s">
        <v>2018</v>
      </c>
      <c r="K2286" s="22" t="s">
        <v>29</v>
      </c>
      <c r="L2286">
        <v>1</v>
      </c>
      <c r="M2286">
        <v>1</v>
      </c>
    </row>
    <row r="2287" spans="10:15" x14ac:dyDescent="0.25">
      <c r="J2287" t="s">
        <v>969</v>
      </c>
      <c r="K2287" s="22" t="s">
        <v>31</v>
      </c>
      <c r="L2287">
        <v>1</v>
      </c>
    </row>
    <row r="2288" spans="10:15" x14ac:dyDescent="0.25">
      <c r="J2288" t="s">
        <v>2082</v>
      </c>
      <c r="K2288" s="22" t="s">
        <v>24</v>
      </c>
      <c r="L2288">
        <v>3</v>
      </c>
      <c r="O2288" s="30"/>
    </row>
    <row r="2289" spans="10:15" x14ac:dyDescent="0.25">
      <c r="J2289" t="s">
        <v>2082</v>
      </c>
      <c r="K2289" s="22" t="s">
        <v>29</v>
      </c>
      <c r="L2289">
        <v>3</v>
      </c>
      <c r="O2289" s="30"/>
    </row>
    <row r="2290" spans="10:15" x14ac:dyDescent="0.25">
      <c r="J2290" t="s">
        <v>2082</v>
      </c>
      <c r="K2290" s="22" t="s">
        <v>22</v>
      </c>
      <c r="L2290">
        <v>1</v>
      </c>
    </row>
    <row r="2291" spans="10:15" x14ac:dyDescent="0.25">
      <c r="J2291" t="s">
        <v>2082</v>
      </c>
      <c r="K2291" s="22" t="s">
        <v>31</v>
      </c>
      <c r="L2291">
        <v>1</v>
      </c>
    </row>
    <row r="2292" spans="10:15" x14ac:dyDescent="0.25">
      <c r="J2292" t="s">
        <v>946</v>
      </c>
      <c r="K2292" s="22" t="s">
        <v>24</v>
      </c>
      <c r="L2292">
        <v>2</v>
      </c>
    </row>
    <row r="2293" spans="10:15" x14ac:dyDescent="0.25">
      <c r="J2293" t="s">
        <v>946</v>
      </c>
      <c r="K2293" s="22" t="s">
        <v>29</v>
      </c>
      <c r="L2293">
        <v>3</v>
      </c>
      <c r="O2293" s="30"/>
    </row>
    <row r="2294" spans="10:15" x14ac:dyDescent="0.25">
      <c r="J2294" t="s">
        <v>946</v>
      </c>
      <c r="K2294" s="22" t="s">
        <v>22</v>
      </c>
      <c r="L2294">
        <v>4</v>
      </c>
      <c r="O2294" s="30"/>
    </row>
    <row r="2295" spans="10:15" x14ac:dyDescent="0.25">
      <c r="J2295" t="s">
        <v>1133</v>
      </c>
      <c r="K2295" s="22" t="s">
        <v>29</v>
      </c>
      <c r="L2295">
        <v>3</v>
      </c>
      <c r="M2295">
        <v>3</v>
      </c>
    </row>
    <row r="2296" spans="10:15" x14ac:dyDescent="0.25">
      <c r="J2296" t="s">
        <v>576</v>
      </c>
      <c r="K2296" s="22" t="s">
        <v>24</v>
      </c>
      <c r="L2296">
        <v>3</v>
      </c>
      <c r="O2296" s="30"/>
    </row>
    <row r="2297" spans="10:15" x14ac:dyDescent="0.25">
      <c r="J2297" t="s">
        <v>576</v>
      </c>
      <c r="K2297" s="22" t="s">
        <v>29</v>
      </c>
      <c r="L2297">
        <v>4</v>
      </c>
      <c r="O2297" s="30"/>
    </row>
    <row r="2298" spans="10:15" x14ac:dyDescent="0.25">
      <c r="J2298" t="s">
        <v>3499</v>
      </c>
      <c r="K2298" s="22" t="s">
        <v>22</v>
      </c>
      <c r="L2298">
        <v>2</v>
      </c>
      <c r="M2298">
        <v>2</v>
      </c>
      <c r="O2298" s="31"/>
    </row>
    <row r="2299" spans="10:15" x14ac:dyDescent="0.25">
      <c r="J2299" t="s">
        <v>1157</v>
      </c>
      <c r="K2299" s="22" t="s">
        <v>24</v>
      </c>
      <c r="L2299">
        <v>1</v>
      </c>
    </row>
    <row r="2300" spans="10:15" x14ac:dyDescent="0.25">
      <c r="J2300" t="s">
        <v>1157</v>
      </c>
      <c r="K2300" s="22" t="s">
        <v>35</v>
      </c>
      <c r="L2300">
        <v>1</v>
      </c>
      <c r="M2300">
        <v>1</v>
      </c>
    </row>
    <row r="2301" spans="10:15" x14ac:dyDescent="0.25">
      <c r="J2301" t="s">
        <v>2574</v>
      </c>
      <c r="K2301" s="22" t="s">
        <v>29</v>
      </c>
      <c r="L2301">
        <v>1</v>
      </c>
    </row>
    <row r="2302" spans="10:15" x14ac:dyDescent="0.25">
      <c r="J2302" t="s">
        <v>2574</v>
      </c>
      <c r="K2302" s="22" t="s">
        <v>22</v>
      </c>
      <c r="L2302">
        <v>1</v>
      </c>
      <c r="O2302" s="30"/>
    </row>
    <row r="2303" spans="10:15" x14ac:dyDescent="0.25">
      <c r="J2303" t="s">
        <v>708</v>
      </c>
      <c r="K2303" s="22" t="s">
        <v>24</v>
      </c>
      <c r="L2303">
        <v>1</v>
      </c>
    </row>
    <row r="2304" spans="10:15" x14ac:dyDescent="0.25">
      <c r="J2304" t="s">
        <v>708</v>
      </c>
      <c r="K2304" s="22" t="s">
        <v>22</v>
      </c>
      <c r="L2304">
        <v>2</v>
      </c>
      <c r="M2304">
        <v>2</v>
      </c>
    </row>
    <row r="2305" spans="10:15" x14ac:dyDescent="0.25">
      <c r="J2305" t="s">
        <v>1642</v>
      </c>
      <c r="K2305" s="22" t="s">
        <v>24</v>
      </c>
      <c r="L2305">
        <v>3</v>
      </c>
      <c r="O2305" s="30"/>
    </row>
    <row r="2306" spans="10:15" x14ac:dyDescent="0.25">
      <c r="J2306" t="s">
        <v>1642</v>
      </c>
      <c r="K2306" s="22" t="s">
        <v>29</v>
      </c>
      <c r="L2306">
        <v>1</v>
      </c>
      <c r="M2306">
        <v>1</v>
      </c>
    </row>
    <row r="2307" spans="10:15" x14ac:dyDescent="0.25">
      <c r="J2307" t="s">
        <v>1152</v>
      </c>
      <c r="K2307" s="22" t="s">
        <v>24</v>
      </c>
      <c r="L2307">
        <v>1</v>
      </c>
    </row>
    <row r="2308" spans="10:15" x14ac:dyDescent="0.25">
      <c r="J2308" t="s">
        <v>1727</v>
      </c>
      <c r="K2308" s="22" t="s">
        <v>22</v>
      </c>
      <c r="L2308">
        <v>3</v>
      </c>
      <c r="M2308">
        <v>3</v>
      </c>
      <c r="O2308" s="31"/>
    </row>
    <row r="2309" spans="10:15" x14ac:dyDescent="0.25">
      <c r="J2309" t="s">
        <v>1380</v>
      </c>
      <c r="K2309" s="22" t="s">
        <v>24</v>
      </c>
      <c r="L2309">
        <v>2</v>
      </c>
      <c r="M2309">
        <v>1</v>
      </c>
    </row>
    <row r="2310" spans="10:15" x14ac:dyDescent="0.25">
      <c r="J2310" t="s">
        <v>1380</v>
      </c>
      <c r="K2310" s="22" t="s">
        <v>28</v>
      </c>
      <c r="L2310">
        <v>1</v>
      </c>
      <c r="M2310">
        <v>1</v>
      </c>
    </row>
    <row r="2311" spans="10:15" x14ac:dyDescent="0.25">
      <c r="J2311" t="s">
        <v>1410</v>
      </c>
      <c r="K2311" s="22" t="s">
        <v>24</v>
      </c>
      <c r="L2311">
        <v>3</v>
      </c>
      <c r="M2311">
        <v>2</v>
      </c>
    </row>
    <row r="2312" spans="10:15" x14ac:dyDescent="0.25">
      <c r="J2312" t="s">
        <v>1410</v>
      </c>
      <c r="K2312" s="22" t="s">
        <v>28</v>
      </c>
      <c r="L2312">
        <v>1</v>
      </c>
    </row>
    <row r="2313" spans="10:15" x14ac:dyDescent="0.25">
      <c r="J2313" t="s">
        <v>1410</v>
      </c>
      <c r="K2313" s="22" t="s">
        <v>35</v>
      </c>
      <c r="L2313">
        <v>1</v>
      </c>
    </row>
    <row r="2314" spans="10:15" x14ac:dyDescent="0.25">
      <c r="J2314" t="s">
        <v>1410</v>
      </c>
      <c r="K2314" s="22" t="s">
        <v>31</v>
      </c>
      <c r="L2314">
        <v>1</v>
      </c>
      <c r="M2314">
        <v>1</v>
      </c>
    </row>
    <row r="2315" spans="10:15" x14ac:dyDescent="0.25">
      <c r="J2315" t="s">
        <v>2639</v>
      </c>
      <c r="K2315" s="22" t="s">
        <v>28</v>
      </c>
      <c r="L2315">
        <v>1</v>
      </c>
      <c r="M2315">
        <v>1</v>
      </c>
    </row>
    <row r="2316" spans="10:15" x14ac:dyDescent="0.25">
      <c r="J2316" t="s">
        <v>633</v>
      </c>
      <c r="K2316" s="22" t="s">
        <v>24</v>
      </c>
      <c r="L2316">
        <v>1</v>
      </c>
    </row>
    <row r="2317" spans="10:15" x14ac:dyDescent="0.25">
      <c r="J2317" t="s">
        <v>646</v>
      </c>
      <c r="K2317" s="22" t="s">
        <v>24</v>
      </c>
      <c r="L2317">
        <v>1</v>
      </c>
    </row>
    <row r="2318" spans="10:15" x14ac:dyDescent="0.25">
      <c r="J2318" t="s">
        <v>1212</v>
      </c>
      <c r="K2318" s="22" t="s">
        <v>22</v>
      </c>
      <c r="L2318">
        <v>3</v>
      </c>
      <c r="M2318">
        <v>3</v>
      </c>
    </row>
    <row r="2319" spans="10:15" x14ac:dyDescent="0.25">
      <c r="J2319" t="s">
        <v>1568</v>
      </c>
      <c r="K2319" s="22" t="s">
        <v>24</v>
      </c>
      <c r="L2319">
        <v>3</v>
      </c>
      <c r="M2319">
        <v>3</v>
      </c>
      <c r="O2319" s="31"/>
    </row>
    <row r="2320" spans="10:15" x14ac:dyDescent="0.25">
      <c r="J2320" t="s">
        <v>1568</v>
      </c>
      <c r="K2320" s="22" t="s">
        <v>28</v>
      </c>
      <c r="L2320">
        <v>4</v>
      </c>
      <c r="O2320" s="30"/>
    </row>
    <row r="2321" spans="10:15" x14ac:dyDescent="0.25">
      <c r="J2321" t="s">
        <v>178</v>
      </c>
      <c r="K2321" s="22" t="s">
        <v>22</v>
      </c>
      <c r="L2321">
        <v>3</v>
      </c>
      <c r="M2321">
        <v>3</v>
      </c>
    </row>
    <row r="2322" spans="10:15" x14ac:dyDescent="0.25">
      <c r="J2322" t="s">
        <v>1786</v>
      </c>
      <c r="K2322" s="22" t="s">
        <v>24</v>
      </c>
      <c r="L2322">
        <v>1</v>
      </c>
    </row>
    <row r="2323" spans="10:15" x14ac:dyDescent="0.25">
      <c r="J2323" t="s">
        <v>2732</v>
      </c>
      <c r="K2323" s="22" t="s">
        <v>24</v>
      </c>
      <c r="L2323">
        <v>2</v>
      </c>
      <c r="M2323">
        <v>2</v>
      </c>
      <c r="O2323" s="31"/>
    </row>
    <row r="2324" spans="10:15" x14ac:dyDescent="0.25">
      <c r="J2324" t="s">
        <v>2057</v>
      </c>
      <c r="K2324" s="22" t="s">
        <v>22</v>
      </c>
      <c r="L2324">
        <v>1</v>
      </c>
      <c r="M2324">
        <v>1</v>
      </c>
    </row>
    <row r="2325" spans="10:15" x14ac:dyDescent="0.25">
      <c r="J2325" t="s">
        <v>1351</v>
      </c>
      <c r="K2325" s="22" t="s">
        <v>24</v>
      </c>
      <c r="L2325">
        <v>6</v>
      </c>
      <c r="O2325" s="30"/>
    </row>
    <row r="2326" spans="10:15" x14ac:dyDescent="0.25">
      <c r="J2326" t="s">
        <v>1351</v>
      </c>
      <c r="K2326" s="22" t="s">
        <v>31</v>
      </c>
      <c r="L2326">
        <v>2</v>
      </c>
      <c r="O2326" s="30"/>
    </row>
    <row r="2327" spans="10:15" x14ac:dyDescent="0.25">
      <c r="J2327" t="s">
        <v>2641</v>
      </c>
      <c r="K2327" s="22" t="s">
        <v>24</v>
      </c>
      <c r="L2327">
        <v>3</v>
      </c>
      <c r="M2327">
        <v>3</v>
      </c>
      <c r="O2327" s="31"/>
    </row>
    <row r="2328" spans="10:15" x14ac:dyDescent="0.25">
      <c r="J2328" t="s">
        <v>3014</v>
      </c>
      <c r="K2328" s="22" t="s">
        <v>24</v>
      </c>
      <c r="L2328">
        <v>2</v>
      </c>
      <c r="M2328">
        <v>2</v>
      </c>
      <c r="O2328" s="31"/>
    </row>
    <row r="2329" spans="10:15" x14ac:dyDescent="0.25">
      <c r="J2329" t="s">
        <v>2161</v>
      </c>
      <c r="K2329" s="22" t="s">
        <v>24</v>
      </c>
      <c r="L2329">
        <v>1</v>
      </c>
      <c r="M2329">
        <v>1</v>
      </c>
      <c r="O2329" s="31"/>
    </row>
    <row r="2330" spans="10:15" x14ac:dyDescent="0.25">
      <c r="J2330" t="s">
        <v>1087</v>
      </c>
      <c r="K2330" s="22" t="s">
        <v>22</v>
      </c>
      <c r="L2330">
        <v>2</v>
      </c>
      <c r="M2330">
        <v>2</v>
      </c>
    </row>
    <row r="2331" spans="10:15" x14ac:dyDescent="0.25">
      <c r="J2331" t="s">
        <v>1412</v>
      </c>
      <c r="K2331" s="22" t="s">
        <v>24</v>
      </c>
      <c r="L2331">
        <v>1</v>
      </c>
    </row>
    <row r="2332" spans="10:15" x14ac:dyDescent="0.25">
      <c r="J2332" t="s">
        <v>2741</v>
      </c>
      <c r="K2332" s="22" t="s">
        <v>24</v>
      </c>
      <c r="L2332">
        <v>1</v>
      </c>
      <c r="M2332">
        <v>1</v>
      </c>
    </row>
    <row r="2333" spans="10:15" x14ac:dyDescent="0.25">
      <c r="J2333" t="s">
        <v>1828</v>
      </c>
      <c r="K2333" s="22" t="s">
        <v>24</v>
      </c>
      <c r="L2333">
        <v>1</v>
      </c>
      <c r="M2333">
        <v>1</v>
      </c>
    </row>
    <row r="2334" spans="10:15" x14ac:dyDescent="0.25">
      <c r="J2334" t="s">
        <v>1495</v>
      </c>
      <c r="K2334" s="22" t="s">
        <v>35</v>
      </c>
      <c r="L2334">
        <v>4</v>
      </c>
      <c r="M2334">
        <v>4</v>
      </c>
      <c r="O2334" s="31"/>
    </row>
    <row r="2335" spans="10:15" x14ac:dyDescent="0.25">
      <c r="J2335" t="s">
        <v>1189</v>
      </c>
      <c r="K2335" s="22" t="s">
        <v>31</v>
      </c>
      <c r="L2335">
        <v>1</v>
      </c>
      <c r="M2335">
        <v>1</v>
      </c>
    </row>
    <row r="2336" spans="10:15" x14ac:dyDescent="0.25">
      <c r="J2336" t="s">
        <v>1941</v>
      </c>
      <c r="K2336" s="22" t="s">
        <v>28</v>
      </c>
      <c r="L2336">
        <v>1</v>
      </c>
      <c r="M2336">
        <v>1</v>
      </c>
    </row>
    <row r="2337" spans="10:15" x14ac:dyDescent="0.25">
      <c r="J2337" t="s">
        <v>911</v>
      </c>
      <c r="K2337" s="22" t="s">
        <v>24</v>
      </c>
      <c r="L2337">
        <v>2</v>
      </c>
      <c r="O2337" s="30"/>
    </row>
    <row r="2338" spans="10:15" x14ac:dyDescent="0.25">
      <c r="J2338" t="s">
        <v>911</v>
      </c>
      <c r="K2338" s="22" t="s">
        <v>31</v>
      </c>
      <c r="L2338">
        <v>1</v>
      </c>
      <c r="M2338">
        <v>1</v>
      </c>
      <c r="O2338" s="31"/>
    </row>
    <row r="2339" spans="10:15" x14ac:dyDescent="0.25">
      <c r="J2339" t="s">
        <v>430</v>
      </c>
      <c r="K2339" s="22" t="s">
        <v>24</v>
      </c>
      <c r="L2339">
        <v>4</v>
      </c>
      <c r="O2339" s="30"/>
    </row>
    <row r="2340" spans="10:15" x14ac:dyDescent="0.25">
      <c r="J2340" t="s">
        <v>430</v>
      </c>
      <c r="K2340" s="22" t="s">
        <v>28</v>
      </c>
      <c r="L2340">
        <v>3</v>
      </c>
      <c r="O2340" s="30"/>
    </row>
    <row r="2341" spans="10:15" x14ac:dyDescent="0.25">
      <c r="J2341" t="s">
        <v>1534</v>
      </c>
      <c r="K2341" s="22" t="s">
        <v>24</v>
      </c>
      <c r="L2341">
        <v>1</v>
      </c>
    </row>
    <row r="2342" spans="10:15" x14ac:dyDescent="0.25">
      <c r="J2342" t="s">
        <v>505</v>
      </c>
      <c r="K2342" s="22" t="s">
        <v>35</v>
      </c>
      <c r="L2342">
        <v>1</v>
      </c>
    </row>
    <row r="2343" spans="10:15" x14ac:dyDescent="0.25">
      <c r="J2343" t="s">
        <v>505</v>
      </c>
      <c r="K2343" s="22" t="s">
        <v>22</v>
      </c>
      <c r="L2343">
        <v>1</v>
      </c>
    </row>
    <row r="2344" spans="10:15" x14ac:dyDescent="0.25">
      <c r="J2344" t="s">
        <v>505</v>
      </c>
      <c r="K2344" s="22" t="s">
        <v>31</v>
      </c>
      <c r="L2344">
        <v>1</v>
      </c>
    </row>
    <row r="2345" spans="10:15" x14ac:dyDescent="0.25">
      <c r="J2345" t="s">
        <v>1962</v>
      </c>
      <c r="K2345" s="22" t="s">
        <v>22</v>
      </c>
      <c r="L2345">
        <v>1</v>
      </c>
    </row>
    <row r="2346" spans="10:15" x14ac:dyDescent="0.25">
      <c r="J2346" t="s">
        <v>75</v>
      </c>
      <c r="K2346" s="22" t="s">
        <v>24</v>
      </c>
      <c r="L2346">
        <v>43</v>
      </c>
      <c r="M2346">
        <v>14</v>
      </c>
      <c r="O2346" s="30"/>
    </row>
    <row r="2347" spans="10:15" x14ac:dyDescent="0.25">
      <c r="J2347" t="s">
        <v>75</v>
      </c>
      <c r="K2347" s="22" t="s">
        <v>20</v>
      </c>
      <c r="L2347">
        <v>50</v>
      </c>
      <c r="M2347">
        <v>20</v>
      </c>
      <c r="O2347" s="31"/>
    </row>
    <row r="2348" spans="10:15" x14ac:dyDescent="0.25">
      <c r="J2348" t="s">
        <v>75</v>
      </c>
      <c r="K2348" s="22" t="s">
        <v>30</v>
      </c>
      <c r="L2348">
        <v>62</v>
      </c>
      <c r="M2348">
        <v>25</v>
      </c>
      <c r="O2348" s="30"/>
    </row>
    <row r="2349" spans="10:15" x14ac:dyDescent="0.25">
      <c r="J2349" t="s">
        <v>75</v>
      </c>
      <c r="K2349" s="22" t="s">
        <v>29</v>
      </c>
      <c r="L2349">
        <v>67</v>
      </c>
      <c r="M2349">
        <v>37</v>
      </c>
      <c r="O2349" s="30"/>
    </row>
    <row r="2350" spans="10:15" x14ac:dyDescent="0.25">
      <c r="J2350" t="s">
        <v>75</v>
      </c>
      <c r="K2350" s="22" t="s">
        <v>28</v>
      </c>
      <c r="L2350">
        <v>63</v>
      </c>
      <c r="M2350">
        <v>24</v>
      </c>
      <c r="O2350" s="31"/>
    </row>
    <row r="2351" spans="10:15" x14ac:dyDescent="0.25">
      <c r="J2351" t="s">
        <v>75</v>
      </c>
      <c r="K2351" s="22" t="s">
        <v>35</v>
      </c>
      <c r="L2351">
        <v>54</v>
      </c>
      <c r="M2351">
        <v>21</v>
      </c>
      <c r="O2351" s="31"/>
    </row>
    <row r="2352" spans="10:15" x14ac:dyDescent="0.25">
      <c r="J2352" t="s">
        <v>75</v>
      </c>
      <c r="K2352" s="22" t="s">
        <v>22</v>
      </c>
      <c r="L2352">
        <v>40</v>
      </c>
      <c r="M2352">
        <v>13</v>
      </c>
      <c r="O2352" s="31"/>
    </row>
    <row r="2353" spans="10:15" x14ac:dyDescent="0.25">
      <c r="J2353" t="s">
        <v>75</v>
      </c>
      <c r="K2353" s="22" t="s">
        <v>31</v>
      </c>
      <c r="L2353">
        <v>57</v>
      </c>
      <c r="M2353">
        <v>26</v>
      </c>
      <c r="O2353" s="31"/>
    </row>
    <row r="2354" spans="10:15" x14ac:dyDescent="0.25">
      <c r="J2354" t="s">
        <v>258</v>
      </c>
      <c r="K2354" s="22" t="s">
        <v>24</v>
      </c>
      <c r="L2354">
        <v>8</v>
      </c>
      <c r="M2354">
        <v>5</v>
      </c>
      <c r="O2354" s="31"/>
    </row>
    <row r="2355" spans="10:15" x14ac:dyDescent="0.25">
      <c r="J2355" t="s">
        <v>258</v>
      </c>
      <c r="K2355" s="22" t="s">
        <v>20</v>
      </c>
      <c r="L2355">
        <v>19</v>
      </c>
      <c r="M2355">
        <v>18</v>
      </c>
      <c r="O2355" s="31"/>
    </row>
    <row r="2356" spans="10:15" x14ac:dyDescent="0.25">
      <c r="J2356" t="s">
        <v>258</v>
      </c>
      <c r="K2356" s="22" t="s">
        <v>30</v>
      </c>
      <c r="L2356">
        <v>6</v>
      </c>
      <c r="M2356">
        <v>3</v>
      </c>
      <c r="O2356" s="30"/>
    </row>
    <row r="2357" spans="10:15" x14ac:dyDescent="0.25">
      <c r="J2357" t="s">
        <v>258</v>
      </c>
      <c r="K2357" s="22" t="s">
        <v>29</v>
      </c>
      <c r="L2357">
        <v>18</v>
      </c>
      <c r="M2357">
        <v>14</v>
      </c>
      <c r="O2357" s="31"/>
    </row>
    <row r="2358" spans="10:15" x14ac:dyDescent="0.25">
      <c r="J2358" t="s">
        <v>258</v>
      </c>
      <c r="K2358" s="22" t="s">
        <v>28</v>
      </c>
      <c r="L2358">
        <v>5</v>
      </c>
      <c r="M2358">
        <v>3</v>
      </c>
      <c r="O2358" s="31"/>
    </row>
    <row r="2359" spans="10:15" x14ac:dyDescent="0.25">
      <c r="J2359" t="s">
        <v>258</v>
      </c>
      <c r="K2359" s="22" t="s">
        <v>35</v>
      </c>
      <c r="L2359">
        <v>10</v>
      </c>
      <c r="M2359">
        <v>9</v>
      </c>
      <c r="O2359" s="31"/>
    </row>
    <row r="2360" spans="10:15" x14ac:dyDescent="0.25">
      <c r="J2360" t="s">
        <v>258</v>
      </c>
      <c r="K2360" s="22" t="s">
        <v>22</v>
      </c>
      <c r="L2360">
        <v>4</v>
      </c>
      <c r="M2360">
        <v>2</v>
      </c>
      <c r="O2360" s="30"/>
    </row>
    <row r="2361" spans="10:15" x14ac:dyDescent="0.25">
      <c r="J2361" t="s">
        <v>360</v>
      </c>
      <c r="K2361" s="22" t="s">
        <v>24</v>
      </c>
      <c r="L2361">
        <v>3</v>
      </c>
      <c r="M2361">
        <v>1</v>
      </c>
      <c r="O2361" s="30"/>
    </row>
    <row r="2362" spans="10:15" x14ac:dyDescent="0.25">
      <c r="J2362" t="s">
        <v>360</v>
      </c>
      <c r="K2362" s="22" t="s">
        <v>20</v>
      </c>
      <c r="L2362">
        <v>9</v>
      </c>
      <c r="M2362">
        <v>7</v>
      </c>
    </row>
    <row r="2363" spans="10:15" x14ac:dyDescent="0.25">
      <c r="J2363" t="s">
        <v>360</v>
      </c>
      <c r="K2363" s="22" t="s">
        <v>30</v>
      </c>
      <c r="L2363">
        <v>1</v>
      </c>
      <c r="O2363" s="30"/>
    </row>
    <row r="2364" spans="10:15" x14ac:dyDescent="0.25">
      <c r="J2364" t="s">
        <v>360</v>
      </c>
      <c r="K2364" s="22" t="s">
        <v>29</v>
      </c>
      <c r="L2364">
        <v>7</v>
      </c>
      <c r="M2364">
        <v>2</v>
      </c>
      <c r="O2364" s="30"/>
    </row>
    <row r="2365" spans="10:15" x14ac:dyDescent="0.25">
      <c r="J2365" t="s">
        <v>360</v>
      </c>
      <c r="K2365" s="22" t="s">
        <v>28</v>
      </c>
      <c r="L2365">
        <v>4</v>
      </c>
      <c r="O2365" s="30"/>
    </row>
    <row r="2366" spans="10:15" x14ac:dyDescent="0.25">
      <c r="J2366" t="s">
        <v>360</v>
      </c>
      <c r="K2366" s="22" t="s">
        <v>35</v>
      </c>
      <c r="L2366">
        <v>11</v>
      </c>
      <c r="M2366">
        <v>10</v>
      </c>
      <c r="O2366" s="31"/>
    </row>
    <row r="2367" spans="10:15" x14ac:dyDescent="0.25">
      <c r="J2367" t="s">
        <v>360</v>
      </c>
      <c r="K2367" s="22" t="s">
        <v>31</v>
      </c>
      <c r="L2367">
        <v>3</v>
      </c>
      <c r="M2367">
        <v>2</v>
      </c>
      <c r="O2367" s="31"/>
    </row>
    <row r="2368" spans="10:15" x14ac:dyDescent="0.25">
      <c r="J2368" t="s">
        <v>914</v>
      </c>
      <c r="K2368" s="22" t="s">
        <v>24</v>
      </c>
      <c r="L2368">
        <v>1</v>
      </c>
      <c r="O2368" s="30"/>
    </row>
    <row r="2369" spans="10:15" x14ac:dyDescent="0.25">
      <c r="J2369" t="s">
        <v>914</v>
      </c>
      <c r="K2369" s="22" t="s">
        <v>20</v>
      </c>
      <c r="L2369">
        <v>5</v>
      </c>
      <c r="M2369">
        <v>1</v>
      </c>
    </row>
    <row r="2370" spans="10:15" x14ac:dyDescent="0.25">
      <c r="J2370" t="s">
        <v>914</v>
      </c>
      <c r="K2370" s="22" t="s">
        <v>29</v>
      </c>
      <c r="L2370">
        <v>3</v>
      </c>
      <c r="M2370">
        <v>2</v>
      </c>
      <c r="O2370" s="30"/>
    </row>
    <row r="2371" spans="10:15" x14ac:dyDescent="0.25">
      <c r="J2371" t="s">
        <v>914</v>
      </c>
      <c r="K2371" s="22" t="s">
        <v>28</v>
      </c>
      <c r="L2371">
        <v>5</v>
      </c>
    </row>
    <row r="2372" spans="10:15" x14ac:dyDescent="0.25">
      <c r="J2372" t="s">
        <v>914</v>
      </c>
      <c r="K2372" s="22" t="s">
        <v>35</v>
      </c>
      <c r="L2372">
        <v>2</v>
      </c>
      <c r="M2372">
        <v>1</v>
      </c>
    </row>
    <row r="2373" spans="10:15" x14ac:dyDescent="0.25">
      <c r="J2373" t="s">
        <v>1414</v>
      </c>
      <c r="K2373" s="22" t="s">
        <v>24</v>
      </c>
      <c r="L2373">
        <v>2</v>
      </c>
      <c r="O2373" s="30"/>
    </row>
    <row r="2374" spans="10:15" x14ac:dyDescent="0.25">
      <c r="J2374" t="s">
        <v>1414</v>
      </c>
      <c r="K2374" s="22" t="s">
        <v>20</v>
      </c>
      <c r="L2374">
        <v>6</v>
      </c>
      <c r="M2374">
        <v>2</v>
      </c>
      <c r="O2374" s="30"/>
    </row>
    <row r="2375" spans="10:15" x14ac:dyDescent="0.25">
      <c r="J2375" t="s">
        <v>1414</v>
      </c>
      <c r="K2375" s="22" t="s">
        <v>30</v>
      </c>
      <c r="L2375">
        <v>2</v>
      </c>
      <c r="O2375" s="30"/>
    </row>
    <row r="2376" spans="10:15" x14ac:dyDescent="0.25">
      <c r="J2376" t="s">
        <v>1414</v>
      </c>
      <c r="K2376" s="22" t="s">
        <v>29</v>
      </c>
      <c r="L2376">
        <v>2</v>
      </c>
    </row>
    <row r="2377" spans="10:15" x14ac:dyDescent="0.25">
      <c r="J2377" t="s">
        <v>1414</v>
      </c>
      <c r="K2377" s="22" t="s">
        <v>28</v>
      </c>
      <c r="L2377">
        <v>5</v>
      </c>
      <c r="M2377">
        <v>3</v>
      </c>
      <c r="O2377" s="31"/>
    </row>
    <row r="2378" spans="10:15" x14ac:dyDescent="0.25">
      <c r="J2378" t="s">
        <v>1414</v>
      </c>
      <c r="K2378" s="22" t="s">
        <v>35</v>
      </c>
      <c r="L2378">
        <v>4</v>
      </c>
      <c r="M2378">
        <v>1</v>
      </c>
      <c r="O2378" s="30"/>
    </row>
    <row r="2379" spans="10:15" x14ac:dyDescent="0.25">
      <c r="J2379" t="s">
        <v>536</v>
      </c>
      <c r="K2379" s="22" t="s">
        <v>30</v>
      </c>
      <c r="L2379">
        <v>15</v>
      </c>
      <c r="M2379">
        <v>11</v>
      </c>
      <c r="O2379" s="31"/>
    </row>
    <row r="2380" spans="10:15" x14ac:dyDescent="0.25">
      <c r="J2380" t="s">
        <v>536</v>
      </c>
      <c r="K2380" s="22" t="s">
        <v>22</v>
      </c>
      <c r="L2380">
        <v>8</v>
      </c>
      <c r="M2380">
        <v>7</v>
      </c>
      <c r="O2380" s="31"/>
    </row>
    <row r="2381" spans="10:15" x14ac:dyDescent="0.25">
      <c r="J2381" t="s">
        <v>536</v>
      </c>
      <c r="K2381" s="22" t="s">
        <v>31</v>
      </c>
      <c r="L2381">
        <v>26</v>
      </c>
      <c r="M2381">
        <v>20</v>
      </c>
      <c r="O2381" s="31"/>
    </row>
    <row r="2382" spans="10:15" x14ac:dyDescent="0.25">
      <c r="J2382" t="s">
        <v>283</v>
      </c>
      <c r="K2382" s="22" t="s">
        <v>24</v>
      </c>
      <c r="L2382">
        <v>2</v>
      </c>
      <c r="M2382">
        <v>1</v>
      </c>
      <c r="O2382" s="31"/>
    </row>
    <row r="2383" spans="10:15" x14ac:dyDescent="0.25">
      <c r="J2383" t="s">
        <v>283</v>
      </c>
      <c r="K2383" s="22" t="s">
        <v>28</v>
      </c>
      <c r="L2383">
        <v>3</v>
      </c>
      <c r="M2383">
        <v>2</v>
      </c>
    </row>
    <row r="2384" spans="10:15" x14ac:dyDescent="0.25">
      <c r="J2384" t="s">
        <v>283</v>
      </c>
      <c r="K2384" s="22" t="s">
        <v>22</v>
      </c>
      <c r="L2384">
        <v>2</v>
      </c>
      <c r="M2384">
        <v>1</v>
      </c>
      <c r="O2384" s="30"/>
    </row>
    <row r="2385" spans="10:15" x14ac:dyDescent="0.25">
      <c r="J2385" t="s">
        <v>1808</v>
      </c>
      <c r="K2385" s="22" t="s">
        <v>20</v>
      </c>
      <c r="L2385">
        <v>3</v>
      </c>
      <c r="M2385">
        <v>3</v>
      </c>
      <c r="O2385" s="31"/>
    </row>
    <row r="2386" spans="10:15" x14ac:dyDescent="0.25">
      <c r="J2386" t="s">
        <v>1808</v>
      </c>
      <c r="K2386" s="22" t="s">
        <v>28</v>
      </c>
      <c r="L2386">
        <v>1</v>
      </c>
    </row>
    <row r="2387" spans="10:15" x14ac:dyDescent="0.25">
      <c r="J2387" t="s">
        <v>773</v>
      </c>
      <c r="K2387" s="22" t="s">
        <v>24</v>
      </c>
      <c r="L2387">
        <v>1</v>
      </c>
      <c r="O2387" s="30"/>
    </row>
    <row r="2388" spans="10:15" x14ac:dyDescent="0.25">
      <c r="J2388" t="s">
        <v>773</v>
      </c>
      <c r="K2388" s="22" t="s">
        <v>20</v>
      </c>
      <c r="L2388">
        <v>2</v>
      </c>
      <c r="O2388" s="30"/>
    </row>
    <row r="2389" spans="10:15" x14ac:dyDescent="0.25">
      <c r="J2389" t="s">
        <v>773</v>
      </c>
      <c r="K2389" s="22" t="s">
        <v>30</v>
      </c>
      <c r="L2389">
        <v>2</v>
      </c>
      <c r="M2389">
        <v>1</v>
      </c>
      <c r="O2389" s="30"/>
    </row>
    <row r="2390" spans="10:15" x14ac:dyDescent="0.25">
      <c r="J2390" t="s">
        <v>773</v>
      </c>
      <c r="K2390" s="22" t="s">
        <v>29</v>
      </c>
      <c r="L2390">
        <v>5</v>
      </c>
      <c r="M2390">
        <v>4</v>
      </c>
    </row>
    <row r="2391" spans="10:15" x14ac:dyDescent="0.25">
      <c r="J2391" t="s">
        <v>773</v>
      </c>
      <c r="K2391" s="22" t="s">
        <v>28</v>
      </c>
      <c r="L2391">
        <v>3</v>
      </c>
      <c r="O2391" s="30"/>
    </row>
    <row r="2392" spans="10:15" x14ac:dyDescent="0.25">
      <c r="J2392" t="s">
        <v>773</v>
      </c>
      <c r="K2392" s="22" t="s">
        <v>31</v>
      </c>
      <c r="L2392">
        <v>3</v>
      </c>
      <c r="M2392">
        <v>2</v>
      </c>
    </row>
    <row r="2393" spans="10:15" x14ac:dyDescent="0.25">
      <c r="J2393" t="s">
        <v>2385</v>
      </c>
      <c r="K2393" s="22" t="s">
        <v>30</v>
      </c>
      <c r="L2393">
        <v>3</v>
      </c>
      <c r="M2393">
        <v>1</v>
      </c>
      <c r="O2393" s="30"/>
    </row>
    <row r="2394" spans="10:15" x14ac:dyDescent="0.25">
      <c r="J2394" t="s">
        <v>2385</v>
      </c>
      <c r="K2394" s="22" t="s">
        <v>29</v>
      </c>
      <c r="L2394">
        <v>2</v>
      </c>
      <c r="M2394">
        <v>2</v>
      </c>
      <c r="O2394" s="31"/>
    </row>
    <row r="2395" spans="10:15" x14ac:dyDescent="0.25">
      <c r="J2395" t="s">
        <v>382</v>
      </c>
      <c r="K2395" s="22" t="s">
        <v>24</v>
      </c>
      <c r="L2395">
        <v>3</v>
      </c>
      <c r="M2395">
        <v>3</v>
      </c>
      <c r="O2395" s="31"/>
    </row>
    <row r="2396" spans="10:15" x14ac:dyDescent="0.25">
      <c r="J2396" t="s">
        <v>382</v>
      </c>
      <c r="K2396" s="22" t="s">
        <v>20</v>
      </c>
      <c r="L2396">
        <v>3</v>
      </c>
      <c r="M2396">
        <v>2</v>
      </c>
      <c r="O2396" s="31"/>
    </row>
    <row r="2397" spans="10:15" x14ac:dyDescent="0.25">
      <c r="J2397" t="s">
        <v>382</v>
      </c>
      <c r="K2397" s="22" t="s">
        <v>28</v>
      </c>
      <c r="L2397">
        <v>4</v>
      </c>
      <c r="M2397">
        <v>3</v>
      </c>
    </row>
    <row r="2398" spans="10:15" x14ac:dyDescent="0.25">
      <c r="J2398" t="s">
        <v>382</v>
      </c>
      <c r="K2398" s="22" t="s">
        <v>22</v>
      </c>
      <c r="L2398">
        <v>1</v>
      </c>
    </row>
    <row r="2399" spans="10:15" x14ac:dyDescent="0.25">
      <c r="J2399" t="s">
        <v>602</v>
      </c>
      <c r="K2399" s="22" t="s">
        <v>24</v>
      </c>
      <c r="L2399">
        <v>3</v>
      </c>
      <c r="M2399">
        <v>2</v>
      </c>
      <c r="O2399" s="30"/>
    </row>
    <row r="2400" spans="10:15" x14ac:dyDescent="0.25">
      <c r="J2400" t="s">
        <v>602</v>
      </c>
      <c r="K2400" s="22" t="s">
        <v>28</v>
      </c>
      <c r="L2400">
        <v>3</v>
      </c>
      <c r="O2400" s="30"/>
    </row>
    <row r="2401" spans="10:15" x14ac:dyDescent="0.25">
      <c r="J2401" t="s">
        <v>602</v>
      </c>
      <c r="K2401" s="22" t="s">
        <v>31</v>
      </c>
      <c r="L2401">
        <v>3</v>
      </c>
    </row>
    <row r="2402" spans="10:15" x14ac:dyDescent="0.25">
      <c r="J2402" t="s">
        <v>2190</v>
      </c>
      <c r="K2402" s="22" t="s">
        <v>29</v>
      </c>
      <c r="L2402">
        <v>1</v>
      </c>
    </row>
    <row r="2403" spans="10:15" x14ac:dyDescent="0.25">
      <c r="J2403" t="s">
        <v>2190</v>
      </c>
      <c r="K2403" s="22" t="s">
        <v>28</v>
      </c>
      <c r="L2403">
        <v>1</v>
      </c>
      <c r="O2403" s="30"/>
    </row>
    <row r="2404" spans="10:15" x14ac:dyDescent="0.25">
      <c r="J2404" t="s">
        <v>376</v>
      </c>
      <c r="K2404" s="22" t="s">
        <v>24</v>
      </c>
      <c r="L2404">
        <v>6</v>
      </c>
      <c r="M2404">
        <v>4</v>
      </c>
      <c r="O2404" s="31"/>
    </row>
    <row r="2405" spans="10:15" x14ac:dyDescent="0.25">
      <c r="J2405" t="s">
        <v>376</v>
      </c>
      <c r="K2405" s="22" t="s">
        <v>20</v>
      </c>
      <c r="L2405">
        <v>9</v>
      </c>
      <c r="M2405">
        <v>8</v>
      </c>
      <c r="O2405" s="31"/>
    </row>
    <row r="2406" spans="10:15" x14ac:dyDescent="0.25">
      <c r="J2406" t="s">
        <v>376</v>
      </c>
      <c r="K2406" s="22" t="s">
        <v>30</v>
      </c>
      <c r="L2406">
        <v>7</v>
      </c>
      <c r="M2406">
        <v>3</v>
      </c>
      <c r="O2406" s="30"/>
    </row>
    <row r="2407" spans="10:15" x14ac:dyDescent="0.25">
      <c r="J2407" t="s">
        <v>376</v>
      </c>
      <c r="K2407" s="22" t="s">
        <v>29</v>
      </c>
      <c r="L2407">
        <v>8</v>
      </c>
      <c r="M2407">
        <v>7</v>
      </c>
      <c r="O2407" s="31"/>
    </row>
    <row r="2408" spans="10:15" x14ac:dyDescent="0.25">
      <c r="J2408" t="s">
        <v>376</v>
      </c>
      <c r="K2408" s="22" t="s">
        <v>35</v>
      </c>
      <c r="L2408">
        <v>4</v>
      </c>
      <c r="M2408">
        <v>1</v>
      </c>
      <c r="O2408" s="31"/>
    </row>
    <row r="2409" spans="10:15" x14ac:dyDescent="0.25">
      <c r="J2409" t="s">
        <v>376</v>
      </c>
      <c r="K2409" s="22" t="s">
        <v>22</v>
      </c>
      <c r="L2409">
        <v>9</v>
      </c>
      <c r="M2409">
        <v>6</v>
      </c>
      <c r="O2409" s="30"/>
    </row>
    <row r="2410" spans="10:15" x14ac:dyDescent="0.25">
      <c r="J2410" t="s">
        <v>376</v>
      </c>
      <c r="K2410" s="22" t="s">
        <v>31</v>
      </c>
      <c r="L2410">
        <v>17</v>
      </c>
      <c r="M2410">
        <v>8</v>
      </c>
      <c r="O2410" s="30"/>
    </row>
    <row r="2411" spans="10:15" x14ac:dyDescent="0.25">
      <c r="J2411" t="s">
        <v>346</v>
      </c>
      <c r="K2411" s="22" t="s">
        <v>20</v>
      </c>
      <c r="L2411">
        <v>2</v>
      </c>
      <c r="O2411" s="30"/>
    </row>
    <row r="2412" spans="10:15" x14ac:dyDescent="0.25">
      <c r="J2412" t="s">
        <v>346</v>
      </c>
      <c r="K2412" s="22" t="s">
        <v>30</v>
      </c>
      <c r="L2412">
        <v>5</v>
      </c>
      <c r="M2412">
        <v>3</v>
      </c>
      <c r="O2412" s="30"/>
    </row>
    <row r="2413" spans="10:15" x14ac:dyDescent="0.25">
      <c r="J2413" t="s">
        <v>346</v>
      </c>
      <c r="K2413" s="22" t="s">
        <v>29</v>
      </c>
      <c r="L2413">
        <v>3</v>
      </c>
      <c r="M2413">
        <v>3</v>
      </c>
      <c r="O2413" s="31"/>
    </row>
    <row r="2414" spans="10:15" x14ac:dyDescent="0.25">
      <c r="J2414" t="s">
        <v>346</v>
      </c>
      <c r="K2414" s="22" t="s">
        <v>35</v>
      </c>
      <c r="L2414">
        <v>3</v>
      </c>
      <c r="M2414">
        <v>2</v>
      </c>
    </row>
    <row r="2415" spans="10:15" x14ac:dyDescent="0.25">
      <c r="J2415" t="s">
        <v>919</v>
      </c>
      <c r="K2415" s="22" t="s">
        <v>24</v>
      </c>
      <c r="L2415">
        <v>1</v>
      </c>
      <c r="M2415">
        <v>1</v>
      </c>
    </row>
    <row r="2416" spans="10:15" x14ac:dyDescent="0.25">
      <c r="J2416" t="s">
        <v>687</v>
      </c>
      <c r="K2416" s="22" t="s">
        <v>24</v>
      </c>
      <c r="L2416">
        <v>4</v>
      </c>
      <c r="M2416">
        <v>1</v>
      </c>
      <c r="O2416" s="30"/>
    </row>
    <row r="2417" spans="10:15" x14ac:dyDescent="0.25">
      <c r="J2417" t="s">
        <v>687</v>
      </c>
      <c r="K2417" s="22" t="s">
        <v>20</v>
      </c>
      <c r="L2417">
        <v>5</v>
      </c>
      <c r="M2417">
        <v>1</v>
      </c>
      <c r="O2417" s="30"/>
    </row>
    <row r="2418" spans="10:15" x14ac:dyDescent="0.25">
      <c r="J2418" t="s">
        <v>687</v>
      </c>
      <c r="K2418" s="22" t="s">
        <v>30</v>
      </c>
      <c r="L2418">
        <v>8</v>
      </c>
      <c r="M2418">
        <v>4</v>
      </c>
    </row>
    <row r="2419" spans="10:15" x14ac:dyDescent="0.25">
      <c r="J2419" t="s">
        <v>687</v>
      </c>
      <c r="K2419" s="22" t="s">
        <v>29</v>
      </c>
      <c r="L2419">
        <v>4</v>
      </c>
      <c r="M2419">
        <v>3</v>
      </c>
      <c r="O2419" s="31"/>
    </row>
    <row r="2420" spans="10:15" x14ac:dyDescent="0.25">
      <c r="J2420" t="s">
        <v>687</v>
      </c>
      <c r="K2420" s="22" t="s">
        <v>35</v>
      </c>
      <c r="L2420">
        <v>3</v>
      </c>
      <c r="M2420">
        <v>2</v>
      </c>
      <c r="O2420" s="31"/>
    </row>
    <row r="2421" spans="10:15" x14ac:dyDescent="0.25">
      <c r="J2421" t="s">
        <v>687</v>
      </c>
      <c r="K2421" s="22" t="s">
        <v>31</v>
      </c>
      <c r="L2421">
        <v>5</v>
      </c>
      <c r="M2421">
        <v>1</v>
      </c>
      <c r="O2421" s="30"/>
    </row>
    <row r="2422" spans="10:15" x14ac:dyDescent="0.25">
      <c r="J2422" t="s">
        <v>2053</v>
      </c>
      <c r="K2422" s="22" t="s">
        <v>24</v>
      </c>
      <c r="L2422">
        <v>1</v>
      </c>
    </row>
    <row r="2423" spans="10:15" x14ac:dyDescent="0.25">
      <c r="J2423" t="s">
        <v>2053</v>
      </c>
      <c r="K2423" s="22" t="s">
        <v>20</v>
      </c>
      <c r="L2423">
        <v>2</v>
      </c>
      <c r="M2423">
        <v>2</v>
      </c>
      <c r="O2423" s="31"/>
    </row>
    <row r="2424" spans="10:15" x14ac:dyDescent="0.25">
      <c r="J2424" t="s">
        <v>2053</v>
      </c>
      <c r="K2424" s="22" t="s">
        <v>30</v>
      </c>
      <c r="L2424">
        <v>4</v>
      </c>
      <c r="M2424">
        <v>3</v>
      </c>
      <c r="O2424" s="31"/>
    </row>
    <row r="2425" spans="10:15" x14ac:dyDescent="0.25">
      <c r="J2425" t="s">
        <v>2791</v>
      </c>
      <c r="K2425" s="22" t="s">
        <v>24</v>
      </c>
      <c r="L2425">
        <v>2</v>
      </c>
      <c r="M2425">
        <v>1</v>
      </c>
      <c r="O2425" s="31"/>
    </row>
    <row r="2426" spans="10:15" x14ac:dyDescent="0.25">
      <c r="J2426" t="s">
        <v>2791</v>
      </c>
      <c r="K2426" s="22" t="s">
        <v>30</v>
      </c>
      <c r="L2426">
        <v>2</v>
      </c>
      <c r="O2426" s="30"/>
    </row>
    <row r="2427" spans="10:15" x14ac:dyDescent="0.25">
      <c r="J2427" t="s">
        <v>2791</v>
      </c>
      <c r="K2427" s="22" t="s">
        <v>29</v>
      </c>
      <c r="L2427">
        <v>1</v>
      </c>
      <c r="M2427">
        <v>1</v>
      </c>
    </row>
    <row r="2428" spans="10:15" x14ac:dyDescent="0.25">
      <c r="J2428" t="s">
        <v>659</v>
      </c>
      <c r="K2428" s="22" t="s">
        <v>29</v>
      </c>
      <c r="L2428">
        <v>6</v>
      </c>
      <c r="M2428">
        <v>6</v>
      </c>
      <c r="O2428" s="31"/>
    </row>
    <row r="2429" spans="10:15" x14ac:dyDescent="0.25">
      <c r="J2429" t="s">
        <v>1883</v>
      </c>
      <c r="K2429" s="22" t="s">
        <v>24</v>
      </c>
      <c r="L2429">
        <v>2</v>
      </c>
      <c r="M2429">
        <v>1</v>
      </c>
      <c r="O2429" s="30"/>
    </row>
    <row r="2430" spans="10:15" x14ac:dyDescent="0.25">
      <c r="J2430" t="s">
        <v>1883</v>
      </c>
      <c r="K2430" s="22" t="s">
        <v>20</v>
      </c>
      <c r="L2430">
        <v>2</v>
      </c>
      <c r="M2430">
        <v>1</v>
      </c>
      <c r="O2430" s="31"/>
    </row>
    <row r="2431" spans="10:15" x14ac:dyDescent="0.25">
      <c r="J2431" t="s">
        <v>1883</v>
      </c>
      <c r="K2431" s="22" t="s">
        <v>29</v>
      </c>
      <c r="L2431">
        <v>6</v>
      </c>
      <c r="M2431">
        <v>5</v>
      </c>
      <c r="O2431" s="31"/>
    </row>
    <row r="2432" spans="10:15" x14ac:dyDescent="0.25">
      <c r="J2432" t="s">
        <v>1866</v>
      </c>
      <c r="K2432" s="22" t="s">
        <v>29</v>
      </c>
      <c r="L2432">
        <v>2</v>
      </c>
      <c r="M2432">
        <v>2</v>
      </c>
      <c r="O2432" s="31"/>
    </row>
    <row r="2433" spans="10:15" x14ac:dyDescent="0.25">
      <c r="J2433" t="s">
        <v>2708</v>
      </c>
      <c r="K2433" s="22" t="s">
        <v>30</v>
      </c>
      <c r="L2433">
        <v>1</v>
      </c>
    </row>
    <row r="2434" spans="10:15" x14ac:dyDescent="0.25">
      <c r="J2434" t="s">
        <v>2415</v>
      </c>
      <c r="K2434" s="22" t="s">
        <v>24</v>
      </c>
      <c r="L2434">
        <v>1</v>
      </c>
    </row>
    <row r="2435" spans="10:15" x14ac:dyDescent="0.25">
      <c r="J2435" t="s">
        <v>1002</v>
      </c>
      <c r="K2435" s="22" t="s">
        <v>30</v>
      </c>
      <c r="L2435">
        <v>7</v>
      </c>
      <c r="O2435" s="30"/>
    </row>
    <row r="2436" spans="10:15" x14ac:dyDescent="0.25">
      <c r="J2436" t="s">
        <v>1002</v>
      </c>
      <c r="K2436" s="22" t="s">
        <v>29</v>
      </c>
      <c r="L2436">
        <v>3</v>
      </c>
      <c r="M2436">
        <v>3</v>
      </c>
      <c r="O2436" s="31"/>
    </row>
    <row r="2437" spans="10:15" x14ac:dyDescent="0.25">
      <c r="J2437" t="s">
        <v>1893</v>
      </c>
      <c r="K2437" s="22" t="s">
        <v>24</v>
      </c>
      <c r="L2437">
        <v>3</v>
      </c>
      <c r="M2437">
        <v>3</v>
      </c>
      <c r="O2437" s="31"/>
    </row>
    <row r="2438" spans="10:15" x14ac:dyDescent="0.25">
      <c r="J2438" t="s">
        <v>1893</v>
      </c>
      <c r="K2438" s="22" t="s">
        <v>30</v>
      </c>
      <c r="L2438">
        <v>5</v>
      </c>
      <c r="M2438">
        <v>1</v>
      </c>
      <c r="O2438" s="30"/>
    </row>
    <row r="2439" spans="10:15" x14ac:dyDescent="0.25">
      <c r="J2439" t="s">
        <v>1788</v>
      </c>
      <c r="K2439" s="22" t="s">
        <v>24</v>
      </c>
      <c r="L2439">
        <v>2</v>
      </c>
      <c r="O2439" s="30"/>
    </row>
    <row r="2440" spans="10:15" x14ac:dyDescent="0.25">
      <c r="J2440" t="s">
        <v>1788</v>
      </c>
      <c r="K2440" s="22" t="s">
        <v>30</v>
      </c>
      <c r="L2440">
        <v>3</v>
      </c>
      <c r="M2440">
        <v>2</v>
      </c>
      <c r="O2440" s="31"/>
    </row>
    <row r="2441" spans="10:15" x14ac:dyDescent="0.25">
      <c r="J2441" t="s">
        <v>1788</v>
      </c>
      <c r="K2441" s="22" t="s">
        <v>29</v>
      </c>
      <c r="L2441">
        <v>2</v>
      </c>
      <c r="M2441">
        <v>1</v>
      </c>
    </row>
    <row r="2442" spans="10:15" x14ac:dyDescent="0.25">
      <c r="J2442" t="s">
        <v>1788</v>
      </c>
      <c r="K2442" s="22" t="s">
        <v>35</v>
      </c>
      <c r="L2442">
        <v>1</v>
      </c>
      <c r="O2442" s="30"/>
    </row>
    <row r="2443" spans="10:15" x14ac:dyDescent="0.25">
      <c r="J2443" t="s">
        <v>1788</v>
      </c>
      <c r="K2443" s="22" t="s">
        <v>31</v>
      </c>
      <c r="L2443">
        <v>2</v>
      </c>
      <c r="M2443">
        <v>1</v>
      </c>
      <c r="O2443" s="31"/>
    </row>
    <row r="2444" spans="10:15" x14ac:dyDescent="0.25">
      <c r="J2444" t="s">
        <v>441</v>
      </c>
      <c r="K2444" s="22" t="s">
        <v>30</v>
      </c>
      <c r="L2444">
        <v>2</v>
      </c>
      <c r="M2444">
        <v>2</v>
      </c>
    </row>
    <row r="2445" spans="10:15" x14ac:dyDescent="0.25">
      <c r="J2445" t="s">
        <v>737</v>
      </c>
      <c r="K2445" s="22" t="s">
        <v>24</v>
      </c>
      <c r="L2445">
        <v>3</v>
      </c>
      <c r="M2445">
        <v>2</v>
      </c>
      <c r="O2445" s="31"/>
    </row>
    <row r="2446" spans="10:15" x14ac:dyDescent="0.25">
      <c r="J2446" t="s">
        <v>737</v>
      </c>
      <c r="K2446" s="22" t="s">
        <v>20</v>
      </c>
      <c r="L2446">
        <v>1</v>
      </c>
      <c r="O2446" s="30"/>
    </row>
    <row r="2447" spans="10:15" x14ac:dyDescent="0.25">
      <c r="J2447" t="s">
        <v>737</v>
      </c>
      <c r="K2447" s="22" t="s">
        <v>30</v>
      </c>
      <c r="L2447">
        <v>2</v>
      </c>
      <c r="M2447">
        <v>1</v>
      </c>
    </row>
    <row r="2448" spans="10:15" x14ac:dyDescent="0.25">
      <c r="J2448" t="s">
        <v>737</v>
      </c>
      <c r="K2448" s="22" t="s">
        <v>29</v>
      </c>
      <c r="L2448">
        <v>4</v>
      </c>
      <c r="M2448">
        <v>3</v>
      </c>
      <c r="O2448" s="31"/>
    </row>
    <row r="2449" spans="10:15" x14ac:dyDescent="0.25">
      <c r="J2449" t="s">
        <v>737</v>
      </c>
      <c r="K2449" s="22" t="s">
        <v>22</v>
      </c>
      <c r="L2449">
        <v>4</v>
      </c>
      <c r="M2449">
        <v>2</v>
      </c>
      <c r="O2449" s="31"/>
    </row>
    <row r="2450" spans="10:15" x14ac:dyDescent="0.25">
      <c r="J2450" t="s">
        <v>737</v>
      </c>
      <c r="K2450" s="22" t="s">
        <v>31</v>
      </c>
      <c r="L2450">
        <v>2</v>
      </c>
      <c r="M2450">
        <v>1</v>
      </c>
      <c r="O2450" s="31"/>
    </row>
    <row r="2451" spans="10:15" x14ac:dyDescent="0.25">
      <c r="J2451" t="s">
        <v>1871</v>
      </c>
      <c r="K2451" s="22" t="s">
        <v>29</v>
      </c>
      <c r="L2451">
        <v>6</v>
      </c>
      <c r="M2451">
        <v>6</v>
      </c>
      <c r="O2451" s="31"/>
    </row>
    <row r="2452" spans="10:15" x14ac:dyDescent="0.25">
      <c r="J2452" t="s">
        <v>1837</v>
      </c>
      <c r="K2452" s="22" t="s">
        <v>20</v>
      </c>
      <c r="L2452">
        <v>8</v>
      </c>
      <c r="M2452">
        <v>8</v>
      </c>
      <c r="O2452" s="31"/>
    </row>
    <row r="2453" spans="10:15" x14ac:dyDescent="0.25">
      <c r="J2453" t="s">
        <v>2572</v>
      </c>
      <c r="K2453" s="22" t="s">
        <v>24</v>
      </c>
      <c r="L2453">
        <v>2</v>
      </c>
      <c r="M2453">
        <v>2</v>
      </c>
      <c r="O2453" s="31"/>
    </row>
    <row r="2454" spans="10:15" x14ac:dyDescent="0.25">
      <c r="J2454" t="s">
        <v>84</v>
      </c>
      <c r="K2454" s="22" t="s">
        <v>20</v>
      </c>
      <c r="L2454">
        <v>23</v>
      </c>
      <c r="M2454">
        <v>20</v>
      </c>
      <c r="O2454" s="31"/>
    </row>
    <row r="2455" spans="10:15" x14ac:dyDescent="0.25">
      <c r="J2455" t="s">
        <v>84</v>
      </c>
      <c r="K2455" s="22" t="s">
        <v>30</v>
      </c>
      <c r="L2455">
        <v>31</v>
      </c>
      <c r="M2455">
        <v>31</v>
      </c>
      <c r="O2455" s="31"/>
    </row>
    <row r="2456" spans="10:15" x14ac:dyDescent="0.25">
      <c r="J2456" t="s">
        <v>1398</v>
      </c>
      <c r="K2456" s="22" t="s">
        <v>24</v>
      </c>
      <c r="L2456">
        <v>1</v>
      </c>
      <c r="O2456" s="30"/>
    </row>
    <row r="2457" spans="10:15" x14ac:dyDescent="0.25">
      <c r="J2457" t="s">
        <v>1398</v>
      </c>
      <c r="K2457" s="22" t="s">
        <v>20</v>
      </c>
      <c r="L2457">
        <v>6</v>
      </c>
      <c r="M2457">
        <v>3</v>
      </c>
      <c r="O2457" s="30"/>
    </row>
    <row r="2458" spans="10:15" x14ac:dyDescent="0.25">
      <c r="J2458" t="s">
        <v>1398</v>
      </c>
      <c r="K2458" s="22" t="s">
        <v>30</v>
      </c>
      <c r="L2458">
        <v>1</v>
      </c>
      <c r="O2458" s="30"/>
    </row>
    <row r="2459" spans="10:15" x14ac:dyDescent="0.25">
      <c r="J2459" t="s">
        <v>1398</v>
      </c>
      <c r="K2459" s="22" t="s">
        <v>28</v>
      </c>
      <c r="L2459">
        <v>5</v>
      </c>
      <c r="M2459">
        <v>2</v>
      </c>
      <c r="O2459" s="30"/>
    </row>
    <row r="2460" spans="10:15" x14ac:dyDescent="0.25">
      <c r="J2460" t="s">
        <v>1398</v>
      </c>
      <c r="K2460" s="22" t="s">
        <v>35</v>
      </c>
      <c r="L2460">
        <v>16</v>
      </c>
      <c r="M2460">
        <v>7</v>
      </c>
      <c r="O2460" s="30"/>
    </row>
    <row r="2461" spans="10:15" x14ac:dyDescent="0.25">
      <c r="J2461" t="s">
        <v>1662</v>
      </c>
      <c r="K2461" s="22" t="s">
        <v>35</v>
      </c>
      <c r="L2461">
        <v>3</v>
      </c>
      <c r="M2461">
        <v>2</v>
      </c>
      <c r="O2461" s="30"/>
    </row>
    <row r="2462" spans="10:15" x14ac:dyDescent="0.25">
      <c r="J2462" t="s">
        <v>2183</v>
      </c>
      <c r="K2462" s="22" t="s">
        <v>24</v>
      </c>
      <c r="L2462">
        <v>3</v>
      </c>
      <c r="M2462">
        <v>2</v>
      </c>
      <c r="O2462" s="31"/>
    </row>
    <row r="2463" spans="10:15" x14ac:dyDescent="0.25">
      <c r="J2463" t="s">
        <v>2183</v>
      </c>
      <c r="K2463" s="22" t="s">
        <v>30</v>
      </c>
      <c r="L2463">
        <v>1</v>
      </c>
      <c r="M2463">
        <v>1</v>
      </c>
      <c r="O2463" s="31"/>
    </row>
    <row r="2464" spans="10:15" x14ac:dyDescent="0.25">
      <c r="J2464" t="s">
        <v>2183</v>
      </c>
      <c r="K2464" s="22" t="s">
        <v>28</v>
      </c>
      <c r="L2464">
        <v>3</v>
      </c>
      <c r="M2464">
        <v>2</v>
      </c>
      <c r="O2464" s="31"/>
    </row>
    <row r="2465" spans="10:15" x14ac:dyDescent="0.25">
      <c r="J2465" t="s">
        <v>2183</v>
      </c>
      <c r="K2465" s="22" t="s">
        <v>31</v>
      </c>
      <c r="L2465">
        <v>5</v>
      </c>
      <c r="M2465">
        <v>4</v>
      </c>
      <c r="O2465" s="31"/>
    </row>
    <row r="2466" spans="10:15" x14ac:dyDescent="0.25">
      <c r="J2466" t="s">
        <v>344</v>
      </c>
      <c r="K2466" s="22" t="s">
        <v>20</v>
      </c>
      <c r="L2466">
        <v>4</v>
      </c>
      <c r="M2466">
        <v>4</v>
      </c>
      <c r="O2466" s="31"/>
    </row>
    <row r="2467" spans="10:15" x14ac:dyDescent="0.25">
      <c r="J2467" t="s">
        <v>1995</v>
      </c>
      <c r="K2467" s="22" t="s">
        <v>20</v>
      </c>
      <c r="L2467">
        <v>5</v>
      </c>
      <c r="M2467">
        <v>5</v>
      </c>
      <c r="O2467" s="31"/>
    </row>
    <row r="2468" spans="10:15" x14ac:dyDescent="0.25">
      <c r="J2468" t="s">
        <v>607</v>
      </c>
      <c r="K2468" s="22" t="s">
        <v>20</v>
      </c>
      <c r="L2468">
        <v>6</v>
      </c>
      <c r="M2468">
        <v>6</v>
      </c>
      <c r="O2468" s="31"/>
    </row>
    <row r="2469" spans="10:15" x14ac:dyDescent="0.25">
      <c r="J2469" t="s">
        <v>1246</v>
      </c>
      <c r="K2469" s="22" t="s">
        <v>24</v>
      </c>
      <c r="L2469">
        <v>2</v>
      </c>
      <c r="M2469">
        <v>2</v>
      </c>
      <c r="O2469" s="31"/>
    </row>
    <row r="2470" spans="10:15" x14ac:dyDescent="0.25">
      <c r="J2470" t="s">
        <v>1991</v>
      </c>
      <c r="K2470" s="22" t="s">
        <v>24</v>
      </c>
      <c r="L2470">
        <v>8</v>
      </c>
      <c r="M2470">
        <v>5</v>
      </c>
      <c r="O2470" s="30"/>
    </row>
    <row r="2471" spans="10:15" x14ac:dyDescent="0.25">
      <c r="J2471" t="s">
        <v>1991</v>
      </c>
      <c r="K2471" s="22" t="s">
        <v>28</v>
      </c>
      <c r="L2471">
        <v>3</v>
      </c>
      <c r="M2471">
        <v>3</v>
      </c>
      <c r="O2471" s="31"/>
    </row>
    <row r="2472" spans="10:15" x14ac:dyDescent="0.25">
      <c r="J2472" t="s">
        <v>1991</v>
      </c>
      <c r="K2472" s="22" t="s">
        <v>31</v>
      </c>
      <c r="L2472">
        <v>6</v>
      </c>
      <c r="M2472">
        <v>5</v>
      </c>
      <c r="O2472" s="31"/>
    </row>
    <row r="2473" spans="10:15" x14ac:dyDescent="0.25">
      <c r="J2473" t="s">
        <v>621</v>
      </c>
      <c r="K2473" s="22" t="s">
        <v>20</v>
      </c>
      <c r="L2473">
        <v>4</v>
      </c>
      <c r="M2473">
        <v>4</v>
      </c>
      <c r="O2473" s="31"/>
    </row>
    <row r="2474" spans="10:15" x14ac:dyDescent="0.25">
      <c r="J2474" t="s">
        <v>510</v>
      </c>
      <c r="K2474" s="22" t="s">
        <v>20</v>
      </c>
      <c r="L2474">
        <v>1</v>
      </c>
      <c r="M2474">
        <v>1</v>
      </c>
    </row>
    <row r="2475" spans="10:15" x14ac:dyDescent="0.25">
      <c r="J2475" t="s">
        <v>3098</v>
      </c>
      <c r="K2475" s="22" t="s">
        <v>30</v>
      </c>
      <c r="L2475">
        <v>1</v>
      </c>
      <c r="O2475" s="30"/>
    </row>
    <row r="2476" spans="10:15" x14ac:dyDescent="0.25">
      <c r="J2476" t="s">
        <v>1358</v>
      </c>
      <c r="K2476" s="22" t="s">
        <v>24</v>
      </c>
      <c r="L2476">
        <v>4</v>
      </c>
      <c r="M2476">
        <v>4</v>
      </c>
      <c r="O2476" s="31"/>
    </row>
    <row r="2477" spans="10:15" x14ac:dyDescent="0.25">
      <c r="J2477" t="s">
        <v>1408</v>
      </c>
      <c r="K2477" s="22" t="s">
        <v>30</v>
      </c>
      <c r="L2477">
        <v>6</v>
      </c>
      <c r="M2477">
        <v>6</v>
      </c>
      <c r="O2477" s="31"/>
    </row>
    <row r="2478" spans="10:15" x14ac:dyDescent="0.25">
      <c r="J2478" t="s">
        <v>1097</v>
      </c>
      <c r="K2478" s="22" t="s">
        <v>31</v>
      </c>
      <c r="L2478">
        <v>6</v>
      </c>
      <c r="M2478">
        <v>6</v>
      </c>
      <c r="O2478" s="31"/>
    </row>
    <row r="2479" spans="10:15" x14ac:dyDescent="0.25">
      <c r="J2479" t="s">
        <v>347</v>
      </c>
      <c r="K2479" s="22" t="s">
        <v>20</v>
      </c>
      <c r="L2479">
        <v>2</v>
      </c>
    </row>
    <row r="2480" spans="10:15" x14ac:dyDescent="0.25">
      <c r="J2480" t="s">
        <v>347</v>
      </c>
      <c r="K2480" s="22" t="s">
        <v>30</v>
      </c>
      <c r="L2480">
        <v>3</v>
      </c>
      <c r="M2480">
        <v>3</v>
      </c>
      <c r="O2480" s="31"/>
    </row>
    <row r="2481" spans="10:15" x14ac:dyDescent="0.25">
      <c r="J2481" t="s">
        <v>2836</v>
      </c>
      <c r="K2481" s="22" t="s">
        <v>30</v>
      </c>
      <c r="L2481">
        <v>1</v>
      </c>
      <c r="M2481">
        <v>1</v>
      </c>
    </row>
    <row r="2482" spans="10:15" x14ac:dyDescent="0.25">
      <c r="J2482" t="s">
        <v>1468</v>
      </c>
      <c r="K2482" s="22" t="s">
        <v>30</v>
      </c>
      <c r="L2482">
        <v>6</v>
      </c>
      <c r="M2482">
        <v>6</v>
      </c>
      <c r="O2482" s="31"/>
    </row>
    <row r="2483" spans="10:15" x14ac:dyDescent="0.25">
      <c r="J2483" t="s">
        <v>2551</v>
      </c>
      <c r="K2483" s="22" t="s">
        <v>24</v>
      </c>
      <c r="L2483">
        <v>1</v>
      </c>
    </row>
    <row r="2484" spans="10:15" x14ac:dyDescent="0.25">
      <c r="J2484" t="s">
        <v>2551</v>
      </c>
      <c r="K2484" s="22" t="s">
        <v>22</v>
      </c>
      <c r="L2484">
        <v>1</v>
      </c>
    </row>
    <row r="2485" spans="10:15" x14ac:dyDescent="0.25">
      <c r="J2485" t="s">
        <v>539</v>
      </c>
      <c r="K2485" s="22" t="s">
        <v>24</v>
      </c>
      <c r="L2485">
        <v>1</v>
      </c>
      <c r="M2485">
        <v>1</v>
      </c>
    </row>
    <row r="2486" spans="10:15" x14ac:dyDescent="0.25">
      <c r="J2486" t="s">
        <v>2337</v>
      </c>
      <c r="K2486" s="22" t="s">
        <v>30</v>
      </c>
      <c r="L2486">
        <v>4</v>
      </c>
      <c r="M2486">
        <v>4</v>
      </c>
      <c r="O2486" s="31"/>
    </row>
    <row r="2487" spans="10:15" x14ac:dyDescent="0.25">
      <c r="J2487" t="s">
        <v>1530</v>
      </c>
      <c r="K2487" s="22" t="s">
        <v>24</v>
      </c>
      <c r="L2487">
        <v>5</v>
      </c>
      <c r="M2487">
        <v>5</v>
      </c>
    </row>
    <row r="2488" spans="10:15" x14ac:dyDescent="0.25">
      <c r="J2488" t="s">
        <v>485</v>
      </c>
      <c r="K2488" s="22" t="s">
        <v>24</v>
      </c>
      <c r="L2488">
        <v>3</v>
      </c>
      <c r="M2488">
        <v>1</v>
      </c>
      <c r="O2488" s="30"/>
    </row>
    <row r="2489" spans="10:15" x14ac:dyDescent="0.25">
      <c r="J2489" t="s">
        <v>485</v>
      </c>
      <c r="K2489" s="22" t="s">
        <v>20</v>
      </c>
      <c r="L2489">
        <v>2</v>
      </c>
      <c r="M2489">
        <v>2</v>
      </c>
      <c r="O2489" s="31"/>
    </row>
    <row r="2490" spans="10:15" x14ac:dyDescent="0.25">
      <c r="J2490" t="s">
        <v>485</v>
      </c>
      <c r="K2490" s="22" t="s">
        <v>30</v>
      </c>
      <c r="L2490">
        <v>4</v>
      </c>
      <c r="M2490">
        <v>2</v>
      </c>
      <c r="O2490" s="30"/>
    </row>
    <row r="2491" spans="10:15" x14ac:dyDescent="0.25">
      <c r="J2491" t="s">
        <v>485</v>
      </c>
      <c r="K2491" s="22" t="s">
        <v>35</v>
      </c>
      <c r="L2491">
        <v>8</v>
      </c>
      <c r="M2491">
        <v>6</v>
      </c>
      <c r="O2491" s="31"/>
    </row>
    <row r="2492" spans="10:15" x14ac:dyDescent="0.25">
      <c r="J2492" t="s">
        <v>139</v>
      </c>
      <c r="K2492" s="22" t="s">
        <v>24</v>
      </c>
      <c r="L2492">
        <v>5</v>
      </c>
      <c r="M2492">
        <v>5</v>
      </c>
      <c r="O2492" s="31"/>
    </row>
    <row r="2493" spans="10:15" x14ac:dyDescent="0.25">
      <c r="J2493" t="s">
        <v>139</v>
      </c>
      <c r="K2493" s="22" t="s">
        <v>22</v>
      </c>
      <c r="L2493">
        <v>7</v>
      </c>
      <c r="M2493">
        <v>6</v>
      </c>
      <c r="O2493" s="31"/>
    </row>
    <row r="2494" spans="10:15" x14ac:dyDescent="0.25">
      <c r="J2494" t="s">
        <v>1065</v>
      </c>
      <c r="K2494" s="22" t="s">
        <v>35</v>
      </c>
      <c r="L2494">
        <v>2</v>
      </c>
      <c r="M2494">
        <v>1</v>
      </c>
      <c r="O2494" s="30"/>
    </row>
    <row r="2495" spans="10:15" x14ac:dyDescent="0.25">
      <c r="J2495" t="s">
        <v>619</v>
      </c>
      <c r="K2495" s="22" t="s">
        <v>24</v>
      </c>
      <c r="L2495">
        <v>3</v>
      </c>
      <c r="M2495">
        <v>2</v>
      </c>
    </row>
    <row r="2496" spans="10:15" x14ac:dyDescent="0.25">
      <c r="J2496" t="s">
        <v>619</v>
      </c>
      <c r="K2496" s="22" t="s">
        <v>22</v>
      </c>
      <c r="L2496">
        <v>2</v>
      </c>
      <c r="M2496">
        <v>1</v>
      </c>
      <c r="O2496" s="30"/>
    </row>
    <row r="2497" spans="10:15" x14ac:dyDescent="0.25">
      <c r="J2497" t="s">
        <v>3374</v>
      </c>
      <c r="K2497" s="22" t="s">
        <v>30</v>
      </c>
      <c r="L2497">
        <v>1</v>
      </c>
      <c r="O2497" s="30"/>
    </row>
    <row r="2498" spans="10:15" x14ac:dyDescent="0.25">
      <c r="J2498" t="s">
        <v>812</v>
      </c>
      <c r="K2498" s="22" t="s">
        <v>20</v>
      </c>
      <c r="L2498">
        <v>5</v>
      </c>
      <c r="M2498">
        <v>5</v>
      </c>
    </row>
    <row r="2499" spans="10:15" x14ac:dyDescent="0.25">
      <c r="J2499" t="s">
        <v>3323</v>
      </c>
      <c r="K2499" s="22" t="s">
        <v>24</v>
      </c>
      <c r="L2499">
        <v>2</v>
      </c>
      <c r="M2499">
        <v>2</v>
      </c>
      <c r="O2499" s="31"/>
    </row>
    <row r="2500" spans="10:15" x14ac:dyDescent="0.25">
      <c r="J2500" t="s">
        <v>2939</v>
      </c>
      <c r="K2500" s="22" t="s">
        <v>30</v>
      </c>
      <c r="L2500">
        <v>1</v>
      </c>
      <c r="M2500">
        <v>1</v>
      </c>
    </row>
    <row r="2501" spans="10:15" x14ac:dyDescent="0.25">
      <c r="J2501" t="s">
        <v>1790</v>
      </c>
      <c r="K2501" s="22" t="s">
        <v>24</v>
      </c>
      <c r="L2501">
        <v>1</v>
      </c>
    </row>
    <row r="2502" spans="10:15" x14ac:dyDescent="0.25">
      <c r="J2502" t="s">
        <v>1790</v>
      </c>
      <c r="K2502" s="22" t="s">
        <v>20</v>
      </c>
      <c r="L2502">
        <v>1</v>
      </c>
    </row>
    <row r="2503" spans="10:15" x14ac:dyDescent="0.25">
      <c r="J2503" t="s">
        <v>1790</v>
      </c>
      <c r="K2503" s="22" t="s">
        <v>30</v>
      </c>
      <c r="L2503">
        <v>2</v>
      </c>
      <c r="O2503" s="30"/>
    </row>
    <row r="2504" spans="10:15" x14ac:dyDescent="0.25">
      <c r="J2504" t="s">
        <v>1790</v>
      </c>
      <c r="K2504" s="22" t="s">
        <v>31</v>
      </c>
      <c r="L2504">
        <v>2</v>
      </c>
      <c r="M2504">
        <v>1</v>
      </c>
      <c r="O2504" s="30"/>
    </row>
    <row r="2505" spans="10:15" x14ac:dyDescent="0.25">
      <c r="J2505" t="s">
        <v>802</v>
      </c>
      <c r="K2505" s="22" t="s">
        <v>20</v>
      </c>
      <c r="L2505">
        <v>1</v>
      </c>
      <c r="M2505">
        <v>1</v>
      </c>
    </row>
    <row r="2506" spans="10:15" x14ac:dyDescent="0.25">
      <c r="J2506" t="s">
        <v>177</v>
      </c>
      <c r="K2506" s="22" t="s">
        <v>24</v>
      </c>
      <c r="L2506">
        <v>1</v>
      </c>
      <c r="O2506" s="30"/>
    </row>
    <row r="2507" spans="10:15" x14ac:dyDescent="0.25">
      <c r="J2507" t="s">
        <v>177</v>
      </c>
      <c r="K2507" s="22" t="s">
        <v>20</v>
      </c>
      <c r="L2507">
        <v>1</v>
      </c>
      <c r="O2507" s="30"/>
    </row>
    <row r="2508" spans="10:15" x14ac:dyDescent="0.25">
      <c r="J2508" t="s">
        <v>177</v>
      </c>
      <c r="K2508" s="22" t="s">
        <v>28</v>
      </c>
      <c r="L2508">
        <v>3</v>
      </c>
      <c r="M2508">
        <v>2</v>
      </c>
      <c r="O2508" s="30"/>
    </row>
    <row r="2509" spans="10:15" x14ac:dyDescent="0.25">
      <c r="J2509" t="s">
        <v>177</v>
      </c>
      <c r="K2509" s="22" t="s">
        <v>22</v>
      </c>
      <c r="L2509">
        <v>4</v>
      </c>
      <c r="M2509">
        <v>1</v>
      </c>
    </row>
    <row r="2510" spans="10:15" x14ac:dyDescent="0.25">
      <c r="J2510" t="s">
        <v>273</v>
      </c>
      <c r="K2510" s="22" t="s">
        <v>24</v>
      </c>
      <c r="L2510">
        <v>3</v>
      </c>
      <c r="O2510" s="30"/>
    </row>
    <row r="2511" spans="10:15" x14ac:dyDescent="0.25">
      <c r="J2511" t="s">
        <v>273</v>
      </c>
      <c r="K2511" s="22" t="s">
        <v>20</v>
      </c>
      <c r="L2511">
        <v>3</v>
      </c>
      <c r="M2511">
        <v>3</v>
      </c>
      <c r="O2511" s="31"/>
    </row>
    <row r="2512" spans="10:15" x14ac:dyDescent="0.25">
      <c r="J2512" t="s">
        <v>273</v>
      </c>
      <c r="K2512" s="22" t="s">
        <v>30</v>
      </c>
      <c r="L2512">
        <v>7</v>
      </c>
      <c r="M2512">
        <v>6</v>
      </c>
      <c r="O2512" s="31"/>
    </row>
    <row r="2513" spans="10:15" x14ac:dyDescent="0.25">
      <c r="J2513" t="s">
        <v>273</v>
      </c>
      <c r="K2513" s="22" t="s">
        <v>28</v>
      </c>
      <c r="L2513">
        <v>1</v>
      </c>
      <c r="O2513" s="30"/>
    </row>
    <row r="2514" spans="10:15" x14ac:dyDescent="0.25">
      <c r="J2514" t="s">
        <v>273</v>
      </c>
      <c r="K2514" s="22" t="s">
        <v>35</v>
      </c>
      <c r="L2514">
        <v>1</v>
      </c>
      <c r="O2514" s="30"/>
    </row>
    <row r="2515" spans="10:15" x14ac:dyDescent="0.25">
      <c r="J2515" t="s">
        <v>273</v>
      </c>
      <c r="K2515" s="22" t="s">
        <v>31</v>
      </c>
      <c r="L2515">
        <v>1</v>
      </c>
      <c r="O2515" s="30"/>
    </row>
    <row r="2516" spans="10:15" x14ac:dyDescent="0.25">
      <c r="J2516" t="s">
        <v>1777</v>
      </c>
      <c r="K2516" s="22" t="s">
        <v>30</v>
      </c>
      <c r="L2516">
        <v>2</v>
      </c>
      <c r="M2516">
        <v>2</v>
      </c>
    </row>
    <row r="2517" spans="10:15" x14ac:dyDescent="0.25">
      <c r="J2517" t="s">
        <v>518</v>
      </c>
      <c r="K2517" s="22" t="s">
        <v>20</v>
      </c>
      <c r="L2517">
        <v>1</v>
      </c>
      <c r="M2517">
        <v>1</v>
      </c>
    </row>
    <row r="2518" spans="10:15" x14ac:dyDescent="0.25">
      <c r="J2518" t="s">
        <v>518</v>
      </c>
      <c r="K2518" s="22" t="s">
        <v>30</v>
      </c>
      <c r="L2518">
        <v>7</v>
      </c>
      <c r="M2518">
        <v>3</v>
      </c>
      <c r="O2518" s="30"/>
    </row>
    <row r="2519" spans="10:15" x14ac:dyDescent="0.25">
      <c r="J2519" t="s">
        <v>518</v>
      </c>
      <c r="K2519" s="22" t="s">
        <v>28</v>
      </c>
      <c r="L2519">
        <v>4</v>
      </c>
      <c r="O2519" s="30"/>
    </row>
    <row r="2520" spans="10:15" x14ac:dyDescent="0.25">
      <c r="J2520" t="s">
        <v>518</v>
      </c>
      <c r="K2520" s="22" t="s">
        <v>22</v>
      </c>
      <c r="L2520">
        <v>4</v>
      </c>
      <c r="O2520" s="30"/>
    </row>
    <row r="2521" spans="10:15" x14ac:dyDescent="0.25">
      <c r="J2521" t="s">
        <v>1195</v>
      </c>
      <c r="K2521" s="22" t="s">
        <v>22</v>
      </c>
      <c r="L2521">
        <v>8</v>
      </c>
      <c r="M2521">
        <v>8</v>
      </c>
      <c r="O2521" s="31"/>
    </row>
    <row r="2522" spans="10:15" x14ac:dyDescent="0.25">
      <c r="J2522" t="s">
        <v>1198</v>
      </c>
      <c r="K2522" s="22" t="s">
        <v>31</v>
      </c>
      <c r="L2522">
        <v>4</v>
      </c>
      <c r="M2522">
        <v>4</v>
      </c>
    </row>
    <row r="2523" spans="10:15" x14ac:dyDescent="0.25">
      <c r="J2523" t="s">
        <v>829</v>
      </c>
      <c r="K2523" s="22" t="s">
        <v>24</v>
      </c>
      <c r="L2523">
        <v>1</v>
      </c>
    </row>
    <row r="2524" spans="10:15" x14ac:dyDescent="0.25">
      <c r="J2524" t="s">
        <v>829</v>
      </c>
      <c r="K2524" s="22" t="s">
        <v>20</v>
      </c>
      <c r="L2524">
        <v>4</v>
      </c>
      <c r="O2524" s="30"/>
    </row>
    <row r="2525" spans="10:15" x14ac:dyDescent="0.25">
      <c r="J2525" t="s">
        <v>829</v>
      </c>
      <c r="K2525" s="22" t="s">
        <v>30</v>
      </c>
      <c r="L2525">
        <v>6</v>
      </c>
      <c r="M2525">
        <v>2</v>
      </c>
      <c r="O2525" s="31"/>
    </row>
    <row r="2526" spans="10:15" x14ac:dyDescent="0.25">
      <c r="J2526" t="s">
        <v>829</v>
      </c>
      <c r="K2526" s="22" t="s">
        <v>28</v>
      </c>
      <c r="L2526">
        <v>1</v>
      </c>
      <c r="O2526" s="30"/>
    </row>
    <row r="2527" spans="10:15" x14ac:dyDescent="0.25">
      <c r="J2527" t="s">
        <v>3231</v>
      </c>
      <c r="K2527" s="22" t="s">
        <v>24</v>
      </c>
      <c r="L2527">
        <v>1</v>
      </c>
      <c r="O2527" s="30"/>
    </row>
    <row r="2528" spans="10:15" x14ac:dyDescent="0.25">
      <c r="J2528" t="s">
        <v>3231</v>
      </c>
      <c r="K2528" s="22" t="s">
        <v>20</v>
      </c>
      <c r="L2528">
        <v>1</v>
      </c>
      <c r="O2528" s="30"/>
    </row>
    <row r="2529" spans="10:15" x14ac:dyDescent="0.25">
      <c r="J2529" t="s">
        <v>3231</v>
      </c>
      <c r="K2529" s="22" t="s">
        <v>30</v>
      </c>
      <c r="L2529">
        <v>1</v>
      </c>
      <c r="O2529" s="30"/>
    </row>
    <row r="2530" spans="10:15" x14ac:dyDescent="0.25">
      <c r="J2530" t="s">
        <v>3231</v>
      </c>
      <c r="K2530" s="22" t="s">
        <v>35</v>
      </c>
      <c r="L2530">
        <v>1</v>
      </c>
      <c r="O2530" s="30"/>
    </row>
    <row r="2531" spans="10:15" x14ac:dyDescent="0.25">
      <c r="J2531" t="s">
        <v>3231</v>
      </c>
      <c r="K2531" s="22" t="s">
        <v>22</v>
      </c>
      <c r="L2531">
        <v>7</v>
      </c>
      <c r="M2531">
        <v>1</v>
      </c>
      <c r="O2531" s="30"/>
    </row>
    <row r="2532" spans="10:15" x14ac:dyDescent="0.25">
      <c r="J2532" t="s">
        <v>3207</v>
      </c>
      <c r="K2532" s="22" t="s">
        <v>30</v>
      </c>
      <c r="L2532">
        <v>1</v>
      </c>
      <c r="O2532" s="30"/>
    </row>
    <row r="2533" spans="10:15" x14ac:dyDescent="0.25">
      <c r="J2533" t="s">
        <v>3207</v>
      </c>
      <c r="K2533" s="22" t="s">
        <v>22</v>
      </c>
      <c r="L2533">
        <v>1</v>
      </c>
      <c r="O2533" s="30"/>
    </row>
    <row r="2534" spans="10:15" x14ac:dyDescent="0.25">
      <c r="J2534" t="s">
        <v>1249</v>
      </c>
      <c r="K2534" s="22" t="s">
        <v>24</v>
      </c>
      <c r="L2534">
        <v>1</v>
      </c>
      <c r="O2534" s="30"/>
    </row>
    <row r="2535" spans="10:15" x14ac:dyDescent="0.25">
      <c r="J2535" t="s">
        <v>1249</v>
      </c>
      <c r="K2535" s="22" t="s">
        <v>20</v>
      </c>
      <c r="L2535">
        <v>3</v>
      </c>
      <c r="M2535">
        <v>2</v>
      </c>
    </row>
    <row r="2536" spans="10:15" x14ac:dyDescent="0.25">
      <c r="J2536" t="s">
        <v>1249</v>
      </c>
      <c r="K2536" s="22" t="s">
        <v>30</v>
      </c>
      <c r="L2536">
        <v>1</v>
      </c>
      <c r="O2536" s="30"/>
    </row>
    <row r="2537" spans="10:15" x14ac:dyDescent="0.25">
      <c r="J2537" t="s">
        <v>2151</v>
      </c>
      <c r="K2537" s="22" t="s">
        <v>30</v>
      </c>
      <c r="L2537">
        <v>1</v>
      </c>
      <c r="O2537" s="30"/>
    </row>
    <row r="2538" spans="10:15" x14ac:dyDescent="0.25">
      <c r="J2538" t="s">
        <v>2151</v>
      </c>
      <c r="K2538" s="22" t="s">
        <v>22</v>
      </c>
      <c r="L2538">
        <v>2</v>
      </c>
      <c r="M2538">
        <v>1</v>
      </c>
      <c r="O2538" s="30"/>
    </row>
    <row r="2539" spans="10:15" x14ac:dyDescent="0.25">
      <c r="J2539" t="s">
        <v>1650</v>
      </c>
      <c r="K2539" s="22" t="s">
        <v>24</v>
      </c>
      <c r="L2539">
        <v>1</v>
      </c>
    </row>
    <row r="2540" spans="10:15" x14ac:dyDescent="0.25">
      <c r="J2540" t="s">
        <v>1650</v>
      </c>
      <c r="K2540" s="22" t="s">
        <v>30</v>
      </c>
      <c r="L2540">
        <v>1</v>
      </c>
      <c r="O2540" s="30"/>
    </row>
    <row r="2541" spans="10:15" x14ac:dyDescent="0.25">
      <c r="J2541" t="s">
        <v>1650</v>
      </c>
      <c r="K2541" s="22" t="s">
        <v>22</v>
      </c>
      <c r="L2541">
        <v>2</v>
      </c>
      <c r="M2541">
        <v>1</v>
      </c>
      <c r="O2541" s="30"/>
    </row>
    <row r="2542" spans="10:15" x14ac:dyDescent="0.25">
      <c r="J2542" t="s">
        <v>3173</v>
      </c>
      <c r="K2542" s="22" t="s">
        <v>24</v>
      </c>
      <c r="L2542">
        <v>1</v>
      </c>
      <c r="O2542" s="30"/>
    </row>
    <row r="2543" spans="10:15" x14ac:dyDescent="0.25">
      <c r="J2543" t="s">
        <v>3173</v>
      </c>
      <c r="K2543" s="22" t="s">
        <v>31</v>
      </c>
      <c r="L2543">
        <v>1</v>
      </c>
      <c r="M2543">
        <v>1</v>
      </c>
      <c r="O2543" s="31"/>
    </row>
    <row r="2544" spans="10:15" x14ac:dyDescent="0.25">
      <c r="J2544" t="s">
        <v>3315</v>
      </c>
      <c r="K2544" s="22" t="s">
        <v>24</v>
      </c>
      <c r="L2544">
        <v>1</v>
      </c>
      <c r="O2544" s="30"/>
    </row>
    <row r="2545" spans="10:15" x14ac:dyDescent="0.25">
      <c r="J2545" t="s">
        <v>3315</v>
      </c>
      <c r="K2545" s="22" t="s">
        <v>30</v>
      </c>
      <c r="L2545">
        <v>1</v>
      </c>
      <c r="O2545" s="30"/>
    </row>
    <row r="2546" spans="10:15" x14ac:dyDescent="0.25">
      <c r="J2546" t="s">
        <v>275</v>
      </c>
      <c r="K2546" s="22" t="s">
        <v>24</v>
      </c>
      <c r="L2546">
        <v>3</v>
      </c>
      <c r="M2546">
        <v>1</v>
      </c>
      <c r="O2546" s="30"/>
    </row>
    <row r="2547" spans="10:15" x14ac:dyDescent="0.25">
      <c r="J2547" t="s">
        <v>275</v>
      </c>
      <c r="K2547" s="22" t="s">
        <v>35</v>
      </c>
      <c r="L2547">
        <v>2</v>
      </c>
      <c r="M2547">
        <v>2</v>
      </c>
      <c r="O2547" s="31"/>
    </row>
    <row r="2548" spans="10:15" x14ac:dyDescent="0.25">
      <c r="J2548" t="s">
        <v>2424</v>
      </c>
      <c r="K2548" s="22" t="s">
        <v>24</v>
      </c>
      <c r="L2548">
        <v>1</v>
      </c>
    </row>
    <row r="2549" spans="10:15" x14ac:dyDescent="0.25">
      <c r="J2549" t="s">
        <v>2424</v>
      </c>
      <c r="K2549" s="22" t="s">
        <v>30</v>
      </c>
      <c r="L2549">
        <v>1</v>
      </c>
      <c r="M2549">
        <v>1</v>
      </c>
    </row>
    <row r="2550" spans="10:15" x14ac:dyDescent="0.25">
      <c r="J2550" t="s">
        <v>127</v>
      </c>
      <c r="K2550" s="22" t="s">
        <v>20</v>
      </c>
      <c r="L2550">
        <v>4</v>
      </c>
      <c r="M2550">
        <v>2</v>
      </c>
      <c r="O2550" s="30"/>
    </row>
    <row r="2551" spans="10:15" x14ac:dyDescent="0.25">
      <c r="J2551" t="s">
        <v>127</v>
      </c>
      <c r="K2551" s="22" t="s">
        <v>29</v>
      </c>
      <c r="L2551">
        <v>15</v>
      </c>
      <c r="M2551">
        <v>14</v>
      </c>
      <c r="O2551" s="31"/>
    </row>
    <row r="2552" spans="10:15" x14ac:dyDescent="0.25">
      <c r="J2552" t="s">
        <v>127</v>
      </c>
      <c r="K2552" s="22" t="s">
        <v>28</v>
      </c>
      <c r="L2552">
        <v>2</v>
      </c>
      <c r="M2552">
        <v>1</v>
      </c>
      <c r="O2552" s="30"/>
    </row>
    <row r="2553" spans="10:15" x14ac:dyDescent="0.25">
      <c r="J2553" t="s">
        <v>127</v>
      </c>
      <c r="K2553" s="22" t="s">
        <v>35</v>
      </c>
      <c r="L2553">
        <v>2</v>
      </c>
      <c r="M2553">
        <v>1</v>
      </c>
      <c r="O2553" s="30"/>
    </row>
    <row r="2554" spans="10:15" x14ac:dyDescent="0.25">
      <c r="J2554" t="s">
        <v>127</v>
      </c>
      <c r="K2554" s="22" t="s">
        <v>31</v>
      </c>
      <c r="L2554">
        <v>26</v>
      </c>
      <c r="M2554">
        <v>15</v>
      </c>
      <c r="O2554" s="30"/>
    </row>
    <row r="2555" spans="10:15" x14ac:dyDescent="0.25">
      <c r="J2555" t="s">
        <v>460</v>
      </c>
      <c r="K2555" s="22" t="s">
        <v>24</v>
      </c>
      <c r="L2555">
        <v>5</v>
      </c>
      <c r="M2555">
        <v>4</v>
      </c>
      <c r="O2555" s="31"/>
    </row>
    <row r="2556" spans="10:15" x14ac:dyDescent="0.25">
      <c r="J2556" t="s">
        <v>460</v>
      </c>
      <c r="K2556" s="22" t="s">
        <v>20</v>
      </c>
      <c r="L2556">
        <v>8</v>
      </c>
      <c r="M2556">
        <v>4</v>
      </c>
    </row>
    <row r="2557" spans="10:15" x14ac:dyDescent="0.25">
      <c r="J2557" t="s">
        <v>460</v>
      </c>
      <c r="K2557" s="22" t="s">
        <v>29</v>
      </c>
      <c r="L2557">
        <v>1</v>
      </c>
      <c r="M2557">
        <v>1</v>
      </c>
      <c r="O2557" s="31"/>
    </row>
    <row r="2558" spans="10:15" x14ac:dyDescent="0.25">
      <c r="J2558" t="s">
        <v>460</v>
      </c>
      <c r="K2558" s="22" t="s">
        <v>28</v>
      </c>
      <c r="L2558">
        <v>2</v>
      </c>
      <c r="O2558" s="30"/>
    </row>
    <row r="2559" spans="10:15" x14ac:dyDescent="0.25">
      <c r="J2559" t="s">
        <v>460</v>
      </c>
      <c r="K2559" s="22" t="s">
        <v>35</v>
      </c>
      <c r="L2559">
        <v>6</v>
      </c>
      <c r="M2559">
        <v>5</v>
      </c>
      <c r="O2559" s="31"/>
    </row>
    <row r="2560" spans="10:15" x14ac:dyDescent="0.25">
      <c r="J2560" t="s">
        <v>460</v>
      </c>
      <c r="K2560" s="22" t="s">
        <v>22</v>
      </c>
      <c r="L2560">
        <v>3</v>
      </c>
      <c r="O2560" s="30"/>
    </row>
    <row r="2561" spans="10:15" x14ac:dyDescent="0.25">
      <c r="J2561" t="s">
        <v>2524</v>
      </c>
      <c r="K2561" s="22" t="s">
        <v>35</v>
      </c>
      <c r="L2561">
        <v>4</v>
      </c>
      <c r="M2561">
        <v>3</v>
      </c>
      <c r="O2561" s="30"/>
    </row>
    <row r="2562" spans="10:15" x14ac:dyDescent="0.25">
      <c r="J2562" t="s">
        <v>3138</v>
      </c>
      <c r="K2562" s="22" t="s">
        <v>29</v>
      </c>
      <c r="L2562">
        <v>1</v>
      </c>
      <c r="O2562" s="30"/>
    </row>
    <row r="2563" spans="10:15" x14ac:dyDescent="0.25">
      <c r="J2563" t="s">
        <v>3138</v>
      </c>
      <c r="K2563" s="22" t="s">
        <v>28</v>
      </c>
      <c r="L2563">
        <v>2</v>
      </c>
      <c r="M2563">
        <v>1</v>
      </c>
      <c r="O2563" s="31"/>
    </row>
    <row r="2564" spans="10:15" x14ac:dyDescent="0.25">
      <c r="J2564" t="s">
        <v>3138</v>
      </c>
      <c r="K2564" s="22" t="s">
        <v>35</v>
      </c>
      <c r="L2564">
        <v>2</v>
      </c>
      <c r="M2564">
        <v>1</v>
      </c>
      <c r="O2564" s="30"/>
    </row>
    <row r="2565" spans="10:15" x14ac:dyDescent="0.25">
      <c r="J2565" t="s">
        <v>3138</v>
      </c>
      <c r="K2565" s="22" t="s">
        <v>31</v>
      </c>
      <c r="L2565">
        <v>1</v>
      </c>
      <c r="O2565" s="30"/>
    </row>
    <row r="2566" spans="10:15" x14ac:dyDescent="0.25">
      <c r="J2566" t="s">
        <v>2266</v>
      </c>
      <c r="K2566" s="22" t="s">
        <v>29</v>
      </c>
      <c r="L2566">
        <v>3</v>
      </c>
      <c r="M2566">
        <v>3</v>
      </c>
      <c r="O2566" s="31"/>
    </row>
    <row r="2567" spans="10:15" x14ac:dyDescent="0.25">
      <c r="J2567" t="s">
        <v>2266</v>
      </c>
      <c r="K2567" s="22" t="s">
        <v>35</v>
      </c>
      <c r="L2567">
        <v>2</v>
      </c>
    </row>
    <row r="2568" spans="10:15" x14ac:dyDescent="0.25">
      <c r="J2568" t="s">
        <v>1826</v>
      </c>
      <c r="K2568" s="22" t="s">
        <v>24</v>
      </c>
      <c r="L2568">
        <v>3</v>
      </c>
      <c r="M2568">
        <v>3</v>
      </c>
    </row>
    <row r="2569" spans="10:15" x14ac:dyDescent="0.25">
      <c r="J2569" t="s">
        <v>1826</v>
      </c>
      <c r="K2569" s="22" t="s">
        <v>20</v>
      </c>
      <c r="L2569">
        <v>4</v>
      </c>
      <c r="M2569">
        <v>3</v>
      </c>
      <c r="O2569" s="31"/>
    </row>
    <row r="2570" spans="10:15" x14ac:dyDescent="0.25">
      <c r="J2570" t="s">
        <v>2411</v>
      </c>
      <c r="K2570" s="22" t="s">
        <v>24</v>
      </c>
      <c r="L2570">
        <v>4</v>
      </c>
      <c r="M2570">
        <v>4</v>
      </c>
      <c r="O2570" s="31"/>
    </row>
    <row r="2571" spans="10:15" x14ac:dyDescent="0.25">
      <c r="J2571" t="s">
        <v>2987</v>
      </c>
      <c r="K2571" s="22" t="s">
        <v>29</v>
      </c>
      <c r="L2571">
        <v>1</v>
      </c>
      <c r="M2571">
        <v>1</v>
      </c>
    </row>
    <row r="2572" spans="10:15" x14ac:dyDescent="0.25">
      <c r="J2572" t="s">
        <v>908</v>
      </c>
      <c r="K2572" s="22" t="s">
        <v>24</v>
      </c>
      <c r="L2572">
        <v>6</v>
      </c>
      <c r="M2572">
        <v>1</v>
      </c>
      <c r="O2572" s="30"/>
    </row>
    <row r="2573" spans="10:15" x14ac:dyDescent="0.25">
      <c r="J2573" t="s">
        <v>908</v>
      </c>
      <c r="K2573" s="22" t="s">
        <v>20</v>
      </c>
      <c r="L2573">
        <v>7</v>
      </c>
      <c r="M2573">
        <v>4</v>
      </c>
    </row>
    <row r="2574" spans="10:15" x14ac:dyDescent="0.25">
      <c r="J2574" t="s">
        <v>908</v>
      </c>
      <c r="K2574" s="22" t="s">
        <v>29</v>
      </c>
      <c r="L2574">
        <v>7</v>
      </c>
      <c r="M2574">
        <v>6</v>
      </c>
      <c r="O2574" s="31"/>
    </row>
    <row r="2575" spans="10:15" x14ac:dyDescent="0.25">
      <c r="J2575" t="s">
        <v>908</v>
      </c>
      <c r="K2575" s="22" t="s">
        <v>28</v>
      </c>
      <c r="L2575">
        <v>3</v>
      </c>
      <c r="M2575">
        <v>2</v>
      </c>
      <c r="O2575" s="30"/>
    </row>
    <row r="2576" spans="10:15" x14ac:dyDescent="0.25">
      <c r="J2576" t="s">
        <v>908</v>
      </c>
      <c r="K2576" s="22" t="s">
        <v>22</v>
      </c>
      <c r="L2576">
        <v>1</v>
      </c>
      <c r="O2576" s="30"/>
    </row>
    <row r="2577" spans="10:15" x14ac:dyDescent="0.25">
      <c r="J2577" t="s">
        <v>908</v>
      </c>
      <c r="K2577" s="22" t="s">
        <v>31</v>
      </c>
      <c r="L2577">
        <v>4</v>
      </c>
      <c r="M2577">
        <v>1</v>
      </c>
      <c r="O2577" s="30"/>
    </row>
    <row r="2578" spans="10:15" x14ac:dyDescent="0.25">
      <c r="J2578" t="s">
        <v>2340</v>
      </c>
      <c r="K2578" s="22" t="s">
        <v>24</v>
      </c>
      <c r="L2578">
        <v>3</v>
      </c>
      <c r="M2578">
        <v>2</v>
      </c>
      <c r="O2578" s="31"/>
    </row>
    <row r="2579" spans="10:15" x14ac:dyDescent="0.25">
      <c r="J2579" t="s">
        <v>2340</v>
      </c>
      <c r="K2579" s="22" t="s">
        <v>22</v>
      </c>
      <c r="L2579">
        <v>2</v>
      </c>
      <c r="M2579">
        <v>2</v>
      </c>
    </row>
    <row r="2580" spans="10:15" x14ac:dyDescent="0.25">
      <c r="J2580" t="s">
        <v>3266</v>
      </c>
      <c r="K2580" s="22" t="s">
        <v>24</v>
      </c>
      <c r="L2580">
        <v>1</v>
      </c>
      <c r="O2580" s="30"/>
    </row>
    <row r="2581" spans="10:15" x14ac:dyDescent="0.25">
      <c r="J2581" t="s">
        <v>3266</v>
      </c>
      <c r="K2581" s="22" t="s">
        <v>29</v>
      </c>
      <c r="L2581">
        <v>1</v>
      </c>
      <c r="O2581" s="30"/>
    </row>
    <row r="2582" spans="10:15" x14ac:dyDescent="0.25">
      <c r="J2582" t="s">
        <v>3266</v>
      </c>
      <c r="K2582" s="22" t="s">
        <v>28</v>
      </c>
      <c r="L2582">
        <v>1</v>
      </c>
      <c r="O2582" s="30"/>
    </row>
    <row r="2583" spans="10:15" x14ac:dyDescent="0.25">
      <c r="J2583" t="s">
        <v>2346</v>
      </c>
      <c r="K2583" s="22" t="s">
        <v>20</v>
      </c>
      <c r="L2583">
        <v>2</v>
      </c>
      <c r="M2583">
        <v>1</v>
      </c>
      <c r="O2583" s="30"/>
    </row>
    <row r="2584" spans="10:15" x14ac:dyDescent="0.25">
      <c r="J2584" t="s">
        <v>2346</v>
      </c>
      <c r="K2584" s="22" t="s">
        <v>28</v>
      </c>
      <c r="L2584">
        <v>1</v>
      </c>
      <c r="O2584" s="30"/>
    </row>
    <row r="2585" spans="10:15" x14ac:dyDescent="0.25">
      <c r="J2585" t="s">
        <v>3433</v>
      </c>
      <c r="K2585" s="22" t="s">
        <v>35</v>
      </c>
      <c r="L2585">
        <v>1</v>
      </c>
      <c r="M2585">
        <v>1</v>
      </c>
      <c r="O2585" s="31"/>
    </row>
    <row r="2586" spans="10:15" x14ac:dyDescent="0.25">
      <c r="J2586" t="s">
        <v>2605</v>
      </c>
      <c r="K2586" s="22" t="s">
        <v>24</v>
      </c>
      <c r="L2586">
        <v>4</v>
      </c>
      <c r="M2586">
        <v>3</v>
      </c>
      <c r="O2586" s="30"/>
    </row>
    <row r="2587" spans="10:15" x14ac:dyDescent="0.25">
      <c r="J2587" t="s">
        <v>2605</v>
      </c>
      <c r="K2587" s="22" t="s">
        <v>31</v>
      </c>
      <c r="L2587">
        <v>6</v>
      </c>
      <c r="M2587">
        <v>3</v>
      </c>
      <c r="O2587" s="31"/>
    </row>
    <row r="2588" spans="10:15" x14ac:dyDescent="0.25">
      <c r="J2588" t="s">
        <v>655</v>
      </c>
      <c r="K2588" s="22" t="s">
        <v>24</v>
      </c>
      <c r="L2588">
        <v>3</v>
      </c>
    </row>
    <row r="2589" spans="10:15" x14ac:dyDescent="0.25">
      <c r="J2589" t="s">
        <v>655</v>
      </c>
      <c r="K2589" s="22" t="s">
        <v>29</v>
      </c>
      <c r="L2589">
        <v>5</v>
      </c>
      <c r="M2589">
        <v>5</v>
      </c>
      <c r="O2589" s="31"/>
    </row>
    <row r="2590" spans="10:15" x14ac:dyDescent="0.25">
      <c r="J2590" t="s">
        <v>2869</v>
      </c>
      <c r="K2590" s="22" t="s">
        <v>24</v>
      </c>
      <c r="L2590">
        <v>3</v>
      </c>
      <c r="M2590">
        <v>3</v>
      </c>
      <c r="O2590" s="31"/>
    </row>
    <row r="2591" spans="10:15" x14ac:dyDescent="0.25">
      <c r="J2591" t="s">
        <v>2216</v>
      </c>
      <c r="K2591" s="22" t="s">
        <v>24</v>
      </c>
      <c r="L2591">
        <v>2</v>
      </c>
      <c r="O2591" s="30"/>
    </row>
    <row r="2592" spans="10:15" x14ac:dyDescent="0.25">
      <c r="J2592" t="s">
        <v>2216</v>
      </c>
      <c r="K2592" s="22" t="s">
        <v>20</v>
      </c>
      <c r="L2592">
        <v>2</v>
      </c>
      <c r="M2592">
        <v>2</v>
      </c>
      <c r="O2592" s="31"/>
    </row>
    <row r="2593" spans="10:15" x14ac:dyDescent="0.25">
      <c r="J2593" t="s">
        <v>3379</v>
      </c>
      <c r="K2593" s="22" t="s">
        <v>29</v>
      </c>
      <c r="L2593">
        <v>1</v>
      </c>
      <c r="M2593">
        <v>1</v>
      </c>
      <c r="O2593" s="31"/>
    </row>
    <row r="2594" spans="10:15" x14ac:dyDescent="0.25">
      <c r="J2594" t="s">
        <v>874</v>
      </c>
      <c r="K2594" s="22" t="s">
        <v>24</v>
      </c>
      <c r="L2594">
        <v>2</v>
      </c>
    </row>
    <row r="2595" spans="10:15" x14ac:dyDescent="0.25">
      <c r="J2595" t="s">
        <v>874</v>
      </c>
      <c r="K2595" s="22" t="s">
        <v>20</v>
      </c>
      <c r="L2595">
        <v>3</v>
      </c>
      <c r="M2595">
        <v>3</v>
      </c>
      <c r="O2595" s="31"/>
    </row>
    <row r="2596" spans="10:15" x14ac:dyDescent="0.25">
      <c r="J2596" t="s">
        <v>874</v>
      </c>
      <c r="K2596" s="22" t="s">
        <v>31</v>
      </c>
      <c r="L2596">
        <v>2</v>
      </c>
      <c r="O2596" s="30"/>
    </row>
    <row r="2597" spans="10:15" x14ac:dyDescent="0.25">
      <c r="J2597" t="s">
        <v>3444</v>
      </c>
      <c r="K2597" s="22" t="s">
        <v>20</v>
      </c>
      <c r="L2597">
        <v>1</v>
      </c>
      <c r="M2597">
        <v>1</v>
      </c>
      <c r="O2597" s="31"/>
    </row>
    <row r="2598" spans="10:15" x14ac:dyDescent="0.25">
      <c r="J2598" t="s">
        <v>950</v>
      </c>
      <c r="K2598" s="22" t="s">
        <v>24</v>
      </c>
      <c r="L2598">
        <v>4</v>
      </c>
      <c r="M2598">
        <v>3</v>
      </c>
      <c r="O2598" s="30"/>
    </row>
    <row r="2599" spans="10:15" x14ac:dyDescent="0.25">
      <c r="J2599" t="s">
        <v>950</v>
      </c>
      <c r="K2599" s="22" t="s">
        <v>29</v>
      </c>
      <c r="L2599">
        <v>3</v>
      </c>
      <c r="M2599">
        <v>1</v>
      </c>
      <c r="O2599" s="30"/>
    </row>
    <row r="2600" spans="10:15" x14ac:dyDescent="0.25">
      <c r="J2600" t="s">
        <v>950</v>
      </c>
      <c r="K2600" s="22" t="s">
        <v>35</v>
      </c>
      <c r="L2600">
        <v>4</v>
      </c>
      <c r="M2600">
        <v>2</v>
      </c>
      <c r="O2600" s="30"/>
    </row>
    <row r="2601" spans="10:15" x14ac:dyDescent="0.25">
      <c r="J2601" t="s">
        <v>2038</v>
      </c>
      <c r="K2601" s="22" t="s">
        <v>24</v>
      </c>
      <c r="L2601">
        <v>1</v>
      </c>
      <c r="O2601" s="30"/>
    </row>
    <row r="2602" spans="10:15" x14ac:dyDescent="0.25">
      <c r="J2602" t="s">
        <v>2038</v>
      </c>
      <c r="K2602" s="22" t="s">
        <v>29</v>
      </c>
      <c r="L2602">
        <v>7</v>
      </c>
      <c r="M2602">
        <v>6</v>
      </c>
      <c r="O2602" s="30"/>
    </row>
    <row r="2603" spans="10:15" x14ac:dyDescent="0.25">
      <c r="J2603" t="s">
        <v>3041</v>
      </c>
      <c r="K2603" s="22" t="s">
        <v>29</v>
      </c>
      <c r="L2603">
        <v>1</v>
      </c>
      <c r="M2603">
        <v>1</v>
      </c>
      <c r="O2603" s="31"/>
    </row>
    <row r="2604" spans="10:15" x14ac:dyDescent="0.25">
      <c r="J2604" t="s">
        <v>3257</v>
      </c>
      <c r="K2604" s="22" t="s">
        <v>35</v>
      </c>
      <c r="L2604">
        <v>1</v>
      </c>
      <c r="O2604" s="30"/>
    </row>
    <row r="2605" spans="10:15" x14ac:dyDescent="0.25">
      <c r="J2605" t="s">
        <v>763</v>
      </c>
      <c r="K2605" s="22" t="s">
        <v>24</v>
      </c>
      <c r="L2605">
        <v>1</v>
      </c>
      <c r="O2605" s="30"/>
    </row>
    <row r="2606" spans="10:15" x14ac:dyDescent="0.25">
      <c r="J2606" t="s">
        <v>763</v>
      </c>
      <c r="K2606" s="22" t="s">
        <v>35</v>
      </c>
      <c r="L2606">
        <v>2</v>
      </c>
      <c r="M2606">
        <v>1</v>
      </c>
      <c r="O2606" s="30"/>
    </row>
    <row r="2607" spans="10:15" x14ac:dyDescent="0.25">
      <c r="J2607" t="s">
        <v>2081</v>
      </c>
      <c r="K2607" s="22" t="s">
        <v>20</v>
      </c>
      <c r="L2607">
        <v>8</v>
      </c>
      <c r="M2607">
        <v>8</v>
      </c>
      <c r="O2607" s="31"/>
    </row>
    <row r="2608" spans="10:15" x14ac:dyDescent="0.25">
      <c r="J2608" t="s">
        <v>2121</v>
      </c>
      <c r="K2608" s="22" t="s">
        <v>20</v>
      </c>
      <c r="L2608">
        <v>4</v>
      </c>
      <c r="M2608">
        <v>4</v>
      </c>
      <c r="O2608" s="31"/>
    </row>
    <row r="2609" spans="10:15" x14ac:dyDescent="0.25">
      <c r="J2609" t="s">
        <v>1547</v>
      </c>
      <c r="K2609" s="22" t="s">
        <v>20</v>
      </c>
      <c r="L2609">
        <v>2</v>
      </c>
      <c r="M2609">
        <v>2</v>
      </c>
      <c r="O2609" s="31"/>
    </row>
    <row r="2610" spans="10:15" x14ac:dyDescent="0.25">
      <c r="J2610" t="s">
        <v>1547</v>
      </c>
      <c r="K2610" s="22" t="s">
        <v>29</v>
      </c>
      <c r="L2610">
        <v>1</v>
      </c>
    </row>
    <row r="2611" spans="10:15" x14ac:dyDescent="0.25">
      <c r="J2611" t="s">
        <v>739</v>
      </c>
      <c r="K2611" s="22" t="s">
        <v>29</v>
      </c>
      <c r="L2611">
        <v>1</v>
      </c>
      <c r="M2611">
        <v>1</v>
      </c>
    </row>
    <row r="2612" spans="10:15" x14ac:dyDescent="0.25">
      <c r="J2612" t="s">
        <v>739</v>
      </c>
      <c r="K2612" s="22" t="s">
        <v>31</v>
      </c>
      <c r="L2612">
        <v>4</v>
      </c>
      <c r="M2612">
        <v>1</v>
      </c>
      <c r="O2612" s="31"/>
    </row>
    <row r="2613" spans="10:15" x14ac:dyDescent="0.25">
      <c r="J2613" t="s">
        <v>2268</v>
      </c>
      <c r="K2613" s="22" t="s">
        <v>24</v>
      </c>
      <c r="L2613">
        <v>1</v>
      </c>
      <c r="M2613">
        <v>1</v>
      </c>
    </row>
    <row r="2614" spans="10:15" x14ac:dyDescent="0.25">
      <c r="J2614" t="s">
        <v>2268</v>
      </c>
      <c r="K2614" s="22" t="s">
        <v>20</v>
      </c>
      <c r="L2614">
        <v>2</v>
      </c>
    </row>
    <row r="2615" spans="10:15" x14ac:dyDescent="0.25">
      <c r="J2615" t="s">
        <v>2221</v>
      </c>
      <c r="K2615" s="22" t="s">
        <v>24</v>
      </c>
      <c r="L2615">
        <v>1</v>
      </c>
      <c r="O2615" s="30"/>
    </row>
    <row r="2616" spans="10:15" x14ac:dyDescent="0.25">
      <c r="J2616" t="s">
        <v>2221</v>
      </c>
      <c r="K2616" s="22" t="s">
        <v>29</v>
      </c>
      <c r="L2616">
        <v>1</v>
      </c>
      <c r="O2616" s="30"/>
    </row>
    <row r="2617" spans="10:15" x14ac:dyDescent="0.25">
      <c r="J2617" t="s">
        <v>2221</v>
      </c>
      <c r="K2617" s="22" t="s">
        <v>31</v>
      </c>
      <c r="L2617">
        <v>1</v>
      </c>
    </row>
    <row r="2618" spans="10:15" x14ac:dyDescent="0.25">
      <c r="J2618" t="s">
        <v>2951</v>
      </c>
      <c r="K2618" s="22" t="s">
        <v>24</v>
      </c>
      <c r="L2618">
        <v>1</v>
      </c>
      <c r="M2618">
        <v>1</v>
      </c>
    </row>
    <row r="2619" spans="10:15" x14ac:dyDescent="0.25">
      <c r="J2619" t="s">
        <v>2124</v>
      </c>
      <c r="K2619" s="22" t="s">
        <v>24</v>
      </c>
      <c r="L2619">
        <v>8</v>
      </c>
      <c r="M2619">
        <v>8</v>
      </c>
      <c r="O2619" s="31"/>
    </row>
    <row r="2620" spans="10:15" x14ac:dyDescent="0.25">
      <c r="J2620" t="s">
        <v>154</v>
      </c>
      <c r="K2620" s="22" t="s">
        <v>31</v>
      </c>
      <c r="L2620">
        <v>7</v>
      </c>
      <c r="M2620">
        <v>7</v>
      </c>
      <c r="O2620" s="31"/>
    </row>
    <row r="2621" spans="10:15" x14ac:dyDescent="0.25">
      <c r="J2621" t="s">
        <v>1607</v>
      </c>
      <c r="K2621" s="22" t="s">
        <v>28</v>
      </c>
      <c r="L2621">
        <v>13</v>
      </c>
      <c r="M2621">
        <v>13</v>
      </c>
      <c r="O2621" s="31"/>
    </row>
    <row r="2622" spans="10:15" x14ac:dyDescent="0.25">
      <c r="J2622" t="s">
        <v>1940</v>
      </c>
      <c r="K2622" s="22" t="s">
        <v>20</v>
      </c>
      <c r="L2622">
        <v>1</v>
      </c>
    </row>
    <row r="2623" spans="10:15" x14ac:dyDescent="0.25">
      <c r="J2623" t="s">
        <v>1940</v>
      </c>
      <c r="K2623" s="22" t="s">
        <v>28</v>
      </c>
      <c r="L2623">
        <v>1</v>
      </c>
      <c r="M2623">
        <v>1</v>
      </c>
      <c r="O2623" s="31"/>
    </row>
    <row r="2624" spans="10:15" x14ac:dyDescent="0.25">
      <c r="J2624" t="s">
        <v>1143</v>
      </c>
      <c r="K2624" s="22" t="s">
        <v>24</v>
      </c>
      <c r="L2624">
        <v>3</v>
      </c>
      <c r="O2624" s="30"/>
    </row>
    <row r="2625" spans="10:15" x14ac:dyDescent="0.25">
      <c r="J2625" t="s">
        <v>1143</v>
      </c>
      <c r="K2625" s="22" t="s">
        <v>28</v>
      </c>
      <c r="L2625">
        <v>3</v>
      </c>
      <c r="M2625">
        <v>3</v>
      </c>
      <c r="O2625" s="31"/>
    </row>
    <row r="2626" spans="10:15" x14ac:dyDescent="0.25">
      <c r="J2626" t="s">
        <v>1056</v>
      </c>
      <c r="K2626" s="22" t="s">
        <v>20</v>
      </c>
      <c r="L2626">
        <v>6</v>
      </c>
      <c r="M2626">
        <v>6</v>
      </c>
      <c r="O2626" s="31"/>
    </row>
    <row r="2627" spans="10:15" x14ac:dyDescent="0.25">
      <c r="J2627" t="s">
        <v>1817</v>
      </c>
      <c r="K2627" s="22" t="s">
        <v>24</v>
      </c>
      <c r="L2627">
        <v>8</v>
      </c>
      <c r="M2627">
        <v>8</v>
      </c>
      <c r="O2627" s="31"/>
    </row>
    <row r="2628" spans="10:15" x14ac:dyDescent="0.25">
      <c r="J2628" t="s">
        <v>1817</v>
      </c>
      <c r="K2628" s="22" t="s">
        <v>31</v>
      </c>
      <c r="L2628">
        <v>7</v>
      </c>
      <c r="M2628">
        <v>6</v>
      </c>
      <c r="O2628" s="30"/>
    </row>
    <row r="2629" spans="10:15" x14ac:dyDescent="0.25">
      <c r="J2629" t="s">
        <v>1710</v>
      </c>
      <c r="K2629" s="22" t="s">
        <v>24</v>
      </c>
      <c r="L2629">
        <v>1</v>
      </c>
      <c r="M2629">
        <v>1</v>
      </c>
      <c r="O2629" s="31"/>
    </row>
    <row r="2630" spans="10:15" x14ac:dyDescent="0.25">
      <c r="J2630" t="s">
        <v>1710</v>
      </c>
      <c r="K2630" s="22" t="s">
        <v>35</v>
      </c>
      <c r="L2630">
        <v>2</v>
      </c>
      <c r="M2630">
        <v>1</v>
      </c>
      <c r="O2630" s="30"/>
    </row>
    <row r="2631" spans="10:15" x14ac:dyDescent="0.25">
      <c r="J2631" t="s">
        <v>1710</v>
      </c>
      <c r="K2631" s="22" t="s">
        <v>22</v>
      </c>
      <c r="L2631">
        <v>2</v>
      </c>
      <c r="O2631" s="30"/>
    </row>
    <row r="2632" spans="10:15" x14ac:dyDescent="0.25">
      <c r="J2632" t="s">
        <v>3096</v>
      </c>
      <c r="K2632" s="22" t="s">
        <v>31</v>
      </c>
      <c r="L2632">
        <v>1</v>
      </c>
      <c r="M2632">
        <v>1</v>
      </c>
      <c r="O2632" s="31"/>
    </row>
    <row r="2633" spans="10:15" x14ac:dyDescent="0.25">
      <c r="J2633" t="s">
        <v>2039</v>
      </c>
      <c r="K2633" s="22" t="s">
        <v>35</v>
      </c>
      <c r="L2633">
        <v>7</v>
      </c>
      <c r="M2633">
        <v>7</v>
      </c>
      <c r="O2633" s="31"/>
    </row>
    <row r="2634" spans="10:15" x14ac:dyDescent="0.25">
      <c r="J2634" t="s">
        <v>1043</v>
      </c>
      <c r="K2634" s="22" t="s">
        <v>20</v>
      </c>
      <c r="L2634">
        <v>1</v>
      </c>
      <c r="M2634">
        <v>1</v>
      </c>
    </row>
    <row r="2635" spans="10:15" x14ac:dyDescent="0.25">
      <c r="J2635" t="s">
        <v>1043</v>
      </c>
      <c r="K2635" s="22" t="s">
        <v>22</v>
      </c>
      <c r="L2635">
        <v>1</v>
      </c>
    </row>
    <row r="2636" spans="10:15" x14ac:dyDescent="0.25">
      <c r="J2636" t="s">
        <v>853</v>
      </c>
      <c r="K2636" s="22" t="s">
        <v>20</v>
      </c>
      <c r="L2636">
        <v>2</v>
      </c>
      <c r="M2636">
        <v>2</v>
      </c>
    </row>
    <row r="2637" spans="10:15" x14ac:dyDescent="0.25">
      <c r="J2637" t="s">
        <v>2509</v>
      </c>
      <c r="K2637" s="22" t="s">
        <v>24</v>
      </c>
      <c r="L2637">
        <v>2</v>
      </c>
      <c r="M2637">
        <v>2</v>
      </c>
      <c r="O2637" s="31"/>
    </row>
    <row r="2638" spans="10:15" x14ac:dyDescent="0.25">
      <c r="J2638" t="s">
        <v>3288</v>
      </c>
      <c r="K2638" s="22" t="s">
        <v>31</v>
      </c>
      <c r="L2638">
        <v>1</v>
      </c>
      <c r="M2638">
        <v>1</v>
      </c>
      <c r="O2638" s="31"/>
    </row>
    <row r="2639" spans="10:15" x14ac:dyDescent="0.25">
      <c r="J2639" t="s">
        <v>2078</v>
      </c>
      <c r="K2639" s="22" t="s">
        <v>24</v>
      </c>
      <c r="L2639">
        <v>1</v>
      </c>
    </row>
    <row r="2640" spans="10:15" x14ac:dyDescent="0.25">
      <c r="J2640" t="s">
        <v>2941</v>
      </c>
      <c r="K2640" s="22" t="s">
        <v>24</v>
      </c>
      <c r="L2640">
        <v>2</v>
      </c>
      <c r="M2640">
        <v>2</v>
      </c>
      <c r="O2640" s="31"/>
    </row>
    <row r="2641" spans="10:15" x14ac:dyDescent="0.25">
      <c r="J2641" t="s">
        <v>2021</v>
      </c>
      <c r="K2641" s="22" t="s">
        <v>24</v>
      </c>
      <c r="L2641">
        <v>9</v>
      </c>
      <c r="M2641">
        <v>1</v>
      </c>
      <c r="O2641" s="30"/>
    </row>
    <row r="2642" spans="10:15" x14ac:dyDescent="0.25">
      <c r="J2642" t="s">
        <v>2021</v>
      </c>
      <c r="K2642" s="22" t="s">
        <v>20</v>
      </c>
      <c r="L2642">
        <v>2</v>
      </c>
      <c r="O2642" s="30"/>
    </row>
    <row r="2643" spans="10:15" x14ac:dyDescent="0.25">
      <c r="J2643" t="s">
        <v>2021</v>
      </c>
      <c r="K2643" s="22" t="s">
        <v>28</v>
      </c>
      <c r="L2643">
        <v>2</v>
      </c>
      <c r="O2643" s="30"/>
    </row>
    <row r="2644" spans="10:15" x14ac:dyDescent="0.25">
      <c r="J2644" t="s">
        <v>2021</v>
      </c>
      <c r="K2644" s="22" t="s">
        <v>35</v>
      </c>
      <c r="L2644">
        <v>2</v>
      </c>
      <c r="O2644" s="30"/>
    </row>
    <row r="2645" spans="10:15" x14ac:dyDescent="0.25">
      <c r="J2645" t="s">
        <v>2021</v>
      </c>
      <c r="K2645" s="22" t="s">
        <v>22</v>
      </c>
      <c r="L2645">
        <v>2</v>
      </c>
      <c r="O2645" s="30"/>
    </row>
    <row r="2646" spans="10:15" x14ac:dyDescent="0.25">
      <c r="J2646" t="s">
        <v>2021</v>
      </c>
      <c r="K2646" s="22" t="s">
        <v>31</v>
      </c>
      <c r="L2646">
        <v>1</v>
      </c>
    </row>
    <row r="2647" spans="10:15" x14ac:dyDescent="0.25">
      <c r="J2647" t="s">
        <v>1379</v>
      </c>
      <c r="K2647" s="22" t="s">
        <v>20</v>
      </c>
      <c r="L2647">
        <v>2</v>
      </c>
      <c r="M2647">
        <v>1</v>
      </c>
    </row>
    <row r="2648" spans="10:15" x14ac:dyDescent="0.25">
      <c r="J2648" t="s">
        <v>1379</v>
      </c>
      <c r="K2648" s="22" t="s">
        <v>35</v>
      </c>
      <c r="L2648">
        <v>2</v>
      </c>
      <c r="M2648">
        <v>1</v>
      </c>
      <c r="O2648" s="30"/>
    </row>
    <row r="2649" spans="10:15" x14ac:dyDescent="0.25">
      <c r="J2649" t="s">
        <v>511</v>
      </c>
      <c r="K2649" s="22" t="s">
        <v>20</v>
      </c>
      <c r="L2649">
        <v>1</v>
      </c>
    </row>
    <row r="2650" spans="10:15" x14ac:dyDescent="0.25">
      <c r="J2650" t="s">
        <v>511</v>
      </c>
      <c r="K2650" s="22" t="s">
        <v>31</v>
      </c>
      <c r="L2650">
        <v>2</v>
      </c>
      <c r="M2650">
        <v>1</v>
      </c>
    </row>
    <row r="2651" spans="10:15" x14ac:dyDescent="0.25">
      <c r="J2651" t="s">
        <v>2100</v>
      </c>
      <c r="K2651" s="22" t="s">
        <v>24</v>
      </c>
      <c r="L2651">
        <v>1</v>
      </c>
      <c r="O2651" s="30"/>
    </row>
    <row r="2652" spans="10:15" x14ac:dyDescent="0.25">
      <c r="J2652" t="s">
        <v>2100</v>
      </c>
      <c r="K2652" s="22" t="s">
        <v>28</v>
      </c>
      <c r="L2652">
        <v>1</v>
      </c>
    </row>
    <row r="2653" spans="10:15" x14ac:dyDescent="0.25">
      <c r="J2653" t="s">
        <v>2100</v>
      </c>
      <c r="K2653" s="22" t="s">
        <v>35</v>
      </c>
      <c r="L2653">
        <v>1</v>
      </c>
      <c r="M2653">
        <v>1</v>
      </c>
      <c r="O2653" s="31"/>
    </row>
    <row r="2654" spans="10:15" x14ac:dyDescent="0.25">
      <c r="J2654" t="s">
        <v>2244</v>
      </c>
      <c r="K2654" s="22" t="s">
        <v>24</v>
      </c>
      <c r="L2654">
        <v>7</v>
      </c>
      <c r="M2654">
        <v>7</v>
      </c>
      <c r="O2654" s="31"/>
    </row>
    <row r="2655" spans="10:15" x14ac:dyDescent="0.25">
      <c r="J2655" t="s">
        <v>2085</v>
      </c>
      <c r="K2655" s="22" t="s">
        <v>20</v>
      </c>
      <c r="L2655">
        <v>1</v>
      </c>
    </row>
    <row r="2656" spans="10:15" x14ac:dyDescent="0.25">
      <c r="J2656" t="s">
        <v>2085</v>
      </c>
      <c r="K2656" s="22" t="s">
        <v>28</v>
      </c>
      <c r="L2656">
        <v>2</v>
      </c>
      <c r="O2656" s="30"/>
    </row>
    <row r="2657" spans="10:15" x14ac:dyDescent="0.25">
      <c r="J2657" t="s">
        <v>2085</v>
      </c>
      <c r="K2657" s="22" t="s">
        <v>22</v>
      </c>
      <c r="L2657">
        <v>1</v>
      </c>
      <c r="M2657">
        <v>1</v>
      </c>
    </row>
    <row r="2658" spans="10:15" x14ac:dyDescent="0.25">
      <c r="J2658" t="s">
        <v>1567</v>
      </c>
      <c r="K2658" s="22" t="s">
        <v>20</v>
      </c>
      <c r="L2658">
        <v>4</v>
      </c>
      <c r="M2658">
        <v>3</v>
      </c>
      <c r="O2658" s="30"/>
    </row>
    <row r="2659" spans="10:15" x14ac:dyDescent="0.25">
      <c r="J2659" t="s">
        <v>583</v>
      </c>
      <c r="K2659" s="22" t="s">
        <v>20</v>
      </c>
      <c r="L2659">
        <v>1</v>
      </c>
      <c r="M2659">
        <v>1</v>
      </c>
    </row>
    <row r="2660" spans="10:15" x14ac:dyDescent="0.25">
      <c r="J2660" t="s">
        <v>3448</v>
      </c>
      <c r="K2660" s="22" t="s">
        <v>35</v>
      </c>
      <c r="L2660">
        <v>1</v>
      </c>
      <c r="O2660" s="30"/>
    </row>
    <row r="2661" spans="10:15" x14ac:dyDescent="0.25">
      <c r="J2661" t="s">
        <v>3448</v>
      </c>
      <c r="K2661" s="22" t="s">
        <v>22</v>
      </c>
      <c r="L2661">
        <v>1</v>
      </c>
      <c r="O2661" s="30"/>
    </row>
    <row r="2662" spans="10:15" x14ac:dyDescent="0.25">
      <c r="J2662" t="s">
        <v>2813</v>
      </c>
      <c r="K2662" s="22" t="s">
        <v>35</v>
      </c>
      <c r="L2662">
        <v>1</v>
      </c>
      <c r="M2662">
        <v>1</v>
      </c>
    </row>
    <row r="2663" spans="10:15" x14ac:dyDescent="0.25">
      <c r="J2663" t="s">
        <v>2439</v>
      </c>
      <c r="K2663" s="22" t="s">
        <v>24</v>
      </c>
      <c r="L2663">
        <v>1</v>
      </c>
      <c r="M2663">
        <v>1</v>
      </c>
    </row>
    <row r="2664" spans="10:15" x14ac:dyDescent="0.25">
      <c r="J2664" t="s">
        <v>1895</v>
      </c>
      <c r="K2664" s="22" t="s">
        <v>24</v>
      </c>
      <c r="L2664">
        <v>1</v>
      </c>
      <c r="O2664" s="30"/>
    </row>
    <row r="2665" spans="10:15" x14ac:dyDescent="0.25">
      <c r="J2665" t="s">
        <v>1895</v>
      </c>
      <c r="K2665" s="22" t="s">
        <v>20</v>
      </c>
      <c r="L2665">
        <v>2</v>
      </c>
      <c r="O2665" s="30"/>
    </row>
    <row r="2666" spans="10:15" x14ac:dyDescent="0.25">
      <c r="J2666" t="s">
        <v>1895</v>
      </c>
      <c r="K2666" s="22" t="s">
        <v>35</v>
      </c>
      <c r="L2666">
        <v>1</v>
      </c>
    </row>
    <row r="2667" spans="10:15" x14ac:dyDescent="0.25">
      <c r="J2667" t="s">
        <v>1895</v>
      </c>
      <c r="K2667" s="22" t="s">
        <v>22</v>
      </c>
      <c r="L2667">
        <v>1</v>
      </c>
      <c r="M2667">
        <v>1</v>
      </c>
      <c r="O2667" s="31"/>
    </row>
    <row r="2668" spans="10:15" x14ac:dyDescent="0.25">
      <c r="J2668" t="s">
        <v>1023</v>
      </c>
      <c r="K2668" s="22" t="s">
        <v>35</v>
      </c>
      <c r="L2668">
        <v>8</v>
      </c>
      <c r="M2668">
        <v>8</v>
      </c>
      <c r="O2668" s="31"/>
    </row>
    <row r="2669" spans="10:15" x14ac:dyDescent="0.25">
      <c r="J2669" t="s">
        <v>1778</v>
      </c>
      <c r="K2669" s="22" t="s">
        <v>35</v>
      </c>
      <c r="L2669">
        <v>2</v>
      </c>
      <c r="M2669">
        <v>2</v>
      </c>
    </row>
    <row r="2670" spans="10:15" x14ac:dyDescent="0.25">
      <c r="J2670" t="s">
        <v>1206</v>
      </c>
      <c r="K2670" s="22" t="s">
        <v>24</v>
      </c>
      <c r="L2670">
        <v>3</v>
      </c>
      <c r="M2670">
        <v>3</v>
      </c>
    </row>
    <row r="2671" spans="10:15" x14ac:dyDescent="0.25">
      <c r="J2671" t="s">
        <v>2174</v>
      </c>
      <c r="K2671" s="22" t="s">
        <v>20</v>
      </c>
      <c r="L2671">
        <v>1</v>
      </c>
      <c r="M2671">
        <v>1</v>
      </c>
    </row>
    <row r="2672" spans="10:15" x14ac:dyDescent="0.25">
      <c r="J2672" t="s">
        <v>1671</v>
      </c>
      <c r="K2672" s="22" t="s">
        <v>24</v>
      </c>
      <c r="L2672">
        <v>4</v>
      </c>
      <c r="M2672">
        <v>4</v>
      </c>
      <c r="O2672" s="31"/>
    </row>
    <row r="2673" spans="10:15" x14ac:dyDescent="0.25">
      <c r="J2673" t="s">
        <v>1661</v>
      </c>
      <c r="K2673" s="22" t="s">
        <v>24</v>
      </c>
      <c r="L2673">
        <v>1</v>
      </c>
    </row>
    <row r="2674" spans="10:15" x14ac:dyDescent="0.25">
      <c r="J2674" t="s">
        <v>348</v>
      </c>
      <c r="K2674" s="22" t="s">
        <v>24</v>
      </c>
      <c r="L2674">
        <v>2</v>
      </c>
      <c r="M2674">
        <v>1</v>
      </c>
      <c r="O2674" s="31"/>
    </row>
    <row r="2675" spans="10:15" x14ac:dyDescent="0.25">
      <c r="J2675" t="s">
        <v>348</v>
      </c>
      <c r="K2675" s="22" t="s">
        <v>20</v>
      </c>
      <c r="L2675">
        <v>3</v>
      </c>
      <c r="M2675">
        <v>2</v>
      </c>
      <c r="O2675" s="31"/>
    </row>
    <row r="2676" spans="10:15" x14ac:dyDescent="0.25">
      <c r="J2676" t="s">
        <v>348</v>
      </c>
      <c r="K2676" s="22" t="s">
        <v>28</v>
      </c>
      <c r="L2676">
        <v>3</v>
      </c>
      <c r="M2676">
        <v>2</v>
      </c>
    </row>
    <row r="2677" spans="10:15" x14ac:dyDescent="0.25">
      <c r="J2677" t="s">
        <v>348</v>
      </c>
      <c r="K2677" s="22" t="s">
        <v>35</v>
      </c>
      <c r="L2677">
        <v>4</v>
      </c>
      <c r="M2677">
        <v>2</v>
      </c>
      <c r="O2677" s="31"/>
    </row>
    <row r="2678" spans="10:15" x14ac:dyDescent="0.25">
      <c r="J2678" t="s">
        <v>1522</v>
      </c>
      <c r="K2678" s="22" t="s">
        <v>28</v>
      </c>
      <c r="L2678">
        <v>1</v>
      </c>
      <c r="M2678">
        <v>1</v>
      </c>
      <c r="O2678" s="31"/>
    </row>
    <row r="2679" spans="10:15" x14ac:dyDescent="0.25">
      <c r="J2679" t="s">
        <v>1522</v>
      </c>
      <c r="K2679" s="22" t="s">
        <v>35</v>
      </c>
      <c r="L2679">
        <v>4</v>
      </c>
      <c r="M2679">
        <v>3</v>
      </c>
      <c r="O2679" s="30"/>
    </row>
    <row r="2680" spans="10:15" x14ac:dyDescent="0.25">
      <c r="J2680" t="s">
        <v>1522</v>
      </c>
      <c r="K2680" s="22" t="s">
        <v>31</v>
      </c>
      <c r="L2680">
        <v>6</v>
      </c>
      <c r="M2680">
        <v>1</v>
      </c>
      <c r="O2680" s="30"/>
    </row>
    <row r="2681" spans="10:15" x14ac:dyDescent="0.25">
      <c r="J2681" t="s">
        <v>648</v>
      </c>
      <c r="K2681" s="22" t="s">
        <v>24</v>
      </c>
      <c r="L2681">
        <v>1</v>
      </c>
      <c r="M2681">
        <v>1</v>
      </c>
      <c r="O2681" s="31"/>
    </row>
    <row r="2682" spans="10:15" x14ac:dyDescent="0.25">
      <c r="J2682" t="s">
        <v>648</v>
      </c>
      <c r="K2682" s="22" t="s">
        <v>28</v>
      </c>
      <c r="L2682">
        <v>5</v>
      </c>
      <c r="M2682">
        <v>4</v>
      </c>
      <c r="O2682" s="30"/>
    </row>
    <row r="2683" spans="10:15" x14ac:dyDescent="0.25">
      <c r="J2683" t="s">
        <v>1556</v>
      </c>
      <c r="K2683" s="22" t="s">
        <v>28</v>
      </c>
      <c r="L2683">
        <v>5</v>
      </c>
      <c r="O2683" s="30"/>
    </row>
    <row r="2684" spans="10:15" x14ac:dyDescent="0.25">
      <c r="J2684" t="s">
        <v>1556</v>
      </c>
      <c r="K2684" s="22" t="s">
        <v>31</v>
      </c>
      <c r="L2684">
        <v>5</v>
      </c>
      <c r="M2684">
        <v>5</v>
      </c>
      <c r="O2684" s="31"/>
    </row>
    <row r="2685" spans="10:15" x14ac:dyDescent="0.25">
      <c r="J2685" t="s">
        <v>600</v>
      </c>
      <c r="K2685" s="22" t="s">
        <v>22</v>
      </c>
      <c r="L2685">
        <v>9</v>
      </c>
      <c r="M2685">
        <v>9</v>
      </c>
      <c r="O2685" s="31"/>
    </row>
    <row r="2686" spans="10:15" x14ac:dyDescent="0.25">
      <c r="J2686" t="s">
        <v>1627</v>
      </c>
      <c r="K2686" s="22" t="s">
        <v>29</v>
      </c>
      <c r="L2686">
        <v>7</v>
      </c>
      <c r="M2686">
        <v>7</v>
      </c>
      <c r="O2686" s="31"/>
    </row>
    <row r="2687" spans="10:15" x14ac:dyDescent="0.25">
      <c r="J2687" t="s">
        <v>3078</v>
      </c>
      <c r="K2687" s="22" t="s">
        <v>28</v>
      </c>
      <c r="L2687">
        <v>1</v>
      </c>
      <c r="O2687" s="30"/>
    </row>
    <row r="2688" spans="10:15" x14ac:dyDescent="0.25">
      <c r="J2688" t="s">
        <v>1958</v>
      </c>
      <c r="K2688" s="22" t="s">
        <v>24</v>
      </c>
      <c r="L2688">
        <v>3</v>
      </c>
      <c r="M2688">
        <v>2</v>
      </c>
    </row>
    <row r="2689" spans="10:15" x14ac:dyDescent="0.25">
      <c r="J2689" t="s">
        <v>1958</v>
      </c>
      <c r="K2689" s="22" t="s">
        <v>29</v>
      </c>
      <c r="L2689">
        <v>2</v>
      </c>
      <c r="M2689">
        <v>2</v>
      </c>
      <c r="O2689" s="31"/>
    </row>
    <row r="2690" spans="10:15" x14ac:dyDescent="0.25">
      <c r="J2690" t="s">
        <v>3462</v>
      </c>
      <c r="K2690" s="22" t="s">
        <v>35</v>
      </c>
      <c r="L2690">
        <v>2</v>
      </c>
      <c r="M2690">
        <v>2</v>
      </c>
      <c r="O2690" s="31"/>
    </row>
    <row r="2691" spans="10:15" x14ac:dyDescent="0.25">
      <c r="J2691" t="s">
        <v>2379</v>
      </c>
      <c r="K2691" s="22" t="s">
        <v>22</v>
      </c>
      <c r="L2691">
        <v>5</v>
      </c>
      <c r="M2691">
        <v>5</v>
      </c>
      <c r="O2691" s="31"/>
    </row>
    <row r="2692" spans="10:15" x14ac:dyDescent="0.25">
      <c r="J2692" t="s">
        <v>748</v>
      </c>
      <c r="K2692" s="22" t="s">
        <v>31</v>
      </c>
      <c r="L2692">
        <v>2</v>
      </c>
      <c r="M2692">
        <v>2</v>
      </c>
      <c r="O2692" s="31"/>
    </row>
    <row r="2693" spans="10:15" x14ac:dyDescent="0.25">
      <c r="J2693" t="s">
        <v>1560</v>
      </c>
      <c r="K2693" s="22" t="s">
        <v>20</v>
      </c>
      <c r="L2693">
        <v>2</v>
      </c>
      <c r="M2693">
        <v>2</v>
      </c>
    </row>
    <row r="2694" spans="10:15" x14ac:dyDescent="0.25">
      <c r="J2694" t="s">
        <v>2324</v>
      </c>
      <c r="K2694" s="22" t="s">
        <v>31</v>
      </c>
      <c r="L2694">
        <v>4</v>
      </c>
      <c r="M2694">
        <v>4</v>
      </c>
      <c r="O2694" s="31"/>
    </row>
    <row r="2695" spans="10:15" x14ac:dyDescent="0.25">
      <c r="J2695" t="s">
        <v>3504</v>
      </c>
      <c r="K2695" s="22" t="s">
        <v>20</v>
      </c>
      <c r="L2695">
        <v>1</v>
      </c>
      <c r="O2695" s="30"/>
    </row>
    <row r="2696" spans="10:15" x14ac:dyDescent="0.25">
      <c r="J2696" t="s">
        <v>1558</v>
      </c>
      <c r="K2696" s="22" t="s">
        <v>24</v>
      </c>
      <c r="L2696">
        <v>1</v>
      </c>
    </row>
    <row r="2697" spans="10:15" x14ac:dyDescent="0.25">
      <c r="J2697" t="s">
        <v>1558</v>
      </c>
      <c r="K2697" s="22" t="s">
        <v>20</v>
      </c>
      <c r="L2697">
        <v>1</v>
      </c>
    </row>
    <row r="2698" spans="10:15" x14ac:dyDescent="0.25">
      <c r="J2698" t="s">
        <v>1558</v>
      </c>
      <c r="K2698" s="22" t="s">
        <v>29</v>
      </c>
      <c r="L2698">
        <v>3</v>
      </c>
      <c r="M2698">
        <v>2</v>
      </c>
      <c r="O2698" s="31"/>
    </row>
    <row r="2699" spans="10:15" x14ac:dyDescent="0.25">
      <c r="J2699" t="s">
        <v>1558</v>
      </c>
      <c r="K2699" s="22" t="s">
        <v>31</v>
      </c>
      <c r="L2699">
        <v>2</v>
      </c>
      <c r="O2699" s="30"/>
    </row>
    <row r="2700" spans="10:15" x14ac:dyDescent="0.25">
      <c r="J2700" t="s">
        <v>2326</v>
      </c>
      <c r="K2700" s="22" t="s">
        <v>20</v>
      </c>
      <c r="L2700">
        <v>1</v>
      </c>
      <c r="M2700">
        <v>1</v>
      </c>
    </row>
    <row r="2701" spans="10:15" x14ac:dyDescent="0.25">
      <c r="J2701" t="s">
        <v>893</v>
      </c>
      <c r="K2701" s="22" t="s">
        <v>20</v>
      </c>
      <c r="L2701">
        <v>3</v>
      </c>
      <c r="M2701">
        <v>3</v>
      </c>
    </row>
    <row r="2702" spans="10:15" x14ac:dyDescent="0.25">
      <c r="J2702" t="s">
        <v>268</v>
      </c>
      <c r="K2702" s="22" t="s">
        <v>29</v>
      </c>
      <c r="L2702">
        <v>2</v>
      </c>
      <c r="M2702">
        <v>1</v>
      </c>
      <c r="O2702" s="30"/>
    </row>
    <row r="2703" spans="10:15" x14ac:dyDescent="0.25">
      <c r="J2703" t="s">
        <v>1224</v>
      </c>
      <c r="K2703" s="22" t="s">
        <v>22</v>
      </c>
      <c r="L2703">
        <v>3</v>
      </c>
      <c r="M2703">
        <v>3</v>
      </c>
      <c r="O2703" s="31"/>
    </row>
    <row r="2704" spans="10:15" x14ac:dyDescent="0.25">
      <c r="J2704" t="s">
        <v>130</v>
      </c>
      <c r="K2704" s="22" t="s">
        <v>20</v>
      </c>
      <c r="L2704">
        <v>5</v>
      </c>
      <c r="O2704" s="30"/>
    </row>
    <row r="2705" spans="10:15" x14ac:dyDescent="0.25">
      <c r="J2705" t="s">
        <v>130</v>
      </c>
      <c r="K2705" s="22" t="s">
        <v>29</v>
      </c>
      <c r="L2705">
        <v>3</v>
      </c>
      <c r="M2705">
        <v>2</v>
      </c>
      <c r="O2705" s="31"/>
    </row>
    <row r="2706" spans="10:15" x14ac:dyDescent="0.25">
      <c r="J2706" t="s">
        <v>130</v>
      </c>
      <c r="K2706" s="22" t="s">
        <v>31</v>
      </c>
      <c r="L2706">
        <v>3</v>
      </c>
      <c r="M2706">
        <v>3</v>
      </c>
      <c r="O2706" s="31"/>
    </row>
    <row r="2707" spans="10:15" x14ac:dyDescent="0.25">
      <c r="J2707" t="s">
        <v>1442</v>
      </c>
      <c r="K2707" s="22" t="s">
        <v>24</v>
      </c>
      <c r="L2707">
        <v>4</v>
      </c>
      <c r="M2707">
        <v>3</v>
      </c>
      <c r="O2707" s="31"/>
    </row>
    <row r="2708" spans="10:15" x14ac:dyDescent="0.25">
      <c r="J2708" t="s">
        <v>1442</v>
      </c>
      <c r="K2708" s="22" t="s">
        <v>22</v>
      </c>
      <c r="L2708">
        <v>4</v>
      </c>
      <c r="M2708">
        <v>1</v>
      </c>
      <c r="O2708" s="30"/>
    </row>
    <row r="2709" spans="10:15" x14ac:dyDescent="0.25">
      <c r="J2709" t="s">
        <v>1442</v>
      </c>
      <c r="K2709" s="22" t="s">
        <v>31</v>
      </c>
      <c r="L2709">
        <v>5</v>
      </c>
      <c r="M2709">
        <v>5</v>
      </c>
      <c r="O2709" s="31"/>
    </row>
    <row r="2710" spans="10:15" x14ac:dyDescent="0.25">
      <c r="J2710" t="s">
        <v>294</v>
      </c>
      <c r="K2710" s="22" t="s">
        <v>24</v>
      </c>
      <c r="L2710">
        <v>9</v>
      </c>
      <c r="M2710">
        <v>9</v>
      </c>
      <c r="O2710" s="31"/>
    </row>
    <row r="2711" spans="10:15" x14ac:dyDescent="0.25">
      <c r="J2711" t="s">
        <v>300</v>
      </c>
      <c r="K2711" s="22" t="s">
        <v>28</v>
      </c>
      <c r="L2711">
        <v>5</v>
      </c>
      <c r="M2711">
        <v>4</v>
      </c>
      <c r="O2711" s="30"/>
    </row>
    <row r="2712" spans="10:15" x14ac:dyDescent="0.25">
      <c r="J2712" t="s">
        <v>300</v>
      </c>
      <c r="K2712" s="22" t="s">
        <v>35</v>
      </c>
      <c r="L2712">
        <v>2</v>
      </c>
      <c r="M2712">
        <v>1</v>
      </c>
    </row>
    <row r="2713" spans="10:15" x14ac:dyDescent="0.25">
      <c r="J2713" t="s">
        <v>300</v>
      </c>
      <c r="K2713" s="22" t="s">
        <v>31</v>
      </c>
      <c r="L2713">
        <v>4</v>
      </c>
      <c r="M2713">
        <v>3</v>
      </c>
      <c r="O2713" s="30"/>
    </row>
    <row r="2714" spans="10:15" x14ac:dyDescent="0.25">
      <c r="J2714" t="s">
        <v>1197</v>
      </c>
      <c r="K2714" s="22" t="s">
        <v>20</v>
      </c>
      <c r="L2714">
        <v>1</v>
      </c>
      <c r="M2714">
        <v>1</v>
      </c>
    </row>
    <row r="2715" spans="10:15" x14ac:dyDescent="0.25">
      <c r="J2715" t="s">
        <v>2692</v>
      </c>
      <c r="K2715" s="22" t="s">
        <v>35</v>
      </c>
      <c r="L2715">
        <v>2</v>
      </c>
      <c r="M2715">
        <v>1</v>
      </c>
      <c r="O2715" s="30"/>
    </row>
    <row r="2716" spans="10:15" x14ac:dyDescent="0.25">
      <c r="J2716" t="s">
        <v>2281</v>
      </c>
      <c r="K2716" s="22" t="s">
        <v>28</v>
      </c>
      <c r="L2716">
        <v>1</v>
      </c>
      <c r="M2716">
        <v>1</v>
      </c>
    </row>
    <row r="2717" spans="10:15" x14ac:dyDescent="0.25">
      <c r="J2717" t="s">
        <v>1400</v>
      </c>
      <c r="K2717" s="22" t="s">
        <v>28</v>
      </c>
      <c r="L2717">
        <v>2</v>
      </c>
      <c r="M2717">
        <v>1</v>
      </c>
      <c r="O2717" s="30"/>
    </row>
    <row r="2718" spans="10:15" x14ac:dyDescent="0.25">
      <c r="J2718" t="s">
        <v>2582</v>
      </c>
      <c r="K2718" s="22" t="s">
        <v>20</v>
      </c>
      <c r="L2718">
        <v>5</v>
      </c>
      <c r="M2718">
        <v>5</v>
      </c>
      <c r="O2718" s="31"/>
    </row>
    <row r="2719" spans="10:15" x14ac:dyDescent="0.25">
      <c r="J2719" t="s">
        <v>1678</v>
      </c>
      <c r="K2719" s="22" t="s">
        <v>24</v>
      </c>
      <c r="L2719">
        <v>1</v>
      </c>
      <c r="M2719">
        <v>1</v>
      </c>
    </row>
    <row r="2720" spans="10:15" x14ac:dyDescent="0.25">
      <c r="J2720" t="s">
        <v>2947</v>
      </c>
      <c r="K2720" s="22" t="s">
        <v>20</v>
      </c>
      <c r="L2720">
        <v>2</v>
      </c>
      <c r="M2720">
        <v>1</v>
      </c>
      <c r="O2720" s="30"/>
    </row>
    <row r="2721" spans="10:15" x14ac:dyDescent="0.25">
      <c r="J2721" t="s">
        <v>1444</v>
      </c>
      <c r="K2721" s="22" t="s">
        <v>28</v>
      </c>
      <c r="L2721">
        <v>1</v>
      </c>
    </row>
    <row r="2722" spans="10:15" x14ac:dyDescent="0.25">
      <c r="J2722" t="s">
        <v>1444</v>
      </c>
      <c r="K2722" s="22" t="s">
        <v>31</v>
      </c>
      <c r="L2722">
        <v>1</v>
      </c>
      <c r="M2722">
        <v>1</v>
      </c>
    </row>
    <row r="2723" spans="10:15" x14ac:dyDescent="0.25">
      <c r="J2723" t="s">
        <v>3196</v>
      </c>
      <c r="K2723" s="22" t="s">
        <v>28</v>
      </c>
      <c r="L2723">
        <v>1</v>
      </c>
      <c r="O2723" s="30"/>
    </row>
    <row r="2724" spans="10:15" x14ac:dyDescent="0.25">
      <c r="J2724" t="s">
        <v>1657</v>
      </c>
      <c r="K2724" s="22" t="s">
        <v>20</v>
      </c>
      <c r="L2724">
        <v>3</v>
      </c>
      <c r="M2724">
        <v>2</v>
      </c>
      <c r="O2724" s="30"/>
    </row>
    <row r="2725" spans="10:15" x14ac:dyDescent="0.25">
      <c r="J2725" t="s">
        <v>2117</v>
      </c>
      <c r="K2725" s="22" t="s">
        <v>20</v>
      </c>
      <c r="L2725">
        <v>1</v>
      </c>
      <c r="M2725">
        <v>1</v>
      </c>
    </row>
    <row r="2726" spans="10:15" x14ac:dyDescent="0.25">
      <c r="J2726" t="s">
        <v>1226</v>
      </c>
      <c r="K2726" s="22" t="s">
        <v>35</v>
      </c>
      <c r="L2726">
        <v>1</v>
      </c>
      <c r="M2726">
        <v>1</v>
      </c>
    </row>
    <row r="2727" spans="10:15" x14ac:dyDescent="0.25">
      <c r="J2727" t="s">
        <v>2914</v>
      </c>
      <c r="K2727" s="22" t="s">
        <v>20</v>
      </c>
      <c r="L2727">
        <v>1</v>
      </c>
      <c r="M2727">
        <v>1</v>
      </c>
    </row>
    <row r="2728" spans="10:15" x14ac:dyDescent="0.25">
      <c r="J2728" t="s">
        <v>936</v>
      </c>
      <c r="K2728" s="22" t="s">
        <v>22</v>
      </c>
      <c r="L2728">
        <v>1</v>
      </c>
      <c r="M2728">
        <v>1</v>
      </c>
    </row>
    <row r="2729" spans="10:15" x14ac:dyDescent="0.25">
      <c r="J2729" t="s">
        <v>1794</v>
      </c>
      <c r="K2729" s="22" t="s">
        <v>24</v>
      </c>
      <c r="L2729">
        <v>3</v>
      </c>
      <c r="M2729">
        <v>3</v>
      </c>
    </row>
    <row r="2730" spans="10:15" x14ac:dyDescent="0.25">
      <c r="J2730" t="s">
        <v>1199</v>
      </c>
      <c r="K2730" s="22" t="s">
        <v>20</v>
      </c>
      <c r="L2730">
        <v>1</v>
      </c>
      <c r="M2730">
        <v>1</v>
      </c>
    </row>
    <row r="2731" spans="10:15" x14ac:dyDescent="0.25">
      <c r="J2731" t="s">
        <v>2169</v>
      </c>
      <c r="K2731" s="22" t="s">
        <v>20</v>
      </c>
      <c r="L2731">
        <v>1</v>
      </c>
      <c r="M2731">
        <v>1</v>
      </c>
    </row>
    <row r="2732" spans="10:15" x14ac:dyDescent="0.25">
      <c r="J2732" t="s">
        <v>3405</v>
      </c>
      <c r="K2732" s="22" t="s">
        <v>24</v>
      </c>
      <c r="L2732">
        <v>1</v>
      </c>
      <c r="M2732">
        <v>1</v>
      </c>
      <c r="O2732" s="31"/>
    </row>
    <row r="2733" spans="10:15" x14ac:dyDescent="0.25">
      <c r="J2733" t="s">
        <v>1446</v>
      </c>
      <c r="K2733" s="22" t="s">
        <v>20</v>
      </c>
      <c r="L2733">
        <v>1</v>
      </c>
    </row>
    <row r="2734" spans="10:15" x14ac:dyDescent="0.25">
      <c r="J2734" t="s">
        <v>2462</v>
      </c>
      <c r="K2734" s="22" t="s">
        <v>20</v>
      </c>
      <c r="L2734">
        <v>3</v>
      </c>
      <c r="M2734">
        <v>3</v>
      </c>
      <c r="O2734" s="31"/>
    </row>
    <row r="2735" spans="10:15" x14ac:dyDescent="0.25">
      <c r="J2735" t="s">
        <v>2299</v>
      </c>
      <c r="K2735" s="22" t="s">
        <v>24</v>
      </c>
      <c r="L2735">
        <v>2</v>
      </c>
      <c r="M2735">
        <v>2</v>
      </c>
      <c r="O2735" s="31"/>
    </row>
    <row r="2736" spans="10:15" x14ac:dyDescent="0.25">
      <c r="J2736" t="s">
        <v>2955</v>
      </c>
      <c r="K2736" s="22" t="s">
        <v>20</v>
      </c>
      <c r="L2736">
        <v>1</v>
      </c>
      <c r="M2736">
        <v>1</v>
      </c>
    </row>
    <row r="2737" spans="10:15" x14ac:dyDescent="0.25">
      <c r="J2737" t="s">
        <v>1582</v>
      </c>
      <c r="K2737" s="22" t="s">
        <v>24</v>
      </c>
      <c r="L2737">
        <v>6</v>
      </c>
      <c r="M2737">
        <v>6</v>
      </c>
      <c r="O2737" s="31"/>
    </row>
    <row r="2738" spans="10:15" x14ac:dyDescent="0.25">
      <c r="J2738" t="s">
        <v>1586</v>
      </c>
      <c r="K2738" s="22" t="s">
        <v>20</v>
      </c>
      <c r="L2738">
        <v>2</v>
      </c>
      <c r="M2738">
        <v>2</v>
      </c>
      <c r="O2738" s="31"/>
    </row>
    <row r="2739" spans="10:15" x14ac:dyDescent="0.25">
      <c r="J2739" t="s">
        <v>85</v>
      </c>
      <c r="K2739" s="22" t="s">
        <v>24</v>
      </c>
      <c r="L2739">
        <v>3</v>
      </c>
      <c r="M2739">
        <v>3</v>
      </c>
      <c r="O2739" s="31"/>
    </row>
    <row r="2740" spans="10:15" x14ac:dyDescent="0.25">
      <c r="J2740" t="s">
        <v>1706</v>
      </c>
      <c r="K2740" s="22" t="s">
        <v>31</v>
      </c>
      <c r="L2740">
        <v>2</v>
      </c>
      <c r="M2740">
        <v>2</v>
      </c>
      <c r="O2740" s="31"/>
    </row>
    <row r="2741" spans="10:15" x14ac:dyDescent="0.25">
      <c r="J2741" t="s">
        <v>828</v>
      </c>
      <c r="K2741" s="22" t="s">
        <v>24</v>
      </c>
      <c r="L2741">
        <v>1</v>
      </c>
    </row>
    <row r="2742" spans="10:15" x14ac:dyDescent="0.25">
      <c r="J2742" t="s">
        <v>828</v>
      </c>
      <c r="K2742" s="22" t="s">
        <v>20</v>
      </c>
      <c r="L2742">
        <v>3</v>
      </c>
      <c r="M2742">
        <v>3</v>
      </c>
      <c r="O2742" s="31"/>
    </row>
    <row r="2743" spans="10:15" x14ac:dyDescent="0.25">
      <c r="J2743" t="s">
        <v>1067</v>
      </c>
      <c r="K2743" s="22" t="s">
        <v>24</v>
      </c>
      <c r="L2743">
        <v>3</v>
      </c>
      <c r="M2743">
        <v>3</v>
      </c>
      <c r="O2743" s="31"/>
    </row>
    <row r="2744" spans="10:15" x14ac:dyDescent="0.25">
      <c r="J2744" t="s">
        <v>891</v>
      </c>
      <c r="K2744" s="22" t="s">
        <v>24</v>
      </c>
      <c r="L2744">
        <v>6</v>
      </c>
      <c r="M2744">
        <v>6</v>
      </c>
      <c r="O2744" s="31"/>
    </row>
    <row r="2745" spans="10:15" x14ac:dyDescent="0.25">
      <c r="J2745" t="s">
        <v>132</v>
      </c>
      <c r="K2745" s="22" t="s">
        <v>20</v>
      </c>
      <c r="L2745">
        <v>7</v>
      </c>
      <c r="O2745" s="30"/>
    </row>
    <row r="2746" spans="10:15" x14ac:dyDescent="0.25">
      <c r="J2746" t="s">
        <v>132</v>
      </c>
      <c r="K2746" s="22" t="s">
        <v>28</v>
      </c>
      <c r="L2746">
        <v>2</v>
      </c>
      <c r="M2746">
        <v>2</v>
      </c>
      <c r="O2746" s="31"/>
    </row>
    <row r="2747" spans="10:15" x14ac:dyDescent="0.25">
      <c r="J2747" t="s">
        <v>2897</v>
      </c>
      <c r="K2747" s="22" t="s">
        <v>24</v>
      </c>
      <c r="L2747">
        <v>2</v>
      </c>
      <c r="O2747" s="30"/>
    </row>
    <row r="2748" spans="10:15" x14ac:dyDescent="0.25">
      <c r="J2748" t="s">
        <v>2897</v>
      </c>
      <c r="K2748" s="22" t="s">
        <v>20</v>
      </c>
      <c r="L2748">
        <v>1</v>
      </c>
    </row>
    <row r="2749" spans="10:15" x14ac:dyDescent="0.25">
      <c r="J2749" t="s">
        <v>1287</v>
      </c>
      <c r="K2749" s="22" t="s">
        <v>31</v>
      </c>
      <c r="L2749">
        <v>3</v>
      </c>
      <c r="M2749">
        <v>3</v>
      </c>
      <c r="O2749" s="31"/>
    </row>
    <row r="2750" spans="10:15" x14ac:dyDescent="0.25">
      <c r="J2750" t="s">
        <v>535</v>
      </c>
      <c r="K2750" s="22" t="s">
        <v>22</v>
      </c>
      <c r="L2750">
        <v>2</v>
      </c>
      <c r="M2750">
        <v>1</v>
      </c>
    </row>
    <row r="2751" spans="10:15" x14ac:dyDescent="0.25">
      <c r="J2751" t="s">
        <v>3503</v>
      </c>
      <c r="K2751" s="22" t="s">
        <v>31</v>
      </c>
      <c r="L2751">
        <v>1</v>
      </c>
      <c r="M2751">
        <v>1</v>
      </c>
      <c r="O2751" s="31"/>
    </row>
    <row r="2752" spans="10:15" x14ac:dyDescent="0.25">
      <c r="J2752" t="s">
        <v>2380</v>
      </c>
      <c r="K2752" s="22" t="s">
        <v>24</v>
      </c>
      <c r="L2752">
        <v>5</v>
      </c>
      <c r="M2752">
        <v>5</v>
      </c>
      <c r="O2752" s="31"/>
    </row>
    <row r="2753" spans="10:15" x14ac:dyDescent="0.25">
      <c r="J2753" t="s">
        <v>1851</v>
      </c>
      <c r="K2753" s="22" t="s">
        <v>20</v>
      </c>
      <c r="L2753">
        <v>3</v>
      </c>
      <c r="M2753">
        <v>3</v>
      </c>
      <c r="O2753" s="31"/>
    </row>
    <row r="2754" spans="10:15" x14ac:dyDescent="0.25">
      <c r="J2754" t="s">
        <v>134</v>
      </c>
      <c r="K2754" s="22" t="s">
        <v>24</v>
      </c>
      <c r="L2754">
        <v>2</v>
      </c>
    </row>
    <row r="2755" spans="10:15" x14ac:dyDescent="0.25">
      <c r="J2755" t="s">
        <v>134</v>
      </c>
      <c r="K2755" s="22" t="s">
        <v>20</v>
      </c>
      <c r="L2755">
        <v>2</v>
      </c>
      <c r="M2755">
        <v>2</v>
      </c>
    </row>
    <row r="2756" spans="10:15" x14ac:dyDescent="0.25">
      <c r="J2756" t="s">
        <v>329</v>
      </c>
      <c r="K2756" s="22" t="s">
        <v>24</v>
      </c>
      <c r="L2756">
        <v>15</v>
      </c>
      <c r="M2756">
        <v>7</v>
      </c>
      <c r="O2756" s="30"/>
    </row>
    <row r="2757" spans="10:15" x14ac:dyDescent="0.25">
      <c r="J2757" t="s">
        <v>329</v>
      </c>
      <c r="K2757" s="22" t="s">
        <v>30</v>
      </c>
      <c r="L2757">
        <v>7</v>
      </c>
      <c r="M2757">
        <v>5</v>
      </c>
      <c r="O2757" s="30"/>
    </row>
    <row r="2758" spans="10:15" x14ac:dyDescent="0.25">
      <c r="J2758" t="s">
        <v>329</v>
      </c>
      <c r="K2758" s="22" t="s">
        <v>35</v>
      </c>
      <c r="L2758">
        <v>1</v>
      </c>
      <c r="O2758" s="30"/>
    </row>
    <row r="2759" spans="10:15" x14ac:dyDescent="0.25">
      <c r="J2759" t="s">
        <v>329</v>
      </c>
      <c r="K2759" s="22" t="s">
        <v>22</v>
      </c>
      <c r="L2759">
        <v>10</v>
      </c>
      <c r="M2759">
        <v>9</v>
      </c>
      <c r="O2759" s="31"/>
    </row>
    <row r="2760" spans="10:15" x14ac:dyDescent="0.25">
      <c r="J2760" t="s">
        <v>329</v>
      </c>
      <c r="K2760" s="22" t="s">
        <v>31</v>
      </c>
      <c r="L2760">
        <v>2</v>
      </c>
      <c r="M2760">
        <v>2</v>
      </c>
      <c r="O2760" s="31"/>
    </row>
    <row r="2761" spans="10:15" x14ac:dyDescent="0.25">
      <c r="J2761" t="s">
        <v>985</v>
      </c>
      <c r="K2761" s="22" t="s">
        <v>24</v>
      </c>
      <c r="L2761">
        <v>4</v>
      </c>
      <c r="M2761">
        <v>3</v>
      </c>
      <c r="O2761" s="31"/>
    </row>
    <row r="2762" spans="10:15" x14ac:dyDescent="0.25">
      <c r="J2762" t="s">
        <v>985</v>
      </c>
      <c r="K2762" s="22" t="s">
        <v>30</v>
      </c>
      <c r="L2762">
        <v>2</v>
      </c>
    </row>
    <row r="2763" spans="10:15" x14ac:dyDescent="0.25">
      <c r="J2763" t="s">
        <v>985</v>
      </c>
      <c r="K2763" s="22" t="s">
        <v>29</v>
      </c>
      <c r="L2763">
        <v>4</v>
      </c>
      <c r="M2763">
        <v>1</v>
      </c>
      <c r="O2763" s="31"/>
    </row>
    <row r="2764" spans="10:15" x14ac:dyDescent="0.25">
      <c r="J2764" t="s">
        <v>985</v>
      </c>
      <c r="K2764" s="22" t="s">
        <v>28</v>
      </c>
      <c r="L2764">
        <v>5</v>
      </c>
      <c r="M2764">
        <v>1</v>
      </c>
    </row>
    <row r="2765" spans="10:15" x14ac:dyDescent="0.25">
      <c r="J2765" t="s">
        <v>985</v>
      </c>
      <c r="K2765" s="22" t="s">
        <v>35</v>
      </c>
      <c r="L2765">
        <v>3</v>
      </c>
      <c r="M2765">
        <v>1</v>
      </c>
    </row>
    <row r="2766" spans="10:15" x14ac:dyDescent="0.25">
      <c r="J2766" t="s">
        <v>985</v>
      </c>
      <c r="K2766" s="22" t="s">
        <v>22</v>
      </c>
      <c r="L2766">
        <v>4</v>
      </c>
    </row>
    <row r="2767" spans="10:15" x14ac:dyDescent="0.25">
      <c r="J2767" t="s">
        <v>369</v>
      </c>
      <c r="K2767" s="22" t="s">
        <v>24</v>
      </c>
      <c r="L2767">
        <v>2</v>
      </c>
      <c r="M2767">
        <v>2</v>
      </c>
    </row>
    <row r="2768" spans="10:15" x14ac:dyDescent="0.25">
      <c r="J2768" t="s">
        <v>369</v>
      </c>
      <c r="K2768" s="22" t="s">
        <v>30</v>
      </c>
      <c r="L2768">
        <v>6</v>
      </c>
      <c r="M2768">
        <v>4</v>
      </c>
      <c r="O2768" s="31"/>
    </row>
    <row r="2769" spans="10:15" x14ac:dyDescent="0.25">
      <c r="J2769" t="s">
        <v>80</v>
      </c>
      <c r="K2769" s="22" t="s">
        <v>24</v>
      </c>
      <c r="L2769">
        <v>4</v>
      </c>
      <c r="O2769" s="30"/>
    </row>
    <row r="2770" spans="10:15" x14ac:dyDescent="0.25">
      <c r="J2770" t="s">
        <v>80</v>
      </c>
      <c r="K2770" s="22" t="s">
        <v>29</v>
      </c>
      <c r="L2770">
        <v>7</v>
      </c>
      <c r="M2770">
        <v>7</v>
      </c>
      <c r="O2770" s="31"/>
    </row>
    <row r="2771" spans="10:15" x14ac:dyDescent="0.25">
      <c r="J2771" t="s">
        <v>80</v>
      </c>
      <c r="K2771" s="22" t="s">
        <v>35</v>
      </c>
      <c r="L2771">
        <v>4</v>
      </c>
      <c r="O2771" s="30"/>
    </row>
    <row r="2772" spans="10:15" x14ac:dyDescent="0.25">
      <c r="J2772" t="s">
        <v>80</v>
      </c>
      <c r="K2772" s="22" t="s">
        <v>31</v>
      </c>
      <c r="L2772">
        <v>5</v>
      </c>
      <c r="M2772">
        <v>1</v>
      </c>
      <c r="O2772" s="30"/>
    </row>
    <row r="2773" spans="10:15" x14ac:dyDescent="0.25">
      <c r="J2773" t="s">
        <v>260</v>
      </c>
      <c r="K2773" s="22" t="s">
        <v>24</v>
      </c>
      <c r="L2773">
        <v>4</v>
      </c>
      <c r="M2773">
        <v>3</v>
      </c>
    </row>
    <row r="2774" spans="10:15" x14ac:dyDescent="0.25">
      <c r="J2774" t="s">
        <v>260</v>
      </c>
      <c r="K2774" s="22" t="s">
        <v>35</v>
      </c>
      <c r="L2774">
        <v>2</v>
      </c>
      <c r="M2774">
        <v>1</v>
      </c>
    </row>
    <row r="2775" spans="10:15" x14ac:dyDescent="0.25">
      <c r="J2775" t="s">
        <v>558</v>
      </c>
      <c r="K2775" s="22" t="s">
        <v>30</v>
      </c>
      <c r="L2775">
        <v>2</v>
      </c>
      <c r="M2775">
        <v>2</v>
      </c>
    </row>
    <row r="2776" spans="10:15" x14ac:dyDescent="0.25">
      <c r="J2776" t="s">
        <v>1132</v>
      </c>
      <c r="K2776" s="22" t="s">
        <v>30</v>
      </c>
      <c r="L2776">
        <v>2</v>
      </c>
      <c r="M2776">
        <v>1</v>
      </c>
      <c r="O2776" s="30"/>
    </row>
    <row r="2777" spans="10:15" x14ac:dyDescent="0.25">
      <c r="J2777" t="s">
        <v>1132</v>
      </c>
      <c r="K2777" s="22" t="s">
        <v>28</v>
      </c>
      <c r="L2777">
        <v>1</v>
      </c>
      <c r="O2777" s="30"/>
    </row>
    <row r="2778" spans="10:15" x14ac:dyDescent="0.25">
      <c r="J2778" t="s">
        <v>1132</v>
      </c>
      <c r="K2778" s="22" t="s">
        <v>31</v>
      </c>
      <c r="L2778">
        <v>1</v>
      </c>
    </row>
    <row r="2779" spans="10:15" x14ac:dyDescent="0.25">
      <c r="J2779" t="s">
        <v>2688</v>
      </c>
      <c r="K2779" s="22" t="s">
        <v>28</v>
      </c>
      <c r="L2779">
        <v>4</v>
      </c>
      <c r="M2779">
        <v>4</v>
      </c>
      <c r="O2779" s="31"/>
    </row>
    <row r="2780" spans="10:15" x14ac:dyDescent="0.25">
      <c r="J2780" t="s">
        <v>2688</v>
      </c>
      <c r="K2780" s="22" t="s">
        <v>22</v>
      </c>
      <c r="L2780">
        <v>4</v>
      </c>
      <c r="O2780" s="30"/>
    </row>
    <row r="2781" spans="10:15" x14ac:dyDescent="0.25">
      <c r="J2781" t="s">
        <v>1905</v>
      </c>
      <c r="K2781" s="22" t="s">
        <v>29</v>
      </c>
      <c r="L2781">
        <v>5</v>
      </c>
      <c r="M2781">
        <v>5</v>
      </c>
      <c r="O2781" s="31"/>
    </row>
    <row r="2782" spans="10:15" x14ac:dyDescent="0.25">
      <c r="J2782" t="s">
        <v>1149</v>
      </c>
      <c r="K2782" s="22" t="s">
        <v>30</v>
      </c>
      <c r="L2782">
        <v>2</v>
      </c>
      <c r="M2782">
        <v>2</v>
      </c>
    </row>
    <row r="2783" spans="10:15" x14ac:dyDescent="0.25">
      <c r="J2783" t="s">
        <v>1200</v>
      </c>
      <c r="K2783" s="22" t="s">
        <v>29</v>
      </c>
      <c r="L2783">
        <v>3</v>
      </c>
      <c r="M2783">
        <v>3</v>
      </c>
      <c r="O2783" s="31"/>
    </row>
    <row r="2784" spans="10:15" x14ac:dyDescent="0.25">
      <c r="J2784" t="s">
        <v>388</v>
      </c>
      <c r="K2784" s="22" t="s">
        <v>29</v>
      </c>
      <c r="L2784">
        <v>6</v>
      </c>
      <c r="M2784">
        <v>6</v>
      </c>
      <c r="O2784" s="31"/>
    </row>
    <row r="2785" spans="10:15" x14ac:dyDescent="0.25">
      <c r="J2785" t="s">
        <v>870</v>
      </c>
      <c r="K2785" s="22" t="s">
        <v>24</v>
      </c>
      <c r="L2785">
        <v>2</v>
      </c>
      <c r="O2785" s="30"/>
    </row>
    <row r="2786" spans="10:15" x14ac:dyDescent="0.25">
      <c r="J2786" t="s">
        <v>870</v>
      </c>
      <c r="K2786" s="22" t="s">
        <v>30</v>
      </c>
      <c r="L2786">
        <v>2</v>
      </c>
      <c r="M2786">
        <v>1</v>
      </c>
    </row>
    <row r="2787" spans="10:15" x14ac:dyDescent="0.25">
      <c r="J2787" t="s">
        <v>870</v>
      </c>
      <c r="K2787" s="22" t="s">
        <v>29</v>
      </c>
      <c r="L2787">
        <v>1</v>
      </c>
    </row>
    <row r="2788" spans="10:15" x14ac:dyDescent="0.25">
      <c r="J2788" t="s">
        <v>870</v>
      </c>
      <c r="K2788" s="22" t="s">
        <v>35</v>
      </c>
      <c r="L2788">
        <v>1</v>
      </c>
    </row>
    <row r="2789" spans="10:15" x14ac:dyDescent="0.25">
      <c r="J2789" t="s">
        <v>2249</v>
      </c>
      <c r="K2789" s="22" t="s">
        <v>22</v>
      </c>
      <c r="L2789">
        <v>2</v>
      </c>
      <c r="M2789">
        <v>1</v>
      </c>
      <c r="O2789" s="30"/>
    </row>
    <row r="2790" spans="10:15" x14ac:dyDescent="0.25">
      <c r="J2790" t="s">
        <v>1397</v>
      </c>
      <c r="K2790" s="22" t="s">
        <v>24</v>
      </c>
      <c r="L2790">
        <v>1</v>
      </c>
    </row>
    <row r="2791" spans="10:15" x14ac:dyDescent="0.25">
      <c r="J2791" t="s">
        <v>1397</v>
      </c>
      <c r="K2791" s="22" t="s">
        <v>30</v>
      </c>
      <c r="L2791">
        <v>1</v>
      </c>
    </row>
    <row r="2792" spans="10:15" x14ac:dyDescent="0.25">
      <c r="J2792" t="s">
        <v>1397</v>
      </c>
      <c r="K2792" s="22" t="s">
        <v>29</v>
      </c>
      <c r="L2792">
        <v>1</v>
      </c>
    </row>
    <row r="2793" spans="10:15" x14ac:dyDescent="0.25">
      <c r="J2793" t="s">
        <v>1397</v>
      </c>
      <c r="K2793" s="22" t="s">
        <v>22</v>
      </c>
      <c r="L2793">
        <v>1</v>
      </c>
      <c r="O2793" s="30"/>
    </row>
    <row r="2794" spans="10:15" x14ac:dyDescent="0.25">
      <c r="J2794" t="s">
        <v>1798</v>
      </c>
      <c r="K2794" s="22" t="s">
        <v>24</v>
      </c>
      <c r="L2794">
        <v>1</v>
      </c>
      <c r="O2794" s="30"/>
    </row>
    <row r="2795" spans="10:15" x14ac:dyDescent="0.25">
      <c r="J2795" t="s">
        <v>1798</v>
      </c>
      <c r="K2795" s="22" t="s">
        <v>30</v>
      </c>
      <c r="L2795">
        <v>1</v>
      </c>
    </row>
    <row r="2796" spans="10:15" x14ac:dyDescent="0.25">
      <c r="J2796" t="s">
        <v>1798</v>
      </c>
      <c r="K2796" s="22" t="s">
        <v>31</v>
      </c>
      <c r="L2796">
        <v>1</v>
      </c>
      <c r="M2796">
        <v>1</v>
      </c>
      <c r="O2796" s="31"/>
    </row>
    <row r="2797" spans="10:15" x14ac:dyDescent="0.25">
      <c r="J2797" t="s">
        <v>2816</v>
      </c>
      <c r="K2797" s="22" t="s">
        <v>29</v>
      </c>
      <c r="L2797">
        <v>2</v>
      </c>
      <c r="M2797">
        <v>2</v>
      </c>
      <c r="O2797" s="31"/>
    </row>
    <row r="2798" spans="10:15" x14ac:dyDescent="0.25">
      <c r="J2798" t="s">
        <v>2816</v>
      </c>
      <c r="K2798" s="22" t="s">
        <v>35</v>
      </c>
      <c r="L2798">
        <v>2</v>
      </c>
      <c r="O2798" s="30"/>
    </row>
    <row r="2799" spans="10:15" x14ac:dyDescent="0.25">
      <c r="J2799" t="s">
        <v>2816</v>
      </c>
      <c r="K2799" s="22" t="s">
        <v>22</v>
      </c>
      <c r="L2799">
        <v>5</v>
      </c>
      <c r="M2799">
        <v>2</v>
      </c>
      <c r="O2799" s="30"/>
    </row>
    <row r="2800" spans="10:15" x14ac:dyDescent="0.25">
      <c r="J2800" t="s">
        <v>2017</v>
      </c>
      <c r="K2800" s="22" t="s">
        <v>30</v>
      </c>
      <c r="L2800">
        <v>1</v>
      </c>
    </row>
    <row r="2801" spans="10:15" x14ac:dyDescent="0.25">
      <c r="J2801" t="s">
        <v>2017</v>
      </c>
      <c r="K2801" s="22" t="s">
        <v>29</v>
      </c>
      <c r="L2801">
        <v>2</v>
      </c>
      <c r="M2801">
        <v>2</v>
      </c>
    </row>
    <row r="2802" spans="10:15" x14ac:dyDescent="0.25">
      <c r="J2802" t="s">
        <v>804</v>
      </c>
      <c r="K2802" s="22" t="s">
        <v>30</v>
      </c>
      <c r="L2802">
        <v>1</v>
      </c>
      <c r="M2802">
        <v>1</v>
      </c>
    </row>
    <row r="2803" spans="10:15" x14ac:dyDescent="0.25">
      <c r="J2803" t="s">
        <v>804</v>
      </c>
      <c r="K2803" s="22" t="s">
        <v>35</v>
      </c>
      <c r="L2803">
        <v>7</v>
      </c>
      <c r="M2803">
        <v>5</v>
      </c>
      <c r="O2803" s="31"/>
    </row>
    <row r="2804" spans="10:15" x14ac:dyDescent="0.25">
      <c r="J2804" t="s">
        <v>1609</v>
      </c>
      <c r="K2804" s="22" t="s">
        <v>30</v>
      </c>
      <c r="L2804">
        <v>2</v>
      </c>
      <c r="M2804">
        <v>2</v>
      </c>
      <c r="O2804" s="31"/>
    </row>
    <row r="2805" spans="10:15" x14ac:dyDescent="0.25">
      <c r="J2805" t="s">
        <v>2069</v>
      </c>
      <c r="K2805" s="22" t="s">
        <v>24</v>
      </c>
      <c r="L2805">
        <v>5</v>
      </c>
      <c r="M2805">
        <v>5</v>
      </c>
      <c r="O2805" s="31"/>
    </row>
    <row r="2806" spans="10:15" x14ac:dyDescent="0.25">
      <c r="J2806" t="s">
        <v>438</v>
      </c>
      <c r="K2806" s="22" t="s">
        <v>24</v>
      </c>
      <c r="L2806">
        <v>1</v>
      </c>
    </row>
    <row r="2807" spans="10:15" x14ac:dyDescent="0.25">
      <c r="J2807" t="s">
        <v>438</v>
      </c>
      <c r="K2807" s="22" t="s">
        <v>30</v>
      </c>
      <c r="L2807">
        <v>1</v>
      </c>
    </row>
    <row r="2808" spans="10:15" x14ac:dyDescent="0.25">
      <c r="J2808" t="s">
        <v>438</v>
      </c>
      <c r="K2808" s="22" t="s">
        <v>29</v>
      </c>
      <c r="L2808">
        <v>2</v>
      </c>
      <c r="M2808">
        <v>2</v>
      </c>
      <c r="O2808" s="31"/>
    </row>
    <row r="2809" spans="10:15" x14ac:dyDescent="0.25">
      <c r="J2809" t="s">
        <v>2583</v>
      </c>
      <c r="K2809" s="22" t="s">
        <v>31</v>
      </c>
      <c r="L2809">
        <v>1</v>
      </c>
      <c r="O2809" s="30"/>
    </row>
    <row r="2810" spans="10:15" x14ac:dyDescent="0.25">
      <c r="J2810" t="s">
        <v>138</v>
      </c>
      <c r="K2810" s="22" t="s">
        <v>24</v>
      </c>
      <c r="L2810">
        <v>3</v>
      </c>
      <c r="M2810">
        <v>2</v>
      </c>
    </row>
    <row r="2811" spans="10:15" x14ac:dyDescent="0.25">
      <c r="J2811" t="s">
        <v>138</v>
      </c>
      <c r="K2811" s="22" t="s">
        <v>35</v>
      </c>
      <c r="L2811">
        <v>2</v>
      </c>
      <c r="M2811">
        <v>2</v>
      </c>
      <c r="O2811" s="31"/>
    </row>
    <row r="2812" spans="10:15" x14ac:dyDescent="0.25">
      <c r="J2812" t="s">
        <v>397</v>
      </c>
      <c r="K2812" s="22" t="s">
        <v>31</v>
      </c>
      <c r="L2812">
        <v>11</v>
      </c>
      <c r="M2812">
        <v>11</v>
      </c>
      <c r="O2812" s="31"/>
    </row>
    <row r="2813" spans="10:15" x14ac:dyDescent="0.25">
      <c r="J2813" t="s">
        <v>1494</v>
      </c>
      <c r="K2813" s="22" t="s">
        <v>30</v>
      </c>
      <c r="L2813">
        <v>4</v>
      </c>
      <c r="O2813" s="30"/>
    </row>
    <row r="2814" spans="10:15" x14ac:dyDescent="0.25">
      <c r="J2814" t="s">
        <v>1494</v>
      </c>
      <c r="K2814" s="22" t="s">
        <v>35</v>
      </c>
      <c r="L2814">
        <v>3</v>
      </c>
      <c r="M2814">
        <v>3</v>
      </c>
      <c r="O2814" s="31"/>
    </row>
    <row r="2815" spans="10:15" x14ac:dyDescent="0.25">
      <c r="J2815" t="s">
        <v>1188</v>
      </c>
      <c r="K2815" s="22" t="s">
        <v>24</v>
      </c>
      <c r="L2815">
        <v>2</v>
      </c>
      <c r="M2815">
        <v>1</v>
      </c>
      <c r="O2815" s="30"/>
    </row>
    <row r="2816" spans="10:15" x14ac:dyDescent="0.25">
      <c r="J2816" t="s">
        <v>1188</v>
      </c>
      <c r="K2816" s="22" t="s">
        <v>30</v>
      </c>
      <c r="L2816">
        <v>1</v>
      </c>
    </row>
    <row r="2817" spans="10:15" x14ac:dyDescent="0.25">
      <c r="J2817" t="s">
        <v>1188</v>
      </c>
      <c r="K2817" s="22" t="s">
        <v>28</v>
      </c>
      <c r="L2817">
        <v>1</v>
      </c>
      <c r="M2817">
        <v>1</v>
      </c>
      <c r="O2817" s="31"/>
    </row>
    <row r="2818" spans="10:15" x14ac:dyDescent="0.25">
      <c r="J2818" t="s">
        <v>1533</v>
      </c>
      <c r="K2818" s="22" t="s">
        <v>30</v>
      </c>
      <c r="L2818">
        <v>1</v>
      </c>
      <c r="M2818">
        <v>1</v>
      </c>
    </row>
    <row r="2819" spans="10:15" x14ac:dyDescent="0.25">
      <c r="J2819" t="s">
        <v>3279</v>
      </c>
      <c r="K2819" s="22" t="s">
        <v>30</v>
      </c>
      <c r="L2819">
        <v>1</v>
      </c>
      <c r="M2819">
        <v>1</v>
      </c>
      <c r="O2819" s="31"/>
    </row>
    <row r="2820" spans="10:15" x14ac:dyDescent="0.25">
      <c r="J2820" t="s">
        <v>416</v>
      </c>
      <c r="K2820" s="22" t="s">
        <v>24</v>
      </c>
      <c r="L2820">
        <v>9</v>
      </c>
      <c r="M2820">
        <v>9</v>
      </c>
      <c r="O2820" s="31"/>
    </row>
    <row r="2821" spans="10:15" x14ac:dyDescent="0.25">
      <c r="J2821" t="s">
        <v>3334</v>
      </c>
      <c r="K2821" s="22" t="s">
        <v>35</v>
      </c>
      <c r="L2821">
        <v>1</v>
      </c>
      <c r="M2821">
        <v>1</v>
      </c>
      <c r="O2821" s="31"/>
    </row>
    <row r="2822" spans="10:15" x14ac:dyDescent="0.25">
      <c r="J2822" t="s">
        <v>2171</v>
      </c>
      <c r="K2822" s="22" t="s">
        <v>31</v>
      </c>
      <c r="L2822">
        <v>2</v>
      </c>
      <c r="M2822">
        <v>2</v>
      </c>
      <c r="O2822" s="31"/>
    </row>
    <row r="2823" spans="10:15" x14ac:dyDescent="0.25">
      <c r="J2823" t="s">
        <v>701</v>
      </c>
      <c r="K2823" s="22" t="s">
        <v>30</v>
      </c>
      <c r="L2823">
        <v>3</v>
      </c>
      <c r="M2823">
        <v>3</v>
      </c>
    </row>
    <row r="2824" spans="10:15" x14ac:dyDescent="0.25">
      <c r="J2824" t="s">
        <v>3218</v>
      </c>
      <c r="K2824" s="22" t="s">
        <v>22</v>
      </c>
      <c r="L2824">
        <v>2</v>
      </c>
      <c r="M2824">
        <v>2</v>
      </c>
      <c r="O2824" s="31"/>
    </row>
    <row r="2825" spans="10:15" x14ac:dyDescent="0.25">
      <c r="J2825" t="s">
        <v>2596</v>
      </c>
      <c r="K2825" s="22" t="s">
        <v>35</v>
      </c>
      <c r="L2825">
        <v>2</v>
      </c>
      <c r="M2825">
        <v>2</v>
      </c>
      <c r="O2825" s="31"/>
    </row>
    <row r="2826" spans="10:15" x14ac:dyDescent="0.25">
      <c r="J2826" t="s">
        <v>1771</v>
      </c>
      <c r="K2826" s="22" t="s">
        <v>35</v>
      </c>
      <c r="L2826">
        <v>7</v>
      </c>
      <c r="M2826">
        <v>7</v>
      </c>
      <c r="O2826" s="31"/>
    </row>
    <row r="2827" spans="10:15" x14ac:dyDescent="0.25">
      <c r="J2827" t="s">
        <v>1961</v>
      </c>
      <c r="K2827" s="22" t="s">
        <v>30</v>
      </c>
      <c r="L2827">
        <v>1</v>
      </c>
      <c r="M2827">
        <v>1</v>
      </c>
    </row>
    <row r="2828" spans="10:15" x14ac:dyDescent="0.25">
      <c r="J2828" t="s">
        <v>1223</v>
      </c>
      <c r="K2828" s="22" t="s">
        <v>24</v>
      </c>
      <c r="L2828">
        <v>3</v>
      </c>
      <c r="M2828">
        <v>3</v>
      </c>
      <c r="O2828" s="31"/>
    </row>
    <row r="2829" spans="10:15" x14ac:dyDescent="0.25">
      <c r="J2829" t="s">
        <v>1726</v>
      </c>
      <c r="K2829" s="22" t="s">
        <v>24</v>
      </c>
      <c r="L2829">
        <v>1</v>
      </c>
    </row>
    <row r="2830" spans="10:15" x14ac:dyDescent="0.25">
      <c r="J2830" t="s">
        <v>1726</v>
      </c>
      <c r="K2830" s="22" t="s">
        <v>30</v>
      </c>
      <c r="L2830">
        <v>1</v>
      </c>
    </row>
    <row r="2831" spans="10:15" x14ac:dyDescent="0.25">
      <c r="J2831" t="s">
        <v>1726</v>
      </c>
      <c r="K2831" s="22" t="s">
        <v>28</v>
      </c>
      <c r="L2831">
        <v>6</v>
      </c>
      <c r="O2831" s="30"/>
    </row>
    <row r="2832" spans="10:15" x14ac:dyDescent="0.25">
      <c r="J2832" t="s">
        <v>1726</v>
      </c>
      <c r="K2832" s="22" t="s">
        <v>35</v>
      </c>
      <c r="L2832">
        <v>6</v>
      </c>
      <c r="M2832">
        <v>1</v>
      </c>
      <c r="O2832" s="30"/>
    </row>
    <row r="2833" spans="10:15" x14ac:dyDescent="0.25">
      <c r="J2833" t="s">
        <v>1726</v>
      </c>
      <c r="K2833" s="22" t="s">
        <v>22</v>
      </c>
      <c r="L2833">
        <v>10</v>
      </c>
      <c r="M2833">
        <v>3</v>
      </c>
      <c r="O2833" s="30"/>
    </row>
    <row r="2834" spans="10:15" x14ac:dyDescent="0.25">
      <c r="J2834" t="s">
        <v>1726</v>
      </c>
      <c r="K2834" s="22" t="s">
        <v>31</v>
      </c>
      <c r="L2834">
        <v>2</v>
      </c>
      <c r="O2834" s="30"/>
    </row>
    <row r="2835" spans="10:15" x14ac:dyDescent="0.25">
      <c r="J2835" t="s">
        <v>2056</v>
      </c>
      <c r="K2835" s="22" t="s">
        <v>24</v>
      </c>
      <c r="L2835">
        <v>1</v>
      </c>
      <c r="O2835" s="30"/>
    </row>
    <row r="2836" spans="10:15" x14ac:dyDescent="0.25">
      <c r="J2836" t="s">
        <v>2056</v>
      </c>
      <c r="K2836" s="22" t="s">
        <v>30</v>
      </c>
      <c r="L2836">
        <v>1</v>
      </c>
    </row>
    <row r="2837" spans="10:15" x14ac:dyDescent="0.25">
      <c r="J2837" t="s">
        <v>2056</v>
      </c>
      <c r="K2837" s="22" t="s">
        <v>28</v>
      </c>
      <c r="L2837">
        <v>11</v>
      </c>
      <c r="M2837">
        <v>11</v>
      </c>
      <c r="O2837" s="31"/>
    </row>
    <row r="2838" spans="10:15" x14ac:dyDescent="0.25">
      <c r="J2838" t="s">
        <v>2056</v>
      </c>
      <c r="K2838" s="22" t="s">
        <v>22</v>
      </c>
      <c r="L2838">
        <v>2</v>
      </c>
      <c r="M2838">
        <v>1</v>
      </c>
      <c r="O2838" s="30"/>
    </row>
    <row r="2839" spans="10:15" x14ac:dyDescent="0.25">
      <c r="J2839" t="s">
        <v>1409</v>
      </c>
      <c r="K2839" s="22" t="s">
        <v>30</v>
      </c>
      <c r="L2839">
        <v>5</v>
      </c>
      <c r="M2839">
        <v>3</v>
      </c>
    </row>
    <row r="2840" spans="10:15" x14ac:dyDescent="0.25">
      <c r="J2840" t="s">
        <v>1409</v>
      </c>
      <c r="K2840" s="22" t="s">
        <v>31</v>
      </c>
      <c r="L2840">
        <v>2</v>
      </c>
      <c r="M2840">
        <v>2</v>
      </c>
      <c r="O2840" s="31"/>
    </row>
    <row r="2841" spans="10:15" x14ac:dyDescent="0.25">
      <c r="J2841" t="s">
        <v>2638</v>
      </c>
      <c r="K2841" s="22" t="s">
        <v>30</v>
      </c>
      <c r="L2841">
        <v>1</v>
      </c>
    </row>
    <row r="2842" spans="10:15" x14ac:dyDescent="0.25">
      <c r="J2842" t="s">
        <v>2638</v>
      </c>
      <c r="K2842" s="22" t="s">
        <v>28</v>
      </c>
      <c r="L2842">
        <v>1</v>
      </c>
    </row>
    <row r="2843" spans="10:15" x14ac:dyDescent="0.25">
      <c r="J2843" t="s">
        <v>2638</v>
      </c>
      <c r="K2843" s="22" t="s">
        <v>35</v>
      </c>
      <c r="L2843">
        <v>1</v>
      </c>
    </row>
    <row r="2844" spans="10:15" x14ac:dyDescent="0.25">
      <c r="J2844" t="s">
        <v>1348</v>
      </c>
      <c r="K2844" s="22" t="s">
        <v>22</v>
      </c>
      <c r="L2844">
        <v>3</v>
      </c>
      <c r="M2844">
        <v>2</v>
      </c>
      <c r="O2844" s="30"/>
    </row>
    <row r="2845" spans="10:15" x14ac:dyDescent="0.25">
      <c r="J2845" t="s">
        <v>2259</v>
      </c>
      <c r="K2845" s="22" t="s">
        <v>30</v>
      </c>
      <c r="L2845">
        <v>1</v>
      </c>
    </row>
    <row r="2846" spans="10:15" x14ac:dyDescent="0.25">
      <c r="J2846" t="s">
        <v>2259</v>
      </c>
      <c r="K2846" s="22" t="s">
        <v>22</v>
      </c>
      <c r="L2846">
        <v>1</v>
      </c>
    </row>
    <row r="2847" spans="10:15" x14ac:dyDescent="0.25">
      <c r="J2847" t="s">
        <v>3355</v>
      </c>
      <c r="K2847" s="22" t="s">
        <v>30</v>
      </c>
      <c r="L2847">
        <v>1</v>
      </c>
      <c r="O2847" s="30"/>
    </row>
    <row r="2848" spans="10:15" x14ac:dyDescent="0.25">
      <c r="J2848" t="s">
        <v>2579</v>
      </c>
      <c r="K2848" s="22" t="s">
        <v>24</v>
      </c>
      <c r="L2848">
        <v>1</v>
      </c>
    </row>
    <row r="2849" spans="10:15" x14ac:dyDescent="0.25">
      <c r="J2849" t="s">
        <v>885</v>
      </c>
      <c r="K2849" s="22" t="s">
        <v>31</v>
      </c>
      <c r="L2849">
        <v>3</v>
      </c>
      <c r="M2849">
        <v>2</v>
      </c>
      <c r="O2849" s="30"/>
    </row>
    <row r="2850" spans="10:15" x14ac:dyDescent="0.25">
      <c r="J2850" t="s">
        <v>2677</v>
      </c>
      <c r="K2850" s="22" t="s">
        <v>24</v>
      </c>
      <c r="L2850">
        <v>1</v>
      </c>
      <c r="M2850">
        <v>1</v>
      </c>
    </row>
    <row r="2851" spans="10:15" x14ac:dyDescent="0.25">
      <c r="J2851" t="s">
        <v>3280</v>
      </c>
      <c r="K2851" s="22" t="s">
        <v>31</v>
      </c>
      <c r="L2851">
        <v>4</v>
      </c>
      <c r="M2851">
        <v>4</v>
      </c>
      <c r="O2851" s="31"/>
    </row>
    <row r="2852" spans="10:15" x14ac:dyDescent="0.25">
      <c r="J2852" t="s">
        <v>1925</v>
      </c>
      <c r="K2852" s="22" t="s">
        <v>24</v>
      </c>
      <c r="L2852">
        <v>3</v>
      </c>
      <c r="O2852" s="30"/>
    </row>
    <row r="2853" spans="10:15" x14ac:dyDescent="0.25">
      <c r="J2853" t="s">
        <v>1925</v>
      </c>
      <c r="K2853" s="22" t="s">
        <v>30</v>
      </c>
      <c r="L2853">
        <v>1</v>
      </c>
      <c r="O2853" s="30"/>
    </row>
    <row r="2854" spans="10:15" x14ac:dyDescent="0.25">
      <c r="J2854" t="s">
        <v>1925</v>
      </c>
      <c r="K2854" s="22" t="s">
        <v>35</v>
      </c>
      <c r="L2854">
        <v>1</v>
      </c>
    </row>
    <row r="2855" spans="10:15" x14ac:dyDescent="0.25">
      <c r="J2855" t="s">
        <v>1925</v>
      </c>
      <c r="K2855" s="22" t="s">
        <v>22</v>
      </c>
      <c r="L2855">
        <v>2</v>
      </c>
      <c r="O2855" s="30"/>
    </row>
    <row r="2856" spans="10:15" x14ac:dyDescent="0.25">
      <c r="J2856" t="s">
        <v>2725</v>
      </c>
      <c r="K2856" s="22" t="s">
        <v>35</v>
      </c>
      <c r="L2856">
        <v>1</v>
      </c>
    </row>
    <row r="2857" spans="10:15" x14ac:dyDescent="0.25">
      <c r="J2857" t="s">
        <v>1322</v>
      </c>
      <c r="K2857" s="22" t="s">
        <v>31</v>
      </c>
      <c r="L2857">
        <v>6</v>
      </c>
      <c r="M2857">
        <v>6</v>
      </c>
      <c r="O2857" s="31"/>
    </row>
    <row r="2858" spans="10:15" x14ac:dyDescent="0.25">
      <c r="J2858" t="s">
        <v>1251</v>
      </c>
      <c r="K2858" s="22" t="s">
        <v>24</v>
      </c>
      <c r="L2858">
        <v>1</v>
      </c>
      <c r="M2858">
        <v>1</v>
      </c>
    </row>
    <row r="2859" spans="10:15" x14ac:dyDescent="0.25">
      <c r="J2859" t="s">
        <v>2656</v>
      </c>
      <c r="K2859" s="22" t="s">
        <v>30</v>
      </c>
      <c r="L2859">
        <v>1</v>
      </c>
    </row>
    <row r="2860" spans="10:15" x14ac:dyDescent="0.25">
      <c r="J2860" t="s">
        <v>538</v>
      </c>
      <c r="K2860" s="22" t="s">
        <v>24</v>
      </c>
      <c r="L2860">
        <v>1</v>
      </c>
    </row>
    <row r="2861" spans="10:15" x14ac:dyDescent="0.25">
      <c r="J2861" t="s">
        <v>538</v>
      </c>
      <c r="K2861" s="22" t="s">
        <v>30</v>
      </c>
      <c r="L2861">
        <v>1</v>
      </c>
    </row>
    <row r="2862" spans="10:15" x14ac:dyDescent="0.25">
      <c r="J2862" t="s">
        <v>538</v>
      </c>
      <c r="K2862" s="22" t="s">
        <v>35</v>
      </c>
      <c r="L2862">
        <v>1</v>
      </c>
      <c r="O2862" s="30"/>
    </row>
    <row r="2863" spans="10:15" x14ac:dyDescent="0.25">
      <c r="J2863" t="s">
        <v>3148</v>
      </c>
      <c r="K2863" s="22" t="s">
        <v>30</v>
      </c>
      <c r="L2863">
        <v>1</v>
      </c>
      <c r="O2863" s="30"/>
    </row>
    <row r="2864" spans="10:15" x14ac:dyDescent="0.25">
      <c r="J2864" t="s">
        <v>3148</v>
      </c>
      <c r="K2864" s="22" t="s">
        <v>22</v>
      </c>
      <c r="L2864">
        <v>1</v>
      </c>
      <c r="O2864" s="30"/>
    </row>
    <row r="2865" spans="10:15" x14ac:dyDescent="0.25">
      <c r="J2865" t="s">
        <v>1350</v>
      </c>
      <c r="K2865" s="22" t="s">
        <v>30</v>
      </c>
      <c r="L2865">
        <v>3</v>
      </c>
      <c r="M2865">
        <v>3</v>
      </c>
      <c r="O2865" s="31"/>
    </row>
    <row r="2866" spans="10:15" x14ac:dyDescent="0.25">
      <c r="J2866" t="s">
        <v>3343</v>
      </c>
      <c r="K2866" s="22" t="s">
        <v>24</v>
      </c>
      <c r="L2866">
        <v>2</v>
      </c>
      <c r="O2866" s="30"/>
    </row>
    <row r="2867" spans="10:15" x14ac:dyDescent="0.25">
      <c r="J2867" t="s">
        <v>3215</v>
      </c>
      <c r="K2867" s="22" t="s">
        <v>24</v>
      </c>
      <c r="L2867">
        <v>1</v>
      </c>
      <c r="O2867" s="30"/>
    </row>
    <row r="2868" spans="10:15" x14ac:dyDescent="0.25">
      <c r="J2868" t="s">
        <v>3185</v>
      </c>
      <c r="K2868" s="22" t="s">
        <v>28</v>
      </c>
      <c r="L2868">
        <v>1</v>
      </c>
      <c r="O2868" s="30"/>
    </row>
    <row r="2869" spans="10:15" x14ac:dyDescent="0.25">
      <c r="J2869" t="s">
        <v>3185</v>
      </c>
      <c r="K2869" s="22" t="s">
        <v>35</v>
      </c>
      <c r="L2869">
        <v>3</v>
      </c>
      <c r="M2869">
        <v>2</v>
      </c>
      <c r="O2869" s="30"/>
    </row>
    <row r="2870" spans="10:15" x14ac:dyDescent="0.25">
      <c r="J2870" t="s">
        <v>3324</v>
      </c>
      <c r="K2870" s="22" t="s">
        <v>24</v>
      </c>
      <c r="L2870">
        <v>2</v>
      </c>
      <c r="M2870">
        <v>1</v>
      </c>
      <c r="O2870" s="30"/>
    </row>
    <row r="2871" spans="10:15" x14ac:dyDescent="0.25">
      <c r="J2871" t="s">
        <v>3360</v>
      </c>
      <c r="K2871" s="22" t="s">
        <v>24</v>
      </c>
      <c r="L2871">
        <v>2</v>
      </c>
      <c r="M2871">
        <v>2</v>
      </c>
      <c r="O2871" s="31"/>
    </row>
    <row r="2872" spans="10:15" x14ac:dyDescent="0.25">
      <c r="J2872" t="s">
        <v>2697</v>
      </c>
      <c r="K2872" s="22" t="s">
        <v>24</v>
      </c>
      <c r="L2872">
        <v>1</v>
      </c>
      <c r="M2872">
        <v>1</v>
      </c>
      <c r="O2872" s="31"/>
    </row>
    <row r="2873" spans="10:15" x14ac:dyDescent="0.25">
      <c r="J2873" t="s">
        <v>610</v>
      </c>
      <c r="K2873" s="22" t="s">
        <v>24</v>
      </c>
      <c r="L2873">
        <v>1</v>
      </c>
    </row>
    <row r="2874" spans="10:15" x14ac:dyDescent="0.25">
      <c r="J2874" t="s">
        <v>610</v>
      </c>
      <c r="K2874" s="22" t="s">
        <v>28</v>
      </c>
      <c r="L2874">
        <v>2</v>
      </c>
      <c r="M2874">
        <v>1</v>
      </c>
    </row>
    <row r="2875" spans="10:15" x14ac:dyDescent="0.25">
      <c r="J2875" t="s">
        <v>610</v>
      </c>
      <c r="K2875" s="22" t="s">
        <v>22</v>
      </c>
      <c r="L2875">
        <v>1</v>
      </c>
    </row>
    <row r="2876" spans="10:15" x14ac:dyDescent="0.25">
      <c r="J2876" t="s">
        <v>1151</v>
      </c>
      <c r="K2876" s="22" t="s">
        <v>28</v>
      </c>
      <c r="L2876">
        <v>1</v>
      </c>
      <c r="M2876">
        <v>1</v>
      </c>
    </row>
    <row r="2877" spans="10:15" x14ac:dyDescent="0.25">
      <c r="J2877" t="s">
        <v>910</v>
      </c>
      <c r="K2877" s="22" t="s">
        <v>29</v>
      </c>
      <c r="L2877">
        <v>2</v>
      </c>
      <c r="M2877">
        <v>1</v>
      </c>
      <c r="O2877" s="30"/>
    </row>
    <row r="2878" spans="10:15" x14ac:dyDescent="0.25">
      <c r="J2878" t="s">
        <v>3500</v>
      </c>
      <c r="K2878" s="22" t="s">
        <v>24</v>
      </c>
      <c r="L2878">
        <v>1</v>
      </c>
      <c r="O2878" s="30"/>
    </row>
    <row r="2879" spans="10:15" x14ac:dyDescent="0.25">
      <c r="J2879" t="s">
        <v>3302</v>
      </c>
      <c r="K2879" s="22" t="s">
        <v>31</v>
      </c>
      <c r="L2879">
        <v>1</v>
      </c>
      <c r="M2879">
        <v>1</v>
      </c>
      <c r="O2879" s="31"/>
    </row>
    <row r="2880" spans="10:15" x14ac:dyDescent="0.25">
      <c r="J2880" t="s">
        <v>2066</v>
      </c>
      <c r="K2880" s="22" t="s">
        <v>24</v>
      </c>
      <c r="L2880">
        <v>2</v>
      </c>
      <c r="M2880">
        <v>2</v>
      </c>
      <c r="O2880" s="31"/>
    </row>
    <row r="2881" spans="10:15" x14ac:dyDescent="0.25">
      <c r="J2881" t="s">
        <v>887</v>
      </c>
      <c r="K2881" s="22" t="s">
        <v>35</v>
      </c>
      <c r="L2881">
        <v>3</v>
      </c>
      <c r="M2881">
        <v>3</v>
      </c>
      <c r="O2881" s="31"/>
    </row>
    <row r="2882" spans="10:15" x14ac:dyDescent="0.25">
      <c r="J2882" t="s">
        <v>575</v>
      </c>
      <c r="K2882" s="22" t="s">
        <v>35</v>
      </c>
      <c r="L2882">
        <v>5</v>
      </c>
      <c r="M2882">
        <v>5</v>
      </c>
      <c r="O2882" s="31"/>
    </row>
    <row r="2883" spans="10:15" x14ac:dyDescent="0.25">
      <c r="J2883" t="s">
        <v>745</v>
      </c>
      <c r="K2883" s="22" t="s">
        <v>24</v>
      </c>
      <c r="L2883">
        <v>7</v>
      </c>
      <c r="M2883">
        <v>7</v>
      </c>
      <c r="O2883" s="31"/>
    </row>
    <row r="2884" spans="10:15" x14ac:dyDescent="0.25">
      <c r="J2884" t="s">
        <v>2083</v>
      </c>
      <c r="K2884" s="22" t="s">
        <v>24</v>
      </c>
      <c r="L2884">
        <v>1</v>
      </c>
      <c r="M2884">
        <v>1</v>
      </c>
    </row>
    <row r="2885" spans="10:15" x14ac:dyDescent="0.25">
      <c r="J2885" t="s">
        <v>1684</v>
      </c>
      <c r="K2885" s="22" t="s">
        <v>29</v>
      </c>
      <c r="L2885">
        <v>5</v>
      </c>
      <c r="M2885">
        <v>5</v>
      </c>
      <c r="O2885" s="31"/>
    </row>
    <row r="2886" spans="10:15" x14ac:dyDescent="0.25">
      <c r="J2886" t="s">
        <v>2049</v>
      </c>
      <c r="K2886" s="22" t="s">
        <v>24</v>
      </c>
      <c r="L2886">
        <v>1</v>
      </c>
    </row>
    <row r="2887" spans="10:15" x14ac:dyDescent="0.25">
      <c r="J2887" t="s">
        <v>1190</v>
      </c>
      <c r="K2887" s="22" t="s">
        <v>24</v>
      </c>
      <c r="L2887">
        <v>1</v>
      </c>
    </row>
    <row r="2888" spans="10:15" x14ac:dyDescent="0.25">
      <c r="J2888" t="s">
        <v>1190</v>
      </c>
      <c r="K2888" s="22" t="s">
        <v>28</v>
      </c>
      <c r="L2888">
        <v>1</v>
      </c>
      <c r="M2888">
        <v>1</v>
      </c>
    </row>
    <row r="2889" spans="10:15" x14ac:dyDescent="0.25">
      <c r="J2889" t="s">
        <v>2617</v>
      </c>
      <c r="K2889" s="22" t="s">
        <v>35</v>
      </c>
      <c r="L2889">
        <v>1</v>
      </c>
      <c r="M2889">
        <v>1</v>
      </c>
    </row>
    <row r="2890" spans="10:15" x14ac:dyDescent="0.25">
      <c r="J2890" t="s">
        <v>513</v>
      </c>
      <c r="K2890" s="22" t="s">
        <v>35</v>
      </c>
      <c r="L2890">
        <v>1</v>
      </c>
      <c r="M2890">
        <v>1</v>
      </c>
    </row>
    <row r="2891" spans="10:15" x14ac:dyDescent="0.25">
      <c r="J2891" t="s">
        <v>1754</v>
      </c>
      <c r="K2891" s="22" t="s">
        <v>24</v>
      </c>
      <c r="L2891">
        <v>1</v>
      </c>
      <c r="M2891">
        <v>1</v>
      </c>
    </row>
    <row r="2892" spans="10:15" x14ac:dyDescent="0.25">
      <c r="J2892" t="s">
        <v>1942</v>
      </c>
      <c r="K2892" s="22" t="s">
        <v>24</v>
      </c>
      <c r="L2892">
        <v>1</v>
      </c>
    </row>
    <row r="2893" spans="10:15" x14ac:dyDescent="0.25">
      <c r="J2893" t="s">
        <v>1057</v>
      </c>
      <c r="K2893" s="22" t="s">
        <v>24</v>
      </c>
      <c r="L2893">
        <v>5</v>
      </c>
      <c r="M2893">
        <v>5</v>
      </c>
      <c r="O2893" s="31"/>
    </row>
    <row r="2894" spans="10:15" x14ac:dyDescent="0.25">
      <c r="J2894" t="s">
        <v>2507</v>
      </c>
      <c r="K2894" s="22" t="s">
        <v>24</v>
      </c>
      <c r="L2894">
        <v>3</v>
      </c>
      <c r="M2894">
        <v>2</v>
      </c>
      <c r="O2894" s="30"/>
    </row>
    <row r="2895" spans="10:15" x14ac:dyDescent="0.25">
      <c r="J2895" t="s">
        <v>286</v>
      </c>
      <c r="K2895" s="22" t="s">
        <v>24</v>
      </c>
      <c r="L2895">
        <v>1</v>
      </c>
    </row>
    <row r="2896" spans="10:15" x14ac:dyDescent="0.25">
      <c r="J2896" t="s">
        <v>286</v>
      </c>
      <c r="K2896" s="22" t="s">
        <v>28</v>
      </c>
      <c r="L2896">
        <v>1</v>
      </c>
    </row>
    <row r="2897" spans="10:15" x14ac:dyDescent="0.25">
      <c r="J2897" t="s">
        <v>286</v>
      </c>
      <c r="K2897" s="22" t="s">
        <v>35</v>
      </c>
      <c r="L2897">
        <v>1</v>
      </c>
    </row>
    <row r="2898" spans="10:15" x14ac:dyDescent="0.25">
      <c r="J2898" t="s">
        <v>2160</v>
      </c>
      <c r="K2898" s="22" t="s">
        <v>28</v>
      </c>
      <c r="L2898">
        <v>1</v>
      </c>
      <c r="O2898" s="30"/>
    </row>
    <row r="2899" spans="10:15" x14ac:dyDescent="0.25">
      <c r="J2899" t="s">
        <v>2160</v>
      </c>
      <c r="K2899" s="22" t="s">
        <v>35</v>
      </c>
      <c r="L2899">
        <v>1</v>
      </c>
    </row>
    <row r="2900" spans="10:15" x14ac:dyDescent="0.25">
      <c r="J2900" t="s">
        <v>1827</v>
      </c>
      <c r="K2900" s="22" t="s">
        <v>28</v>
      </c>
      <c r="L2900">
        <v>1</v>
      </c>
    </row>
    <row r="2901" spans="10:15" x14ac:dyDescent="0.25">
      <c r="J2901" t="s">
        <v>1827</v>
      </c>
      <c r="K2901" s="22" t="s">
        <v>22</v>
      </c>
      <c r="L2901">
        <v>1</v>
      </c>
      <c r="M2901">
        <v>1</v>
      </c>
      <c r="O2901" s="31"/>
    </row>
    <row r="2902" spans="10:15" x14ac:dyDescent="0.25">
      <c r="J2902" t="s">
        <v>1086</v>
      </c>
      <c r="K2902" s="22" t="s">
        <v>28</v>
      </c>
      <c r="L2902">
        <v>2</v>
      </c>
    </row>
    <row r="2903" spans="10:15" x14ac:dyDescent="0.25">
      <c r="J2903" t="s">
        <v>1086</v>
      </c>
      <c r="K2903" s="22" t="s">
        <v>31</v>
      </c>
      <c r="L2903">
        <v>1</v>
      </c>
      <c r="M2903">
        <v>1</v>
      </c>
    </row>
    <row r="2904" spans="10:15" x14ac:dyDescent="0.25">
      <c r="J2904" t="s">
        <v>1411</v>
      </c>
      <c r="K2904" s="22" t="s">
        <v>28</v>
      </c>
      <c r="L2904">
        <v>1</v>
      </c>
      <c r="M2904">
        <v>1</v>
      </c>
    </row>
    <row r="2905" spans="10:15" x14ac:dyDescent="0.25">
      <c r="J2905" t="s">
        <v>1551</v>
      </c>
      <c r="K2905" s="22" t="s">
        <v>24</v>
      </c>
      <c r="L2905">
        <v>1</v>
      </c>
    </row>
    <row r="2906" spans="10:15" x14ac:dyDescent="0.25">
      <c r="J2906" t="s">
        <v>1551</v>
      </c>
      <c r="K2906" s="22" t="s">
        <v>31</v>
      </c>
      <c r="L2906">
        <v>2</v>
      </c>
      <c r="M2906">
        <v>2</v>
      </c>
      <c r="O2906" s="31"/>
    </row>
    <row r="2907" spans="10:15" x14ac:dyDescent="0.25">
      <c r="J2907" t="s">
        <v>1508</v>
      </c>
      <c r="K2907" s="22" t="s">
        <v>35</v>
      </c>
      <c r="L2907">
        <v>1</v>
      </c>
    </row>
    <row r="2908" spans="10:15" x14ac:dyDescent="0.25">
      <c r="J2908" t="s">
        <v>1508</v>
      </c>
      <c r="K2908" s="22" t="s">
        <v>31</v>
      </c>
      <c r="L2908">
        <v>1</v>
      </c>
    </row>
    <row r="2909" spans="10:15" x14ac:dyDescent="0.25">
      <c r="J2909" t="s">
        <v>2019</v>
      </c>
      <c r="K2909" s="22" t="s">
        <v>24</v>
      </c>
      <c r="L2909">
        <v>1</v>
      </c>
    </row>
    <row r="2910" spans="10:15" x14ac:dyDescent="0.25">
      <c r="J2910" t="s">
        <v>2019</v>
      </c>
      <c r="K2910" s="22" t="s">
        <v>35</v>
      </c>
      <c r="L2910">
        <v>1</v>
      </c>
    </row>
    <row r="2911" spans="10:15" x14ac:dyDescent="0.25">
      <c r="J2911" t="s">
        <v>1785</v>
      </c>
      <c r="K2911" s="22" t="s">
        <v>31</v>
      </c>
      <c r="L2911">
        <v>1</v>
      </c>
      <c r="M2911">
        <v>1</v>
      </c>
    </row>
    <row r="2912" spans="10:15" x14ac:dyDescent="0.25">
      <c r="J2912" t="s">
        <v>2640</v>
      </c>
      <c r="K2912" s="22" t="s">
        <v>35</v>
      </c>
      <c r="L2912">
        <v>1</v>
      </c>
    </row>
    <row r="2913" spans="10:15" x14ac:dyDescent="0.25">
      <c r="J2913" t="s">
        <v>3023</v>
      </c>
      <c r="K2913" s="22" t="s">
        <v>22</v>
      </c>
      <c r="L2913">
        <v>3</v>
      </c>
      <c r="M2913">
        <v>3</v>
      </c>
      <c r="O2913" s="31"/>
    </row>
    <row r="2914" spans="10:15" x14ac:dyDescent="0.25">
      <c r="J2914" t="s">
        <v>1610</v>
      </c>
      <c r="K2914" s="22" t="s">
        <v>24</v>
      </c>
      <c r="L2914">
        <v>3</v>
      </c>
      <c r="M2914">
        <v>3</v>
      </c>
      <c r="O2914" s="31"/>
    </row>
    <row r="2915" spans="10:15" x14ac:dyDescent="0.25">
      <c r="J2915" t="s">
        <v>1352</v>
      </c>
      <c r="K2915" s="22" t="s">
        <v>24</v>
      </c>
      <c r="L2915">
        <v>10</v>
      </c>
      <c r="M2915">
        <v>10</v>
      </c>
      <c r="O2915" s="31"/>
    </row>
    <row r="2916" spans="10:15" x14ac:dyDescent="0.25">
      <c r="J2916" t="s">
        <v>3031</v>
      </c>
      <c r="K2916" s="22" t="s">
        <v>24</v>
      </c>
      <c r="L2916">
        <v>1</v>
      </c>
      <c r="O2916" s="30"/>
    </row>
    <row r="2917" spans="10:15" x14ac:dyDescent="0.25">
      <c r="J2917" t="s">
        <v>1428</v>
      </c>
      <c r="K2917" s="22" t="s">
        <v>29</v>
      </c>
      <c r="L2917">
        <v>3</v>
      </c>
      <c r="M2917">
        <v>3</v>
      </c>
      <c r="O2917" s="31"/>
    </row>
    <row r="2918" spans="10:15" x14ac:dyDescent="0.25">
      <c r="J2918" t="s">
        <v>1428</v>
      </c>
      <c r="K2918" s="22" t="s">
        <v>28</v>
      </c>
      <c r="L2918">
        <v>3</v>
      </c>
    </row>
    <row r="2919" spans="10:15" x14ac:dyDescent="0.25">
      <c r="J2919" t="s">
        <v>1428</v>
      </c>
      <c r="K2919" s="22" t="s">
        <v>31</v>
      </c>
      <c r="L2919">
        <v>4</v>
      </c>
      <c r="M2919">
        <v>1</v>
      </c>
      <c r="O2919" s="31"/>
    </row>
    <row r="2920" spans="10:15" x14ac:dyDescent="0.25">
      <c r="J2920" t="s">
        <v>3087</v>
      </c>
      <c r="K2920" s="22" t="s">
        <v>29</v>
      </c>
      <c r="L2920">
        <v>2</v>
      </c>
      <c r="M2920">
        <v>2</v>
      </c>
      <c r="O2920" s="31"/>
    </row>
    <row r="2921" spans="10:15" x14ac:dyDescent="0.25">
      <c r="J2921" t="s">
        <v>3087</v>
      </c>
      <c r="K2921" s="22" t="s">
        <v>22</v>
      </c>
      <c r="L2921">
        <v>3</v>
      </c>
      <c r="M2921">
        <v>2</v>
      </c>
      <c r="O2921" s="31"/>
    </row>
    <row r="2922" spans="10:15" x14ac:dyDescent="0.25">
      <c r="J2922" t="s">
        <v>1395</v>
      </c>
      <c r="K2922" s="22" t="s">
        <v>31</v>
      </c>
      <c r="L2922">
        <v>6</v>
      </c>
      <c r="M2922">
        <v>6</v>
      </c>
      <c r="O2922" s="31"/>
    </row>
    <row r="2923" spans="10:15" x14ac:dyDescent="0.25">
      <c r="J2923" t="s">
        <v>1475</v>
      </c>
      <c r="K2923" s="22" t="s">
        <v>24</v>
      </c>
      <c r="L2923">
        <v>2</v>
      </c>
      <c r="O2923" s="30"/>
    </row>
    <row r="2924" spans="10:15" x14ac:dyDescent="0.25">
      <c r="J2924" t="s">
        <v>1475</v>
      </c>
      <c r="K2924" s="22" t="s">
        <v>29</v>
      </c>
      <c r="L2924">
        <v>1</v>
      </c>
    </row>
    <row r="2925" spans="10:15" x14ac:dyDescent="0.25">
      <c r="J2925" t="s">
        <v>1475</v>
      </c>
      <c r="K2925" s="22" t="s">
        <v>28</v>
      </c>
      <c r="L2925">
        <v>1</v>
      </c>
    </row>
    <row r="2926" spans="10:15" x14ac:dyDescent="0.25">
      <c r="J2926" t="s">
        <v>1475</v>
      </c>
      <c r="K2926" s="22" t="s">
        <v>35</v>
      </c>
      <c r="L2926">
        <v>1</v>
      </c>
    </row>
    <row r="2927" spans="10:15" x14ac:dyDescent="0.25">
      <c r="J2927" t="s">
        <v>2025</v>
      </c>
      <c r="K2927" s="22" t="s">
        <v>24</v>
      </c>
      <c r="L2927">
        <v>2</v>
      </c>
      <c r="O2927" s="30"/>
    </row>
    <row r="2928" spans="10:15" x14ac:dyDescent="0.25">
      <c r="J2928" t="s">
        <v>2025</v>
      </c>
      <c r="K2928" s="22" t="s">
        <v>29</v>
      </c>
      <c r="L2928">
        <v>3</v>
      </c>
      <c r="M2928">
        <v>3</v>
      </c>
      <c r="O2928" s="31"/>
    </row>
    <row r="2929" spans="10:15" x14ac:dyDescent="0.25">
      <c r="J2929" t="s">
        <v>2025</v>
      </c>
      <c r="K2929" s="22" t="s">
        <v>35</v>
      </c>
      <c r="L2929">
        <v>3</v>
      </c>
      <c r="O2929" s="30"/>
    </row>
    <row r="2930" spans="10:15" x14ac:dyDescent="0.25">
      <c r="J2930" t="s">
        <v>1700</v>
      </c>
      <c r="K2930" s="22" t="s">
        <v>28</v>
      </c>
      <c r="L2930">
        <v>4</v>
      </c>
      <c r="M2930">
        <v>3</v>
      </c>
      <c r="O2930" s="30"/>
    </row>
    <row r="2931" spans="10:15" x14ac:dyDescent="0.25">
      <c r="J2931" t="s">
        <v>1539</v>
      </c>
      <c r="K2931" s="22" t="s">
        <v>29</v>
      </c>
      <c r="L2931">
        <v>3</v>
      </c>
      <c r="M2931">
        <v>3</v>
      </c>
      <c r="O2931" s="31"/>
    </row>
    <row r="2932" spans="10:15" x14ac:dyDescent="0.25">
      <c r="J2932" t="s">
        <v>1388</v>
      </c>
      <c r="K2932" s="22" t="s">
        <v>29</v>
      </c>
      <c r="L2932">
        <v>1</v>
      </c>
      <c r="M2932">
        <v>1</v>
      </c>
    </row>
    <row r="2933" spans="10:15" x14ac:dyDescent="0.25">
      <c r="J2933" t="s">
        <v>1388</v>
      </c>
      <c r="K2933" s="22" t="s">
        <v>28</v>
      </c>
      <c r="L2933">
        <v>5</v>
      </c>
      <c r="M2933">
        <v>1</v>
      </c>
      <c r="O2933" s="30"/>
    </row>
    <row r="2934" spans="10:15" x14ac:dyDescent="0.25">
      <c r="J2934" t="s">
        <v>1388</v>
      </c>
      <c r="K2934" s="22" t="s">
        <v>31</v>
      </c>
      <c r="L2934">
        <v>2</v>
      </c>
      <c r="O2934" s="30"/>
    </row>
    <row r="2935" spans="10:15" x14ac:dyDescent="0.25">
      <c r="J2935" t="s">
        <v>1906</v>
      </c>
      <c r="K2935" s="22" t="s">
        <v>24</v>
      </c>
      <c r="L2935">
        <v>2</v>
      </c>
      <c r="M2935">
        <v>1</v>
      </c>
      <c r="O2935" s="30"/>
    </row>
    <row r="2936" spans="10:15" x14ac:dyDescent="0.25">
      <c r="J2936" t="s">
        <v>3012</v>
      </c>
      <c r="K2936" s="22" t="s">
        <v>29</v>
      </c>
      <c r="L2936">
        <v>2</v>
      </c>
      <c r="M2936">
        <v>2</v>
      </c>
      <c r="O2936" s="31"/>
    </row>
    <row r="2937" spans="10:15" x14ac:dyDescent="0.25">
      <c r="J2937" t="s">
        <v>1571</v>
      </c>
      <c r="K2937" s="22" t="s">
        <v>24</v>
      </c>
      <c r="L2937">
        <v>2</v>
      </c>
      <c r="M2937">
        <v>2</v>
      </c>
      <c r="O2937" s="31"/>
    </row>
    <row r="2938" spans="10:15" x14ac:dyDescent="0.25">
      <c r="J2938" t="s">
        <v>1548</v>
      </c>
      <c r="K2938" s="22" t="s">
        <v>35</v>
      </c>
      <c r="L2938">
        <v>4</v>
      </c>
      <c r="M2938">
        <v>4</v>
      </c>
      <c r="O2938" s="31"/>
    </row>
    <row r="2939" spans="10:15" x14ac:dyDescent="0.25">
      <c r="J2939" t="s">
        <v>1823</v>
      </c>
      <c r="K2939" s="22" t="s">
        <v>24</v>
      </c>
      <c r="L2939">
        <v>1</v>
      </c>
    </row>
    <row r="2940" spans="10:15" x14ac:dyDescent="0.25">
      <c r="J2940" t="s">
        <v>1823</v>
      </c>
      <c r="K2940" s="22" t="s">
        <v>29</v>
      </c>
      <c r="L2940">
        <v>1</v>
      </c>
    </row>
    <row r="2941" spans="10:15" x14ac:dyDescent="0.25">
      <c r="J2941" t="s">
        <v>1823</v>
      </c>
      <c r="K2941" s="22" t="s">
        <v>35</v>
      </c>
      <c r="L2941">
        <v>1</v>
      </c>
    </row>
    <row r="2942" spans="10:15" x14ac:dyDescent="0.25">
      <c r="J2942" t="s">
        <v>1107</v>
      </c>
      <c r="K2942" s="22" t="s">
        <v>24</v>
      </c>
      <c r="L2942">
        <v>1</v>
      </c>
    </row>
    <row r="2943" spans="10:15" x14ac:dyDescent="0.25">
      <c r="J2943" t="s">
        <v>1107</v>
      </c>
      <c r="K2943" s="22" t="s">
        <v>29</v>
      </c>
      <c r="L2943">
        <v>3</v>
      </c>
      <c r="M2943">
        <v>1</v>
      </c>
      <c r="O2943" s="31"/>
    </row>
    <row r="2944" spans="10:15" x14ac:dyDescent="0.25">
      <c r="J2944" t="s">
        <v>1107</v>
      </c>
      <c r="K2944" s="22" t="s">
        <v>35</v>
      </c>
      <c r="L2944">
        <v>2</v>
      </c>
      <c r="O2944" s="30"/>
    </row>
    <row r="2945" spans="10:15" x14ac:dyDescent="0.25">
      <c r="J2945" t="s">
        <v>1107</v>
      </c>
      <c r="K2945" s="22" t="s">
        <v>31</v>
      </c>
      <c r="L2945">
        <v>1</v>
      </c>
      <c r="M2945">
        <v>1</v>
      </c>
    </row>
    <row r="2946" spans="10:15" x14ac:dyDescent="0.25">
      <c r="J2946" t="s">
        <v>1685</v>
      </c>
      <c r="K2946" s="22" t="s">
        <v>29</v>
      </c>
      <c r="L2946">
        <v>6</v>
      </c>
      <c r="M2946">
        <v>6</v>
      </c>
      <c r="O2946" s="31"/>
    </row>
    <row r="2947" spans="10:15" x14ac:dyDescent="0.25">
      <c r="J2947" t="s">
        <v>1696</v>
      </c>
      <c r="K2947" s="22" t="s">
        <v>24</v>
      </c>
      <c r="L2947">
        <v>2</v>
      </c>
      <c r="M2947">
        <v>1</v>
      </c>
      <c r="O2947" s="30"/>
    </row>
    <row r="2948" spans="10:15" x14ac:dyDescent="0.25">
      <c r="J2948" t="s">
        <v>1232</v>
      </c>
      <c r="K2948" s="22" t="s">
        <v>24</v>
      </c>
      <c r="L2948">
        <v>2</v>
      </c>
    </row>
    <row r="2949" spans="10:15" x14ac:dyDescent="0.25">
      <c r="J2949" t="s">
        <v>1232</v>
      </c>
      <c r="K2949" s="22" t="s">
        <v>29</v>
      </c>
      <c r="L2949">
        <v>2</v>
      </c>
      <c r="M2949">
        <v>2</v>
      </c>
      <c r="O2949" s="31"/>
    </row>
    <row r="2950" spans="10:15" x14ac:dyDescent="0.25">
      <c r="J2950" t="s">
        <v>2457</v>
      </c>
      <c r="K2950" s="22" t="s">
        <v>22</v>
      </c>
      <c r="L2950">
        <v>1</v>
      </c>
      <c r="M2950">
        <v>1</v>
      </c>
    </row>
    <row r="2951" spans="10:15" x14ac:dyDescent="0.25">
      <c r="J2951" t="s">
        <v>3494</v>
      </c>
      <c r="K2951" s="22" t="s">
        <v>29</v>
      </c>
      <c r="L2951">
        <v>1</v>
      </c>
      <c r="O2951" s="30"/>
    </row>
    <row r="2952" spans="10:15" x14ac:dyDescent="0.25">
      <c r="J2952" t="s">
        <v>3114</v>
      </c>
      <c r="K2952" s="22" t="s">
        <v>29</v>
      </c>
      <c r="L2952">
        <v>1</v>
      </c>
      <c r="O2952" s="30"/>
    </row>
    <row r="2953" spans="10:15" x14ac:dyDescent="0.25">
      <c r="J2953" t="s">
        <v>1612</v>
      </c>
      <c r="K2953" s="22" t="s">
        <v>22</v>
      </c>
      <c r="L2953">
        <v>1</v>
      </c>
    </row>
    <row r="2954" spans="10:15" x14ac:dyDescent="0.25">
      <c r="J2954" t="s">
        <v>2929</v>
      </c>
      <c r="K2954" s="22" t="s">
        <v>29</v>
      </c>
      <c r="L2954">
        <v>2</v>
      </c>
      <c r="M2954">
        <v>1</v>
      </c>
      <c r="O2954" s="30"/>
    </row>
    <row r="2955" spans="10:15" x14ac:dyDescent="0.25">
      <c r="J2955" t="s">
        <v>2929</v>
      </c>
      <c r="K2955" s="22" t="s">
        <v>35</v>
      </c>
      <c r="L2955">
        <v>1</v>
      </c>
      <c r="O2955" s="30"/>
    </row>
    <row r="2956" spans="10:15" x14ac:dyDescent="0.25">
      <c r="J2956" t="s">
        <v>1805</v>
      </c>
      <c r="K2956" s="22" t="s">
        <v>24</v>
      </c>
      <c r="L2956">
        <v>2</v>
      </c>
      <c r="M2956">
        <v>1</v>
      </c>
      <c r="O2956" s="30"/>
    </row>
    <row r="2957" spans="10:15" x14ac:dyDescent="0.25">
      <c r="J2957" t="s">
        <v>1805</v>
      </c>
      <c r="K2957" s="22" t="s">
        <v>29</v>
      </c>
      <c r="L2957">
        <v>1</v>
      </c>
      <c r="M2957">
        <v>1</v>
      </c>
      <c r="O2957" s="31"/>
    </row>
    <row r="2958" spans="10:15" x14ac:dyDescent="0.25">
      <c r="J2958" t="s">
        <v>413</v>
      </c>
      <c r="K2958" s="22" t="s">
        <v>24</v>
      </c>
      <c r="L2958">
        <v>2</v>
      </c>
      <c r="O2958" s="30"/>
    </row>
    <row r="2959" spans="10:15" x14ac:dyDescent="0.25">
      <c r="J2959" t="s">
        <v>413</v>
      </c>
      <c r="K2959" s="22" t="s">
        <v>31</v>
      </c>
      <c r="L2959">
        <v>1</v>
      </c>
      <c r="M2959">
        <v>1</v>
      </c>
    </row>
    <row r="2960" spans="10:15" x14ac:dyDescent="0.25">
      <c r="J2960" t="s">
        <v>1889</v>
      </c>
      <c r="K2960" s="22" t="s">
        <v>24</v>
      </c>
      <c r="L2960">
        <v>1</v>
      </c>
    </row>
    <row r="2961" spans="10:15" x14ac:dyDescent="0.25">
      <c r="J2961" t="s">
        <v>1614</v>
      </c>
      <c r="K2961" s="22" t="s">
        <v>24</v>
      </c>
      <c r="L2961">
        <v>1</v>
      </c>
    </row>
    <row r="2962" spans="10:15" x14ac:dyDescent="0.25">
      <c r="J2962" t="s">
        <v>1614</v>
      </c>
      <c r="K2962" s="22" t="s">
        <v>29</v>
      </c>
      <c r="L2962">
        <v>1</v>
      </c>
      <c r="O2962" s="30"/>
    </row>
    <row r="2963" spans="10:15" x14ac:dyDescent="0.25">
      <c r="J2963" t="s">
        <v>303</v>
      </c>
      <c r="K2963" s="22" t="s">
        <v>35</v>
      </c>
      <c r="L2963">
        <v>10</v>
      </c>
      <c r="M2963">
        <v>10</v>
      </c>
      <c r="O2963" s="31"/>
    </row>
    <row r="2964" spans="10:15" x14ac:dyDescent="0.25">
      <c r="J2964" t="s">
        <v>482</v>
      </c>
      <c r="K2964" s="22" t="s">
        <v>24</v>
      </c>
      <c r="L2964">
        <v>2</v>
      </c>
      <c r="M2964">
        <v>1</v>
      </c>
      <c r="O2964" s="30"/>
    </row>
    <row r="2965" spans="10:15" x14ac:dyDescent="0.25">
      <c r="J2965" t="s">
        <v>482</v>
      </c>
      <c r="K2965" s="22" t="s">
        <v>22</v>
      </c>
      <c r="L2965">
        <v>1</v>
      </c>
    </row>
    <row r="2966" spans="10:15" x14ac:dyDescent="0.25">
      <c r="J2966" t="s">
        <v>2130</v>
      </c>
      <c r="K2966" s="22" t="s">
        <v>31</v>
      </c>
      <c r="L2966">
        <v>2</v>
      </c>
      <c r="M2966">
        <v>2</v>
      </c>
      <c r="O2966" s="31"/>
    </row>
    <row r="2967" spans="10:15" x14ac:dyDescent="0.25">
      <c r="J2967" t="s">
        <v>1012</v>
      </c>
      <c r="K2967" s="22" t="s">
        <v>24</v>
      </c>
      <c r="L2967">
        <v>8</v>
      </c>
      <c r="M2967">
        <v>8</v>
      </c>
      <c r="O2967" s="31"/>
    </row>
    <row r="2968" spans="10:15" x14ac:dyDescent="0.25">
      <c r="J2968" t="s">
        <v>3122</v>
      </c>
      <c r="K2968" s="22" t="s">
        <v>28</v>
      </c>
      <c r="L2968">
        <v>2</v>
      </c>
      <c r="M2968">
        <v>2</v>
      </c>
      <c r="O2968" s="31"/>
    </row>
    <row r="2969" spans="10:15" x14ac:dyDescent="0.25">
      <c r="J2969" t="s">
        <v>933</v>
      </c>
      <c r="K2969" s="22" t="s">
        <v>31</v>
      </c>
      <c r="L2969">
        <v>1</v>
      </c>
      <c r="M2969">
        <v>1</v>
      </c>
    </row>
    <row r="2970" spans="10:15" x14ac:dyDescent="0.25">
      <c r="J2970" t="s">
        <v>1625</v>
      </c>
      <c r="K2970" s="22" t="s">
        <v>28</v>
      </c>
      <c r="L2970">
        <v>1</v>
      </c>
    </row>
    <row r="2971" spans="10:15" x14ac:dyDescent="0.25">
      <c r="J2971" t="s">
        <v>2132</v>
      </c>
      <c r="K2971" s="22" t="s">
        <v>28</v>
      </c>
      <c r="L2971">
        <v>5</v>
      </c>
      <c r="M2971">
        <v>5</v>
      </c>
      <c r="O2971" s="31"/>
    </row>
    <row r="2972" spans="10:15" x14ac:dyDescent="0.25">
      <c r="J2972" t="s">
        <v>2828</v>
      </c>
      <c r="K2972" s="22" t="s">
        <v>35</v>
      </c>
      <c r="L2972">
        <v>1</v>
      </c>
      <c r="M2972">
        <v>1</v>
      </c>
    </row>
    <row r="2973" spans="10:15" x14ac:dyDescent="0.25">
      <c r="J2973" t="s">
        <v>313</v>
      </c>
      <c r="K2973" s="22" t="s">
        <v>31</v>
      </c>
      <c r="L2973">
        <v>2</v>
      </c>
      <c r="M2973">
        <v>2</v>
      </c>
    </row>
    <row r="2974" spans="10:15" x14ac:dyDescent="0.25">
      <c r="J2974" t="s">
        <v>3373</v>
      </c>
      <c r="K2974" s="22" t="s">
        <v>31</v>
      </c>
      <c r="L2974">
        <v>1</v>
      </c>
      <c r="M2974">
        <v>1</v>
      </c>
      <c r="O2974" s="31"/>
    </row>
    <row r="2975" spans="10:15" x14ac:dyDescent="0.25">
      <c r="J2975" t="s">
        <v>2851</v>
      </c>
      <c r="K2975" s="22" t="s">
        <v>22</v>
      </c>
      <c r="L2975">
        <v>1</v>
      </c>
    </row>
    <row r="2976" spans="10:15" x14ac:dyDescent="0.25">
      <c r="J2976" t="s">
        <v>2013</v>
      </c>
      <c r="K2976" s="22" t="s">
        <v>24</v>
      </c>
      <c r="L2976">
        <v>2</v>
      </c>
    </row>
    <row r="2977" spans="10:15" x14ac:dyDescent="0.25">
      <c r="J2977" t="s">
        <v>2013</v>
      </c>
      <c r="K2977" s="22" t="s">
        <v>31</v>
      </c>
      <c r="L2977">
        <v>2</v>
      </c>
      <c r="M2977">
        <v>2</v>
      </c>
      <c r="O2977" s="31"/>
    </row>
    <row r="2978" spans="10:15" x14ac:dyDescent="0.25">
      <c r="J2978" t="s">
        <v>2912</v>
      </c>
      <c r="K2978" s="22" t="s">
        <v>35</v>
      </c>
      <c r="L2978">
        <v>2</v>
      </c>
      <c r="M2978">
        <v>2</v>
      </c>
      <c r="O2978" s="31"/>
    </row>
    <row r="2979" spans="10:15" x14ac:dyDescent="0.25">
      <c r="J2979" t="s">
        <v>2483</v>
      </c>
      <c r="K2979" s="22" t="s">
        <v>22</v>
      </c>
      <c r="L2979">
        <v>1</v>
      </c>
      <c r="M2979">
        <v>1</v>
      </c>
    </row>
    <row r="2980" spans="10:15" x14ac:dyDescent="0.25">
      <c r="J2980" t="s">
        <v>2956</v>
      </c>
      <c r="K2980" s="22" t="s">
        <v>35</v>
      </c>
      <c r="L2980">
        <v>3</v>
      </c>
      <c r="M2980">
        <v>3</v>
      </c>
      <c r="O2980" s="31"/>
    </row>
    <row r="2981" spans="10:15" x14ac:dyDescent="0.25">
      <c r="J2981" t="s">
        <v>2597</v>
      </c>
      <c r="K2981" s="22" t="s">
        <v>24</v>
      </c>
      <c r="L2981">
        <v>2</v>
      </c>
      <c r="M2981">
        <v>2</v>
      </c>
      <c r="O2981" s="31"/>
    </row>
    <row r="2982" spans="10:15" x14ac:dyDescent="0.25">
      <c r="J2982" t="s">
        <v>3013</v>
      </c>
      <c r="K2982" s="22" t="s">
        <v>24</v>
      </c>
      <c r="L2982">
        <v>2</v>
      </c>
      <c r="M2982">
        <v>2</v>
      </c>
      <c r="O2982" s="31"/>
    </row>
    <row r="2983" spans="10:15" x14ac:dyDescent="0.25">
      <c r="J2983" t="s">
        <v>3234</v>
      </c>
      <c r="K2983" s="22" t="s">
        <v>31</v>
      </c>
      <c r="L2983">
        <v>1</v>
      </c>
      <c r="O2983" s="30"/>
    </row>
    <row r="2984" spans="10:15" x14ac:dyDescent="0.25">
      <c r="J2984" t="s">
        <v>175</v>
      </c>
      <c r="K2984" s="22" t="s">
        <v>24</v>
      </c>
      <c r="L2984">
        <v>4</v>
      </c>
      <c r="M2984">
        <v>4</v>
      </c>
    </row>
    <row r="2985" spans="10:15" x14ac:dyDescent="0.25">
      <c r="J2985" t="s">
        <v>1165</v>
      </c>
      <c r="K2985" s="22" t="s">
        <v>24</v>
      </c>
      <c r="L2985">
        <v>2</v>
      </c>
      <c r="O2985" s="30"/>
    </row>
    <row r="2986" spans="10:15" x14ac:dyDescent="0.25">
      <c r="J2986" t="s">
        <v>1165</v>
      </c>
      <c r="K2986" s="22" t="s">
        <v>28</v>
      </c>
      <c r="L2986">
        <v>1</v>
      </c>
      <c r="M2986">
        <v>1</v>
      </c>
    </row>
    <row r="2987" spans="10:15" x14ac:dyDescent="0.25">
      <c r="J2987" t="s">
        <v>1165</v>
      </c>
      <c r="K2987" s="22" t="s">
        <v>35</v>
      </c>
      <c r="L2987">
        <v>2</v>
      </c>
      <c r="O2987" s="30"/>
    </row>
    <row r="2988" spans="10:15" x14ac:dyDescent="0.25">
      <c r="J2988" t="s">
        <v>1165</v>
      </c>
      <c r="K2988" s="22" t="s">
        <v>22</v>
      </c>
      <c r="L2988">
        <v>1</v>
      </c>
    </row>
    <row r="2989" spans="10:15" x14ac:dyDescent="0.25">
      <c r="J2989" t="s">
        <v>1080</v>
      </c>
      <c r="K2989" s="22" t="s">
        <v>28</v>
      </c>
      <c r="L2989">
        <v>2</v>
      </c>
      <c r="M2989">
        <v>1</v>
      </c>
      <c r="O2989" s="31"/>
    </row>
    <row r="2990" spans="10:15" x14ac:dyDescent="0.25">
      <c r="J2990" t="s">
        <v>1080</v>
      </c>
      <c r="K2990" s="22" t="s">
        <v>35</v>
      </c>
      <c r="L2990">
        <v>1</v>
      </c>
      <c r="M2990">
        <v>1</v>
      </c>
    </row>
    <row r="2991" spans="10:15" x14ac:dyDescent="0.25">
      <c r="J2991" t="s">
        <v>1628</v>
      </c>
      <c r="K2991" s="22" t="s">
        <v>24</v>
      </c>
      <c r="L2991">
        <v>2</v>
      </c>
      <c r="M2991">
        <v>1</v>
      </c>
      <c r="O2991" s="30"/>
    </row>
    <row r="2992" spans="10:15" x14ac:dyDescent="0.25">
      <c r="J2992" t="s">
        <v>2467</v>
      </c>
      <c r="K2992" s="22" t="s">
        <v>24</v>
      </c>
      <c r="L2992">
        <v>1</v>
      </c>
      <c r="O2992" s="30"/>
    </row>
    <row r="2993" spans="10:15" x14ac:dyDescent="0.25">
      <c r="J2993" t="s">
        <v>2467</v>
      </c>
      <c r="K2993" s="22" t="s">
        <v>28</v>
      </c>
      <c r="L2993">
        <v>2</v>
      </c>
      <c r="O2993" s="30"/>
    </row>
    <row r="2994" spans="10:15" x14ac:dyDescent="0.25">
      <c r="J2994" t="s">
        <v>2467</v>
      </c>
      <c r="K2994" s="22" t="s">
        <v>22</v>
      </c>
      <c r="L2994">
        <v>2</v>
      </c>
      <c r="O2994" s="30"/>
    </row>
    <row r="2995" spans="10:15" x14ac:dyDescent="0.25">
      <c r="J2995" t="s">
        <v>2036</v>
      </c>
      <c r="K2995" s="22" t="s">
        <v>24</v>
      </c>
      <c r="L2995">
        <v>1</v>
      </c>
    </row>
    <row r="2996" spans="10:15" x14ac:dyDescent="0.25">
      <c r="J2996" t="s">
        <v>556</v>
      </c>
      <c r="K2996" s="22" t="s">
        <v>28</v>
      </c>
      <c r="L2996">
        <v>4</v>
      </c>
      <c r="M2996">
        <v>4</v>
      </c>
      <c r="O2996" s="31"/>
    </row>
    <row r="2997" spans="10:15" x14ac:dyDescent="0.25">
      <c r="J2997" t="s">
        <v>2041</v>
      </c>
      <c r="K2997" s="22" t="s">
        <v>31</v>
      </c>
      <c r="L2997">
        <v>1</v>
      </c>
      <c r="M2997">
        <v>1</v>
      </c>
    </row>
    <row r="2998" spans="10:15" x14ac:dyDescent="0.25">
      <c r="J2998" t="s">
        <v>2096</v>
      </c>
      <c r="K2998" s="22" t="s">
        <v>35</v>
      </c>
      <c r="L2998">
        <v>1</v>
      </c>
    </row>
    <row r="2999" spans="10:15" x14ac:dyDescent="0.25">
      <c r="J2999" t="s">
        <v>631</v>
      </c>
      <c r="K2999" s="22" t="s">
        <v>31</v>
      </c>
      <c r="L2999">
        <v>5</v>
      </c>
      <c r="M2999">
        <v>5</v>
      </c>
      <c r="O2999" s="31"/>
    </row>
    <row r="3000" spans="10:15" x14ac:dyDescent="0.25">
      <c r="J3000" t="s">
        <v>2686</v>
      </c>
      <c r="K3000" s="22" t="s">
        <v>24</v>
      </c>
      <c r="L3000">
        <v>2</v>
      </c>
      <c r="O3000" s="30"/>
    </row>
    <row r="3001" spans="10:15" x14ac:dyDescent="0.25">
      <c r="J3001" t="s">
        <v>2686</v>
      </c>
      <c r="K3001" s="22" t="s">
        <v>22</v>
      </c>
      <c r="L3001">
        <v>2</v>
      </c>
      <c r="O3001" s="30"/>
    </row>
    <row r="3002" spans="10:15" x14ac:dyDescent="0.25">
      <c r="J3002" t="s">
        <v>2459</v>
      </c>
      <c r="K3002" s="22" t="s">
        <v>31</v>
      </c>
      <c r="L3002">
        <v>1</v>
      </c>
      <c r="M3002">
        <v>1</v>
      </c>
    </row>
    <row r="3003" spans="10:15" x14ac:dyDescent="0.25">
      <c r="J3003" t="s">
        <v>1742</v>
      </c>
      <c r="K3003" s="22" t="s">
        <v>24</v>
      </c>
      <c r="L3003">
        <v>4</v>
      </c>
      <c r="M3003">
        <v>4</v>
      </c>
      <c r="O3003" s="31"/>
    </row>
    <row r="3004" spans="10:15" x14ac:dyDescent="0.25">
      <c r="J3004" t="s">
        <v>1742</v>
      </c>
      <c r="K3004" s="22" t="s">
        <v>29</v>
      </c>
      <c r="L3004">
        <v>5</v>
      </c>
      <c r="M3004">
        <v>2</v>
      </c>
      <c r="O3004" s="31"/>
    </row>
    <row r="3005" spans="10:15" x14ac:dyDescent="0.25">
      <c r="J3005" t="s">
        <v>1742</v>
      </c>
      <c r="K3005" s="22" t="s">
        <v>22</v>
      </c>
      <c r="L3005">
        <v>8</v>
      </c>
      <c r="M3005">
        <v>3</v>
      </c>
      <c r="O3005" s="31"/>
    </row>
    <row r="3006" spans="10:15" x14ac:dyDescent="0.25">
      <c r="J3006" t="s">
        <v>2528</v>
      </c>
      <c r="K3006" s="22" t="s">
        <v>24</v>
      </c>
      <c r="L3006">
        <v>2</v>
      </c>
      <c r="M3006">
        <v>1</v>
      </c>
      <c r="O3006" s="30"/>
    </row>
    <row r="3007" spans="10:15" x14ac:dyDescent="0.25">
      <c r="J3007" t="s">
        <v>2528</v>
      </c>
      <c r="K3007" s="22" t="s">
        <v>30</v>
      </c>
      <c r="L3007">
        <v>3</v>
      </c>
      <c r="M3007">
        <v>1</v>
      </c>
      <c r="O3007" s="30"/>
    </row>
    <row r="3008" spans="10:15" x14ac:dyDescent="0.25">
      <c r="J3008" t="s">
        <v>2528</v>
      </c>
      <c r="K3008" s="22" t="s">
        <v>29</v>
      </c>
      <c r="L3008">
        <v>1</v>
      </c>
      <c r="O3008" s="30"/>
    </row>
    <row r="3009" spans="10:15" x14ac:dyDescent="0.25">
      <c r="J3009" t="s">
        <v>2528</v>
      </c>
      <c r="K3009" s="22" t="s">
        <v>28</v>
      </c>
      <c r="L3009">
        <v>4</v>
      </c>
      <c r="O3009" s="30"/>
    </row>
    <row r="3010" spans="10:15" x14ac:dyDescent="0.25">
      <c r="J3010" t="s">
        <v>2528</v>
      </c>
      <c r="K3010" s="22" t="s">
        <v>35</v>
      </c>
      <c r="L3010">
        <v>7</v>
      </c>
      <c r="M3010">
        <v>1</v>
      </c>
      <c r="O3010" s="31"/>
    </row>
    <row r="3011" spans="10:15" x14ac:dyDescent="0.25">
      <c r="J3011" t="s">
        <v>2528</v>
      </c>
      <c r="K3011" s="22" t="s">
        <v>31</v>
      </c>
      <c r="L3011">
        <v>4</v>
      </c>
      <c r="M3011">
        <v>2</v>
      </c>
      <c r="O3011" s="30"/>
    </row>
    <row r="3012" spans="10:15" x14ac:dyDescent="0.25">
      <c r="J3012" t="s">
        <v>2015</v>
      </c>
      <c r="K3012" s="22" t="s">
        <v>35</v>
      </c>
      <c r="L3012">
        <v>4</v>
      </c>
      <c r="M3012">
        <v>4</v>
      </c>
      <c r="O3012" s="31"/>
    </row>
    <row r="3013" spans="10:15" x14ac:dyDescent="0.25">
      <c r="J3013" t="s">
        <v>1996</v>
      </c>
      <c r="K3013" s="22" t="s">
        <v>30</v>
      </c>
      <c r="L3013">
        <v>4</v>
      </c>
      <c r="M3013">
        <v>2</v>
      </c>
      <c r="O3013" s="30"/>
    </row>
    <row r="3014" spans="10:15" x14ac:dyDescent="0.25">
      <c r="J3014" t="s">
        <v>1996</v>
      </c>
      <c r="K3014" s="22" t="s">
        <v>22</v>
      </c>
      <c r="L3014">
        <v>1</v>
      </c>
    </row>
    <row r="3015" spans="10:15" x14ac:dyDescent="0.25">
      <c r="J3015" t="s">
        <v>550</v>
      </c>
      <c r="K3015" s="22" t="s">
        <v>24</v>
      </c>
      <c r="L3015">
        <v>3</v>
      </c>
      <c r="M3015">
        <v>3</v>
      </c>
      <c r="O3015" s="31"/>
    </row>
    <row r="3016" spans="10:15" x14ac:dyDescent="0.25">
      <c r="J3016" t="s">
        <v>550</v>
      </c>
      <c r="K3016" s="22" t="s">
        <v>29</v>
      </c>
      <c r="L3016">
        <v>8</v>
      </c>
      <c r="M3016">
        <v>7</v>
      </c>
      <c r="O3016" s="31"/>
    </row>
    <row r="3017" spans="10:15" x14ac:dyDescent="0.25">
      <c r="J3017" t="s">
        <v>2294</v>
      </c>
      <c r="K3017" s="22" t="s">
        <v>30</v>
      </c>
      <c r="L3017">
        <v>3</v>
      </c>
      <c r="M3017">
        <v>2</v>
      </c>
      <c r="O3017" s="30"/>
    </row>
    <row r="3018" spans="10:15" x14ac:dyDescent="0.25">
      <c r="J3018" t="s">
        <v>2294</v>
      </c>
      <c r="K3018" s="22" t="s">
        <v>28</v>
      </c>
      <c r="L3018">
        <v>2</v>
      </c>
      <c r="M3018">
        <v>1</v>
      </c>
      <c r="O3018" s="30"/>
    </row>
    <row r="3019" spans="10:15" x14ac:dyDescent="0.25">
      <c r="J3019" t="s">
        <v>2446</v>
      </c>
      <c r="K3019" s="22" t="s">
        <v>24</v>
      </c>
      <c r="L3019">
        <v>1</v>
      </c>
      <c r="M3019">
        <v>1</v>
      </c>
    </row>
    <row r="3020" spans="10:15" x14ac:dyDescent="0.25">
      <c r="J3020" t="s">
        <v>601</v>
      </c>
      <c r="K3020" s="22" t="s">
        <v>24</v>
      </c>
      <c r="L3020">
        <v>1</v>
      </c>
    </row>
    <row r="3021" spans="10:15" x14ac:dyDescent="0.25">
      <c r="J3021" t="s">
        <v>601</v>
      </c>
      <c r="K3021" s="22" t="s">
        <v>30</v>
      </c>
      <c r="L3021">
        <v>1</v>
      </c>
    </row>
    <row r="3022" spans="10:15" x14ac:dyDescent="0.25">
      <c r="J3022" t="s">
        <v>601</v>
      </c>
      <c r="K3022" s="22" t="s">
        <v>29</v>
      </c>
      <c r="L3022">
        <v>1</v>
      </c>
      <c r="M3022">
        <v>1</v>
      </c>
      <c r="O3022" s="31"/>
    </row>
    <row r="3023" spans="10:15" x14ac:dyDescent="0.25">
      <c r="J3023" t="s">
        <v>604</v>
      </c>
      <c r="K3023" s="22" t="s">
        <v>24</v>
      </c>
      <c r="L3023">
        <v>2</v>
      </c>
      <c r="O3023" s="30"/>
    </row>
    <row r="3024" spans="10:15" x14ac:dyDescent="0.25">
      <c r="J3024" t="s">
        <v>604</v>
      </c>
      <c r="K3024" s="22" t="s">
        <v>30</v>
      </c>
      <c r="L3024">
        <v>3</v>
      </c>
      <c r="O3024" s="30"/>
    </row>
    <row r="3025" spans="10:15" x14ac:dyDescent="0.25">
      <c r="J3025" t="s">
        <v>604</v>
      </c>
      <c r="K3025" s="22" t="s">
        <v>29</v>
      </c>
      <c r="L3025">
        <v>3</v>
      </c>
      <c r="O3025" s="30"/>
    </row>
    <row r="3026" spans="10:15" x14ac:dyDescent="0.25">
      <c r="J3026" t="s">
        <v>604</v>
      </c>
      <c r="K3026" s="22" t="s">
        <v>28</v>
      </c>
      <c r="L3026">
        <v>2</v>
      </c>
    </row>
    <row r="3027" spans="10:15" x14ac:dyDescent="0.25">
      <c r="J3027" t="s">
        <v>1911</v>
      </c>
      <c r="K3027" s="22" t="s">
        <v>24</v>
      </c>
      <c r="L3027">
        <v>5</v>
      </c>
      <c r="M3027">
        <v>1</v>
      </c>
      <c r="O3027" s="30"/>
    </row>
    <row r="3028" spans="10:15" x14ac:dyDescent="0.25">
      <c r="J3028" t="s">
        <v>1911</v>
      </c>
      <c r="K3028" s="22" t="s">
        <v>30</v>
      </c>
      <c r="L3028">
        <v>6</v>
      </c>
      <c r="M3028">
        <v>1</v>
      </c>
      <c r="O3028" s="30"/>
    </row>
    <row r="3029" spans="10:15" x14ac:dyDescent="0.25">
      <c r="J3029" t="s">
        <v>1911</v>
      </c>
      <c r="K3029" s="22" t="s">
        <v>31</v>
      </c>
      <c r="L3029">
        <v>3</v>
      </c>
      <c r="O3029" s="30"/>
    </row>
    <row r="3030" spans="10:15" x14ac:dyDescent="0.25">
      <c r="J3030" t="s">
        <v>678</v>
      </c>
      <c r="K3030" s="22" t="s">
        <v>24</v>
      </c>
      <c r="L3030">
        <v>2</v>
      </c>
    </row>
    <row r="3031" spans="10:15" x14ac:dyDescent="0.25">
      <c r="J3031" t="s">
        <v>678</v>
      </c>
      <c r="K3031" s="22" t="s">
        <v>30</v>
      </c>
      <c r="L3031">
        <v>3</v>
      </c>
      <c r="M3031">
        <v>1</v>
      </c>
      <c r="O3031" s="30"/>
    </row>
    <row r="3032" spans="10:15" x14ac:dyDescent="0.25">
      <c r="J3032" t="s">
        <v>678</v>
      </c>
      <c r="K3032" s="22" t="s">
        <v>29</v>
      </c>
      <c r="L3032">
        <v>1</v>
      </c>
    </row>
    <row r="3033" spans="10:15" x14ac:dyDescent="0.25">
      <c r="J3033" t="s">
        <v>678</v>
      </c>
      <c r="K3033" s="22" t="s">
        <v>35</v>
      </c>
      <c r="L3033">
        <v>2</v>
      </c>
    </row>
    <row r="3034" spans="10:15" x14ac:dyDescent="0.25">
      <c r="J3034" t="s">
        <v>678</v>
      </c>
      <c r="K3034" s="22" t="s">
        <v>22</v>
      </c>
      <c r="L3034">
        <v>1</v>
      </c>
    </row>
    <row r="3035" spans="10:15" x14ac:dyDescent="0.25">
      <c r="J3035" t="s">
        <v>1963</v>
      </c>
      <c r="K3035" s="22" t="s">
        <v>24</v>
      </c>
      <c r="L3035">
        <v>1</v>
      </c>
      <c r="M3035">
        <v>1</v>
      </c>
      <c r="O3035" s="31"/>
    </row>
    <row r="3036" spans="10:15" x14ac:dyDescent="0.25">
      <c r="J3036" t="s">
        <v>1963</v>
      </c>
      <c r="K3036" s="22" t="s">
        <v>29</v>
      </c>
      <c r="L3036">
        <v>2</v>
      </c>
      <c r="O3036" s="30"/>
    </row>
    <row r="3037" spans="10:15" x14ac:dyDescent="0.25">
      <c r="J3037" t="s">
        <v>1963</v>
      </c>
      <c r="K3037" s="22" t="s">
        <v>31</v>
      </c>
      <c r="L3037">
        <v>1</v>
      </c>
      <c r="O3037" s="30"/>
    </row>
    <row r="3038" spans="10:15" x14ac:dyDescent="0.25">
      <c r="J3038" t="s">
        <v>2145</v>
      </c>
      <c r="K3038" s="22" t="s">
        <v>24</v>
      </c>
      <c r="L3038">
        <v>1</v>
      </c>
      <c r="O3038" s="30"/>
    </row>
    <row r="3039" spans="10:15" x14ac:dyDescent="0.25">
      <c r="J3039" t="s">
        <v>2145</v>
      </c>
      <c r="K3039" s="22" t="s">
        <v>30</v>
      </c>
      <c r="L3039">
        <v>2</v>
      </c>
      <c r="O3039" s="30"/>
    </row>
    <row r="3040" spans="10:15" x14ac:dyDescent="0.25">
      <c r="J3040" t="s">
        <v>2145</v>
      </c>
      <c r="K3040" s="22" t="s">
        <v>29</v>
      </c>
      <c r="L3040">
        <v>3</v>
      </c>
      <c r="M3040">
        <v>1</v>
      </c>
      <c r="O3040" s="30"/>
    </row>
    <row r="3041" spans="10:15" x14ac:dyDescent="0.25">
      <c r="J3041" t="s">
        <v>2145</v>
      </c>
      <c r="K3041" s="22" t="s">
        <v>35</v>
      </c>
      <c r="L3041">
        <v>1</v>
      </c>
    </row>
    <row r="3042" spans="10:15" x14ac:dyDescent="0.25">
      <c r="J3042" t="s">
        <v>554</v>
      </c>
      <c r="K3042" s="22" t="s">
        <v>30</v>
      </c>
      <c r="L3042">
        <v>3</v>
      </c>
      <c r="O3042" s="30"/>
    </row>
    <row r="3043" spans="10:15" x14ac:dyDescent="0.25">
      <c r="J3043" t="s">
        <v>554</v>
      </c>
      <c r="K3043" s="22" t="s">
        <v>29</v>
      </c>
      <c r="L3043">
        <v>1</v>
      </c>
      <c r="M3043">
        <v>1</v>
      </c>
    </row>
    <row r="3044" spans="10:15" x14ac:dyDescent="0.25">
      <c r="J3044" t="s">
        <v>554</v>
      </c>
      <c r="K3044" s="22" t="s">
        <v>31</v>
      </c>
      <c r="L3044">
        <v>2</v>
      </c>
      <c r="O3044" s="30"/>
    </row>
    <row r="3045" spans="10:15" x14ac:dyDescent="0.25">
      <c r="J3045" t="s">
        <v>873</v>
      </c>
      <c r="K3045" s="22" t="s">
        <v>24</v>
      </c>
      <c r="L3045">
        <v>1</v>
      </c>
      <c r="M3045">
        <v>1</v>
      </c>
    </row>
    <row r="3046" spans="10:15" x14ac:dyDescent="0.25">
      <c r="J3046" t="s">
        <v>873</v>
      </c>
      <c r="K3046" s="22" t="s">
        <v>29</v>
      </c>
      <c r="L3046">
        <v>2</v>
      </c>
    </row>
    <row r="3047" spans="10:15" x14ac:dyDescent="0.25">
      <c r="J3047" t="s">
        <v>1810</v>
      </c>
      <c r="K3047" s="22" t="s">
        <v>30</v>
      </c>
      <c r="L3047">
        <v>1</v>
      </c>
    </row>
    <row r="3048" spans="10:15" x14ac:dyDescent="0.25">
      <c r="J3048" t="s">
        <v>1810</v>
      </c>
      <c r="K3048" s="22" t="s">
        <v>29</v>
      </c>
      <c r="L3048">
        <v>1</v>
      </c>
    </row>
    <row r="3049" spans="10:15" x14ac:dyDescent="0.25">
      <c r="J3049" t="s">
        <v>2112</v>
      </c>
      <c r="K3049" s="22" t="s">
        <v>24</v>
      </c>
      <c r="L3049">
        <v>2</v>
      </c>
      <c r="O3049" s="30"/>
    </row>
    <row r="3050" spans="10:15" x14ac:dyDescent="0.25">
      <c r="J3050" t="s">
        <v>2112</v>
      </c>
      <c r="K3050" s="22" t="s">
        <v>30</v>
      </c>
      <c r="L3050">
        <v>2</v>
      </c>
      <c r="M3050">
        <v>1</v>
      </c>
      <c r="O3050" s="30"/>
    </row>
    <row r="3051" spans="10:15" x14ac:dyDescent="0.25">
      <c r="J3051" t="s">
        <v>406</v>
      </c>
      <c r="K3051" s="22" t="s">
        <v>24</v>
      </c>
      <c r="L3051">
        <v>2</v>
      </c>
      <c r="O3051" s="30"/>
    </row>
    <row r="3052" spans="10:15" x14ac:dyDescent="0.25">
      <c r="J3052" t="s">
        <v>406</v>
      </c>
      <c r="K3052" s="22" t="s">
        <v>31</v>
      </c>
      <c r="L3052">
        <v>1</v>
      </c>
    </row>
    <row r="3053" spans="10:15" x14ac:dyDescent="0.25">
      <c r="J3053" t="s">
        <v>282</v>
      </c>
      <c r="K3053" s="22" t="s">
        <v>30</v>
      </c>
      <c r="L3053">
        <v>1</v>
      </c>
    </row>
    <row r="3054" spans="10:15" x14ac:dyDescent="0.25">
      <c r="J3054" t="s">
        <v>282</v>
      </c>
      <c r="K3054" s="22" t="s">
        <v>29</v>
      </c>
      <c r="L3054">
        <v>1</v>
      </c>
      <c r="O3054" s="30"/>
    </row>
    <row r="3055" spans="10:15" x14ac:dyDescent="0.25">
      <c r="J3055" t="s">
        <v>2591</v>
      </c>
      <c r="K3055" s="22" t="s">
        <v>24</v>
      </c>
      <c r="L3055">
        <v>3</v>
      </c>
      <c r="M3055">
        <v>2</v>
      </c>
      <c r="O3055" s="30"/>
    </row>
    <row r="3056" spans="10:15" x14ac:dyDescent="0.25">
      <c r="J3056" t="s">
        <v>3345</v>
      </c>
      <c r="K3056" s="22" t="s">
        <v>29</v>
      </c>
      <c r="L3056">
        <v>1</v>
      </c>
      <c r="O3056" s="30"/>
    </row>
    <row r="3057" spans="10:15" x14ac:dyDescent="0.25">
      <c r="J3057" t="s">
        <v>793</v>
      </c>
      <c r="K3057" s="22" t="s">
        <v>24</v>
      </c>
      <c r="L3057">
        <v>7</v>
      </c>
      <c r="M3057">
        <v>5</v>
      </c>
      <c r="O3057" s="31"/>
    </row>
    <row r="3058" spans="10:15" x14ac:dyDescent="0.25">
      <c r="J3058" t="s">
        <v>793</v>
      </c>
      <c r="K3058" s="22" t="s">
        <v>28</v>
      </c>
      <c r="L3058">
        <v>2</v>
      </c>
      <c r="M3058">
        <v>1</v>
      </c>
      <c r="O3058" s="30"/>
    </row>
    <row r="3059" spans="10:15" x14ac:dyDescent="0.25">
      <c r="J3059" t="s">
        <v>793</v>
      </c>
      <c r="K3059" s="22" t="s">
        <v>35</v>
      </c>
      <c r="L3059">
        <v>4</v>
      </c>
      <c r="M3059">
        <v>2</v>
      </c>
      <c r="O3059" s="30"/>
    </row>
    <row r="3060" spans="10:15" x14ac:dyDescent="0.25">
      <c r="J3060" t="s">
        <v>793</v>
      </c>
      <c r="K3060" s="22" t="s">
        <v>31</v>
      </c>
      <c r="L3060">
        <v>7</v>
      </c>
      <c r="M3060">
        <v>3</v>
      </c>
      <c r="O3060" s="30"/>
    </row>
    <row r="3061" spans="10:15" x14ac:dyDescent="0.25">
      <c r="J3061" t="s">
        <v>1117</v>
      </c>
      <c r="K3061" s="22" t="s">
        <v>24</v>
      </c>
      <c r="L3061">
        <v>3</v>
      </c>
      <c r="M3061">
        <v>3</v>
      </c>
      <c r="O3061" s="31"/>
    </row>
    <row r="3062" spans="10:15" x14ac:dyDescent="0.25">
      <c r="J3062" t="s">
        <v>1117</v>
      </c>
      <c r="K3062" s="22" t="s">
        <v>28</v>
      </c>
      <c r="L3062">
        <v>1</v>
      </c>
    </row>
    <row r="3063" spans="10:15" x14ac:dyDescent="0.25">
      <c r="J3063" t="s">
        <v>1117</v>
      </c>
      <c r="K3063" s="22" t="s">
        <v>22</v>
      </c>
      <c r="L3063">
        <v>4</v>
      </c>
      <c r="M3063">
        <v>2</v>
      </c>
    </row>
    <row r="3064" spans="10:15" x14ac:dyDescent="0.25">
      <c r="J3064" t="s">
        <v>1666</v>
      </c>
      <c r="K3064" s="22" t="s">
        <v>24</v>
      </c>
      <c r="L3064">
        <v>3</v>
      </c>
      <c r="M3064">
        <v>2</v>
      </c>
    </row>
    <row r="3065" spans="10:15" x14ac:dyDescent="0.25">
      <c r="J3065" t="s">
        <v>1666</v>
      </c>
      <c r="K3065" s="22" t="s">
        <v>30</v>
      </c>
      <c r="L3065">
        <v>3</v>
      </c>
    </row>
    <row r="3066" spans="10:15" x14ac:dyDescent="0.25">
      <c r="J3066" t="s">
        <v>1666</v>
      </c>
      <c r="K3066" s="22" t="s">
        <v>28</v>
      </c>
      <c r="L3066">
        <v>1</v>
      </c>
      <c r="O3066" s="30"/>
    </row>
    <row r="3067" spans="10:15" x14ac:dyDescent="0.25">
      <c r="J3067" t="s">
        <v>1666</v>
      </c>
      <c r="K3067" s="22" t="s">
        <v>35</v>
      </c>
      <c r="L3067">
        <v>2</v>
      </c>
      <c r="M3067">
        <v>1</v>
      </c>
      <c r="O3067" s="30"/>
    </row>
    <row r="3068" spans="10:15" x14ac:dyDescent="0.25">
      <c r="J3068" t="s">
        <v>1666</v>
      </c>
      <c r="K3068" s="22" t="s">
        <v>31</v>
      </c>
      <c r="L3068">
        <v>4</v>
      </c>
      <c r="M3068">
        <v>2</v>
      </c>
      <c r="O3068" s="31"/>
    </row>
    <row r="3069" spans="10:15" x14ac:dyDescent="0.25">
      <c r="J3069" t="s">
        <v>3125</v>
      </c>
      <c r="K3069" s="22" t="s">
        <v>24</v>
      </c>
      <c r="L3069">
        <v>1</v>
      </c>
      <c r="O3069" s="30"/>
    </row>
    <row r="3070" spans="10:15" x14ac:dyDescent="0.25">
      <c r="J3070" t="s">
        <v>3125</v>
      </c>
      <c r="K3070" s="22" t="s">
        <v>28</v>
      </c>
      <c r="L3070">
        <v>1</v>
      </c>
      <c r="O3070" s="30"/>
    </row>
    <row r="3071" spans="10:15" x14ac:dyDescent="0.25">
      <c r="J3071" t="s">
        <v>2006</v>
      </c>
      <c r="K3071" s="22" t="s">
        <v>24</v>
      </c>
      <c r="L3071">
        <v>5</v>
      </c>
      <c r="M3071">
        <v>5</v>
      </c>
      <c r="O3071" s="31"/>
    </row>
    <row r="3072" spans="10:15" x14ac:dyDescent="0.25">
      <c r="J3072" t="s">
        <v>2289</v>
      </c>
      <c r="K3072" s="22" t="s">
        <v>24</v>
      </c>
      <c r="L3072">
        <v>1</v>
      </c>
    </row>
    <row r="3073" spans="10:15" x14ac:dyDescent="0.25">
      <c r="J3073" t="s">
        <v>2289</v>
      </c>
      <c r="K3073" s="22" t="s">
        <v>30</v>
      </c>
      <c r="L3073">
        <v>5</v>
      </c>
      <c r="M3073">
        <v>1</v>
      </c>
      <c r="O3073" s="30"/>
    </row>
    <row r="3074" spans="10:15" x14ac:dyDescent="0.25">
      <c r="J3074" t="s">
        <v>2097</v>
      </c>
      <c r="K3074" s="22" t="s">
        <v>24</v>
      </c>
      <c r="L3074">
        <v>1</v>
      </c>
      <c r="M3074">
        <v>1</v>
      </c>
      <c r="O3074" s="31"/>
    </row>
    <row r="3075" spans="10:15" x14ac:dyDescent="0.25">
      <c r="J3075" t="s">
        <v>2097</v>
      </c>
      <c r="K3075" s="22" t="s">
        <v>30</v>
      </c>
      <c r="L3075">
        <v>2</v>
      </c>
      <c r="O3075" s="30"/>
    </row>
    <row r="3076" spans="10:15" x14ac:dyDescent="0.25">
      <c r="J3076" t="s">
        <v>889</v>
      </c>
      <c r="K3076" s="22" t="s">
        <v>24</v>
      </c>
      <c r="L3076">
        <v>4</v>
      </c>
      <c r="M3076">
        <v>4</v>
      </c>
      <c r="O3076" s="31"/>
    </row>
    <row r="3077" spans="10:15" x14ac:dyDescent="0.25">
      <c r="J3077" t="s">
        <v>1017</v>
      </c>
      <c r="K3077" s="22" t="s">
        <v>30</v>
      </c>
      <c r="L3077">
        <v>1</v>
      </c>
    </row>
    <row r="3078" spans="10:15" x14ac:dyDescent="0.25">
      <c r="J3078" t="s">
        <v>1017</v>
      </c>
      <c r="K3078" s="22" t="s">
        <v>28</v>
      </c>
      <c r="L3078">
        <v>3</v>
      </c>
      <c r="M3078">
        <v>2</v>
      </c>
      <c r="O3078" s="30"/>
    </row>
    <row r="3079" spans="10:15" x14ac:dyDescent="0.25">
      <c r="J3079" t="s">
        <v>1017</v>
      </c>
      <c r="K3079" s="22" t="s">
        <v>22</v>
      </c>
      <c r="L3079">
        <v>3</v>
      </c>
      <c r="O3079" s="30"/>
    </row>
    <row r="3080" spans="10:15" x14ac:dyDescent="0.25">
      <c r="J3080" t="s">
        <v>3135</v>
      </c>
      <c r="K3080" s="22" t="s">
        <v>24</v>
      </c>
      <c r="L3080">
        <v>2</v>
      </c>
      <c r="M3080">
        <v>2</v>
      </c>
      <c r="O3080" s="31"/>
    </row>
    <row r="3081" spans="10:15" x14ac:dyDescent="0.25">
      <c r="J3081" t="s">
        <v>3135</v>
      </c>
      <c r="K3081" s="22" t="s">
        <v>30</v>
      </c>
      <c r="L3081">
        <v>1</v>
      </c>
      <c r="O3081" s="30"/>
    </row>
    <row r="3082" spans="10:15" x14ac:dyDescent="0.25">
      <c r="J3082" t="s">
        <v>2423</v>
      </c>
      <c r="K3082" s="22" t="s">
        <v>30</v>
      </c>
      <c r="L3082">
        <v>6</v>
      </c>
      <c r="M3082">
        <v>6</v>
      </c>
      <c r="O3082" s="31"/>
    </row>
    <row r="3083" spans="10:15" x14ac:dyDescent="0.25">
      <c r="J3083" t="s">
        <v>2423</v>
      </c>
      <c r="K3083" s="22" t="s">
        <v>22</v>
      </c>
      <c r="L3083">
        <v>2</v>
      </c>
    </row>
    <row r="3084" spans="10:15" x14ac:dyDescent="0.25">
      <c r="J3084" t="s">
        <v>1298</v>
      </c>
      <c r="K3084" s="22" t="s">
        <v>30</v>
      </c>
      <c r="L3084">
        <v>3</v>
      </c>
      <c r="M3084">
        <v>3</v>
      </c>
      <c r="O3084" s="31"/>
    </row>
    <row r="3085" spans="10:15" x14ac:dyDescent="0.25">
      <c r="J3085" t="s">
        <v>374</v>
      </c>
      <c r="K3085" s="22" t="s">
        <v>24</v>
      </c>
      <c r="L3085">
        <v>4</v>
      </c>
      <c r="M3085">
        <v>4</v>
      </c>
      <c r="O3085" s="31"/>
    </row>
    <row r="3086" spans="10:15" x14ac:dyDescent="0.25">
      <c r="J3086" t="s">
        <v>1099</v>
      </c>
      <c r="K3086" s="22" t="s">
        <v>24</v>
      </c>
      <c r="L3086">
        <v>1</v>
      </c>
      <c r="M3086">
        <v>1</v>
      </c>
      <c r="O3086" s="31"/>
    </row>
    <row r="3087" spans="10:15" x14ac:dyDescent="0.25">
      <c r="J3087" t="s">
        <v>1099</v>
      </c>
      <c r="K3087" s="22" t="s">
        <v>35</v>
      </c>
      <c r="L3087">
        <v>2</v>
      </c>
      <c r="M3087">
        <v>1</v>
      </c>
    </row>
    <row r="3088" spans="10:15" x14ac:dyDescent="0.25">
      <c r="J3088" t="s">
        <v>632</v>
      </c>
      <c r="K3088" s="22" t="s">
        <v>30</v>
      </c>
      <c r="L3088">
        <v>2</v>
      </c>
      <c r="M3088">
        <v>2</v>
      </c>
      <c r="O3088" s="31"/>
    </row>
    <row r="3089" spans="10:15" x14ac:dyDescent="0.25">
      <c r="J3089" t="s">
        <v>450</v>
      </c>
      <c r="K3089" s="22" t="s">
        <v>30</v>
      </c>
      <c r="L3089">
        <v>4</v>
      </c>
      <c r="M3089">
        <v>4</v>
      </c>
      <c r="O3089" s="31"/>
    </row>
    <row r="3090" spans="10:15" x14ac:dyDescent="0.25">
      <c r="J3090" t="s">
        <v>1885</v>
      </c>
      <c r="K3090" s="22" t="s">
        <v>24</v>
      </c>
      <c r="L3090">
        <v>1</v>
      </c>
      <c r="M3090">
        <v>1</v>
      </c>
    </row>
    <row r="3091" spans="10:15" x14ac:dyDescent="0.25">
      <c r="J3091" t="s">
        <v>2782</v>
      </c>
      <c r="K3091" s="22" t="s">
        <v>30</v>
      </c>
      <c r="L3091">
        <v>2</v>
      </c>
      <c r="M3091">
        <v>2</v>
      </c>
      <c r="O3091" s="31"/>
    </row>
    <row r="3092" spans="10:15" x14ac:dyDescent="0.25">
      <c r="J3092" t="s">
        <v>1639</v>
      </c>
      <c r="K3092" s="22" t="s">
        <v>30</v>
      </c>
      <c r="L3092">
        <v>3</v>
      </c>
      <c r="M3092">
        <v>3</v>
      </c>
      <c r="O3092" s="31"/>
    </row>
    <row r="3093" spans="10:15" x14ac:dyDescent="0.25">
      <c r="J3093" t="s">
        <v>2615</v>
      </c>
      <c r="K3093" s="22" t="s">
        <v>24</v>
      </c>
      <c r="L3093">
        <v>2</v>
      </c>
      <c r="M3093">
        <v>2</v>
      </c>
      <c r="O3093" s="31"/>
    </row>
    <row r="3094" spans="10:15" x14ac:dyDescent="0.25">
      <c r="J3094" t="s">
        <v>2615</v>
      </c>
      <c r="K3094" s="22" t="s">
        <v>35</v>
      </c>
      <c r="L3094">
        <v>3</v>
      </c>
      <c r="O3094" s="30"/>
    </row>
    <row r="3095" spans="10:15" x14ac:dyDescent="0.25">
      <c r="J3095" t="s">
        <v>3035</v>
      </c>
      <c r="K3095" s="22" t="s">
        <v>24</v>
      </c>
      <c r="L3095">
        <v>1</v>
      </c>
      <c r="M3095">
        <v>1</v>
      </c>
      <c r="O3095" s="31"/>
    </row>
    <row r="3096" spans="10:15" x14ac:dyDescent="0.25">
      <c r="J3096" t="s">
        <v>3035</v>
      </c>
      <c r="K3096" s="22" t="s">
        <v>35</v>
      </c>
      <c r="L3096">
        <v>1</v>
      </c>
    </row>
    <row r="3097" spans="10:15" x14ac:dyDescent="0.25">
      <c r="J3097" t="s">
        <v>141</v>
      </c>
      <c r="K3097" s="22" t="s">
        <v>35</v>
      </c>
      <c r="L3097">
        <v>5</v>
      </c>
      <c r="M3097">
        <v>5</v>
      </c>
      <c r="O3097" s="31"/>
    </row>
    <row r="3098" spans="10:15" x14ac:dyDescent="0.25">
      <c r="J3098" t="s">
        <v>941</v>
      </c>
      <c r="K3098" s="22" t="s">
        <v>24</v>
      </c>
      <c r="L3098">
        <v>1</v>
      </c>
      <c r="M3098">
        <v>1</v>
      </c>
    </row>
    <row r="3099" spans="10:15" x14ac:dyDescent="0.25">
      <c r="J3099" t="s">
        <v>941</v>
      </c>
      <c r="K3099" s="22" t="s">
        <v>30</v>
      </c>
      <c r="L3099">
        <v>1</v>
      </c>
    </row>
    <row r="3100" spans="10:15" x14ac:dyDescent="0.25">
      <c r="J3100" t="s">
        <v>628</v>
      </c>
      <c r="K3100" s="22" t="s">
        <v>24</v>
      </c>
      <c r="L3100">
        <v>5</v>
      </c>
      <c r="M3100">
        <v>5</v>
      </c>
      <c r="O3100" s="31"/>
    </row>
    <row r="3101" spans="10:15" x14ac:dyDescent="0.25">
      <c r="J3101" t="s">
        <v>3393</v>
      </c>
      <c r="K3101" s="22" t="s">
        <v>24</v>
      </c>
      <c r="L3101">
        <v>1</v>
      </c>
      <c r="M3101">
        <v>1</v>
      </c>
      <c r="O3101" s="31"/>
    </row>
    <row r="3102" spans="10:15" x14ac:dyDescent="0.25">
      <c r="J3102" t="s">
        <v>3393</v>
      </c>
      <c r="K3102" s="22" t="s">
        <v>30</v>
      </c>
      <c r="L3102">
        <v>1</v>
      </c>
      <c r="O3102" s="30"/>
    </row>
    <row r="3103" spans="10:15" x14ac:dyDescent="0.25">
      <c r="J3103" t="s">
        <v>2972</v>
      </c>
      <c r="K3103" s="22" t="s">
        <v>24</v>
      </c>
      <c r="L3103">
        <v>4</v>
      </c>
      <c r="M3103">
        <v>4</v>
      </c>
      <c r="O3103" s="31"/>
    </row>
    <row r="3104" spans="10:15" x14ac:dyDescent="0.25">
      <c r="J3104" t="s">
        <v>2357</v>
      </c>
      <c r="K3104" s="22" t="s">
        <v>24</v>
      </c>
      <c r="L3104">
        <v>2</v>
      </c>
      <c r="O3104" s="30"/>
    </row>
    <row r="3105" spans="10:15" x14ac:dyDescent="0.25">
      <c r="J3105" t="s">
        <v>2357</v>
      </c>
      <c r="K3105" s="22" t="s">
        <v>30</v>
      </c>
      <c r="L3105">
        <v>3</v>
      </c>
      <c r="O3105" s="30"/>
    </row>
    <row r="3106" spans="10:15" x14ac:dyDescent="0.25">
      <c r="J3106" t="s">
        <v>2357</v>
      </c>
      <c r="K3106" s="22" t="s">
        <v>28</v>
      </c>
      <c r="L3106">
        <v>2</v>
      </c>
      <c r="O3106" s="30"/>
    </row>
    <row r="3107" spans="10:15" x14ac:dyDescent="0.25">
      <c r="J3107" t="s">
        <v>2357</v>
      </c>
      <c r="K3107" s="22" t="s">
        <v>35</v>
      </c>
      <c r="L3107">
        <v>3</v>
      </c>
      <c r="M3107">
        <v>3</v>
      </c>
      <c r="O3107" s="31"/>
    </row>
    <row r="3108" spans="10:15" x14ac:dyDescent="0.25">
      <c r="J3108" t="s">
        <v>1647</v>
      </c>
      <c r="K3108" s="22" t="s">
        <v>30</v>
      </c>
      <c r="L3108">
        <v>1</v>
      </c>
    </row>
    <row r="3109" spans="10:15" x14ac:dyDescent="0.25">
      <c r="J3109" t="s">
        <v>3209</v>
      </c>
      <c r="K3109" s="22" t="s">
        <v>30</v>
      </c>
      <c r="L3109">
        <v>1</v>
      </c>
      <c r="O3109" s="30"/>
    </row>
    <row r="3110" spans="10:15" x14ac:dyDescent="0.25">
      <c r="J3110" t="s">
        <v>849</v>
      </c>
      <c r="K3110" s="22" t="s">
        <v>24</v>
      </c>
      <c r="L3110">
        <v>6</v>
      </c>
      <c r="O3110" s="30"/>
    </row>
    <row r="3111" spans="10:15" x14ac:dyDescent="0.25">
      <c r="J3111" t="s">
        <v>849</v>
      </c>
      <c r="K3111" s="22" t="s">
        <v>30</v>
      </c>
      <c r="L3111">
        <v>4</v>
      </c>
      <c r="O3111" s="30"/>
    </row>
    <row r="3112" spans="10:15" x14ac:dyDescent="0.25">
      <c r="J3112" t="s">
        <v>849</v>
      </c>
      <c r="K3112" s="22" t="s">
        <v>22</v>
      </c>
      <c r="L3112">
        <v>4</v>
      </c>
      <c r="O3112" s="30"/>
    </row>
    <row r="3113" spans="10:15" x14ac:dyDescent="0.25">
      <c r="J3113" t="s">
        <v>849</v>
      </c>
      <c r="K3113" s="22" t="s">
        <v>31</v>
      </c>
      <c r="L3113">
        <v>2</v>
      </c>
      <c r="O3113" s="30"/>
    </row>
    <row r="3114" spans="10:15" x14ac:dyDescent="0.25">
      <c r="J3114" t="s">
        <v>2153</v>
      </c>
      <c r="K3114" s="22" t="s">
        <v>24</v>
      </c>
      <c r="L3114">
        <v>2</v>
      </c>
      <c r="M3114">
        <v>2</v>
      </c>
    </row>
    <row r="3115" spans="10:15" x14ac:dyDescent="0.25">
      <c r="J3115" t="s">
        <v>421</v>
      </c>
      <c r="K3115" s="22" t="s">
        <v>24</v>
      </c>
      <c r="L3115">
        <v>5</v>
      </c>
      <c r="M3115">
        <v>3</v>
      </c>
      <c r="O3115" s="30"/>
    </row>
    <row r="3116" spans="10:15" x14ac:dyDescent="0.25">
      <c r="J3116" t="s">
        <v>421</v>
      </c>
      <c r="K3116" s="22" t="s">
        <v>28</v>
      </c>
      <c r="L3116">
        <v>3</v>
      </c>
      <c r="M3116">
        <v>1</v>
      </c>
      <c r="O3116" s="30"/>
    </row>
    <row r="3117" spans="10:15" x14ac:dyDescent="0.25">
      <c r="J3117" t="s">
        <v>421</v>
      </c>
      <c r="K3117" s="22" t="s">
        <v>35</v>
      </c>
      <c r="L3117">
        <v>6</v>
      </c>
      <c r="M3117">
        <v>2</v>
      </c>
      <c r="O3117" s="30"/>
    </row>
    <row r="3118" spans="10:15" x14ac:dyDescent="0.25">
      <c r="J3118" t="s">
        <v>421</v>
      </c>
      <c r="K3118" s="22" t="s">
        <v>22</v>
      </c>
      <c r="L3118">
        <v>1</v>
      </c>
    </row>
    <row r="3119" spans="10:15" x14ac:dyDescent="0.25">
      <c r="J3119" t="s">
        <v>581</v>
      </c>
      <c r="K3119" s="22" t="s">
        <v>24</v>
      </c>
      <c r="L3119">
        <v>1</v>
      </c>
      <c r="M3119">
        <v>1</v>
      </c>
      <c r="O3119" s="31"/>
    </row>
    <row r="3120" spans="10:15" x14ac:dyDescent="0.25">
      <c r="J3120" t="s">
        <v>581</v>
      </c>
      <c r="K3120" s="22" t="s">
        <v>29</v>
      </c>
      <c r="L3120">
        <v>6</v>
      </c>
      <c r="M3120">
        <v>4</v>
      </c>
      <c r="O3120" s="31"/>
    </row>
    <row r="3121" spans="10:15" x14ac:dyDescent="0.25">
      <c r="J3121" t="s">
        <v>581</v>
      </c>
      <c r="K3121" s="22" t="s">
        <v>22</v>
      </c>
      <c r="L3121">
        <v>2</v>
      </c>
      <c r="M3121">
        <v>1</v>
      </c>
      <c r="O3121" s="30"/>
    </row>
    <row r="3122" spans="10:15" x14ac:dyDescent="0.25">
      <c r="J3122" t="s">
        <v>3239</v>
      </c>
      <c r="K3122" s="22" t="s">
        <v>24</v>
      </c>
      <c r="L3122">
        <v>1</v>
      </c>
      <c r="O3122" s="30"/>
    </row>
    <row r="3123" spans="10:15" x14ac:dyDescent="0.25">
      <c r="J3123" t="s">
        <v>3239</v>
      </c>
      <c r="K3123" s="22" t="s">
        <v>29</v>
      </c>
      <c r="L3123">
        <v>1</v>
      </c>
      <c r="O3123" s="30"/>
    </row>
    <row r="3124" spans="10:15" x14ac:dyDescent="0.25">
      <c r="J3124" t="s">
        <v>3239</v>
      </c>
      <c r="K3124" s="22" t="s">
        <v>35</v>
      </c>
      <c r="L3124">
        <v>1</v>
      </c>
      <c r="M3124">
        <v>1</v>
      </c>
      <c r="O3124" s="31"/>
    </row>
    <row r="3125" spans="10:15" x14ac:dyDescent="0.25">
      <c r="J3125" t="s">
        <v>3239</v>
      </c>
      <c r="K3125" s="22" t="s">
        <v>31</v>
      </c>
      <c r="L3125">
        <v>1</v>
      </c>
      <c r="O3125" s="30"/>
    </row>
    <row r="3126" spans="10:15" x14ac:dyDescent="0.25">
      <c r="J3126" t="s">
        <v>622</v>
      </c>
      <c r="K3126" s="22" t="s">
        <v>24</v>
      </c>
      <c r="L3126">
        <v>5</v>
      </c>
      <c r="M3126">
        <v>5</v>
      </c>
      <c r="O3126" s="31"/>
    </row>
    <row r="3127" spans="10:15" x14ac:dyDescent="0.25">
      <c r="J3127" t="s">
        <v>3470</v>
      </c>
      <c r="K3127" s="22" t="s">
        <v>28</v>
      </c>
      <c r="L3127">
        <v>1</v>
      </c>
      <c r="O3127" s="30"/>
    </row>
    <row r="3128" spans="10:15" x14ac:dyDescent="0.25">
      <c r="J3128" t="s">
        <v>3143</v>
      </c>
      <c r="K3128" s="22" t="s">
        <v>24</v>
      </c>
      <c r="L3128">
        <v>2</v>
      </c>
      <c r="M3128">
        <v>2</v>
      </c>
      <c r="O3128" s="31"/>
    </row>
    <row r="3129" spans="10:15" x14ac:dyDescent="0.25">
      <c r="J3129" t="s">
        <v>2562</v>
      </c>
      <c r="K3129" s="22" t="s">
        <v>29</v>
      </c>
      <c r="L3129">
        <v>1</v>
      </c>
      <c r="M3129">
        <v>1</v>
      </c>
    </row>
    <row r="3130" spans="10:15" x14ac:dyDescent="0.25">
      <c r="J3130" t="s">
        <v>2461</v>
      </c>
      <c r="K3130" s="22" t="s">
        <v>35</v>
      </c>
      <c r="L3130">
        <v>1</v>
      </c>
    </row>
    <row r="3131" spans="10:15" x14ac:dyDescent="0.25">
      <c r="J3131" t="s">
        <v>2461</v>
      </c>
      <c r="K3131" s="22" t="s">
        <v>22</v>
      </c>
      <c r="L3131">
        <v>2</v>
      </c>
      <c r="M3131">
        <v>1</v>
      </c>
      <c r="O3131" s="30"/>
    </row>
    <row r="3132" spans="10:15" x14ac:dyDescent="0.25">
      <c r="J3132" t="s">
        <v>1774</v>
      </c>
      <c r="K3132" s="22" t="s">
        <v>29</v>
      </c>
      <c r="L3132">
        <v>3</v>
      </c>
      <c r="M3132">
        <v>3</v>
      </c>
      <c r="O3132" s="31"/>
    </row>
    <row r="3133" spans="10:15" x14ac:dyDescent="0.25">
      <c r="J3133" t="s">
        <v>2486</v>
      </c>
      <c r="K3133" s="22" t="s">
        <v>24</v>
      </c>
      <c r="L3133">
        <v>1</v>
      </c>
      <c r="M3133">
        <v>1</v>
      </c>
    </row>
    <row r="3134" spans="10:15" x14ac:dyDescent="0.25">
      <c r="J3134" t="s">
        <v>838</v>
      </c>
      <c r="K3134" s="22" t="s">
        <v>29</v>
      </c>
      <c r="L3134">
        <v>3</v>
      </c>
      <c r="M3134">
        <v>3</v>
      </c>
      <c r="O3134" s="31"/>
    </row>
    <row r="3135" spans="10:15" x14ac:dyDescent="0.25">
      <c r="J3135" t="s">
        <v>2055</v>
      </c>
      <c r="K3135" s="22" t="s">
        <v>29</v>
      </c>
      <c r="L3135">
        <v>3</v>
      </c>
      <c r="M3135">
        <v>3</v>
      </c>
      <c r="O3135" s="31"/>
    </row>
    <row r="3136" spans="10:15" x14ac:dyDescent="0.25">
      <c r="J3136" t="s">
        <v>1585</v>
      </c>
      <c r="K3136" s="22" t="s">
        <v>29</v>
      </c>
      <c r="L3136">
        <v>2</v>
      </c>
      <c r="M3136">
        <v>2</v>
      </c>
    </row>
    <row r="3137" spans="10:15" x14ac:dyDescent="0.25">
      <c r="J3137" t="s">
        <v>3171</v>
      </c>
      <c r="K3137" s="22" t="s">
        <v>24</v>
      </c>
      <c r="L3137">
        <v>1</v>
      </c>
      <c r="M3137">
        <v>1</v>
      </c>
      <c r="O3137" s="31"/>
    </row>
    <row r="3138" spans="10:15" x14ac:dyDescent="0.25">
      <c r="J3138" t="s">
        <v>2535</v>
      </c>
      <c r="K3138" s="22" t="s">
        <v>29</v>
      </c>
      <c r="L3138">
        <v>1</v>
      </c>
      <c r="M3138">
        <v>1</v>
      </c>
    </row>
    <row r="3139" spans="10:15" x14ac:dyDescent="0.25">
      <c r="J3139" t="s">
        <v>1603</v>
      </c>
      <c r="K3139" s="22" t="s">
        <v>24</v>
      </c>
      <c r="L3139">
        <v>1</v>
      </c>
    </row>
    <row r="3140" spans="10:15" x14ac:dyDescent="0.25">
      <c r="J3140" t="s">
        <v>1603</v>
      </c>
      <c r="K3140" s="22" t="s">
        <v>29</v>
      </c>
      <c r="L3140">
        <v>1</v>
      </c>
      <c r="M3140">
        <v>1</v>
      </c>
      <c r="O3140" s="31"/>
    </row>
    <row r="3141" spans="10:15" x14ac:dyDescent="0.25">
      <c r="J3141" t="s">
        <v>1603</v>
      </c>
      <c r="K3141" s="22" t="s">
        <v>31</v>
      </c>
      <c r="L3141">
        <v>2</v>
      </c>
      <c r="O3141" s="30"/>
    </row>
    <row r="3142" spans="10:15" x14ac:dyDescent="0.25">
      <c r="J3142" t="s">
        <v>1185</v>
      </c>
      <c r="K3142" s="22" t="s">
        <v>29</v>
      </c>
      <c r="L3142">
        <v>1</v>
      </c>
      <c r="M3142">
        <v>1</v>
      </c>
    </row>
    <row r="3143" spans="10:15" x14ac:dyDescent="0.25">
      <c r="J3143" t="s">
        <v>1185</v>
      </c>
      <c r="K3143" s="22" t="s">
        <v>22</v>
      </c>
      <c r="L3143">
        <v>1</v>
      </c>
    </row>
    <row r="3144" spans="10:15" x14ac:dyDescent="0.25">
      <c r="J3144" t="s">
        <v>2709</v>
      </c>
      <c r="K3144" s="22" t="s">
        <v>24</v>
      </c>
      <c r="L3144">
        <v>1</v>
      </c>
    </row>
    <row r="3145" spans="10:15" x14ac:dyDescent="0.25">
      <c r="J3145" t="s">
        <v>3070</v>
      </c>
      <c r="K3145" s="22" t="s">
        <v>29</v>
      </c>
      <c r="L3145">
        <v>2</v>
      </c>
      <c r="M3145">
        <v>2</v>
      </c>
      <c r="O3145" s="31"/>
    </row>
    <row r="3146" spans="10:15" x14ac:dyDescent="0.25">
      <c r="J3146" t="s">
        <v>1256</v>
      </c>
      <c r="K3146" s="22" t="s">
        <v>29</v>
      </c>
      <c r="L3146">
        <v>3</v>
      </c>
      <c r="O3146" s="30"/>
    </row>
    <row r="3147" spans="10:15" x14ac:dyDescent="0.25">
      <c r="J3147" t="s">
        <v>1256</v>
      </c>
      <c r="K3147" s="22" t="s">
        <v>35</v>
      </c>
      <c r="L3147">
        <v>2</v>
      </c>
      <c r="M3147">
        <v>1</v>
      </c>
      <c r="O3147" s="30"/>
    </row>
    <row r="3148" spans="10:15" x14ac:dyDescent="0.25">
      <c r="J3148" t="s">
        <v>877</v>
      </c>
      <c r="K3148" s="22" t="s">
        <v>24</v>
      </c>
      <c r="L3148">
        <v>1</v>
      </c>
      <c r="M3148">
        <v>1</v>
      </c>
    </row>
    <row r="3149" spans="10:15" x14ac:dyDescent="0.25">
      <c r="J3149" t="s">
        <v>1214</v>
      </c>
      <c r="K3149" s="22" t="s">
        <v>24</v>
      </c>
      <c r="L3149">
        <v>3</v>
      </c>
      <c r="M3149">
        <v>3</v>
      </c>
      <c r="O3149" s="31"/>
    </row>
    <row r="3150" spans="10:15" x14ac:dyDescent="0.25">
      <c r="J3150" t="s">
        <v>3482</v>
      </c>
      <c r="K3150" s="22" t="s">
        <v>24</v>
      </c>
      <c r="L3150">
        <v>1</v>
      </c>
      <c r="M3150">
        <v>1</v>
      </c>
      <c r="O3150" s="31"/>
    </row>
    <row r="3151" spans="10:15" x14ac:dyDescent="0.25">
      <c r="J3151" t="s">
        <v>741</v>
      </c>
      <c r="K3151" s="22" t="s">
        <v>24</v>
      </c>
      <c r="L3151">
        <v>2</v>
      </c>
      <c r="M3151">
        <v>2</v>
      </c>
      <c r="O3151" s="31"/>
    </row>
    <row r="3152" spans="10:15" x14ac:dyDescent="0.25">
      <c r="J3152" t="s">
        <v>741</v>
      </c>
      <c r="K3152" s="22" t="s">
        <v>29</v>
      </c>
      <c r="L3152">
        <v>5</v>
      </c>
      <c r="O3152" s="30"/>
    </row>
    <row r="3153" spans="10:15" x14ac:dyDescent="0.25">
      <c r="J3153" t="s">
        <v>755</v>
      </c>
      <c r="K3153" s="22" t="s">
        <v>24</v>
      </c>
      <c r="L3153">
        <v>1</v>
      </c>
    </row>
    <row r="3154" spans="10:15" x14ac:dyDescent="0.25">
      <c r="J3154" t="s">
        <v>755</v>
      </c>
      <c r="K3154" s="22" t="s">
        <v>29</v>
      </c>
      <c r="L3154">
        <v>4</v>
      </c>
      <c r="O3154" s="30"/>
    </row>
    <row r="3155" spans="10:15" x14ac:dyDescent="0.25">
      <c r="J3155" t="s">
        <v>1346</v>
      </c>
      <c r="K3155" s="22" t="s">
        <v>28</v>
      </c>
      <c r="L3155">
        <v>10</v>
      </c>
      <c r="M3155">
        <v>10</v>
      </c>
      <c r="O3155" s="31"/>
    </row>
    <row r="3156" spans="10:15" x14ac:dyDescent="0.25">
      <c r="J3156" t="s">
        <v>1128</v>
      </c>
      <c r="K3156" s="22" t="s">
        <v>28</v>
      </c>
      <c r="L3156">
        <v>3</v>
      </c>
      <c r="M3156">
        <v>3</v>
      </c>
      <c r="O3156" s="31"/>
    </row>
    <row r="3157" spans="10:15" x14ac:dyDescent="0.25">
      <c r="J3157" t="s">
        <v>1128</v>
      </c>
      <c r="K3157" s="22" t="s">
        <v>35</v>
      </c>
      <c r="L3157">
        <v>1</v>
      </c>
    </row>
    <row r="3158" spans="10:15" x14ac:dyDescent="0.25">
      <c r="J3158" t="s">
        <v>1128</v>
      </c>
      <c r="K3158" s="22" t="s">
        <v>31</v>
      </c>
      <c r="L3158">
        <v>1</v>
      </c>
    </row>
    <row r="3159" spans="10:15" x14ac:dyDescent="0.25">
      <c r="J3159" t="s">
        <v>2314</v>
      </c>
      <c r="K3159" s="22" t="s">
        <v>24</v>
      </c>
      <c r="L3159">
        <v>2</v>
      </c>
      <c r="M3159">
        <v>2</v>
      </c>
    </row>
    <row r="3160" spans="10:15" x14ac:dyDescent="0.25">
      <c r="J3160" t="s">
        <v>145</v>
      </c>
      <c r="K3160" s="22" t="s">
        <v>28</v>
      </c>
      <c r="L3160">
        <v>1</v>
      </c>
      <c r="M3160">
        <v>1</v>
      </c>
    </row>
    <row r="3161" spans="10:15" x14ac:dyDescent="0.25">
      <c r="J3161" t="s">
        <v>145</v>
      </c>
      <c r="K3161" s="22" t="s">
        <v>22</v>
      </c>
      <c r="L3161">
        <v>1</v>
      </c>
    </row>
    <row r="3162" spans="10:15" x14ac:dyDescent="0.25">
      <c r="J3162" t="s">
        <v>924</v>
      </c>
      <c r="K3162" s="22" t="s">
        <v>31</v>
      </c>
      <c r="L3162">
        <v>1</v>
      </c>
      <c r="M3162">
        <v>1</v>
      </c>
    </row>
    <row r="3163" spans="10:15" x14ac:dyDescent="0.25">
      <c r="J3163" t="s">
        <v>2544</v>
      </c>
      <c r="K3163" s="22" t="s">
        <v>28</v>
      </c>
      <c r="L3163">
        <v>2</v>
      </c>
      <c r="M3163">
        <v>2</v>
      </c>
      <c r="O3163" s="31"/>
    </row>
    <row r="3164" spans="10:15" x14ac:dyDescent="0.25">
      <c r="J3164" t="s">
        <v>2159</v>
      </c>
      <c r="K3164" s="22" t="s">
        <v>28</v>
      </c>
      <c r="L3164">
        <v>3</v>
      </c>
      <c r="M3164">
        <v>3</v>
      </c>
      <c r="O3164" s="31"/>
    </row>
    <row r="3165" spans="10:15" x14ac:dyDescent="0.25">
      <c r="J3165" t="s">
        <v>1956</v>
      </c>
      <c r="K3165" s="22" t="s">
        <v>24</v>
      </c>
      <c r="L3165">
        <v>1</v>
      </c>
      <c r="M3165">
        <v>1</v>
      </c>
    </row>
    <row r="3166" spans="10:15" x14ac:dyDescent="0.25">
      <c r="J3166" t="s">
        <v>2127</v>
      </c>
      <c r="K3166" s="22" t="s">
        <v>24</v>
      </c>
      <c r="L3166">
        <v>3</v>
      </c>
      <c r="O3166" s="30"/>
    </row>
    <row r="3167" spans="10:15" x14ac:dyDescent="0.25">
      <c r="J3167" t="s">
        <v>2127</v>
      </c>
      <c r="K3167" s="22" t="s">
        <v>28</v>
      </c>
      <c r="L3167">
        <v>1</v>
      </c>
      <c r="M3167">
        <v>1</v>
      </c>
    </row>
    <row r="3168" spans="10:15" x14ac:dyDescent="0.25">
      <c r="J3168" t="s">
        <v>402</v>
      </c>
      <c r="K3168" s="22" t="s">
        <v>24</v>
      </c>
      <c r="L3168">
        <v>1</v>
      </c>
      <c r="M3168">
        <v>1</v>
      </c>
    </row>
    <row r="3169" spans="10:15" x14ac:dyDescent="0.25">
      <c r="J3169" t="s">
        <v>402</v>
      </c>
      <c r="K3169" s="22" t="s">
        <v>35</v>
      </c>
      <c r="L3169">
        <v>2</v>
      </c>
      <c r="O3169" s="30"/>
    </row>
    <row r="3170" spans="10:15" x14ac:dyDescent="0.25">
      <c r="J3170" t="s">
        <v>797</v>
      </c>
      <c r="K3170" s="22" t="s">
        <v>24</v>
      </c>
      <c r="L3170">
        <v>8</v>
      </c>
      <c r="M3170">
        <v>8</v>
      </c>
      <c r="O3170" s="31"/>
    </row>
    <row r="3171" spans="10:15" x14ac:dyDescent="0.25">
      <c r="J3171" t="s">
        <v>1892</v>
      </c>
      <c r="K3171" s="22" t="s">
        <v>24</v>
      </c>
      <c r="L3171">
        <v>1</v>
      </c>
      <c r="M3171">
        <v>1</v>
      </c>
    </row>
    <row r="3172" spans="10:15" x14ac:dyDescent="0.25">
      <c r="J3172" t="s">
        <v>926</v>
      </c>
      <c r="K3172" s="22" t="s">
        <v>24</v>
      </c>
      <c r="L3172">
        <v>6</v>
      </c>
      <c r="M3172">
        <v>6</v>
      </c>
      <c r="O3172" s="31"/>
    </row>
    <row r="3173" spans="10:15" x14ac:dyDescent="0.25">
      <c r="J3173" t="s">
        <v>1985</v>
      </c>
      <c r="K3173" s="22" t="s">
        <v>24</v>
      </c>
      <c r="L3173">
        <v>2</v>
      </c>
      <c r="O3173" s="30"/>
    </row>
    <row r="3174" spans="10:15" x14ac:dyDescent="0.25">
      <c r="J3174" t="s">
        <v>1985</v>
      </c>
      <c r="K3174" s="22" t="s">
        <v>31</v>
      </c>
      <c r="L3174">
        <v>2</v>
      </c>
      <c r="O3174" s="30"/>
    </row>
    <row r="3175" spans="10:15" x14ac:dyDescent="0.25">
      <c r="J3175" t="s">
        <v>2564</v>
      </c>
      <c r="K3175" s="22" t="s">
        <v>24</v>
      </c>
      <c r="L3175">
        <v>3</v>
      </c>
      <c r="M3175">
        <v>3</v>
      </c>
      <c r="O3175" s="31"/>
    </row>
    <row r="3176" spans="10:15" x14ac:dyDescent="0.25">
      <c r="J3176" t="s">
        <v>2957</v>
      </c>
      <c r="K3176" s="22" t="s">
        <v>24</v>
      </c>
      <c r="L3176">
        <v>1</v>
      </c>
    </row>
    <row r="3177" spans="10:15" x14ac:dyDescent="0.25">
      <c r="J3177" t="s">
        <v>2674</v>
      </c>
      <c r="K3177" s="22" t="s">
        <v>35</v>
      </c>
      <c r="L3177">
        <v>1</v>
      </c>
    </row>
    <row r="3178" spans="10:15" x14ac:dyDescent="0.25">
      <c r="J3178" t="s">
        <v>2449</v>
      </c>
      <c r="K3178" s="22" t="s">
        <v>24</v>
      </c>
      <c r="L3178">
        <v>1</v>
      </c>
      <c r="M3178">
        <v>1</v>
      </c>
    </row>
    <row r="3179" spans="10:15" x14ac:dyDescent="0.25">
      <c r="J3179" t="s">
        <v>2449</v>
      </c>
      <c r="K3179" s="22" t="s">
        <v>28</v>
      </c>
      <c r="L3179">
        <v>1</v>
      </c>
    </row>
    <row r="3180" spans="10:15" x14ac:dyDescent="0.25">
      <c r="J3180" t="s">
        <v>3409</v>
      </c>
      <c r="K3180" s="22" t="s">
        <v>24</v>
      </c>
      <c r="L3180">
        <v>1</v>
      </c>
      <c r="M3180">
        <v>1</v>
      </c>
      <c r="O3180" s="31"/>
    </row>
    <row r="3181" spans="10:15" x14ac:dyDescent="0.25">
      <c r="J3181" t="s">
        <v>3409</v>
      </c>
      <c r="K3181" s="22" t="s">
        <v>28</v>
      </c>
      <c r="L3181">
        <v>1</v>
      </c>
      <c r="O3181" s="30"/>
    </row>
    <row r="3182" spans="10:15" x14ac:dyDescent="0.25">
      <c r="J3182" t="s">
        <v>3110</v>
      </c>
      <c r="K3182" s="22" t="s">
        <v>24</v>
      </c>
      <c r="L3182">
        <v>2</v>
      </c>
      <c r="M3182">
        <v>2</v>
      </c>
      <c r="O3182" s="31"/>
    </row>
    <row r="3183" spans="10:15" x14ac:dyDescent="0.25">
      <c r="J3183" t="s">
        <v>3117</v>
      </c>
      <c r="K3183" s="22" t="s">
        <v>24</v>
      </c>
      <c r="L3183">
        <v>2</v>
      </c>
      <c r="M3183">
        <v>2</v>
      </c>
      <c r="O3183" s="31"/>
    </row>
    <row r="3184" spans="10:15" x14ac:dyDescent="0.25">
      <c r="J3184" t="s">
        <v>2676</v>
      </c>
      <c r="K3184" s="22" t="s">
        <v>24</v>
      </c>
      <c r="L3184">
        <v>3</v>
      </c>
      <c r="M3184">
        <v>3</v>
      </c>
      <c r="O3184" s="31"/>
    </row>
    <row r="3185" spans="10:15" x14ac:dyDescent="0.25">
      <c r="J3185" t="s">
        <v>2676</v>
      </c>
      <c r="K3185" s="22" t="s">
        <v>28</v>
      </c>
      <c r="L3185">
        <v>1</v>
      </c>
    </row>
    <row r="3186" spans="10:15" x14ac:dyDescent="0.25">
      <c r="J3186" t="s">
        <v>2023</v>
      </c>
      <c r="K3186" s="22" t="s">
        <v>24</v>
      </c>
      <c r="L3186">
        <v>1</v>
      </c>
      <c r="O3186" s="30"/>
    </row>
    <row r="3187" spans="10:15" x14ac:dyDescent="0.25">
      <c r="J3187" t="s">
        <v>2023</v>
      </c>
      <c r="K3187" s="22" t="s">
        <v>35</v>
      </c>
      <c r="L3187">
        <v>1</v>
      </c>
      <c r="O3187" s="30"/>
    </row>
    <row r="3188" spans="10:15" x14ac:dyDescent="0.25">
      <c r="J3188" t="s">
        <v>2023</v>
      </c>
      <c r="K3188" s="22" t="s">
        <v>31</v>
      </c>
      <c r="L3188">
        <v>1</v>
      </c>
    </row>
    <row r="3189" spans="10:15" x14ac:dyDescent="0.25">
      <c r="J3189" t="s">
        <v>3474</v>
      </c>
      <c r="K3189" s="22" t="s">
        <v>31</v>
      </c>
      <c r="L3189">
        <v>1</v>
      </c>
      <c r="O3189" s="30"/>
    </row>
    <row r="3190" spans="10:15" x14ac:dyDescent="0.25">
      <c r="J3190" t="s">
        <v>1880</v>
      </c>
      <c r="K3190" s="22" t="s">
        <v>24</v>
      </c>
      <c r="L3190">
        <v>3</v>
      </c>
      <c r="O3190" s="30"/>
    </row>
    <row r="3191" spans="10:15" x14ac:dyDescent="0.25">
      <c r="J3191" t="s">
        <v>1880</v>
      </c>
      <c r="K3191" s="22" t="s">
        <v>35</v>
      </c>
      <c r="L3191">
        <v>3</v>
      </c>
      <c r="O3191" s="30"/>
    </row>
    <row r="3192" spans="10:15" x14ac:dyDescent="0.25">
      <c r="J3192" t="s">
        <v>3364</v>
      </c>
      <c r="K3192" s="22" t="s">
        <v>22</v>
      </c>
      <c r="L3192">
        <v>1</v>
      </c>
      <c r="O3192" s="30"/>
    </row>
    <row r="3193" spans="10:15" x14ac:dyDescent="0.25">
      <c r="J3193" t="s">
        <v>2815</v>
      </c>
      <c r="K3193" s="22" t="s">
        <v>24</v>
      </c>
      <c r="L3193">
        <v>2</v>
      </c>
      <c r="M3193">
        <v>2</v>
      </c>
      <c r="O3193" s="31"/>
    </row>
    <row r="3194" spans="10:15" x14ac:dyDescent="0.25">
      <c r="J3194" t="s">
        <v>3401</v>
      </c>
      <c r="K3194" s="22" t="s">
        <v>35</v>
      </c>
      <c r="L3194">
        <v>1</v>
      </c>
      <c r="M3194">
        <v>1</v>
      </c>
      <c r="O3194" s="31"/>
    </row>
    <row r="3195" spans="10:15" x14ac:dyDescent="0.25">
      <c r="J3195" t="s">
        <v>179</v>
      </c>
      <c r="K3195" s="22" t="s">
        <v>24</v>
      </c>
      <c r="L3195">
        <v>1</v>
      </c>
      <c r="M3195">
        <v>1</v>
      </c>
    </row>
    <row r="3196" spans="10:15" x14ac:dyDescent="0.25">
      <c r="J3196" t="s">
        <v>2558</v>
      </c>
      <c r="K3196" s="22" t="s">
        <v>31</v>
      </c>
      <c r="L3196">
        <v>6</v>
      </c>
      <c r="M3196">
        <v>6</v>
      </c>
      <c r="O3196" s="31"/>
    </row>
    <row r="3197" spans="10:15" x14ac:dyDescent="0.25">
      <c r="J3197" t="s">
        <v>1732</v>
      </c>
      <c r="K3197" s="22" t="s">
        <v>29</v>
      </c>
      <c r="L3197">
        <v>3</v>
      </c>
      <c r="M3197">
        <v>2</v>
      </c>
      <c r="O3197" s="30"/>
    </row>
    <row r="3198" spans="10:15" x14ac:dyDescent="0.25">
      <c r="J3198" t="s">
        <v>1732</v>
      </c>
      <c r="K3198" s="22" t="s">
        <v>28</v>
      </c>
      <c r="L3198">
        <v>5</v>
      </c>
      <c r="O3198" s="30"/>
    </row>
    <row r="3199" spans="10:15" x14ac:dyDescent="0.25">
      <c r="J3199" t="s">
        <v>1732</v>
      </c>
      <c r="K3199" s="22" t="s">
        <v>35</v>
      </c>
      <c r="L3199">
        <v>2</v>
      </c>
      <c r="M3199">
        <v>2</v>
      </c>
      <c r="O3199" s="31"/>
    </row>
    <row r="3200" spans="10:15" x14ac:dyDescent="0.25">
      <c r="J3200" t="s">
        <v>2394</v>
      </c>
      <c r="K3200" s="22" t="s">
        <v>24</v>
      </c>
      <c r="L3200">
        <v>2</v>
      </c>
      <c r="M3200">
        <v>2</v>
      </c>
      <c r="O3200" s="31"/>
    </row>
    <row r="3201" spans="10:15" x14ac:dyDescent="0.25">
      <c r="J3201" t="s">
        <v>650</v>
      </c>
      <c r="K3201" s="22" t="s">
        <v>24</v>
      </c>
      <c r="L3201">
        <v>2</v>
      </c>
      <c r="M3201">
        <v>2</v>
      </c>
    </row>
    <row r="3202" spans="10:15" x14ac:dyDescent="0.25">
      <c r="J3202" t="s">
        <v>552</v>
      </c>
      <c r="K3202" s="22" t="s">
        <v>22</v>
      </c>
      <c r="L3202">
        <v>2</v>
      </c>
      <c r="M3202">
        <v>2</v>
      </c>
    </row>
    <row r="3203" spans="10:15" x14ac:dyDescent="0.25">
      <c r="J3203" t="s">
        <v>3062</v>
      </c>
      <c r="K3203" s="22" t="s">
        <v>29</v>
      </c>
      <c r="L3203">
        <v>1</v>
      </c>
      <c r="O3203" s="30"/>
    </row>
    <row r="3204" spans="10:15" x14ac:dyDescent="0.25">
      <c r="J3204" t="s">
        <v>2165</v>
      </c>
      <c r="K3204" s="22" t="s">
        <v>24</v>
      </c>
      <c r="L3204">
        <v>2</v>
      </c>
      <c r="O3204" s="30"/>
    </row>
    <row r="3205" spans="10:15" x14ac:dyDescent="0.25">
      <c r="J3205" t="s">
        <v>2165</v>
      </c>
      <c r="K3205" s="22" t="s">
        <v>29</v>
      </c>
      <c r="L3205">
        <v>1</v>
      </c>
    </row>
    <row r="3206" spans="10:15" x14ac:dyDescent="0.25">
      <c r="J3206" t="s">
        <v>724</v>
      </c>
      <c r="K3206" s="22" t="s">
        <v>24</v>
      </c>
      <c r="L3206">
        <v>2</v>
      </c>
    </row>
    <row r="3207" spans="10:15" x14ac:dyDescent="0.25">
      <c r="J3207" t="s">
        <v>724</v>
      </c>
      <c r="K3207" s="22" t="s">
        <v>29</v>
      </c>
      <c r="L3207">
        <v>3</v>
      </c>
    </row>
    <row r="3208" spans="10:15" x14ac:dyDescent="0.25">
      <c r="J3208" t="s">
        <v>2210</v>
      </c>
      <c r="K3208" s="22" t="s">
        <v>28</v>
      </c>
      <c r="L3208">
        <v>2</v>
      </c>
      <c r="M3208">
        <v>1</v>
      </c>
    </row>
    <row r="3209" spans="10:15" x14ac:dyDescent="0.25">
      <c r="J3209" t="s">
        <v>2210</v>
      </c>
      <c r="K3209" s="22" t="s">
        <v>35</v>
      </c>
      <c r="L3209">
        <v>2</v>
      </c>
      <c r="M3209">
        <v>1</v>
      </c>
      <c r="O3209" s="30"/>
    </row>
    <row r="3210" spans="10:15" x14ac:dyDescent="0.25">
      <c r="J3210" t="s">
        <v>3422</v>
      </c>
      <c r="K3210" s="22" t="s">
        <v>24</v>
      </c>
      <c r="L3210">
        <v>3</v>
      </c>
      <c r="M3210">
        <v>2</v>
      </c>
      <c r="O3210" s="31"/>
    </row>
    <row r="3211" spans="10:15" x14ac:dyDescent="0.25">
      <c r="J3211" t="s">
        <v>3422</v>
      </c>
      <c r="K3211" s="22" t="s">
        <v>35</v>
      </c>
      <c r="L3211">
        <v>1</v>
      </c>
      <c r="O3211" s="30"/>
    </row>
    <row r="3212" spans="10:15" x14ac:dyDescent="0.25">
      <c r="J3212" t="s">
        <v>295</v>
      </c>
      <c r="K3212" s="22" t="s">
        <v>28</v>
      </c>
      <c r="L3212">
        <v>2</v>
      </c>
      <c r="M3212">
        <v>2</v>
      </c>
    </row>
    <row r="3213" spans="10:15" x14ac:dyDescent="0.25">
      <c r="J3213" t="s">
        <v>2406</v>
      </c>
      <c r="K3213" s="22" t="s">
        <v>24</v>
      </c>
      <c r="L3213">
        <v>1</v>
      </c>
      <c r="M3213">
        <v>1</v>
      </c>
      <c r="O3213" s="31"/>
    </row>
    <row r="3214" spans="10:15" x14ac:dyDescent="0.25">
      <c r="J3214" t="s">
        <v>2406</v>
      </c>
      <c r="K3214" s="22" t="s">
        <v>28</v>
      </c>
      <c r="L3214">
        <v>1</v>
      </c>
    </row>
    <row r="3215" spans="10:15" x14ac:dyDescent="0.25">
      <c r="J3215" t="s">
        <v>2406</v>
      </c>
      <c r="K3215" s="22" t="s">
        <v>22</v>
      </c>
      <c r="L3215">
        <v>1</v>
      </c>
    </row>
    <row r="3216" spans="10:15" x14ac:dyDescent="0.25">
      <c r="J3216" t="s">
        <v>2406</v>
      </c>
      <c r="K3216" s="22" t="s">
        <v>31</v>
      </c>
      <c r="L3216">
        <v>1</v>
      </c>
      <c r="O3216" s="30"/>
    </row>
    <row r="3217" spans="10:15" x14ac:dyDescent="0.25">
      <c r="J3217" t="s">
        <v>1561</v>
      </c>
      <c r="K3217" s="22" t="s">
        <v>22</v>
      </c>
      <c r="L3217">
        <v>1</v>
      </c>
      <c r="M3217">
        <v>1</v>
      </c>
    </row>
    <row r="3218" spans="10:15" x14ac:dyDescent="0.25">
      <c r="J3218" t="s">
        <v>1131</v>
      </c>
      <c r="K3218" s="22" t="s">
        <v>28</v>
      </c>
      <c r="L3218">
        <v>1</v>
      </c>
    </row>
    <row r="3219" spans="10:15" x14ac:dyDescent="0.25">
      <c r="J3219" t="s">
        <v>1131</v>
      </c>
      <c r="K3219" s="22" t="s">
        <v>31</v>
      </c>
      <c r="L3219">
        <v>3</v>
      </c>
      <c r="M3219">
        <v>3</v>
      </c>
      <c r="O3219" s="31"/>
    </row>
    <row r="3220" spans="10:15" x14ac:dyDescent="0.25">
      <c r="J3220" t="s">
        <v>2408</v>
      </c>
      <c r="K3220" s="22" t="s">
        <v>24</v>
      </c>
      <c r="L3220">
        <v>2</v>
      </c>
      <c r="O3220" s="30"/>
    </row>
    <row r="3221" spans="10:15" x14ac:dyDescent="0.25">
      <c r="J3221" t="s">
        <v>2408</v>
      </c>
      <c r="K3221" s="22" t="s">
        <v>28</v>
      </c>
      <c r="L3221">
        <v>1</v>
      </c>
    </row>
    <row r="3222" spans="10:15" x14ac:dyDescent="0.25">
      <c r="J3222" t="s">
        <v>3204</v>
      </c>
      <c r="K3222" s="22" t="s">
        <v>24</v>
      </c>
      <c r="L3222">
        <v>1</v>
      </c>
      <c r="M3222">
        <v>1</v>
      </c>
      <c r="O3222" s="31"/>
    </row>
    <row r="3223" spans="10:15" x14ac:dyDescent="0.25">
      <c r="J3223" t="s">
        <v>3204</v>
      </c>
      <c r="K3223" s="22" t="s">
        <v>28</v>
      </c>
      <c r="L3223">
        <v>1</v>
      </c>
      <c r="O3223" s="30"/>
    </row>
    <row r="3224" spans="10:15" x14ac:dyDescent="0.25">
      <c r="J3224" t="s">
        <v>579</v>
      </c>
      <c r="K3224" s="22" t="s">
        <v>24</v>
      </c>
      <c r="L3224">
        <v>2</v>
      </c>
      <c r="M3224">
        <v>2</v>
      </c>
      <c r="O3224" s="31"/>
    </row>
    <row r="3225" spans="10:15" x14ac:dyDescent="0.25">
      <c r="J3225" t="s">
        <v>579</v>
      </c>
      <c r="K3225" s="22" t="s">
        <v>28</v>
      </c>
      <c r="L3225">
        <v>7</v>
      </c>
      <c r="O3225" s="30"/>
    </row>
    <row r="3226" spans="10:15" x14ac:dyDescent="0.25">
      <c r="J3226" t="s">
        <v>2365</v>
      </c>
      <c r="K3226" s="22" t="s">
        <v>24</v>
      </c>
      <c r="L3226">
        <v>1</v>
      </c>
      <c r="M3226">
        <v>1</v>
      </c>
      <c r="O3226" s="31"/>
    </row>
    <row r="3227" spans="10:15" x14ac:dyDescent="0.25">
      <c r="J3227" t="s">
        <v>2365</v>
      </c>
      <c r="K3227" s="22" t="s">
        <v>22</v>
      </c>
      <c r="L3227">
        <v>1</v>
      </c>
    </row>
    <row r="3228" spans="10:15" x14ac:dyDescent="0.25">
      <c r="J3228" t="s">
        <v>2365</v>
      </c>
      <c r="K3228" s="22" t="s">
        <v>31</v>
      </c>
      <c r="L3228">
        <v>1</v>
      </c>
    </row>
    <row r="3229" spans="10:15" x14ac:dyDescent="0.25">
      <c r="J3229" t="s">
        <v>1119</v>
      </c>
      <c r="K3229" s="22" t="s">
        <v>35</v>
      </c>
      <c r="L3229">
        <v>1</v>
      </c>
    </row>
    <row r="3230" spans="10:15" x14ac:dyDescent="0.25">
      <c r="J3230" t="s">
        <v>1119</v>
      </c>
      <c r="K3230" s="22" t="s">
        <v>22</v>
      </c>
      <c r="L3230">
        <v>1</v>
      </c>
    </row>
    <row r="3231" spans="10:15" x14ac:dyDescent="0.25">
      <c r="J3231" t="s">
        <v>2749</v>
      </c>
      <c r="K3231" s="22" t="s">
        <v>31</v>
      </c>
      <c r="L3231">
        <v>1</v>
      </c>
      <c r="M3231">
        <v>1</v>
      </c>
    </row>
    <row r="3232" spans="10:15" x14ac:dyDescent="0.25">
      <c r="J3232" t="s">
        <v>3211</v>
      </c>
      <c r="K3232" s="22" t="s">
        <v>24</v>
      </c>
      <c r="L3232">
        <v>1</v>
      </c>
      <c r="M3232">
        <v>1</v>
      </c>
      <c r="O3232" s="31"/>
    </row>
    <row r="3233" spans="10:15" x14ac:dyDescent="0.25">
      <c r="J3233" t="s">
        <v>110</v>
      </c>
      <c r="K3233" s="22" t="s">
        <v>24</v>
      </c>
      <c r="L3233">
        <v>1</v>
      </c>
      <c r="M3233">
        <v>1</v>
      </c>
    </row>
    <row r="3234" spans="10:15" x14ac:dyDescent="0.25">
      <c r="J3234" t="s">
        <v>110</v>
      </c>
      <c r="K3234" s="22" t="s">
        <v>31</v>
      </c>
      <c r="L3234">
        <v>1</v>
      </c>
    </row>
    <row r="3235" spans="10:15" x14ac:dyDescent="0.25">
      <c r="J3235" t="s">
        <v>3452</v>
      </c>
      <c r="K3235" s="22" t="s">
        <v>22</v>
      </c>
      <c r="L3235">
        <v>1</v>
      </c>
      <c r="O3235" s="30"/>
    </row>
    <row r="3236" spans="10:15" x14ac:dyDescent="0.25">
      <c r="J3236" t="s">
        <v>2355</v>
      </c>
      <c r="K3236" s="22" t="s">
        <v>31</v>
      </c>
      <c r="L3236">
        <v>1</v>
      </c>
    </row>
    <row r="3237" spans="10:15" x14ac:dyDescent="0.25">
      <c r="J3237" t="s">
        <v>112</v>
      </c>
      <c r="K3237" s="22" t="s">
        <v>24</v>
      </c>
      <c r="L3237">
        <v>2</v>
      </c>
      <c r="M3237">
        <v>2</v>
      </c>
    </row>
    <row r="3238" spans="10:15" x14ac:dyDescent="0.25">
      <c r="J3238" t="s">
        <v>2212</v>
      </c>
      <c r="K3238" s="22" t="s">
        <v>24</v>
      </c>
      <c r="L3238">
        <v>2</v>
      </c>
      <c r="M3238">
        <v>2</v>
      </c>
      <c r="O3238" s="31"/>
    </row>
    <row r="3239" spans="10:15" x14ac:dyDescent="0.25">
      <c r="J3239" t="s">
        <v>297</v>
      </c>
      <c r="K3239" s="22" t="s">
        <v>24</v>
      </c>
      <c r="L3239">
        <v>4</v>
      </c>
      <c r="M3239">
        <v>4</v>
      </c>
    </row>
    <row r="3240" spans="10:15" x14ac:dyDescent="0.25">
      <c r="J3240" t="s">
        <v>2182</v>
      </c>
      <c r="K3240" s="22" t="s">
        <v>35</v>
      </c>
      <c r="L3240">
        <v>3</v>
      </c>
      <c r="M3240">
        <v>3</v>
      </c>
      <c r="O3240" s="31"/>
    </row>
    <row r="3241" spans="10:15" x14ac:dyDescent="0.25">
      <c r="J3241" t="s">
        <v>2761</v>
      </c>
      <c r="K3241" s="22" t="s">
        <v>24</v>
      </c>
      <c r="L3241">
        <v>1</v>
      </c>
      <c r="M3241">
        <v>1</v>
      </c>
    </row>
    <row r="3242" spans="10:15" x14ac:dyDescent="0.25">
      <c r="J3242" t="s">
        <v>410</v>
      </c>
      <c r="K3242" s="22" t="s">
        <v>24</v>
      </c>
      <c r="L3242">
        <v>1</v>
      </c>
    </row>
    <row r="3243" spans="10:15" x14ac:dyDescent="0.25">
      <c r="J3243" t="s">
        <v>427</v>
      </c>
      <c r="K3243" s="22" t="s">
        <v>35</v>
      </c>
      <c r="L3243">
        <v>3</v>
      </c>
      <c r="M3243">
        <v>3</v>
      </c>
      <c r="O3243" s="31"/>
    </row>
    <row r="3244" spans="10:15" x14ac:dyDescent="0.25">
      <c r="J3244" t="s">
        <v>3481</v>
      </c>
      <c r="K3244" s="22" t="s">
        <v>22</v>
      </c>
      <c r="L3244">
        <v>1</v>
      </c>
      <c r="M3244">
        <v>1</v>
      </c>
      <c r="O3244" s="31"/>
    </row>
    <row r="3245" spans="10:15" x14ac:dyDescent="0.25">
      <c r="J3245" t="s">
        <v>33</v>
      </c>
      <c r="K3245" s="22" t="s">
        <v>26</v>
      </c>
      <c r="L3245">
        <v>8</v>
      </c>
      <c r="M3245">
        <v>4</v>
      </c>
      <c r="O3245" s="31"/>
    </row>
    <row r="3246" spans="10:15" x14ac:dyDescent="0.25">
      <c r="J3246" t="s">
        <v>33</v>
      </c>
      <c r="K3246" s="22" t="s">
        <v>20</v>
      </c>
      <c r="L3246">
        <v>7</v>
      </c>
      <c r="M3246">
        <v>6</v>
      </c>
      <c r="O3246" s="31"/>
    </row>
    <row r="3247" spans="10:15" x14ac:dyDescent="0.25">
      <c r="J3247" t="s">
        <v>33</v>
      </c>
      <c r="K3247" s="22" t="s">
        <v>30</v>
      </c>
      <c r="L3247">
        <v>7</v>
      </c>
      <c r="M3247">
        <v>5</v>
      </c>
      <c r="O3247" s="30"/>
    </row>
    <row r="3248" spans="10:15" x14ac:dyDescent="0.25">
      <c r="J3248" t="s">
        <v>33</v>
      </c>
      <c r="K3248" s="22" t="s">
        <v>29</v>
      </c>
      <c r="L3248">
        <v>3</v>
      </c>
      <c r="M3248">
        <v>2</v>
      </c>
      <c r="O3248" s="31"/>
    </row>
    <row r="3249" spans="10:15" x14ac:dyDescent="0.25">
      <c r="J3249" t="s">
        <v>33</v>
      </c>
      <c r="K3249" s="22" t="s">
        <v>28</v>
      </c>
      <c r="L3249">
        <v>18</v>
      </c>
      <c r="M3249">
        <v>13</v>
      </c>
      <c r="O3249" s="30"/>
    </row>
    <row r="3250" spans="10:15" x14ac:dyDescent="0.25">
      <c r="J3250" t="s">
        <v>33</v>
      </c>
      <c r="K3250" s="22" t="s">
        <v>35</v>
      </c>
      <c r="L3250">
        <v>3</v>
      </c>
      <c r="M3250">
        <v>2</v>
      </c>
      <c r="O3250" s="31"/>
    </row>
    <row r="3251" spans="10:15" x14ac:dyDescent="0.25">
      <c r="J3251" t="s">
        <v>33</v>
      </c>
      <c r="K3251" s="22" t="s">
        <v>22</v>
      </c>
      <c r="L3251">
        <v>9</v>
      </c>
      <c r="M3251">
        <v>7</v>
      </c>
      <c r="O3251" s="30"/>
    </row>
    <row r="3252" spans="10:15" x14ac:dyDescent="0.25">
      <c r="J3252" t="s">
        <v>36</v>
      </c>
      <c r="K3252" s="22" t="s">
        <v>26</v>
      </c>
      <c r="L3252">
        <v>19</v>
      </c>
      <c r="M3252">
        <v>13</v>
      </c>
      <c r="O3252" s="31"/>
    </row>
    <row r="3253" spans="10:15" x14ac:dyDescent="0.25">
      <c r="J3253" t="s">
        <v>36</v>
      </c>
      <c r="K3253" s="22" t="s">
        <v>30</v>
      </c>
      <c r="L3253">
        <v>7</v>
      </c>
      <c r="M3253">
        <v>3</v>
      </c>
      <c r="O3253" s="31"/>
    </row>
    <row r="3254" spans="10:15" x14ac:dyDescent="0.25">
      <c r="J3254" t="s">
        <v>36</v>
      </c>
      <c r="K3254" s="22" t="s">
        <v>29</v>
      </c>
      <c r="L3254">
        <v>24</v>
      </c>
      <c r="M3254">
        <v>22</v>
      </c>
      <c r="O3254" s="31"/>
    </row>
    <row r="3255" spans="10:15" x14ac:dyDescent="0.25">
      <c r="J3255" t="s">
        <v>36</v>
      </c>
      <c r="K3255" s="22" t="s">
        <v>28</v>
      </c>
      <c r="L3255">
        <v>5</v>
      </c>
      <c r="M3255">
        <v>3</v>
      </c>
      <c r="O3255" s="31"/>
    </row>
    <row r="3256" spans="10:15" x14ac:dyDescent="0.25">
      <c r="J3256" t="s">
        <v>36</v>
      </c>
      <c r="K3256" s="22" t="s">
        <v>35</v>
      </c>
      <c r="L3256">
        <v>6</v>
      </c>
      <c r="M3256">
        <v>6</v>
      </c>
      <c r="O3256" s="31"/>
    </row>
    <row r="3257" spans="10:15" x14ac:dyDescent="0.25">
      <c r="J3257" t="s">
        <v>36</v>
      </c>
      <c r="K3257" s="22" t="s">
        <v>31</v>
      </c>
      <c r="L3257">
        <v>3</v>
      </c>
      <c r="M3257">
        <v>2</v>
      </c>
      <c r="O3257" s="30"/>
    </row>
    <row r="3258" spans="10:15" x14ac:dyDescent="0.25">
      <c r="J3258" t="s">
        <v>342</v>
      </c>
      <c r="K3258" s="22" t="s">
        <v>20</v>
      </c>
      <c r="L3258">
        <v>5</v>
      </c>
      <c r="M3258">
        <v>2</v>
      </c>
      <c r="O3258" s="31"/>
    </row>
    <row r="3259" spans="10:15" x14ac:dyDescent="0.25">
      <c r="J3259" t="s">
        <v>342</v>
      </c>
      <c r="K3259" s="22" t="s">
        <v>30</v>
      </c>
      <c r="L3259">
        <v>9</v>
      </c>
      <c r="O3259" s="30"/>
    </row>
    <row r="3260" spans="10:15" x14ac:dyDescent="0.25">
      <c r="J3260" t="s">
        <v>342</v>
      </c>
      <c r="K3260" s="22" t="s">
        <v>29</v>
      </c>
      <c r="L3260">
        <v>7</v>
      </c>
      <c r="M3260">
        <v>1</v>
      </c>
      <c r="O3260" s="30"/>
    </row>
    <row r="3261" spans="10:15" x14ac:dyDescent="0.25">
      <c r="J3261" t="s">
        <v>342</v>
      </c>
      <c r="K3261" s="22" t="s">
        <v>28</v>
      </c>
      <c r="L3261">
        <v>3</v>
      </c>
      <c r="M3261">
        <v>1</v>
      </c>
      <c r="O3261" s="30"/>
    </row>
    <row r="3262" spans="10:15" x14ac:dyDescent="0.25">
      <c r="J3262" t="s">
        <v>342</v>
      </c>
      <c r="K3262" s="22" t="s">
        <v>35</v>
      </c>
      <c r="L3262">
        <v>2</v>
      </c>
      <c r="M3262">
        <v>2</v>
      </c>
    </row>
    <row r="3263" spans="10:15" x14ac:dyDescent="0.25">
      <c r="J3263" t="s">
        <v>1257</v>
      </c>
      <c r="K3263" s="22" t="s">
        <v>30</v>
      </c>
      <c r="L3263">
        <v>2</v>
      </c>
      <c r="M3263">
        <v>2</v>
      </c>
      <c r="O3263" s="31"/>
    </row>
    <row r="3264" spans="10:15" x14ac:dyDescent="0.25">
      <c r="J3264" t="s">
        <v>199</v>
      </c>
      <c r="K3264" s="22" t="s">
        <v>26</v>
      </c>
      <c r="L3264">
        <v>14</v>
      </c>
      <c r="M3264">
        <v>10</v>
      </c>
      <c r="O3264" s="30"/>
    </row>
    <row r="3265" spans="10:15" x14ac:dyDescent="0.25">
      <c r="J3265" t="s">
        <v>199</v>
      </c>
      <c r="K3265" s="22" t="s">
        <v>20</v>
      </c>
      <c r="L3265">
        <v>1</v>
      </c>
      <c r="M3265">
        <v>1</v>
      </c>
    </row>
    <row r="3266" spans="10:15" x14ac:dyDescent="0.25">
      <c r="J3266" t="s">
        <v>199</v>
      </c>
      <c r="K3266" s="22" t="s">
        <v>30</v>
      </c>
      <c r="L3266">
        <v>8</v>
      </c>
      <c r="M3266">
        <v>1</v>
      </c>
      <c r="O3266" s="30"/>
    </row>
    <row r="3267" spans="10:15" x14ac:dyDescent="0.25">
      <c r="J3267" t="s">
        <v>199</v>
      </c>
      <c r="K3267" s="22" t="s">
        <v>29</v>
      </c>
      <c r="L3267">
        <v>5</v>
      </c>
      <c r="M3267">
        <v>4</v>
      </c>
      <c r="O3267" s="31"/>
    </row>
    <row r="3268" spans="10:15" x14ac:dyDescent="0.25">
      <c r="J3268" t="s">
        <v>199</v>
      </c>
      <c r="K3268" s="22" t="s">
        <v>28</v>
      </c>
      <c r="L3268">
        <v>10</v>
      </c>
      <c r="M3268">
        <v>8</v>
      </c>
      <c r="O3268" s="31"/>
    </row>
    <row r="3269" spans="10:15" x14ac:dyDescent="0.25">
      <c r="J3269" t="s">
        <v>199</v>
      </c>
      <c r="K3269" s="22" t="s">
        <v>22</v>
      </c>
      <c r="L3269">
        <v>12</v>
      </c>
      <c r="M3269">
        <v>9</v>
      </c>
      <c r="O3269" s="31"/>
    </row>
    <row r="3270" spans="10:15" x14ac:dyDescent="0.25">
      <c r="J3270" t="s">
        <v>3238</v>
      </c>
      <c r="K3270" s="22" t="s">
        <v>30</v>
      </c>
      <c r="L3270">
        <v>1</v>
      </c>
      <c r="O3270" s="30"/>
    </row>
    <row r="3271" spans="10:15" x14ac:dyDescent="0.25">
      <c r="J3271" t="s">
        <v>3238</v>
      </c>
      <c r="K3271" s="22" t="s">
        <v>29</v>
      </c>
      <c r="L3271">
        <v>2</v>
      </c>
      <c r="O3271" s="30"/>
    </row>
    <row r="3272" spans="10:15" x14ac:dyDescent="0.25">
      <c r="J3272" t="s">
        <v>353</v>
      </c>
      <c r="K3272" s="22" t="s">
        <v>26</v>
      </c>
      <c r="L3272">
        <v>9</v>
      </c>
      <c r="M3272">
        <v>9</v>
      </c>
      <c r="O3272" s="31"/>
    </row>
    <row r="3273" spans="10:15" x14ac:dyDescent="0.25">
      <c r="J3273" t="s">
        <v>472</v>
      </c>
      <c r="K3273" s="22" t="s">
        <v>26</v>
      </c>
      <c r="L3273">
        <v>4</v>
      </c>
      <c r="M3273">
        <v>2</v>
      </c>
      <c r="O3273" s="31"/>
    </row>
    <row r="3274" spans="10:15" x14ac:dyDescent="0.25">
      <c r="J3274" t="s">
        <v>472</v>
      </c>
      <c r="K3274" s="22" t="s">
        <v>20</v>
      </c>
      <c r="L3274">
        <v>2</v>
      </c>
    </row>
    <row r="3275" spans="10:15" x14ac:dyDescent="0.25">
      <c r="J3275" t="s">
        <v>472</v>
      </c>
      <c r="K3275" s="22" t="s">
        <v>30</v>
      </c>
      <c r="L3275">
        <v>2</v>
      </c>
    </row>
    <row r="3276" spans="10:15" x14ac:dyDescent="0.25">
      <c r="J3276" t="s">
        <v>472</v>
      </c>
      <c r="K3276" s="22" t="s">
        <v>29</v>
      </c>
      <c r="L3276">
        <v>4</v>
      </c>
      <c r="M3276">
        <v>2</v>
      </c>
      <c r="O3276" s="31"/>
    </row>
    <row r="3277" spans="10:15" x14ac:dyDescent="0.25">
      <c r="J3277" t="s">
        <v>472</v>
      </c>
      <c r="K3277" s="22" t="s">
        <v>28</v>
      </c>
      <c r="L3277">
        <v>3</v>
      </c>
      <c r="M3277">
        <v>1</v>
      </c>
      <c r="O3277" s="30"/>
    </row>
    <row r="3278" spans="10:15" x14ac:dyDescent="0.25">
      <c r="J3278" t="s">
        <v>472</v>
      </c>
      <c r="K3278" s="22" t="s">
        <v>31</v>
      </c>
      <c r="L3278">
        <v>5</v>
      </c>
      <c r="M3278">
        <v>2</v>
      </c>
      <c r="O3278" s="30"/>
    </row>
    <row r="3279" spans="10:15" x14ac:dyDescent="0.25">
      <c r="J3279" t="s">
        <v>2976</v>
      </c>
      <c r="K3279" s="22" t="s">
        <v>26</v>
      </c>
      <c r="L3279">
        <v>6</v>
      </c>
      <c r="M3279">
        <v>6</v>
      </c>
      <c r="O3279" s="31"/>
    </row>
    <row r="3280" spans="10:15" x14ac:dyDescent="0.25">
      <c r="J3280" t="s">
        <v>764</v>
      </c>
      <c r="K3280" s="22" t="s">
        <v>26</v>
      </c>
      <c r="L3280">
        <v>2</v>
      </c>
      <c r="M3280">
        <v>1</v>
      </c>
      <c r="O3280" s="30"/>
    </row>
    <row r="3281" spans="10:15" x14ac:dyDescent="0.25">
      <c r="J3281" t="s">
        <v>764</v>
      </c>
      <c r="K3281" s="22" t="s">
        <v>20</v>
      </c>
      <c r="L3281">
        <v>1</v>
      </c>
      <c r="M3281">
        <v>1</v>
      </c>
      <c r="O3281" s="31"/>
    </row>
    <row r="3282" spans="10:15" x14ac:dyDescent="0.25">
      <c r="J3282" t="s">
        <v>764</v>
      </c>
      <c r="K3282" s="22" t="s">
        <v>30</v>
      </c>
      <c r="L3282">
        <v>7</v>
      </c>
      <c r="M3282">
        <v>6</v>
      </c>
      <c r="O3282" s="31"/>
    </row>
    <row r="3283" spans="10:15" x14ac:dyDescent="0.25">
      <c r="J3283" t="s">
        <v>764</v>
      </c>
      <c r="K3283" s="22" t="s">
        <v>29</v>
      </c>
      <c r="L3283">
        <v>2</v>
      </c>
      <c r="M3283">
        <v>1</v>
      </c>
      <c r="O3283" s="30"/>
    </row>
    <row r="3284" spans="10:15" x14ac:dyDescent="0.25">
      <c r="J3284" t="s">
        <v>764</v>
      </c>
      <c r="K3284" s="22" t="s">
        <v>35</v>
      </c>
      <c r="L3284">
        <v>1</v>
      </c>
      <c r="O3284" s="30"/>
    </row>
    <row r="3285" spans="10:15" x14ac:dyDescent="0.25">
      <c r="J3285" t="s">
        <v>735</v>
      </c>
      <c r="K3285" s="22" t="s">
        <v>26</v>
      </c>
      <c r="L3285">
        <v>3</v>
      </c>
      <c r="M3285">
        <v>2</v>
      </c>
      <c r="O3285" s="30"/>
    </row>
    <row r="3286" spans="10:15" x14ac:dyDescent="0.25">
      <c r="J3286" t="s">
        <v>735</v>
      </c>
      <c r="K3286" s="22" t="s">
        <v>29</v>
      </c>
      <c r="L3286">
        <v>2</v>
      </c>
    </row>
    <row r="3287" spans="10:15" x14ac:dyDescent="0.25">
      <c r="J3287" t="s">
        <v>2300</v>
      </c>
      <c r="K3287" s="22" t="s">
        <v>26</v>
      </c>
      <c r="L3287">
        <v>2</v>
      </c>
      <c r="M3287">
        <v>1</v>
      </c>
      <c r="O3287" s="31"/>
    </row>
    <row r="3288" spans="10:15" x14ac:dyDescent="0.25">
      <c r="J3288" t="s">
        <v>2300</v>
      </c>
      <c r="K3288" s="22" t="s">
        <v>20</v>
      </c>
      <c r="L3288">
        <v>1</v>
      </c>
      <c r="O3288" s="30"/>
    </row>
    <row r="3289" spans="10:15" x14ac:dyDescent="0.25">
      <c r="J3289" t="s">
        <v>2300</v>
      </c>
      <c r="K3289" s="22" t="s">
        <v>30</v>
      </c>
      <c r="L3289">
        <v>1</v>
      </c>
      <c r="O3289" s="30"/>
    </row>
    <row r="3290" spans="10:15" x14ac:dyDescent="0.25">
      <c r="J3290" t="s">
        <v>2300</v>
      </c>
      <c r="K3290" s="22" t="s">
        <v>29</v>
      </c>
      <c r="L3290">
        <v>2</v>
      </c>
      <c r="M3290">
        <v>1</v>
      </c>
    </row>
    <row r="3291" spans="10:15" x14ac:dyDescent="0.25">
      <c r="J3291" t="s">
        <v>2300</v>
      </c>
      <c r="K3291" s="22" t="s">
        <v>31</v>
      </c>
      <c r="L3291">
        <v>2</v>
      </c>
      <c r="M3291">
        <v>2</v>
      </c>
      <c r="O3291" s="31"/>
    </row>
    <row r="3292" spans="10:15" x14ac:dyDescent="0.25">
      <c r="J3292" t="s">
        <v>125</v>
      </c>
      <c r="K3292" s="22" t="s">
        <v>20</v>
      </c>
      <c r="L3292">
        <v>7</v>
      </c>
      <c r="M3292">
        <v>3</v>
      </c>
      <c r="O3292" s="30"/>
    </row>
    <row r="3293" spans="10:15" x14ac:dyDescent="0.25">
      <c r="J3293" t="s">
        <v>125</v>
      </c>
      <c r="K3293" s="22" t="s">
        <v>29</v>
      </c>
      <c r="L3293">
        <v>14</v>
      </c>
      <c r="M3293">
        <v>12</v>
      </c>
      <c r="O3293" s="31"/>
    </row>
    <row r="3294" spans="10:15" x14ac:dyDescent="0.25">
      <c r="J3294" t="s">
        <v>125</v>
      </c>
      <c r="K3294" s="22" t="s">
        <v>35</v>
      </c>
      <c r="L3294">
        <v>15</v>
      </c>
      <c r="M3294">
        <v>8</v>
      </c>
      <c r="O3294" s="31"/>
    </row>
    <row r="3295" spans="10:15" x14ac:dyDescent="0.25">
      <c r="J3295" t="s">
        <v>125</v>
      </c>
      <c r="K3295" s="22" t="s">
        <v>22</v>
      </c>
      <c r="L3295">
        <v>8</v>
      </c>
      <c r="M3295">
        <v>8</v>
      </c>
      <c r="O3295" s="31"/>
    </row>
    <row r="3296" spans="10:15" x14ac:dyDescent="0.25">
      <c r="J3296" t="s">
        <v>125</v>
      </c>
      <c r="K3296" s="22" t="s">
        <v>31</v>
      </c>
      <c r="L3296">
        <v>8</v>
      </c>
      <c r="M3296">
        <v>6</v>
      </c>
      <c r="O3296" s="30"/>
    </row>
    <row r="3297" spans="10:15" x14ac:dyDescent="0.25">
      <c r="J3297" t="s">
        <v>1970</v>
      </c>
      <c r="K3297" s="22" t="s">
        <v>20</v>
      </c>
      <c r="L3297">
        <v>5</v>
      </c>
      <c r="M3297">
        <v>5</v>
      </c>
      <c r="O3297" s="31"/>
    </row>
    <row r="3298" spans="10:15" x14ac:dyDescent="0.25">
      <c r="J3298" t="s">
        <v>2931</v>
      </c>
      <c r="K3298" s="22" t="s">
        <v>20</v>
      </c>
      <c r="L3298">
        <v>3</v>
      </c>
      <c r="M3298">
        <v>3</v>
      </c>
      <c r="O3298" s="31"/>
    </row>
    <row r="3299" spans="10:15" x14ac:dyDescent="0.25">
      <c r="J3299" t="s">
        <v>1540</v>
      </c>
      <c r="K3299" s="22" t="s">
        <v>26</v>
      </c>
      <c r="L3299">
        <v>3</v>
      </c>
      <c r="M3299">
        <v>3</v>
      </c>
      <c r="O3299" s="31"/>
    </row>
    <row r="3300" spans="10:15" x14ac:dyDescent="0.25">
      <c r="J3300" t="s">
        <v>1540</v>
      </c>
      <c r="K3300" s="22" t="s">
        <v>20</v>
      </c>
      <c r="L3300">
        <v>4</v>
      </c>
      <c r="M3300">
        <v>3</v>
      </c>
      <c r="O3300" s="31"/>
    </row>
    <row r="3301" spans="10:15" x14ac:dyDescent="0.25">
      <c r="J3301" t="s">
        <v>1540</v>
      </c>
      <c r="K3301" s="22" t="s">
        <v>30</v>
      </c>
      <c r="L3301">
        <v>2</v>
      </c>
      <c r="O3301" s="30"/>
    </row>
    <row r="3302" spans="10:15" x14ac:dyDescent="0.25">
      <c r="J3302" t="s">
        <v>1540</v>
      </c>
      <c r="K3302" s="22" t="s">
        <v>29</v>
      </c>
      <c r="L3302">
        <v>1</v>
      </c>
      <c r="O3302" s="30"/>
    </row>
    <row r="3303" spans="10:15" x14ac:dyDescent="0.25">
      <c r="J3303" t="s">
        <v>1540</v>
      </c>
      <c r="K3303" s="22" t="s">
        <v>31</v>
      </c>
      <c r="L3303">
        <v>1</v>
      </c>
      <c r="O3303" s="30"/>
    </row>
    <row r="3304" spans="10:15" x14ac:dyDescent="0.25">
      <c r="J3304" t="s">
        <v>2531</v>
      </c>
      <c r="K3304" s="22" t="s">
        <v>20</v>
      </c>
      <c r="L3304">
        <v>5</v>
      </c>
      <c r="M3304">
        <v>5</v>
      </c>
      <c r="O3304" s="31"/>
    </row>
    <row r="3305" spans="10:15" x14ac:dyDescent="0.25">
      <c r="J3305" t="s">
        <v>948</v>
      </c>
      <c r="K3305" s="22" t="s">
        <v>26</v>
      </c>
      <c r="L3305">
        <v>1</v>
      </c>
      <c r="O3305" s="30"/>
    </row>
    <row r="3306" spans="10:15" x14ac:dyDescent="0.25">
      <c r="J3306" t="s">
        <v>948</v>
      </c>
      <c r="K3306" s="22" t="s">
        <v>30</v>
      </c>
      <c r="L3306">
        <v>5</v>
      </c>
      <c r="M3306">
        <v>5</v>
      </c>
      <c r="O3306" s="31"/>
    </row>
    <row r="3307" spans="10:15" x14ac:dyDescent="0.25">
      <c r="J3307" t="s">
        <v>948</v>
      </c>
      <c r="K3307" s="22" t="s">
        <v>29</v>
      </c>
      <c r="L3307">
        <v>2</v>
      </c>
      <c r="M3307">
        <v>1</v>
      </c>
    </row>
    <row r="3308" spans="10:15" x14ac:dyDescent="0.25">
      <c r="J3308" t="s">
        <v>798</v>
      </c>
      <c r="K3308" s="22" t="s">
        <v>31</v>
      </c>
      <c r="L3308">
        <v>4</v>
      </c>
      <c r="M3308">
        <v>3</v>
      </c>
    </row>
    <row r="3309" spans="10:15" x14ac:dyDescent="0.25">
      <c r="J3309" t="s">
        <v>1761</v>
      </c>
      <c r="K3309" s="22" t="s">
        <v>26</v>
      </c>
      <c r="L3309">
        <v>1</v>
      </c>
      <c r="M3309">
        <v>1</v>
      </c>
    </row>
    <row r="3310" spans="10:15" x14ac:dyDescent="0.25">
      <c r="J3310" t="s">
        <v>770</v>
      </c>
      <c r="K3310" s="22" t="s">
        <v>26</v>
      </c>
      <c r="L3310">
        <v>2</v>
      </c>
      <c r="M3310">
        <v>2</v>
      </c>
      <c r="O3310" s="31"/>
    </row>
    <row r="3311" spans="10:15" x14ac:dyDescent="0.25">
      <c r="J3311" t="s">
        <v>770</v>
      </c>
      <c r="K3311" s="22" t="s">
        <v>31</v>
      </c>
      <c r="L3311">
        <v>5</v>
      </c>
      <c r="M3311">
        <v>3</v>
      </c>
      <c r="O3311" s="31"/>
    </row>
    <row r="3312" spans="10:15" x14ac:dyDescent="0.25">
      <c r="J3312" t="s">
        <v>3381</v>
      </c>
      <c r="K3312" s="22" t="s">
        <v>20</v>
      </c>
      <c r="L3312">
        <v>1</v>
      </c>
      <c r="M3312">
        <v>1</v>
      </c>
      <c r="O3312" s="31"/>
    </row>
    <row r="3313" spans="10:15" x14ac:dyDescent="0.25">
      <c r="J3313" t="s">
        <v>473</v>
      </c>
      <c r="K3313" s="22" t="s">
        <v>30</v>
      </c>
      <c r="L3313">
        <v>2</v>
      </c>
      <c r="M3313">
        <v>1</v>
      </c>
      <c r="O3313" s="30"/>
    </row>
    <row r="3314" spans="10:15" x14ac:dyDescent="0.25">
      <c r="J3314" t="s">
        <v>1329</v>
      </c>
      <c r="K3314" s="22" t="s">
        <v>26</v>
      </c>
      <c r="L3314">
        <v>2</v>
      </c>
      <c r="O3314" s="30"/>
    </row>
    <row r="3315" spans="10:15" x14ac:dyDescent="0.25">
      <c r="J3315" t="s">
        <v>1329</v>
      </c>
      <c r="K3315" s="22" t="s">
        <v>20</v>
      </c>
      <c r="L3315">
        <v>1</v>
      </c>
      <c r="O3315" s="30"/>
    </row>
    <row r="3316" spans="10:15" x14ac:dyDescent="0.25">
      <c r="J3316" t="s">
        <v>1329</v>
      </c>
      <c r="K3316" s="22" t="s">
        <v>35</v>
      </c>
      <c r="L3316">
        <v>3</v>
      </c>
      <c r="M3316">
        <v>3</v>
      </c>
      <c r="O3316" s="31"/>
    </row>
    <row r="3317" spans="10:15" x14ac:dyDescent="0.25">
      <c r="J3317" t="s">
        <v>417</v>
      </c>
      <c r="K3317" s="22" t="s">
        <v>30</v>
      </c>
      <c r="L3317">
        <v>1</v>
      </c>
    </row>
    <row r="3318" spans="10:15" x14ac:dyDescent="0.25">
      <c r="J3318" t="s">
        <v>417</v>
      </c>
      <c r="K3318" s="22" t="s">
        <v>22</v>
      </c>
      <c r="L3318">
        <v>2</v>
      </c>
      <c r="M3318">
        <v>2</v>
      </c>
      <c r="O3318" s="31"/>
    </row>
    <row r="3319" spans="10:15" x14ac:dyDescent="0.25">
      <c r="J3319" t="s">
        <v>1439</v>
      </c>
      <c r="K3319" s="22" t="s">
        <v>20</v>
      </c>
      <c r="L3319">
        <v>3</v>
      </c>
      <c r="M3319">
        <v>2</v>
      </c>
      <c r="O3319" s="31"/>
    </row>
    <row r="3320" spans="10:15" x14ac:dyDescent="0.25">
      <c r="J3320" t="s">
        <v>1439</v>
      </c>
      <c r="K3320" s="22" t="s">
        <v>31</v>
      </c>
      <c r="L3320">
        <v>4</v>
      </c>
      <c r="M3320">
        <v>4</v>
      </c>
      <c r="O3320" s="31"/>
    </row>
    <row r="3321" spans="10:15" x14ac:dyDescent="0.25">
      <c r="J3321" t="s">
        <v>3417</v>
      </c>
      <c r="K3321" s="22" t="s">
        <v>30</v>
      </c>
      <c r="L3321">
        <v>2</v>
      </c>
      <c r="M3321">
        <v>1</v>
      </c>
      <c r="O3321" s="30"/>
    </row>
    <row r="3322" spans="10:15" x14ac:dyDescent="0.25">
      <c r="J3322" t="s">
        <v>231</v>
      </c>
      <c r="K3322" s="22" t="s">
        <v>20</v>
      </c>
      <c r="L3322">
        <v>5</v>
      </c>
      <c r="M3322">
        <v>5</v>
      </c>
      <c r="O3322" s="31"/>
    </row>
    <row r="3323" spans="10:15" x14ac:dyDescent="0.25">
      <c r="J3323" t="s">
        <v>231</v>
      </c>
      <c r="K3323" s="22" t="s">
        <v>31</v>
      </c>
      <c r="L3323">
        <v>5</v>
      </c>
      <c r="M3323">
        <v>5</v>
      </c>
      <c r="O3323" s="31"/>
    </row>
    <row r="3324" spans="10:15" x14ac:dyDescent="0.25">
      <c r="J3324" t="s">
        <v>1233</v>
      </c>
      <c r="K3324" s="22" t="s">
        <v>20</v>
      </c>
      <c r="L3324">
        <v>1</v>
      </c>
      <c r="O3324" s="30"/>
    </row>
    <row r="3325" spans="10:15" x14ac:dyDescent="0.25">
      <c r="J3325" t="s">
        <v>1233</v>
      </c>
      <c r="K3325" s="22" t="s">
        <v>30</v>
      </c>
      <c r="L3325">
        <v>2</v>
      </c>
      <c r="M3325">
        <v>1</v>
      </c>
      <c r="O3325" s="30"/>
    </row>
    <row r="3326" spans="10:15" x14ac:dyDescent="0.25">
      <c r="J3326" t="s">
        <v>1619</v>
      </c>
      <c r="K3326" s="22" t="s">
        <v>30</v>
      </c>
      <c r="L3326">
        <v>2</v>
      </c>
      <c r="M3326">
        <v>1</v>
      </c>
    </row>
    <row r="3327" spans="10:15" x14ac:dyDescent="0.25">
      <c r="J3327" t="s">
        <v>1619</v>
      </c>
      <c r="K3327" s="22" t="s">
        <v>31</v>
      </c>
      <c r="L3327">
        <v>2</v>
      </c>
      <c r="M3327">
        <v>2</v>
      </c>
      <c r="O3327" s="31"/>
    </row>
    <row r="3328" spans="10:15" x14ac:dyDescent="0.25">
      <c r="J3328" t="s">
        <v>2566</v>
      </c>
      <c r="K3328" s="22" t="s">
        <v>26</v>
      </c>
      <c r="L3328">
        <v>2</v>
      </c>
      <c r="M3328">
        <v>1</v>
      </c>
      <c r="O3328" s="30"/>
    </row>
    <row r="3329" spans="10:15" x14ac:dyDescent="0.25">
      <c r="J3329" t="s">
        <v>2566</v>
      </c>
      <c r="K3329" s="22" t="s">
        <v>20</v>
      </c>
      <c r="L3329">
        <v>2</v>
      </c>
      <c r="O3329" s="30"/>
    </row>
    <row r="3330" spans="10:15" x14ac:dyDescent="0.25">
      <c r="J3330" t="s">
        <v>2566</v>
      </c>
      <c r="K3330" s="22" t="s">
        <v>30</v>
      </c>
      <c r="L3330">
        <v>2</v>
      </c>
      <c r="O3330" s="30"/>
    </row>
    <row r="3331" spans="10:15" x14ac:dyDescent="0.25">
      <c r="J3331" t="s">
        <v>2566</v>
      </c>
      <c r="K3331" s="22" t="s">
        <v>22</v>
      </c>
      <c r="L3331">
        <v>1</v>
      </c>
    </row>
    <row r="3332" spans="10:15" x14ac:dyDescent="0.25">
      <c r="J3332" t="s">
        <v>1174</v>
      </c>
      <c r="K3332" s="22" t="s">
        <v>26</v>
      </c>
      <c r="L3332">
        <v>1</v>
      </c>
      <c r="M3332">
        <v>1</v>
      </c>
    </row>
    <row r="3333" spans="10:15" x14ac:dyDescent="0.25">
      <c r="J3333" t="s">
        <v>3469</v>
      </c>
      <c r="K3333" s="22" t="s">
        <v>31</v>
      </c>
      <c r="L3333">
        <v>2</v>
      </c>
      <c r="M3333">
        <v>2</v>
      </c>
      <c r="O3333" s="31"/>
    </row>
    <row r="3334" spans="10:15" x14ac:dyDescent="0.25">
      <c r="J3334" t="s">
        <v>117</v>
      </c>
      <c r="K3334" s="22" t="s">
        <v>26</v>
      </c>
      <c r="L3334">
        <v>11</v>
      </c>
      <c r="M3334">
        <v>4</v>
      </c>
      <c r="O3334" s="31"/>
    </row>
    <row r="3335" spans="10:15" x14ac:dyDescent="0.25">
      <c r="J3335" t="s">
        <v>117</v>
      </c>
      <c r="K3335" s="22" t="s">
        <v>20</v>
      </c>
      <c r="L3335">
        <v>7</v>
      </c>
      <c r="M3335">
        <v>3</v>
      </c>
      <c r="O3335" s="30"/>
    </row>
    <row r="3336" spans="10:15" x14ac:dyDescent="0.25">
      <c r="J3336" t="s">
        <v>117</v>
      </c>
      <c r="K3336" s="22" t="s">
        <v>30</v>
      </c>
      <c r="L3336">
        <v>15</v>
      </c>
      <c r="M3336">
        <v>7</v>
      </c>
      <c r="O3336" s="30"/>
    </row>
    <row r="3337" spans="10:15" x14ac:dyDescent="0.25">
      <c r="J3337" t="s">
        <v>117</v>
      </c>
      <c r="K3337" s="22" t="s">
        <v>28</v>
      </c>
      <c r="L3337">
        <v>11</v>
      </c>
      <c r="M3337">
        <v>6</v>
      </c>
      <c r="O3337" s="30"/>
    </row>
    <row r="3338" spans="10:15" x14ac:dyDescent="0.25">
      <c r="J3338" t="s">
        <v>117</v>
      </c>
      <c r="K3338" s="22" t="s">
        <v>35</v>
      </c>
      <c r="L3338">
        <v>6</v>
      </c>
      <c r="M3338">
        <v>4</v>
      </c>
      <c r="O3338" s="31"/>
    </row>
    <row r="3339" spans="10:15" x14ac:dyDescent="0.25">
      <c r="J3339" t="s">
        <v>117</v>
      </c>
      <c r="K3339" s="22" t="s">
        <v>22</v>
      </c>
      <c r="L3339">
        <v>11</v>
      </c>
      <c r="M3339">
        <v>4</v>
      </c>
      <c r="O3339" s="30"/>
    </row>
    <row r="3340" spans="10:15" x14ac:dyDescent="0.25">
      <c r="J3340" t="s">
        <v>117</v>
      </c>
      <c r="K3340" s="22" t="s">
        <v>31</v>
      </c>
      <c r="L3340">
        <v>22</v>
      </c>
      <c r="M3340">
        <v>11</v>
      </c>
      <c r="O3340" s="30"/>
    </row>
    <row r="3341" spans="10:15" x14ac:dyDescent="0.25">
      <c r="J3341" t="s">
        <v>226</v>
      </c>
      <c r="K3341" s="22" t="s">
        <v>26</v>
      </c>
      <c r="L3341">
        <v>1</v>
      </c>
    </row>
    <row r="3342" spans="10:15" x14ac:dyDescent="0.25">
      <c r="J3342" t="s">
        <v>226</v>
      </c>
      <c r="K3342" s="22" t="s">
        <v>20</v>
      </c>
      <c r="L3342">
        <v>4</v>
      </c>
      <c r="M3342">
        <v>2</v>
      </c>
      <c r="O3342" s="31"/>
    </row>
    <row r="3343" spans="10:15" x14ac:dyDescent="0.25">
      <c r="J3343" t="s">
        <v>226</v>
      </c>
      <c r="K3343" s="22" t="s">
        <v>30</v>
      </c>
      <c r="L3343">
        <v>3</v>
      </c>
      <c r="M3343">
        <v>1</v>
      </c>
    </row>
    <row r="3344" spans="10:15" x14ac:dyDescent="0.25">
      <c r="J3344" t="s">
        <v>226</v>
      </c>
      <c r="K3344" s="22" t="s">
        <v>28</v>
      </c>
      <c r="L3344">
        <v>2</v>
      </c>
      <c r="M3344">
        <v>1</v>
      </c>
    </row>
    <row r="3345" spans="10:15" x14ac:dyDescent="0.25">
      <c r="J3345" t="s">
        <v>226</v>
      </c>
      <c r="K3345" s="22" t="s">
        <v>35</v>
      </c>
      <c r="L3345">
        <v>5</v>
      </c>
      <c r="M3345">
        <v>4</v>
      </c>
      <c r="O3345" s="31"/>
    </row>
    <row r="3346" spans="10:15" x14ac:dyDescent="0.25">
      <c r="J3346" t="s">
        <v>226</v>
      </c>
      <c r="K3346" s="22" t="s">
        <v>22</v>
      </c>
      <c r="L3346">
        <v>1</v>
      </c>
      <c r="O3346" s="30"/>
    </row>
    <row r="3347" spans="10:15" x14ac:dyDescent="0.25">
      <c r="J3347" t="s">
        <v>2519</v>
      </c>
      <c r="K3347" s="22" t="s">
        <v>28</v>
      </c>
      <c r="L3347">
        <v>1</v>
      </c>
      <c r="M3347">
        <v>1</v>
      </c>
    </row>
    <row r="3348" spans="10:15" x14ac:dyDescent="0.25">
      <c r="J3348" t="s">
        <v>1315</v>
      </c>
      <c r="K3348" s="22" t="s">
        <v>26</v>
      </c>
      <c r="L3348">
        <v>5</v>
      </c>
      <c r="M3348">
        <v>4</v>
      </c>
      <c r="O3348" s="31"/>
    </row>
    <row r="3349" spans="10:15" x14ac:dyDescent="0.25">
      <c r="J3349" t="s">
        <v>1315</v>
      </c>
      <c r="K3349" s="22" t="s">
        <v>20</v>
      </c>
      <c r="L3349">
        <v>2</v>
      </c>
      <c r="M3349">
        <v>1</v>
      </c>
      <c r="O3349" s="30"/>
    </row>
    <row r="3350" spans="10:15" x14ac:dyDescent="0.25">
      <c r="J3350" t="s">
        <v>1315</v>
      </c>
      <c r="K3350" s="22" t="s">
        <v>30</v>
      </c>
      <c r="L3350">
        <v>8</v>
      </c>
      <c r="M3350">
        <v>6</v>
      </c>
      <c r="O3350" s="31"/>
    </row>
    <row r="3351" spans="10:15" x14ac:dyDescent="0.25">
      <c r="J3351" t="s">
        <v>1311</v>
      </c>
      <c r="K3351" s="22" t="s">
        <v>26</v>
      </c>
      <c r="L3351">
        <v>2</v>
      </c>
      <c r="M3351">
        <v>2</v>
      </c>
      <c r="O3351" s="31"/>
    </row>
    <row r="3352" spans="10:15" x14ac:dyDescent="0.25">
      <c r="J3352" t="s">
        <v>1311</v>
      </c>
      <c r="K3352" s="22" t="s">
        <v>28</v>
      </c>
      <c r="L3352">
        <v>3</v>
      </c>
      <c r="O3352" s="30"/>
    </row>
    <row r="3353" spans="10:15" x14ac:dyDescent="0.25">
      <c r="J3353" t="s">
        <v>1483</v>
      </c>
      <c r="K3353" s="22" t="s">
        <v>30</v>
      </c>
      <c r="L3353">
        <v>9</v>
      </c>
      <c r="M3353">
        <v>9</v>
      </c>
      <c r="O3353" s="31"/>
    </row>
    <row r="3354" spans="10:15" x14ac:dyDescent="0.25">
      <c r="J3354" t="s">
        <v>1483</v>
      </c>
      <c r="K3354" s="22" t="s">
        <v>22</v>
      </c>
      <c r="L3354">
        <v>1</v>
      </c>
    </row>
    <row r="3355" spans="10:15" x14ac:dyDescent="0.25">
      <c r="J3355" t="s">
        <v>1450</v>
      </c>
      <c r="K3355" s="22" t="s">
        <v>28</v>
      </c>
      <c r="L3355">
        <v>2</v>
      </c>
      <c r="M3355">
        <v>1</v>
      </c>
    </row>
    <row r="3356" spans="10:15" x14ac:dyDescent="0.25">
      <c r="J3356" t="s">
        <v>202</v>
      </c>
      <c r="K3356" s="22" t="s">
        <v>26</v>
      </c>
      <c r="L3356">
        <v>6</v>
      </c>
      <c r="O3356" s="30"/>
    </row>
    <row r="3357" spans="10:15" x14ac:dyDescent="0.25">
      <c r="J3357" t="s">
        <v>202</v>
      </c>
      <c r="K3357" s="22" t="s">
        <v>20</v>
      </c>
      <c r="L3357">
        <v>12</v>
      </c>
      <c r="M3357">
        <v>8</v>
      </c>
    </row>
    <row r="3358" spans="10:15" x14ac:dyDescent="0.25">
      <c r="J3358" t="s">
        <v>202</v>
      </c>
      <c r="K3358" s="22" t="s">
        <v>30</v>
      </c>
      <c r="L3358">
        <v>7</v>
      </c>
      <c r="O3358" s="30"/>
    </row>
    <row r="3359" spans="10:15" x14ac:dyDescent="0.25">
      <c r="J3359" t="s">
        <v>202</v>
      </c>
      <c r="K3359" s="22" t="s">
        <v>28</v>
      </c>
      <c r="L3359">
        <v>2</v>
      </c>
      <c r="O3359" s="30"/>
    </row>
    <row r="3360" spans="10:15" x14ac:dyDescent="0.25">
      <c r="J3360" t="s">
        <v>202</v>
      </c>
      <c r="K3360" s="22" t="s">
        <v>22</v>
      </c>
      <c r="L3360">
        <v>2</v>
      </c>
      <c r="O3360" s="30"/>
    </row>
    <row r="3361" spans="10:15" x14ac:dyDescent="0.25">
      <c r="J3361" t="s">
        <v>202</v>
      </c>
      <c r="K3361" s="22" t="s">
        <v>31</v>
      </c>
      <c r="L3361">
        <v>3</v>
      </c>
      <c r="O3361" s="30"/>
    </row>
    <row r="3362" spans="10:15" x14ac:dyDescent="0.25">
      <c r="J3362" t="s">
        <v>2003</v>
      </c>
      <c r="K3362" s="22" t="s">
        <v>20</v>
      </c>
      <c r="L3362">
        <v>3</v>
      </c>
      <c r="M3362">
        <v>3</v>
      </c>
      <c r="O3362" s="31"/>
    </row>
    <row r="3363" spans="10:15" x14ac:dyDescent="0.25">
      <c r="J3363" t="s">
        <v>2003</v>
      </c>
      <c r="K3363" s="22" t="s">
        <v>22</v>
      </c>
      <c r="L3363">
        <v>3</v>
      </c>
      <c r="O3363" s="30"/>
    </row>
    <row r="3364" spans="10:15" x14ac:dyDescent="0.25">
      <c r="J3364" t="s">
        <v>1623</v>
      </c>
      <c r="K3364" s="22" t="s">
        <v>26</v>
      </c>
      <c r="L3364">
        <v>1</v>
      </c>
    </row>
    <row r="3365" spans="10:15" x14ac:dyDescent="0.25">
      <c r="J3365" t="s">
        <v>1623</v>
      </c>
      <c r="K3365" s="22" t="s">
        <v>30</v>
      </c>
      <c r="L3365">
        <v>1</v>
      </c>
    </row>
    <row r="3366" spans="10:15" x14ac:dyDescent="0.25">
      <c r="J3366" t="s">
        <v>1623</v>
      </c>
      <c r="K3366" s="22" t="s">
        <v>28</v>
      </c>
      <c r="L3366">
        <v>1</v>
      </c>
    </row>
    <row r="3367" spans="10:15" x14ac:dyDescent="0.25">
      <c r="J3367" t="s">
        <v>1623</v>
      </c>
      <c r="K3367" s="22" t="s">
        <v>31</v>
      </c>
      <c r="L3367">
        <v>1</v>
      </c>
    </row>
    <row r="3368" spans="10:15" x14ac:dyDescent="0.25">
      <c r="J3368" t="s">
        <v>1368</v>
      </c>
      <c r="K3368" s="22" t="s">
        <v>26</v>
      </c>
      <c r="L3368">
        <v>2</v>
      </c>
      <c r="M3368">
        <v>1</v>
      </c>
    </row>
    <row r="3369" spans="10:15" x14ac:dyDescent="0.25">
      <c r="J3369" t="s">
        <v>789</v>
      </c>
      <c r="K3369" s="22" t="s">
        <v>30</v>
      </c>
      <c r="L3369">
        <v>3</v>
      </c>
      <c r="M3369">
        <v>3</v>
      </c>
    </row>
    <row r="3370" spans="10:15" x14ac:dyDescent="0.25">
      <c r="J3370" t="s">
        <v>349</v>
      </c>
      <c r="K3370" s="22" t="s">
        <v>35</v>
      </c>
      <c r="L3370">
        <v>4</v>
      </c>
      <c r="M3370">
        <v>3</v>
      </c>
      <c r="O3370" s="30"/>
    </row>
    <row r="3371" spans="10:15" x14ac:dyDescent="0.25">
      <c r="J3371" t="s">
        <v>3081</v>
      </c>
      <c r="K3371" s="22" t="s">
        <v>20</v>
      </c>
      <c r="L3371">
        <v>1</v>
      </c>
      <c r="O3371" s="30"/>
    </row>
    <row r="3372" spans="10:15" x14ac:dyDescent="0.25">
      <c r="J3372" t="s">
        <v>3081</v>
      </c>
      <c r="K3372" s="22" t="s">
        <v>30</v>
      </c>
      <c r="L3372">
        <v>1</v>
      </c>
      <c r="O3372" s="30"/>
    </row>
    <row r="3373" spans="10:15" x14ac:dyDescent="0.25">
      <c r="J3373" t="s">
        <v>1027</v>
      </c>
      <c r="K3373" s="22" t="s">
        <v>26</v>
      </c>
      <c r="L3373">
        <v>2</v>
      </c>
      <c r="M3373">
        <v>2</v>
      </c>
    </row>
    <row r="3374" spans="10:15" x14ac:dyDescent="0.25">
      <c r="J3374" t="s">
        <v>1027</v>
      </c>
      <c r="K3374" s="22" t="s">
        <v>20</v>
      </c>
      <c r="L3374">
        <v>2</v>
      </c>
      <c r="O3374" s="30"/>
    </row>
    <row r="3375" spans="10:15" x14ac:dyDescent="0.25">
      <c r="J3375" t="s">
        <v>223</v>
      </c>
      <c r="K3375" s="22" t="s">
        <v>26</v>
      </c>
      <c r="L3375">
        <v>3</v>
      </c>
      <c r="M3375">
        <v>2</v>
      </c>
    </row>
    <row r="3376" spans="10:15" x14ac:dyDescent="0.25">
      <c r="J3376" t="s">
        <v>223</v>
      </c>
      <c r="K3376" s="22" t="s">
        <v>20</v>
      </c>
      <c r="L3376">
        <v>3</v>
      </c>
      <c r="M3376">
        <v>3</v>
      </c>
      <c r="O3376" s="31"/>
    </row>
    <row r="3377" spans="10:15" x14ac:dyDescent="0.25">
      <c r="J3377" t="s">
        <v>223</v>
      </c>
      <c r="K3377" s="22" t="s">
        <v>30</v>
      </c>
      <c r="L3377">
        <v>1</v>
      </c>
    </row>
    <row r="3378" spans="10:15" x14ac:dyDescent="0.25">
      <c r="J3378" t="s">
        <v>223</v>
      </c>
      <c r="K3378" s="22" t="s">
        <v>22</v>
      </c>
      <c r="L3378">
        <v>1</v>
      </c>
    </row>
    <row r="3379" spans="10:15" x14ac:dyDescent="0.25">
      <c r="J3379" t="s">
        <v>223</v>
      </c>
      <c r="K3379" s="22" t="s">
        <v>31</v>
      </c>
      <c r="L3379">
        <v>1</v>
      </c>
    </row>
    <row r="3380" spans="10:15" x14ac:dyDescent="0.25">
      <c r="J3380" t="s">
        <v>2099</v>
      </c>
      <c r="K3380" s="22" t="s">
        <v>26</v>
      </c>
      <c r="L3380">
        <v>1</v>
      </c>
    </row>
    <row r="3381" spans="10:15" x14ac:dyDescent="0.25">
      <c r="J3381" t="s">
        <v>2099</v>
      </c>
      <c r="K3381" s="22" t="s">
        <v>20</v>
      </c>
      <c r="L3381">
        <v>2</v>
      </c>
      <c r="O3381" s="30"/>
    </row>
    <row r="3382" spans="10:15" x14ac:dyDescent="0.25">
      <c r="J3382" t="s">
        <v>2099</v>
      </c>
      <c r="K3382" s="22" t="s">
        <v>30</v>
      </c>
      <c r="L3382">
        <v>1</v>
      </c>
    </row>
    <row r="3383" spans="10:15" x14ac:dyDescent="0.25">
      <c r="J3383" t="s">
        <v>2412</v>
      </c>
      <c r="K3383" s="22" t="s">
        <v>20</v>
      </c>
      <c r="L3383">
        <v>1</v>
      </c>
      <c r="M3383">
        <v>1</v>
      </c>
      <c r="O3383" s="31"/>
    </row>
    <row r="3384" spans="10:15" x14ac:dyDescent="0.25">
      <c r="J3384" t="s">
        <v>2412</v>
      </c>
      <c r="K3384" s="22" t="s">
        <v>30</v>
      </c>
      <c r="L3384">
        <v>1</v>
      </c>
      <c r="O3384" s="30"/>
    </row>
    <row r="3385" spans="10:15" x14ac:dyDescent="0.25">
      <c r="J3385" t="s">
        <v>2762</v>
      </c>
      <c r="K3385" s="22" t="s">
        <v>26</v>
      </c>
      <c r="L3385">
        <v>1</v>
      </c>
      <c r="O3385" s="30"/>
    </row>
    <row r="3386" spans="10:15" x14ac:dyDescent="0.25">
      <c r="J3386" t="s">
        <v>2762</v>
      </c>
      <c r="K3386" s="22" t="s">
        <v>31</v>
      </c>
      <c r="L3386">
        <v>2</v>
      </c>
      <c r="M3386">
        <v>1</v>
      </c>
      <c r="O3386" s="30"/>
    </row>
    <row r="3387" spans="10:15" x14ac:dyDescent="0.25">
      <c r="J3387" t="s">
        <v>1644</v>
      </c>
      <c r="K3387" s="22" t="s">
        <v>26</v>
      </c>
      <c r="L3387">
        <v>2</v>
      </c>
      <c r="O3387" s="30"/>
    </row>
    <row r="3388" spans="10:15" x14ac:dyDescent="0.25">
      <c r="J3388" t="s">
        <v>1644</v>
      </c>
      <c r="K3388" s="22" t="s">
        <v>20</v>
      </c>
      <c r="L3388">
        <v>3</v>
      </c>
      <c r="M3388">
        <v>2</v>
      </c>
      <c r="O3388" s="30"/>
    </row>
    <row r="3389" spans="10:15" x14ac:dyDescent="0.25">
      <c r="J3389" t="s">
        <v>1644</v>
      </c>
      <c r="K3389" s="22" t="s">
        <v>30</v>
      </c>
      <c r="L3389">
        <v>7</v>
      </c>
      <c r="M3389">
        <v>6</v>
      </c>
      <c r="O3389" s="31"/>
    </row>
    <row r="3390" spans="10:15" x14ac:dyDescent="0.25">
      <c r="J3390" t="s">
        <v>1846</v>
      </c>
      <c r="K3390" s="22" t="s">
        <v>26</v>
      </c>
      <c r="L3390">
        <v>4</v>
      </c>
      <c r="M3390">
        <v>2</v>
      </c>
      <c r="O3390" s="30"/>
    </row>
    <row r="3391" spans="10:15" x14ac:dyDescent="0.25">
      <c r="J3391" t="s">
        <v>1846</v>
      </c>
      <c r="K3391" s="22" t="s">
        <v>20</v>
      </c>
      <c r="L3391">
        <v>2</v>
      </c>
      <c r="O3391" s="30"/>
    </row>
    <row r="3392" spans="10:15" x14ac:dyDescent="0.25">
      <c r="J3392" t="s">
        <v>1846</v>
      </c>
      <c r="K3392" s="22" t="s">
        <v>30</v>
      </c>
      <c r="L3392">
        <v>3</v>
      </c>
      <c r="M3392">
        <v>1</v>
      </c>
      <c r="O3392" s="30"/>
    </row>
    <row r="3393" spans="10:15" x14ac:dyDescent="0.25">
      <c r="J3393" t="s">
        <v>1846</v>
      </c>
      <c r="K3393" s="22" t="s">
        <v>22</v>
      </c>
      <c r="L3393">
        <v>3</v>
      </c>
      <c r="O3393" s="30"/>
    </row>
    <row r="3394" spans="10:15" x14ac:dyDescent="0.25">
      <c r="J3394" t="s">
        <v>1897</v>
      </c>
      <c r="K3394" s="22" t="s">
        <v>20</v>
      </c>
      <c r="L3394">
        <v>2</v>
      </c>
      <c r="M3394">
        <v>1</v>
      </c>
      <c r="O3394" s="30"/>
    </row>
    <row r="3395" spans="10:15" x14ac:dyDescent="0.25">
      <c r="J3395" t="s">
        <v>1897</v>
      </c>
      <c r="K3395" s="22" t="s">
        <v>30</v>
      </c>
      <c r="L3395">
        <v>1</v>
      </c>
      <c r="M3395">
        <v>1</v>
      </c>
      <c r="O3395" s="31"/>
    </row>
    <row r="3396" spans="10:15" x14ac:dyDescent="0.25">
      <c r="J3396" t="s">
        <v>1897</v>
      </c>
      <c r="K3396" s="22" t="s">
        <v>35</v>
      </c>
      <c r="L3396">
        <v>5</v>
      </c>
      <c r="M3396">
        <v>4</v>
      </c>
      <c r="O3396" s="31"/>
    </row>
    <row r="3397" spans="10:15" x14ac:dyDescent="0.25">
      <c r="J3397" t="s">
        <v>1897</v>
      </c>
      <c r="K3397" s="22" t="s">
        <v>31</v>
      </c>
      <c r="L3397">
        <v>1</v>
      </c>
      <c r="O3397" s="30"/>
    </row>
    <row r="3398" spans="10:15" x14ac:dyDescent="0.25">
      <c r="J3398" t="s">
        <v>1290</v>
      </c>
      <c r="K3398" s="22" t="s">
        <v>30</v>
      </c>
      <c r="L3398">
        <v>1</v>
      </c>
      <c r="M3398">
        <v>1</v>
      </c>
    </row>
    <row r="3399" spans="10:15" x14ac:dyDescent="0.25">
      <c r="J3399" t="s">
        <v>3376</v>
      </c>
      <c r="K3399" s="22" t="s">
        <v>35</v>
      </c>
      <c r="L3399">
        <v>1</v>
      </c>
      <c r="O3399" s="30"/>
    </row>
    <row r="3400" spans="10:15" x14ac:dyDescent="0.25">
      <c r="J3400" t="s">
        <v>2504</v>
      </c>
      <c r="K3400" s="22" t="s">
        <v>31</v>
      </c>
      <c r="L3400">
        <v>3</v>
      </c>
      <c r="M3400">
        <v>2</v>
      </c>
    </row>
    <row r="3401" spans="10:15" x14ac:dyDescent="0.25">
      <c r="J3401" t="s">
        <v>712</v>
      </c>
      <c r="K3401" s="22" t="s">
        <v>30</v>
      </c>
      <c r="L3401">
        <v>4</v>
      </c>
      <c r="M3401">
        <v>4</v>
      </c>
      <c r="O3401" s="31"/>
    </row>
    <row r="3402" spans="10:15" x14ac:dyDescent="0.25">
      <c r="J3402" t="s">
        <v>2540</v>
      </c>
      <c r="K3402" s="22" t="s">
        <v>30</v>
      </c>
      <c r="L3402">
        <v>2</v>
      </c>
      <c r="M3402">
        <v>2</v>
      </c>
      <c r="O3402" s="31"/>
    </row>
    <row r="3403" spans="10:15" x14ac:dyDescent="0.25">
      <c r="J3403" t="s">
        <v>1074</v>
      </c>
      <c r="K3403" s="22" t="s">
        <v>20</v>
      </c>
      <c r="L3403">
        <v>3</v>
      </c>
    </row>
    <row r="3404" spans="10:15" x14ac:dyDescent="0.25">
      <c r="J3404" t="s">
        <v>1074</v>
      </c>
      <c r="K3404" s="22" t="s">
        <v>30</v>
      </c>
      <c r="L3404">
        <v>3</v>
      </c>
      <c r="M3404">
        <v>3</v>
      </c>
      <c r="O3404" s="31"/>
    </row>
    <row r="3405" spans="10:15" x14ac:dyDescent="0.25">
      <c r="J3405" t="s">
        <v>2368</v>
      </c>
      <c r="K3405" s="22" t="s">
        <v>26</v>
      </c>
      <c r="L3405">
        <v>2</v>
      </c>
      <c r="O3405" s="30"/>
    </row>
    <row r="3406" spans="10:15" x14ac:dyDescent="0.25">
      <c r="J3406" t="s">
        <v>2368</v>
      </c>
      <c r="K3406" s="22" t="s">
        <v>20</v>
      </c>
      <c r="L3406">
        <v>3</v>
      </c>
      <c r="O3406" s="30"/>
    </row>
    <row r="3407" spans="10:15" x14ac:dyDescent="0.25">
      <c r="J3407" t="s">
        <v>2368</v>
      </c>
      <c r="K3407" s="22" t="s">
        <v>30</v>
      </c>
      <c r="L3407">
        <v>2</v>
      </c>
      <c r="O3407" s="30"/>
    </row>
    <row r="3408" spans="10:15" x14ac:dyDescent="0.25">
      <c r="J3408" t="s">
        <v>1800</v>
      </c>
      <c r="K3408" s="22" t="s">
        <v>26</v>
      </c>
      <c r="L3408">
        <v>1</v>
      </c>
    </row>
    <row r="3409" spans="10:15" x14ac:dyDescent="0.25">
      <c r="J3409" t="s">
        <v>1800</v>
      </c>
      <c r="K3409" s="22" t="s">
        <v>20</v>
      </c>
      <c r="L3409">
        <v>2</v>
      </c>
      <c r="M3409">
        <v>2</v>
      </c>
      <c r="O3409" s="31"/>
    </row>
    <row r="3410" spans="10:15" x14ac:dyDescent="0.25">
      <c r="J3410" t="s">
        <v>1800</v>
      </c>
      <c r="K3410" s="22" t="s">
        <v>28</v>
      </c>
      <c r="L3410">
        <v>3</v>
      </c>
      <c r="M3410">
        <v>1</v>
      </c>
      <c r="O3410" s="30"/>
    </row>
    <row r="3411" spans="10:15" x14ac:dyDescent="0.25">
      <c r="J3411" t="s">
        <v>2601</v>
      </c>
      <c r="K3411" s="22" t="s">
        <v>26</v>
      </c>
      <c r="L3411">
        <v>2</v>
      </c>
      <c r="M3411">
        <v>1</v>
      </c>
      <c r="O3411" s="30"/>
    </row>
    <row r="3412" spans="10:15" x14ac:dyDescent="0.25">
      <c r="J3412" t="s">
        <v>2601</v>
      </c>
      <c r="K3412" s="22" t="s">
        <v>28</v>
      </c>
      <c r="L3412">
        <v>1</v>
      </c>
      <c r="O3412" s="30"/>
    </row>
    <row r="3413" spans="10:15" x14ac:dyDescent="0.25">
      <c r="J3413" t="s">
        <v>1686</v>
      </c>
      <c r="K3413" s="22" t="s">
        <v>26</v>
      </c>
      <c r="L3413">
        <v>1</v>
      </c>
      <c r="O3413" s="30"/>
    </row>
    <row r="3414" spans="10:15" x14ac:dyDescent="0.25">
      <c r="J3414" t="s">
        <v>1686</v>
      </c>
      <c r="K3414" s="22" t="s">
        <v>20</v>
      </c>
      <c r="L3414">
        <v>4</v>
      </c>
      <c r="O3414" s="30"/>
    </row>
    <row r="3415" spans="10:15" x14ac:dyDescent="0.25">
      <c r="J3415" t="s">
        <v>1686</v>
      </c>
      <c r="K3415" s="22" t="s">
        <v>29</v>
      </c>
      <c r="L3415">
        <v>2</v>
      </c>
      <c r="M3415">
        <v>1</v>
      </c>
    </row>
    <row r="3416" spans="10:15" x14ac:dyDescent="0.25">
      <c r="J3416" t="s">
        <v>1686</v>
      </c>
      <c r="K3416" s="22" t="s">
        <v>28</v>
      </c>
      <c r="L3416">
        <v>1</v>
      </c>
      <c r="M3416">
        <v>1</v>
      </c>
      <c r="O3416" s="31"/>
    </row>
    <row r="3417" spans="10:15" x14ac:dyDescent="0.25">
      <c r="J3417" t="s">
        <v>1686</v>
      </c>
      <c r="K3417" s="22" t="s">
        <v>31</v>
      </c>
      <c r="L3417">
        <v>2</v>
      </c>
      <c r="M3417">
        <v>1</v>
      </c>
      <c r="O3417" s="31"/>
    </row>
    <row r="3418" spans="10:15" x14ac:dyDescent="0.25">
      <c r="J3418" t="s">
        <v>491</v>
      </c>
      <c r="K3418" s="22" t="s">
        <v>35</v>
      </c>
      <c r="L3418">
        <v>7</v>
      </c>
      <c r="M3418">
        <v>7</v>
      </c>
      <c r="O3418" s="31"/>
    </row>
    <row r="3419" spans="10:15" x14ac:dyDescent="0.25">
      <c r="J3419" t="s">
        <v>57</v>
      </c>
      <c r="K3419" s="22" t="s">
        <v>29</v>
      </c>
      <c r="L3419">
        <v>3</v>
      </c>
      <c r="M3419">
        <v>1</v>
      </c>
      <c r="O3419" s="31"/>
    </row>
    <row r="3420" spans="10:15" x14ac:dyDescent="0.25">
      <c r="J3420" t="s">
        <v>57</v>
      </c>
      <c r="K3420" s="22" t="s">
        <v>35</v>
      </c>
      <c r="L3420">
        <v>5</v>
      </c>
      <c r="M3420">
        <v>5</v>
      </c>
      <c r="O3420" s="31"/>
    </row>
    <row r="3421" spans="10:15" x14ac:dyDescent="0.25">
      <c r="J3421" t="s">
        <v>1731</v>
      </c>
      <c r="K3421" s="22" t="s">
        <v>20</v>
      </c>
      <c r="L3421">
        <v>2</v>
      </c>
      <c r="M3421">
        <v>2</v>
      </c>
      <c r="O3421" s="31"/>
    </row>
    <row r="3422" spans="10:15" x14ac:dyDescent="0.25">
      <c r="J3422" t="s">
        <v>1731</v>
      </c>
      <c r="K3422" s="22" t="s">
        <v>29</v>
      </c>
      <c r="L3422">
        <v>2</v>
      </c>
      <c r="M3422">
        <v>1</v>
      </c>
    </row>
    <row r="3423" spans="10:15" x14ac:dyDescent="0.25">
      <c r="J3423" t="s">
        <v>1731</v>
      </c>
      <c r="K3423" s="22" t="s">
        <v>22</v>
      </c>
      <c r="L3423">
        <v>2</v>
      </c>
      <c r="O3423" s="30"/>
    </row>
    <row r="3424" spans="10:15" x14ac:dyDescent="0.25">
      <c r="J3424" t="s">
        <v>3359</v>
      </c>
      <c r="K3424" s="22" t="s">
        <v>29</v>
      </c>
      <c r="L3424">
        <v>1</v>
      </c>
      <c r="O3424" s="30"/>
    </row>
    <row r="3425" spans="10:15" x14ac:dyDescent="0.25">
      <c r="J3425" t="s">
        <v>1237</v>
      </c>
      <c r="K3425" s="22" t="s">
        <v>26</v>
      </c>
      <c r="L3425">
        <v>2</v>
      </c>
      <c r="O3425" s="30"/>
    </row>
    <row r="3426" spans="10:15" x14ac:dyDescent="0.25">
      <c r="J3426" t="s">
        <v>1237</v>
      </c>
      <c r="K3426" s="22" t="s">
        <v>20</v>
      </c>
      <c r="L3426">
        <v>5</v>
      </c>
      <c r="O3426" s="30"/>
    </row>
    <row r="3427" spans="10:15" x14ac:dyDescent="0.25">
      <c r="J3427" t="s">
        <v>1237</v>
      </c>
      <c r="K3427" s="22" t="s">
        <v>29</v>
      </c>
      <c r="L3427">
        <v>1</v>
      </c>
    </row>
    <row r="3428" spans="10:15" x14ac:dyDescent="0.25">
      <c r="J3428" t="s">
        <v>1237</v>
      </c>
      <c r="K3428" s="22" t="s">
        <v>31</v>
      </c>
      <c r="L3428">
        <v>2</v>
      </c>
      <c r="O3428" s="30"/>
    </row>
    <row r="3429" spans="10:15" x14ac:dyDescent="0.25">
      <c r="J3429" t="s">
        <v>784</v>
      </c>
      <c r="K3429" s="22" t="s">
        <v>26</v>
      </c>
      <c r="L3429">
        <v>1</v>
      </c>
    </row>
    <row r="3430" spans="10:15" x14ac:dyDescent="0.25">
      <c r="J3430" t="s">
        <v>784</v>
      </c>
      <c r="K3430" s="22" t="s">
        <v>20</v>
      </c>
      <c r="L3430">
        <v>1</v>
      </c>
    </row>
    <row r="3431" spans="10:15" x14ac:dyDescent="0.25">
      <c r="J3431" t="s">
        <v>784</v>
      </c>
      <c r="K3431" s="22" t="s">
        <v>35</v>
      </c>
      <c r="L3431">
        <v>2</v>
      </c>
      <c r="M3431">
        <v>2</v>
      </c>
      <c r="O3431" s="31"/>
    </row>
    <row r="3432" spans="10:15" x14ac:dyDescent="0.25">
      <c r="J3432" t="s">
        <v>2149</v>
      </c>
      <c r="K3432" s="22" t="s">
        <v>26</v>
      </c>
      <c r="L3432">
        <v>1</v>
      </c>
    </row>
    <row r="3433" spans="10:15" x14ac:dyDescent="0.25">
      <c r="J3433" t="s">
        <v>2149</v>
      </c>
      <c r="K3433" s="22" t="s">
        <v>22</v>
      </c>
      <c r="L3433">
        <v>1</v>
      </c>
    </row>
    <row r="3434" spans="10:15" x14ac:dyDescent="0.25">
      <c r="J3434" t="s">
        <v>1621</v>
      </c>
      <c r="K3434" s="22" t="s">
        <v>26</v>
      </c>
      <c r="L3434">
        <v>2</v>
      </c>
      <c r="M3434">
        <v>1</v>
      </c>
    </row>
    <row r="3435" spans="10:15" x14ac:dyDescent="0.25">
      <c r="J3435" t="s">
        <v>1389</v>
      </c>
      <c r="K3435" s="22" t="s">
        <v>20</v>
      </c>
      <c r="L3435">
        <v>2</v>
      </c>
      <c r="M3435">
        <v>2</v>
      </c>
      <c r="O3435" s="31"/>
    </row>
    <row r="3436" spans="10:15" x14ac:dyDescent="0.25">
      <c r="J3436" t="s">
        <v>1389</v>
      </c>
      <c r="K3436" s="22" t="s">
        <v>28</v>
      </c>
      <c r="L3436">
        <v>1</v>
      </c>
    </row>
    <row r="3437" spans="10:15" x14ac:dyDescent="0.25">
      <c r="J3437" t="s">
        <v>1389</v>
      </c>
      <c r="K3437" s="22" t="s">
        <v>22</v>
      </c>
      <c r="L3437">
        <v>1</v>
      </c>
    </row>
    <row r="3438" spans="10:15" x14ac:dyDescent="0.25">
      <c r="J3438" t="s">
        <v>1674</v>
      </c>
      <c r="K3438" s="22" t="s">
        <v>35</v>
      </c>
      <c r="L3438">
        <v>5</v>
      </c>
      <c r="M3438">
        <v>5</v>
      </c>
      <c r="O3438" s="31"/>
    </row>
    <row r="3439" spans="10:15" x14ac:dyDescent="0.25">
      <c r="J3439" t="s">
        <v>293</v>
      </c>
      <c r="K3439" s="22" t="s">
        <v>20</v>
      </c>
      <c r="L3439">
        <v>2</v>
      </c>
      <c r="M3439">
        <v>1</v>
      </c>
    </row>
    <row r="3440" spans="10:15" x14ac:dyDescent="0.25">
      <c r="J3440" t="s">
        <v>293</v>
      </c>
      <c r="K3440" s="22" t="s">
        <v>28</v>
      </c>
      <c r="L3440">
        <v>1</v>
      </c>
    </row>
    <row r="3441" spans="10:15" x14ac:dyDescent="0.25">
      <c r="J3441" t="s">
        <v>293</v>
      </c>
      <c r="K3441" s="22" t="s">
        <v>35</v>
      </c>
      <c r="L3441">
        <v>1</v>
      </c>
      <c r="M3441">
        <v>1</v>
      </c>
    </row>
    <row r="3442" spans="10:15" x14ac:dyDescent="0.25">
      <c r="J3442" t="s">
        <v>210</v>
      </c>
      <c r="K3442" s="22" t="s">
        <v>26</v>
      </c>
      <c r="L3442">
        <v>7</v>
      </c>
      <c r="O3442" s="30"/>
    </row>
    <row r="3443" spans="10:15" x14ac:dyDescent="0.25">
      <c r="J3443" t="s">
        <v>210</v>
      </c>
      <c r="K3443" s="22" t="s">
        <v>20</v>
      </c>
      <c r="L3443">
        <v>3</v>
      </c>
      <c r="M3443">
        <v>1</v>
      </c>
      <c r="O3443" s="30"/>
    </row>
    <row r="3444" spans="10:15" x14ac:dyDescent="0.25">
      <c r="J3444" t="s">
        <v>210</v>
      </c>
      <c r="K3444" s="22" t="s">
        <v>28</v>
      </c>
      <c r="L3444">
        <v>5</v>
      </c>
      <c r="O3444" s="30"/>
    </row>
    <row r="3445" spans="10:15" x14ac:dyDescent="0.25">
      <c r="J3445" t="s">
        <v>210</v>
      </c>
      <c r="K3445" s="22" t="s">
        <v>22</v>
      </c>
      <c r="L3445">
        <v>4</v>
      </c>
      <c r="O3445" s="30"/>
    </row>
    <row r="3446" spans="10:15" x14ac:dyDescent="0.25">
      <c r="J3446" t="s">
        <v>210</v>
      </c>
      <c r="K3446" s="22" t="s">
        <v>31</v>
      </c>
      <c r="L3446">
        <v>1</v>
      </c>
      <c r="O3446" s="30"/>
    </row>
    <row r="3447" spans="10:15" x14ac:dyDescent="0.25">
      <c r="J3447" t="s">
        <v>1421</v>
      </c>
      <c r="K3447" s="22" t="s">
        <v>26</v>
      </c>
      <c r="L3447">
        <v>1</v>
      </c>
    </row>
    <row r="3448" spans="10:15" x14ac:dyDescent="0.25">
      <c r="J3448" t="s">
        <v>1421</v>
      </c>
      <c r="K3448" s="22" t="s">
        <v>20</v>
      </c>
      <c r="L3448">
        <v>2</v>
      </c>
      <c r="M3448">
        <v>1</v>
      </c>
      <c r="O3448" s="30"/>
    </row>
    <row r="3449" spans="10:15" x14ac:dyDescent="0.25">
      <c r="J3449" t="s">
        <v>1421</v>
      </c>
      <c r="K3449" s="22" t="s">
        <v>28</v>
      </c>
      <c r="L3449">
        <v>1</v>
      </c>
    </row>
    <row r="3450" spans="10:15" x14ac:dyDescent="0.25">
      <c r="J3450" t="s">
        <v>3326</v>
      </c>
      <c r="K3450" s="22" t="s">
        <v>20</v>
      </c>
      <c r="L3450">
        <v>1</v>
      </c>
      <c r="O3450" s="30"/>
    </row>
    <row r="3451" spans="10:15" x14ac:dyDescent="0.25">
      <c r="J3451" t="s">
        <v>993</v>
      </c>
      <c r="K3451" s="22" t="s">
        <v>26</v>
      </c>
      <c r="L3451">
        <v>2</v>
      </c>
      <c r="M3451">
        <v>1</v>
      </c>
    </row>
    <row r="3452" spans="10:15" x14ac:dyDescent="0.25">
      <c r="J3452" t="s">
        <v>993</v>
      </c>
      <c r="K3452" s="22" t="s">
        <v>20</v>
      </c>
      <c r="L3452">
        <v>2</v>
      </c>
      <c r="O3452" s="30"/>
    </row>
    <row r="3453" spans="10:15" x14ac:dyDescent="0.25">
      <c r="J3453" t="s">
        <v>993</v>
      </c>
      <c r="K3453" s="22" t="s">
        <v>35</v>
      </c>
      <c r="L3453">
        <v>2</v>
      </c>
      <c r="M3453">
        <v>2</v>
      </c>
      <c r="O3453" s="31"/>
    </row>
    <row r="3454" spans="10:15" x14ac:dyDescent="0.25">
      <c r="J3454" t="s">
        <v>1390</v>
      </c>
      <c r="K3454" s="22" t="s">
        <v>26</v>
      </c>
      <c r="L3454">
        <v>1</v>
      </c>
    </row>
    <row r="3455" spans="10:15" x14ac:dyDescent="0.25">
      <c r="J3455" t="s">
        <v>1390</v>
      </c>
      <c r="K3455" s="22" t="s">
        <v>20</v>
      </c>
      <c r="L3455">
        <v>1</v>
      </c>
    </row>
    <row r="3456" spans="10:15" x14ac:dyDescent="0.25">
      <c r="J3456" t="s">
        <v>1120</v>
      </c>
      <c r="K3456" s="22" t="s">
        <v>26</v>
      </c>
      <c r="L3456">
        <v>2</v>
      </c>
      <c r="O3456" s="30"/>
    </row>
    <row r="3457" spans="10:15" x14ac:dyDescent="0.25">
      <c r="J3457" t="s">
        <v>1120</v>
      </c>
      <c r="K3457" s="22" t="s">
        <v>20</v>
      </c>
      <c r="L3457">
        <v>1</v>
      </c>
    </row>
    <row r="3458" spans="10:15" x14ac:dyDescent="0.25">
      <c r="J3458" t="s">
        <v>1120</v>
      </c>
      <c r="K3458" s="22" t="s">
        <v>31</v>
      </c>
      <c r="L3458">
        <v>5</v>
      </c>
      <c r="O3458" s="30"/>
    </row>
    <row r="3459" spans="10:15" x14ac:dyDescent="0.25">
      <c r="J3459" t="s">
        <v>1596</v>
      </c>
      <c r="K3459" s="22" t="s">
        <v>35</v>
      </c>
      <c r="L3459">
        <v>1</v>
      </c>
      <c r="M3459">
        <v>1</v>
      </c>
      <c r="O3459" s="31"/>
    </row>
    <row r="3460" spans="10:15" x14ac:dyDescent="0.25">
      <c r="J3460" t="s">
        <v>1596</v>
      </c>
      <c r="K3460" s="22" t="s">
        <v>31</v>
      </c>
      <c r="L3460">
        <v>3</v>
      </c>
      <c r="M3460">
        <v>2</v>
      </c>
      <c r="O3460" s="31"/>
    </row>
    <row r="3461" spans="10:15" x14ac:dyDescent="0.25">
      <c r="J3461" t="s">
        <v>316</v>
      </c>
      <c r="K3461" s="22" t="s">
        <v>35</v>
      </c>
      <c r="L3461">
        <v>6</v>
      </c>
      <c r="M3461">
        <v>6</v>
      </c>
      <c r="O3461" s="31"/>
    </row>
    <row r="3462" spans="10:15" x14ac:dyDescent="0.25">
      <c r="J3462" t="s">
        <v>1654</v>
      </c>
      <c r="K3462" s="22" t="s">
        <v>35</v>
      </c>
      <c r="L3462">
        <v>4</v>
      </c>
      <c r="M3462">
        <v>4</v>
      </c>
      <c r="O3462" s="31"/>
    </row>
    <row r="3463" spans="10:15" x14ac:dyDescent="0.25">
      <c r="J3463" t="s">
        <v>1654</v>
      </c>
      <c r="K3463" s="22" t="s">
        <v>31</v>
      </c>
      <c r="L3463">
        <v>1</v>
      </c>
    </row>
    <row r="3464" spans="10:15" x14ac:dyDescent="0.25">
      <c r="J3464" t="s">
        <v>1598</v>
      </c>
      <c r="K3464" s="22" t="s">
        <v>26</v>
      </c>
      <c r="L3464">
        <v>1</v>
      </c>
      <c r="M3464">
        <v>1</v>
      </c>
    </row>
    <row r="3465" spans="10:15" x14ac:dyDescent="0.25">
      <c r="J3465" t="s">
        <v>2058</v>
      </c>
      <c r="K3465" s="22" t="s">
        <v>26</v>
      </c>
      <c r="L3465">
        <v>2</v>
      </c>
      <c r="O3465" s="30"/>
    </row>
    <row r="3466" spans="10:15" x14ac:dyDescent="0.25">
      <c r="J3466" t="s">
        <v>2058</v>
      </c>
      <c r="K3466" s="22" t="s">
        <v>22</v>
      </c>
      <c r="L3466">
        <v>1</v>
      </c>
    </row>
    <row r="3467" spans="10:15" x14ac:dyDescent="0.25">
      <c r="J3467" t="s">
        <v>3304</v>
      </c>
      <c r="K3467" s="22" t="s">
        <v>31</v>
      </c>
      <c r="L3467">
        <v>1</v>
      </c>
      <c r="O3467" s="30"/>
    </row>
    <row r="3468" spans="10:15" x14ac:dyDescent="0.25">
      <c r="J3468" t="s">
        <v>185</v>
      </c>
      <c r="K3468" s="22" t="s">
        <v>26</v>
      </c>
      <c r="L3468">
        <v>5</v>
      </c>
      <c r="O3468" s="30"/>
    </row>
    <row r="3469" spans="10:15" x14ac:dyDescent="0.25">
      <c r="J3469" t="s">
        <v>185</v>
      </c>
      <c r="K3469" s="22" t="s">
        <v>20</v>
      </c>
      <c r="L3469">
        <v>3</v>
      </c>
      <c r="O3469" s="30"/>
    </row>
    <row r="3470" spans="10:15" x14ac:dyDescent="0.25">
      <c r="J3470" t="s">
        <v>32</v>
      </c>
      <c r="K3470" s="22" t="s">
        <v>29</v>
      </c>
      <c r="L3470">
        <v>25</v>
      </c>
      <c r="M3470">
        <v>25</v>
      </c>
      <c r="O3470" s="31"/>
    </row>
    <row r="3471" spans="10:15" x14ac:dyDescent="0.25">
      <c r="J3471" t="s">
        <v>32</v>
      </c>
      <c r="K3471" s="22" t="s">
        <v>35</v>
      </c>
      <c r="L3471">
        <v>15</v>
      </c>
      <c r="M3471">
        <v>7</v>
      </c>
      <c r="O3471" s="31"/>
    </row>
    <row r="3472" spans="10:15" x14ac:dyDescent="0.25">
      <c r="J3472" t="s">
        <v>651</v>
      </c>
      <c r="K3472" s="22" t="s">
        <v>20</v>
      </c>
      <c r="L3472">
        <v>8</v>
      </c>
      <c r="M3472">
        <v>7</v>
      </c>
    </row>
    <row r="3473" spans="10:15" x14ac:dyDescent="0.25">
      <c r="J3473" t="s">
        <v>651</v>
      </c>
      <c r="K3473" s="22" t="s">
        <v>29</v>
      </c>
      <c r="L3473">
        <v>1</v>
      </c>
      <c r="O3473" s="30"/>
    </row>
    <row r="3474" spans="10:15" x14ac:dyDescent="0.25">
      <c r="J3474" t="s">
        <v>651</v>
      </c>
      <c r="K3474" s="22" t="s">
        <v>35</v>
      </c>
      <c r="L3474">
        <v>1</v>
      </c>
      <c r="O3474" s="30"/>
    </row>
    <row r="3475" spans="10:15" x14ac:dyDescent="0.25">
      <c r="J3475" t="s">
        <v>1751</v>
      </c>
      <c r="K3475" s="22" t="s">
        <v>29</v>
      </c>
      <c r="L3475">
        <v>2</v>
      </c>
      <c r="M3475">
        <v>2</v>
      </c>
      <c r="O3475" s="31"/>
    </row>
    <row r="3476" spans="10:15" x14ac:dyDescent="0.25">
      <c r="J3476" t="s">
        <v>43</v>
      </c>
      <c r="K3476" s="22" t="s">
        <v>28</v>
      </c>
      <c r="L3476">
        <v>4</v>
      </c>
      <c r="M3476">
        <v>3</v>
      </c>
      <c r="O3476" s="31"/>
    </row>
    <row r="3477" spans="10:15" x14ac:dyDescent="0.25">
      <c r="J3477" t="s">
        <v>43</v>
      </c>
      <c r="K3477" s="22" t="s">
        <v>35</v>
      </c>
      <c r="L3477">
        <v>2</v>
      </c>
      <c r="M3477">
        <v>2</v>
      </c>
      <c r="O3477" s="31"/>
    </row>
    <row r="3478" spans="10:15" x14ac:dyDescent="0.25">
      <c r="J3478" t="s">
        <v>43</v>
      </c>
      <c r="K3478" s="22" t="s">
        <v>31</v>
      </c>
      <c r="L3478">
        <v>2</v>
      </c>
      <c r="O3478" s="30"/>
    </row>
    <row r="3479" spans="10:15" x14ac:dyDescent="0.25">
      <c r="J3479" t="s">
        <v>1434</v>
      </c>
      <c r="K3479" s="22" t="s">
        <v>20</v>
      </c>
      <c r="L3479">
        <v>2</v>
      </c>
      <c r="M3479">
        <v>2</v>
      </c>
      <c r="O3479" s="31"/>
    </row>
    <row r="3480" spans="10:15" x14ac:dyDescent="0.25">
      <c r="J3480" t="s">
        <v>971</v>
      </c>
      <c r="K3480" s="22" t="s">
        <v>26</v>
      </c>
      <c r="L3480">
        <v>2</v>
      </c>
      <c r="M3480">
        <v>1</v>
      </c>
      <c r="O3480" s="31"/>
    </row>
    <row r="3481" spans="10:15" x14ac:dyDescent="0.25">
      <c r="J3481" t="s">
        <v>971</v>
      </c>
      <c r="K3481" s="22" t="s">
        <v>28</v>
      </c>
      <c r="L3481">
        <v>1</v>
      </c>
      <c r="M3481">
        <v>1</v>
      </c>
    </row>
    <row r="3482" spans="10:15" x14ac:dyDescent="0.25">
      <c r="J3482" t="s">
        <v>971</v>
      </c>
      <c r="K3482" s="22" t="s">
        <v>22</v>
      </c>
      <c r="L3482">
        <v>1</v>
      </c>
    </row>
    <row r="3483" spans="10:15" x14ac:dyDescent="0.25">
      <c r="J3483" t="s">
        <v>595</v>
      </c>
      <c r="K3483" s="22" t="s">
        <v>26</v>
      </c>
      <c r="L3483">
        <v>2</v>
      </c>
      <c r="M3483">
        <v>2</v>
      </c>
      <c r="O3483" s="31"/>
    </row>
    <row r="3484" spans="10:15" x14ac:dyDescent="0.25">
      <c r="J3484" t="s">
        <v>595</v>
      </c>
      <c r="K3484" s="22" t="s">
        <v>31</v>
      </c>
      <c r="L3484">
        <v>3</v>
      </c>
      <c r="M3484">
        <v>1</v>
      </c>
      <c r="O3484" s="30"/>
    </row>
    <row r="3485" spans="10:15" x14ac:dyDescent="0.25">
      <c r="J3485" t="s">
        <v>2999</v>
      </c>
      <c r="K3485" s="22" t="s">
        <v>26</v>
      </c>
      <c r="L3485">
        <v>1</v>
      </c>
      <c r="M3485">
        <v>1</v>
      </c>
    </row>
    <row r="3486" spans="10:15" x14ac:dyDescent="0.25">
      <c r="J3486" t="s">
        <v>768</v>
      </c>
      <c r="K3486" s="22" t="s">
        <v>26</v>
      </c>
      <c r="L3486">
        <v>6</v>
      </c>
      <c r="M3486">
        <v>5</v>
      </c>
      <c r="O3486" s="31"/>
    </row>
    <row r="3487" spans="10:15" x14ac:dyDescent="0.25">
      <c r="J3487" t="s">
        <v>768</v>
      </c>
      <c r="K3487" s="22" t="s">
        <v>20</v>
      </c>
      <c r="L3487">
        <v>6</v>
      </c>
      <c r="M3487">
        <v>6</v>
      </c>
      <c r="O3487" s="31"/>
    </row>
    <row r="3488" spans="10:15" x14ac:dyDescent="0.25">
      <c r="J3488" t="s">
        <v>768</v>
      </c>
      <c r="K3488" s="22" t="s">
        <v>29</v>
      </c>
      <c r="L3488">
        <v>4</v>
      </c>
      <c r="M3488">
        <v>3</v>
      </c>
      <c r="O3488" s="31"/>
    </row>
    <row r="3489" spans="10:15" x14ac:dyDescent="0.25">
      <c r="J3489" t="s">
        <v>768</v>
      </c>
      <c r="K3489" s="22" t="s">
        <v>28</v>
      </c>
      <c r="L3489">
        <v>4</v>
      </c>
      <c r="M3489">
        <v>2</v>
      </c>
      <c r="O3489" s="31"/>
    </row>
    <row r="3490" spans="10:15" x14ac:dyDescent="0.25">
      <c r="J3490" t="s">
        <v>768</v>
      </c>
      <c r="K3490" s="22" t="s">
        <v>31</v>
      </c>
      <c r="L3490">
        <v>9</v>
      </c>
      <c r="M3490">
        <v>6</v>
      </c>
      <c r="O3490" s="31"/>
    </row>
    <row r="3491" spans="10:15" x14ac:dyDescent="0.25">
      <c r="J3491" t="s">
        <v>1283</v>
      </c>
      <c r="K3491" s="22" t="s">
        <v>20</v>
      </c>
      <c r="L3491">
        <v>3</v>
      </c>
      <c r="M3491">
        <v>3</v>
      </c>
    </row>
    <row r="3492" spans="10:15" x14ac:dyDescent="0.25">
      <c r="J3492" t="s">
        <v>997</v>
      </c>
      <c r="K3492" s="22" t="s">
        <v>29</v>
      </c>
      <c r="L3492">
        <v>6</v>
      </c>
      <c r="M3492">
        <v>6</v>
      </c>
      <c r="O3492" s="31"/>
    </row>
    <row r="3493" spans="10:15" x14ac:dyDescent="0.25">
      <c r="J3493" t="s">
        <v>691</v>
      </c>
      <c r="K3493" s="22" t="s">
        <v>20</v>
      </c>
      <c r="L3493">
        <v>2</v>
      </c>
      <c r="M3493">
        <v>2</v>
      </c>
    </row>
    <row r="3494" spans="10:15" x14ac:dyDescent="0.25">
      <c r="J3494" t="s">
        <v>3020</v>
      </c>
      <c r="K3494" s="22" t="s">
        <v>26</v>
      </c>
      <c r="L3494">
        <v>1</v>
      </c>
      <c r="M3494">
        <v>1</v>
      </c>
    </row>
    <row r="3495" spans="10:15" x14ac:dyDescent="0.25">
      <c r="J3495" t="s">
        <v>1845</v>
      </c>
      <c r="K3495" s="22" t="s">
        <v>20</v>
      </c>
      <c r="L3495">
        <v>1</v>
      </c>
      <c r="M3495">
        <v>1</v>
      </c>
    </row>
    <row r="3496" spans="10:15" x14ac:dyDescent="0.25">
      <c r="J3496" t="s">
        <v>2460</v>
      </c>
      <c r="K3496" s="22" t="s">
        <v>31</v>
      </c>
      <c r="L3496">
        <v>2</v>
      </c>
      <c r="M3496">
        <v>2</v>
      </c>
    </row>
    <row r="3497" spans="10:15" x14ac:dyDescent="0.25">
      <c r="J3497" t="s">
        <v>3213</v>
      </c>
      <c r="K3497" s="22" t="s">
        <v>29</v>
      </c>
      <c r="L3497">
        <v>1</v>
      </c>
      <c r="O3497" s="30"/>
    </row>
    <row r="3498" spans="10:15" x14ac:dyDescent="0.25">
      <c r="J3498" t="s">
        <v>365</v>
      </c>
      <c r="K3498" s="22" t="s">
        <v>26</v>
      </c>
      <c r="L3498">
        <v>2</v>
      </c>
      <c r="M3498">
        <v>2</v>
      </c>
      <c r="O3498" s="31"/>
    </row>
    <row r="3499" spans="10:15" x14ac:dyDescent="0.25">
      <c r="J3499" t="s">
        <v>982</v>
      </c>
      <c r="K3499" s="22" t="s">
        <v>20</v>
      </c>
      <c r="L3499">
        <v>4</v>
      </c>
      <c r="M3499">
        <v>3</v>
      </c>
      <c r="O3499" s="30"/>
    </row>
    <row r="3500" spans="10:15" x14ac:dyDescent="0.25">
      <c r="J3500" t="s">
        <v>2909</v>
      </c>
      <c r="K3500" s="22" t="s">
        <v>29</v>
      </c>
      <c r="L3500">
        <v>1</v>
      </c>
      <c r="M3500">
        <v>1</v>
      </c>
    </row>
    <row r="3501" spans="10:15" x14ac:dyDescent="0.25">
      <c r="J3501" t="s">
        <v>668</v>
      </c>
      <c r="K3501" s="22" t="s">
        <v>26</v>
      </c>
      <c r="L3501">
        <v>16</v>
      </c>
      <c r="O3501" s="30"/>
    </row>
    <row r="3502" spans="10:15" x14ac:dyDescent="0.25">
      <c r="J3502" t="s">
        <v>668</v>
      </c>
      <c r="K3502" s="22" t="s">
        <v>20</v>
      </c>
      <c r="L3502">
        <v>12</v>
      </c>
      <c r="O3502" s="30"/>
    </row>
    <row r="3503" spans="10:15" x14ac:dyDescent="0.25">
      <c r="J3503" t="s">
        <v>668</v>
      </c>
      <c r="K3503" s="22" t="s">
        <v>29</v>
      </c>
      <c r="L3503">
        <v>7</v>
      </c>
      <c r="M3503">
        <v>6</v>
      </c>
      <c r="O3503" s="31"/>
    </row>
    <row r="3504" spans="10:15" x14ac:dyDescent="0.25">
      <c r="J3504" t="s">
        <v>668</v>
      </c>
      <c r="K3504" s="22" t="s">
        <v>35</v>
      </c>
      <c r="L3504">
        <v>15</v>
      </c>
      <c r="O3504" s="30"/>
    </row>
    <row r="3505" spans="10:15" x14ac:dyDescent="0.25">
      <c r="J3505" t="s">
        <v>668</v>
      </c>
      <c r="K3505" s="22" t="s">
        <v>22</v>
      </c>
      <c r="L3505">
        <v>1</v>
      </c>
    </row>
    <row r="3506" spans="10:15" x14ac:dyDescent="0.25">
      <c r="J3506" t="s">
        <v>668</v>
      </c>
      <c r="K3506" s="22" t="s">
        <v>31</v>
      </c>
      <c r="L3506">
        <v>3</v>
      </c>
      <c r="M3506">
        <v>2</v>
      </c>
      <c r="O3506" s="31"/>
    </row>
    <row r="3507" spans="10:15" x14ac:dyDescent="0.25">
      <c r="J3507" t="s">
        <v>1747</v>
      </c>
      <c r="K3507" s="22" t="s">
        <v>20</v>
      </c>
      <c r="L3507">
        <v>2</v>
      </c>
      <c r="O3507" s="30"/>
    </row>
    <row r="3508" spans="10:15" x14ac:dyDescent="0.25">
      <c r="J3508" t="s">
        <v>1747</v>
      </c>
      <c r="K3508" s="22" t="s">
        <v>29</v>
      </c>
      <c r="L3508">
        <v>2</v>
      </c>
      <c r="M3508">
        <v>2</v>
      </c>
      <c r="O3508" s="31"/>
    </row>
    <row r="3509" spans="10:15" x14ac:dyDescent="0.25">
      <c r="J3509" t="s">
        <v>2463</v>
      </c>
      <c r="K3509" s="22" t="s">
        <v>20</v>
      </c>
      <c r="L3509">
        <v>1</v>
      </c>
    </row>
    <row r="3510" spans="10:15" x14ac:dyDescent="0.25">
      <c r="J3510" t="s">
        <v>2463</v>
      </c>
      <c r="K3510" s="22" t="s">
        <v>29</v>
      </c>
      <c r="L3510">
        <v>2</v>
      </c>
      <c r="M3510">
        <v>2</v>
      </c>
      <c r="O3510" s="31"/>
    </row>
    <row r="3511" spans="10:15" x14ac:dyDescent="0.25">
      <c r="J3511" t="s">
        <v>2272</v>
      </c>
      <c r="K3511" s="22" t="s">
        <v>26</v>
      </c>
      <c r="L3511">
        <v>1</v>
      </c>
      <c r="O3511" s="30"/>
    </row>
    <row r="3512" spans="10:15" x14ac:dyDescent="0.25">
      <c r="J3512" t="s">
        <v>2272</v>
      </c>
      <c r="K3512" s="22" t="s">
        <v>20</v>
      </c>
      <c r="L3512">
        <v>1</v>
      </c>
    </row>
    <row r="3513" spans="10:15" x14ac:dyDescent="0.25">
      <c r="J3513" t="s">
        <v>2272</v>
      </c>
      <c r="K3513" s="22" t="s">
        <v>35</v>
      </c>
      <c r="L3513">
        <v>1</v>
      </c>
    </row>
    <row r="3514" spans="10:15" x14ac:dyDescent="0.25">
      <c r="J3514" t="s">
        <v>2468</v>
      </c>
      <c r="K3514" s="22" t="s">
        <v>20</v>
      </c>
      <c r="L3514">
        <v>4</v>
      </c>
      <c r="O3514" s="30"/>
    </row>
    <row r="3515" spans="10:15" x14ac:dyDescent="0.25">
      <c r="J3515" t="s">
        <v>2468</v>
      </c>
      <c r="K3515" s="22" t="s">
        <v>29</v>
      </c>
      <c r="L3515">
        <v>3</v>
      </c>
      <c r="M3515">
        <v>3</v>
      </c>
      <c r="O3515" s="31"/>
    </row>
    <row r="3516" spans="10:15" x14ac:dyDescent="0.25">
      <c r="J3516" t="s">
        <v>2468</v>
      </c>
      <c r="K3516" s="22" t="s">
        <v>22</v>
      </c>
      <c r="L3516">
        <v>2</v>
      </c>
      <c r="O3516" s="30"/>
    </row>
    <row r="3517" spans="10:15" x14ac:dyDescent="0.25">
      <c r="J3517" t="s">
        <v>3293</v>
      </c>
      <c r="K3517" s="22" t="s">
        <v>26</v>
      </c>
      <c r="L3517">
        <v>1</v>
      </c>
      <c r="O3517" s="30"/>
    </row>
    <row r="3518" spans="10:15" x14ac:dyDescent="0.25">
      <c r="J3518" t="s">
        <v>903</v>
      </c>
      <c r="K3518" s="22" t="s">
        <v>26</v>
      </c>
      <c r="L3518">
        <v>1</v>
      </c>
    </row>
    <row r="3519" spans="10:15" x14ac:dyDescent="0.25">
      <c r="J3519" t="s">
        <v>903</v>
      </c>
      <c r="K3519" s="22" t="s">
        <v>20</v>
      </c>
      <c r="L3519">
        <v>1</v>
      </c>
    </row>
    <row r="3520" spans="10:15" x14ac:dyDescent="0.25">
      <c r="J3520" t="s">
        <v>903</v>
      </c>
      <c r="K3520" s="22" t="s">
        <v>29</v>
      </c>
      <c r="L3520">
        <v>1</v>
      </c>
      <c r="M3520">
        <v>1</v>
      </c>
    </row>
    <row r="3521" spans="10:15" x14ac:dyDescent="0.25">
      <c r="J3521" t="s">
        <v>962</v>
      </c>
      <c r="K3521" s="22" t="s">
        <v>26</v>
      </c>
      <c r="L3521">
        <v>2</v>
      </c>
      <c r="M3521">
        <v>1</v>
      </c>
    </row>
    <row r="3522" spans="10:15" x14ac:dyDescent="0.25">
      <c r="J3522" t="s">
        <v>962</v>
      </c>
      <c r="K3522" s="22" t="s">
        <v>20</v>
      </c>
      <c r="L3522">
        <v>1</v>
      </c>
    </row>
    <row r="3523" spans="10:15" x14ac:dyDescent="0.25">
      <c r="J3523" t="s">
        <v>962</v>
      </c>
      <c r="K3523" s="22" t="s">
        <v>29</v>
      </c>
      <c r="L3523">
        <v>2</v>
      </c>
      <c r="M3523">
        <v>2</v>
      </c>
      <c r="O3523" s="31"/>
    </row>
    <row r="3524" spans="10:15" x14ac:dyDescent="0.25">
      <c r="J3524" t="s">
        <v>731</v>
      </c>
      <c r="K3524" s="22" t="s">
        <v>26</v>
      </c>
      <c r="L3524">
        <v>2</v>
      </c>
      <c r="M3524">
        <v>1</v>
      </c>
      <c r="O3524" s="31"/>
    </row>
    <row r="3525" spans="10:15" x14ac:dyDescent="0.25">
      <c r="J3525" t="s">
        <v>731</v>
      </c>
      <c r="K3525" s="22" t="s">
        <v>20</v>
      </c>
      <c r="L3525">
        <v>2</v>
      </c>
      <c r="M3525">
        <v>1</v>
      </c>
      <c r="O3525" s="31"/>
    </row>
    <row r="3526" spans="10:15" x14ac:dyDescent="0.25">
      <c r="J3526" t="s">
        <v>731</v>
      </c>
      <c r="K3526" s="22" t="s">
        <v>29</v>
      </c>
      <c r="L3526">
        <v>2</v>
      </c>
      <c r="M3526">
        <v>2</v>
      </c>
      <c r="O3526" s="31"/>
    </row>
    <row r="3527" spans="10:15" x14ac:dyDescent="0.25">
      <c r="J3527" t="s">
        <v>3449</v>
      </c>
      <c r="K3527" s="22" t="s">
        <v>26</v>
      </c>
      <c r="L3527">
        <v>1</v>
      </c>
      <c r="M3527">
        <v>1</v>
      </c>
      <c r="O3527" s="31"/>
    </row>
    <row r="3528" spans="10:15" x14ac:dyDescent="0.25">
      <c r="J3528" t="s">
        <v>772</v>
      </c>
      <c r="K3528" s="22" t="s">
        <v>20</v>
      </c>
      <c r="L3528">
        <v>1</v>
      </c>
    </row>
    <row r="3529" spans="10:15" x14ac:dyDescent="0.25">
      <c r="J3529" t="s">
        <v>772</v>
      </c>
      <c r="K3529" s="22" t="s">
        <v>29</v>
      </c>
      <c r="L3529">
        <v>1</v>
      </c>
      <c r="M3529">
        <v>1</v>
      </c>
    </row>
    <row r="3530" spans="10:15" x14ac:dyDescent="0.25">
      <c r="J3530" t="s">
        <v>2102</v>
      </c>
      <c r="K3530" s="22" t="s">
        <v>20</v>
      </c>
      <c r="L3530">
        <v>9</v>
      </c>
      <c r="M3530">
        <v>9</v>
      </c>
      <c r="O3530" s="31"/>
    </row>
    <row r="3531" spans="10:15" x14ac:dyDescent="0.25">
      <c r="J3531" t="s">
        <v>2102</v>
      </c>
      <c r="K3531" s="22" t="s">
        <v>28</v>
      </c>
      <c r="L3531">
        <v>3</v>
      </c>
      <c r="M3531">
        <v>1</v>
      </c>
      <c r="O3531" s="30"/>
    </row>
    <row r="3532" spans="10:15" x14ac:dyDescent="0.25">
      <c r="J3532" t="s">
        <v>189</v>
      </c>
      <c r="K3532" s="22" t="s">
        <v>20</v>
      </c>
      <c r="L3532">
        <v>10</v>
      </c>
      <c r="M3532">
        <v>10</v>
      </c>
      <c r="O3532" s="31"/>
    </row>
    <row r="3533" spans="10:15" x14ac:dyDescent="0.25">
      <c r="J3533" t="s">
        <v>189</v>
      </c>
      <c r="K3533" s="22" t="s">
        <v>31</v>
      </c>
      <c r="L3533">
        <v>6</v>
      </c>
      <c r="M3533">
        <v>6</v>
      </c>
      <c r="O3533" s="31"/>
    </row>
    <row r="3534" spans="10:15" x14ac:dyDescent="0.25">
      <c r="J3534" t="s">
        <v>3016</v>
      </c>
      <c r="K3534" s="22" t="s">
        <v>20</v>
      </c>
      <c r="L3534">
        <v>1</v>
      </c>
      <c r="M3534">
        <v>1</v>
      </c>
      <c r="O3534" s="31"/>
    </row>
    <row r="3535" spans="10:15" x14ac:dyDescent="0.25">
      <c r="J3535" t="s">
        <v>3016</v>
      </c>
      <c r="K3535" s="22" t="s">
        <v>28</v>
      </c>
      <c r="L3535">
        <v>1</v>
      </c>
    </row>
    <row r="3536" spans="10:15" x14ac:dyDescent="0.25">
      <c r="J3536" t="s">
        <v>88</v>
      </c>
      <c r="K3536" s="22" t="s">
        <v>22</v>
      </c>
      <c r="L3536">
        <v>5</v>
      </c>
      <c r="M3536">
        <v>5</v>
      </c>
      <c r="O3536" s="31"/>
    </row>
    <row r="3537" spans="10:15" x14ac:dyDescent="0.25">
      <c r="J3537" t="s">
        <v>88</v>
      </c>
      <c r="K3537" s="22" t="s">
        <v>31</v>
      </c>
      <c r="L3537">
        <v>7</v>
      </c>
      <c r="M3537">
        <v>7</v>
      </c>
      <c r="O3537" s="31"/>
    </row>
    <row r="3538" spans="10:15" x14ac:dyDescent="0.25">
      <c r="J3538" t="s">
        <v>2769</v>
      </c>
      <c r="K3538" s="22" t="s">
        <v>22</v>
      </c>
      <c r="L3538">
        <v>1</v>
      </c>
      <c r="M3538">
        <v>1</v>
      </c>
    </row>
    <row r="3539" spans="10:15" x14ac:dyDescent="0.25">
      <c r="J3539" t="s">
        <v>463</v>
      </c>
      <c r="K3539" s="22" t="s">
        <v>28</v>
      </c>
      <c r="L3539">
        <v>1</v>
      </c>
      <c r="M3539">
        <v>1</v>
      </c>
    </row>
    <row r="3540" spans="10:15" x14ac:dyDescent="0.25">
      <c r="J3540" t="s">
        <v>2265</v>
      </c>
      <c r="K3540" s="22" t="s">
        <v>31</v>
      </c>
      <c r="L3540">
        <v>2</v>
      </c>
      <c r="M3540">
        <v>2</v>
      </c>
      <c r="O3540" s="31"/>
    </row>
    <row r="3541" spans="10:15" x14ac:dyDescent="0.25">
      <c r="J3541" t="s">
        <v>2622</v>
      </c>
      <c r="K3541" s="22" t="s">
        <v>26</v>
      </c>
      <c r="L3541">
        <v>1</v>
      </c>
      <c r="O3541" s="30"/>
    </row>
    <row r="3542" spans="10:15" x14ac:dyDescent="0.25">
      <c r="J3542" t="s">
        <v>2622</v>
      </c>
      <c r="K3542" s="22" t="s">
        <v>20</v>
      </c>
      <c r="L3542">
        <v>1</v>
      </c>
    </row>
    <row r="3543" spans="10:15" x14ac:dyDescent="0.25">
      <c r="J3543" t="s">
        <v>2302</v>
      </c>
      <c r="K3543" s="22" t="s">
        <v>31</v>
      </c>
      <c r="L3543">
        <v>1</v>
      </c>
      <c r="M3543">
        <v>1</v>
      </c>
    </row>
    <row r="3544" spans="10:15" x14ac:dyDescent="0.25">
      <c r="J3544" t="s">
        <v>228</v>
      </c>
      <c r="K3544" s="22" t="s">
        <v>26</v>
      </c>
      <c r="L3544">
        <v>6</v>
      </c>
      <c r="M3544">
        <v>6</v>
      </c>
      <c r="O3544" s="31"/>
    </row>
    <row r="3545" spans="10:15" x14ac:dyDescent="0.25">
      <c r="J3545" t="s">
        <v>228</v>
      </c>
      <c r="K3545" s="22" t="s">
        <v>31</v>
      </c>
      <c r="L3545">
        <v>3</v>
      </c>
      <c r="M3545">
        <v>3</v>
      </c>
      <c r="O3545" s="31"/>
    </row>
    <row r="3546" spans="10:15" x14ac:dyDescent="0.25">
      <c r="J3546" t="s">
        <v>670</v>
      </c>
      <c r="K3546" s="22" t="s">
        <v>20</v>
      </c>
      <c r="L3546">
        <v>2</v>
      </c>
      <c r="M3546">
        <v>2</v>
      </c>
      <c r="O3546" s="31"/>
    </row>
    <row r="3547" spans="10:15" x14ac:dyDescent="0.25">
      <c r="J3547" t="s">
        <v>670</v>
      </c>
      <c r="K3547" s="22" t="s">
        <v>35</v>
      </c>
      <c r="L3547">
        <v>1</v>
      </c>
    </row>
    <row r="3548" spans="10:15" x14ac:dyDescent="0.25">
      <c r="J3548" t="s">
        <v>1752</v>
      </c>
      <c r="K3548" s="22" t="s">
        <v>26</v>
      </c>
      <c r="L3548">
        <v>4</v>
      </c>
      <c r="M3548">
        <v>4</v>
      </c>
      <c r="O3548" s="31"/>
    </row>
    <row r="3549" spans="10:15" x14ac:dyDescent="0.25">
      <c r="J3549" t="s">
        <v>1192</v>
      </c>
      <c r="K3549" s="22" t="s">
        <v>35</v>
      </c>
      <c r="L3549">
        <v>1</v>
      </c>
      <c r="M3549">
        <v>1</v>
      </c>
    </row>
    <row r="3550" spans="10:15" x14ac:dyDescent="0.25">
      <c r="J3550" t="s">
        <v>116</v>
      </c>
      <c r="K3550" s="22" t="s">
        <v>20</v>
      </c>
      <c r="L3550">
        <v>2</v>
      </c>
      <c r="M3550">
        <v>2</v>
      </c>
      <c r="O3550" s="31"/>
    </row>
    <row r="3551" spans="10:15" x14ac:dyDescent="0.25">
      <c r="J3551" t="s">
        <v>1456</v>
      </c>
      <c r="K3551" s="22" t="s">
        <v>26</v>
      </c>
      <c r="L3551">
        <v>2</v>
      </c>
      <c r="M3551">
        <v>2</v>
      </c>
      <c r="O3551" s="31"/>
    </row>
    <row r="3552" spans="10:15" x14ac:dyDescent="0.25">
      <c r="J3552" t="s">
        <v>1050</v>
      </c>
      <c r="K3552" s="22" t="s">
        <v>20</v>
      </c>
      <c r="L3552">
        <v>5</v>
      </c>
      <c r="M3552">
        <v>5</v>
      </c>
      <c r="O3552" s="31"/>
    </row>
    <row r="3553" spans="10:15" x14ac:dyDescent="0.25">
      <c r="J3553" t="s">
        <v>2352</v>
      </c>
      <c r="K3553" s="22" t="s">
        <v>26</v>
      </c>
      <c r="L3553">
        <v>4</v>
      </c>
      <c r="M3553">
        <v>4</v>
      </c>
      <c r="O3553" s="31"/>
    </row>
    <row r="3554" spans="10:15" x14ac:dyDescent="0.25">
      <c r="J3554" t="s">
        <v>1303</v>
      </c>
      <c r="K3554" s="22" t="s">
        <v>26</v>
      </c>
      <c r="L3554">
        <v>5</v>
      </c>
      <c r="O3554" s="30"/>
    </row>
    <row r="3555" spans="10:15" x14ac:dyDescent="0.25">
      <c r="J3555" t="s">
        <v>1303</v>
      </c>
      <c r="K3555" s="22" t="s">
        <v>20</v>
      </c>
      <c r="L3555">
        <v>6</v>
      </c>
      <c r="M3555">
        <v>1</v>
      </c>
      <c r="O3555" s="30"/>
    </row>
    <row r="3556" spans="10:15" x14ac:dyDescent="0.25">
      <c r="J3556" t="s">
        <v>1303</v>
      </c>
      <c r="K3556" s="22" t="s">
        <v>28</v>
      </c>
      <c r="L3556">
        <v>13</v>
      </c>
      <c r="M3556">
        <v>3</v>
      </c>
      <c r="O3556" s="30"/>
    </row>
    <row r="3557" spans="10:15" x14ac:dyDescent="0.25">
      <c r="J3557" t="s">
        <v>1303</v>
      </c>
      <c r="K3557" s="22" t="s">
        <v>35</v>
      </c>
      <c r="L3557">
        <v>3</v>
      </c>
      <c r="O3557" s="30"/>
    </row>
    <row r="3558" spans="10:15" x14ac:dyDescent="0.25">
      <c r="J3558" t="s">
        <v>1303</v>
      </c>
      <c r="K3558" s="22" t="s">
        <v>22</v>
      </c>
      <c r="L3558">
        <v>13</v>
      </c>
      <c r="M3558">
        <v>3</v>
      </c>
      <c r="O3558" s="30"/>
    </row>
    <row r="3559" spans="10:15" x14ac:dyDescent="0.25">
      <c r="J3559" t="s">
        <v>1303</v>
      </c>
      <c r="K3559" s="22" t="s">
        <v>31</v>
      </c>
      <c r="L3559">
        <v>5</v>
      </c>
      <c r="O3559" s="30"/>
    </row>
    <row r="3560" spans="10:15" x14ac:dyDescent="0.25">
      <c r="J3560" t="s">
        <v>1302</v>
      </c>
      <c r="K3560" s="22" t="s">
        <v>20</v>
      </c>
      <c r="L3560">
        <v>3</v>
      </c>
      <c r="M3560">
        <v>2</v>
      </c>
      <c r="O3560" s="30"/>
    </row>
    <row r="3561" spans="10:15" x14ac:dyDescent="0.25">
      <c r="J3561" t="s">
        <v>1944</v>
      </c>
      <c r="K3561" s="22" t="s">
        <v>20</v>
      </c>
      <c r="L3561">
        <v>1</v>
      </c>
      <c r="O3561" s="30"/>
    </row>
    <row r="3562" spans="10:15" x14ac:dyDescent="0.25">
      <c r="J3562" t="s">
        <v>1944</v>
      </c>
      <c r="K3562" s="22" t="s">
        <v>35</v>
      </c>
      <c r="L3562">
        <v>1</v>
      </c>
      <c r="O3562" s="30"/>
    </row>
    <row r="3563" spans="10:15" x14ac:dyDescent="0.25">
      <c r="J3563" t="s">
        <v>1944</v>
      </c>
      <c r="K3563" s="22" t="s">
        <v>31</v>
      </c>
      <c r="L3563">
        <v>1</v>
      </c>
    </row>
    <row r="3564" spans="10:15" x14ac:dyDescent="0.25">
      <c r="J3564" t="s">
        <v>1922</v>
      </c>
      <c r="K3564" s="22" t="s">
        <v>26</v>
      </c>
      <c r="L3564">
        <v>2</v>
      </c>
      <c r="O3564" s="30"/>
    </row>
    <row r="3565" spans="10:15" x14ac:dyDescent="0.25">
      <c r="J3565" t="s">
        <v>1922</v>
      </c>
      <c r="K3565" s="22" t="s">
        <v>20</v>
      </c>
      <c r="L3565">
        <v>2</v>
      </c>
      <c r="M3565">
        <v>1</v>
      </c>
      <c r="O3565" s="30"/>
    </row>
    <row r="3566" spans="10:15" x14ac:dyDescent="0.25">
      <c r="J3566" t="s">
        <v>1922</v>
      </c>
      <c r="K3566" s="22" t="s">
        <v>28</v>
      </c>
      <c r="L3566">
        <v>1</v>
      </c>
    </row>
    <row r="3567" spans="10:15" x14ac:dyDescent="0.25">
      <c r="J3567" t="s">
        <v>1922</v>
      </c>
      <c r="K3567" s="22" t="s">
        <v>35</v>
      </c>
      <c r="L3567">
        <v>1</v>
      </c>
    </row>
    <row r="3568" spans="10:15" x14ac:dyDescent="0.25">
      <c r="J3568" t="s">
        <v>1466</v>
      </c>
      <c r="K3568" s="22" t="s">
        <v>26</v>
      </c>
      <c r="L3568">
        <v>1</v>
      </c>
      <c r="O3568" s="30"/>
    </row>
    <row r="3569" spans="10:15" x14ac:dyDescent="0.25">
      <c r="J3569" t="s">
        <v>1466</v>
      </c>
      <c r="K3569" s="22" t="s">
        <v>20</v>
      </c>
      <c r="L3569">
        <v>1</v>
      </c>
    </row>
    <row r="3570" spans="10:15" x14ac:dyDescent="0.25">
      <c r="J3570" t="s">
        <v>1466</v>
      </c>
      <c r="K3570" s="22" t="s">
        <v>28</v>
      </c>
      <c r="L3570">
        <v>1</v>
      </c>
    </row>
    <row r="3571" spans="10:15" x14ac:dyDescent="0.25">
      <c r="J3571" t="s">
        <v>1466</v>
      </c>
      <c r="K3571" s="22" t="s">
        <v>35</v>
      </c>
      <c r="L3571">
        <v>1</v>
      </c>
      <c r="O3571" s="30"/>
    </row>
    <row r="3572" spans="10:15" x14ac:dyDescent="0.25">
      <c r="J3572" t="s">
        <v>1899</v>
      </c>
      <c r="K3572" s="22" t="s">
        <v>26</v>
      </c>
      <c r="L3572">
        <v>1</v>
      </c>
      <c r="O3572" s="30"/>
    </row>
    <row r="3573" spans="10:15" x14ac:dyDescent="0.25">
      <c r="J3573" t="s">
        <v>1899</v>
      </c>
      <c r="K3573" s="22" t="s">
        <v>20</v>
      </c>
      <c r="L3573">
        <v>1</v>
      </c>
    </row>
    <row r="3574" spans="10:15" x14ac:dyDescent="0.25">
      <c r="J3574" t="s">
        <v>1899</v>
      </c>
      <c r="K3574" s="22" t="s">
        <v>22</v>
      </c>
      <c r="L3574">
        <v>1</v>
      </c>
    </row>
    <row r="3575" spans="10:15" x14ac:dyDescent="0.25">
      <c r="J3575" t="s">
        <v>1899</v>
      </c>
      <c r="K3575" s="22" t="s">
        <v>31</v>
      </c>
      <c r="L3575">
        <v>1</v>
      </c>
    </row>
    <row r="3576" spans="10:15" x14ac:dyDescent="0.25">
      <c r="J3576" t="s">
        <v>2073</v>
      </c>
      <c r="K3576" s="22" t="s">
        <v>26</v>
      </c>
      <c r="L3576">
        <v>1</v>
      </c>
      <c r="O3576" s="30"/>
    </row>
    <row r="3577" spans="10:15" x14ac:dyDescent="0.25">
      <c r="J3577" t="s">
        <v>2073</v>
      </c>
      <c r="K3577" s="22" t="s">
        <v>20</v>
      </c>
      <c r="L3577">
        <v>2</v>
      </c>
      <c r="M3577">
        <v>1</v>
      </c>
      <c r="O3577" s="30"/>
    </row>
    <row r="3578" spans="10:15" x14ac:dyDescent="0.25">
      <c r="J3578" t="s">
        <v>2073</v>
      </c>
      <c r="K3578" s="22" t="s">
        <v>28</v>
      </c>
      <c r="L3578">
        <v>1</v>
      </c>
    </row>
    <row r="3579" spans="10:15" x14ac:dyDescent="0.25">
      <c r="J3579" t="s">
        <v>1485</v>
      </c>
      <c r="K3579" s="22" t="s">
        <v>26</v>
      </c>
      <c r="L3579">
        <v>1</v>
      </c>
    </row>
    <row r="3580" spans="10:15" x14ac:dyDescent="0.25">
      <c r="J3580" t="s">
        <v>1485</v>
      </c>
      <c r="K3580" s="22" t="s">
        <v>20</v>
      </c>
      <c r="L3580">
        <v>2</v>
      </c>
    </row>
    <row r="3581" spans="10:15" x14ac:dyDescent="0.25">
      <c r="J3581" t="s">
        <v>249</v>
      </c>
      <c r="K3581" s="22" t="s">
        <v>26</v>
      </c>
      <c r="L3581">
        <v>1</v>
      </c>
      <c r="O3581" s="30"/>
    </row>
    <row r="3582" spans="10:15" x14ac:dyDescent="0.25">
      <c r="J3582" t="s">
        <v>249</v>
      </c>
      <c r="K3582" s="22" t="s">
        <v>20</v>
      </c>
      <c r="L3582">
        <v>1</v>
      </c>
    </row>
    <row r="3583" spans="10:15" x14ac:dyDescent="0.25">
      <c r="J3583" t="s">
        <v>142</v>
      </c>
      <c r="K3583" s="22" t="s">
        <v>26</v>
      </c>
      <c r="L3583">
        <v>1</v>
      </c>
    </row>
    <row r="3584" spans="10:15" x14ac:dyDescent="0.25">
      <c r="J3584" t="s">
        <v>142</v>
      </c>
      <c r="K3584" s="22" t="s">
        <v>28</v>
      </c>
      <c r="L3584">
        <v>1</v>
      </c>
      <c r="M3584">
        <v>1</v>
      </c>
    </row>
    <row r="3585" spans="10:15" x14ac:dyDescent="0.25">
      <c r="J3585" t="s">
        <v>157</v>
      </c>
      <c r="K3585" s="22" t="s">
        <v>26</v>
      </c>
      <c r="L3585">
        <v>1</v>
      </c>
    </row>
    <row r="3586" spans="10:15" x14ac:dyDescent="0.25">
      <c r="J3586" t="s">
        <v>157</v>
      </c>
      <c r="K3586" s="22" t="s">
        <v>20</v>
      </c>
      <c r="L3586">
        <v>5</v>
      </c>
      <c r="M3586">
        <v>1</v>
      </c>
      <c r="O3586" s="30"/>
    </row>
    <row r="3587" spans="10:15" x14ac:dyDescent="0.25">
      <c r="J3587" t="s">
        <v>157</v>
      </c>
      <c r="K3587" s="22" t="s">
        <v>28</v>
      </c>
      <c r="L3587">
        <v>1</v>
      </c>
    </row>
    <row r="3588" spans="10:15" x14ac:dyDescent="0.25">
      <c r="J3588" t="s">
        <v>157</v>
      </c>
      <c r="K3588" s="22" t="s">
        <v>31</v>
      </c>
      <c r="L3588">
        <v>1</v>
      </c>
    </row>
    <row r="3589" spans="10:15" x14ac:dyDescent="0.25">
      <c r="J3589" t="s">
        <v>2433</v>
      </c>
      <c r="K3589" s="22" t="s">
        <v>26</v>
      </c>
      <c r="L3589">
        <v>1</v>
      </c>
    </row>
    <row r="3590" spans="10:15" x14ac:dyDescent="0.25">
      <c r="J3590" t="s">
        <v>3008</v>
      </c>
      <c r="K3590" s="22" t="s">
        <v>26</v>
      </c>
      <c r="L3590">
        <v>2</v>
      </c>
      <c r="M3590">
        <v>2</v>
      </c>
      <c r="O3590" s="31"/>
    </row>
    <row r="3591" spans="10:15" x14ac:dyDescent="0.25">
      <c r="J3591" t="s">
        <v>1946</v>
      </c>
      <c r="K3591" s="22" t="s">
        <v>26</v>
      </c>
      <c r="L3591">
        <v>1</v>
      </c>
      <c r="M3591">
        <v>1</v>
      </c>
    </row>
    <row r="3592" spans="10:15" x14ac:dyDescent="0.25">
      <c r="J3592" t="s">
        <v>694</v>
      </c>
      <c r="K3592" s="22" t="s">
        <v>26</v>
      </c>
      <c r="L3592">
        <v>2</v>
      </c>
      <c r="M3592">
        <v>2</v>
      </c>
    </row>
    <row r="3593" spans="10:15" x14ac:dyDescent="0.25">
      <c r="J3593" t="s">
        <v>2168</v>
      </c>
      <c r="K3593" s="22" t="s">
        <v>26</v>
      </c>
      <c r="L3593">
        <v>1</v>
      </c>
      <c r="M3593">
        <v>1</v>
      </c>
    </row>
    <row r="3594" spans="10:15" x14ac:dyDescent="0.25">
      <c r="J3594" t="s">
        <v>2075</v>
      </c>
      <c r="K3594" s="22" t="s">
        <v>20</v>
      </c>
      <c r="L3594">
        <v>1</v>
      </c>
    </row>
    <row r="3595" spans="10:15" x14ac:dyDescent="0.25">
      <c r="J3595" t="s">
        <v>2304</v>
      </c>
      <c r="K3595" s="22" t="s">
        <v>20</v>
      </c>
      <c r="L3595">
        <v>3</v>
      </c>
      <c r="M3595">
        <v>3</v>
      </c>
      <c r="O3595" s="31"/>
    </row>
    <row r="3596" spans="10:15" x14ac:dyDescent="0.25">
      <c r="J3596" t="s">
        <v>2304</v>
      </c>
      <c r="K3596" s="22" t="s">
        <v>31</v>
      </c>
      <c r="L3596">
        <v>2</v>
      </c>
      <c r="M3596">
        <v>1</v>
      </c>
      <c r="O3596" s="31"/>
    </row>
    <row r="3597" spans="10:15" x14ac:dyDescent="0.25">
      <c r="J3597" t="s">
        <v>3384</v>
      </c>
      <c r="K3597" s="22" t="s">
        <v>22</v>
      </c>
      <c r="L3597">
        <v>1</v>
      </c>
      <c r="M3597">
        <v>1</v>
      </c>
      <c r="O3597" s="31"/>
    </row>
    <row r="3598" spans="10:15" x14ac:dyDescent="0.25">
      <c r="J3598" t="s">
        <v>2646</v>
      </c>
      <c r="K3598" s="22" t="s">
        <v>26</v>
      </c>
      <c r="L3598">
        <v>1</v>
      </c>
    </row>
    <row r="3599" spans="10:15" x14ac:dyDescent="0.25">
      <c r="J3599" t="s">
        <v>2305</v>
      </c>
      <c r="K3599" s="22" t="s">
        <v>26</v>
      </c>
      <c r="L3599">
        <v>1</v>
      </c>
    </row>
    <row r="3600" spans="10:15" x14ac:dyDescent="0.25">
      <c r="J3600" t="s">
        <v>2305</v>
      </c>
      <c r="K3600" s="22" t="s">
        <v>20</v>
      </c>
      <c r="L3600">
        <v>1</v>
      </c>
      <c r="M3600">
        <v>1</v>
      </c>
    </row>
    <row r="3601" spans="10:15" x14ac:dyDescent="0.25">
      <c r="J3601" t="s">
        <v>1857</v>
      </c>
      <c r="K3601" s="22" t="s">
        <v>26</v>
      </c>
      <c r="L3601">
        <v>4</v>
      </c>
      <c r="M3601">
        <v>4</v>
      </c>
      <c r="O3601" s="31"/>
    </row>
    <row r="3602" spans="10:15" x14ac:dyDescent="0.25">
      <c r="J3602" t="s">
        <v>2269</v>
      </c>
      <c r="K3602" s="22" t="s">
        <v>26</v>
      </c>
      <c r="L3602">
        <v>5</v>
      </c>
      <c r="M3602">
        <v>5</v>
      </c>
      <c r="O3602" s="31"/>
    </row>
    <row r="3603" spans="10:15" x14ac:dyDescent="0.25">
      <c r="J3603" t="s">
        <v>2269</v>
      </c>
      <c r="K3603" s="22" t="s">
        <v>30</v>
      </c>
      <c r="L3603">
        <v>1</v>
      </c>
    </row>
    <row r="3604" spans="10:15" x14ac:dyDescent="0.25">
      <c r="J3604" t="s">
        <v>2269</v>
      </c>
      <c r="K3604" s="22" t="s">
        <v>28</v>
      </c>
      <c r="L3604">
        <v>2</v>
      </c>
    </row>
    <row r="3605" spans="10:15" x14ac:dyDescent="0.25">
      <c r="J3605" t="s">
        <v>2451</v>
      </c>
      <c r="K3605" s="22" t="s">
        <v>26</v>
      </c>
      <c r="L3605">
        <v>2</v>
      </c>
      <c r="M3605">
        <v>2</v>
      </c>
      <c r="O3605" s="31"/>
    </row>
    <row r="3606" spans="10:15" x14ac:dyDescent="0.25">
      <c r="J3606" t="s">
        <v>2451</v>
      </c>
      <c r="K3606" s="22" t="s">
        <v>30</v>
      </c>
      <c r="L3606">
        <v>1</v>
      </c>
    </row>
    <row r="3607" spans="10:15" x14ac:dyDescent="0.25">
      <c r="J3607" t="s">
        <v>3269</v>
      </c>
      <c r="K3607" s="22" t="s">
        <v>29</v>
      </c>
      <c r="L3607">
        <v>1</v>
      </c>
      <c r="M3607">
        <v>1</v>
      </c>
      <c r="O3607" s="31"/>
    </row>
    <row r="3608" spans="10:15" x14ac:dyDescent="0.25">
      <c r="J3608" t="s">
        <v>3269</v>
      </c>
      <c r="K3608" s="22" t="s">
        <v>22</v>
      </c>
      <c r="L3608">
        <v>1</v>
      </c>
      <c r="O3608" s="30"/>
    </row>
    <row r="3609" spans="10:15" x14ac:dyDescent="0.25">
      <c r="J3609" t="s">
        <v>1841</v>
      </c>
      <c r="K3609" s="22" t="s">
        <v>31</v>
      </c>
      <c r="L3609">
        <v>4</v>
      </c>
      <c r="M3609">
        <v>4</v>
      </c>
      <c r="O3609" s="31"/>
    </row>
    <row r="3610" spans="10:15" x14ac:dyDescent="0.25">
      <c r="J3610" t="s">
        <v>2997</v>
      </c>
      <c r="K3610" s="22" t="s">
        <v>29</v>
      </c>
      <c r="L3610">
        <v>1</v>
      </c>
    </row>
    <row r="3611" spans="10:15" x14ac:dyDescent="0.25">
      <c r="J3611" t="s">
        <v>2997</v>
      </c>
      <c r="K3611" s="22" t="s">
        <v>35</v>
      </c>
      <c r="L3611">
        <v>2</v>
      </c>
      <c r="M3611">
        <v>2</v>
      </c>
      <c r="O3611" s="31"/>
    </row>
    <row r="3612" spans="10:15" x14ac:dyDescent="0.25">
      <c r="J3612" t="s">
        <v>390</v>
      </c>
      <c r="K3612" s="22" t="s">
        <v>26</v>
      </c>
      <c r="L3612">
        <v>2</v>
      </c>
      <c r="M3612">
        <v>2</v>
      </c>
    </row>
    <row r="3613" spans="10:15" x14ac:dyDescent="0.25">
      <c r="J3613" t="s">
        <v>390</v>
      </c>
      <c r="K3613" s="22" t="s">
        <v>22</v>
      </c>
      <c r="L3613">
        <v>1</v>
      </c>
    </row>
    <row r="3614" spans="10:15" x14ac:dyDescent="0.25">
      <c r="J3614" t="s">
        <v>2798</v>
      </c>
      <c r="K3614" s="22" t="s">
        <v>30</v>
      </c>
      <c r="L3614">
        <v>1</v>
      </c>
    </row>
    <row r="3615" spans="10:15" x14ac:dyDescent="0.25">
      <c r="J3615" t="s">
        <v>2798</v>
      </c>
      <c r="K3615" s="22" t="s">
        <v>22</v>
      </c>
      <c r="L3615">
        <v>1</v>
      </c>
      <c r="M3615">
        <v>1</v>
      </c>
      <c r="O3615" s="31"/>
    </row>
    <row r="3616" spans="10:15" x14ac:dyDescent="0.25">
      <c r="J3616" t="s">
        <v>2283</v>
      </c>
      <c r="K3616" s="22" t="s">
        <v>29</v>
      </c>
      <c r="L3616">
        <v>1</v>
      </c>
      <c r="M3616">
        <v>1</v>
      </c>
    </row>
    <row r="3617" spans="10:15" x14ac:dyDescent="0.25">
      <c r="J3617" t="s">
        <v>2108</v>
      </c>
      <c r="K3617" s="22" t="s">
        <v>29</v>
      </c>
      <c r="L3617">
        <v>1</v>
      </c>
      <c r="M3617">
        <v>1</v>
      </c>
    </row>
    <row r="3618" spans="10:15" x14ac:dyDescent="0.25">
      <c r="J3618" t="s">
        <v>451</v>
      </c>
      <c r="K3618" s="22" t="s">
        <v>29</v>
      </c>
      <c r="L3618">
        <v>4</v>
      </c>
      <c r="M3618">
        <v>4</v>
      </c>
      <c r="O3618" s="31"/>
    </row>
    <row r="3619" spans="10:15" x14ac:dyDescent="0.25">
      <c r="J3619" t="s">
        <v>1064</v>
      </c>
      <c r="K3619" s="22" t="s">
        <v>35</v>
      </c>
      <c r="L3619">
        <v>2</v>
      </c>
      <c r="M3619">
        <v>2</v>
      </c>
      <c r="O3619" s="31"/>
    </row>
    <row r="3620" spans="10:15" x14ac:dyDescent="0.25">
      <c r="J3620" t="s">
        <v>1698</v>
      </c>
      <c r="K3620" s="22" t="s">
        <v>31</v>
      </c>
      <c r="L3620">
        <v>1</v>
      </c>
      <c r="M3620">
        <v>1</v>
      </c>
    </row>
    <row r="3621" spans="10:15" x14ac:dyDescent="0.25">
      <c r="J3621" t="s">
        <v>2996</v>
      </c>
      <c r="K3621" s="22" t="s">
        <v>26</v>
      </c>
      <c r="L3621">
        <v>4</v>
      </c>
      <c r="M3621">
        <v>4</v>
      </c>
      <c r="O3621" s="31"/>
    </row>
    <row r="3622" spans="10:15" x14ac:dyDescent="0.25">
      <c r="J3622" t="s">
        <v>1858</v>
      </c>
      <c r="K3622" s="22" t="s">
        <v>30</v>
      </c>
      <c r="L3622">
        <v>4</v>
      </c>
      <c r="M3622">
        <v>2</v>
      </c>
      <c r="O3622" s="30"/>
    </row>
    <row r="3623" spans="10:15" x14ac:dyDescent="0.25">
      <c r="J3623" t="s">
        <v>1858</v>
      </c>
      <c r="K3623" s="22" t="s">
        <v>28</v>
      </c>
      <c r="L3623">
        <v>1</v>
      </c>
      <c r="M3623">
        <v>1</v>
      </c>
    </row>
    <row r="3624" spans="10:15" x14ac:dyDescent="0.25">
      <c r="J3624" t="s">
        <v>1019</v>
      </c>
      <c r="K3624" s="22" t="s">
        <v>26</v>
      </c>
      <c r="L3624">
        <v>4</v>
      </c>
      <c r="M3624">
        <v>4</v>
      </c>
      <c r="O3624" s="31"/>
    </row>
    <row r="3625" spans="10:15" x14ac:dyDescent="0.25">
      <c r="J3625" t="s">
        <v>1019</v>
      </c>
      <c r="K3625" s="22" t="s">
        <v>30</v>
      </c>
      <c r="L3625">
        <v>3</v>
      </c>
      <c r="M3625">
        <v>2</v>
      </c>
      <c r="O3625" s="31"/>
    </row>
    <row r="3626" spans="10:15" x14ac:dyDescent="0.25">
      <c r="J3626" t="s">
        <v>1019</v>
      </c>
      <c r="K3626" s="22" t="s">
        <v>35</v>
      </c>
      <c r="L3626">
        <v>2</v>
      </c>
      <c r="M3626">
        <v>1</v>
      </c>
    </row>
    <row r="3627" spans="10:15" x14ac:dyDescent="0.25">
      <c r="J3627" t="s">
        <v>2643</v>
      </c>
      <c r="K3627" s="22" t="s">
        <v>30</v>
      </c>
      <c r="L3627">
        <v>3</v>
      </c>
      <c r="M3627">
        <v>3</v>
      </c>
      <c r="O3627" s="31"/>
    </row>
    <row r="3628" spans="10:15" x14ac:dyDescent="0.25">
      <c r="J3628" t="s">
        <v>216</v>
      </c>
      <c r="K3628" s="22" t="s">
        <v>26</v>
      </c>
      <c r="L3628">
        <v>5</v>
      </c>
      <c r="M3628">
        <v>5</v>
      </c>
      <c r="O3628" s="31"/>
    </row>
    <row r="3629" spans="10:15" x14ac:dyDescent="0.25">
      <c r="J3629" t="s">
        <v>216</v>
      </c>
      <c r="K3629" s="22" t="s">
        <v>30</v>
      </c>
      <c r="L3629">
        <v>4</v>
      </c>
      <c r="M3629">
        <v>2</v>
      </c>
      <c r="O3629" s="30"/>
    </row>
    <row r="3630" spans="10:15" x14ac:dyDescent="0.25">
      <c r="J3630" t="s">
        <v>477</v>
      </c>
      <c r="K3630" s="22" t="s">
        <v>26</v>
      </c>
      <c r="L3630">
        <v>3</v>
      </c>
      <c r="M3630">
        <v>3</v>
      </c>
      <c r="O3630" s="31"/>
    </row>
    <row r="3631" spans="10:15" x14ac:dyDescent="0.25">
      <c r="J3631" t="s">
        <v>477</v>
      </c>
      <c r="K3631" s="22" t="s">
        <v>31</v>
      </c>
      <c r="L3631">
        <v>3</v>
      </c>
      <c r="M3631">
        <v>2</v>
      </c>
      <c r="O3631" s="31"/>
    </row>
    <row r="3632" spans="10:15" x14ac:dyDescent="0.25">
      <c r="J3632" t="s">
        <v>880</v>
      </c>
      <c r="K3632" s="22" t="s">
        <v>26</v>
      </c>
      <c r="L3632">
        <v>2</v>
      </c>
      <c r="M3632">
        <v>2</v>
      </c>
      <c r="O3632" s="31"/>
    </row>
    <row r="3633" spans="10:15" x14ac:dyDescent="0.25">
      <c r="J3633" t="s">
        <v>1341</v>
      </c>
      <c r="K3633" s="22" t="s">
        <v>26</v>
      </c>
      <c r="L3633">
        <v>2</v>
      </c>
      <c r="M3633">
        <v>2</v>
      </c>
      <c r="O3633" s="31"/>
    </row>
    <row r="3634" spans="10:15" x14ac:dyDescent="0.25">
      <c r="J3634" t="s">
        <v>1341</v>
      </c>
      <c r="K3634" s="22" t="s">
        <v>30</v>
      </c>
      <c r="L3634">
        <v>1</v>
      </c>
    </row>
    <row r="3635" spans="10:15" x14ac:dyDescent="0.25">
      <c r="J3635" t="s">
        <v>1341</v>
      </c>
      <c r="K3635" s="22" t="s">
        <v>35</v>
      </c>
      <c r="L3635">
        <v>2</v>
      </c>
      <c r="O3635" s="30"/>
    </row>
    <row r="3636" spans="10:15" x14ac:dyDescent="0.25">
      <c r="J3636" t="s">
        <v>2427</v>
      </c>
      <c r="K3636" s="22" t="s">
        <v>26</v>
      </c>
      <c r="L3636">
        <v>2</v>
      </c>
      <c r="M3636">
        <v>2</v>
      </c>
    </row>
    <row r="3637" spans="10:15" x14ac:dyDescent="0.25">
      <c r="J3637" t="s">
        <v>2427</v>
      </c>
      <c r="K3637" s="22" t="s">
        <v>31</v>
      </c>
      <c r="L3637">
        <v>1</v>
      </c>
    </row>
    <row r="3638" spans="10:15" x14ac:dyDescent="0.25">
      <c r="J3638" t="s">
        <v>760</v>
      </c>
      <c r="K3638" s="22" t="s">
        <v>26</v>
      </c>
      <c r="L3638">
        <v>2</v>
      </c>
      <c r="M3638">
        <v>2</v>
      </c>
      <c r="O3638" s="31"/>
    </row>
    <row r="3639" spans="10:15" x14ac:dyDescent="0.25">
      <c r="J3639" t="s">
        <v>760</v>
      </c>
      <c r="K3639" s="22" t="s">
        <v>35</v>
      </c>
      <c r="L3639">
        <v>4</v>
      </c>
      <c r="M3639">
        <v>3</v>
      </c>
      <c r="O3639" s="31"/>
    </row>
    <row r="3640" spans="10:15" x14ac:dyDescent="0.25">
      <c r="J3640" t="s">
        <v>2652</v>
      </c>
      <c r="K3640" s="22" t="s">
        <v>26</v>
      </c>
      <c r="L3640">
        <v>2</v>
      </c>
      <c r="M3640">
        <v>2</v>
      </c>
      <c r="O3640" s="31"/>
    </row>
    <row r="3641" spans="10:15" x14ac:dyDescent="0.25">
      <c r="J3641" t="s">
        <v>2652</v>
      </c>
      <c r="K3641" s="22" t="s">
        <v>35</v>
      </c>
      <c r="L3641">
        <v>2</v>
      </c>
      <c r="O3641" s="30"/>
    </row>
    <row r="3642" spans="10:15" x14ac:dyDescent="0.25">
      <c r="J3642" t="s">
        <v>2911</v>
      </c>
      <c r="K3642" s="22" t="s">
        <v>26</v>
      </c>
      <c r="L3642">
        <v>5</v>
      </c>
      <c r="M3642">
        <v>5</v>
      </c>
      <c r="O3642" s="31"/>
    </row>
    <row r="3643" spans="10:15" x14ac:dyDescent="0.25">
      <c r="J3643" t="s">
        <v>2532</v>
      </c>
      <c r="K3643" s="22" t="s">
        <v>26</v>
      </c>
      <c r="L3643">
        <v>2</v>
      </c>
      <c r="M3643">
        <v>2</v>
      </c>
      <c r="O3643" s="31"/>
    </row>
    <row r="3644" spans="10:15" x14ac:dyDescent="0.25">
      <c r="J3644" t="s">
        <v>1021</v>
      </c>
      <c r="K3644" s="22" t="s">
        <v>26</v>
      </c>
      <c r="L3644">
        <v>3</v>
      </c>
      <c r="M3644">
        <v>3</v>
      </c>
      <c r="O3644" s="31"/>
    </row>
    <row r="3645" spans="10:15" x14ac:dyDescent="0.25">
      <c r="J3645" t="s">
        <v>1721</v>
      </c>
      <c r="K3645" s="22" t="s">
        <v>26</v>
      </c>
      <c r="L3645">
        <v>8</v>
      </c>
      <c r="M3645">
        <v>8</v>
      </c>
      <c r="O3645" s="31"/>
    </row>
    <row r="3646" spans="10:15" x14ac:dyDescent="0.25">
      <c r="J3646" t="s">
        <v>1721</v>
      </c>
      <c r="K3646" s="22" t="s">
        <v>30</v>
      </c>
      <c r="L3646">
        <v>1</v>
      </c>
    </row>
    <row r="3647" spans="10:15" x14ac:dyDescent="0.25">
      <c r="J3647" t="s">
        <v>2841</v>
      </c>
      <c r="K3647" s="22" t="s">
        <v>26</v>
      </c>
      <c r="L3647">
        <v>1</v>
      </c>
      <c r="M3647">
        <v>1</v>
      </c>
    </row>
    <row r="3648" spans="10:15" x14ac:dyDescent="0.25">
      <c r="J3648" t="s">
        <v>1154</v>
      </c>
      <c r="K3648" s="22" t="s">
        <v>30</v>
      </c>
      <c r="L3648">
        <v>1</v>
      </c>
      <c r="M3648">
        <v>1</v>
      </c>
    </row>
    <row r="3649" spans="10:15" x14ac:dyDescent="0.25">
      <c r="J3649" t="s">
        <v>3058</v>
      </c>
      <c r="K3649" s="22" t="s">
        <v>26</v>
      </c>
      <c r="L3649">
        <v>3</v>
      </c>
      <c r="M3649">
        <v>3</v>
      </c>
      <c r="O3649" s="31"/>
    </row>
    <row r="3650" spans="10:15" x14ac:dyDescent="0.25">
      <c r="J3650" t="s">
        <v>181</v>
      </c>
      <c r="K3650" s="22" t="s">
        <v>26</v>
      </c>
      <c r="L3650">
        <v>1</v>
      </c>
      <c r="M3650">
        <v>1</v>
      </c>
      <c r="O3650" s="31"/>
    </row>
    <row r="3651" spans="10:15" x14ac:dyDescent="0.25">
      <c r="J3651" t="s">
        <v>181</v>
      </c>
      <c r="K3651" s="22" t="s">
        <v>30</v>
      </c>
      <c r="L3651">
        <v>1</v>
      </c>
    </row>
    <row r="3652" spans="10:15" x14ac:dyDescent="0.25">
      <c r="J3652" t="s">
        <v>3510</v>
      </c>
      <c r="K3652" s="22" t="s">
        <v>26</v>
      </c>
      <c r="L3652">
        <v>1</v>
      </c>
      <c r="M3652">
        <v>1</v>
      </c>
      <c r="O3652" s="31"/>
    </row>
    <row r="3653" spans="10:15" x14ac:dyDescent="0.25">
      <c r="J3653" t="s">
        <v>2820</v>
      </c>
      <c r="K3653" s="22" t="s">
        <v>31</v>
      </c>
      <c r="L3653">
        <v>1</v>
      </c>
      <c r="M3653">
        <v>1</v>
      </c>
    </row>
    <row r="3654" spans="10:15" x14ac:dyDescent="0.25">
      <c r="J3654" t="s">
        <v>2657</v>
      </c>
      <c r="K3654" s="22" t="s">
        <v>28</v>
      </c>
      <c r="L3654">
        <v>2</v>
      </c>
      <c r="O3654" s="30"/>
    </row>
    <row r="3655" spans="10:15" x14ac:dyDescent="0.25">
      <c r="J3655" t="s">
        <v>2657</v>
      </c>
      <c r="K3655" s="22" t="s">
        <v>35</v>
      </c>
      <c r="L3655">
        <v>2</v>
      </c>
      <c r="M3655">
        <v>2</v>
      </c>
      <c r="O3655" s="31"/>
    </row>
    <row r="3656" spans="10:15" x14ac:dyDescent="0.25">
      <c r="J3656" t="s">
        <v>1606</v>
      </c>
      <c r="K3656" s="22" t="s">
        <v>26</v>
      </c>
      <c r="L3656">
        <v>3</v>
      </c>
      <c r="M3656">
        <v>3</v>
      </c>
      <c r="O3656" s="31"/>
    </row>
    <row r="3657" spans="10:15" x14ac:dyDescent="0.25">
      <c r="J3657" t="s">
        <v>2899</v>
      </c>
      <c r="K3657" s="22" t="s">
        <v>26</v>
      </c>
      <c r="L3657">
        <v>3</v>
      </c>
      <c r="M3657">
        <v>3</v>
      </c>
      <c r="O3657" s="31"/>
    </row>
    <row r="3658" spans="10:15" x14ac:dyDescent="0.25">
      <c r="J3658" t="s">
        <v>2494</v>
      </c>
      <c r="K3658" s="22" t="s">
        <v>26</v>
      </c>
      <c r="L3658">
        <v>2</v>
      </c>
      <c r="M3658">
        <v>2</v>
      </c>
      <c r="O3658" s="31"/>
    </row>
    <row r="3659" spans="10:15" x14ac:dyDescent="0.25">
      <c r="J3659" t="s">
        <v>1860</v>
      </c>
      <c r="K3659" s="22" t="s">
        <v>35</v>
      </c>
      <c r="L3659">
        <v>3</v>
      </c>
      <c r="M3659">
        <v>3</v>
      </c>
      <c r="O3659" s="31"/>
    </row>
    <row r="3660" spans="10:15" x14ac:dyDescent="0.25">
      <c r="J3660" t="s">
        <v>1183</v>
      </c>
      <c r="K3660" s="22" t="s">
        <v>26</v>
      </c>
      <c r="L3660">
        <v>4</v>
      </c>
      <c r="M3660">
        <v>4</v>
      </c>
      <c r="O3660" s="31"/>
    </row>
    <row r="3661" spans="10:15" x14ac:dyDescent="0.25">
      <c r="J3661" t="s">
        <v>2644</v>
      </c>
      <c r="K3661" s="22" t="s">
        <v>26</v>
      </c>
      <c r="L3661">
        <v>2</v>
      </c>
      <c r="M3661">
        <v>2</v>
      </c>
      <c r="O3661" s="31"/>
    </row>
    <row r="3662" spans="10:15" x14ac:dyDescent="0.25">
      <c r="J3662" t="s">
        <v>1242</v>
      </c>
      <c r="K3662" s="22" t="s">
        <v>26</v>
      </c>
      <c r="L3662">
        <v>5</v>
      </c>
      <c r="M3662">
        <v>5</v>
      </c>
      <c r="O3662" s="31"/>
    </row>
    <row r="3663" spans="10:15" x14ac:dyDescent="0.25">
      <c r="J3663" t="s">
        <v>1156</v>
      </c>
      <c r="K3663" s="22" t="s">
        <v>26</v>
      </c>
      <c r="L3663">
        <v>4</v>
      </c>
      <c r="M3663">
        <v>4</v>
      </c>
      <c r="O3663" s="31"/>
    </row>
    <row r="3664" spans="10:15" x14ac:dyDescent="0.25">
      <c r="J3664" t="s">
        <v>2142</v>
      </c>
      <c r="K3664" s="22" t="s">
        <v>26</v>
      </c>
      <c r="L3664">
        <v>1</v>
      </c>
      <c r="M3664">
        <v>1</v>
      </c>
    </row>
    <row r="3665" spans="10:15" x14ac:dyDescent="0.25">
      <c r="J3665" t="s">
        <v>2822</v>
      </c>
      <c r="K3665" s="22" t="s">
        <v>26</v>
      </c>
      <c r="L3665">
        <v>3</v>
      </c>
      <c r="M3665">
        <v>3</v>
      </c>
      <c r="O3665" s="31"/>
    </row>
    <row r="3666" spans="10:15" x14ac:dyDescent="0.25">
      <c r="J3666" t="s">
        <v>1615</v>
      </c>
      <c r="K3666" s="22" t="s">
        <v>26</v>
      </c>
      <c r="L3666">
        <v>7</v>
      </c>
      <c r="M3666">
        <v>7</v>
      </c>
      <c r="O3666" s="31"/>
    </row>
    <row r="3667" spans="10:15" x14ac:dyDescent="0.25">
      <c r="J3667" t="s">
        <v>2599</v>
      </c>
      <c r="K3667" s="22" t="s">
        <v>29</v>
      </c>
      <c r="L3667">
        <v>1</v>
      </c>
      <c r="M3667">
        <v>1</v>
      </c>
    </row>
    <row r="3668" spans="10:15" x14ac:dyDescent="0.25">
      <c r="J3668" t="s">
        <v>1503</v>
      </c>
      <c r="K3668" s="22" t="s">
        <v>35</v>
      </c>
      <c r="L3668">
        <v>2</v>
      </c>
      <c r="M3668">
        <v>2</v>
      </c>
      <c r="O3668" s="31"/>
    </row>
    <row r="3669" spans="10:15" x14ac:dyDescent="0.25">
      <c r="J3669" t="s">
        <v>2633</v>
      </c>
      <c r="K3669" s="22" t="s">
        <v>28</v>
      </c>
      <c r="L3669">
        <v>2</v>
      </c>
      <c r="M3669">
        <v>2</v>
      </c>
      <c r="O3669" s="31"/>
    </row>
    <row r="3670" spans="10:15" x14ac:dyDescent="0.25">
      <c r="J3670" t="s">
        <v>2404</v>
      </c>
      <c r="K3670" s="22" t="s">
        <v>26</v>
      </c>
      <c r="L3670">
        <v>3</v>
      </c>
      <c r="M3670">
        <v>3</v>
      </c>
    </row>
    <row r="3671" spans="10:15" x14ac:dyDescent="0.25">
      <c r="J3671" t="s">
        <v>2363</v>
      </c>
      <c r="K3671" s="22" t="s">
        <v>26</v>
      </c>
      <c r="L3671">
        <v>1</v>
      </c>
      <c r="M3671">
        <v>1</v>
      </c>
    </row>
    <row r="3672" spans="10:15" x14ac:dyDescent="0.25">
      <c r="J3672" t="s">
        <v>3317</v>
      </c>
      <c r="K3672" s="22" t="s">
        <v>31</v>
      </c>
      <c r="L3672">
        <v>1</v>
      </c>
      <c r="M3672">
        <v>1</v>
      </c>
      <c r="O3672" s="31"/>
    </row>
    <row r="3673" spans="10:15" x14ac:dyDescent="0.25">
      <c r="J3673" t="s">
        <v>1436</v>
      </c>
      <c r="K3673" s="22" t="s">
        <v>26</v>
      </c>
      <c r="L3673">
        <v>3</v>
      </c>
      <c r="M3673">
        <v>3</v>
      </c>
      <c r="O3673" s="31"/>
    </row>
    <row r="3674" spans="10:15" x14ac:dyDescent="0.25">
      <c r="J3674" t="s">
        <v>1815</v>
      </c>
      <c r="K3674" s="22" t="s">
        <v>26</v>
      </c>
      <c r="L3674">
        <v>1</v>
      </c>
      <c r="M3674">
        <v>1</v>
      </c>
    </row>
    <row r="3675" spans="10:15" x14ac:dyDescent="0.25">
      <c r="J3675" t="s">
        <v>1815</v>
      </c>
      <c r="K3675" s="22" t="s">
        <v>29</v>
      </c>
      <c r="L3675">
        <v>1</v>
      </c>
    </row>
    <row r="3676" spans="10:15" x14ac:dyDescent="0.25">
      <c r="J3676" t="s">
        <v>429</v>
      </c>
      <c r="K3676" s="22" t="s">
        <v>22</v>
      </c>
      <c r="L3676">
        <v>1</v>
      </c>
      <c r="M3676">
        <v>1</v>
      </c>
    </row>
    <row r="3677" spans="10:15" x14ac:dyDescent="0.25">
      <c r="J3677" t="s">
        <v>393</v>
      </c>
      <c r="K3677" s="22" t="s">
        <v>26</v>
      </c>
      <c r="L3677">
        <v>4</v>
      </c>
      <c r="M3677">
        <v>4</v>
      </c>
      <c r="O3677" s="31"/>
    </row>
    <row r="3678" spans="10:15" x14ac:dyDescent="0.25">
      <c r="J3678" t="s">
        <v>2713</v>
      </c>
      <c r="K3678" s="22" t="s">
        <v>35</v>
      </c>
      <c r="L3678">
        <v>2</v>
      </c>
      <c r="O3678" s="30"/>
    </row>
    <row r="3679" spans="10:15" x14ac:dyDescent="0.25">
      <c r="J3679" t="s">
        <v>2713</v>
      </c>
      <c r="K3679" s="22" t="s">
        <v>31</v>
      </c>
      <c r="L3679">
        <v>3</v>
      </c>
      <c r="M3679">
        <v>2</v>
      </c>
      <c r="O3679" s="30"/>
    </row>
    <row r="3680" spans="10:15" x14ac:dyDescent="0.25">
      <c r="J3680" t="s">
        <v>1971</v>
      </c>
      <c r="K3680" s="22" t="s">
        <v>26</v>
      </c>
      <c r="L3680">
        <v>3</v>
      </c>
      <c r="M3680">
        <v>3</v>
      </c>
    </row>
    <row r="3681" spans="10:15" x14ac:dyDescent="0.25">
      <c r="J3681" t="s">
        <v>2465</v>
      </c>
      <c r="K3681" s="22" t="s">
        <v>29</v>
      </c>
      <c r="L3681">
        <v>2</v>
      </c>
      <c r="M3681">
        <v>2</v>
      </c>
      <c r="O3681" s="31"/>
    </row>
    <row r="3682" spans="10:15" x14ac:dyDescent="0.25">
      <c r="J3682" t="s">
        <v>2465</v>
      </c>
      <c r="K3682" s="22" t="s">
        <v>35</v>
      </c>
      <c r="L3682">
        <v>1</v>
      </c>
    </row>
    <row r="3683" spans="10:15" x14ac:dyDescent="0.25">
      <c r="J3683" t="s">
        <v>2399</v>
      </c>
      <c r="K3683" s="22" t="s">
        <v>26</v>
      </c>
      <c r="L3683">
        <v>1</v>
      </c>
      <c r="M3683">
        <v>1</v>
      </c>
    </row>
    <row r="3684" spans="10:15" x14ac:dyDescent="0.25">
      <c r="J3684" t="s">
        <v>1749</v>
      </c>
      <c r="K3684" s="22" t="s">
        <v>29</v>
      </c>
      <c r="L3684">
        <v>4</v>
      </c>
      <c r="M3684">
        <v>4</v>
      </c>
      <c r="O3684" s="31"/>
    </row>
    <row r="3685" spans="10:15" x14ac:dyDescent="0.25">
      <c r="J3685" t="s">
        <v>1749</v>
      </c>
      <c r="K3685" s="22" t="s">
        <v>35</v>
      </c>
      <c r="L3685">
        <v>2</v>
      </c>
      <c r="O3685" s="30"/>
    </row>
    <row r="3686" spans="10:15" x14ac:dyDescent="0.25">
      <c r="J3686" t="s">
        <v>2581</v>
      </c>
      <c r="K3686" s="22" t="s">
        <v>26</v>
      </c>
      <c r="L3686">
        <v>2</v>
      </c>
      <c r="M3686">
        <v>2</v>
      </c>
      <c r="O3686" s="31"/>
    </row>
    <row r="3687" spans="10:15" x14ac:dyDescent="0.25">
      <c r="J3687" t="s">
        <v>2780</v>
      </c>
      <c r="K3687" s="22" t="s">
        <v>26</v>
      </c>
      <c r="L3687">
        <v>1</v>
      </c>
      <c r="M3687">
        <v>1</v>
      </c>
    </row>
    <row r="3688" spans="10:15" x14ac:dyDescent="0.25">
      <c r="J3688" t="s">
        <v>424</v>
      </c>
      <c r="K3688" s="22" t="s">
        <v>29</v>
      </c>
      <c r="L3688">
        <v>5</v>
      </c>
      <c r="M3688">
        <v>5</v>
      </c>
      <c r="O3688" s="31"/>
    </row>
    <row r="3689" spans="10:15" x14ac:dyDescent="0.25">
      <c r="J3689" t="s">
        <v>424</v>
      </c>
      <c r="K3689" s="22" t="s">
        <v>31</v>
      </c>
      <c r="L3689">
        <v>1</v>
      </c>
    </row>
    <row r="3690" spans="10:15" x14ac:dyDescent="0.25">
      <c r="J3690" t="s">
        <v>2603</v>
      </c>
      <c r="K3690" s="22" t="s">
        <v>26</v>
      </c>
      <c r="L3690">
        <v>2</v>
      </c>
      <c r="M3690">
        <v>2</v>
      </c>
      <c r="O3690" s="31"/>
    </row>
    <row r="3691" spans="10:15" x14ac:dyDescent="0.25">
      <c r="J3691" t="s">
        <v>1521</v>
      </c>
      <c r="K3691" s="22" t="s">
        <v>29</v>
      </c>
      <c r="L3691">
        <v>2</v>
      </c>
      <c r="M3691">
        <v>2</v>
      </c>
      <c r="O3691" s="31"/>
    </row>
    <row r="3692" spans="10:15" x14ac:dyDescent="0.25">
      <c r="J3692" t="s">
        <v>2790</v>
      </c>
      <c r="K3692" s="22" t="s">
        <v>35</v>
      </c>
      <c r="L3692">
        <v>3</v>
      </c>
      <c r="M3692">
        <v>3</v>
      </c>
      <c r="O3692" s="31"/>
    </row>
    <row r="3693" spans="10:15" x14ac:dyDescent="0.25">
      <c r="J3693" t="s">
        <v>236</v>
      </c>
      <c r="K3693" s="22" t="s">
        <v>26</v>
      </c>
      <c r="L3693">
        <v>6</v>
      </c>
      <c r="M3693">
        <v>6</v>
      </c>
      <c r="O3693" s="31"/>
    </row>
    <row r="3694" spans="10:15" x14ac:dyDescent="0.25">
      <c r="J3694" t="s">
        <v>236</v>
      </c>
      <c r="K3694" s="22" t="s">
        <v>28</v>
      </c>
      <c r="L3694">
        <v>1</v>
      </c>
    </row>
    <row r="3695" spans="10:15" x14ac:dyDescent="0.25">
      <c r="J3695" t="s">
        <v>305</v>
      </c>
      <c r="K3695" s="22" t="s">
        <v>26</v>
      </c>
      <c r="L3695">
        <v>6</v>
      </c>
      <c r="M3695">
        <v>6</v>
      </c>
      <c r="O3695" s="31"/>
    </row>
    <row r="3696" spans="10:15" x14ac:dyDescent="0.25">
      <c r="J3696" t="s">
        <v>1041</v>
      </c>
      <c r="K3696" s="22" t="s">
        <v>35</v>
      </c>
      <c r="L3696">
        <v>6</v>
      </c>
      <c r="M3696">
        <v>6</v>
      </c>
      <c r="O3696" s="31"/>
    </row>
    <row r="3697" spans="10:15" x14ac:dyDescent="0.25">
      <c r="J3697" t="s">
        <v>841</v>
      </c>
      <c r="K3697" s="22" t="s">
        <v>31</v>
      </c>
      <c r="L3697">
        <v>5</v>
      </c>
      <c r="M3697">
        <v>5</v>
      </c>
      <c r="O3697" s="31"/>
    </row>
    <row r="3698" spans="10:15" x14ac:dyDescent="0.25">
      <c r="J3698" t="s">
        <v>3291</v>
      </c>
      <c r="K3698" s="22" t="s">
        <v>35</v>
      </c>
      <c r="L3698">
        <v>2</v>
      </c>
      <c r="M3698">
        <v>2</v>
      </c>
      <c r="O3698" s="31"/>
    </row>
    <row r="3699" spans="10:15" x14ac:dyDescent="0.25">
      <c r="J3699" t="s">
        <v>979</v>
      </c>
      <c r="K3699" s="22" t="s">
        <v>31</v>
      </c>
      <c r="L3699">
        <v>3</v>
      </c>
      <c r="M3699">
        <v>3</v>
      </c>
      <c r="O3699" s="31"/>
    </row>
    <row r="3700" spans="10:15" x14ac:dyDescent="0.25">
      <c r="J3700" t="s">
        <v>1285</v>
      </c>
      <c r="K3700" s="22" t="s">
        <v>26</v>
      </c>
      <c r="L3700">
        <v>2</v>
      </c>
      <c r="M3700">
        <v>2</v>
      </c>
      <c r="O3700" s="31"/>
    </row>
    <row r="3701" spans="10:15" x14ac:dyDescent="0.25">
      <c r="J3701" t="s">
        <v>826</v>
      </c>
      <c r="K3701" s="22" t="s">
        <v>26</v>
      </c>
      <c r="L3701">
        <v>6</v>
      </c>
      <c r="M3701">
        <v>6</v>
      </c>
      <c r="O3701" s="31"/>
    </row>
    <row r="3702" spans="10:15" x14ac:dyDescent="0.25">
      <c r="J3702" t="s">
        <v>817</v>
      </c>
      <c r="K3702" s="22" t="s">
        <v>31</v>
      </c>
      <c r="L3702">
        <v>4</v>
      </c>
      <c r="M3702">
        <v>4</v>
      </c>
      <c r="O3702" s="31"/>
    </row>
    <row r="3703" spans="10:15" x14ac:dyDescent="0.25">
      <c r="J3703" t="s">
        <v>1640</v>
      </c>
      <c r="K3703" s="22" t="s">
        <v>26</v>
      </c>
      <c r="L3703">
        <v>3</v>
      </c>
      <c r="M3703">
        <v>3</v>
      </c>
      <c r="O3703" s="31"/>
    </row>
    <row r="3704" spans="10:15" x14ac:dyDescent="0.25">
      <c r="J3704" t="s">
        <v>3077</v>
      </c>
      <c r="K3704" s="22" t="s">
        <v>26</v>
      </c>
      <c r="L3704">
        <v>1</v>
      </c>
      <c r="M3704">
        <v>1</v>
      </c>
      <c r="O3704" s="31"/>
    </row>
    <row r="3705" spans="10:15" x14ac:dyDescent="0.25">
      <c r="J3705" t="s">
        <v>2252</v>
      </c>
      <c r="K3705" s="22" t="s">
        <v>28</v>
      </c>
      <c r="L3705">
        <v>1</v>
      </c>
      <c r="M3705">
        <v>1</v>
      </c>
    </row>
    <row r="3706" spans="10:15" x14ac:dyDescent="0.25">
      <c r="J3706" t="s">
        <v>2776</v>
      </c>
      <c r="K3706" s="22" t="s">
        <v>28</v>
      </c>
      <c r="L3706">
        <v>3</v>
      </c>
      <c r="M3706">
        <v>3</v>
      </c>
      <c r="O3706" s="31"/>
    </row>
    <row r="3707" spans="10:15" x14ac:dyDescent="0.25">
      <c r="J3707" t="s">
        <v>2586</v>
      </c>
      <c r="K3707" s="22" t="s">
        <v>31</v>
      </c>
      <c r="L3707">
        <v>1</v>
      </c>
    </row>
    <row r="3708" spans="10:15" x14ac:dyDescent="0.25">
      <c r="J3708" t="s">
        <v>1505</v>
      </c>
      <c r="K3708" s="22" t="s">
        <v>26</v>
      </c>
      <c r="L3708">
        <v>2</v>
      </c>
      <c r="M3708">
        <v>2</v>
      </c>
    </row>
    <row r="3709" spans="10:15" x14ac:dyDescent="0.25">
      <c r="J3709" t="s">
        <v>1990</v>
      </c>
      <c r="K3709" s="22" t="s">
        <v>26</v>
      </c>
      <c r="L3709">
        <v>4</v>
      </c>
      <c r="M3709">
        <v>4</v>
      </c>
    </row>
    <row r="3710" spans="10:15" x14ac:dyDescent="0.25">
      <c r="J3710" t="s">
        <v>239</v>
      </c>
      <c r="K3710" s="22" t="s">
        <v>28</v>
      </c>
      <c r="L3710">
        <v>3</v>
      </c>
      <c r="M3710">
        <v>3</v>
      </c>
      <c r="O3710" s="31"/>
    </row>
    <row r="3711" spans="10:15" x14ac:dyDescent="0.25">
      <c r="J3711" t="s">
        <v>1096</v>
      </c>
      <c r="K3711" s="22" t="s">
        <v>26</v>
      </c>
      <c r="L3711">
        <v>2</v>
      </c>
      <c r="M3711">
        <v>2</v>
      </c>
    </row>
    <row r="3712" spans="10:15" x14ac:dyDescent="0.25">
      <c r="J3712" t="s">
        <v>2542</v>
      </c>
      <c r="K3712" s="22" t="s">
        <v>26</v>
      </c>
      <c r="L3712">
        <v>3</v>
      </c>
      <c r="M3712">
        <v>3</v>
      </c>
      <c r="O3712" s="31"/>
    </row>
    <row r="3713" spans="10:15" x14ac:dyDescent="0.25">
      <c r="J3713" t="s">
        <v>3319</v>
      </c>
      <c r="K3713" s="22" t="s">
        <v>28</v>
      </c>
      <c r="L3713">
        <v>2</v>
      </c>
      <c r="M3713">
        <v>2</v>
      </c>
      <c r="O3713" s="31"/>
    </row>
    <row r="3714" spans="10:15" x14ac:dyDescent="0.25">
      <c r="J3714" t="s">
        <v>1423</v>
      </c>
      <c r="K3714" s="22" t="s">
        <v>26</v>
      </c>
      <c r="L3714">
        <v>3</v>
      </c>
      <c r="M3714">
        <v>3</v>
      </c>
      <c r="O3714" s="31"/>
    </row>
    <row r="3715" spans="10:15" x14ac:dyDescent="0.25">
      <c r="J3715" t="s">
        <v>246</v>
      </c>
      <c r="K3715" s="22" t="s">
        <v>26</v>
      </c>
      <c r="L3715">
        <v>4</v>
      </c>
      <c r="M3715">
        <v>4</v>
      </c>
      <c r="O3715" s="31"/>
    </row>
    <row r="3716" spans="10:15" x14ac:dyDescent="0.25">
      <c r="J3716" t="s">
        <v>454</v>
      </c>
      <c r="K3716" s="22" t="s">
        <v>22</v>
      </c>
      <c r="L3716">
        <v>3</v>
      </c>
      <c r="M3716">
        <v>3</v>
      </c>
      <c r="O3716" s="31"/>
    </row>
    <row r="3717" spans="10:15" x14ac:dyDescent="0.25">
      <c r="J3717" t="s">
        <v>2810</v>
      </c>
      <c r="K3717" s="22" t="s">
        <v>26</v>
      </c>
      <c r="L3717">
        <v>1</v>
      </c>
      <c r="M3717">
        <v>1</v>
      </c>
    </row>
    <row r="3718" spans="10:15" x14ac:dyDescent="0.25">
      <c r="J3718" t="s">
        <v>434</v>
      </c>
      <c r="K3718" s="22" t="s">
        <v>26</v>
      </c>
      <c r="L3718">
        <v>3</v>
      </c>
      <c r="M3718">
        <v>3</v>
      </c>
      <c r="O3718" s="31"/>
    </row>
    <row r="3719" spans="10:15" x14ac:dyDescent="0.25">
      <c r="J3719" t="s">
        <v>984</v>
      </c>
      <c r="K3719" s="22" t="s">
        <v>26</v>
      </c>
      <c r="L3719">
        <v>3</v>
      </c>
      <c r="M3719">
        <v>3</v>
      </c>
    </row>
    <row r="3720" spans="10:15" x14ac:dyDescent="0.25">
      <c r="J3720" t="s">
        <v>121</v>
      </c>
      <c r="K3720" s="22" t="s">
        <v>30</v>
      </c>
      <c r="L3720">
        <v>7</v>
      </c>
      <c r="M3720">
        <v>6</v>
      </c>
      <c r="O3720" s="31"/>
    </row>
    <row r="3721" spans="10:15" x14ac:dyDescent="0.25">
      <c r="J3721" t="s">
        <v>121</v>
      </c>
      <c r="K3721" s="22" t="s">
        <v>29</v>
      </c>
      <c r="L3721">
        <v>17</v>
      </c>
      <c r="M3721">
        <v>15</v>
      </c>
      <c r="O3721" s="31"/>
    </row>
    <row r="3722" spans="10:15" x14ac:dyDescent="0.25">
      <c r="J3722" t="s">
        <v>121</v>
      </c>
      <c r="K3722" s="22" t="s">
        <v>28</v>
      </c>
      <c r="L3722">
        <v>14</v>
      </c>
      <c r="M3722">
        <v>9</v>
      </c>
      <c r="O3722" s="31"/>
    </row>
    <row r="3723" spans="10:15" x14ac:dyDescent="0.25">
      <c r="J3723" t="s">
        <v>121</v>
      </c>
      <c r="K3723" s="22" t="s">
        <v>35</v>
      </c>
      <c r="L3723">
        <v>5</v>
      </c>
      <c r="M3723">
        <v>5</v>
      </c>
      <c r="O3723" s="31"/>
    </row>
    <row r="3724" spans="10:15" x14ac:dyDescent="0.25">
      <c r="J3724" t="s">
        <v>1853</v>
      </c>
      <c r="K3724" s="22" t="s">
        <v>26</v>
      </c>
      <c r="L3724">
        <v>2</v>
      </c>
      <c r="O3724" s="30"/>
    </row>
    <row r="3725" spans="10:15" x14ac:dyDescent="0.25">
      <c r="J3725" t="s">
        <v>1853</v>
      </c>
      <c r="K3725" s="22" t="s">
        <v>30</v>
      </c>
      <c r="L3725">
        <v>3</v>
      </c>
      <c r="M3725">
        <v>1</v>
      </c>
      <c r="O3725" s="30"/>
    </row>
    <row r="3726" spans="10:15" x14ac:dyDescent="0.25">
      <c r="J3726" t="s">
        <v>1853</v>
      </c>
      <c r="K3726" s="22" t="s">
        <v>29</v>
      </c>
      <c r="L3726">
        <v>1</v>
      </c>
      <c r="O3726" s="30"/>
    </row>
    <row r="3727" spans="10:15" x14ac:dyDescent="0.25">
      <c r="J3727" t="s">
        <v>1853</v>
      </c>
      <c r="K3727" s="22" t="s">
        <v>28</v>
      </c>
      <c r="L3727">
        <v>2</v>
      </c>
      <c r="M3727">
        <v>1</v>
      </c>
      <c r="O3727" s="30"/>
    </row>
    <row r="3728" spans="10:15" x14ac:dyDescent="0.25">
      <c r="J3728" t="s">
        <v>1853</v>
      </c>
      <c r="K3728" s="22" t="s">
        <v>35</v>
      </c>
      <c r="L3728">
        <v>1</v>
      </c>
    </row>
    <row r="3729" spans="10:15" x14ac:dyDescent="0.25">
      <c r="J3729" t="s">
        <v>1853</v>
      </c>
      <c r="K3729" s="22" t="s">
        <v>22</v>
      </c>
      <c r="L3729">
        <v>2</v>
      </c>
      <c r="O3729" s="30"/>
    </row>
    <row r="3730" spans="10:15" x14ac:dyDescent="0.25">
      <c r="J3730" t="s">
        <v>2684</v>
      </c>
      <c r="K3730" s="22" t="s">
        <v>26</v>
      </c>
      <c r="L3730">
        <v>4</v>
      </c>
      <c r="M3730">
        <v>1</v>
      </c>
      <c r="O3730" s="31"/>
    </row>
    <row r="3731" spans="10:15" x14ac:dyDescent="0.25">
      <c r="J3731" t="s">
        <v>2684</v>
      </c>
      <c r="K3731" s="22" t="s">
        <v>28</v>
      </c>
      <c r="L3731">
        <v>4</v>
      </c>
      <c r="M3731">
        <v>4</v>
      </c>
      <c r="O3731" s="31"/>
    </row>
    <row r="3732" spans="10:15" x14ac:dyDescent="0.25">
      <c r="J3732" t="s">
        <v>2007</v>
      </c>
      <c r="K3732" s="22" t="s">
        <v>26</v>
      </c>
      <c r="L3732">
        <v>4</v>
      </c>
      <c r="O3732" s="30"/>
    </row>
    <row r="3733" spans="10:15" x14ac:dyDescent="0.25">
      <c r="J3733" t="s">
        <v>2007</v>
      </c>
      <c r="K3733" s="22" t="s">
        <v>30</v>
      </c>
      <c r="L3733">
        <v>4</v>
      </c>
      <c r="M3733">
        <v>2</v>
      </c>
      <c r="O3733" s="30"/>
    </row>
    <row r="3734" spans="10:15" x14ac:dyDescent="0.25">
      <c r="J3734" t="s">
        <v>2007</v>
      </c>
      <c r="K3734" s="22" t="s">
        <v>29</v>
      </c>
      <c r="L3734">
        <v>2</v>
      </c>
      <c r="O3734" s="30"/>
    </row>
    <row r="3735" spans="10:15" x14ac:dyDescent="0.25">
      <c r="J3735" t="s">
        <v>2007</v>
      </c>
      <c r="K3735" s="22" t="s">
        <v>28</v>
      </c>
      <c r="L3735">
        <v>1</v>
      </c>
    </row>
    <row r="3736" spans="10:15" x14ac:dyDescent="0.25">
      <c r="J3736" t="s">
        <v>2007</v>
      </c>
      <c r="K3736" s="22" t="s">
        <v>35</v>
      </c>
      <c r="L3736">
        <v>4</v>
      </c>
      <c r="M3736">
        <v>3</v>
      </c>
      <c r="O3736" s="31"/>
    </row>
    <row r="3737" spans="10:15" x14ac:dyDescent="0.25">
      <c r="J3737" t="s">
        <v>2007</v>
      </c>
      <c r="K3737" s="22" t="s">
        <v>31</v>
      </c>
      <c r="L3737">
        <v>1</v>
      </c>
    </row>
    <row r="3738" spans="10:15" x14ac:dyDescent="0.25">
      <c r="J3738" t="s">
        <v>2920</v>
      </c>
      <c r="K3738" s="22" t="s">
        <v>26</v>
      </c>
      <c r="L3738">
        <v>1</v>
      </c>
      <c r="M3738">
        <v>1</v>
      </c>
    </row>
    <row r="3739" spans="10:15" x14ac:dyDescent="0.25">
      <c r="J3739" t="s">
        <v>958</v>
      </c>
      <c r="K3739" s="22" t="s">
        <v>28</v>
      </c>
      <c r="L3739">
        <v>1</v>
      </c>
      <c r="M3739">
        <v>1</v>
      </c>
    </row>
    <row r="3740" spans="10:15" x14ac:dyDescent="0.25">
      <c r="J3740" t="s">
        <v>2514</v>
      </c>
      <c r="K3740" s="22" t="s">
        <v>30</v>
      </c>
      <c r="L3740">
        <v>4</v>
      </c>
      <c r="M3740">
        <v>4</v>
      </c>
      <c r="O3740" s="31"/>
    </row>
    <row r="3741" spans="10:15" x14ac:dyDescent="0.25">
      <c r="J3741" t="s">
        <v>1088</v>
      </c>
      <c r="K3741" s="22" t="s">
        <v>26</v>
      </c>
      <c r="L3741">
        <v>2</v>
      </c>
      <c r="M3741">
        <v>1</v>
      </c>
      <c r="O3741" s="30"/>
    </row>
    <row r="3742" spans="10:15" x14ac:dyDescent="0.25">
      <c r="J3742" t="s">
        <v>1088</v>
      </c>
      <c r="K3742" s="22" t="s">
        <v>30</v>
      </c>
      <c r="L3742">
        <v>1</v>
      </c>
      <c r="O3742" s="30"/>
    </row>
    <row r="3743" spans="10:15" x14ac:dyDescent="0.25">
      <c r="J3743" t="s">
        <v>1088</v>
      </c>
      <c r="K3743" s="22" t="s">
        <v>29</v>
      </c>
      <c r="L3743">
        <v>4</v>
      </c>
      <c r="M3743">
        <v>3</v>
      </c>
      <c r="O3743" s="31"/>
    </row>
    <row r="3744" spans="10:15" x14ac:dyDescent="0.25">
      <c r="J3744" t="s">
        <v>1088</v>
      </c>
      <c r="K3744" s="22" t="s">
        <v>31</v>
      </c>
      <c r="L3744">
        <v>11</v>
      </c>
      <c r="M3744">
        <v>5</v>
      </c>
      <c r="O3744" s="31"/>
    </row>
    <row r="3745" spans="10:15" x14ac:dyDescent="0.25">
      <c r="J3745" t="s">
        <v>3053</v>
      </c>
      <c r="K3745" s="22" t="s">
        <v>26</v>
      </c>
      <c r="L3745">
        <v>2</v>
      </c>
      <c r="M3745">
        <v>1</v>
      </c>
      <c r="O3745" s="30"/>
    </row>
    <row r="3746" spans="10:15" x14ac:dyDescent="0.25">
      <c r="J3746" t="s">
        <v>954</v>
      </c>
      <c r="K3746" s="22" t="s">
        <v>30</v>
      </c>
      <c r="L3746">
        <v>3</v>
      </c>
      <c r="M3746">
        <v>2</v>
      </c>
      <c r="O3746" s="30"/>
    </row>
    <row r="3747" spans="10:15" x14ac:dyDescent="0.25">
      <c r="J3747" t="s">
        <v>954</v>
      </c>
      <c r="K3747" s="22" t="s">
        <v>28</v>
      </c>
      <c r="L3747">
        <v>1</v>
      </c>
    </row>
    <row r="3748" spans="10:15" x14ac:dyDescent="0.25">
      <c r="J3748" t="s">
        <v>1221</v>
      </c>
      <c r="K3748" s="22" t="s">
        <v>26</v>
      </c>
      <c r="L3748">
        <v>2</v>
      </c>
      <c r="M3748">
        <v>1</v>
      </c>
    </row>
    <row r="3749" spans="10:15" x14ac:dyDescent="0.25">
      <c r="J3749" t="s">
        <v>1221</v>
      </c>
      <c r="K3749" s="22" t="s">
        <v>30</v>
      </c>
      <c r="L3749">
        <v>2</v>
      </c>
    </row>
    <row r="3750" spans="10:15" x14ac:dyDescent="0.25">
      <c r="J3750" t="s">
        <v>1221</v>
      </c>
      <c r="K3750" s="22" t="s">
        <v>29</v>
      </c>
      <c r="L3750">
        <v>2</v>
      </c>
      <c r="M3750">
        <v>2</v>
      </c>
    </row>
    <row r="3751" spans="10:15" x14ac:dyDescent="0.25">
      <c r="J3751" t="s">
        <v>1221</v>
      </c>
      <c r="K3751" s="22" t="s">
        <v>28</v>
      </c>
      <c r="L3751">
        <v>5</v>
      </c>
      <c r="M3751">
        <v>2</v>
      </c>
      <c r="O3751" s="31"/>
    </row>
    <row r="3752" spans="10:15" x14ac:dyDescent="0.25">
      <c r="J3752" t="s">
        <v>767</v>
      </c>
      <c r="K3752" s="22" t="s">
        <v>30</v>
      </c>
      <c r="L3752">
        <v>3</v>
      </c>
      <c r="M3752">
        <v>2</v>
      </c>
    </row>
    <row r="3753" spans="10:15" x14ac:dyDescent="0.25">
      <c r="J3753" t="s">
        <v>767</v>
      </c>
      <c r="K3753" s="22" t="s">
        <v>22</v>
      </c>
      <c r="L3753">
        <v>2</v>
      </c>
      <c r="M3753">
        <v>1</v>
      </c>
    </row>
    <row r="3754" spans="10:15" x14ac:dyDescent="0.25">
      <c r="J3754" t="s">
        <v>2716</v>
      </c>
      <c r="K3754" s="22" t="s">
        <v>35</v>
      </c>
      <c r="L3754">
        <v>3</v>
      </c>
      <c r="M3754">
        <v>3</v>
      </c>
      <c r="O3754" s="31"/>
    </row>
    <row r="3755" spans="10:15" x14ac:dyDescent="0.25">
      <c r="J3755" t="s">
        <v>683</v>
      </c>
      <c r="K3755" s="22" t="s">
        <v>35</v>
      </c>
      <c r="L3755">
        <v>2</v>
      </c>
      <c r="M3755">
        <v>2</v>
      </c>
    </row>
    <row r="3756" spans="10:15" x14ac:dyDescent="0.25">
      <c r="J3756" t="s">
        <v>2718</v>
      </c>
      <c r="K3756" s="22" t="s">
        <v>30</v>
      </c>
      <c r="L3756">
        <v>1</v>
      </c>
      <c r="M3756">
        <v>1</v>
      </c>
    </row>
    <row r="3757" spans="10:15" x14ac:dyDescent="0.25">
      <c r="J3757" t="s">
        <v>2371</v>
      </c>
      <c r="K3757" s="22" t="s">
        <v>30</v>
      </c>
      <c r="L3757">
        <v>1</v>
      </c>
    </row>
    <row r="3758" spans="10:15" x14ac:dyDescent="0.25">
      <c r="J3758" t="s">
        <v>2371</v>
      </c>
      <c r="K3758" s="22" t="s">
        <v>22</v>
      </c>
      <c r="L3758">
        <v>2</v>
      </c>
      <c r="M3758">
        <v>2</v>
      </c>
    </row>
    <row r="3759" spans="10:15" x14ac:dyDescent="0.25">
      <c r="J3759" t="s">
        <v>2002</v>
      </c>
      <c r="K3759" s="22" t="s">
        <v>29</v>
      </c>
      <c r="L3759">
        <v>5</v>
      </c>
      <c r="M3759">
        <v>5</v>
      </c>
      <c r="O3759" s="31"/>
    </row>
    <row r="3760" spans="10:15" x14ac:dyDescent="0.25">
      <c r="J3760" t="s">
        <v>1870</v>
      </c>
      <c r="K3760" s="22" t="s">
        <v>31</v>
      </c>
      <c r="L3760">
        <v>2</v>
      </c>
      <c r="M3760">
        <v>2</v>
      </c>
    </row>
    <row r="3761" spans="10:15" x14ac:dyDescent="0.25">
      <c r="J3761" t="s">
        <v>3312</v>
      </c>
      <c r="K3761" s="22" t="s">
        <v>29</v>
      </c>
      <c r="L3761">
        <v>2</v>
      </c>
      <c r="M3761">
        <v>2</v>
      </c>
      <c r="O3761" s="31"/>
    </row>
    <row r="3762" spans="10:15" x14ac:dyDescent="0.25">
      <c r="J3762" t="s">
        <v>1374</v>
      </c>
      <c r="K3762" s="22" t="s">
        <v>26</v>
      </c>
      <c r="L3762">
        <v>1</v>
      </c>
      <c r="O3762" s="30"/>
    </row>
    <row r="3763" spans="10:15" x14ac:dyDescent="0.25">
      <c r="J3763" t="s">
        <v>1374</v>
      </c>
      <c r="K3763" s="22" t="s">
        <v>30</v>
      </c>
      <c r="L3763">
        <v>2</v>
      </c>
      <c r="M3763">
        <v>1</v>
      </c>
      <c r="O3763" s="30"/>
    </row>
    <row r="3764" spans="10:15" x14ac:dyDescent="0.25">
      <c r="J3764" t="s">
        <v>1374</v>
      </c>
      <c r="K3764" s="22" t="s">
        <v>29</v>
      </c>
      <c r="L3764">
        <v>1</v>
      </c>
      <c r="O3764" s="30"/>
    </row>
    <row r="3765" spans="10:15" x14ac:dyDescent="0.25">
      <c r="J3765" t="s">
        <v>1374</v>
      </c>
      <c r="K3765" s="22" t="s">
        <v>22</v>
      </c>
      <c r="L3765">
        <v>4</v>
      </c>
      <c r="M3765">
        <v>1</v>
      </c>
      <c r="O3765" s="30"/>
    </row>
    <row r="3766" spans="10:15" x14ac:dyDescent="0.25">
      <c r="J3766" t="s">
        <v>1374</v>
      </c>
      <c r="K3766" s="22" t="s">
        <v>31</v>
      </c>
      <c r="L3766">
        <v>3</v>
      </c>
      <c r="M3766">
        <v>3</v>
      </c>
      <c r="O3766" s="31"/>
    </row>
    <row r="3767" spans="10:15" x14ac:dyDescent="0.25">
      <c r="J3767" t="s">
        <v>2833</v>
      </c>
      <c r="K3767" s="22" t="s">
        <v>30</v>
      </c>
      <c r="L3767">
        <v>3</v>
      </c>
      <c r="M3767">
        <v>3</v>
      </c>
      <c r="O3767" s="31"/>
    </row>
    <row r="3768" spans="10:15" x14ac:dyDescent="0.25">
      <c r="J3768" t="s">
        <v>2833</v>
      </c>
      <c r="K3768" s="22" t="s">
        <v>35</v>
      </c>
      <c r="L3768">
        <v>3</v>
      </c>
      <c r="M3768">
        <v>2</v>
      </c>
      <c r="O3768" s="30"/>
    </row>
    <row r="3769" spans="10:15" x14ac:dyDescent="0.25">
      <c r="J3769" t="s">
        <v>1635</v>
      </c>
      <c r="K3769" s="22" t="s">
        <v>26</v>
      </c>
      <c r="L3769">
        <v>2</v>
      </c>
      <c r="M3769">
        <v>1</v>
      </c>
    </row>
    <row r="3770" spans="10:15" x14ac:dyDescent="0.25">
      <c r="J3770" t="s">
        <v>1635</v>
      </c>
      <c r="K3770" s="22" t="s">
        <v>29</v>
      </c>
      <c r="L3770">
        <v>3</v>
      </c>
      <c r="O3770" s="30"/>
    </row>
    <row r="3771" spans="10:15" x14ac:dyDescent="0.25">
      <c r="J3771" t="s">
        <v>1635</v>
      </c>
      <c r="K3771" s="22" t="s">
        <v>31</v>
      </c>
      <c r="L3771">
        <v>4</v>
      </c>
      <c r="M3771">
        <v>4</v>
      </c>
      <c r="O3771" s="31"/>
    </row>
    <row r="3772" spans="10:15" x14ac:dyDescent="0.25">
      <c r="J3772" t="s">
        <v>999</v>
      </c>
      <c r="K3772" s="22" t="s">
        <v>30</v>
      </c>
      <c r="L3772">
        <v>3</v>
      </c>
      <c r="M3772">
        <v>3</v>
      </c>
      <c r="O3772" s="31"/>
    </row>
    <row r="3773" spans="10:15" x14ac:dyDescent="0.25">
      <c r="J3773" t="s">
        <v>999</v>
      </c>
      <c r="K3773" s="22" t="s">
        <v>22</v>
      </c>
      <c r="L3773">
        <v>3</v>
      </c>
      <c r="M3773">
        <v>1</v>
      </c>
    </row>
    <row r="3774" spans="10:15" x14ac:dyDescent="0.25">
      <c r="J3774" t="s">
        <v>2009</v>
      </c>
      <c r="K3774" s="22" t="s">
        <v>26</v>
      </c>
      <c r="L3774">
        <v>1</v>
      </c>
    </row>
    <row r="3775" spans="10:15" x14ac:dyDescent="0.25">
      <c r="J3775" t="s">
        <v>2009</v>
      </c>
      <c r="K3775" s="22" t="s">
        <v>30</v>
      </c>
      <c r="L3775">
        <v>2</v>
      </c>
      <c r="M3775">
        <v>2</v>
      </c>
      <c r="O3775" s="31"/>
    </row>
    <row r="3776" spans="10:15" x14ac:dyDescent="0.25">
      <c r="J3776" t="s">
        <v>2009</v>
      </c>
      <c r="K3776" s="22" t="s">
        <v>29</v>
      </c>
      <c r="L3776">
        <v>1</v>
      </c>
    </row>
    <row r="3777" spans="10:15" x14ac:dyDescent="0.25">
      <c r="J3777" t="s">
        <v>800</v>
      </c>
      <c r="K3777" s="22" t="s">
        <v>29</v>
      </c>
      <c r="L3777">
        <v>3</v>
      </c>
      <c r="M3777">
        <v>3</v>
      </c>
    </row>
    <row r="3778" spans="10:15" x14ac:dyDescent="0.25">
      <c r="J3778" t="s">
        <v>2680</v>
      </c>
      <c r="K3778" s="22" t="s">
        <v>26</v>
      </c>
      <c r="L3778">
        <v>1</v>
      </c>
    </row>
    <row r="3779" spans="10:15" x14ac:dyDescent="0.25">
      <c r="J3779" t="s">
        <v>2680</v>
      </c>
      <c r="K3779" s="22" t="s">
        <v>30</v>
      </c>
      <c r="L3779">
        <v>1</v>
      </c>
    </row>
    <row r="3780" spans="10:15" x14ac:dyDescent="0.25">
      <c r="J3780" t="s">
        <v>2680</v>
      </c>
      <c r="K3780" s="22" t="s">
        <v>29</v>
      </c>
      <c r="L3780">
        <v>2</v>
      </c>
      <c r="M3780">
        <v>1</v>
      </c>
      <c r="O3780" s="30"/>
    </row>
    <row r="3781" spans="10:15" x14ac:dyDescent="0.25">
      <c r="J3781" t="s">
        <v>2855</v>
      </c>
      <c r="K3781" s="22" t="s">
        <v>29</v>
      </c>
      <c r="L3781">
        <v>4</v>
      </c>
      <c r="M3781">
        <v>4</v>
      </c>
      <c r="O3781" s="31"/>
    </row>
    <row r="3782" spans="10:15" x14ac:dyDescent="0.25">
      <c r="J3782" t="s">
        <v>99</v>
      </c>
      <c r="K3782" s="22" t="s">
        <v>26</v>
      </c>
      <c r="L3782">
        <v>1</v>
      </c>
    </row>
    <row r="3783" spans="10:15" x14ac:dyDescent="0.25">
      <c r="J3783" t="s">
        <v>99</v>
      </c>
      <c r="K3783" s="22" t="s">
        <v>30</v>
      </c>
      <c r="L3783">
        <v>3</v>
      </c>
      <c r="O3783" s="30"/>
    </row>
    <row r="3784" spans="10:15" x14ac:dyDescent="0.25">
      <c r="J3784" t="s">
        <v>99</v>
      </c>
      <c r="K3784" s="22" t="s">
        <v>28</v>
      </c>
      <c r="L3784">
        <v>3</v>
      </c>
      <c r="M3784">
        <v>3</v>
      </c>
      <c r="O3784" s="31"/>
    </row>
    <row r="3785" spans="10:15" x14ac:dyDescent="0.25">
      <c r="J3785" t="s">
        <v>99</v>
      </c>
      <c r="K3785" s="22" t="s">
        <v>35</v>
      </c>
      <c r="L3785">
        <v>3</v>
      </c>
      <c r="O3785" s="30"/>
    </row>
    <row r="3786" spans="10:15" x14ac:dyDescent="0.25">
      <c r="J3786" t="s">
        <v>99</v>
      </c>
      <c r="K3786" s="22" t="s">
        <v>22</v>
      </c>
      <c r="L3786">
        <v>1</v>
      </c>
    </row>
    <row r="3787" spans="10:15" x14ac:dyDescent="0.25">
      <c r="J3787" t="s">
        <v>201</v>
      </c>
      <c r="K3787" s="22" t="s">
        <v>28</v>
      </c>
      <c r="L3787">
        <v>13</v>
      </c>
      <c r="M3787">
        <v>13</v>
      </c>
      <c r="O3787" s="31"/>
    </row>
    <row r="3788" spans="10:15" x14ac:dyDescent="0.25">
      <c r="J3788" t="s">
        <v>201</v>
      </c>
      <c r="K3788" s="22" t="s">
        <v>31</v>
      </c>
      <c r="L3788">
        <v>2</v>
      </c>
      <c r="M3788">
        <v>2</v>
      </c>
      <c r="O3788" s="31"/>
    </row>
    <row r="3789" spans="10:15" x14ac:dyDescent="0.25">
      <c r="J3789" t="s">
        <v>652</v>
      </c>
      <c r="K3789" s="22" t="s">
        <v>26</v>
      </c>
      <c r="L3789">
        <v>2</v>
      </c>
      <c r="O3789" s="30"/>
    </row>
    <row r="3790" spans="10:15" x14ac:dyDescent="0.25">
      <c r="J3790" t="s">
        <v>652</v>
      </c>
      <c r="K3790" s="22" t="s">
        <v>30</v>
      </c>
      <c r="L3790">
        <v>2</v>
      </c>
      <c r="M3790">
        <v>1</v>
      </c>
      <c r="O3790" s="30"/>
    </row>
    <row r="3791" spans="10:15" x14ac:dyDescent="0.25">
      <c r="J3791" t="s">
        <v>3397</v>
      </c>
      <c r="K3791" s="22" t="s">
        <v>30</v>
      </c>
      <c r="L3791">
        <v>1</v>
      </c>
      <c r="M3791">
        <v>1</v>
      </c>
      <c r="O3791" s="31"/>
    </row>
    <row r="3792" spans="10:15" x14ac:dyDescent="0.25">
      <c r="J3792" t="s">
        <v>1463</v>
      </c>
      <c r="K3792" s="22" t="s">
        <v>26</v>
      </c>
      <c r="L3792">
        <v>2</v>
      </c>
      <c r="M3792">
        <v>2</v>
      </c>
      <c r="O3792" s="31"/>
    </row>
    <row r="3793" spans="10:15" x14ac:dyDescent="0.25">
      <c r="J3793" t="s">
        <v>1463</v>
      </c>
      <c r="K3793" s="22" t="s">
        <v>22</v>
      </c>
      <c r="L3793">
        <v>2</v>
      </c>
      <c r="M3793">
        <v>1</v>
      </c>
    </row>
    <row r="3794" spans="10:15" x14ac:dyDescent="0.25">
      <c r="J3794" t="s">
        <v>2758</v>
      </c>
      <c r="K3794" s="22" t="s">
        <v>26</v>
      </c>
      <c r="L3794">
        <v>1</v>
      </c>
    </row>
    <row r="3795" spans="10:15" x14ac:dyDescent="0.25">
      <c r="J3795" t="s">
        <v>2758</v>
      </c>
      <c r="K3795" s="22" t="s">
        <v>28</v>
      </c>
      <c r="L3795">
        <v>2</v>
      </c>
      <c r="M3795">
        <v>1</v>
      </c>
      <c r="O3795" s="30"/>
    </row>
    <row r="3796" spans="10:15" x14ac:dyDescent="0.25">
      <c r="J3796" t="s">
        <v>1701</v>
      </c>
      <c r="K3796" s="22" t="s">
        <v>30</v>
      </c>
      <c r="L3796">
        <v>1</v>
      </c>
    </row>
    <row r="3797" spans="10:15" x14ac:dyDescent="0.25">
      <c r="J3797" t="s">
        <v>2471</v>
      </c>
      <c r="K3797" s="22" t="s">
        <v>26</v>
      </c>
      <c r="L3797">
        <v>1</v>
      </c>
    </row>
    <row r="3798" spans="10:15" x14ac:dyDescent="0.25">
      <c r="J3798" t="s">
        <v>2471</v>
      </c>
      <c r="K3798" s="22" t="s">
        <v>31</v>
      </c>
      <c r="L3798">
        <v>3</v>
      </c>
      <c r="M3798">
        <v>3</v>
      </c>
      <c r="O3798" s="31"/>
    </row>
    <row r="3799" spans="10:15" x14ac:dyDescent="0.25">
      <c r="J3799" t="s">
        <v>542</v>
      </c>
      <c r="K3799" s="22" t="s">
        <v>30</v>
      </c>
      <c r="L3799">
        <v>4</v>
      </c>
      <c r="M3799">
        <v>4</v>
      </c>
      <c r="O3799" s="31"/>
    </row>
    <row r="3800" spans="10:15" x14ac:dyDescent="0.25">
      <c r="J3800" t="s">
        <v>2071</v>
      </c>
      <c r="K3800" s="22" t="s">
        <v>30</v>
      </c>
      <c r="L3800">
        <v>1</v>
      </c>
      <c r="M3800">
        <v>1</v>
      </c>
    </row>
    <row r="3801" spans="10:15" x14ac:dyDescent="0.25">
      <c r="J3801" t="s">
        <v>2742</v>
      </c>
      <c r="K3801" s="22" t="s">
        <v>30</v>
      </c>
      <c r="L3801">
        <v>5</v>
      </c>
      <c r="M3801">
        <v>5</v>
      </c>
      <c r="O3801" s="31"/>
    </row>
    <row r="3802" spans="10:15" x14ac:dyDescent="0.25">
      <c r="J3802" t="s">
        <v>1320</v>
      </c>
      <c r="K3802" s="22" t="s">
        <v>31</v>
      </c>
      <c r="L3802">
        <v>5</v>
      </c>
      <c r="M3802">
        <v>5</v>
      </c>
      <c r="O3802" s="31"/>
    </row>
    <row r="3803" spans="10:15" x14ac:dyDescent="0.25">
      <c r="J3803" t="s">
        <v>2860</v>
      </c>
      <c r="K3803" s="22" t="s">
        <v>30</v>
      </c>
      <c r="L3803">
        <v>1</v>
      </c>
    </row>
    <row r="3804" spans="10:15" x14ac:dyDescent="0.25">
      <c r="J3804" t="s">
        <v>1658</v>
      </c>
      <c r="K3804" s="22" t="s">
        <v>31</v>
      </c>
      <c r="L3804">
        <v>3</v>
      </c>
      <c r="M3804">
        <v>3</v>
      </c>
      <c r="O3804" s="31"/>
    </row>
    <row r="3805" spans="10:15" x14ac:dyDescent="0.25">
      <c r="J3805" t="s">
        <v>1465</v>
      </c>
      <c r="K3805" s="22" t="s">
        <v>31</v>
      </c>
      <c r="L3805">
        <v>1</v>
      </c>
      <c r="M3805">
        <v>1</v>
      </c>
    </row>
    <row r="3806" spans="10:15" x14ac:dyDescent="0.25">
      <c r="J3806" t="s">
        <v>196</v>
      </c>
      <c r="K3806" s="22" t="s">
        <v>26</v>
      </c>
      <c r="L3806">
        <v>1</v>
      </c>
    </row>
    <row r="3807" spans="10:15" x14ac:dyDescent="0.25">
      <c r="J3807" t="s">
        <v>196</v>
      </c>
      <c r="K3807" s="22" t="s">
        <v>30</v>
      </c>
      <c r="L3807">
        <v>13</v>
      </c>
      <c r="M3807">
        <v>6</v>
      </c>
      <c r="O3807" s="31"/>
    </row>
    <row r="3808" spans="10:15" x14ac:dyDescent="0.25">
      <c r="J3808" t="s">
        <v>196</v>
      </c>
      <c r="K3808" s="22" t="s">
        <v>28</v>
      </c>
      <c r="L3808">
        <v>2</v>
      </c>
      <c r="O3808" s="30"/>
    </row>
    <row r="3809" spans="10:15" x14ac:dyDescent="0.25">
      <c r="J3809" t="s">
        <v>196</v>
      </c>
      <c r="K3809" s="22" t="s">
        <v>35</v>
      </c>
      <c r="L3809">
        <v>1</v>
      </c>
    </row>
    <row r="3810" spans="10:15" x14ac:dyDescent="0.25">
      <c r="J3810" t="s">
        <v>196</v>
      </c>
      <c r="K3810" s="22" t="s">
        <v>22</v>
      </c>
      <c r="L3810">
        <v>8</v>
      </c>
      <c r="M3810">
        <v>3</v>
      </c>
      <c r="O3810" s="30"/>
    </row>
    <row r="3811" spans="10:15" x14ac:dyDescent="0.25">
      <c r="J3811" t="s">
        <v>196</v>
      </c>
      <c r="K3811" s="22" t="s">
        <v>31</v>
      </c>
      <c r="L3811">
        <v>2</v>
      </c>
      <c r="O3811" s="30"/>
    </row>
    <row r="3812" spans="10:15" x14ac:dyDescent="0.25">
      <c r="J3812" t="s">
        <v>119</v>
      </c>
      <c r="K3812" s="22" t="s">
        <v>26</v>
      </c>
      <c r="L3812">
        <v>1</v>
      </c>
    </row>
    <row r="3813" spans="10:15" x14ac:dyDescent="0.25">
      <c r="J3813" t="s">
        <v>119</v>
      </c>
      <c r="K3813" s="22" t="s">
        <v>35</v>
      </c>
      <c r="L3813">
        <v>4</v>
      </c>
      <c r="M3813">
        <v>4</v>
      </c>
      <c r="O3813" s="31"/>
    </row>
    <row r="3814" spans="10:15" x14ac:dyDescent="0.25">
      <c r="J3814" t="s">
        <v>119</v>
      </c>
      <c r="K3814" s="22" t="s">
        <v>22</v>
      </c>
      <c r="L3814">
        <v>3</v>
      </c>
      <c r="M3814">
        <v>1</v>
      </c>
      <c r="O3814" s="30"/>
    </row>
    <row r="3815" spans="10:15" x14ac:dyDescent="0.25">
      <c r="J3815" t="s">
        <v>2060</v>
      </c>
      <c r="K3815" s="22" t="s">
        <v>28</v>
      </c>
      <c r="L3815">
        <v>2</v>
      </c>
      <c r="M3815">
        <v>1</v>
      </c>
      <c r="O3815" s="31"/>
    </row>
    <row r="3816" spans="10:15" x14ac:dyDescent="0.25">
      <c r="J3816" t="s">
        <v>2060</v>
      </c>
      <c r="K3816" s="22" t="s">
        <v>35</v>
      </c>
      <c r="L3816">
        <v>1</v>
      </c>
      <c r="M3816">
        <v>1</v>
      </c>
      <c r="O3816" s="31"/>
    </row>
    <row r="3817" spans="10:15" x14ac:dyDescent="0.25">
      <c r="J3817" t="s">
        <v>2060</v>
      </c>
      <c r="K3817" s="22" t="s">
        <v>31</v>
      </c>
      <c r="L3817">
        <v>2</v>
      </c>
      <c r="O3817" s="30"/>
    </row>
    <row r="3818" spans="10:15" x14ac:dyDescent="0.25">
      <c r="J3818" t="s">
        <v>419</v>
      </c>
      <c r="K3818" s="22" t="s">
        <v>26</v>
      </c>
      <c r="L3818">
        <v>1</v>
      </c>
    </row>
    <row r="3819" spans="10:15" x14ac:dyDescent="0.25">
      <c r="J3819" t="s">
        <v>419</v>
      </c>
      <c r="K3819" s="22" t="s">
        <v>30</v>
      </c>
      <c r="L3819">
        <v>1</v>
      </c>
      <c r="M3819">
        <v>1</v>
      </c>
    </row>
    <row r="3820" spans="10:15" x14ac:dyDescent="0.25">
      <c r="J3820" t="s">
        <v>419</v>
      </c>
      <c r="K3820" s="22" t="s">
        <v>35</v>
      </c>
      <c r="L3820">
        <v>1</v>
      </c>
    </row>
    <row r="3821" spans="10:15" x14ac:dyDescent="0.25">
      <c r="J3821" t="s">
        <v>514</v>
      </c>
      <c r="K3821" s="22" t="s">
        <v>26</v>
      </c>
      <c r="L3821">
        <v>1</v>
      </c>
    </row>
    <row r="3822" spans="10:15" x14ac:dyDescent="0.25">
      <c r="J3822" t="s">
        <v>514</v>
      </c>
      <c r="K3822" s="22" t="s">
        <v>30</v>
      </c>
      <c r="L3822">
        <v>1</v>
      </c>
    </row>
    <row r="3823" spans="10:15" x14ac:dyDescent="0.25">
      <c r="J3823" t="s">
        <v>514</v>
      </c>
      <c r="K3823" s="22" t="s">
        <v>28</v>
      </c>
      <c r="L3823">
        <v>2</v>
      </c>
      <c r="O3823" s="30"/>
    </row>
    <row r="3824" spans="10:15" x14ac:dyDescent="0.25">
      <c r="J3824" t="s">
        <v>514</v>
      </c>
      <c r="K3824" s="22" t="s">
        <v>35</v>
      </c>
      <c r="L3824">
        <v>4</v>
      </c>
      <c r="O3824" s="30"/>
    </row>
    <row r="3825" spans="10:15" x14ac:dyDescent="0.25">
      <c r="J3825" t="s">
        <v>3174</v>
      </c>
      <c r="K3825" s="22" t="s">
        <v>31</v>
      </c>
      <c r="L3825">
        <v>2</v>
      </c>
      <c r="M3825">
        <v>2</v>
      </c>
      <c r="O3825" s="31"/>
    </row>
    <row r="3826" spans="10:15" x14ac:dyDescent="0.25">
      <c r="J3826" t="s">
        <v>3175</v>
      </c>
      <c r="K3826" s="22" t="s">
        <v>30</v>
      </c>
      <c r="L3826">
        <v>2</v>
      </c>
      <c r="M3826">
        <v>2</v>
      </c>
      <c r="O3826" s="31"/>
    </row>
    <row r="3827" spans="10:15" x14ac:dyDescent="0.25">
      <c r="J3827" t="s">
        <v>1848</v>
      </c>
      <c r="K3827" s="22" t="s">
        <v>26</v>
      </c>
      <c r="L3827">
        <v>3</v>
      </c>
      <c r="O3827" s="30"/>
    </row>
    <row r="3828" spans="10:15" x14ac:dyDescent="0.25">
      <c r="J3828" t="s">
        <v>1848</v>
      </c>
      <c r="K3828" s="22" t="s">
        <v>30</v>
      </c>
      <c r="L3828">
        <v>3</v>
      </c>
      <c r="M3828">
        <v>2</v>
      </c>
      <c r="O3828" s="30"/>
    </row>
    <row r="3829" spans="10:15" x14ac:dyDescent="0.25">
      <c r="J3829" t="s">
        <v>1848</v>
      </c>
      <c r="K3829" s="22" t="s">
        <v>22</v>
      </c>
      <c r="L3829">
        <v>1</v>
      </c>
      <c r="O3829" s="30"/>
    </row>
    <row r="3830" spans="10:15" x14ac:dyDescent="0.25">
      <c r="J3830" t="s">
        <v>1848</v>
      </c>
      <c r="K3830" s="22" t="s">
        <v>31</v>
      </c>
      <c r="L3830">
        <v>1</v>
      </c>
      <c r="O3830" s="30"/>
    </row>
    <row r="3831" spans="10:15" x14ac:dyDescent="0.25">
      <c r="J3831" t="s">
        <v>2546</v>
      </c>
      <c r="K3831" s="22" t="s">
        <v>30</v>
      </c>
      <c r="L3831">
        <v>1</v>
      </c>
      <c r="O3831" s="30"/>
    </row>
    <row r="3832" spans="10:15" x14ac:dyDescent="0.25">
      <c r="J3832" t="s">
        <v>2879</v>
      </c>
      <c r="K3832" s="22" t="s">
        <v>26</v>
      </c>
      <c r="L3832">
        <v>1</v>
      </c>
    </row>
    <row r="3833" spans="10:15" x14ac:dyDescent="0.25">
      <c r="J3833" t="s">
        <v>2118</v>
      </c>
      <c r="K3833" s="22" t="s">
        <v>26</v>
      </c>
      <c r="L3833">
        <v>1</v>
      </c>
    </row>
    <row r="3834" spans="10:15" x14ac:dyDescent="0.25">
      <c r="J3834" t="s">
        <v>2118</v>
      </c>
      <c r="K3834" s="22" t="s">
        <v>30</v>
      </c>
      <c r="L3834">
        <v>3</v>
      </c>
      <c r="O3834" s="30"/>
    </row>
    <row r="3835" spans="10:15" x14ac:dyDescent="0.25">
      <c r="J3835" t="s">
        <v>2118</v>
      </c>
      <c r="K3835" s="22" t="s">
        <v>35</v>
      </c>
      <c r="L3835">
        <v>4</v>
      </c>
      <c r="O3835" s="30"/>
    </row>
    <row r="3836" spans="10:15" x14ac:dyDescent="0.25">
      <c r="J3836" t="s">
        <v>2118</v>
      </c>
      <c r="K3836" s="22" t="s">
        <v>31</v>
      </c>
      <c r="L3836">
        <v>3</v>
      </c>
      <c r="O3836" s="30"/>
    </row>
    <row r="3837" spans="10:15" x14ac:dyDescent="0.25">
      <c r="J3837" t="s">
        <v>960</v>
      </c>
      <c r="K3837" s="22" t="s">
        <v>26</v>
      </c>
      <c r="L3837">
        <v>1</v>
      </c>
      <c r="M3837">
        <v>1</v>
      </c>
    </row>
    <row r="3838" spans="10:15" x14ac:dyDescent="0.25">
      <c r="J3838" t="s">
        <v>747</v>
      </c>
      <c r="K3838" s="22" t="s">
        <v>30</v>
      </c>
      <c r="L3838">
        <v>3</v>
      </c>
      <c r="M3838">
        <v>3</v>
      </c>
      <c r="O3838" s="31"/>
    </row>
    <row r="3839" spans="10:15" x14ac:dyDescent="0.25">
      <c r="J3839" t="s">
        <v>1452</v>
      </c>
      <c r="K3839" s="22" t="s">
        <v>30</v>
      </c>
      <c r="L3839">
        <v>2</v>
      </c>
      <c r="M3839">
        <v>2</v>
      </c>
    </row>
    <row r="3840" spans="10:15" x14ac:dyDescent="0.25">
      <c r="J3840" t="s">
        <v>2658</v>
      </c>
      <c r="K3840" s="22" t="s">
        <v>35</v>
      </c>
      <c r="L3840">
        <v>3</v>
      </c>
      <c r="M3840">
        <v>1</v>
      </c>
      <c r="O3840" s="30"/>
    </row>
    <row r="3841" spans="10:15" x14ac:dyDescent="0.25">
      <c r="J3841" t="s">
        <v>2658</v>
      </c>
      <c r="K3841" s="22" t="s">
        <v>31</v>
      </c>
      <c r="L3841">
        <v>1</v>
      </c>
      <c r="O3841" s="30"/>
    </row>
    <row r="3842" spans="10:15" x14ac:dyDescent="0.25">
      <c r="J3842" t="s">
        <v>2061</v>
      </c>
      <c r="K3842" s="22" t="s">
        <v>26</v>
      </c>
      <c r="L3842">
        <v>2</v>
      </c>
      <c r="O3842" s="30"/>
    </row>
    <row r="3843" spans="10:15" x14ac:dyDescent="0.25">
      <c r="J3843" t="s">
        <v>2061</v>
      </c>
      <c r="K3843" s="22" t="s">
        <v>35</v>
      </c>
      <c r="L3843">
        <v>1</v>
      </c>
      <c r="M3843">
        <v>1</v>
      </c>
      <c r="O3843" s="31"/>
    </row>
    <row r="3844" spans="10:15" x14ac:dyDescent="0.25">
      <c r="J3844" t="s">
        <v>2004</v>
      </c>
      <c r="K3844" s="22" t="s">
        <v>26</v>
      </c>
      <c r="L3844">
        <v>1</v>
      </c>
    </row>
    <row r="3845" spans="10:15" x14ac:dyDescent="0.25">
      <c r="J3845" t="s">
        <v>2004</v>
      </c>
      <c r="K3845" s="22" t="s">
        <v>30</v>
      </c>
      <c r="L3845">
        <v>2</v>
      </c>
      <c r="M3845">
        <v>2</v>
      </c>
      <c r="O3845" s="31"/>
    </row>
    <row r="3846" spans="10:15" x14ac:dyDescent="0.25">
      <c r="J3846" t="s">
        <v>2004</v>
      </c>
      <c r="K3846" s="22" t="s">
        <v>22</v>
      </c>
      <c r="L3846">
        <v>1</v>
      </c>
    </row>
    <row r="3847" spans="10:15" x14ac:dyDescent="0.25">
      <c r="J3847" t="s">
        <v>2506</v>
      </c>
      <c r="K3847" s="22" t="s">
        <v>22</v>
      </c>
      <c r="L3847">
        <v>3</v>
      </c>
      <c r="M3847">
        <v>3</v>
      </c>
      <c r="O3847" s="31"/>
    </row>
    <row r="3848" spans="10:15" x14ac:dyDescent="0.25">
      <c r="J3848" t="s">
        <v>624</v>
      </c>
      <c r="K3848" s="22" t="s">
        <v>26</v>
      </c>
      <c r="L3848">
        <v>1</v>
      </c>
    </row>
    <row r="3849" spans="10:15" x14ac:dyDescent="0.25">
      <c r="J3849" t="s">
        <v>624</v>
      </c>
      <c r="K3849" s="22" t="s">
        <v>31</v>
      </c>
      <c r="L3849">
        <v>2</v>
      </c>
      <c r="M3849">
        <v>2</v>
      </c>
    </row>
    <row r="3850" spans="10:15" x14ac:dyDescent="0.25">
      <c r="J3850" t="s">
        <v>563</v>
      </c>
      <c r="K3850" s="22" t="s">
        <v>30</v>
      </c>
      <c r="L3850">
        <v>5</v>
      </c>
      <c r="M3850">
        <v>5</v>
      </c>
      <c r="O3850" s="31"/>
    </row>
    <row r="3851" spans="10:15" x14ac:dyDescent="0.25">
      <c r="J3851" t="s">
        <v>1254</v>
      </c>
      <c r="K3851" s="22" t="s">
        <v>28</v>
      </c>
      <c r="L3851">
        <v>4</v>
      </c>
      <c r="M3851">
        <v>4</v>
      </c>
      <c r="O3851" s="31"/>
    </row>
    <row r="3852" spans="10:15" x14ac:dyDescent="0.25">
      <c r="J3852" t="s">
        <v>2985</v>
      </c>
      <c r="K3852" s="22" t="s">
        <v>26</v>
      </c>
      <c r="L3852">
        <v>1</v>
      </c>
      <c r="M3852">
        <v>1</v>
      </c>
    </row>
    <row r="3853" spans="10:15" x14ac:dyDescent="0.25">
      <c r="J3853" t="s">
        <v>1344</v>
      </c>
      <c r="K3853" s="22" t="s">
        <v>29</v>
      </c>
      <c r="L3853">
        <v>2</v>
      </c>
      <c r="M3853">
        <v>2</v>
      </c>
      <c r="O3853" s="31"/>
    </row>
    <row r="3854" spans="10:15" x14ac:dyDescent="0.25">
      <c r="J3854" t="s">
        <v>2312</v>
      </c>
      <c r="K3854" s="22" t="s">
        <v>26</v>
      </c>
      <c r="L3854">
        <v>2</v>
      </c>
      <c r="O3854" s="30"/>
    </row>
    <row r="3855" spans="10:15" x14ac:dyDescent="0.25">
      <c r="J3855" t="s">
        <v>2312</v>
      </c>
      <c r="K3855" s="22" t="s">
        <v>29</v>
      </c>
      <c r="L3855">
        <v>1</v>
      </c>
      <c r="O3855" s="30"/>
    </row>
    <row r="3856" spans="10:15" x14ac:dyDescent="0.25">
      <c r="J3856" t="s">
        <v>2312</v>
      </c>
      <c r="K3856" s="22" t="s">
        <v>28</v>
      </c>
      <c r="L3856">
        <v>1</v>
      </c>
      <c r="O3856" s="30"/>
    </row>
    <row r="3857" spans="10:15" x14ac:dyDescent="0.25">
      <c r="J3857" t="s">
        <v>2312</v>
      </c>
      <c r="K3857" s="22" t="s">
        <v>22</v>
      </c>
      <c r="L3857">
        <v>1</v>
      </c>
    </row>
    <row r="3858" spans="10:15" x14ac:dyDescent="0.25">
      <c r="J3858" t="s">
        <v>2390</v>
      </c>
      <c r="K3858" s="22" t="s">
        <v>26</v>
      </c>
      <c r="L3858">
        <v>1</v>
      </c>
    </row>
    <row r="3859" spans="10:15" x14ac:dyDescent="0.25">
      <c r="J3859" t="s">
        <v>1801</v>
      </c>
      <c r="K3859" s="22" t="s">
        <v>26</v>
      </c>
      <c r="L3859">
        <v>1</v>
      </c>
    </row>
    <row r="3860" spans="10:15" x14ac:dyDescent="0.25">
      <c r="J3860" t="s">
        <v>1801</v>
      </c>
      <c r="K3860" s="22" t="s">
        <v>35</v>
      </c>
      <c r="L3860">
        <v>1</v>
      </c>
      <c r="M3860">
        <v>1</v>
      </c>
      <c r="O3860" s="31"/>
    </row>
    <row r="3861" spans="10:15" x14ac:dyDescent="0.25">
      <c r="J3861" t="s">
        <v>586</v>
      </c>
      <c r="K3861" s="22" t="s">
        <v>29</v>
      </c>
      <c r="L3861">
        <v>4</v>
      </c>
      <c r="M3861">
        <v>4</v>
      </c>
      <c r="O3861" s="31"/>
    </row>
    <row r="3862" spans="10:15" x14ac:dyDescent="0.25">
      <c r="J3862" t="s">
        <v>928</v>
      </c>
      <c r="K3862" s="22" t="s">
        <v>26</v>
      </c>
      <c r="L3862">
        <v>2</v>
      </c>
      <c r="O3862" s="30"/>
    </row>
    <row r="3863" spans="10:15" x14ac:dyDescent="0.25">
      <c r="J3863" t="s">
        <v>928</v>
      </c>
      <c r="K3863" s="22" t="s">
        <v>35</v>
      </c>
      <c r="L3863">
        <v>12</v>
      </c>
      <c r="M3863">
        <v>12</v>
      </c>
      <c r="O3863" s="31"/>
    </row>
    <row r="3864" spans="10:15" x14ac:dyDescent="0.25">
      <c r="J3864" t="s">
        <v>1617</v>
      </c>
      <c r="K3864" s="22" t="s">
        <v>26</v>
      </c>
      <c r="L3864">
        <v>1</v>
      </c>
    </row>
    <row r="3865" spans="10:15" x14ac:dyDescent="0.25">
      <c r="J3865" t="s">
        <v>1617</v>
      </c>
      <c r="K3865" s="22" t="s">
        <v>31</v>
      </c>
      <c r="L3865">
        <v>1</v>
      </c>
      <c r="M3865">
        <v>1</v>
      </c>
    </row>
    <row r="3866" spans="10:15" x14ac:dyDescent="0.25">
      <c r="J3866" t="s">
        <v>3301</v>
      </c>
      <c r="K3866" s="22" t="s">
        <v>29</v>
      </c>
      <c r="L3866">
        <v>1</v>
      </c>
      <c r="M3866">
        <v>1</v>
      </c>
      <c r="O3866" s="31"/>
    </row>
    <row r="3867" spans="10:15" x14ac:dyDescent="0.25">
      <c r="J3867" t="s">
        <v>1215</v>
      </c>
      <c r="K3867" s="22" t="s">
        <v>26</v>
      </c>
      <c r="L3867">
        <v>3</v>
      </c>
      <c r="O3867" s="30"/>
    </row>
    <row r="3868" spans="10:15" x14ac:dyDescent="0.25">
      <c r="J3868" t="s">
        <v>1215</v>
      </c>
      <c r="K3868" s="22" t="s">
        <v>29</v>
      </c>
      <c r="L3868">
        <v>1</v>
      </c>
    </row>
    <row r="3869" spans="10:15" x14ac:dyDescent="0.25">
      <c r="J3869" t="s">
        <v>1215</v>
      </c>
      <c r="K3869" s="22" t="s">
        <v>31</v>
      </c>
      <c r="L3869">
        <v>1</v>
      </c>
      <c r="O3869" s="30"/>
    </row>
    <row r="3870" spans="10:15" x14ac:dyDescent="0.25">
      <c r="J3870" t="s">
        <v>74</v>
      </c>
      <c r="K3870" s="22" t="s">
        <v>26</v>
      </c>
      <c r="L3870">
        <v>1</v>
      </c>
    </row>
    <row r="3871" spans="10:15" x14ac:dyDescent="0.25">
      <c r="J3871" t="s">
        <v>74</v>
      </c>
      <c r="K3871" s="22" t="s">
        <v>29</v>
      </c>
      <c r="L3871">
        <v>2</v>
      </c>
      <c r="M3871">
        <v>2</v>
      </c>
      <c r="O3871" s="31"/>
    </row>
    <row r="3872" spans="10:15" x14ac:dyDescent="0.25">
      <c r="J3872" t="s">
        <v>792</v>
      </c>
      <c r="K3872" s="22" t="s">
        <v>26</v>
      </c>
      <c r="L3872">
        <v>1</v>
      </c>
    </row>
    <row r="3873" spans="10:15" x14ac:dyDescent="0.25">
      <c r="J3873" t="s">
        <v>792</v>
      </c>
      <c r="K3873" s="22" t="s">
        <v>28</v>
      </c>
      <c r="L3873">
        <v>2</v>
      </c>
      <c r="M3873">
        <v>2</v>
      </c>
      <c r="O3873" s="31"/>
    </row>
    <row r="3874" spans="10:15" x14ac:dyDescent="0.25">
      <c r="J3874" t="s">
        <v>2757</v>
      </c>
      <c r="K3874" s="22" t="s">
        <v>26</v>
      </c>
      <c r="L3874">
        <v>1</v>
      </c>
    </row>
    <row r="3875" spans="10:15" x14ac:dyDescent="0.25">
      <c r="J3875" t="s">
        <v>2757</v>
      </c>
      <c r="K3875" s="22" t="s">
        <v>28</v>
      </c>
      <c r="L3875">
        <v>1</v>
      </c>
      <c r="M3875">
        <v>1</v>
      </c>
      <c r="O3875" s="31"/>
    </row>
    <row r="3876" spans="10:15" x14ac:dyDescent="0.25">
      <c r="J3876" t="s">
        <v>2861</v>
      </c>
      <c r="K3876" s="22" t="s">
        <v>26</v>
      </c>
      <c r="L3876">
        <v>1</v>
      </c>
    </row>
    <row r="3877" spans="10:15" x14ac:dyDescent="0.25">
      <c r="J3877" t="s">
        <v>2861</v>
      </c>
      <c r="K3877" s="22" t="s">
        <v>31</v>
      </c>
      <c r="L3877">
        <v>1</v>
      </c>
      <c r="M3877">
        <v>1</v>
      </c>
      <c r="O3877" s="31"/>
    </row>
    <row r="3878" spans="10:15" x14ac:dyDescent="0.25">
      <c r="J3878" t="s">
        <v>1645</v>
      </c>
      <c r="K3878" s="22" t="s">
        <v>35</v>
      </c>
      <c r="L3878">
        <v>4</v>
      </c>
      <c r="M3878">
        <v>4</v>
      </c>
      <c r="O3878" s="31"/>
    </row>
    <row r="3879" spans="10:15" x14ac:dyDescent="0.25">
      <c r="J3879" t="s">
        <v>446</v>
      </c>
      <c r="K3879" s="22" t="s">
        <v>28</v>
      </c>
      <c r="L3879">
        <v>1</v>
      </c>
      <c r="M3879">
        <v>1</v>
      </c>
    </row>
    <row r="3880" spans="10:15" x14ac:dyDescent="0.25">
      <c r="J3880" t="s">
        <v>446</v>
      </c>
      <c r="K3880" s="22" t="s">
        <v>35</v>
      </c>
      <c r="L3880">
        <v>2</v>
      </c>
      <c r="M3880">
        <v>2</v>
      </c>
    </row>
    <row r="3881" spans="10:15" x14ac:dyDescent="0.25">
      <c r="J3881" t="s">
        <v>446</v>
      </c>
      <c r="K3881" s="22" t="s">
        <v>22</v>
      </c>
      <c r="L3881">
        <v>4</v>
      </c>
      <c r="M3881">
        <v>2</v>
      </c>
    </row>
    <row r="3882" spans="10:15" x14ac:dyDescent="0.25">
      <c r="J3882" t="s">
        <v>2388</v>
      </c>
      <c r="K3882" s="22" t="s">
        <v>28</v>
      </c>
      <c r="L3882">
        <v>1</v>
      </c>
    </row>
    <row r="3883" spans="10:15" x14ac:dyDescent="0.25">
      <c r="J3883" t="s">
        <v>1317</v>
      </c>
      <c r="K3883" s="22" t="s">
        <v>35</v>
      </c>
      <c r="L3883">
        <v>4</v>
      </c>
      <c r="M3883">
        <v>4</v>
      </c>
      <c r="O3883" s="31"/>
    </row>
    <row r="3884" spans="10:15" x14ac:dyDescent="0.25">
      <c r="J3884" t="s">
        <v>3091</v>
      </c>
      <c r="K3884" s="22" t="s">
        <v>35</v>
      </c>
      <c r="L3884">
        <v>1</v>
      </c>
      <c r="M3884">
        <v>1</v>
      </c>
      <c r="O3884" s="31"/>
    </row>
    <row r="3885" spans="10:15" x14ac:dyDescent="0.25">
      <c r="J3885" t="s">
        <v>704</v>
      </c>
      <c r="K3885" s="22" t="s">
        <v>26</v>
      </c>
      <c r="L3885">
        <v>4</v>
      </c>
      <c r="M3885">
        <v>3</v>
      </c>
    </row>
    <row r="3886" spans="10:15" x14ac:dyDescent="0.25">
      <c r="J3886" t="s">
        <v>704</v>
      </c>
      <c r="K3886" s="22" t="s">
        <v>35</v>
      </c>
      <c r="L3886">
        <v>1</v>
      </c>
      <c r="M3886">
        <v>1</v>
      </c>
    </row>
    <row r="3887" spans="10:15" x14ac:dyDescent="0.25">
      <c r="J3887" t="s">
        <v>530</v>
      </c>
      <c r="K3887" s="22" t="s">
        <v>35</v>
      </c>
      <c r="L3887">
        <v>1</v>
      </c>
      <c r="M3887">
        <v>1</v>
      </c>
    </row>
    <row r="3888" spans="10:15" x14ac:dyDescent="0.25">
      <c r="J3888" t="s">
        <v>2654</v>
      </c>
      <c r="K3888" s="22" t="s">
        <v>35</v>
      </c>
      <c r="L3888">
        <v>4</v>
      </c>
      <c r="M3888">
        <v>4</v>
      </c>
      <c r="O3888" s="31"/>
    </row>
    <row r="3889" spans="10:15" x14ac:dyDescent="0.25">
      <c r="J3889" t="s">
        <v>2654</v>
      </c>
      <c r="K3889" s="22" t="s">
        <v>31</v>
      </c>
      <c r="L3889">
        <v>6</v>
      </c>
      <c r="O3889" s="30"/>
    </row>
    <row r="3890" spans="10:15" x14ac:dyDescent="0.25">
      <c r="J3890" t="s">
        <v>3490</v>
      </c>
      <c r="K3890" s="22" t="s">
        <v>35</v>
      </c>
      <c r="L3890">
        <v>1</v>
      </c>
      <c r="M3890">
        <v>1</v>
      </c>
      <c r="O3890" s="31"/>
    </row>
    <row r="3891" spans="10:15" x14ac:dyDescent="0.25">
      <c r="J3891" t="s">
        <v>2232</v>
      </c>
      <c r="K3891" s="22" t="s">
        <v>35</v>
      </c>
      <c r="L3891">
        <v>1</v>
      </c>
    </row>
    <row r="3892" spans="10:15" x14ac:dyDescent="0.25">
      <c r="J3892" t="s">
        <v>2232</v>
      </c>
      <c r="K3892" s="22" t="s">
        <v>22</v>
      </c>
      <c r="L3892">
        <v>1</v>
      </c>
    </row>
    <row r="3893" spans="10:15" x14ac:dyDescent="0.25">
      <c r="J3893" t="s">
        <v>2232</v>
      </c>
      <c r="K3893" s="22" t="s">
        <v>31</v>
      </c>
      <c r="L3893">
        <v>1</v>
      </c>
    </row>
    <row r="3894" spans="10:15" x14ac:dyDescent="0.25">
      <c r="J3894" t="s">
        <v>2883</v>
      </c>
      <c r="K3894" s="22" t="s">
        <v>28</v>
      </c>
      <c r="L3894">
        <v>2</v>
      </c>
      <c r="M3894">
        <v>1</v>
      </c>
      <c r="O3894" s="30"/>
    </row>
    <row r="3895" spans="10:15" x14ac:dyDescent="0.25">
      <c r="J3895" t="s">
        <v>3246</v>
      </c>
      <c r="K3895" s="22" t="s">
        <v>29</v>
      </c>
      <c r="L3895">
        <v>2</v>
      </c>
      <c r="M3895">
        <v>2</v>
      </c>
      <c r="O3895" s="31"/>
    </row>
    <row r="3896" spans="10:15" x14ac:dyDescent="0.25">
      <c r="J3896" t="s">
        <v>3369</v>
      </c>
      <c r="K3896" s="22" t="s">
        <v>29</v>
      </c>
      <c r="L3896">
        <v>1</v>
      </c>
      <c r="M3896">
        <v>1</v>
      </c>
      <c r="O3896" s="31"/>
    </row>
    <row r="3897" spans="10:15" x14ac:dyDescent="0.25">
      <c r="J3897" t="s">
        <v>1855</v>
      </c>
      <c r="K3897" s="22" t="s">
        <v>29</v>
      </c>
      <c r="L3897">
        <v>1</v>
      </c>
    </row>
    <row r="3898" spans="10:15" x14ac:dyDescent="0.25">
      <c r="J3898" t="s">
        <v>1855</v>
      </c>
      <c r="K3898" s="22" t="s">
        <v>22</v>
      </c>
      <c r="L3898">
        <v>1</v>
      </c>
      <c r="O3898" s="30"/>
    </row>
    <row r="3899" spans="10:15" x14ac:dyDescent="0.25">
      <c r="J3899" t="s">
        <v>2750</v>
      </c>
      <c r="K3899" s="22" t="s">
        <v>26</v>
      </c>
      <c r="L3899">
        <v>1</v>
      </c>
    </row>
    <row r="3900" spans="10:15" x14ac:dyDescent="0.25">
      <c r="J3900" t="s">
        <v>2750</v>
      </c>
      <c r="K3900" s="22" t="s">
        <v>29</v>
      </c>
      <c r="L3900">
        <v>1</v>
      </c>
      <c r="O3900" s="30"/>
    </row>
    <row r="3901" spans="10:15" x14ac:dyDescent="0.25">
      <c r="J3901" t="s">
        <v>2246</v>
      </c>
      <c r="K3901" s="22" t="s">
        <v>29</v>
      </c>
      <c r="L3901">
        <v>2</v>
      </c>
      <c r="M3901">
        <v>2</v>
      </c>
      <c r="O3901" s="31"/>
    </row>
    <row r="3902" spans="10:15" x14ac:dyDescent="0.25">
      <c r="J3902" t="s">
        <v>2246</v>
      </c>
      <c r="K3902" s="22" t="s">
        <v>31</v>
      </c>
      <c r="L3902">
        <v>1</v>
      </c>
    </row>
    <row r="3903" spans="10:15" x14ac:dyDescent="0.25">
      <c r="J3903" t="s">
        <v>1838</v>
      </c>
      <c r="K3903" s="22" t="s">
        <v>26</v>
      </c>
      <c r="L3903">
        <v>1</v>
      </c>
      <c r="O3903" s="30"/>
    </row>
    <row r="3904" spans="10:15" x14ac:dyDescent="0.25">
      <c r="J3904" t="s">
        <v>1838</v>
      </c>
      <c r="K3904" s="22" t="s">
        <v>28</v>
      </c>
      <c r="L3904">
        <v>2</v>
      </c>
      <c r="M3904">
        <v>1</v>
      </c>
      <c r="O3904" s="30"/>
    </row>
    <row r="3905" spans="10:15" x14ac:dyDescent="0.25">
      <c r="J3905" t="s">
        <v>1838</v>
      </c>
      <c r="K3905" s="22" t="s">
        <v>22</v>
      </c>
      <c r="L3905">
        <v>1</v>
      </c>
    </row>
    <row r="3906" spans="10:15" x14ac:dyDescent="0.25">
      <c r="J3906" t="s">
        <v>2327</v>
      </c>
      <c r="K3906" s="22" t="s">
        <v>26</v>
      </c>
      <c r="L3906">
        <v>1</v>
      </c>
    </row>
    <row r="3907" spans="10:15" x14ac:dyDescent="0.25">
      <c r="J3907" t="s">
        <v>2327</v>
      </c>
      <c r="K3907" s="22" t="s">
        <v>29</v>
      </c>
      <c r="L3907">
        <v>1</v>
      </c>
      <c r="M3907">
        <v>1</v>
      </c>
      <c r="O3907" s="31"/>
    </row>
    <row r="3908" spans="10:15" x14ac:dyDescent="0.25">
      <c r="J3908" t="s">
        <v>2327</v>
      </c>
      <c r="K3908" s="22" t="s">
        <v>28</v>
      </c>
      <c r="L3908">
        <v>1</v>
      </c>
    </row>
    <row r="3909" spans="10:15" x14ac:dyDescent="0.25">
      <c r="J3909" t="s">
        <v>3155</v>
      </c>
      <c r="K3909" s="22" t="s">
        <v>29</v>
      </c>
      <c r="L3909">
        <v>1</v>
      </c>
      <c r="M3909">
        <v>1</v>
      </c>
      <c r="O3909" s="31"/>
    </row>
    <row r="3910" spans="10:15" x14ac:dyDescent="0.25">
      <c r="J3910" t="s">
        <v>123</v>
      </c>
      <c r="K3910" s="22" t="s">
        <v>26</v>
      </c>
      <c r="L3910">
        <v>2</v>
      </c>
    </row>
    <row r="3911" spans="10:15" x14ac:dyDescent="0.25">
      <c r="J3911" t="s">
        <v>123</v>
      </c>
      <c r="K3911" s="22" t="s">
        <v>35</v>
      </c>
      <c r="L3911">
        <v>1</v>
      </c>
      <c r="M3911">
        <v>1</v>
      </c>
    </row>
    <row r="3912" spans="10:15" x14ac:dyDescent="0.25">
      <c r="J3912" t="s">
        <v>1738</v>
      </c>
      <c r="K3912" s="22" t="s">
        <v>31</v>
      </c>
      <c r="L3912">
        <v>1</v>
      </c>
    </row>
    <row r="3913" spans="10:15" x14ac:dyDescent="0.25">
      <c r="J3913" t="s">
        <v>1590</v>
      </c>
      <c r="K3913" s="22" t="s">
        <v>31</v>
      </c>
      <c r="L3913">
        <v>1</v>
      </c>
      <c r="M3913">
        <v>1</v>
      </c>
    </row>
    <row r="3914" spans="10:15" x14ac:dyDescent="0.25">
      <c r="J3914" t="s">
        <v>2619</v>
      </c>
      <c r="K3914" s="22" t="s">
        <v>26</v>
      </c>
      <c r="L3914">
        <v>1</v>
      </c>
    </row>
    <row r="3915" spans="10:15" x14ac:dyDescent="0.25">
      <c r="J3915" t="s">
        <v>1325</v>
      </c>
      <c r="K3915" s="22" t="s">
        <v>26</v>
      </c>
      <c r="L3915">
        <v>1</v>
      </c>
    </row>
    <row r="3916" spans="10:15" x14ac:dyDescent="0.25">
      <c r="J3916" t="s">
        <v>1325</v>
      </c>
      <c r="K3916" s="22" t="s">
        <v>29</v>
      </c>
      <c r="L3916">
        <v>1</v>
      </c>
      <c r="M3916">
        <v>1</v>
      </c>
    </row>
    <row r="3917" spans="10:15" x14ac:dyDescent="0.25">
      <c r="J3917" t="s">
        <v>3050</v>
      </c>
      <c r="K3917" s="22" t="s">
        <v>29</v>
      </c>
      <c r="L3917">
        <v>1</v>
      </c>
      <c r="M3917">
        <v>1</v>
      </c>
    </row>
    <row r="3918" spans="10:15" x14ac:dyDescent="0.25">
      <c r="J3918" t="s">
        <v>2329</v>
      </c>
      <c r="K3918" s="22" t="s">
        <v>26</v>
      </c>
      <c r="L3918">
        <v>1</v>
      </c>
    </row>
    <row r="3919" spans="10:15" x14ac:dyDescent="0.25">
      <c r="J3919" t="s">
        <v>1769</v>
      </c>
      <c r="K3919" s="22" t="s">
        <v>26</v>
      </c>
      <c r="L3919">
        <v>2</v>
      </c>
      <c r="O3919" s="30"/>
    </row>
    <row r="3920" spans="10:15" x14ac:dyDescent="0.25">
      <c r="J3920" t="s">
        <v>1769</v>
      </c>
      <c r="K3920" s="22" t="s">
        <v>29</v>
      </c>
      <c r="L3920">
        <v>2</v>
      </c>
      <c r="M3920">
        <v>2</v>
      </c>
    </row>
    <row r="3921" spans="10:15" x14ac:dyDescent="0.25">
      <c r="J3921" t="s">
        <v>2366</v>
      </c>
      <c r="K3921" s="22" t="s">
        <v>29</v>
      </c>
      <c r="L3921">
        <v>2</v>
      </c>
      <c r="M3921">
        <v>2</v>
      </c>
      <c r="O3921" s="31"/>
    </row>
    <row r="3922" spans="10:15" x14ac:dyDescent="0.25">
      <c r="J3922" t="s">
        <v>2366</v>
      </c>
      <c r="K3922" s="22" t="s">
        <v>22</v>
      </c>
      <c r="L3922">
        <v>1</v>
      </c>
    </row>
    <row r="3923" spans="10:15" x14ac:dyDescent="0.25">
      <c r="J3923" t="s">
        <v>2315</v>
      </c>
      <c r="K3923" s="22" t="s">
        <v>29</v>
      </c>
      <c r="L3923">
        <v>1</v>
      </c>
    </row>
    <row r="3924" spans="10:15" x14ac:dyDescent="0.25">
      <c r="J3924" t="s">
        <v>2315</v>
      </c>
      <c r="K3924" s="22" t="s">
        <v>31</v>
      </c>
      <c r="L3924">
        <v>1</v>
      </c>
    </row>
    <row r="3925" spans="10:15" x14ac:dyDescent="0.25">
      <c r="J3925" t="s">
        <v>667</v>
      </c>
      <c r="K3925" s="22" t="s">
        <v>29</v>
      </c>
      <c r="L3925">
        <v>2</v>
      </c>
      <c r="M3925">
        <v>2</v>
      </c>
      <c r="O3925" s="31"/>
    </row>
    <row r="3926" spans="10:15" x14ac:dyDescent="0.25">
      <c r="J3926" t="s">
        <v>2624</v>
      </c>
      <c r="K3926" s="22" t="s">
        <v>26</v>
      </c>
      <c r="L3926">
        <v>1</v>
      </c>
    </row>
    <row r="3927" spans="10:15" x14ac:dyDescent="0.25">
      <c r="J3927" t="s">
        <v>2624</v>
      </c>
      <c r="K3927" s="22" t="s">
        <v>29</v>
      </c>
      <c r="L3927">
        <v>1</v>
      </c>
    </row>
    <row r="3928" spans="10:15" x14ac:dyDescent="0.25">
      <c r="J3928" t="s">
        <v>2624</v>
      </c>
      <c r="K3928" s="22" t="s">
        <v>31</v>
      </c>
      <c r="L3928">
        <v>1</v>
      </c>
      <c r="M3928">
        <v>1</v>
      </c>
    </row>
    <row r="3929" spans="10:15" x14ac:dyDescent="0.25">
      <c r="J3929" t="s">
        <v>3178</v>
      </c>
      <c r="K3929" s="22" t="s">
        <v>26</v>
      </c>
      <c r="L3929">
        <v>1</v>
      </c>
      <c r="O3929" s="30"/>
    </row>
    <row r="3930" spans="10:15" x14ac:dyDescent="0.25">
      <c r="J3930" t="s">
        <v>2756</v>
      </c>
      <c r="K3930" s="22" t="s">
        <v>26</v>
      </c>
      <c r="L3930">
        <v>1</v>
      </c>
    </row>
    <row r="3931" spans="10:15" x14ac:dyDescent="0.25">
      <c r="J3931" t="s">
        <v>2163</v>
      </c>
      <c r="K3931" s="22" t="s">
        <v>29</v>
      </c>
      <c r="L3931">
        <v>4</v>
      </c>
      <c r="M3931">
        <v>4</v>
      </c>
      <c r="O3931" s="31"/>
    </row>
    <row r="3932" spans="10:15" x14ac:dyDescent="0.25">
      <c r="J3932" t="s">
        <v>1136</v>
      </c>
      <c r="K3932" s="22" t="s">
        <v>28</v>
      </c>
      <c r="L3932">
        <v>3</v>
      </c>
      <c r="M3932">
        <v>3</v>
      </c>
    </row>
    <row r="3933" spans="10:15" x14ac:dyDescent="0.25">
      <c r="J3933" t="s">
        <v>2661</v>
      </c>
      <c r="K3933" s="22" t="s">
        <v>26</v>
      </c>
      <c r="L3933">
        <v>2</v>
      </c>
      <c r="O3933" s="30"/>
    </row>
    <row r="3934" spans="10:15" x14ac:dyDescent="0.25">
      <c r="J3934" t="s">
        <v>2661</v>
      </c>
      <c r="K3934" s="22" t="s">
        <v>28</v>
      </c>
      <c r="L3934">
        <v>1</v>
      </c>
      <c r="O3934" s="30"/>
    </row>
    <row r="3935" spans="10:15" x14ac:dyDescent="0.25">
      <c r="J3935" t="s">
        <v>2661</v>
      </c>
      <c r="K3935" s="22" t="s">
        <v>35</v>
      </c>
      <c r="L3935">
        <v>2</v>
      </c>
      <c r="O3935" s="30"/>
    </row>
    <row r="3936" spans="10:15" x14ac:dyDescent="0.25">
      <c r="J3936" t="s">
        <v>2661</v>
      </c>
      <c r="K3936" s="22" t="s">
        <v>22</v>
      </c>
      <c r="L3936">
        <v>1</v>
      </c>
    </row>
    <row r="3937" spans="10:15" x14ac:dyDescent="0.25">
      <c r="J3937" t="s">
        <v>306</v>
      </c>
      <c r="K3937" s="22" t="s">
        <v>35</v>
      </c>
      <c r="L3937">
        <v>1</v>
      </c>
    </row>
    <row r="3938" spans="10:15" x14ac:dyDescent="0.25">
      <c r="J3938" t="s">
        <v>503</v>
      </c>
      <c r="K3938" s="22" t="s">
        <v>26</v>
      </c>
      <c r="L3938">
        <v>1</v>
      </c>
      <c r="O3938" s="30"/>
    </row>
    <row r="3939" spans="10:15" x14ac:dyDescent="0.25">
      <c r="J3939" t="s">
        <v>503</v>
      </c>
      <c r="K3939" s="22" t="s">
        <v>22</v>
      </c>
      <c r="L3939">
        <v>1</v>
      </c>
    </row>
    <row r="3940" spans="10:15" x14ac:dyDescent="0.25">
      <c r="J3940" t="s">
        <v>2734</v>
      </c>
      <c r="K3940" s="22" t="s">
        <v>28</v>
      </c>
      <c r="L3940">
        <v>1</v>
      </c>
    </row>
    <row r="3941" spans="10:15" x14ac:dyDescent="0.25">
      <c r="J3941" t="s">
        <v>2734</v>
      </c>
      <c r="K3941" s="22" t="s">
        <v>22</v>
      </c>
      <c r="L3941">
        <v>1</v>
      </c>
      <c r="M3941">
        <v>1</v>
      </c>
    </row>
    <row r="3942" spans="10:15" x14ac:dyDescent="0.25">
      <c r="J3942" t="s">
        <v>750</v>
      </c>
      <c r="K3942" s="22" t="s">
        <v>26</v>
      </c>
      <c r="L3942">
        <v>1</v>
      </c>
      <c r="M3942">
        <v>1</v>
      </c>
    </row>
    <row r="3943" spans="10:15" x14ac:dyDescent="0.25">
      <c r="J3943" t="s">
        <v>2729</v>
      </c>
      <c r="K3943" s="22" t="s">
        <v>26</v>
      </c>
      <c r="L3943">
        <v>2</v>
      </c>
      <c r="M3943">
        <v>2</v>
      </c>
    </row>
    <row r="3944" spans="10:15" x14ac:dyDescent="0.25">
      <c r="J3944" t="s">
        <v>2104</v>
      </c>
      <c r="K3944" s="22" t="s">
        <v>22</v>
      </c>
      <c r="L3944">
        <v>1</v>
      </c>
      <c r="M3944">
        <v>1</v>
      </c>
    </row>
    <row r="3945" spans="10:15" x14ac:dyDescent="0.25">
      <c r="J3945" t="s">
        <v>2797</v>
      </c>
      <c r="K3945" s="22" t="s">
        <v>31</v>
      </c>
      <c r="L3945">
        <v>3</v>
      </c>
      <c r="M3945">
        <v>3</v>
      </c>
      <c r="O3945" s="31"/>
    </row>
    <row r="3946" spans="10:15" x14ac:dyDescent="0.25">
      <c r="J3946" t="s">
        <v>2233</v>
      </c>
      <c r="K3946" s="22" t="s">
        <v>26</v>
      </c>
      <c r="L3946">
        <v>1</v>
      </c>
      <c r="O3946" s="30"/>
    </row>
    <row r="3947" spans="10:15" x14ac:dyDescent="0.25">
      <c r="J3947" t="s">
        <v>89</v>
      </c>
      <c r="K3947" s="22" t="s">
        <v>22</v>
      </c>
      <c r="L3947">
        <v>1</v>
      </c>
      <c r="M3947">
        <v>1</v>
      </c>
    </row>
    <row r="3948" spans="10:15" x14ac:dyDescent="0.25">
      <c r="J3948" t="s">
        <v>2736</v>
      </c>
      <c r="K3948" s="22" t="s">
        <v>26</v>
      </c>
      <c r="L3948">
        <v>1</v>
      </c>
    </row>
    <row r="3949" spans="10:15" x14ac:dyDescent="0.25">
      <c r="J3949" t="s">
        <v>291</v>
      </c>
      <c r="K3949" s="22" t="s">
        <v>26</v>
      </c>
      <c r="L3949">
        <v>5</v>
      </c>
      <c r="M3949">
        <v>5</v>
      </c>
      <c r="O3949" s="31"/>
    </row>
    <row r="3950" spans="10:15" x14ac:dyDescent="0.25">
      <c r="J3950" t="s">
        <v>2115</v>
      </c>
      <c r="K3950" s="22" t="s">
        <v>26</v>
      </c>
      <c r="L3950">
        <v>2</v>
      </c>
      <c r="M3950">
        <v>1</v>
      </c>
      <c r="O3950" s="30"/>
    </row>
    <row r="3951" spans="10:15" x14ac:dyDescent="0.25">
      <c r="J3951" t="s">
        <v>2115</v>
      </c>
      <c r="K3951" s="22" t="s">
        <v>35</v>
      </c>
      <c r="L3951">
        <v>1</v>
      </c>
    </row>
    <row r="3952" spans="10:15" x14ac:dyDescent="0.25">
      <c r="J3952" t="s">
        <v>3067</v>
      </c>
      <c r="K3952" s="22" t="s">
        <v>31</v>
      </c>
      <c r="L3952">
        <v>1</v>
      </c>
      <c r="M3952">
        <v>1</v>
      </c>
      <c r="O3952" s="31"/>
    </row>
    <row r="3953" spans="10:15" x14ac:dyDescent="0.25">
      <c r="J3953" t="s">
        <v>2703</v>
      </c>
      <c r="K3953" s="22" t="s">
        <v>31</v>
      </c>
      <c r="L3953">
        <v>2</v>
      </c>
      <c r="M3953">
        <v>2</v>
      </c>
      <c r="O3953" s="31"/>
    </row>
    <row r="3954" spans="10:15" x14ac:dyDescent="0.25">
      <c r="J3954" t="s">
        <v>2011</v>
      </c>
      <c r="K3954" s="22" t="s">
        <v>26</v>
      </c>
      <c r="L3954">
        <v>1</v>
      </c>
    </row>
    <row r="3955" spans="10:15" x14ac:dyDescent="0.25">
      <c r="J3955" t="s">
        <v>2011</v>
      </c>
      <c r="K3955" s="22" t="s">
        <v>31</v>
      </c>
      <c r="L3955">
        <v>3</v>
      </c>
      <c r="M3955">
        <v>3</v>
      </c>
      <c r="O3955" s="31"/>
    </row>
    <row r="3956" spans="10:15" x14ac:dyDescent="0.25">
      <c r="J3956" t="s">
        <v>2739</v>
      </c>
      <c r="K3956" s="22" t="s">
        <v>31</v>
      </c>
      <c r="L3956">
        <v>3</v>
      </c>
      <c r="M3956">
        <v>3</v>
      </c>
      <c r="O3956" s="31"/>
    </row>
    <row r="3957" spans="10:15" x14ac:dyDescent="0.25">
      <c r="J3957" t="s">
        <v>3248</v>
      </c>
      <c r="K3957" s="22" t="s">
        <v>26</v>
      </c>
      <c r="L3957">
        <v>1</v>
      </c>
      <c r="O3957" s="30"/>
    </row>
    <row r="3958" spans="10:15" x14ac:dyDescent="0.25">
      <c r="J3958" t="s">
        <v>1757</v>
      </c>
      <c r="K3958" s="22" t="s">
        <v>26</v>
      </c>
      <c r="L3958">
        <v>1</v>
      </c>
      <c r="O3958" s="30"/>
    </row>
    <row r="3959" spans="10:15" x14ac:dyDescent="0.25">
      <c r="J3959" t="s">
        <v>1757</v>
      </c>
      <c r="K3959" s="22" t="s">
        <v>28</v>
      </c>
      <c r="L3959">
        <v>1</v>
      </c>
    </row>
    <row r="3960" spans="10:15" x14ac:dyDescent="0.25">
      <c r="J3960" t="s">
        <v>1757</v>
      </c>
      <c r="K3960" s="22" t="s">
        <v>35</v>
      </c>
      <c r="L3960">
        <v>1</v>
      </c>
      <c r="M3960">
        <v>1</v>
      </c>
      <c r="O3960" s="31"/>
    </row>
    <row r="3961" spans="10:15" x14ac:dyDescent="0.25">
      <c r="J3961" t="s">
        <v>1757</v>
      </c>
      <c r="K3961" s="22" t="s">
        <v>31</v>
      </c>
      <c r="L3961">
        <v>3</v>
      </c>
      <c r="M3961">
        <v>1</v>
      </c>
      <c r="O3961" s="30"/>
    </row>
    <row r="3962" spans="10:15" x14ac:dyDescent="0.25">
      <c r="J3962" t="s">
        <v>900</v>
      </c>
      <c r="K3962" s="22" t="s">
        <v>26</v>
      </c>
      <c r="L3962">
        <v>4</v>
      </c>
      <c r="O3962" s="30"/>
    </row>
    <row r="3963" spans="10:15" x14ac:dyDescent="0.25">
      <c r="J3963" t="s">
        <v>900</v>
      </c>
      <c r="K3963" s="22" t="s">
        <v>35</v>
      </c>
      <c r="L3963">
        <v>2</v>
      </c>
      <c r="M3963">
        <v>2</v>
      </c>
      <c r="O3963" s="31"/>
    </row>
    <row r="3964" spans="10:15" x14ac:dyDescent="0.25">
      <c r="J3964" t="s">
        <v>1930</v>
      </c>
      <c r="K3964" s="22" t="s">
        <v>31</v>
      </c>
      <c r="L3964">
        <v>2</v>
      </c>
      <c r="M3964">
        <v>1</v>
      </c>
      <c r="O3964" s="30"/>
    </row>
    <row r="3965" spans="10:15" x14ac:dyDescent="0.25">
      <c r="J3965" t="s">
        <v>3106</v>
      </c>
      <c r="K3965" s="22" t="s">
        <v>22</v>
      </c>
      <c r="L3965">
        <v>2</v>
      </c>
      <c r="M3965">
        <v>2</v>
      </c>
      <c r="O3965" s="31"/>
    </row>
    <row r="3966" spans="10:15" x14ac:dyDescent="0.25">
      <c r="J3966" t="s">
        <v>2198</v>
      </c>
      <c r="K3966" s="22" t="s">
        <v>28</v>
      </c>
      <c r="L3966">
        <v>1</v>
      </c>
      <c r="M3966">
        <v>1</v>
      </c>
    </row>
    <row r="3967" spans="10:15" x14ac:dyDescent="0.25">
      <c r="J3967" t="s">
        <v>2248</v>
      </c>
      <c r="K3967" s="22" t="s">
        <v>26</v>
      </c>
      <c r="L3967">
        <v>1</v>
      </c>
    </row>
    <row r="3968" spans="10:15" x14ac:dyDescent="0.25">
      <c r="J3968" t="s">
        <v>2248</v>
      </c>
      <c r="K3968" s="22" t="s">
        <v>28</v>
      </c>
      <c r="L3968">
        <v>2</v>
      </c>
      <c r="O3968" s="30"/>
    </row>
    <row r="3969" spans="10:15" x14ac:dyDescent="0.25">
      <c r="J3969" t="s">
        <v>2665</v>
      </c>
      <c r="K3969" s="22" t="s">
        <v>26</v>
      </c>
      <c r="L3969">
        <v>1</v>
      </c>
    </row>
    <row r="3970" spans="10:15" x14ac:dyDescent="0.25">
      <c r="J3970" t="s">
        <v>2665</v>
      </c>
      <c r="K3970" s="22" t="s">
        <v>35</v>
      </c>
      <c r="L3970">
        <v>1</v>
      </c>
    </row>
    <row r="3971" spans="10:15" x14ac:dyDescent="0.25">
      <c r="J3971" t="s">
        <v>2665</v>
      </c>
      <c r="K3971" s="22" t="s">
        <v>22</v>
      </c>
      <c r="L3971">
        <v>3</v>
      </c>
    </row>
    <row r="3972" spans="10:15" x14ac:dyDescent="0.25">
      <c r="J3972" t="s">
        <v>2665</v>
      </c>
      <c r="K3972" s="22" t="s">
        <v>31</v>
      </c>
      <c r="L3972">
        <v>4</v>
      </c>
      <c r="O3972" s="30"/>
    </row>
    <row r="3973" spans="10:15" x14ac:dyDescent="0.25">
      <c r="J3973" t="s">
        <v>635</v>
      </c>
      <c r="K3973" s="22" t="s">
        <v>26</v>
      </c>
      <c r="L3973">
        <v>2</v>
      </c>
      <c r="O3973" s="30"/>
    </row>
    <row r="3974" spans="10:15" x14ac:dyDescent="0.25">
      <c r="J3974" t="s">
        <v>635</v>
      </c>
      <c r="K3974" s="22" t="s">
        <v>35</v>
      </c>
      <c r="L3974">
        <v>1</v>
      </c>
      <c r="M3974">
        <v>1</v>
      </c>
      <c r="O3974" s="31"/>
    </row>
    <row r="3975" spans="10:15" x14ac:dyDescent="0.25">
      <c r="J3975" t="s">
        <v>3064</v>
      </c>
      <c r="K3975" s="22" t="s">
        <v>26</v>
      </c>
      <c r="L3975">
        <v>1</v>
      </c>
      <c r="O3975" s="30"/>
    </row>
    <row r="3976" spans="10:15" x14ac:dyDescent="0.25">
      <c r="J3976" t="s">
        <v>3064</v>
      </c>
      <c r="K3976" s="22" t="s">
        <v>31</v>
      </c>
      <c r="L3976">
        <v>2</v>
      </c>
      <c r="M3976">
        <v>1</v>
      </c>
      <c r="O3976" s="30"/>
    </row>
    <row r="3977" spans="10:15" x14ac:dyDescent="0.25">
      <c r="J3977" t="s">
        <v>2384</v>
      </c>
      <c r="K3977" s="22" t="s">
        <v>26</v>
      </c>
      <c r="L3977">
        <v>1</v>
      </c>
    </row>
    <row r="3978" spans="10:15" x14ac:dyDescent="0.25">
      <c r="J3978" t="s">
        <v>1740</v>
      </c>
      <c r="K3978" s="22" t="s">
        <v>26</v>
      </c>
      <c r="L3978">
        <v>2</v>
      </c>
    </row>
    <row r="3979" spans="10:15" x14ac:dyDescent="0.25">
      <c r="J3979" t="s">
        <v>1740</v>
      </c>
      <c r="K3979" s="22" t="s">
        <v>35</v>
      </c>
      <c r="L3979">
        <v>2</v>
      </c>
      <c r="O3979" s="30"/>
    </row>
    <row r="3980" spans="10:15" x14ac:dyDescent="0.25">
      <c r="J3980" t="s">
        <v>726</v>
      </c>
      <c r="K3980" s="22" t="s">
        <v>20</v>
      </c>
      <c r="L3980">
        <v>3</v>
      </c>
      <c r="M3980">
        <v>3</v>
      </c>
    </row>
    <row r="3981" spans="10:15" x14ac:dyDescent="0.25">
      <c r="J3981" t="s">
        <v>726</v>
      </c>
      <c r="K3981" s="22" t="s">
        <v>28</v>
      </c>
      <c r="L3981">
        <v>3</v>
      </c>
      <c r="O3981" s="30"/>
    </row>
    <row r="3982" spans="10:15" x14ac:dyDescent="0.25">
      <c r="J3982" t="s">
        <v>1965</v>
      </c>
      <c r="K3982" s="22" t="s">
        <v>29</v>
      </c>
      <c r="L3982">
        <v>4</v>
      </c>
      <c r="O3982" s="30"/>
    </row>
    <row r="3983" spans="10:15" x14ac:dyDescent="0.25">
      <c r="J3983" t="s">
        <v>1965</v>
      </c>
      <c r="K3983" s="22" t="s">
        <v>22</v>
      </c>
      <c r="L3983">
        <v>2</v>
      </c>
      <c r="M3983">
        <v>2</v>
      </c>
      <c r="O3983" s="31"/>
    </row>
    <row r="3984" spans="10:15" x14ac:dyDescent="0.25">
      <c r="J3984" t="s">
        <v>1280</v>
      </c>
      <c r="K3984" s="22" t="s">
        <v>20</v>
      </c>
      <c r="L3984">
        <v>2</v>
      </c>
      <c r="M3984">
        <v>2</v>
      </c>
      <c r="O3984" s="31"/>
    </row>
    <row r="3985" spans="10:15" x14ac:dyDescent="0.25">
      <c r="J3985" t="s">
        <v>1280</v>
      </c>
      <c r="K3985" s="22" t="s">
        <v>30</v>
      </c>
      <c r="L3985">
        <v>2</v>
      </c>
      <c r="O3985" s="30"/>
    </row>
    <row r="3986" spans="10:15" x14ac:dyDescent="0.25">
      <c r="J3986" t="s">
        <v>1280</v>
      </c>
      <c r="K3986" s="22" t="s">
        <v>29</v>
      </c>
      <c r="L3986">
        <v>5</v>
      </c>
      <c r="M3986">
        <v>3</v>
      </c>
      <c r="O3986" s="30"/>
    </row>
    <row r="3987" spans="10:15" x14ac:dyDescent="0.25">
      <c r="J3987" t="s">
        <v>3501</v>
      </c>
      <c r="K3987" s="22" t="s">
        <v>29</v>
      </c>
      <c r="L3987">
        <v>1</v>
      </c>
      <c r="O3987" s="30"/>
    </row>
    <row r="3988" spans="10:15" x14ac:dyDescent="0.25">
      <c r="J3988" t="s">
        <v>881</v>
      </c>
      <c r="K3988" s="22" t="s">
        <v>31</v>
      </c>
      <c r="L3988">
        <v>3</v>
      </c>
      <c r="M3988">
        <v>3</v>
      </c>
      <c r="O3988" s="31"/>
    </row>
    <row r="3989" spans="10:15" x14ac:dyDescent="0.25">
      <c r="J3989" t="s">
        <v>2114</v>
      </c>
      <c r="K3989" s="22" t="s">
        <v>20</v>
      </c>
      <c r="L3989">
        <v>2</v>
      </c>
      <c r="M3989">
        <v>2</v>
      </c>
      <c r="O3989" s="31"/>
    </row>
    <row r="3990" spans="10:15" x14ac:dyDescent="0.25">
      <c r="J3990" t="s">
        <v>2114</v>
      </c>
      <c r="K3990" s="22" t="s">
        <v>30</v>
      </c>
      <c r="L3990">
        <v>1</v>
      </c>
    </row>
    <row r="3991" spans="10:15" x14ac:dyDescent="0.25">
      <c r="J3991" t="s">
        <v>2114</v>
      </c>
      <c r="K3991" s="22" t="s">
        <v>35</v>
      </c>
      <c r="L3991">
        <v>1</v>
      </c>
      <c r="O3991" s="30"/>
    </row>
    <row r="3992" spans="10:15" x14ac:dyDescent="0.25">
      <c r="J3992" t="s">
        <v>1937</v>
      </c>
      <c r="K3992" s="22" t="s">
        <v>20</v>
      </c>
      <c r="L3992">
        <v>6</v>
      </c>
      <c r="M3992">
        <v>6</v>
      </c>
      <c r="O3992" s="31"/>
    </row>
    <row r="3993" spans="10:15" x14ac:dyDescent="0.25">
      <c r="J3993" t="s">
        <v>1979</v>
      </c>
      <c r="K3993" s="22" t="s">
        <v>20</v>
      </c>
      <c r="L3993">
        <v>3</v>
      </c>
      <c r="M3993">
        <v>3</v>
      </c>
      <c r="O3993" s="31"/>
    </row>
    <row r="3994" spans="10:15" x14ac:dyDescent="0.25">
      <c r="J3994" t="s">
        <v>907</v>
      </c>
      <c r="K3994" s="22" t="s">
        <v>20</v>
      </c>
      <c r="L3994">
        <v>4</v>
      </c>
      <c r="M3994">
        <v>4</v>
      </c>
      <c r="O3994" s="31"/>
    </row>
    <row r="3995" spans="10:15" x14ac:dyDescent="0.25">
      <c r="J3995" t="s">
        <v>2990</v>
      </c>
      <c r="K3995" s="22" t="s">
        <v>20</v>
      </c>
      <c r="L3995">
        <v>2</v>
      </c>
      <c r="M3995">
        <v>2</v>
      </c>
      <c r="O3995" s="31"/>
    </row>
    <row r="3996" spans="10:15" x14ac:dyDescent="0.25">
      <c r="J3996" t="s">
        <v>2990</v>
      </c>
      <c r="K3996" s="22" t="s">
        <v>30</v>
      </c>
      <c r="L3996">
        <v>1</v>
      </c>
    </row>
    <row r="3997" spans="10:15" x14ac:dyDescent="0.25">
      <c r="J3997" t="s">
        <v>582</v>
      </c>
      <c r="K3997" s="22" t="s">
        <v>20</v>
      </c>
      <c r="L3997">
        <v>3</v>
      </c>
      <c r="M3997">
        <v>3</v>
      </c>
    </row>
    <row r="3998" spans="10:15" x14ac:dyDescent="0.25">
      <c r="J3998" t="s">
        <v>2478</v>
      </c>
      <c r="K3998" s="22" t="s">
        <v>31</v>
      </c>
      <c r="L3998">
        <v>1</v>
      </c>
      <c r="M3998">
        <v>1</v>
      </c>
    </row>
    <row r="3999" spans="10:15" x14ac:dyDescent="0.25">
      <c r="J3999" t="s">
        <v>2959</v>
      </c>
      <c r="K3999" s="22" t="s">
        <v>20</v>
      </c>
      <c r="L3999">
        <v>3</v>
      </c>
      <c r="M3999">
        <v>3</v>
      </c>
      <c r="O3999" s="31"/>
    </row>
    <row r="4000" spans="10:15" x14ac:dyDescent="0.25">
      <c r="J4000" t="s">
        <v>562</v>
      </c>
      <c r="K4000" s="22" t="s">
        <v>20</v>
      </c>
      <c r="L4000">
        <v>2</v>
      </c>
      <c r="M4000">
        <v>2</v>
      </c>
      <c r="O4000" s="31"/>
    </row>
    <row r="4001" spans="10:15" x14ac:dyDescent="0.25">
      <c r="J4001" t="s">
        <v>562</v>
      </c>
      <c r="K4001" s="22" t="s">
        <v>35</v>
      </c>
      <c r="L4001">
        <v>3</v>
      </c>
      <c r="M4001">
        <v>2</v>
      </c>
      <c r="O4001" s="31"/>
    </row>
    <row r="4002" spans="10:15" x14ac:dyDescent="0.25">
      <c r="J4002" t="s">
        <v>2560</v>
      </c>
      <c r="K4002" s="22" t="s">
        <v>20</v>
      </c>
      <c r="L4002">
        <v>2</v>
      </c>
      <c r="M4002">
        <v>2</v>
      </c>
      <c r="O4002" s="31"/>
    </row>
    <row r="4003" spans="10:15" x14ac:dyDescent="0.25">
      <c r="J4003" t="s">
        <v>2560</v>
      </c>
      <c r="K4003" s="22" t="s">
        <v>30</v>
      </c>
      <c r="L4003">
        <v>1</v>
      </c>
      <c r="O4003" s="30"/>
    </row>
    <row r="4004" spans="10:15" x14ac:dyDescent="0.25">
      <c r="J4004" t="s">
        <v>2560</v>
      </c>
      <c r="K4004" s="22" t="s">
        <v>22</v>
      </c>
      <c r="L4004">
        <v>1</v>
      </c>
    </row>
    <row r="4005" spans="10:15" x14ac:dyDescent="0.25">
      <c r="J4005" t="s">
        <v>1032</v>
      </c>
      <c r="K4005" s="22" t="s">
        <v>20</v>
      </c>
      <c r="L4005">
        <v>2</v>
      </c>
      <c r="M4005">
        <v>2</v>
      </c>
      <c r="O4005" s="31"/>
    </row>
    <row r="4006" spans="10:15" x14ac:dyDescent="0.25">
      <c r="J4006" t="s">
        <v>1032</v>
      </c>
      <c r="K4006" s="22" t="s">
        <v>28</v>
      </c>
      <c r="L4006">
        <v>1</v>
      </c>
    </row>
    <row r="4007" spans="10:15" x14ac:dyDescent="0.25">
      <c r="J4007" t="s">
        <v>1032</v>
      </c>
      <c r="K4007" s="22" t="s">
        <v>22</v>
      </c>
      <c r="L4007">
        <v>1</v>
      </c>
    </row>
    <row r="4008" spans="10:15" x14ac:dyDescent="0.25">
      <c r="J4008" t="s">
        <v>1914</v>
      </c>
      <c r="K4008" s="22" t="s">
        <v>20</v>
      </c>
      <c r="L4008">
        <v>7</v>
      </c>
      <c r="M4008">
        <v>7</v>
      </c>
      <c r="O4008" s="31"/>
    </row>
    <row r="4009" spans="10:15" x14ac:dyDescent="0.25">
      <c r="J4009" t="s">
        <v>1528</v>
      </c>
      <c r="K4009" s="22" t="s">
        <v>20</v>
      </c>
      <c r="L4009">
        <v>4</v>
      </c>
      <c r="M4009">
        <v>4</v>
      </c>
      <c r="O4009" s="31"/>
    </row>
    <row r="4010" spans="10:15" x14ac:dyDescent="0.25">
      <c r="J4010" t="s">
        <v>2498</v>
      </c>
      <c r="K4010" s="22" t="s">
        <v>28</v>
      </c>
      <c r="L4010">
        <v>1</v>
      </c>
    </row>
    <row r="4011" spans="10:15" x14ac:dyDescent="0.25">
      <c r="J4011" t="s">
        <v>1037</v>
      </c>
      <c r="K4011" s="22" t="s">
        <v>20</v>
      </c>
      <c r="L4011">
        <v>3</v>
      </c>
      <c r="M4011">
        <v>3</v>
      </c>
      <c r="O4011" s="31"/>
    </row>
    <row r="4012" spans="10:15" x14ac:dyDescent="0.25">
      <c r="J4012" t="s">
        <v>1637</v>
      </c>
      <c r="K4012" s="22" t="s">
        <v>20</v>
      </c>
      <c r="L4012">
        <v>1</v>
      </c>
      <c r="M4012">
        <v>1</v>
      </c>
    </row>
    <row r="4013" spans="10:15" x14ac:dyDescent="0.25">
      <c r="J4013" t="s">
        <v>3283</v>
      </c>
      <c r="K4013" s="22" t="s">
        <v>31</v>
      </c>
      <c r="L4013">
        <v>1</v>
      </c>
      <c r="O4013" s="30"/>
    </row>
    <row r="4014" spans="10:15" x14ac:dyDescent="0.25">
      <c r="J4014" t="s">
        <v>1512</v>
      </c>
      <c r="K4014" s="22" t="s">
        <v>20</v>
      </c>
      <c r="L4014">
        <v>2</v>
      </c>
      <c r="M4014">
        <v>2</v>
      </c>
    </row>
    <row r="4015" spans="10:15" x14ac:dyDescent="0.25">
      <c r="J4015" t="s">
        <v>1830</v>
      </c>
      <c r="K4015" s="22" t="s">
        <v>20</v>
      </c>
      <c r="L4015">
        <v>2</v>
      </c>
      <c r="M4015">
        <v>2</v>
      </c>
      <c r="O4015" s="31"/>
    </row>
    <row r="4016" spans="10:15" x14ac:dyDescent="0.25">
      <c r="J4016" t="s">
        <v>1830</v>
      </c>
      <c r="K4016" s="22" t="s">
        <v>30</v>
      </c>
      <c r="L4016">
        <v>2</v>
      </c>
      <c r="O4016" s="30"/>
    </row>
    <row r="4017" spans="10:15" x14ac:dyDescent="0.25">
      <c r="J4017" t="s">
        <v>1830</v>
      </c>
      <c r="K4017" s="22" t="s">
        <v>31</v>
      </c>
      <c r="L4017">
        <v>1</v>
      </c>
    </row>
    <row r="4018" spans="10:15" x14ac:dyDescent="0.25">
      <c r="J4018" t="s">
        <v>1480</v>
      </c>
      <c r="K4018" s="22" t="s">
        <v>35</v>
      </c>
      <c r="L4018">
        <v>1</v>
      </c>
      <c r="M4018">
        <v>1</v>
      </c>
    </row>
    <row r="4019" spans="10:15" x14ac:dyDescent="0.25">
      <c r="J4019" t="s">
        <v>2167</v>
      </c>
      <c r="K4019" s="22" t="s">
        <v>31</v>
      </c>
      <c r="L4019">
        <v>1</v>
      </c>
    </row>
    <row r="4020" spans="10:15" x14ac:dyDescent="0.25">
      <c r="J4020" t="s">
        <v>1763</v>
      </c>
      <c r="K4020" s="22" t="s">
        <v>20</v>
      </c>
      <c r="L4020">
        <v>1</v>
      </c>
      <c r="M4020">
        <v>1</v>
      </c>
    </row>
    <row r="4021" spans="10:15" x14ac:dyDescent="0.25">
      <c r="J4021" t="s">
        <v>2753</v>
      </c>
      <c r="K4021" s="22" t="s">
        <v>20</v>
      </c>
      <c r="L4021">
        <v>2</v>
      </c>
      <c r="M4021">
        <v>2</v>
      </c>
      <c r="O4021" s="31"/>
    </row>
    <row r="4022" spans="10:15" x14ac:dyDescent="0.25">
      <c r="J4022" t="s">
        <v>2753</v>
      </c>
      <c r="K4022" s="22" t="s">
        <v>30</v>
      </c>
      <c r="L4022">
        <v>1</v>
      </c>
    </row>
    <row r="4023" spans="10:15" x14ac:dyDescent="0.25">
      <c r="J4023" t="s">
        <v>837</v>
      </c>
      <c r="K4023" s="22" t="s">
        <v>20</v>
      </c>
      <c r="L4023">
        <v>2</v>
      </c>
      <c r="M4023">
        <v>2</v>
      </c>
    </row>
    <row r="4024" spans="10:15" x14ac:dyDescent="0.25">
      <c r="J4024" t="s">
        <v>2136</v>
      </c>
      <c r="K4024" s="22" t="s">
        <v>29</v>
      </c>
      <c r="L4024">
        <v>1</v>
      </c>
    </row>
    <row r="4025" spans="10:15" x14ac:dyDescent="0.25">
      <c r="J4025" t="s">
        <v>3072</v>
      </c>
      <c r="K4025" s="22" t="s">
        <v>35</v>
      </c>
      <c r="L4025">
        <v>1</v>
      </c>
      <c r="M4025">
        <v>1</v>
      </c>
      <c r="O4025" s="31"/>
    </row>
    <row r="4026" spans="10:15" x14ac:dyDescent="0.25">
      <c r="J4026" t="s">
        <v>859</v>
      </c>
      <c r="K4026" s="22" t="s">
        <v>20</v>
      </c>
      <c r="L4026">
        <v>2</v>
      </c>
      <c r="M4026">
        <v>2</v>
      </c>
    </row>
    <row r="4027" spans="10:15" x14ac:dyDescent="0.25">
      <c r="J4027" t="s">
        <v>2927</v>
      </c>
      <c r="K4027" s="22" t="s">
        <v>31</v>
      </c>
      <c r="L4027">
        <v>1</v>
      </c>
      <c r="M4027">
        <v>1</v>
      </c>
    </row>
    <row r="4028" spans="10:15" x14ac:dyDescent="0.25">
      <c r="J4028" t="s">
        <v>3004</v>
      </c>
      <c r="K4028" s="22" t="s">
        <v>22</v>
      </c>
      <c r="L4028">
        <v>1</v>
      </c>
    </row>
    <row r="4029" spans="10:15" x14ac:dyDescent="0.25">
      <c r="J4029" t="s">
        <v>1600</v>
      </c>
      <c r="K4029" s="22" t="s">
        <v>20</v>
      </c>
      <c r="L4029">
        <v>1</v>
      </c>
      <c r="M4029">
        <v>1</v>
      </c>
    </row>
    <row r="4030" spans="10:15" x14ac:dyDescent="0.25">
      <c r="J4030" t="s">
        <v>3491</v>
      </c>
      <c r="K4030" s="22" t="s">
        <v>22</v>
      </c>
      <c r="L4030">
        <v>1</v>
      </c>
      <c r="M4030">
        <v>1</v>
      </c>
      <c r="O4030" s="31"/>
    </row>
    <row r="4031" spans="10:15" x14ac:dyDescent="0.25">
      <c r="J4031" t="s">
        <v>1268</v>
      </c>
      <c r="K4031" s="22" t="s">
        <v>35</v>
      </c>
      <c r="L4031">
        <v>1</v>
      </c>
      <c r="M4031">
        <v>1</v>
      </c>
    </row>
    <row r="4032" spans="10:15" x14ac:dyDescent="0.25">
      <c r="J4032" t="s">
        <v>3350</v>
      </c>
      <c r="K4032" s="22" t="s">
        <v>28</v>
      </c>
      <c r="L4032">
        <v>1</v>
      </c>
      <c r="O4032" s="30"/>
    </row>
    <row r="4033" spans="10:15" x14ac:dyDescent="0.25">
      <c r="J4033" t="s">
        <v>1270</v>
      </c>
      <c r="K4033" s="22" t="s">
        <v>29</v>
      </c>
      <c r="L4033">
        <v>1</v>
      </c>
      <c r="M4033">
        <v>1</v>
      </c>
    </row>
    <row r="4034" spans="10:15" x14ac:dyDescent="0.25">
      <c r="J4034" t="s">
        <v>785</v>
      </c>
      <c r="K4034" s="22" t="s">
        <v>29</v>
      </c>
      <c r="L4034">
        <v>5</v>
      </c>
      <c r="M4034">
        <v>3</v>
      </c>
      <c r="O4034" s="31"/>
    </row>
    <row r="4035" spans="10:15" x14ac:dyDescent="0.25">
      <c r="J4035" t="s">
        <v>785</v>
      </c>
      <c r="K4035" s="22" t="s">
        <v>22</v>
      </c>
      <c r="L4035">
        <v>3</v>
      </c>
      <c r="M4035">
        <v>3</v>
      </c>
      <c r="O4035" s="31"/>
    </row>
    <row r="4036" spans="10:15" x14ac:dyDescent="0.25">
      <c r="J4036" t="s">
        <v>2784</v>
      </c>
      <c r="K4036" s="22" t="s">
        <v>20</v>
      </c>
      <c r="L4036">
        <v>5</v>
      </c>
      <c r="M4036">
        <v>5</v>
      </c>
      <c r="O4036" s="31"/>
    </row>
    <row r="4037" spans="10:15" x14ac:dyDescent="0.25">
      <c r="J4037" t="s">
        <v>1059</v>
      </c>
      <c r="K4037" s="22" t="s">
        <v>29</v>
      </c>
      <c r="L4037">
        <v>5</v>
      </c>
      <c r="M4037">
        <v>5</v>
      </c>
      <c r="O4037" s="31"/>
    </row>
    <row r="4038" spans="10:15" x14ac:dyDescent="0.25">
      <c r="J4038" t="s">
        <v>1035</v>
      </c>
      <c r="K4038" s="22" t="s">
        <v>20</v>
      </c>
      <c r="L4038">
        <v>1</v>
      </c>
      <c r="M4038">
        <v>1</v>
      </c>
    </row>
    <row r="4039" spans="10:15" x14ac:dyDescent="0.25">
      <c r="J4039" t="s">
        <v>1035</v>
      </c>
      <c r="K4039" s="22" t="s">
        <v>31</v>
      </c>
      <c r="L4039">
        <v>3</v>
      </c>
      <c r="M4039">
        <v>2</v>
      </c>
      <c r="O4039" s="31"/>
    </row>
    <row r="4040" spans="10:15" x14ac:dyDescent="0.25">
      <c r="J4040" t="s">
        <v>2492</v>
      </c>
      <c r="K4040" s="22" t="s">
        <v>20</v>
      </c>
      <c r="L4040">
        <v>2</v>
      </c>
      <c r="M4040">
        <v>2</v>
      </c>
      <c r="O4040" s="31"/>
    </row>
    <row r="4041" spans="10:15" x14ac:dyDescent="0.25">
      <c r="J4041" t="s">
        <v>1171</v>
      </c>
      <c r="K4041" s="22" t="s">
        <v>31</v>
      </c>
      <c r="L4041">
        <v>2</v>
      </c>
      <c r="M4041">
        <v>2</v>
      </c>
      <c r="O4041" s="31"/>
    </row>
    <row r="4042" spans="10:15" x14ac:dyDescent="0.25">
      <c r="J4042" t="s">
        <v>3120</v>
      </c>
      <c r="K4042" s="22" t="s">
        <v>20</v>
      </c>
      <c r="L4042">
        <v>2</v>
      </c>
      <c r="M4042">
        <v>2</v>
      </c>
      <c r="O4042" s="31"/>
    </row>
    <row r="4043" spans="10:15" x14ac:dyDescent="0.25">
      <c r="J4043" t="s">
        <v>1104</v>
      </c>
      <c r="K4043" s="22" t="s">
        <v>35</v>
      </c>
      <c r="L4043">
        <v>1</v>
      </c>
      <c r="M4043">
        <v>1</v>
      </c>
      <c r="O4043" s="31"/>
    </row>
    <row r="4044" spans="10:15" x14ac:dyDescent="0.25">
      <c r="J4044" t="s">
        <v>1104</v>
      </c>
      <c r="K4044" s="22" t="s">
        <v>22</v>
      </c>
      <c r="L4044">
        <v>1</v>
      </c>
    </row>
    <row r="4045" spans="10:15" x14ac:dyDescent="0.25">
      <c r="J4045" t="s">
        <v>3394</v>
      </c>
      <c r="K4045" s="22" t="s">
        <v>31</v>
      </c>
      <c r="L4045">
        <v>1</v>
      </c>
      <c r="M4045">
        <v>1</v>
      </c>
      <c r="O4045" s="31"/>
    </row>
    <row r="4046" spans="10:15" x14ac:dyDescent="0.25">
      <c r="J4046" t="s">
        <v>634</v>
      </c>
      <c r="K4046" s="22" t="s">
        <v>20</v>
      </c>
      <c r="L4046">
        <v>2</v>
      </c>
      <c r="M4046">
        <v>2</v>
      </c>
      <c r="O4046" s="31"/>
    </row>
    <row r="4047" spans="10:15" x14ac:dyDescent="0.25">
      <c r="J4047" t="s">
        <v>973</v>
      </c>
      <c r="K4047" s="22" t="s">
        <v>20</v>
      </c>
      <c r="L4047">
        <v>2</v>
      </c>
      <c r="M4047">
        <v>2</v>
      </c>
      <c r="O4047" s="31"/>
    </row>
    <row r="4048" spans="10:15" x14ac:dyDescent="0.25">
      <c r="J4048" t="s">
        <v>973</v>
      </c>
      <c r="K4048" s="22" t="s">
        <v>29</v>
      </c>
      <c r="L4048">
        <v>1</v>
      </c>
    </row>
    <row r="4049" spans="10:15" x14ac:dyDescent="0.25">
      <c r="J4049" t="s">
        <v>973</v>
      </c>
      <c r="K4049" s="22" t="s">
        <v>22</v>
      </c>
      <c r="L4049">
        <v>1</v>
      </c>
    </row>
    <row r="4050" spans="10:15" x14ac:dyDescent="0.25">
      <c r="J4050" t="s">
        <v>3197</v>
      </c>
      <c r="K4050" s="22" t="s">
        <v>29</v>
      </c>
      <c r="L4050">
        <v>2</v>
      </c>
      <c r="M4050">
        <v>2</v>
      </c>
      <c r="O4050" s="31"/>
    </row>
    <row r="4051" spans="10:15" x14ac:dyDescent="0.25">
      <c r="J4051" t="s">
        <v>3001</v>
      </c>
      <c r="K4051" s="22" t="s">
        <v>20</v>
      </c>
      <c r="L4051">
        <v>2</v>
      </c>
      <c r="M4051">
        <v>2</v>
      </c>
      <c r="O4051" s="31"/>
    </row>
    <row r="4052" spans="10:15" x14ac:dyDescent="0.25">
      <c r="J4052" t="s">
        <v>1113</v>
      </c>
      <c r="K4052" s="22" t="s">
        <v>29</v>
      </c>
      <c r="L4052">
        <v>4</v>
      </c>
      <c r="M4052">
        <v>4</v>
      </c>
      <c r="O4052" s="31"/>
    </row>
    <row r="4053" spans="10:15" x14ac:dyDescent="0.25">
      <c r="J4053" t="s">
        <v>3254</v>
      </c>
      <c r="K4053" s="22" t="s">
        <v>20</v>
      </c>
      <c r="L4053">
        <v>1</v>
      </c>
      <c r="M4053">
        <v>1</v>
      </c>
      <c r="O4053" s="31"/>
    </row>
    <row r="4054" spans="10:15" x14ac:dyDescent="0.25">
      <c r="J4054" t="s">
        <v>3471</v>
      </c>
      <c r="K4054" s="22" t="s">
        <v>29</v>
      </c>
      <c r="L4054">
        <v>1</v>
      </c>
      <c r="M4054">
        <v>1</v>
      </c>
      <c r="O4054" s="31"/>
    </row>
    <row r="4055" spans="10:15" x14ac:dyDescent="0.25">
      <c r="J4055" t="s">
        <v>3056</v>
      </c>
      <c r="K4055" s="22" t="s">
        <v>20</v>
      </c>
      <c r="L4055">
        <v>1</v>
      </c>
      <c r="M4055">
        <v>1</v>
      </c>
      <c r="O4055" s="31"/>
    </row>
    <row r="4056" spans="10:15" x14ac:dyDescent="0.25">
      <c r="J4056" t="s">
        <v>3233</v>
      </c>
      <c r="K4056" s="22" t="s">
        <v>20</v>
      </c>
      <c r="L4056">
        <v>2</v>
      </c>
      <c r="M4056">
        <v>2</v>
      </c>
      <c r="O4056" s="31"/>
    </row>
    <row r="4057" spans="10:15" x14ac:dyDescent="0.25">
      <c r="J4057" t="s">
        <v>787</v>
      </c>
      <c r="K4057" s="22" t="s">
        <v>28</v>
      </c>
      <c r="L4057">
        <v>3</v>
      </c>
      <c r="O4057" s="30"/>
    </row>
    <row r="4058" spans="10:15" x14ac:dyDescent="0.25">
      <c r="J4058" t="s">
        <v>787</v>
      </c>
      <c r="K4058" s="22" t="s">
        <v>22</v>
      </c>
      <c r="L4058">
        <v>1</v>
      </c>
      <c r="M4058">
        <v>1</v>
      </c>
    </row>
    <row r="4059" spans="10:15" x14ac:dyDescent="0.25">
      <c r="J4059" t="s">
        <v>1441</v>
      </c>
      <c r="K4059" s="22" t="s">
        <v>31</v>
      </c>
      <c r="L4059">
        <v>3</v>
      </c>
      <c r="M4059">
        <v>3</v>
      </c>
      <c r="O4059" s="31"/>
    </row>
    <row r="4060" spans="10:15" x14ac:dyDescent="0.25">
      <c r="J4060" t="s">
        <v>1102</v>
      </c>
      <c r="K4060" s="22" t="s">
        <v>20</v>
      </c>
      <c r="L4060">
        <v>1</v>
      </c>
      <c r="M4060">
        <v>1</v>
      </c>
    </row>
    <row r="4061" spans="10:15" x14ac:dyDescent="0.25">
      <c r="J4061" t="s">
        <v>2162</v>
      </c>
      <c r="K4061" s="22" t="s">
        <v>31</v>
      </c>
      <c r="L4061">
        <v>1</v>
      </c>
      <c r="M4061">
        <v>1</v>
      </c>
    </row>
    <row r="4062" spans="10:15" x14ac:dyDescent="0.25">
      <c r="J4062" t="s">
        <v>1272</v>
      </c>
      <c r="K4062" s="22" t="s">
        <v>20</v>
      </c>
      <c r="L4062">
        <v>4</v>
      </c>
      <c r="M4062">
        <v>4</v>
      </c>
      <c r="O4062" s="31"/>
    </row>
    <row r="4063" spans="10:15" x14ac:dyDescent="0.25">
      <c r="J4063" t="s">
        <v>2137</v>
      </c>
      <c r="K4063" s="22" t="s">
        <v>22</v>
      </c>
      <c r="L4063">
        <v>6</v>
      </c>
      <c r="M4063">
        <v>6</v>
      </c>
      <c r="O4063" s="31"/>
    </row>
    <row r="4064" spans="10:15" x14ac:dyDescent="0.25">
      <c r="J4064" t="s">
        <v>2445</v>
      </c>
      <c r="K4064" s="22" t="s">
        <v>20</v>
      </c>
      <c r="L4064">
        <v>2</v>
      </c>
      <c r="M4064">
        <v>2</v>
      </c>
      <c r="O4064" s="31"/>
    </row>
    <row r="4065" spans="10:15" x14ac:dyDescent="0.25">
      <c r="J4065" t="s">
        <v>3273</v>
      </c>
      <c r="K4065" s="22" t="s">
        <v>20</v>
      </c>
      <c r="L4065">
        <v>3</v>
      </c>
      <c r="M4065">
        <v>3</v>
      </c>
      <c r="O4065" s="31"/>
    </row>
    <row r="4066" spans="10:15" x14ac:dyDescent="0.25">
      <c r="J4066" t="s">
        <v>3220</v>
      </c>
      <c r="K4066" s="22" t="s">
        <v>31</v>
      </c>
      <c r="L4066">
        <v>2</v>
      </c>
      <c r="M4066">
        <v>1</v>
      </c>
      <c r="O4066" s="30"/>
    </row>
    <row r="4067" spans="10:15" x14ac:dyDescent="0.25">
      <c r="J4067" t="s">
        <v>918</v>
      </c>
      <c r="K4067" s="22" t="s">
        <v>28</v>
      </c>
      <c r="L4067">
        <v>1</v>
      </c>
      <c r="M4067">
        <v>1</v>
      </c>
    </row>
    <row r="4068" spans="10:15" x14ac:dyDescent="0.25">
      <c r="J4068" t="s">
        <v>1825</v>
      </c>
      <c r="K4068" s="22" t="s">
        <v>20</v>
      </c>
      <c r="L4068">
        <v>2</v>
      </c>
      <c r="M4068">
        <v>2</v>
      </c>
      <c r="O4068" s="31"/>
    </row>
    <row r="4069" spans="10:15" x14ac:dyDescent="0.25">
      <c r="J4069" t="s">
        <v>248</v>
      </c>
      <c r="K4069" s="22" t="s">
        <v>20</v>
      </c>
      <c r="L4069">
        <v>3</v>
      </c>
      <c r="M4069">
        <v>3</v>
      </c>
      <c r="O4069" s="31"/>
    </row>
    <row r="4070" spans="10:15" x14ac:dyDescent="0.25">
      <c r="J4070" t="s">
        <v>2193</v>
      </c>
      <c r="K4070" s="22" t="s">
        <v>20</v>
      </c>
      <c r="L4070">
        <v>1</v>
      </c>
      <c r="M4070">
        <v>1</v>
      </c>
    </row>
    <row r="4071" spans="10:15" x14ac:dyDescent="0.25">
      <c r="J4071" t="s">
        <v>3256</v>
      </c>
      <c r="K4071" s="22" t="s">
        <v>20</v>
      </c>
      <c r="L4071">
        <v>1</v>
      </c>
      <c r="M4071">
        <v>1</v>
      </c>
      <c r="O4071" s="31"/>
    </row>
    <row r="4072" spans="10:15" x14ac:dyDescent="0.25">
      <c r="J4072" t="s">
        <v>3222</v>
      </c>
      <c r="K4072" s="22" t="s">
        <v>28</v>
      </c>
      <c r="L4072">
        <v>1</v>
      </c>
      <c r="M4072">
        <v>1</v>
      </c>
      <c r="O4072" s="31"/>
    </row>
    <row r="4073" spans="10:15" x14ac:dyDescent="0.25">
      <c r="J4073" t="s">
        <v>3442</v>
      </c>
      <c r="K4073" s="22" t="s">
        <v>28</v>
      </c>
      <c r="L4073">
        <v>1</v>
      </c>
      <c r="M4073">
        <v>1</v>
      </c>
      <c r="O4073" s="31"/>
    </row>
    <row r="4074" spans="10:15" x14ac:dyDescent="0.25">
      <c r="J4074" t="s">
        <v>1514</v>
      </c>
      <c r="K4074" s="22" t="s">
        <v>20</v>
      </c>
      <c r="L4074">
        <v>1</v>
      </c>
      <c r="M4074">
        <v>1</v>
      </c>
    </row>
    <row r="4075" spans="10:15" x14ac:dyDescent="0.25">
      <c r="J4075" t="s">
        <v>1514</v>
      </c>
      <c r="K4075" s="22" t="s">
        <v>28</v>
      </c>
      <c r="L4075">
        <v>1</v>
      </c>
    </row>
    <row r="4076" spans="10:15" x14ac:dyDescent="0.25">
      <c r="J4076" t="s">
        <v>183</v>
      </c>
      <c r="K4076" s="22" t="s">
        <v>20</v>
      </c>
      <c r="L4076">
        <v>2</v>
      </c>
      <c r="M4076">
        <v>2</v>
      </c>
    </row>
    <row r="4077" spans="10:15" x14ac:dyDescent="0.25">
      <c r="J4077" t="s">
        <v>183</v>
      </c>
      <c r="K4077" s="22" t="s">
        <v>28</v>
      </c>
      <c r="L4077">
        <v>2</v>
      </c>
    </row>
    <row r="4078" spans="10:15" x14ac:dyDescent="0.25">
      <c r="J4078" t="s">
        <v>3010</v>
      </c>
      <c r="K4078" s="22" t="s">
        <v>35</v>
      </c>
      <c r="L4078">
        <v>1</v>
      </c>
      <c r="M4078">
        <v>1</v>
      </c>
    </row>
    <row r="4079" spans="10:15" x14ac:dyDescent="0.25">
      <c r="J4079" t="s">
        <v>3022</v>
      </c>
      <c r="K4079" s="22" t="s">
        <v>20</v>
      </c>
      <c r="L4079">
        <v>2</v>
      </c>
      <c r="M4079">
        <v>2</v>
      </c>
      <c r="O4079" s="31"/>
    </row>
    <row r="4080" spans="10:15" x14ac:dyDescent="0.25">
      <c r="J4080" t="s">
        <v>1933</v>
      </c>
      <c r="K4080" s="22" t="s">
        <v>20</v>
      </c>
      <c r="L4080">
        <v>2</v>
      </c>
      <c r="M4080">
        <v>2</v>
      </c>
    </row>
    <row r="4081" spans="10:15" x14ac:dyDescent="0.25">
      <c r="J4081" t="s">
        <v>1525</v>
      </c>
      <c r="K4081" s="22" t="s">
        <v>20</v>
      </c>
      <c r="L4081">
        <v>5</v>
      </c>
      <c r="M4081">
        <v>5</v>
      </c>
      <c r="O4081" s="31"/>
    </row>
    <row r="4082" spans="10:15" x14ac:dyDescent="0.25">
      <c r="J4082" t="s">
        <v>1641</v>
      </c>
      <c r="K4082" s="22" t="s">
        <v>20</v>
      </c>
      <c r="L4082">
        <v>2</v>
      </c>
      <c r="M4082">
        <v>2</v>
      </c>
      <c r="O4082" s="31"/>
    </row>
    <row r="4083" spans="10:15" x14ac:dyDescent="0.25">
      <c r="J4083" t="s">
        <v>234</v>
      </c>
      <c r="K4083" s="22" t="s">
        <v>20</v>
      </c>
      <c r="L4083">
        <v>3</v>
      </c>
      <c r="M4083">
        <v>3</v>
      </c>
      <c r="O4083" s="31"/>
    </row>
    <row r="4084" spans="10:15" x14ac:dyDescent="0.25">
      <c r="J4084" t="s">
        <v>666</v>
      </c>
      <c r="K4084" s="22" t="s">
        <v>20</v>
      </c>
      <c r="L4084">
        <v>3</v>
      </c>
      <c r="M4084">
        <v>3</v>
      </c>
      <c r="O4084" s="31"/>
    </row>
    <row r="4085" spans="10:15" x14ac:dyDescent="0.25">
      <c r="J4085" t="s">
        <v>696</v>
      </c>
      <c r="K4085" s="22" t="s">
        <v>20</v>
      </c>
      <c r="L4085">
        <v>1</v>
      </c>
      <c r="M4085">
        <v>1</v>
      </c>
    </row>
    <row r="4086" spans="10:15" x14ac:dyDescent="0.25">
      <c r="J4086" t="s">
        <v>1173</v>
      </c>
      <c r="K4086" s="22" t="s">
        <v>20</v>
      </c>
      <c r="L4086">
        <v>3</v>
      </c>
      <c r="M4086">
        <v>3</v>
      </c>
      <c r="O4086" s="31"/>
    </row>
    <row r="4087" spans="10:15" x14ac:dyDescent="0.25">
      <c r="J4087" t="s">
        <v>2481</v>
      </c>
      <c r="K4087" s="22" t="s">
        <v>29</v>
      </c>
      <c r="L4087">
        <v>1</v>
      </c>
    </row>
    <row r="4088" spans="10:15" x14ac:dyDescent="0.25">
      <c r="J4088" t="s">
        <v>2481</v>
      </c>
      <c r="K4088" s="22" t="s">
        <v>28</v>
      </c>
      <c r="L4088">
        <v>1</v>
      </c>
      <c r="M4088">
        <v>1</v>
      </c>
    </row>
    <row r="4089" spans="10:15" x14ac:dyDescent="0.25">
      <c r="J4089" t="s">
        <v>2481</v>
      </c>
      <c r="K4089" s="22" t="s">
        <v>22</v>
      </c>
      <c r="L4089">
        <v>1</v>
      </c>
    </row>
    <row r="4090" spans="10:15" x14ac:dyDescent="0.25">
      <c r="J4090" t="s">
        <v>378</v>
      </c>
      <c r="K4090" s="22" t="s">
        <v>30</v>
      </c>
      <c r="L4090">
        <v>4</v>
      </c>
      <c r="M4090">
        <v>2</v>
      </c>
      <c r="O4090" s="30"/>
    </row>
    <row r="4091" spans="10:15" x14ac:dyDescent="0.25">
      <c r="J4091" t="s">
        <v>378</v>
      </c>
      <c r="K4091" s="22" t="s">
        <v>35</v>
      </c>
      <c r="L4091">
        <v>3</v>
      </c>
      <c r="M4091">
        <v>1</v>
      </c>
      <c r="O4091" s="31"/>
    </row>
    <row r="4092" spans="10:15" x14ac:dyDescent="0.25">
      <c r="J4092" t="s">
        <v>378</v>
      </c>
      <c r="K4092" s="22" t="s">
        <v>31</v>
      </c>
      <c r="L4092">
        <v>2</v>
      </c>
      <c r="M4092">
        <v>2</v>
      </c>
      <c r="O4092" s="31"/>
    </row>
    <row r="4093" spans="10:15" x14ac:dyDescent="0.25">
      <c r="J4093" t="s">
        <v>1259</v>
      </c>
      <c r="K4093" s="22" t="s">
        <v>30</v>
      </c>
      <c r="L4093">
        <v>1</v>
      </c>
    </row>
    <row r="4094" spans="10:15" x14ac:dyDescent="0.25">
      <c r="J4094" t="s">
        <v>1259</v>
      </c>
      <c r="K4094" s="22" t="s">
        <v>29</v>
      </c>
      <c r="L4094">
        <v>2</v>
      </c>
      <c r="O4094" s="30"/>
    </row>
    <row r="4095" spans="10:15" x14ac:dyDescent="0.25">
      <c r="J4095" t="s">
        <v>1259</v>
      </c>
      <c r="K4095" s="22" t="s">
        <v>28</v>
      </c>
      <c r="L4095">
        <v>3</v>
      </c>
      <c r="O4095" s="30"/>
    </row>
    <row r="4096" spans="10:15" x14ac:dyDescent="0.25">
      <c r="J4096" t="s">
        <v>1259</v>
      </c>
      <c r="K4096" s="22" t="s">
        <v>35</v>
      </c>
      <c r="L4096">
        <v>1</v>
      </c>
    </row>
    <row r="4097" spans="10:15" x14ac:dyDescent="0.25">
      <c r="J4097" t="s">
        <v>2994</v>
      </c>
      <c r="K4097" s="22" t="s">
        <v>30</v>
      </c>
      <c r="L4097">
        <v>1</v>
      </c>
      <c r="M4097">
        <v>1</v>
      </c>
      <c r="O4097" s="31"/>
    </row>
    <row r="4098" spans="10:15" x14ac:dyDescent="0.25">
      <c r="J4098" t="s">
        <v>2994</v>
      </c>
      <c r="K4098" s="22" t="s">
        <v>29</v>
      </c>
      <c r="L4098">
        <v>1</v>
      </c>
    </row>
    <row r="4099" spans="10:15" x14ac:dyDescent="0.25">
      <c r="J4099" t="s">
        <v>1713</v>
      </c>
      <c r="K4099" s="22" t="s">
        <v>30</v>
      </c>
      <c r="L4099">
        <v>4</v>
      </c>
      <c r="O4099" s="30"/>
    </row>
    <row r="4100" spans="10:15" x14ac:dyDescent="0.25">
      <c r="J4100" t="s">
        <v>1713</v>
      </c>
      <c r="K4100" s="22" t="s">
        <v>29</v>
      </c>
      <c r="L4100">
        <v>3</v>
      </c>
      <c r="M4100">
        <v>3</v>
      </c>
      <c r="O4100" s="31"/>
    </row>
    <row r="4101" spans="10:15" x14ac:dyDescent="0.25">
      <c r="J4101" t="s">
        <v>2335</v>
      </c>
      <c r="K4101" s="22" t="s">
        <v>29</v>
      </c>
      <c r="L4101">
        <v>1</v>
      </c>
    </row>
    <row r="4102" spans="10:15" x14ac:dyDescent="0.25">
      <c r="J4102" t="s">
        <v>2335</v>
      </c>
      <c r="K4102" s="22" t="s">
        <v>28</v>
      </c>
      <c r="L4102">
        <v>1</v>
      </c>
    </row>
    <row r="4103" spans="10:15" x14ac:dyDescent="0.25">
      <c r="J4103" t="s">
        <v>2335</v>
      </c>
      <c r="K4103" s="22" t="s">
        <v>22</v>
      </c>
      <c r="L4103">
        <v>1</v>
      </c>
      <c r="M4103">
        <v>1</v>
      </c>
    </row>
    <row r="4104" spans="10:15" x14ac:dyDescent="0.25">
      <c r="J4104" t="s">
        <v>355</v>
      </c>
      <c r="K4104" s="22" t="s">
        <v>30</v>
      </c>
      <c r="L4104">
        <v>5</v>
      </c>
      <c r="O4104" s="30"/>
    </row>
    <row r="4105" spans="10:15" x14ac:dyDescent="0.25">
      <c r="J4105" t="s">
        <v>355</v>
      </c>
      <c r="K4105" s="22" t="s">
        <v>29</v>
      </c>
      <c r="L4105">
        <v>5</v>
      </c>
      <c r="M4105">
        <v>5</v>
      </c>
      <c r="O4105" s="31"/>
    </row>
    <row r="4106" spans="10:15" x14ac:dyDescent="0.25">
      <c r="J4106" t="s">
        <v>3348</v>
      </c>
      <c r="K4106" s="22" t="s">
        <v>29</v>
      </c>
      <c r="L4106">
        <v>1</v>
      </c>
      <c r="O4106" s="30"/>
    </row>
    <row r="4107" spans="10:15" x14ac:dyDescent="0.25">
      <c r="J4107" t="s">
        <v>981</v>
      </c>
      <c r="K4107" s="22" t="s">
        <v>29</v>
      </c>
      <c r="L4107">
        <v>6</v>
      </c>
      <c r="M4107">
        <v>6</v>
      </c>
      <c r="O4107" s="31"/>
    </row>
    <row r="4108" spans="10:15" x14ac:dyDescent="0.25">
      <c r="J4108" t="s">
        <v>728</v>
      </c>
      <c r="K4108" s="22" t="s">
        <v>30</v>
      </c>
      <c r="L4108">
        <v>1</v>
      </c>
    </row>
    <row r="4109" spans="10:15" x14ac:dyDescent="0.25">
      <c r="J4109" t="s">
        <v>728</v>
      </c>
      <c r="K4109" s="22" t="s">
        <v>29</v>
      </c>
      <c r="L4109">
        <v>1</v>
      </c>
    </row>
    <row r="4110" spans="10:15" x14ac:dyDescent="0.25">
      <c r="J4110" t="s">
        <v>728</v>
      </c>
      <c r="K4110" s="22" t="s">
        <v>35</v>
      </c>
      <c r="L4110">
        <v>1</v>
      </c>
      <c r="M4110">
        <v>1</v>
      </c>
      <c r="O4110" s="31"/>
    </row>
    <row r="4111" spans="10:15" x14ac:dyDescent="0.25">
      <c r="J4111" t="s">
        <v>2936</v>
      </c>
      <c r="K4111" s="22" t="s">
        <v>22</v>
      </c>
      <c r="L4111">
        <v>1</v>
      </c>
      <c r="M4111">
        <v>1</v>
      </c>
    </row>
    <row r="4112" spans="10:15" x14ac:dyDescent="0.25">
      <c r="J4112" t="s">
        <v>1110</v>
      </c>
      <c r="K4112" s="22" t="s">
        <v>30</v>
      </c>
      <c r="L4112">
        <v>2</v>
      </c>
      <c r="M4112">
        <v>1</v>
      </c>
      <c r="O4112" s="30"/>
    </row>
    <row r="4113" spans="10:15" x14ac:dyDescent="0.25">
      <c r="J4113" t="s">
        <v>1110</v>
      </c>
      <c r="K4113" s="22" t="s">
        <v>29</v>
      </c>
      <c r="L4113">
        <v>1</v>
      </c>
      <c r="M4113">
        <v>1</v>
      </c>
      <c r="O4113" s="31"/>
    </row>
    <row r="4114" spans="10:15" x14ac:dyDescent="0.25">
      <c r="J4114" t="s">
        <v>1110</v>
      </c>
      <c r="K4114" s="22" t="s">
        <v>31</v>
      </c>
      <c r="L4114">
        <v>3</v>
      </c>
      <c r="O4114" s="30"/>
    </row>
    <row r="4115" spans="10:15" x14ac:dyDescent="0.25">
      <c r="J4115" t="s">
        <v>1255</v>
      </c>
      <c r="K4115" s="22" t="s">
        <v>29</v>
      </c>
      <c r="L4115">
        <v>7</v>
      </c>
      <c r="M4115">
        <v>7</v>
      </c>
      <c r="O4115" s="31"/>
    </row>
    <row r="4116" spans="10:15" x14ac:dyDescent="0.25">
      <c r="J4116" t="s">
        <v>1708</v>
      </c>
      <c r="K4116" s="22" t="s">
        <v>29</v>
      </c>
      <c r="L4116">
        <v>1</v>
      </c>
    </row>
    <row r="4117" spans="10:15" x14ac:dyDescent="0.25">
      <c r="J4117" t="s">
        <v>1708</v>
      </c>
      <c r="K4117" s="22" t="s">
        <v>31</v>
      </c>
      <c r="L4117">
        <v>3</v>
      </c>
      <c r="M4117">
        <v>3</v>
      </c>
      <c r="O4117" s="31"/>
    </row>
    <row r="4118" spans="10:15" x14ac:dyDescent="0.25">
      <c r="J4118" t="s">
        <v>2455</v>
      </c>
      <c r="K4118" s="22" t="s">
        <v>29</v>
      </c>
      <c r="L4118">
        <v>1</v>
      </c>
      <c r="M4118">
        <v>1</v>
      </c>
    </row>
    <row r="4119" spans="10:15" x14ac:dyDescent="0.25">
      <c r="J4119" t="s">
        <v>3513</v>
      </c>
      <c r="K4119" s="22" t="s">
        <v>30</v>
      </c>
      <c r="L4119">
        <v>1</v>
      </c>
      <c r="O4119" s="30"/>
    </row>
    <row r="4120" spans="10:15" x14ac:dyDescent="0.25">
      <c r="J4120" t="s">
        <v>2636</v>
      </c>
      <c r="K4120" s="22" t="s">
        <v>30</v>
      </c>
      <c r="L4120">
        <v>2</v>
      </c>
      <c r="O4120" s="30"/>
    </row>
    <row r="4121" spans="10:15" x14ac:dyDescent="0.25">
      <c r="J4121" t="s">
        <v>2636</v>
      </c>
      <c r="K4121" s="22" t="s">
        <v>28</v>
      </c>
      <c r="L4121">
        <v>2</v>
      </c>
      <c r="O4121" s="30"/>
    </row>
    <row r="4122" spans="10:15" x14ac:dyDescent="0.25">
      <c r="J4122" t="s">
        <v>2636</v>
      </c>
      <c r="K4122" s="22" t="s">
        <v>35</v>
      </c>
      <c r="L4122">
        <v>1</v>
      </c>
    </row>
    <row r="4123" spans="10:15" x14ac:dyDescent="0.25">
      <c r="J4123" t="s">
        <v>2180</v>
      </c>
      <c r="K4123" s="22" t="s">
        <v>30</v>
      </c>
      <c r="L4123">
        <v>1</v>
      </c>
    </row>
    <row r="4124" spans="10:15" x14ac:dyDescent="0.25">
      <c r="J4124" t="s">
        <v>2180</v>
      </c>
      <c r="K4124" s="22" t="s">
        <v>28</v>
      </c>
      <c r="L4124">
        <v>1</v>
      </c>
    </row>
    <row r="4125" spans="10:15" x14ac:dyDescent="0.25">
      <c r="J4125" t="s">
        <v>2180</v>
      </c>
      <c r="K4125" s="22" t="s">
        <v>22</v>
      </c>
      <c r="L4125">
        <v>1</v>
      </c>
      <c r="M4125">
        <v>1</v>
      </c>
      <c r="O4125" s="31"/>
    </row>
    <row r="4126" spans="10:15" x14ac:dyDescent="0.25">
      <c r="J4126" t="s">
        <v>1282</v>
      </c>
      <c r="K4126" s="22" t="s">
        <v>31</v>
      </c>
      <c r="L4126">
        <v>2</v>
      </c>
      <c r="M4126">
        <v>2</v>
      </c>
      <c r="O4126" s="31"/>
    </row>
    <row r="4127" spans="10:15" x14ac:dyDescent="0.25">
      <c r="J4127" t="s">
        <v>1928</v>
      </c>
      <c r="K4127" s="22" t="s">
        <v>31</v>
      </c>
      <c r="L4127">
        <v>2</v>
      </c>
      <c r="M4127">
        <v>2</v>
      </c>
      <c r="O4127" s="31"/>
    </row>
    <row r="4128" spans="10:15" x14ac:dyDescent="0.25">
      <c r="J4128" t="s">
        <v>3477</v>
      </c>
      <c r="K4128" s="22" t="s">
        <v>31</v>
      </c>
      <c r="L4128">
        <v>1</v>
      </c>
      <c r="M4128">
        <v>1</v>
      </c>
      <c r="O4128" s="31"/>
    </row>
    <row r="4129" spans="10:15" x14ac:dyDescent="0.25">
      <c r="J4129" t="s">
        <v>221</v>
      </c>
      <c r="K4129" s="22" t="s">
        <v>30</v>
      </c>
      <c r="L4129">
        <v>3</v>
      </c>
      <c r="O4129" s="30"/>
    </row>
    <row r="4130" spans="10:15" x14ac:dyDescent="0.25">
      <c r="J4130" t="s">
        <v>221</v>
      </c>
      <c r="K4130" s="22" t="s">
        <v>28</v>
      </c>
      <c r="L4130">
        <v>1</v>
      </c>
    </row>
    <row r="4131" spans="10:15" x14ac:dyDescent="0.25">
      <c r="J4131" t="s">
        <v>221</v>
      </c>
      <c r="K4131" s="22" t="s">
        <v>35</v>
      </c>
      <c r="L4131">
        <v>3</v>
      </c>
      <c r="M4131">
        <v>2</v>
      </c>
      <c r="O4131" s="31"/>
    </row>
    <row r="4132" spans="10:15" x14ac:dyDescent="0.25">
      <c r="J4132" t="s">
        <v>221</v>
      </c>
      <c r="K4132" s="22" t="s">
        <v>22</v>
      </c>
      <c r="L4132">
        <v>2</v>
      </c>
    </row>
    <row r="4133" spans="10:15" x14ac:dyDescent="0.25">
      <c r="J4133" t="s">
        <v>221</v>
      </c>
      <c r="K4133" s="22" t="s">
        <v>31</v>
      </c>
      <c r="L4133">
        <v>1</v>
      </c>
    </row>
    <row r="4134" spans="10:15" x14ac:dyDescent="0.25">
      <c r="J4134" t="s">
        <v>2678</v>
      </c>
      <c r="K4134" s="22" t="s">
        <v>30</v>
      </c>
      <c r="L4134">
        <v>1</v>
      </c>
    </row>
    <row r="4135" spans="10:15" x14ac:dyDescent="0.25">
      <c r="J4135" t="s">
        <v>2678</v>
      </c>
      <c r="K4135" s="22" t="s">
        <v>35</v>
      </c>
      <c r="L4135">
        <v>1</v>
      </c>
      <c r="O4135" s="30"/>
    </row>
    <row r="4136" spans="10:15" x14ac:dyDescent="0.25">
      <c r="J4136" t="s">
        <v>1138</v>
      </c>
      <c r="K4136" s="22" t="s">
        <v>30</v>
      </c>
      <c r="L4136">
        <v>1</v>
      </c>
    </row>
    <row r="4137" spans="10:15" x14ac:dyDescent="0.25">
      <c r="J4137" t="s">
        <v>1138</v>
      </c>
      <c r="K4137" s="22" t="s">
        <v>35</v>
      </c>
      <c r="L4137">
        <v>1</v>
      </c>
    </row>
    <row r="4138" spans="10:15" x14ac:dyDescent="0.25">
      <c r="J4138" t="s">
        <v>1138</v>
      </c>
      <c r="K4138" s="22" t="s">
        <v>31</v>
      </c>
      <c r="L4138">
        <v>1</v>
      </c>
    </row>
    <row r="4139" spans="10:15" x14ac:dyDescent="0.25">
      <c r="J4139" t="s">
        <v>1313</v>
      </c>
      <c r="K4139" s="22" t="s">
        <v>28</v>
      </c>
      <c r="L4139">
        <v>1</v>
      </c>
    </row>
    <row r="4140" spans="10:15" x14ac:dyDescent="0.25">
      <c r="J4140" t="s">
        <v>1313</v>
      </c>
      <c r="K4140" s="22" t="s">
        <v>35</v>
      </c>
      <c r="L4140">
        <v>1</v>
      </c>
      <c r="M4140">
        <v>1</v>
      </c>
      <c r="O4140" s="31"/>
    </row>
    <row r="4141" spans="10:15" x14ac:dyDescent="0.25">
      <c r="J4141" t="s">
        <v>3388</v>
      </c>
      <c r="K4141" s="22" t="s">
        <v>22</v>
      </c>
      <c r="L4141">
        <v>1</v>
      </c>
      <c r="O4141" s="30"/>
    </row>
    <row r="4142" spans="10:15" x14ac:dyDescent="0.25">
      <c r="J4142" t="s">
        <v>3187</v>
      </c>
      <c r="K4142" s="22" t="s">
        <v>30</v>
      </c>
      <c r="L4142">
        <v>3</v>
      </c>
      <c r="M4142">
        <v>3</v>
      </c>
      <c r="O4142" s="31"/>
    </row>
    <row r="4143" spans="10:15" x14ac:dyDescent="0.25">
      <c r="J4143" t="s">
        <v>2818</v>
      </c>
      <c r="K4143" s="22" t="s">
        <v>30</v>
      </c>
      <c r="L4143">
        <v>1</v>
      </c>
    </row>
    <row r="4144" spans="10:15" x14ac:dyDescent="0.25">
      <c r="J4144" t="s">
        <v>2120</v>
      </c>
      <c r="K4144" s="22" t="s">
        <v>30</v>
      </c>
      <c r="L4144">
        <v>1</v>
      </c>
    </row>
    <row r="4145" spans="10:15" x14ac:dyDescent="0.25">
      <c r="J4145" t="s">
        <v>545</v>
      </c>
      <c r="K4145" s="22" t="s">
        <v>30</v>
      </c>
      <c r="L4145">
        <v>4</v>
      </c>
      <c r="M4145">
        <v>4</v>
      </c>
      <c r="O4145" s="31"/>
    </row>
    <row r="4146" spans="10:15" x14ac:dyDescent="0.25">
      <c r="J4146" t="s">
        <v>3284</v>
      </c>
      <c r="K4146" s="22" t="s">
        <v>30</v>
      </c>
      <c r="L4146">
        <v>1</v>
      </c>
      <c r="O4146" s="30"/>
    </row>
    <row r="4147" spans="10:15" x14ac:dyDescent="0.25">
      <c r="J4147" t="s">
        <v>2781</v>
      </c>
      <c r="K4147" s="22" t="s">
        <v>35</v>
      </c>
      <c r="L4147">
        <v>1</v>
      </c>
    </row>
    <row r="4148" spans="10:15" x14ac:dyDescent="0.25">
      <c r="J4148" t="s">
        <v>540</v>
      </c>
      <c r="K4148" s="22" t="s">
        <v>30</v>
      </c>
      <c r="L4148">
        <v>2</v>
      </c>
      <c r="O4148" s="30"/>
    </row>
    <row r="4149" spans="10:15" x14ac:dyDescent="0.25">
      <c r="J4149" t="s">
        <v>540</v>
      </c>
      <c r="K4149" s="22" t="s">
        <v>35</v>
      </c>
      <c r="L4149">
        <v>1</v>
      </c>
    </row>
    <row r="4150" spans="10:15" x14ac:dyDescent="0.25">
      <c r="J4150" t="s">
        <v>1544</v>
      </c>
      <c r="K4150" s="22" t="s">
        <v>30</v>
      </c>
      <c r="L4150">
        <v>1</v>
      </c>
      <c r="M4150">
        <v>1</v>
      </c>
    </row>
    <row r="4151" spans="10:15" x14ac:dyDescent="0.25">
      <c r="J4151" t="s">
        <v>1544</v>
      </c>
      <c r="K4151" s="22" t="s">
        <v>22</v>
      </c>
      <c r="L4151">
        <v>1</v>
      </c>
    </row>
    <row r="4152" spans="10:15" x14ac:dyDescent="0.25">
      <c r="J4152" t="s">
        <v>1482</v>
      </c>
      <c r="K4152" s="22" t="s">
        <v>30</v>
      </c>
      <c r="L4152">
        <v>5</v>
      </c>
      <c r="M4152">
        <v>5</v>
      </c>
      <c r="O4152" s="31"/>
    </row>
    <row r="4153" spans="10:15" x14ac:dyDescent="0.25">
      <c r="J4153" t="s">
        <v>1574</v>
      </c>
      <c r="K4153" s="22" t="s">
        <v>29</v>
      </c>
      <c r="L4153">
        <v>1</v>
      </c>
    </row>
    <row r="4154" spans="10:15" x14ac:dyDescent="0.25">
      <c r="J4154" t="s">
        <v>1574</v>
      </c>
      <c r="K4154" s="22" t="s">
        <v>35</v>
      </c>
      <c r="L4154">
        <v>1</v>
      </c>
      <c r="M4154">
        <v>1</v>
      </c>
    </row>
    <row r="4155" spans="10:15" x14ac:dyDescent="0.25">
      <c r="J4155" t="s">
        <v>1729</v>
      </c>
      <c r="K4155" s="22" t="s">
        <v>28</v>
      </c>
      <c r="L4155">
        <v>1</v>
      </c>
    </row>
    <row r="4156" spans="10:15" x14ac:dyDescent="0.25">
      <c r="J4156" t="s">
        <v>1729</v>
      </c>
      <c r="K4156" s="22" t="s">
        <v>22</v>
      </c>
      <c r="L4156">
        <v>1</v>
      </c>
      <c r="O4156" s="30"/>
    </row>
    <row r="4157" spans="10:15" x14ac:dyDescent="0.25">
      <c r="J4157" t="s">
        <v>1715</v>
      </c>
      <c r="K4157" s="22" t="s">
        <v>29</v>
      </c>
      <c r="L4157">
        <v>3</v>
      </c>
      <c r="O4157" s="30"/>
    </row>
    <row r="4158" spans="10:15" x14ac:dyDescent="0.25">
      <c r="J4158" t="s">
        <v>1715</v>
      </c>
      <c r="K4158" s="22" t="s">
        <v>28</v>
      </c>
      <c r="L4158">
        <v>1</v>
      </c>
      <c r="O4158" s="30"/>
    </row>
    <row r="4159" spans="10:15" x14ac:dyDescent="0.25">
      <c r="J4159" t="s">
        <v>1715</v>
      </c>
      <c r="K4159" s="22" t="s">
        <v>31</v>
      </c>
      <c r="L4159">
        <v>1</v>
      </c>
    </row>
    <row r="4160" spans="10:15" x14ac:dyDescent="0.25">
      <c r="J4160" t="s">
        <v>1209</v>
      </c>
      <c r="K4160" s="22" t="s">
        <v>35</v>
      </c>
      <c r="L4160">
        <v>2</v>
      </c>
      <c r="M4160">
        <v>2</v>
      </c>
    </row>
    <row r="4161" spans="10:15" x14ac:dyDescent="0.25">
      <c r="J4161" t="s">
        <v>3368</v>
      </c>
      <c r="K4161" s="22" t="s">
        <v>31</v>
      </c>
      <c r="L4161">
        <v>1</v>
      </c>
      <c r="O4161" s="30"/>
    </row>
    <row r="4162" spans="10:15" x14ac:dyDescent="0.25">
      <c r="J4162" t="s">
        <v>3465</v>
      </c>
      <c r="K4162" s="22" t="s">
        <v>29</v>
      </c>
      <c r="L4162">
        <v>1</v>
      </c>
      <c r="M4162">
        <v>1</v>
      </c>
      <c r="O4162" s="31"/>
    </row>
    <row r="4163" spans="10:15" x14ac:dyDescent="0.25">
      <c r="J4163" t="s">
        <v>166</v>
      </c>
      <c r="K4163" s="22" t="s">
        <v>31</v>
      </c>
      <c r="L4163">
        <v>2</v>
      </c>
      <c r="M4163">
        <v>2</v>
      </c>
    </row>
    <row r="4164" spans="10:15" x14ac:dyDescent="0.25">
      <c r="J4164" t="s">
        <v>2902</v>
      </c>
      <c r="K4164" s="22" t="s">
        <v>22</v>
      </c>
      <c r="L4164">
        <v>1</v>
      </c>
    </row>
    <row r="4165" spans="10:15" x14ac:dyDescent="0.25">
      <c r="J4165" t="s">
        <v>1363</v>
      </c>
      <c r="K4165" s="22" t="s">
        <v>28</v>
      </c>
      <c r="L4165">
        <v>1</v>
      </c>
    </row>
    <row r="4166" spans="10:15" x14ac:dyDescent="0.25">
      <c r="J4166" t="s">
        <v>706</v>
      </c>
      <c r="K4166" s="22" t="s">
        <v>35</v>
      </c>
      <c r="L4166">
        <v>5</v>
      </c>
      <c r="M4166">
        <v>5</v>
      </c>
      <c r="O4166" s="31"/>
    </row>
    <row r="4167" spans="10:15" x14ac:dyDescent="0.25">
      <c r="J4167" t="s">
        <v>1167</v>
      </c>
      <c r="K4167" s="22" t="s">
        <v>35</v>
      </c>
      <c r="L4167">
        <v>4</v>
      </c>
      <c r="M4167">
        <v>4</v>
      </c>
      <c r="O4167" s="31"/>
    </row>
    <row r="4168" spans="10:15" x14ac:dyDescent="0.25">
      <c r="J4168" t="s">
        <v>1167</v>
      </c>
      <c r="K4168" s="22" t="s">
        <v>31</v>
      </c>
      <c r="L4168">
        <v>3</v>
      </c>
      <c r="O4168" s="30"/>
    </row>
    <row r="4169" spans="10:15" x14ac:dyDescent="0.25">
      <c r="J4169" t="s">
        <v>381</v>
      </c>
      <c r="K4169" s="22" t="s">
        <v>35</v>
      </c>
      <c r="L4169">
        <v>4</v>
      </c>
      <c r="M4169">
        <v>4</v>
      </c>
      <c r="O4169" s="31"/>
    </row>
    <row r="4170" spans="10:15" x14ac:dyDescent="0.25">
      <c r="J4170" t="s">
        <v>2839</v>
      </c>
      <c r="K4170" s="22" t="s">
        <v>29</v>
      </c>
      <c r="L4170">
        <v>1</v>
      </c>
    </row>
    <row r="4171" spans="10:15" x14ac:dyDescent="0.25">
      <c r="J4171" t="s">
        <v>3493</v>
      </c>
      <c r="K4171" s="22" t="s">
        <v>29</v>
      </c>
      <c r="L4171">
        <v>1</v>
      </c>
      <c r="M4171">
        <v>1</v>
      </c>
      <c r="O4171" s="31"/>
    </row>
    <row r="4172" spans="10:15" x14ac:dyDescent="0.25">
      <c r="J4172" t="s">
        <v>613</v>
      </c>
      <c r="K4172" s="22" t="s">
        <v>29</v>
      </c>
      <c r="L4172">
        <v>1</v>
      </c>
      <c r="M4172">
        <v>1</v>
      </c>
    </row>
    <row r="4173" spans="10:15" x14ac:dyDescent="0.25">
      <c r="J4173" t="s">
        <v>1820</v>
      </c>
      <c r="K4173" s="22" t="s">
        <v>29</v>
      </c>
      <c r="L4173">
        <v>1</v>
      </c>
    </row>
    <row r="4174" spans="10:15" x14ac:dyDescent="0.25">
      <c r="J4174" t="s">
        <v>1820</v>
      </c>
      <c r="K4174" s="22" t="s">
        <v>22</v>
      </c>
      <c r="L4174">
        <v>1</v>
      </c>
    </row>
    <row r="4175" spans="10:15" x14ac:dyDescent="0.25">
      <c r="J4175" t="s">
        <v>3033</v>
      </c>
      <c r="K4175" s="22" t="s">
        <v>29</v>
      </c>
      <c r="L4175">
        <v>1</v>
      </c>
      <c r="M4175">
        <v>1</v>
      </c>
      <c r="O4175" s="31"/>
    </row>
    <row r="4176" spans="10:15" x14ac:dyDescent="0.25">
      <c r="J4176" t="s">
        <v>2699</v>
      </c>
      <c r="K4176" s="22" t="s">
        <v>29</v>
      </c>
      <c r="L4176">
        <v>1</v>
      </c>
    </row>
    <row r="4177" spans="10:15" x14ac:dyDescent="0.25">
      <c r="J4177" t="s">
        <v>1163</v>
      </c>
      <c r="K4177" s="22" t="s">
        <v>29</v>
      </c>
      <c r="L4177">
        <v>3</v>
      </c>
      <c r="M4177">
        <v>3</v>
      </c>
      <c r="O4177" s="31"/>
    </row>
    <row r="4178" spans="10:15" x14ac:dyDescent="0.25">
      <c r="J4178" t="s">
        <v>1163</v>
      </c>
      <c r="K4178" s="22" t="s">
        <v>22</v>
      </c>
      <c r="L4178">
        <v>1</v>
      </c>
    </row>
    <row r="4179" spans="10:15" x14ac:dyDescent="0.25">
      <c r="J4179" t="s">
        <v>987</v>
      </c>
      <c r="K4179" s="22" t="s">
        <v>29</v>
      </c>
      <c r="L4179">
        <v>1</v>
      </c>
      <c r="M4179">
        <v>1</v>
      </c>
    </row>
    <row r="4180" spans="10:15" x14ac:dyDescent="0.25">
      <c r="J4180" t="s">
        <v>990</v>
      </c>
      <c r="K4180" s="22" t="s">
        <v>31</v>
      </c>
      <c r="L4180">
        <v>1</v>
      </c>
      <c r="M4180">
        <v>1</v>
      </c>
    </row>
    <row r="4181" spans="10:15" x14ac:dyDescent="0.25">
      <c r="J4181" t="s">
        <v>2556</v>
      </c>
      <c r="K4181" s="22" t="s">
        <v>29</v>
      </c>
      <c r="L4181">
        <v>2</v>
      </c>
      <c r="M4181">
        <v>2</v>
      </c>
      <c r="O4181" s="31"/>
    </row>
    <row r="4182" spans="10:15" x14ac:dyDescent="0.25">
      <c r="J4182" t="s">
        <v>1471</v>
      </c>
      <c r="K4182" s="22" t="s">
        <v>29</v>
      </c>
      <c r="L4182">
        <v>2</v>
      </c>
      <c r="M4182">
        <v>2</v>
      </c>
      <c r="O4182" s="31"/>
    </row>
    <row r="4183" spans="10:15" x14ac:dyDescent="0.25">
      <c r="J4183" t="s">
        <v>1471</v>
      </c>
      <c r="K4183" s="22" t="s">
        <v>28</v>
      </c>
      <c r="L4183">
        <v>3</v>
      </c>
      <c r="O4183" s="30"/>
    </row>
    <row r="4184" spans="10:15" x14ac:dyDescent="0.25">
      <c r="J4184" t="s">
        <v>2695</v>
      </c>
      <c r="K4184" s="22" t="s">
        <v>22</v>
      </c>
      <c r="L4184">
        <v>1</v>
      </c>
      <c r="M4184">
        <v>1</v>
      </c>
    </row>
    <row r="4185" spans="10:15" x14ac:dyDescent="0.25">
      <c r="J4185" t="s">
        <v>2257</v>
      </c>
      <c r="K4185" s="22" t="s">
        <v>29</v>
      </c>
      <c r="L4185">
        <v>4</v>
      </c>
      <c r="M4185">
        <v>4</v>
      </c>
      <c r="O4185" s="31"/>
    </row>
    <row r="4186" spans="10:15" x14ac:dyDescent="0.25">
      <c r="J4186" t="s">
        <v>806</v>
      </c>
      <c r="K4186" s="22" t="s">
        <v>29</v>
      </c>
      <c r="L4186">
        <v>4</v>
      </c>
      <c r="O4186" s="30"/>
    </row>
    <row r="4187" spans="10:15" x14ac:dyDescent="0.25">
      <c r="J4187" t="s">
        <v>806</v>
      </c>
      <c r="K4187" s="22" t="s">
        <v>31</v>
      </c>
      <c r="L4187">
        <v>6</v>
      </c>
      <c r="O4187" s="30"/>
    </row>
    <row r="4188" spans="10:15" x14ac:dyDescent="0.25">
      <c r="J4188" t="s">
        <v>3259</v>
      </c>
      <c r="K4188" s="22" t="s">
        <v>29</v>
      </c>
      <c r="L4188">
        <v>2</v>
      </c>
      <c r="M4188">
        <v>2</v>
      </c>
      <c r="O4188" s="31"/>
    </row>
    <row r="4189" spans="10:15" x14ac:dyDescent="0.25">
      <c r="J4189" t="s">
        <v>1877</v>
      </c>
      <c r="K4189" s="22" t="s">
        <v>29</v>
      </c>
      <c r="L4189">
        <v>1</v>
      </c>
      <c r="M4189">
        <v>1</v>
      </c>
    </row>
    <row r="4190" spans="10:15" x14ac:dyDescent="0.25">
      <c r="J4190" t="s">
        <v>1877</v>
      </c>
      <c r="K4190" s="22" t="s">
        <v>22</v>
      </c>
      <c r="L4190">
        <v>2</v>
      </c>
      <c r="O4190" s="30"/>
    </row>
    <row r="4191" spans="10:15" x14ac:dyDescent="0.25">
      <c r="J4191" t="s">
        <v>1008</v>
      </c>
      <c r="K4191" s="22" t="s">
        <v>29</v>
      </c>
      <c r="L4191">
        <v>1</v>
      </c>
      <c r="M4191">
        <v>1</v>
      </c>
    </row>
    <row r="4192" spans="10:15" x14ac:dyDescent="0.25">
      <c r="J4192" t="s">
        <v>904</v>
      </c>
      <c r="K4192" s="22" t="s">
        <v>29</v>
      </c>
      <c r="L4192">
        <v>2</v>
      </c>
    </row>
    <row r="4193" spans="10:15" x14ac:dyDescent="0.25">
      <c r="J4193" t="s">
        <v>904</v>
      </c>
      <c r="K4193" s="22" t="s">
        <v>31</v>
      </c>
      <c r="L4193">
        <v>2</v>
      </c>
    </row>
    <row r="4194" spans="10:15" x14ac:dyDescent="0.25">
      <c r="J4194" t="s">
        <v>964</v>
      </c>
      <c r="K4194" s="22" t="s">
        <v>29</v>
      </c>
      <c r="L4194">
        <v>4</v>
      </c>
      <c r="M4194">
        <v>4</v>
      </c>
      <c r="O4194" s="31"/>
    </row>
    <row r="4195" spans="10:15" x14ac:dyDescent="0.25">
      <c r="J4195" t="s">
        <v>1974</v>
      </c>
      <c r="K4195" s="22" t="s">
        <v>29</v>
      </c>
      <c r="L4195">
        <v>1</v>
      </c>
      <c r="M4195">
        <v>1</v>
      </c>
      <c r="O4195" s="31"/>
    </row>
    <row r="4196" spans="10:15" x14ac:dyDescent="0.25">
      <c r="J4196" t="s">
        <v>1974</v>
      </c>
      <c r="K4196" s="22" t="s">
        <v>22</v>
      </c>
      <c r="L4196">
        <v>1</v>
      </c>
    </row>
    <row r="4197" spans="10:15" x14ac:dyDescent="0.25">
      <c r="J4197" t="s">
        <v>2908</v>
      </c>
      <c r="K4197" s="22" t="s">
        <v>29</v>
      </c>
      <c r="L4197">
        <v>2</v>
      </c>
      <c r="M4197">
        <v>2</v>
      </c>
      <c r="O4197" s="31"/>
    </row>
    <row r="4198" spans="10:15" x14ac:dyDescent="0.25">
      <c r="J4198" t="s">
        <v>2908</v>
      </c>
      <c r="K4198" s="22" t="s">
        <v>31</v>
      </c>
      <c r="L4198">
        <v>1</v>
      </c>
    </row>
    <row r="4199" spans="10:15" x14ac:dyDescent="0.25">
      <c r="J4199" t="s">
        <v>992</v>
      </c>
      <c r="K4199" s="22" t="s">
        <v>29</v>
      </c>
      <c r="L4199">
        <v>2</v>
      </c>
      <c r="M4199">
        <v>2</v>
      </c>
      <c r="O4199" s="31"/>
    </row>
    <row r="4200" spans="10:15" x14ac:dyDescent="0.25">
      <c r="J4200" t="s">
        <v>2840</v>
      </c>
      <c r="K4200" s="22" t="s">
        <v>28</v>
      </c>
      <c r="L4200">
        <v>2</v>
      </c>
      <c r="O4200" s="30"/>
    </row>
    <row r="4201" spans="10:15" x14ac:dyDescent="0.25">
      <c r="J4201" t="s">
        <v>2840</v>
      </c>
      <c r="K4201" s="22" t="s">
        <v>35</v>
      </c>
      <c r="L4201">
        <v>1</v>
      </c>
    </row>
    <row r="4202" spans="10:15" x14ac:dyDescent="0.25">
      <c r="J4202" t="s">
        <v>2261</v>
      </c>
      <c r="K4202" s="22" t="s">
        <v>28</v>
      </c>
      <c r="L4202">
        <v>3</v>
      </c>
      <c r="M4202">
        <v>3</v>
      </c>
      <c r="O4202" s="31"/>
    </row>
    <row r="4203" spans="10:15" x14ac:dyDescent="0.25">
      <c r="J4203" t="s">
        <v>1382</v>
      </c>
      <c r="K4203" s="22" t="s">
        <v>28</v>
      </c>
      <c r="L4203">
        <v>1</v>
      </c>
    </row>
    <row r="4204" spans="10:15" x14ac:dyDescent="0.25">
      <c r="J4204" t="s">
        <v>1382</v>
      </c>
      <c r="K4204" s="22" t="s">
        <v>22</v>
      </c>
      <c r="L4204">
        <v>3</v>
      </c>
      <c r="M4204">
        <v>3</v>
      </c>
      <c r="O4204" s="31"/>
    </row>
    <row r="4205" spans="10:15" x14ac:dyDescent="0.25">
      <c r="J4205" t="s">
        <v>2052</v>
      </c>
      <c r="K4205" s="22" t="s">
        <v>28</v>
      </c>
      <c r="L4205">
        <v>1</v>
      </c>
    </row>
    <row r="4206" spans="10:15" x14ac:dyDescent="0.25">
      <c r="J4206" t="s">
        <v>2052</v>
      </c>
      <c r="K4206" s="22" t="s">
        <v>31</v>
      </c>
      <c r="L4206">
        <v>2</v>
      </c>
      <c r="M4206">
        <v>2</v>
      </c>
    </row>
    <row r="4207" spans="10:15" x14ac:dyDescent="0.25">
      <c r="J4207" t="s">
        <v>2733</v>
      </c>
      <c r="K4207" s="22" t="s">
        <v>22</v>
      </c>
      <c r="L4207">
        <v>6</v>
      </c>
      <c r="M4207">
        <v>6</v>
      </c>
      <c r="O4207" s="31"/>
    </row>
    <row r="4208" spans="10:15" x14ac:dyDescent="0.25">
      <c r="J4208" t="s">
        <v>2263</v>
      </c>
      <c r="K4208" s="22" t="s">
        <v>31</v>
      </c>
      <c r="L4208">
        <v>3</v>
      </c>
      <c r="M4208">
        <v>3</v>
      </c>
      <c r="O4208" s="31"/>
    </row>
    <row r="4209" spans="10:15" x14ac:dyDescent="0.25">
      <c r="J4209" t="s">
        <v>1288</v>
      </c>
      <c r="K4209" s="22" t="s">
        <v>31</v>
      </c>
      <c r="L4209">
        <v>2</v>
      </c>
      <c r="M4209">
        <v>2</v>
      </c>
      <c r="O4209" s="31"/>
    </row>
    <row r="4210" spans="10:15" x14ac:dyDescent="0.25">
      <c r="J4210" t="s">
        <v>2823</v>
      </c>
      <c r="K4210" s="22" t="s">
        <v>31</v>
      </c>
      <c r="L4210">
        <v>1</v>
      </c>
      <c r="M4210">
        <v>1</v>
      </c>
    </row>
    <row r="4211" spans="10:15" x14ac:dyDescent="0.25">
      <c r="J4211" t="s">
        <v>3198</v>
      </c>
      <c r="K4211" s="22" t="s">
        <v>31</v>
      </c>
      <c r="L4211">
        <v>3</v>
      </c>
      <c r="M4211">
        <v>3</v>
      </c>
      <c r="O4211" s="31"/>
    </row>
    <row r="4212" spans="10:15" x14ac:dyDescent="0.25">
      <c r="J4212" t="s">
        <v>1115</v>
      </c>
      <c r="K4212" s="22" t="s">
        <v>22</v>
      </c>
      <c r="L4212">
        <v>5</v>
      </c>
      <c r="M4212">
        <v>5</v>
      </c>
      <c r="O4212" s="31"/>
    </row>
    <row r="4213" spans="10:15" x14ac:dyDescent="0.25">
      <c r="J4213" t="s">
        <v>1168</v>
      </c>
      <c r="K4213" s="22" t="s">
        <v>28</v>
      </c>
      <c r="L4213">
        <v>3</v>
      </c>
      <c r="O4213" s="30"/>
    </row>
    <row r="4214" spans="10:15" x14ac:dyDescent="0.25">
      <c r="J4214" t="s">
        <v>1168</v>
      </c>
      <c r="K4214" s="22" t="s">
        <v>35</v>
      </c>
      <c r="L4214">
        <v>1</v>
      </c>
    </row>
    <row r="4215" spans="10:15" x14ac:dyDescent="0.25">
      <c r="J4215" t="s">
        <v>1745</v>
      </c>
      <c r="K4215" s="22" t="s">
        <v>28</v>
      </c>
      <c r="L4215">
        <v>1</v>
      </c>
    </row>
    <row r="4216" spans="10:15" x14ac:dyDescent="0.25">
      <c r="J4216" t="s">
        <v>1745</v>
      </c>
      <c r="K4216" s="22" t="s">
        <v>35</v>
      </c>
      <c r="L4216">
        <v>2</v>
      </c>
      <c r="O4216" s="30"/>
    </row>
    <row r="4217" spans="10:15" x14ac:dyDescent="0.25">
      <c r="J4217" t="s">
        <v>2981</v>
      </c>
      <c r="K4217" s="22" t="s">
        <v>31</v>
      </c>
      <c r="L4217">
        <v>1</v>
      </c>
    </row>
    <row r="4218" spans="10:15" x14ac:dyDescent="0.25">
      <c r="J4218" t="s">
        <v>952</v>
      </c>
      <c r="K4218" s="22" t="s">
        <v>22</v>
      </c>
      <c r="L4218">
        <v>1</v>
      </c>
    </row>
    <row r="4219" spans="10:15" x14ac:dyDescent="0.25">
      <c r="J4219" t="s">
        <v>952</v>
      </c>
      <c r="K4219" s="22" t="s">
        <v>31</v>
      </c>
      <c r="L4219">
        <v>1</v>
      </c>
    </row>
    <row r="4220" spans="10:15" x14ac:dyDescent="0.25">
      <c r="J4220" t="s">
        <v>2339</v>
      </c>
      <c r="K4220" s="22" t="s">
        <v>22</v>
      </c>
      <c r="L4220">
        <v>1</v>
      </c>
    </row>
    <row r="4221" spans="10:15" x14ac:dyDescent="0.25">
      <c r="J4221" t="s">
        <v>2668</v>
      </c>
      <c r="K4221" s="22" t="s">
        <v>31</v>
      </c>
      <c r="L4221">
        <v>1</v>
      </c>
    </row>
    <row r="4222" spans="10:15" x14ac:dyDescent="0.25">
      <c r="J4222" t="s">
        <v>27</v>
      </c>
      <c r="K4222" s="22" t="s">
        <v>20</v>
      </c>
      <c r="L4222">
        <v>14</v>
      </c>
      <c r="M4222">
        <v>7</v>
      </c>
      <c r="O4222" s="31"/>
    </row>
    <row r="4223" spans="10:15" x14ac:dyDescent="0.25">
      <c r="J4223" t="s">
        <v>27</v>
      </c>
      <c r="K4223" s="22" t="s">
        <v>30</v>
      </c>
      <c r="L4223">
        <v>21</v>
      </c>
      <c r="M4223">
        <v>16</v>
      </c>
      <c r="O4223" s="31"/>
    </row>
    <row r="4224" spans="10:15" x14ac:dyDescent="0.25">
      <c r="J4224" t="s">
        <v>27</v>
      </c>
      <c r="K4224" s="22" t="s">
        <v>29</v>
      </c>
      <c r="L4224">
        <v>19</v>
      </c>
      <c r="M4224">
        <v>18</v>
      </c>
      <c r="O4224" s="31"/>
    </row>
    <row r="4225" spans="10:15" x14ac:dyDescent="0.25">
      <c r="J4225" t="s">
        <v>27</v>
      </c>
      <c r="K4225" s="22" t="s">
        <v>28</v>
      </c>
      <c r="L4225">
        <v>6</v>
      </c>
      <c r="M4225">
        <v>5</v>
      </c>
      <c r="O4225" s="31"/>
    </row>
    <row r="4226" spans="10:15" x14ac:dyDescent="0.25">
      <c r="J4226" t="s">
        <v>27</v>
      </c>
      <c r="K4226" s="22" t="s">
        <v>35</v>
      </c>
      <c r="L4226">
        <v>6</v>
      </c>
      <c r="M4226">
        <v>5</v>
      </c>
      <c r="O4226" s="31"/>
    </row>
    <row r="4227" spans="10:15" x14ac:dyDescent="0.25">
      <c r="J4227" t="s">
        <v>27</v>
      </c>
      <c r="K4227" s="22" t="s">
        <v>31</v>
      </c>
      <c r="L4227">
        <v>12</v>
      </c>
      <c r="M4227">
        <v>11</v>
      </c>
      <c r="O4227" s="31"/>
    </row>
    <row r="4228" spans="10:15" x14ac:dyDescent="0.25">
      <c r="J4228" t="s">
        <v>280</v>
      </c>
      <c r="K4228" s="22" t="s">
        <v>20</v>
      </c>
      <c r="L4228">
        <v>3</v>
      </c>
      <c r="M4228">
        <v>1</v>
      </c>
      <c r="O4228" s="30"/>
    </row>
    <row r="4229" spans="10:15" x14ac:dyDescent="0.25">
      <c r="J4229" t="s">
        <v>280</v>
      </c>
      <c r="K4229" s="22" t="s">
        <v>30</v>
      </c>
      <c r="L4229">
        <v>6</v>
      </c>
      <c r="M4229">
        <v>2</v>
      </c>
      <c r="O4229" s="31"/>
    </row>
    <row r="4230" spans="10:15" x14ac:dyDescent="0.25">
      <c r="J4230" t="s">
        <v>280</v>
      </c>
      <c r="K4230" s="22" t="s">
        <v>28</v>
      </c>
      <c r="L4230">
        <v>1</v>
      </c>
    </row>
    <row r="4231" spans="10:15" x14ac:dyDescent="0.25">
      <c r="J4231" t="s">
        <v>280</v>
      </c>
      <c r="K4231" s="22" t="s">
        <v>35</v>
      </c>
      <c r="L4231">
        <v>3</v>
      </c>
      <c r="M4231">
        <v>2</v>
      </c>
      <c r="O4231" s="31"/>
    </row>
    <row r="4232" spans="10:15" x14ac:dyDescent="0.25">
      <c r="J4232" t="s">
        <v>280</v>
      </c>
      <c r="K4232" s="22" t="s">
        <v>22</v>
      </c>
      <c r="L4232">
        <v>1</v>
      </c>
      <c r="M4232">
        <v>1</v>
      </c>
    </row>
    <row r="4233" spans="10:15" x14ac:dyDescent="0.25">
      <c r="J4233" t="s">
        <v>2523</v>
      </c>
      <c r="K4233" s="22" t="s">
        <v>28</v>
      </c>
      <c r="L4233">
        <v>1</v>
      </c>
      <c r="M4233">
        <v>1</v>
      </c>
    </row>
    <row r="4234" spans="10:15" x14ac:dyDescent="0.25">
      <c r="J4234" t="s">
        <v>1861</v>
      </c>
      <c r="K4234" s="22" t="s">
        <v>20</v>
      </c>
      <c r="L4234">
        <v>2</v>
      </c>
      <c r="O4234" s="30"/>
    </row>
    <row r="4235" spans="10:15" x14ac:dyDescent="0.25">
      <c r="J4235" t="s">
        <v>1861</v>
      </c>
      <c r="K4235" s="22" t="s">
        <v>30</v>
      </c>
      <c r="L4235">
        <v>4</v>
      </c>
      <c r="M4235">
        <v>2</v>
      </c>
      <c r="O4235" s="30"/>
    </row>
    <row r="4236" spans="10:15" x14ac:dyDescent="0.25">
      <c r="J4236" t="s">
        <v>1861</v>
      </c>
      <c r="K4236" s="22" t="s">
        <v>29</v>
      </c>
      <c r="L4236">
        <v>3</v>
      </c>
      <c r="M4236">
        <v>1</v>
      </c>
      <c r="O4236" s="31"/>
    </row>
    <row r="4237" spans="10:15" x14ac:dyDescent="0.25">
      <c r="J4237" t="s">
        <v>1861</v>
      </c>
      <c r="K4237" s="22" t="s">
        <v>28</v>
      </c>
      <c r="L4237">
        <v>3</v>
      </c>
      <c r="M4237">
        <v>1</v>
      </c>
      <c r="O4237" s="30"/>
    </row>
    <row r="4238" spans="10:15" x14ac:dyDescent="0.25">
      <c r="J4238" t="s">
        <v>1861</v>
      </c>
      <c r="K4238" s="22" t="s">
        <v>35</v>
      </c>
      <c r="L4238">
        <v>3</v>
      </c>
      <c r="O4238" s="30"/>
    </row>
    <row r="4239" spans="10:15" x14ac:dyDescent="0.25">
      <c r="J4239" t="s">
        <v>1861</v>
      </c>
      <c r="K4239" s="22" t="s">
        <v>31</v>
      </c>
      <c r="L4239">
        <v>1</v>
      </c>
      <c r="O4239" s="30"/>
    </row>
    <row r="4240" spans="10:15" x14ac:dyDescent="0.25">
      <c r="J4240" t="s">
        <v>1127</v>
      </c>
      <c r="K4240" s="22" t="s">
        <v>29</v>
      </c>
      <c r="L4240">
        <v>3</v>
      </c>
      <c r="M4240">
        <v>3</v>
      </c>
      <c r="O4240" s="31"/>
    </row>
    <row r="4241" spans="10:15" x14ac:dyDescent="0.25">
      <c r="J4241" t="s">
        <v>625</v>
      </c>
      <c r="K4241" s="22" t="s">
        <v>20</v>
      </c>
      <c r="L4241">
        <v>4</v>
      </c>
      <c r="M4241">
        <v>4</v>
      </c>
      <c r="O4241" s="31"/>
    </row>
    <row r="4242" spans="10:15" x14ac:dyDescent="0.25">
      <c r="J4242" t="s">
        <v>3105</v>
      </c>
      <c r="K4242" s="22" t="s">
        <v>30</v>
      </c>
      <c r="L4242">
        <v>3</v>
      </c>
      <c r="M4242">
        <v>3</v>
      </c>
      <c r="O4242" s="31"/>
    </row>
    <row r="4243" spans="10:15" x14ac:dyDescent="0.25">
      <c r="J4243" t="s">
        <v>2139</v>
      </c>
      <c r="K4243" s="22" t="s">
        <v>30</v>
      </c>
      <c r="L4243">
        <v>2</v>
      </c>
      <c r="M4243">
        <v>2</v>
      </c>
      <c r="O4243" s="31"/>
    </row>
    <row r="4244" spans="10:15" x14ac:dyDescent="0.25">
      <c r="J4244" t="s">
        <v>2139</v>
      </c>
      <c r="K4244" s="22" t="s">
        <v>28</v>
      </c>
      <c r="L4244">
        <v>1</v>
      </c>
    </row>
    <row r="4245" spans="10:15" x14ac:dyDescent="0.25">
      <c r="J4245" t="s">
        <v>2214</v>
      </c>
      <c r="K4245" s="22" t="s">
        <v>29</v>
      </c>
      <c r="L4245">
        <v>5</v>
      </c>
      <c r="M4245">
        <v>4</v>
      </c>
      <c r="O4245" s="30"/>
    </row>
    <row r="4246" spans="10:15" x14ac:dyDescent="0.25">
      <c r="J4246" t="s">
        <v>2214</v>
      </c>
      <c r="K4246" s="22" t="s">
        <v>28</v>
      </c>
      <c r="L4246">
        <v>1</v>
      </c>
      <c r="M4246">
        <v>1</v>
      </c>
      <c r="O4246" s="31"/>
    </row>
    <row r="4247" spans="10:15" x14ac:dyDescent="0.25">
      <c r="J4247" t="s">
        <v>1492</v>
      </c>
      <c r="K4247" s="22" t="s">
        <v>29</v>
      </c>
      <c r="L4247">
        <v>6</v>
      </c>
      <c r="M4247">
        <v>6</v>
      </c>
      <c r="O4247" s="31"/>
    </row>
    <row r="4248" spans="10:15" x14ac:dyDescent="0.25">
      <c r="J4248" t="s">
        <v>942</v>
      </c>
      <c r="K4248" s="22" t="s">
        <v>30</v>
      </c>
      <c r="L4248">
        <v>2</v>
      </c>
      <c r="M4248">
        <v>1</v>
      </c>
    </row>
    <row r="4249" spans="10:15" x14ac:dyDescent="0.25">
      <c r="J4249" t="s">
        <v>942</v>
      </c>
      <c r="K4249" s="22" t="s">
        <v>31</v>
      </c>
      <c r="L4249">
        <v>1</v>
      </c>
      <c r="O4249" s="30"/>
    </row>
    <row r="4250" spans="10:15" x14ac:dyDescent="0.25">
      <c r="J4250" t="s">
        <v>1976</v>
      </c>
      <c r="K4250" s="22" t="s">
        <v>28</v>
      </c>
      <c r="L4250">
        <v>2</v>
      </c>
      <c r="M4250">
        <v>2</v>
      </c>
    </row>
    <row r="4251" spans="10:15" x14ac:dyDescent="0.25">
      <c r="J4251" t="s">
        <v>1060</v>
      </c>
      <c r="K4251" s="22" t="s">
        <v>35</v>
      </c>
      <c r="L4251">
        <v>3</v>
      </c>
      <c r="M4251">
        <v>3</v>
      </c>
      <c r="O4251" s="31"/>
    </row>
    <row r="4252" spans="10:15" x14ac:dyDescent="0.25">
      <c r="J4252" t="s">
        <v>781</v>
      </c>
      <c r="K4252" s="22" t="s">
        <v>20</v>
      </c>
      <c r="L4252">
        <v>2</v>
      </c>
    </row>
    <row r="4253" spans="10:15" x14ac:dyDescent="0.25">
      <c r="J4253" t="s">
        <v>781</v>
      </c>
      <c r="K4253" s="22" t="s">
        <v>30</v>
      </c>
      <c r="L4253">
        <v>3</v>
      </c>
      <c r="O4253" s="30"/>
    </row>
    <row r="4254" spans="10:15" x14ac:dyDescent="0.25">
      <c r="J4254" t="s">
        <v>781</v>
      </c>
      <c r="K4254" s="22" t="s">
        <v>29</v>
      </c>
      <c r="L4254">
        <v>2</v>
      </c>
      <c r="M4254">
        <v>1</v>
      </c>
      <c r="O4254" s="30"/>
    </row>
    <row r="4255" spans="10:15" x14ac:dyDescent="0.25">
      <c r="J4255" t="s">
        <v>1203</v>
      </c>
      <c r="K4255" s="22" t="s">
        <v>20</v>
      </c>
      <c r="L4255">
        <v>2</v>
      </c>
      <c r="M4255">
        <v>1</v>
      </c>
      <c r="O4255" s="31"/>
    </row>
    <row r="4256" spans="10:15" x14ac:dyDescent="0.25">
      <c r="J4256" t="s">
        <v>1203</v>
      </c>
      <c r="K4256" s="22" t="s">
        <v>30</v>
      </c>
      <c r="L4256">
        <v>3</v>
      </c>
      <c r="M4256">
        <v>2</v>
      </c>
      <c r="O4256" s="30"/>
    </row>
    <row r="4257" spans="10:15" x14ac:dyDescent="0.25">
      <c r="J4257" t="s">
        <v>1203</v>
      </c>
      <c r="K4257" s="22" t="s">
        <v>29</v>
      </c>
      <c r="L4257">
        <v>1</v>
      </c>
      <c r="M4257">
        <v>1</v>
      </c>
      <c r="O4257" s="31"/>
    </row>
    <row r="4258" spans="10:15" x14ac:dyDescent="0.25">
      <c r="J4258" t="s">
        <v>3505</v>
      </c>
      <c r="K4258" s="22" t="s">
        <v>30</v>
      </c>
      <c r="L4258">
        <v>1</v>
      </c>
      <c r="O4258" s="30"/>
    </row>
    <row r="4259" spans="10:15" x14ac:dyDescent="0.25">
      <c r="J4259" t="s">
        <v>2829</v>
      </c>
      <c r="K4259" s="22" t="s">
        <v>29</v>
      </c>
      <c r="L4259">
        <v>2</v>
      </c>
      <c r="M4259">
        <v>1</v>
      </c>
    </row>
    <row r="4260" spans="10:15" x14ac:dyDescent="0.25">
      <c r="J4260" t="s">
        <v>2317</v>
      </c>
      <c r="K4260" s="22" t="s">
        <v>20</v>
      </c>
      <c r="L4260">
        <v>6</v>
      </c>
      <c r="M4260">
        <v>1</v>
      </c>
      <c r="O4260" s="30"/>
    </row>
    <row r="4261" spans="10:15" x14ac:dyDescent="0.25">
      <c r="J4261" t="s">
        <v>2317</v>
      </c>
      <c r="K4261" s="22" t="s">
        <v>30</v>
      </c>
      <c r="L4261">
        <v>2</v>
      </c>
      <c r="M4261">
        <v>1</v>
      </c>
      <c r="O4261" s="30"/>
    </row>
    <row r="4262" spans="10:15" x14ac:dyDescent="0.25">
      <c r="J4262" t="s">
        <v>2317</v>
      </c>
      <c r="K4262" s="22" t="s">
        <v>29</v>
      </c>
      <c r="L4262">
        <v>2</v>
      </c>
      <c r="M4262">
        <v>1</v>
      </c>
      <c r="O4262" s="30"/>
    </row>
    <row r="4263" spans="10:15" x14ac:dyDescent="0.25">
      <c r="J4263" t="s">
        <v>2317</v>
      </c>
      <c r="K4263" s="22" t="s">
        <v>35</v>
      </c>
      <c r="L4263">
        <v>3</v>
      </c>
      <c r="M4263">
        <v>2</v>
      </c>
      <c r="O4263" s="31"/>
    </row>
    <row r="4264" spans="10:15" x14ac:dyDescent="0.25">
      <c r="J4264" t="s">
        <v>2317</v>
      </c>
      <c r="K4264" s="22" t="s">
        <v>31</v>
      </c>
      <c r="L4264">
        <v>2</v>
      </c>
      <c r="M4264">
        <v>1</v>
      </c>
      <c r="O4264" s="31"/>
    </row>
    <row r="4265" spans="10:15" x14ac:dyDescent="0.25">
      <c r="J4265" t="s">
        <v>1902</v>
      </c>
      <c r="K4265" s="22" t="s">
        <v>35</v>
      </c>
      <c r="L4265">
        <v>6</v>
      </c>
      <c r="M4265">
        <v>6</v>
      </c>
      <c r="O4265" s="31"/>
    </row>
    <row r="4266" spans="10:15" x14ac:dyDescent="0.25">
      <c r="J4266" t="s">
        <v>1902</v>
      </c>
      <c r="K4266" s="22" t="s">
        <v>22</v>
      </c>
      <c r="L4266">
        <v>7</v>
      </c>
      <c r="M4266">
        <v>5</v>
      </c>
      <c r="O4266" s="31"/>
    </row>
    <row r="4267" spans="10:15" x14ac:dyDescent="0.25">
      <c r="J4267" t="s">
        <v>2374</v>
      </c>
      <c r="K4267" s="22" t="s">
        <v>20</v>
      </c>
      <c r="L4267">
        <v>2</v>
      </c>
      <c r="M4267">
        <v>2</v>
      </c>
      <c r="O4267" s="31"/>
    </row>
    <row r="4268" spans="10:15" x14ac:dyDescent="0.25">
      <c r="J4268" t="s">
        <v>2501</v>
      </c>
      <c r="K4268" s="22" t="s">
        <v>20</v>
      </c>
      <c r="L4268">
        <v>1</v>
      </c>
    </row>
    <row r="4269" spans="10:15" x14ac:dyDescent="0.25">
      <c r="J4269" t="s">
        <v>2501</v>
      </c>
      <c r="K4269" s="22" t="s">
        <v>30</v>
      </c>
      <c r="L4269">
        <v>1</v>
      </c>
      <c r="O4269" s="30"/>
    </row>
    <row r="4270" spans="10:15" x14ac:dyDescent="0.25">
      <c r="J4270" t="s">
        <v>2501</v>
      </c>
      <c r="K4270" s="22" t="s">
        <v>35</v>
      </c>
      <c r="L4270">
        <v>1</v>
      </c>
      <c r="O4270" s="30"/>
    </row>
    <row r="4271" spans="10:15" x14ac:dyDescent="0.25">
      <c r="J4271" t="s">
        <v>2890</v>
      </c>
      <c r="K4271" s="22" t="s">
        <v>20</v>
      </c>
      <c r="L4271">
        <v>3</v>
      </c>
      <c r="M4271">
        <v>3</v>
      </c>
      <c r="O4271" s="31"/>
    </row>
    <row r="4272" spans="10:15" x14ac:dyDescent="0.25">
      <c r="J4272" t="s">
        <v>2671</v>
      </c>
      <c r="K4272" s="22" t="s">
        <v>22</v>
      </c>
      <c r="L4272">
        <v>3</v>
      </c>
      <c r="M4272">
        <v>3</v>
      </c>
      <c r="O4272" s="31"/>
    </row>
    <row r="4273" spans="10:15" x14ac:dyDescent="0.25">
      <c r="J4273" t="s">
        <v>2435</v>
      </c>
      <c r="K4273" s="22" t="s">
        <v>30</v>
      </c>
      <c r="L4273">
        <v>1</v>
      </c>
      <c r="M4273">
        <v>1</v>
      </c>
    </row>
    <row r="4274" spans="10:15" x14ac:dyDescent="0.25">
      <c r="J4274" t="s">
        <v>2435</v>
      </c>
      <c r="K4274" s="22" t="s">
        <v>29</v>
      </c>
      <c r="L4274">
        <v>2</v>
      </c>
      <c r="M4274">
        <v>1</v>
      </c>
      <c r="O4274" s="31"/>
    </row>
    <row r="4275" spans="10:15" x14ac:dyDescent="0.25">
      <c r="J4275" t="s">
        <v>3132</v>
      </c>
      <c r="K4275" s="22" t="s">
        <v>20</v>
      </c>
      <c r="L4275">
        <v>1</v>
      </c>
      <c r="M4275">
        <v>1</v>
      </c>
      <c r="O4275" s="31"/>
    </row>
    <row r="4276" spans="10:15" x14ac:dyDescent="0.25">
      <c r="J4276" t="s">
        <v>1235</v>
      </c>
      <c r="K4276" s="22" t="s">
        <v>29</v>
      </c>
      <c r="L4276">
        <v>2</v>
      </c>
      <c r="M4276">
        <v>2</v>
      </c>
      <c r="O4276" s="31"/>
    </row>
    <row r="4277" spans="10:15" x14ac:dyDescent="0.25">
      <c r="J4277" t="s">
        <v>1145</v>
      </c>
      <c r="K4277" s="22" t="s">
        <v>20</v>
      </c>
      <c r="L4277">
        <v>2</v>
      </c>
      <c r="M4277">
        <v>1</v>
      </c>
      <c r="O4277" s="30"/>
    </row>
    <row r="4278" spans="10:15" x14ac:dyDescent="0.25">
      <c r="J4278" t="s">
        <v>1145</v>
      </c>
      <c r="K4278" s="22" t="s">
        <v>30</v>
      </c>
      <c r="L4278">
        <v>1</v>
      </c>
    </row>
    <row r="4279" spans="10:15" x14ac:dyDescent="0.25">
      <c r="J4279" t="s">
        <v>1238</v>
      </c>
      <c r="K4279" s="22" t="s">
        <v>29</v>
      </c>
      <c r="L4279">
        <v>2</v>
      </c>
      <c r="M4279">
        <v>2</v>
      </c>
    </row>
    <row r="4280" spans="10:15" x14ac:dyDescent="0.25">
      <c r="J4280" t="s">
        <v>1939</v>
      </c>
      <c r="K4280" s="22" t="s">
        <v>20</v>
      </c>
      <c r="L4280">
        <v>1</v>
      </c>
      <c r="M4280">
        <v>1</v>
      </c>
    </row>
    <row r="4281" spans="10:15" x14ac:dyDescent="0.25">
      <c r="J4281" t="s">
        <v>217</v>
      </c>
      <c r="K4281" s="22" t="s">
        <v>30</v>
      </c>
      <c r="L4281">
        <v>15</v>
      </c>
      <c r="M4281">
        <v>15</v>
      </c>
      <c r="O4281" s="31"/>
    </row>
    <row r="4282" spans="10:15" x14ac:dyDescent="0.25">
      <c r="J4282" t="s">
        <v>2185</v>
      </c>
      <c r="K4282" s="22" t="s">
        <v>28</v>
      </c>
      <c r="L4282">
        <v>1</v>
      </c>
    </row>
    <row r="4283" spans="10:15" x14ac:dyDescent="0.25">
      <c r="J4283" t="s">
        <v>2185</v>
      </c>
      <c r="K4283" s="22" t="s">
        <v>35</v>
      </c>
      <c r="L4283">
        <v>2</v>
      </c>
      <c r="M4283">
        <v>2</v>
      </c>
      <c r="O4283" s="31"/>
    </row>
    <row r="4284" spans="10:15" x14ac:dyDescent="0.25">
      <c r="J4284" t="s">
        <v>1353</v>
      </c>
      <c r="K4284" s="22" t="s">
        <v>31</v>
      </c>
      <c r="L4284">
        <v>5</v>
      </c>
      <c r="M4284">
        <v>5</v>
      </c>
      <c r="O4284" s="31"/>
    </row>
    <row r="4285" spans="10:15" x14ac:dyDescent="0.25">
      <c r="J4285" t="s">
        <v>2719</v>
      </c>
      <c r="K4285" s="22" t="s">
        <v>20</v>
      </c>
      <c r="L4285">
        <v>2</v>
      </c>
      <c r="O4285" s="30"/>
    </row>
    <row r="4286" spans="10:15" x14ac:dyDescent="0.25">
      <c r="J4286" t="s">
        <v>2719</v>
      </c>
      <c r="K4286" s="22" t="s">
        <v>30</v>
      </c>
      <c r="L4286">
        <v>1</v>
      </c>
      <c r="O4286" s="30"/>
    </row>
    <row r="4287" spans="10:15" x14ac:dyDescent="0.25">
      <c r="J4287" t="s">
        <v>2719</v>
      </c>
      <c r="K4287" s="22" t="s">
        <v>28</v>
      </c>
      <c r="L4287">
        <v>1</v>
      </c>
    </row>
    <row r="4288" spans="10:15" x14ac:dyDescent="0.25">
      <c r="J4288" t="s">
        <v>2719</v>
      </c>
      <c r="K4288" s="22" t="s">
        <v>22</v>
      </c>
      <c r="L4288">
        <v>1</v>
      </c>
      <c r="O4288" s="30"/>
    </row>
    <row r="4289" spans="10:15" x14ac:dyDescent="0.25">
      <c r="J4289" t="s">
        <v>1162</v>
      </c>
      <c r="K4289" s="22" t="s">
        <v>20</v>
      </c>
      <c r="L4289">
        <v>3</v>
      </c>
      <c r="O4289" s="30"/>
    </row>
    <row r="4290" spans="10:15" x14ac:dyDescent="0.25">
      <c r="J4290" t="s">
        <v>1162</v>
      </c>
      <c r="K4290" s="22" t="s">
        <v>30</v>
      </c>
      <c r="L4290">
        <v>3</v>
      </c>
    </row>
    <row r="4291" spans="10:15" x14ac:dyDescent="0.25">
      <c r="J4291" t="s">
        <v>1162</v>
      </c>
      <c r="K4291" s="22" t="s">
        <v>31</v>
      </c>
      <c r="L4291">
        <v>4</v>
      </c>
      <c r="M4291">
        <v>4</v>
      </c>
      <c r="O4291" s="31"/>
    </row>
    <row r="4292" spans="10:15" x14ac:dyDescent="0.25">
      <c r="J4292" t="s">
        <v>191</v>
      </c>
      <c r="K4292" s="22" t="s">
        <v>31</v>
      </c>
      <c r="L4292">
        <v>6</v>
      </c>
      <c r="M4292">
        <v>6</v>
      </c>
      <c r="O4292" s="31"/>
    </row>
    <row r="4293" spans="10:15" x14ac:dyDescent="0.25">
      <c r="J4293" t="s">
        <v>2754</v>
      </c>
      <c r="K4293" s="22" t="s">
        <v>22</v>
      </c>
      <c r="L4293">
        <v>1</v>
      </c>
    </row>
    <row r="4294" spans="10:15" x14ac:dyDescent="0.25">
      <c r="J4294" t="s">
        <v>1248</v>
      </c>
      <c r="K4294" s="22" t="s">
        <v>20</v>
      </c>
      <c r="L4294">
        <v>4</v>
      </c>
      <c r="M4294">
        <v>4</v>
      </c>
      <c r="O4294" s="31"/>
    </row>
    <row r="4295" spans="10:15" x14ac:dyDescent="0.25">
      <c r="J4295" t="s">
        <v>1993</v>
      </c>
      <c r="K4295" s="22" t="s">
        <v>31</v>
      </c>
      <c r="L4295">
        <v>4</v>
      </c>
      <c r="M4295">
        <v>4</v>
      </c>
      <c r="O4295" s="31"/>
    </row>
    <row r="4296" spans="10:15" x14ac:dyDescent="0.25">
      <c r="J4296" t="s">
        <v>1792</v>
      </c>
      <c r="K4296" s="22" t="s">
        <v>30</v>
      </c>
      <c r="L4296">
        <v>1</v>
      </c>
    </row>
    <row r="4297" spans="10:15" x14ac:dyDescent="0.25">
      <c r="J4297" t="s">
        <v>1301</v>
      </c>
      <c r="K4297" s="22" t="s">
        <v>20</v>
      </c>
      <c r="L4297">
        <v>4</v>
      </c>
      <c r="O4297" s="30"/>
    </row>
    <row r="4298" spans="10:15" x14ac:dyDescent="0.25">
      <c r="J4298" t="s">
        <v>1301</v>
      </c>
      <c r="K4298" s="22" t="s">
        <v>30</v>
      </c>
      <c r="L4298">
        <v>22</v>
      </c>
      <c r="M4298">
        <v>2</v>
      </c>
      <c r="O4298" s="30"/>
    </row>
    <row r="4299" spans="10:15" x14ac:dyDescent="0.25">
      <c r="J4299" t="s">
        <v>1301</v>
      </c>
      <c r="K4299" s="22" t="s">
        <v>28</v>
      </c>
      <c r="L4299">
        <v>2</v>
      </c>
      <c r="O4299" s="30"/>
    </row>
    <row r="4300" spans="10:15" x14ac:dyDescent="0.25">
      <c r="J4300" t="s">
        <v>1301</v>
      </c>
      <c r="K4300" s="22" t="s">
        <v>35</v>
      </c>
      <c r="L4300">
        <v>11</v>
      </c>
      <c r="M4300">
        <v>1</v>
      </c>
      <c r="O4300" s="30"/>
    </row>
    <row r="4301" spans="10:15" x14ac:dyDescent="0.25">
      <c r="J4301" t="s">
        <v>1301</v>
      </c>
      <c r="K4301" s="22" t="s">
        <v>22</v>
      </c>
      <c r="L4301">
        <v>2</v>
      </c>
      <c r="O4301" s="30"/>
    </row>
    <row r="4302" spans="10:15" x14ac:dyDescent="0.25">
      <c r="J4302" t="s">
        <v>1301</v>
      </c>
      <c r="K4302" s="22" t="s">
        <v>31</v>
      </c>
      <c r="L4302">
        <v>3</v>
      </c>
      <c r="O4302" s="30"/>
    </row>
    <row r="4303" spans="10:15" x14ac:dyDescent="0.25">
      <c r="J4303" t="s">
        <v>1953</v>
      </c>
      <c r="K4303" s="22" t="s">
        <v>20</v>
      </c>
      <c r="L4303">
        <v>1</v>
      </c>
    </row>
    <row r="4304" spans="10:15" x14ac:dyDescent="0.25">
      <c r="J4304" t="s">
        <v>1953</v>
      </c>
      <c r="K4304" s="22" t="s">
        <v>35</v>
      </c>
      <c r="L4304">
        <v>3</v>
      </c>
      <c r="O4304" s="30"/>
    </row>
    <row r="4305" spans="10:15" x14ac:dyDescent="0.25">
      <c r="J4305" t="s">
        <v>1953</v>
      </c>
      <c r="K4305" s="22" t="s">
        <v>22</v>
      </c>
      <c r="L4305">
        <v>2</v>
      </c>
      <c r="M4305">
        <v>2</v>
      </c>
      <c r="O4305" s="31"/>
    </row>
    <row r="4306" spans="10:15" x14ac:dyDescent="0.25">
      <c r="J4306" t="s">
        <v>1948</v>
      </c>
      <c r="K4306" s="22" t="s">
        <v>35</v>
      </c>
      <c r="L4306">
        <v>1</v>
      </c>
      <c r="M4306">
        <v>1</v>
      </c>
    </row>
    <row r="4307" spans="10:15" x14ac:dyDescent="0.25">
      <c r="J4307" t="s">
        <v>3446</v>
      </c>
      <c r="K4307" s="22" t="s">
        <v>31</v>
      </c>
      <c r="L4307">
        <v>1</v>
      </c>
      <c r="O4307" s="30"/>
    </row>
    <row r="4308" spans="10:15" x14ac:dyDescent="0.25">
      <c r="J4308" t="s">
        <v>1703</v>
      </c>
      <c r="K4308" s="22" t="s">
        <v>20</v>
      </c>
      <c r="L4308">
        <v>1</v>
      </c>
    </row>
    <row r="4309" spans="10:15" x14ac:dyDescent="0.25">
      <c r="J4309" t="s">
        <v>1703</v>
      </c>
      <c r="K4309" s="22" t="s">
        <v>30</v>
      </c>
      <c r="L4309">
        <v>2</v>
      </c>
      <c r="M4309">
        <v>2</v>
      </c>
    </row>
    <row r="4310" spans="10:15" x14ac:dyDescent="0.25">
      <c r="J4310" t="s">
        <v>486</v>
      </c>
      <c r="K4310" s="22" t="s">
        <v>20</v>
      </c>
      <c r="L4310">
        <v>1</v>
      </c>
    </row>
    <row r="4311" spans="10:15" x14ac:dyDescent="0.25">
      <c r="J4311" t="s">
        <v>486</v>
      </c>
      <c r="K4311" s="22" t="s">
        <v>30</v>
      </c>
      <c r="L4311">
        <v>2</v>
      </c>
      <c r="O4311" s="30"/>
    </row>
    <row r="4312" spans="10:15" x14ac:dyDescent="0.25">
      <c r="J4312" t="s">
        <v>486</v>
      </c>
      <c r="K4312" s="22" t="s">
        <v>28</v>
      </c>
      <c r="L4312">
        <v>2</v>
      </c>
      <c r="O4312" s="30"/>
    </row>
    <row r="4313" spans="10:15" x14ac:dyDescent="0.25">
      <c r="J4313" t="s">
        <v>486</v>
      </c>
      <c r="K4313" s="22" t="s">
        <v>31</v>
      </c>
      <c r="L4313">
        <v>1</v>
      </c>
    </row>
    <row r="4314" spans="10:15" x14ac:dyDescent="0.25">
      <c r="J4314" t="s">
        <v>1988</v>
      </c>
      <c r="K4314" s="22" t="s">
        <v>28</v>
      </c>
      <c r="L4314">
        <v>1</v>
      </c>
      <c r="O4314" s="30"/>
    </row>
    <row r="4315" spans="10:15" x14ac:dyDescent="0.25">
      <c r="J4315" t="s">
        <v>3044</v>
      </c>
      <c r="K4315" s="22" t="s">
        <v>20</v>
      </c>
      <c r="L4315">
        <v>1</v>
      </c>
      <c r="O4315" s="30"/>
    </row>
    <row r="4316" spans="10:15" x14ac:dyDescent="0.25">
      <c r="J4316" t="s">
        <v>3044</v>
      </c>
      <c r="K4316" s="22" t="s">
        <v>31</v>
      </c>
      <c r="L4316">
        <v>1</v>
      </c>
    </row>
    <row r="4317" spans="10:15" x14ac:dyDescent="0.25">
      <c r="J4317" t="s">
        <v>2088</v>
      </c>
      <c r="K4317" s="22" t="s">
        <v>35</v>
      </c>
      <c r="L4317">
        <v>2</v>
      </c>
      <c r="M4317">
        <v>1</v>
      </c>
    </row>
    <row r="4318" spans="10:15" x14ac:dyDescent="0.25">
      <c r="J4318" t="s">
        <v>790</v>
      </c>
      <c r="K4318" s="22" t="s">
        <v>35</v>
      </c>
      <c r="L4318">
        <v>1</v>
      </c>
      <c r="M4318">
        <v>1</v>
      </c>
    </row>
    <row r="4319" spans="10:15" x14ac:dyDescent="0.25">
      <c r="J4319" t="s">
        <v>2334</v>
      </c>
      <c r="K4319" s="22" t="s">
        <v>30</v>
      </c>
      <c r="L4319">
        <v>2</v>
      </c>
      <c r="M4319">
        <v>2</v>
      </c>
      <c r="O4319" s="31"/>
    </row>
    <row r="4320" spans="10:15" x14ac:dyDescent="0.25">
      <c r="J4320" t="s">
        <v>3425</v>
      </c>
      <c r="K4320" s="22" t="s">
        <v>30</v>
      </c>
      <c r="L4320">
        <v>1</v>
      </c>
      <c r="O4320" s="30"/>
    </row>
    <row r="4321" spans="10:15" x14ac:dyDescent="0.25">
      <c r="J4321" t="s">
        <v>2417</v>
      </c>
      <c r="K4321" s="22" t="s">
        <v>30</v>
      </c>
      <c r="L4321">
        <v>1</v>
      </c>
    </row>
    <row r="4322" spans="10:15" x14ac:dyDescent="0.25">
      <c r="J4322" t="s">
        <v>1473</v>
      </c>
      <c r="K4322" s="22" t="s">
        <v>20</v>
      </c>
      <c r="L4322">
        <v>1</v>
      </c>
      <c r="O4322" s="30"/>
    </row>
    <row r="4323" spans="10:15" x14ac:dyDescent="0.25">
      <c r="J4323" t="s">
        <v>1473</v>
      </c>
      <c r="K4323" s="22" t="s">
        <v>30</v>
      </c>
      <c r="L4323">
        <v>1</v>
      </c>
    </row>
    <row r="4324" spans="10:15" x14ac:dyDescent="0.25">
      <c r="J4324" t="s">
        <v>1473</v>
      </c>
      <c r="K4324" s="22" t="s">
        <v>35</v>
      </c>
      <c r="L4324">
        <v>1</v>
      </c>
      <c r="O4324" s="30"/>
    </row>
    <row r="4325" spans="10:15" x14ac:dyDescent="0.25">
      <c r="J4325" t="s">
        <v>2873</v>
      </c>
      <c r="K4325" s="22" t="s">
        <v>35</v>
      </c>
      <c r="L4325">
        <v>1</v>
      </c>
      <c r="M4325">
        <v>1</v>
      </c>
    </row>
    <row r="4326" spans="10:15" x14ac:dyDescent="0.25">
      <c r="J4326" t="s">
        <v>3112</v>
      </c>
      <c r="K4326" s="22" t="s">
        <v>20</v>
      </c>
      <c r="L4326">
        <v>2</v>
      </c>
      <c r="O4326" s="30"/>
    </row>
    <row r="4327" spans="10:15" x14ac:dyDescent="0.25">
      <c r="J4327" t="s">
        <v>3112</v>
      </c>
      <c r="K4327" s="22" t="s">
        <v>35</v>
      </c>
      <c r="L4327">
        <v>2</v>
      </c>
      <c r="M4327">
        <v>2</v>
      </c>
      <c r="O4327" s="31"/>
    </row>
    <row r="4328" spans="10:15" x14ac:dyDescent="0.25">
      <c r="J4328" t="s">
        <v>2789</v>
      </c>
      <c r="K4328" s="22" t="s">
        <v>22</v>
      </c>
      <c r="L4328">
        <v>2</v>
      </c>
      <c r="M4328">
        <v>2</v>
      </c>
      <c r="O4328" s="31"/>
    </row>
    <row r="4329" spans="10:15" x14ac:dyDescent="0.25">
      <c r="J4329" t="s">
        <v>2227</v>
      </c>
      <c r="K4329" s="22" t="s">
        <v>20</v>
      </c>
      <c r="L4329">
        <v>1</v>
      </c>
      <c r="M4329">
        <v>1</v>
      </c>
    </row>
    <row r="4330" spans="10:15" x14ac:dyDescent="0.25">
      <c r="J4330" t="s">
        <v>519</v>
      </c>
      <c r="K4330" s="22" t="s">
        <v>20</v>
      </c>
      <c r="L4330">
        <v>1</v>
      </c>
    </row>
    <row r="4331" spans="10:15" x14ac:dyDescent="0.25">
      <c r="J4331" t="s">
        <v>519</v>
      </c>
      <c r="K4331" s="22" t="s">
        <v>30</v>
      </c>
      <c r="L4331">
        <v>2</v>
      </c>
      <c r="M4331">
        <v>2</v>
      </c>
    </row>
    <row r="4332" spans="10:15" x14ac:dyDescent="0.25">
      <c r="J4332" t="s">
        <v>3416</v>
      </c>
      <c r="K4332" s="22" t="s">
        <v>30</v>
      </c>
      <c r="L4332">
        <v>1</v>
      </c>
      <c r="O4332" s="30"/>
    </row>
    <row r="4333" spans="10:15" x14ac:dyDescent="0.25">
      <c r="J4333" t="s">
        <v>1029</v>
      </c>
      <c r="K4333" s="22" t="s">
        <v>20</v>
      </c>
      <c r="L4333">
        <v>2</v>
      </c>
      <c r="O4333" s="30"/>
    </row>
    <row r="4334" spans="10:15" x14ac:dyDescent="0.25">
      <c r="J4334" t="s">
        <v>1029</v>
      </c>
      <c r="K4334" s="22" t="s">
        <v>29</v>
      </c>
      <c r="L4334">
        <v>6</v>
      </c>
      <c r="M4334">
        <v>6</v>
      </c>
      <c r="O4334" s="31"/>
    </row>
    <row r="4335" spans="10:15" x14ac:dyDescent="0.25">
      <c r="J4335" t="s">
        <v>165</v>
      </c>
      <c r="K4335" s="22" t="s">
        <v>20</v>
      </c>
      <c r="L4335">
        <v>2</v>
      </c>
      <c r="M4335">
        <v>1</v>
      </c>
    </row>
    <row r="4336" spans="10:15" x14ac:dyDescent="0.25">
      <c r="J4336" t="s">
        <v>165</v>
      </c>
      <c r="K4336" s="22" t="s">
        <v>35</v>
      </c>
      <c r="L4336">
        <v>3</v>
      </c>
      <c r="M4336">
        <v>3</v>
      </c>
      <c r="O4336" s="31"/>
    </row>
    <row r="4337" spans="10:15" x14ac:dyDescent="0.25">
      <c r="J4337" t="s">
        <v>2831</v>
      </c>
      <c r="K4337" s="22" t="s">
        <v>29</v>
      </c>
      <c r="L4337">
        <v>3</v>
      </c>
      <c r="M4337">
        <v>3</v>
      </c>
      <c r="O4337" s="31"/>
    </row>
    <row r="4338" spans="10:15" x14ac:dyDescent="0.25">
      <c r="J4338" t="s">
        <v>1632</v>
      </c>
      <c r="K4338" s="22" t="s">
        <v>20</v>
      </c>
      <c r="L4338">
        <v>1</v>
      </c>
    </row>
    <row r="4339" spans="10:15" x14ac:dyDescent="0.25">
      <c r="J4339" t="s">
        <v>1632</v>
      </c>
      <c r="K4339" s="22" t="s">
        <v>29</v>
      </c>
      <c r="L4339">
        <v>1</v>
      </c>
    </row>
    <row r="4340" spans="10:15" x14ac:dyDescent="0.25">
      <c r="J4340" t="s">
        <v>3274</v>
      </c>
      <c r="K4340" s="22" t="s">
        <v>29</v>
      </c>
      <c r="L4340">
        <v>1</v>
      </c>
      <c r="M4340">
        <v>1</v>
      </c>
      <c r="O4340" s="31"/>
    </row>
    <row r="4341" spans="10:15" x14ac:dyDescent="0.25">
      <c r="J4341" t="s">
        <v>766</v>
      </c>
      <c r="K4341" s="22" t="s">
        <v>29</v>
      </c>
      <c r="L4341">
        <v>6</v>
      </c>
      <c r="M4341">
        <v>6</v>
      </c>
      <c r="O4341" s="31"/>
    </row>
    <row r="4342" spans="10:15" x14ac:dyDescent="0.25">
      <c r="J4342" t="s">
        <v>135</v>
      </c>
      <c r="K4342" s="22" t="s">
        <v>29</v>
      </c>
      <c r="L4342">
        <v>3</v>
      </c>
      <c r="M4342">
        <v>3</v>
      </c>
      <c r="O4342" s="31"/>
    </row>
    <row r="4343" spans="10:15" x14ac:dyDescent="0.25">
      <c r="J4343" t="s">
        <v>854</v>
      </c>
      <c r="K4343" s="22" t="s">
        <v>29</v>
      </c>
      <c r="L4343">
        <v>6</v>
      </c>
      <c r="M4343">
        <v>5</v>
      </c>
    </row>
    <row r="4344" spans="10:15" x14ac:dyDescent="0.25">
      <c r="J4344" t="s">
        <v>854</v>
      </c>
      <c r="K4344" s="22" t="s">
        <v>22</v>
      </c>
      <c r="L4344">
        <v>2</v>
      </c>
      <c r="M4344">
        <v>2</v>
      </c>
    </row>
    <row r="4345" spans="10:15" x14ac:dyDescent="0.25">
      <c r="J4345" t="s">
        <v>640</v>
      </c>
      <c r="K4345" s="22" t="s">
        <v>35</v>
      </c>
      <c r="L4345">
        <v>6</v>
      </c>
      <c r="M4345">
        <v>6</v>
      </c>
      <c r="O4345" s="31"/>
    </row>
    <row r="4346" spans="10:15" x14ac:dyDescent="0.25">
      <c r="J4346" t="s">
        <v>3456</v>
      </c>
      <c r="K4346" s="22" t="s">
        <v>20</v>
      </c>
      <c r="L4346">
        <v>1</v>
      </c>
      <c r="O4346" s="30"/>
    </row>
    <row r="4347" spans="10:15" x14ac:dyDescent="0.25">
      <c r="J4347" t="s">
        <v>3459</v>
      </c>
      <c r="K4347" s="22" t="s">
        <v>20</v>
      </c>
      <c r="L4347">
        <v>1</v>
      </c>
      <c r="O4347" s="30"/>
    </row>
    <row r="4348" spans="10:15" x14ac:dyDescent="0.25">
      <c r="J4348" t="s">
        <v>2892</v>
      </c>
      <c r="K4348" s="22" t="s">
        <v>29</v>
      </c>
      <c r="L4348">
        <v>1</v>
      </c>
    </row>
    <row r="4349" spans="10:15" x14ac:dyDescent="0.25">
      <c r="J4349" t="s">
        <v>2892</v>
      </c>
      <c r="K4349" s="22" t="s">
        <v>22</v>
      </c>
      <c r="L4349">
        <v>1</v>
      </c>
      <c r="O4349" s="30"/>
    </row>
    <row r="4350" spans="10:15" x14ac:dyDescent="0.25">
      <c r="J4350" t="s">
        <v>3153</v>
      </c>
      <c r="K4350" s="22" t="s">
        <v>29</v>
      </c>
      <c r="L4350">
        <v>1</v>
      </c>
      <c r="O4350" s="30"/>
    </row>
    <row r="4351" spans="10:15" x14ac:dyDescent="0.25">
      <c r="J4351" t="s">
        <v>832</v>
      </c>
      <c r="K4351" s="22" t="s">
        <v>29</v>
      </c>
      <c r="L4351">
        <v>2</v>
      </c>
      <c r="M4351">
        <v>2</v>
      </c>
      <c r="O4351" s="31"/>
    </row>
    <row r="4352" spans="10:15" x14ac:dyDescent="0.25">
      <c r="J4352" t="s">
        <v>1852</v>
      </c>
      <c r="K4352" s="22" t="s">
        <v>35</v>
      </c>
      <c r="L4352">
        <v>8</v>
      </c>
      <c r="M4352">
        <v>8</v>
      </c>
      <c r="O4352" s="31"/>
    </row>
    <row r="4353" spans="10:15" x14ac:dyDescent="0.25">
      <c r="J4353" t="s">
        <v>2545</v>
      </c>
      <c r="K4353" s="22" t="s">
        <v>28</v>
      </c>
      <c r="L4353">
        <v>2</v>
      </c>
      <c r="M4353">
        <v>2</v>
      </c>
      <c r="O4353" s="31"/>
    </row>
    <row r="4354" spans="10:15" x14ac:dyDescent="0.25">
      <c r="J4354" t="s">
        <v>515</v>
      </c>
      <c r="K4354" s="22" t="s">
        <v>31</v>
      </c>
      <c r="L4354">
        <v>6</v>
      </c>
      <c r="M4354">
        <v>6</v>
      </c>
      <c r="O4354" s="31"/>
    </row>
    <row r="4355" spans="10:15" x14ac:dyDescent="0.25">
      <c r="J4355" t="s">
        <v>1392</v>
      </c>
      <c r="K4355" s="22" t="s">
        <v>35</v>
      </c>
      <c r="L4355">
        <v>7</v>
      </c>
      <c r="M4355">
        <v>7</v>
      </c>
      <c r="O4355" s="31"/>
    </row>
    <row r="4356" spans="10:15" x14ac:dyDescent="0.25">
      <c r="J4356" t="s">
        <v>1550</v>
      </c>
      <c r="K4356" s="22" t="s">
        <v>35</v>
      </c>
      <c r="L4356">
        <v>9</v>
      </c>
      <c r="M4356">
        <v>9</v>
      </c>
      <c r="O4356" s="31"/>
    </row>
    <row r="4357" spans="10:15" x14ac:dyDescent="0.25">
      <c r="J4357" t="s">
        <v>637</v>
      </c>
      <c r="K4357" s="22" t="s">
        <v>35</v>
      </c>
      <c r="L4357">
        <v>2</v>
      </c>
      <c r="M4357">
        <v>2</v>
      </c>
      <c r="O4357" s="31"/>
    </row>
    <row r="4358" spans="10:15" x14ac:dyDescent="0.25">
      <c r="J4358" t="s">
        <v>856</v>
      </c>
      <c r="K4358" s="22" t="s">
        <v>31</v>
      </c>
      <c r="L4358">
        <v>3</v>
      </c>
      <c r="M4358">
        <v>3</v>
      </c>
    </row>
    <row r="4359" spans="10:15" x14ac:dyDescent="0.25">
      <c r="J4359" t="s">
        <v>2894</v>
      </c>
      <c r="K4359" s="22" t="s">
        <v>20</v>
      </c>
      <c r="L4359">
        <v>1</v>
      </c>
    </row>
    <row r="4360" spans="10:15" x14ac:dyDescent="0.25">
      <c r="J4360" t="s">
        <v>243</v>
      </c>
      <c r="K4360" s="22" t="s">
        <v>35</v>
      </c>
      <c r="L4360">
        <v>6</v>
      </c>
      <c r="M4360">
        <v>6</v>
      </c>
      <c r="O4360" s="31"/>
    </row>
    <row r="4361" spans="10:15" x14ac:dyDescent="0.25">
      <c r="J4361" t="s">
        <v>243</v>
      </c>
      <c r="K4361" s="22" t="s">
        <v>31</v>
      </c>
      <c r="L4361">
        <v>5</v>
      </c>
      <c r="O4361" s="30"/>
    </row>
    <row r="4362" spans="10:15" x14ac:dyDescent="0.25">
      <c r="J4362" t="s">
        <v>3335</v>
      </c>
      <c r="K4362" s="22" t="s">
        <v>28</v>
      </c>
      <c r="L4362">
        <v>1</v>
      </c>
      <c r="O4362" s="30"/>
    </row>
    <row r="4363" spans="10:15" x14ac:dyDescent="0.25">
      <c r="J4363" t="s">
        <v>2377</v>
      </c>
      <c r="K4363" s="22" t="s">
        <v>20</v>
      </c>
      <c r="L4363">
        <v>3</v>
      </c>
      <c r="O4363" s="30"/>
    </row>
    <row r="4364" spans="10:15" x14ac:dyDescent="0.25">
      <c r="J4364" t="s">
        <v>2377</v>
      </c>
      <c r="K4364" s="22" t="s">
        <v>28</v>
      </c>
      <c r="L4364">
        <v>6</v>
      </c>
      <c r="O4364" s="30"/>
    </row>
    <row r="4365" spans="10:15" x14ac:dyDescent="0.25">
      <c r="J4365" t="s">
        <v>2377</v>
      </c>
      <c r="K4365" s="22" t="s">
        <v>22</v>
      </c>
      <c r="L4365">
        <v>5</v>
      </c>
      <c r="O4365" s="30"/>
    </row>
    <row r="4366" spans="10:15" x14ac:dyDescent="0.25">
      <c r="J4366" t="s">
        <v>241</v>
      </c>
      <c r="K4366" s="22" t="s">
        <v>20</v>
      </c>
      <c r="L4366">
        <v>2</v>
      </c>
    </row>
    <row r="4367" spans="10:15" x14ac:dyDescent="0.25">
      <c r="J4367" t="s">
        <v>241</v>
      </c>
      <c r="K4367" s="22" t="s">
        <v>28</v>
      </c>
      <c r="L4367">
        <v>2</v>
      </c>
      <c r="O4367" s="30"/>
    </row>
    <row r="4368" spans="10:15" x14ac:dyDescent="0.25">
      <c r="J4368" t="s">
        <v>241</v>
      </c>
      <c r="K4368" s="22" t="s">
        <v>22</v>
      </c>
      <c r="L4368">
        <v>1</v>
      </c>
    </row>
    <row r="4369" spans="10:15" x14ac:dyDescent="0.25">
      <c r="J4369" t="s">
        <v>2924</v>
      </c>
      <c r="K4369" s="22" t="s">
        <v>31</v>
      </c>
      <c r="L4369">
        <v>1</v>
      </c>
    </row>
    <row r="4370" spans="10:15" x14ac:dyDescent="0.25">
      <c r="J4370" t="s">
        <v>2386</v>
      </c>
      <c r="K4370" s="22" t="s">
        <v>28</v>
      </c>
      <c r="L4370">
        <v>1</v>
      </c>
      <c r="O4370" s="30"/>
    </row>
    <row r="4371" spans="10:15" x14ac:dyDescent="0.25">
      <c r="J4371" t="s">
        <v>3169</v>
      </c>
      <c r="K4371" s="22" t="s">
        <v>22</v>
      </c>
      <c r="L4371">
        <v>1</v>
      </c>
      <c r="O4371" s="30"/>
    </row>
    <row r="4372" spans="10:15" x14ac:dyDescent="0.25">
      <c r="J4372" t="s">
        <v>3408</v>
      </c>
      <c r="K4372" s="22" t="s">
        <v>20</v>
      </c>
      <c r="L4372">
        <v>3</v>
      </c>
      <c r="O4372" s="30"/>
    </row>
    <row r="4373" spans="10:15" x14ac:dyDescent="0.25">
      <c r="J4373" t="s">
        <v>270</v>
      </c>
      <c r="K4373" s="22" t="s">
        <v>35</v>
      </c>
      <c r="L4373">
        <v>5</v>
      </c>
      <c r="M4373">
        <v>5</v>
      </c>
      <c r="O4373" s="31"/>
    </row>
    <row r="4374" spans="10:15" x14ac:dyDescent="0.25">
      <c r="J4374" t="s">
        <v>1934</v>
      </c>
      <c r="K4374" s="22" t="s">
        <v>35</v>
      </c>
      <c r="L4374">
        <v>2</v>
      </c>
      <c r="M4374">
        <v>2</v>
      </c>
      <c r="O4374" s="31"/>
    </row>
    <row r="4375" spans="10:15" x14ac:dyDescent="0.25">
      <c r="J4375" t="s">
        <v>2421</v>
      </c>
      <c r="K4375" s="22" t="s">
        <v>35</v>
      </c>
      <c r="L4375">
        <v>3</v>
      </c>
      <c r="M4375">
        <v>3</v>
      </c>
      <c r="O4375" s="31"/>
    </row>
    <row r="4376" spans="10:15" x14ac:dyDescent="0.25">
      <c r="J4376" t="s">
        <v>1292</v>
      </c>
      <c r="K4376" s="22" t="s">
        <v>35</v>
      </c>
      <c r="L4376">
        <v>1</v>
      </c>
      <c r="M4376">
        <v>1</v>
      </c>
    </row>
    <row r="4377" spans="10:15" x14ac:dyDescent="0.25">
      <c r="J4377" t="s">
        <v>1147</v>
      </c>
      <c r="K4377" s="22" t="s">
        <v>22</v>
      </c>
      <c r="L4377">
        <v>3</v>
      </c>
      <c r="O4377" s="30"/>
    </row>
    <row r="4378" spans="10:15" x14ac:dyDescent="0.25">
      <c r="J4378" t="s">
        <v>1073</v>
      </c>
      <c r="K4378" s="22" t="s">
        <v>31</v>
      </c>
      <c r="L4378">
        <v>1</v>
      </c>
    </row>
    <row r="4379" spans="10:15" x14ac:dyDescent="0.25">
      <c r="J4379" t="s">
        <v>965</v>
      </c>
      <c r="K4379" s="22" t="s">
        <v>20</v>
      </c>
      <c r="L4379">
        <v>2</v>
      </c>
      <c r="O4379" s="30"/>
    </row>
    <row r="4380" spans="10:15" x14ac:dyDescent="0.25">
      <c r="J4380" t="s">
        <v>965</v>
      </c>
      <c r="K4380" s="22" t="s">
        <v>29</v>
      </c>
      <c r="L4380">
        <v>2</v>
      </c>
      <c r="M4380">
        <v>2</v>
      </c>
      <c r="O4380" s="31"/>
    </row>
    <row r="4381" spans="10:15" x14ac:dyDescent="0.25">
      <c r="J4381" t="s">
        <v>965</v>
      </c>
      <c r="K4381" s="22" t="s">
        <v>35</v>
      </c>
      <c r="L4381">
        <v>2</v>
      </c>
      <c r="O4381" s="30"/>
    </row>
    <row r="4382" spans="10:15" x14ac:dyDescent="0.25">
      <c r="J4382" t="s">
        <v>965</v>
      </c>
      <c r="K4382" s="22" t="s">
        <v>22</v>
      </c>
      <c r="L4382">
        <v>1</v>
      </c>
    </row>
    <row r="4383" spans="10:15" x14ac:dyDescent="0.25">
      <c r="J4383" t="s">
        <v>1950</v>
      </c>
      <c r="K4383" s="22" t="s">
        <v>35</v>
      </c>
      <c r="L4383">
        <v>3</v>
      </c>
      <c r="M4383">
        <v>2</v>
      </c>
    </row>
    <row r="4384" spans="10:15" x14ac:dyDescent="0.25">
      <c r="J4384" t="s">
        <v>1950</v>
      </c>
      <c r="K4384" s="22" t="s">
        <v>22</v>
      </c>
      <c r="L4384">
        <v>2</v>
      </c>
      <c r="M4384">
        <v>2</v>
      </c>
      <c r="O4384" s="31"/>
    </row>
    <row r="4385" spans="10:15" x14ac:dyDescent="0.25">
      <c r="J4385" t="s">
        <v>2203</v>
      </c>
      <c r="K4385" s="22" t="s">
        <v>20</v>
      </c>
      <c r="L4385">
        <v>1</v>
      </c>
      <c r="M4385">
        <v>1</v>
      </c>
      <c r="O4385" s="31"/>
    </row>
    <row r="4386" spans="10:15" x14ac:dyDescent="0.25">
      <c r="J4386" t="s">
        <v>2203</v>
      </c>
      <c r="K4386" s="22" t="s">
        <v>28</v>
      </c>
      <c r="L4386">
        <v>2</v>
      </c>
      <c r="M4386">
        <v>1</v>
      </c>
    </row>
    <row r="4387" spans="10:15" x14ac:dyDescent="0.25">
      <c r="J4387" t="s">
        <v>2778</v>
      </c>
      <c r="K4387" s="22" t="s">
        <v>28</v>
      </c>
      <c r="L4387">
        <v>2</v>
      </c>
      <c r="M4387">
        <v>2</v>
      </c>
      <c r="O4387" s="31"/>
    </row>
    <row r="4388" spans="10:15" x14ac:dyDescent="0.25">
      <c r="J4388" t="s">
        <v>2778</v>
      </c>
      <c r="K4388" s="22" t="s">
        <v>22</v>
      </c>
      <c r="L4388">
        <v>1</v>
      </c>
    </row>
    <row r="4389" spans="10:15" x14ac:dyDescent="0.25">
      <c r="J4389" t="s">
        <v>3447</v>
      </c>
      <c r="K4389" s="22" t="s">
        <v>29</v>
      </c>
      <c r="L4389">
        <v>1</v>
      </c>
      <c r="M4389">
        <v>1</v>
      </c>
      <c r="O4389" s="31"/>
    </row>
    <row r="4390" spans="10:15" x14ac:dyDescent="0.25">
      <c r="J4390" t="s">
        <v>1267</v>
      </c>
      <c r="K4390" s="22" t="s">
        <v>20</v>
      </c>
      <c r="L4390">
        <v>1</v>
      </c>
    </row>
    <row r="4391" spans="10:15" x14ac:dyDescent="0.25">
      <c r="J4391" t="s">
        <v>1053</v>
      </c>
      <c r="K4391" s="22" t="s">
        <v>20</v>
      </c>
      <c r="L4391">
        <v>1</v>
      </c>
    </row>
    <row r="4392" spans="10:15" x14ac:dyDescent="0.25">
      <c r="J4392" t="s">
        <v>1053</v>
      </c>
      <c r="K4392" s="22" t="s">
        <v>29</v>
      </c>
      <c r="L4392">
        <v>1</v>
      </c>
      <c r="M4392">
        <v>1</v>
      </c>
      <c r="O4392" s="31"/>
    </row>
    <row r="4393" spans="10:15" x14ac:dyDescent="0.25">
      <c r="J4393" t="s">
        <v>1909</v>
      </c>
      <c r="K4393" s="22" t="s">
        <v>20</v>
      </c>
      <c r="L4393">
        <v>1</v>
      </c>
      <c r="M4393">
        <v>1</v>
      </c>
    </row>
    <row r="4394" spans="10:15" x14ac:dyDescent="0.25">
      <c r="J4394" t="s">
        <v>2793</v>
      </c>
      <c r="K4394" s="22" t="s">
        <v>20</v>
      </c>
      <c r="L4394">
        <v>1</v>
      </c>
    </row>
    <row r="4395" spans="10:15" x14ac:dyDescent="0.25">
      <c r="J4395" t="s">
        <v>2793</v>
      </c>
      <c r="K4395" s="22" t="s">
        <v>29</v>
      </c>
      <c r="L4395">
        <v>1</v>
      </c>
      <c r="M4395">
        <v>1</v>
      </c>
      <c r="O4395" s="31"/>
    </row>
    <row r="4396" spans="10:15" x14ac:dyDescent="0.25">
      <c r="J4396" t="s">
        <v>2793</v>
      </c>
      <c r="K4396" s="22" t="s">
        <v>31</v>
      </c>
      <c r="L4396">
        <v>1</v>
      </c>
    </row>
    <row r="4397" spans="10:15" x14ac:dyDescent="0.25">
      <c r="J4397" t="s">
        <v>2954</v>
      </c>
      <c r="K4397" s="22" t="s">
        <v>20</v>
      </c>
      <c r="L4397">
        <v>1</v>
      </c>
    </row>
    <row r="4398" spans="10:15" x14ac:dyDescent="0.25">
      <c r="J4398" t="s">
        <v>3352</v>
      </c>
      <c r="K4398" s="22" t="s">
        <v>29</v>
      </c>
      <c r="L4398">
        <v>1</v>
      </c>
      <c r="M4398">
        <v>1</v>
      </c>
      <c r="O4398" s="31"/>
    </row>
    <row r="4399" spans="10:15" x14ac:dyDescent="0.25">
      <c r="J4399" t="s">
        <v>2775</v>
      </c>
      <c r="K4399" s="22" t="s">
        <v>20</v>
      </c>
      <c r="L4399">
        <v>3</v>
      </c>
      <c r="M4399">
        <v>3</v>
      </c>
      <c r="O4399" s="31"/>
    </row>
    <row r="4400" spans="10:15" x14ac:dyDescent="0.25">
      <c r="J4400" t="s">
        <v>2950</v>
      </c>
      <c r="K4400" s="22" t="s">
        <v>29</v>
      </c>
      <c r="L4400">
        <v>2</v>
      </c>
      <c r="M4400">
        <v>2</v>
      </c>
      <c r="O4400" s="31"/>
    </row>
    <row r="4401" spans="10:15" x14ac:dyDescent="0.25">
      <c r="J4401" t="s">
        <v>938</v>
      </c>
      <c r="K4401" s="22" t="s">
        <v>20</v>
      </c>
      <c r="L4401">
        <v>1</v>
      </c>
    </row>
    <row r="4402" spans="10:15" x14ac:dyDescent="0.25">
      <c r="J4402" t="s">
        <v>938</v>
      </c>
      <c r="K4402" s="22" t="s">
        <v>35</v>
      </c>
      <c r="L4402">
        <v>1</v>
      </c>
    </row>
    <row r="4403" spans="10:15" x14ac:dyDescent="0.25">
      <c r="J4403" t="s">
        <v>938</v>
      </c>
      <c r="K4403" s="22" t="s">
        <v>31</v>
      </c>
      <c r="L4403">
        <v>1</v>
      </c>
    </row>
    <row r="4404" spans="10:15" x14ac:dyDescent="0.25">
      <c r="J4404" t="s">
        <v>1904</v>
      </c>
      <c r="K4404" s="22" t="s">
        <v>29</v>
      </c>
      <c r="L4404">
        <v>3</v>
      </c>
      <c r="M4404">
        <v>3</v>
      </c>
      <c r="O4404" s="31"/>
    </row>
    <row r="4405" spans="10:15" x14ac:dyDescent="0.25">
      <c r="J4405" t="s">
        <v>3186</v>
      </c>
      <c r="K4405" s="22" t="s">
        <v>20</v>
      </c>
      <c r="L4405">
        <v>1</v>
      </c>
      <c r="M4405">
        <v>1</v>
      </c>
      <c r="O4405" s="31"/>
    </row>
    <row r="4406" spans="10:15" x14ac:dyDescent="0.25">
      <c r="J4406" t="s">
        <v>3186</v>
      </c>
      <c r="K4406" s="22" t="s">
        <v>22</v>
      </c>
      <c r="L4406">
        <v>1</v>
      </c>
      <c r="O4406" s="30"/>
    </row>
    <row r="4407" spans="10:15" x14ac:dyDescent="0.25">
      <c r="J4407" t="s">
        <v>1952</v>
      </c>
      <c r="K4407" s="22" t="s">
        <v>29</v>
      </c>
      <c r="L4407">
        <v>4</v>
      </c>
      <c r="M4407">
        <v>4</v>
      </c>
      <c r="O4407" s="31"/>
    </row>
    <row r="4408" spans="10:15" x14ac:dyDescent="0.25">
      <c r="J4408" t="s">
        <v>2470</v>
      </c>
      <c r="K4408" s="22" t="s">
        <v>20</v>
      </c>
      <c r="L4408">
        <v>2</v>
      </c>
      <c r="O4408" s="30"/>
    </row>
    <row r="4409" spans="10:15" x14ac:dyDescent="0.25">
      <c r="J4409" t="s">
        <v>2470</v>
      </c>
      <c r="K4409" s="22" t="s">
        <v>29</v>
      </c>
      <c r="L4409">
        <v>1</v>
      </c>
      <c r="M4409">
        <v>1</v>
      </c>
    </row>
    <row r="4410" spans="10:15" x14ac:dyDescent="0.25">
      <c r="J4410" t="s">
        <v>2517</v>
      </c>
      <c r="K4410" s="22" t="s">
        <v>29</v>
      </c>
      <c r="L4410">
        <v>2</v>
      </c>
      <c r="M4410">
        <v>2</v>
      </c>
    </row>
    <row r="4411" spans="10:15" x14ac:dyDescent="0.25">
      <c r="J4411" t="s">
        <v>1305</v>
      </c>
      <c r="K4411" s="22" t="s">
        <v>20</v>
      </c>
      <c r="L4411">
        <v>8</v>
      </c>
      <c r="M4411">
        <v>8</v>
      </c>
      <c r="O4411" s="31"/>
    </row>
    <row r="4412" spans="10:15" x14ac:dyDescent="0.25">
      <c r="J4412" t="s">
        <v>2877</v>
      </c>
      <c r="K4412" s="22" t="s">
        <v>28</v>
      </c>
      <c r="L4412">
        <v>1</v>
      </c>
      <c r="O4412" s="30"/>
    </row>
    <row r="4413" spans="10:15" x14ac:dyDescent="0.25">
      <c r="J4413" t="s">
        <v>2868</v>
      </c>
      <c r="K4413" s="22" t="s">
        <v>20</v>
      </c>
      <c r="L4413">
        <v>1</v>
      </c>
      <c r="M4413">
        <v>1</v>
      </c>
      <c r="O4413" s="31"/>
    </row>
    <row r="4414" spans="10:15" x14ac:dyDescent="0.25">
      <c r="J4414" t="s">
        <v>3140</v>
      </c>
      <c r="K4414" s="22" t="s">
        <v>20</v>
      </c>
      <c r="L4414">
        <v>1</v>
      </c>
      <c r="O4414" s="30"/>
    </row>
    <row r="4415" spans="10:15" x14ac:dyDescent="0.25">
      <c r="J4415" t="s">
        <v>3140</v>
      </c>
      <c r="K4415" s="22" t="s">
        <v>35</v>
      </c>
      <c r="L4415">
        <v>1</v>
      </c>
      <c r="M4415">
        <v>1</v>
      </c>
      <c r="O4415" s="31"/>
    </row>
    <row r="4416" spans="10:15" x14ac:dyDescent="0.25">
      <c r="J4416" t="s">
        <v>2452</v>
      </c>
      <c r="K4416" s="22" t="s">
        <v>20</v>
      </c>
      <c r="L4416">
        <v>2</v>
      </c>
      <c r="M4416">
        <v>2</v>
      </c>
      <c r="O4416" s="31"/>
    </row>
    <row r="4417" spans="10:15" x14ac:dyDescent="0.25">
      <c r="J4417" t="s">
        <v>1764</v>
      </c>
      <c r="K4417" s="22" t="s">
        <v>20</v>
      </c>
      <c r="L4417">
        <v>1</v>
      </c>
    </row>
    <row r="4418" spans="10:15" x14ac:dyDescent="0.25">
      <c r="J4418" t="s">
        <v>1764</v>
      </c>
      <c r="K4418" s="22" t="s">
        <v>31</v>
      </c>
      <c r="L4418">
        <v>5</v>
      </c>
      <c r="M4418">
        <v>5</v>
      </c>
      <c r="O4418" s="31"/>
    </row>
    <row r="4419" spans="10:15" x14ac:dyDescent="0.25">
      <c r="J4419" t="s">
        <v>2533</v>
      </c>
      <c r="K4419" s="22" t="s">
        <v>31</v>
      </c>
      <c r="L4419">
        <v>4</v>
      </c>
      <c r="M4419">
        <v>4</v>
      </c>
      <c r="O4419" s="31"/>
    </row>
    <row r="4420" spans="10:15" x14ac:dyDescent="0.25">
      <c r="J4420" t="s">
        <v>3018</v>
      </c>
      <c r="K4420" s="22" t="s">
        <v>20</v>
      </c>
      <c r="L4420">
        <v>1</v>
      </c>
    </row>
    <row r="4421" spans="10:15" x14ac:dyDescent="0.25">
      <c r="J4421" t="s">
        <v>1796</v>
      </c>
      <c r="K4421" s="22" t="s">
        <v>20</v>
      </c>
      <c r="L4421">
        <v>5</v>
      </c>
      <c r="M4421">
        <v>5</v>
      </c>
      <c r="O4421" s="31"/>
    </row>
    <row r="4422" spans="10:15" x14ac:dyDescent="0.25">
      <c r="J4422" t="s">
        <v>2854</v>
      </c>
      <c r="K4422" s="22" t="s">
        <v>20</v>
      </c>
      <c r="L4422">
        <v>1</v>
      </c>
      <c r="O4422" s="30"/>
    </row>
    <row r="4423" spans="10:15" x14ac:dyDescent="0.25">
      <c r="J4423" t="s">
        <v>3371</v>
      </c>
      <c r="K4423" s="22" t="s">
        <v>31</v>
      </c>
      <c r="L4423">
        <v>1</v>
      </c>
      <c r="M4423">
        <v>1</v>
      </c>
      <c r="O4423" s="31"/>
    </row>
    <row r="4424" spans="10:15" x14ac:dyDescent="0.25">
      <c r="J4424" t="s">
        <v>60</v>
      </c>
      <c r="K4424" s="22" t="s">
        <v>35</v>
      </c>
      <c r="L4424">
        <v>3</v>
      </c>
      <c r="M4424">
        <v>3</v>
      </c>
      <c r="O4424" s="31"/>
    </row>
    <row r="4425" spans="10:15" x14ac:dyDescent="0.25">
      <c r="J4425" t="s">
        <v>60</v>
      </c>
      <c r="K4425" s="22" t="s">
        <v>22</v>
      </c>
      <c r="L4425">
        <v>1</v>
      </c>
    </row>
    <row r="4426" spans="10:15" x14ac:dyDescent="0.25">
      <c r="J4426" t="s">
        <v>2913</v>
      </c>
      <c r="K4426" s="22" t="s">
        <v>20</v>
      </c>
      <c r="L4426">
        <v>3</v>
      </c>
      <c r="M4426">
        <v>3</v>
      </c>
      <c r="O4426" s="31"/>
    </row>
    <row r="4427" spans="10:15" x14ac:dyDescent="0.25">
      <c r="J4427" t="s">
        <v>62</v>
      </c>
      <c r="K4427" s="22" t="s">
        <v>35</v>
      </c>
      <c r="L4427">
        <v>1</v>
      </c>
    </row>
    <row r="4428" spans="10:15" x14ac:dyDescent="0.25">
      <c r="J4428" t="s">
        <v>3406</v>
      </c>
      <c r="K4428" s="22" t="s">
        <v>20</v>
      </c>
      <c r="L4428">
        <v>1</v>
      </c>
      <c r="M4428">
        <v>1</v>
      </c>
      <c r="O4428" s="31"/>
    </row>
    <row r="4429" spans="10:15" x14ac:dyDescent="0.25">
      <c r="J4429" t="s">
        <v>931</v>
      </c>
      <c r="K4429" s="22" t="s">
        <v>20</v>
      </c>
      <c r="L4429">
        <v>2</v>
      </c>
      <c r="M4429">
        <v>2</v>
      </c>
    </row>
    <row r="4430" spans="10:15" x14ac:dyDescent="0.25">
      <c r="J4430" t="s">
        <v>2158</v>
      </c>
      <c r="K4430" s="22" t="s">
        <v>20</v>
      </c>
      <c r="L4430">
        <v>3</v>
      </c>
      <c r="M4430">
        <v>3</v>
      </c>
      <c r="O4430" s="31"/>
    </row>
    <row r="4431" spans="10:15" x14ac:dyDescent="0.25">
      <c r="J4431" t="s">
        <v>1194</v>
      </c>
      <c r="K4431" s="22" t="s">
        <v>20</v>
      </c>
      <c r="L4431">
        <v>3</v>
      </c>
      <c r="M4431">
        <v>3</v>
      </c>
      <c r="O4431" s="31"/>
    </row>
    <row r="4432" spans="10:15" x14ac:dyDescent="0.25">
      <c r="J4432" t="s">
        <v>156</v>
      </c>
      <c r="K4432" s="22" t="s">
        <v>35</v>
      </c>
      <c r="L4432">
        <v>2</v>
      </c>
      <c r="O4432" s="30"/>
    </row>
    <row r="4433" spans="10:15" x14ac:dyDescent="0.25">
      <c r="J4433" t="s">
        <v>156</v>
      </c>
      <c r="K4433" s="22" t="s">
        <v>31</v>
      </c>
      <c r="L4433">
        <v>1</v>
      </c>
      <c r="M4433">
        <v>1</v>
      </c>
    </row>
    <row r="4434" spans="10:15" x14ac:dyDescent="0.25">
      <c r="J4434" t="s">
        <v>1014</v>
      </c>
      <c r="K4434" s="22" t="s">
        <v>20</v>
      </c>
      <c r="L4434">
        <v>1</v>
      </c>
    </row>
    <row r="4435" spans="10:15" x14ac:dyDescent="0.25">
      <c r="J4435" t="s">
        <v>1014</v>
      </c>
      <c r="K4435" s="22" t="s">
        <v>28</v>
      </c>
      <c r="L4435">
        <v>1</v>
      </c>
    </row>
    <row r="4436" spans="10:15" x14ac:dyDescent="0.25">
      <c r="J4436" t="s">
        <v>1014</v>
      </c>
      <c r="K4436" s="22" t="s">
        <v>22</v>
      </c>
      <c r="L4436">
        <v>3</v>
      </c>
      <c r="O4436" s="30"/>
    </row>
    <row r="4437" spans="10:15" x14ac:dyDescent="0.25">
      <c r="J4437" t="s">
        <v>1014</v>
      </c>
      <c r="K4437" s="22" t="s">
        <v>31</v>
      </c>
      <c r="L4437">
        <v>2</v>
      </c>
      <c r="O4437" s="30"/>
    </row>
    <row r="4438" spans="10:15" x14ac:dyDescent="0.25">
      <c r="J4438" t="s">
        <v>2740</v>
      </c>
      <c r="K4438" s="22" t="s">
        <v>20</v>
      </c>
      <c r="L4438">
        <v>1</v>
      </c>
    </row>
    <row r="4439" spans="10:15" x14ac:dyDescent="0.25">
      <c r="J4439" t="s">
        <v>2647</v>
      </c>
      <c r="K4439" s="22" t="s">
        <v>20</v>
      </c>
      <c r="L4439">
        <v>1</v>
      </c>
    </row>
    <row r="4440" spans="10:15" x14ac:dyDescent="0.25">
      <c r="J4440" t="s">
        <v>499</v>
      </c>
      <c r="K4440" s="22" t="s">
        <v>20</v>
      </c>
      <c r="L4440">
        <v>1</v>
      </c>
    </row>
    <row r="4441" spans="10:15" x14ac:dyDescent="0.25">
      <c r="J4441" t="s">
        <v>499</v>
      </c>
      <c r="K4441" s="22" t="s">
        <v>28</v>
      </c>
      <c r="L4441">
        <v>1</v>
      </c>
    </row>
    <row r="4442" spans="10:15" x14ac:dyDescent="0.25">
      <c r="J4442" t="s">
        <v>2260</v>
      </c>
      <c r="K4442" s="22" t="s">
        <v>35</v>
      </c>
      <c r="L4442">
        <v>2</v>
      </c>
      <c r="O4442" s="30"/>
    </row>
    <row r="4443" spans="10:15" x14ac:dyDescent="0.25">
      <c r="J4443" t="s">
        <v>2260</v>
      </c>
      <c r="K4443" s="22" t="s">
        <v>31</v>
      </c>
      <c r="L4443">
        <v>1</v>
      </c>
      <c r="M4443">
        <v>1</v>
      </c>
    </row>
    <row r="4444" spans="10:15" x14ac:dyDescent="0.25">
      <c r="J4444" t="s">
        <v>2620</v>
      </c>
      <c r="K4444" s="22" t="s">
        <v>20</v>
      </c>
      <c r="L4444">
        <v>1</v>
      </c>
      <c r="M4444">
        <v>1</v>
      </c>
    </row>
    <row r="4445" spans="10:15" x14ac:dyDescent="0.25">
      <c r="J4445" t="s">
        <v>2205</v>
      </c>
      <c r="K4445" s="22" t="s">
        <v>22</v>
      </c>
      <c r="L4445">
        <v>1</v>
      </c>
      <c r="M4445">
        <v>1</v>
      </c>
    </row>
    <row r="4446" spans="10:15" x14ac:dyDescent="0.25">
      <c r="J4446" t="s">
        <v>2031</v>
      </c>
      <c r="K4446" s="22" t="s">
        <v>20</v>
      </c>
      <c r="L4446">
        <v>4</v>
      </c>
      <c r="M4446">
        <v>4</v>
      </c>
      <c r="O4446" s="31"/>
    </row>
    <row r="4447" spans="10:15" x14ac:dyDescent="0.25">
      <c r="J4447" t="s">
        <v>162</v>
      </c>
      <c r="K4447" s="22" t="s">
        <v>31</v>
      </c>
      <c r="L4447">
        <v>1</v>
      </c>
    </row>
    <row r="4448" spans="10:15" x14ac:dyDescent="0.25">
      <c r="J4448" t="s">
        <v>2382</v>
      </c>
      <c r="K4448" s="22" t="s">
        <v>20</v>
      </c>
      <c r="L4448">
        <v>5</v>
      </c>
      <c r="M4448">
        <v>5</v>
      </c>
      <c r="O4448" s="31"/>
    </row>
    <row r="4449" spans="10:15" x14ac:dyDescent="0.25">
      <c r="J4449" t="s">
        <v>3333</v>
      </c>
      <c r="K4449" s="22" t="s">
        <v>29</v>
      </c>
      <c r="L4449">
        <v>2</v>
      </c>
      <c r="M4449">
        <v>1</v>
      </c>
      <c r="O4449" s="30"/>
    </row>
    <row r="4450" spans="10:15" x14ac:dyDescent="0.25">
      <c r="J4450" t="s">
        <v>3333</v>
      </c>
      <c r="K4450" s="22" t="s">
        <v>35</v>
      </c>
      <c r="L4450">
        <v>2</v>
      </c>
      <c r="M4450">
        <v>1</v>
      </c>
      <c r="O4450" s="30"/>
    </row>
    <row r="4451" spans="10:15" x14ac:dyDescent="0.25">
      <c r="J4451" t="s">
        <v>1045</v>
      </c>
      <c r="K4451" s="22" t="s">
        <v>30</v>
      </c>
      <c r="L4451">
        <v>4</v>
      </c>
      <c r="M4451">
        <v>2</v>
      </c>
      <c r="O4451" s="31"/>
    </row>
    <row r="4452" spans="10:15" x14ac:dyDescent="0.25">
      <c r="J4452" t="s">
        <v>1045</v>
      </c>
      <c r="K4452" s="22" t="s">
        <v>29</v>
      </c>
      <c r="L4452">
        <v>3</v>
      </c>
      <c r="M4452">
        <v>2</v>
      </c>
      <c r="O4452" s="31"/>
    </row>
    <row r="4453" spans="10:15" x14ac:dyDescent="0.25">
      <c r="J4453" t="s">
        <v>1045</v>
      </c>
      <c r="K4453" s="22" t="s">
        <v>28</v>
      </c>
      <c r="L4453">
        <v>7</v>
      </c>
      <c r="M4453">
        <v>4</v>
      </c>
      <c r="O4453" s="30"/>
    </row>
    <row r="4454" spans="10:15" x14ac:dyDescent="0.25">
      <c r="J4454" t="s">
        <v>1045</v>
      </c>
      <c r="K4454" s="22" t="s">
        <v>35</v>
      </c>
      <c r="L4454">
        <v>1</v>
      </c>
      <c r="M4454">
        <v>1</v>
      </c>
      <c r="O4454" s="31"/>
    </row>
    <row r="4455" spans="10:15" x14ac:dyDescent="0.25">
      <c r="J4455" t="s">
        <v>976</v>
      </c>
      <c r="K4455" s="22" t="s">
        <v>28</v>
      </c>
      <c r="L4455">
        <v>3</v>
      </c>
      <c r="M4455">
        <v>2</v>
      </c>
      <c r="O4455" s="30"/>
    </row>
    <row r="4456" spans="10:15" x14ac:dyDescent="0.25">
      <c r="J4456" t="s">
        <v>341</v>
      </c>
      <c r="K4456" s="22" t="s">
        <v>22</v>
      </c>
      <c r="L4456">
        <v>1</v>
      </c>
      <c r="M4456">
        <v>1</v>
      </c>
    </row>
    <row r="4457" spans="10:15" x14ac:dyDescent="0.25">
      <c r="J4457" t="s">
        <v>867</v>
      </c>
      <c r="K4457" s="22" t="s">
        <v>29</v>
      </c>
      <c r="L4457">
        <v>3</v>
      </c>
      <c r="O4457" s="30"/>
    </row>
    <row r="4458" spans="10:15" x14ac:dyDescent="0.25">
      <c r="J4458" t="s">
        <v>867</v>
      </c>
      <c r="K4458" s="22" t="s">
        <v>31</v>
      </c>
      <c r="L4458">
        <v>1</v>
      </c>
      <c r="M4458">
        <v>1</v>
      </c>
    </row>
    <row r="4459" spans="10:15" x14ac:dyDescent="0.25">
      <c r="J4459" t="s">
        <v>1459</v>
      </c>
      <c r="K4459" s="22" t="s">
        <v>30</v>
      </c>
      <c r="L4459">
        <v>2</v>
      </c>
      <c r="M4459">
        <v>1</v>
      </c>
    </row>
    <row r="4460" spans="10:15" x14ac:dyDescent="0.25">
      <c r="J4460" t="s">
        <v>1459</v>
      </c>
      <c r="K4460" s="22" t="s">
        <v>29</v>
      </c>
      <c r="L4460">
        <v>1</v>
      </c>
      <c r="M4460">
        <v>1</v>
      </c>
    </row>
    <row r="4461" spans="10:15" x14ac:dyDescent="0.25">
      <c r="J4461" t="s">
        <v>3276</v>
      </c>
      <c r="K4461" s="22" t="s">
        <v>29</v>
      </c>
      <c r="L4461">
        <v>1</v>
      </c>
      <c r="O4461" s="30"/>
    </row>
    <row r="4462" spans="10:15" x14ac:dyDescent="0.25">
      <c r="J4462" t="s">
        <v>3276</v>
      </c>
      <c r="K4462" s="22" t="s">
        <v>35</v>
      </c>
      <c r="L4462">
        <v>1</v>
      </c>
      <c r="O4462" s="30"/>
    </row>
    <row r="4463" spans="10:15" x14ac:dyDescent="0.25">
      <c r="J4463" t="s">
        <v>1134</v>
      </c>
      <c r="K4463" s="22" t="s">
        <v>30</v>
      </c>
      <c r="L4463">
        <v>1</v>
      </c>
    </row>
    <row r="4464" spans="10:15" x14ac:dyDescent="0.25">
      <c r="J4464" t="s">
        <v>1134</v>
      </c>
      <c r="K4464" s="22" t="s">
        <v>31</v>
      </c>
      <c r="L4464">
        <v>1</v>
      </c>
      <c r="M4464">
        <v>1</v>
      </c>
      <c r="O4464" s="31"/>
    </row>
    <row r="4465" spans="10:15" x14ac:dyDescent="0.25">
      <c r="J4465" t="s">
        <v>2744</v>
      </c>
      <c r="K4465" s="22" t="s">
        <v>35</v>
      </c>
      <c r="L4465">
        <v>2</v>
      </c>
      <c r="M4465">
        <v>2</v>
      </c>
      <c r="O4465" s="31"/>
    </row>
    <row r="4466" spans="10:15" x14ac:dyDescent="0.25">
      <c r="J4466" t="s">
        <v>1734</v>
      </c>
      <c r="K4466" s="22" t="s">
        <v>35</v>
      </c>
      <c r="L4466">
        <v>3</v>
      </c>
      <c r="M4466">
        <v>3</v>
      </c>
      <c r="O4466" s="31"/>
    </row>
    <row r="4467" spans="10:15" x14ac:dyDescent="0.25">
      <c r="J4467" t="s">
        <v>2747</v>
      </c>
      <c r="K4467" s="22" t="s">
        <v>31</v>
      </c>
      <c r="L4467">
        <v>2</v>
      </c>
      <c r="M4467">
        <v>1</v>
      </c>
      <c r="O4467" s="30"/>
    </row>
    <row r="4468" spans="10:15" x14ac:dyDescent="0.25">
      <c r="J4468" t="s">
        <v>1843</v>
      </c>
      <c r="K4468" s="22" t="s">
        <v>29</v>
      </c>
      <c r="L4468">
        <v>2</v>
      </c>
      <c r="M4468">
        <v>2</v>
      </c>
    </row>
    <row r="4469" spans="10:15" x14ac:dyDescent="0.25">
      <c r="J4469" t="s">
        <v>2983</v>
      </c>
      <c r="K4469" s="22" t="s">
        <v>30</v>
      </c>
      <c r="L4469">
        <v>1</v>
      </c>
      <c r="M4469">
        <v>1</v>
      </c>
    </row>
    <row r="4470" spans="10:15" x14ac:dyDescent="0.25">
      <c r="J4470" t="s">
        <v>3094</v>
      </c>
      <c r="K4470" s="22" t="s">
        <v>30</v>
      </c>
      <c r="L4470">
        <v>1</v>
      </c>
      <c r="M4470">
        <v>1</v>
      </c>
      <c r="O4470" s="31"/>
    </row>
    <row r="4471" spans="10:15" x14ac:dyDescent="0.25">
      <c r="J4471" t="s">
        <v>2746</v>
      </c>
      <c r="K4471" s="22" t="s">
        <v>30</v>
      </c>
      <c r="L4471">
        <v>3</v>
      </c>
      <c r="M4471">
        <v>3</v>
      </c>
      <c r="O4471" s="31"/>
    </row>
    <row r="4472" spans="10:15" x14ac:dyDescent="0.25">
      <c r="J4472" t="s">
        <v>2510</v>
      </c>
      <c r="K4472" s="22" t="s">
        <v>30</v>
      </c>
      <c r="L4472">
        <v>1</v>
      </c>
    </row>
    <row r="4473" spans="10:15" x14ac:dyDescent="0.25">
      <c r="J4473" t="s">
        <v>2510</v>
      </c>
      <c r="K4473" s="22" t="s">
        <v>29</v>
      </c>
      <c r="L4473">
        <v>1</v>
      </c>
      <c r="O4473" s="30"/>
    </row>
    <row r="4474" spans="10:15" x14ac:dyDescent="0.25">
      <c r="J4474" t="s">
        <v>2510</v>
      </c>
      <c r="K4474" s="22" t="s">
        <v>31</v>
      </c>
      <c r="L4474">
        <v>1</v>
      </c>
      <c r="O4474" s="30"/>
    </row>
    <row r="4475" spans="10:15" x14ac:dyDescent="0.25">
      <c r="J4475" t="s">
        <v>1075</v>
      </c>
      <c r="K4475" s="22" t="s">
        <v>31</v>
      </c>
      <c r="L4475">
        <v>1</v>
      </c>
      <c r="M4475">
        <v>1</v>
      </c>
    </row>
    <row r="4476" spans="10:15" x14ac:dyDescent="0.25">
      <c r="J4476" t="s">
        <v>1279</v>
      </c>
      <c r="K4476" s="22" t="s">
        <v>29</v>
      </c>
      <c r="L4476">
        <v>3</v>
      </c>
      <c r="M4476">
        <v>3</v>
      </c>
      <c r="O4476" s="31"/>
    </row>
    <row r="4477" spans="10:15" x14ac:dyDescent="0.25">
      <c r="J4477" t="s">
        <v>1690</v>
      </c>
      <c r="K4477" s="22" t="s">
        <v>30</v>
      </c>
      <c r="L4477">
        <v>2</v>
      </c>
      <c r="O4477" s="30"/>
    </row>
    <row r="4478" spans="10:15" x14ac:dyDescent="0.25">
      <c r="J4478" t="s">
        <v>1690</v>
      </c>
      <c r="K4478" s="22" t="s">
        <v>35</v>
      </c>
      <c r="L4478">
        <v>2</v>
      </c>
      <c r="M4478">
        <v>2</v>
      </c>
      <c r="O4478" s="31"/>
    </row>
    <row r="4479" spans="10:15" x14ac:dyDescent="0.25">
      <c r="J4479" t="s">
        <v>3191</v>
      </c>
      <c r="K4479" s="22" t="s">
        <v>28</v>
      </c>
      <c r="L4479">
        <v>1</v>
      </c>
      <c r="O4479" s="30"/>
    </row>
    <row r="4480" spans="10:15" x14ac:dyDescent="0.25">
      <c r="J4480" t="s">
        <v>3039</v>
      </c>
      <c r="K4480" s="22" t="s">
        <v>30</v>
      </c>
      <c r="L4480">
        <v>1</v>
      </c>
    </row>
    <row r="4481" spans="10:15" x14ac:dyDescent="0.25">
      <c r="J4481" t="s">
        <v>338</v>
      </c>
      <c r="K4481" s="22" t="s">
        <v>30</v>
      </c>
      <c r="L4481">
        <v>1</v>
      </c>
      <c r="M4481">
        <v>1</v>
      </c>
    </row>
    <row r="4482" spans="10:15" x14ac:dyDescent="0.25">
      <c r="J4482" t="s">
        <v>3184</v>
      </c>
      <c r="K4482" s="22" t="s">
        <v>31</v>
      </c>
      <c r="L4482">
        <v>2</v>
      </c>
      <c r="M4482">
        <v>2</v>
      </c>
      <c r="O4482" s="31"/>
    </row>
    <row r="4483" spans="10:15" x14ac:dyDescent="0.25">
      <c r="J4483" t="s">
        <v>2917</v>
      </c>
      <c r="K4483" s="22" t="s">
        <v>31</v>
      </c>
      <c r="L4483">
        <v>2</v>
      </c>
      <c r="M4483">
        <v>2</v>
      </c>
      <c r="O4483" s="31"/>
    </row>
    <row r="4484" spans="10:15" x14ac:dyDescent="0.25">
      <c r="J4484" t="s">
        <v>3162</v>
      </c>
      <c r="K4484" s="22" t="s">
        <v>30</v>
      </c>
      <c r="L4484">
        <v>1</v>
      </c>
      <c r="O4484" s="30"/>
    </row>
    <row r="4485" spans="10:15" x14ac:dyDescent="0.25">
      <c r="J4485" t="s">
        <v>3158</v>
      </c>
      <c r="K4485" s="22" t="s">
        <v>30</v>
      </c>
      <c r="L4485">
        <v>1</v>
      </c>
      <c r="O4485" s="30"/>
    </row>
    <row r="4486" spans="10:15" x14ac:dyDescent="0.25">
      <c r="J4486" t="s">
        <v>208</v>
      </c>
      <c r="K4486" s="22" t="s">
        <v>30</v>
      </c>
      <c r="L4486">
        <v>6</v>
      </c>
      <c r="M4486">
        <v>2</v>
      </c>
      <c r="O4486" s="30"/>
    </row>
    <row r="4487" spans="10:15" x14ac:dyDescent="0.25">
      <c r="J4487" t="s">
        <v>208</v>
      </c>
      <c r="K4487" s="22" t="s">
        <v>28</v>
      </c>
      <c r="L4487">
        <v>1</v>
      </c>
    </row>
    <row r="4488" spans="10:15" x14ac:dyDescent="0.25">
      <c r="J4488" t="s">
        <v>208</v>
      </c>
      <c r="K4488" s="22" t="s">
        <v>35</v>
      </c>
      <c r="L4488">
        <v>2</v>
      </c>
      <c r="O4488" s="30"/>
    </row>
    <row r="4489" spans="10:15" x14ac:dyDescent="0.25">
      <c r="J4489" t="s">
        <v>208</v>
      </c>
      <c r="K4489" s="22" t="s">
        <v>22</v>
      </c>
      <c r="L4489">
        <v>2</v>
      </c>
      <c r="O4489" s="30"/>
    </row>
    <row r="4490" spans="10:15" x14ac:dyDescent="0.25">
      <c r="J4490" t="s">
        <v>208</v>
      </c>
      <c r="K4490" s="22" t="s">
        <v>31</v>
      </c>
      <c r="L4490">
        <v>3</v>
      </c>
      <c r="O4490" s="30"/>
    </row>
    <row r="4491" spans="10:15" x14ac:dyDescent="0.25">
      <c r="J4491" t="s">
        <v>3389</v>
      </c>
      <c r="K4491" s="22" t="s">
        <v>28</v>
      </c>
      <c r="L4491">
        <v>1</v>
      </c>
      <c r="O4491" s="30"/>
    </row>
    <row r="4492" spans="10:15" x14ac:dyDescent="0.25">
      <c r="J4492" t="s">
        <v>1488</v>
      </c>
      <c r="K4492" s="22" t="s">
        <v>30</v>
      </c>
      <c r="L4492">
        <v>1</v>
      </c>
      <c r="M4492">
        <v>1</v>
      </c>
    </row>
    <row r="4493" spans="10:15" x14ac:dyDescent="0.25">
      <c r="J4493" t="s">
        <v>2919</v>
      </c>
      <c r="K4493" s="22" t="s">
        <v>30</v>
      </c>
      <c r="L4493">
        <v>2</v>
      </c>
      <c r="M4493">
        <v>2</v>
      </c>
      <c r="O4493" s="31"/>
    </row>
    <row r="4494" spans="10:15" x14ac:dyDescent="0.25">
      <c r="J4494" t="s">
        <v>2175</v>
      </c>
      <c r="K4494" s="22" t="s">
        <v>30</v>
      </c>
      <c r="L4494">
        <v>1</v>
      </c>
    </row>
    <row r="4495" spans="10:15" x14ac:dyDescent="0.25">
      <c r="J4495" t="s">
        <v>2175</v>
      </c>
      <c r="K4495" s="22" t="s">
        <v>28</v>
      </c>
      <c r="L4495">
        <v>1</v>
      </c>
    </row>
    <row r="4496" spans="10:15" x14ac:dyDescent="0.25">
      <c r="J4496" t="s">
        <v>2175</v>
      </c>
      <c r="K4496" s="22" t="s">
        <v>31</v>
      </c>
      <c r="L4496">
        <v>1</v>
      </c>
    </row>
    <row r="4497" spans="10:15" x14ac:dyDescent="0.25">
      <c r="J4497" t="s">
        <v>1949</v>
      </c>
      <c r="K4497" s="22" t="s">
        <v>30</v>
      </c>
      <c r="L4497">
        <v>1</v>
      </c>
    </row>
    <row r="4498" spans="10:15" x14ac:dyDescent="0.25">
      <c r="J4498" t="s">
        <v>1949</v>
      </c>
      <c r="K4498" s="22" t="s">
        <v>28</v>
      </c>
      <c r="L4498">
        <v>2</v>
      </c>
      <c r="M4498">
        <v>2</v>
      </c>
      <c r="O4498" s="31"/>
    </row>
    <row r="4499" spans="10:15" x14ac:dyDescent="0.25">
      <c r="J4499" t="s">
        <v>212</v>
      </c>
      <c r="K4499" s="22" t="s">
        <v>30</v>
      </c>
      <c r="L4499">
        <v>1</v>
      </c>
    </row>
    <row r="4500" spans="10:15" x14ac:dyDescent="0.25">
      <c r="J4500" t="s">
        <v>212</v>
      </c>
      <c r="K4500" s="22" t="s">
        <v>35</v>
      </c>
      <c r="L4500">
        <v>1</v>
      </c>
      <c r="O4500" s="30"/>
    </row>
    <row r="4501" spans="10:15" x14ac:dyDescent="0.25">
      <c r="J4501" t="s">
        <v>3412</v>
      </c>
      <c r="K4501" s="22" t="s">
        <v>30</v>
      </c>
      <c r="L4501">
        <v>1</v>
      </c>
      <c r="O4501" s="30"/>
    </row>
    <row r="4502" spans="10:15" x14ac:dyDescent="0.25">
      <c r="J4502" t="s">
        <v>3412</v>
      </c>
      <c r="K4502" s="22" t="s">
        <v>31</v>
      </c>
      <c r="L4502">
        <v>2</v>
      </c>
      <c r="M4502">
        <v>2</v>
      </c>
      <c r="O4502" s="31"/>
    </row>
    <row r="4503" spans="10:15" x14ac:dyDescent="0.25">
      <c r="J4503" t="s">
        <v>1969</v>
      </c>
      <c r="K4503" s="22" t="s">
        <v>30</v>
      </c>
      <c r="L4503">
        <v>1</v>
      </c>
    </row>
    <row r="4504" spans="10:15" x14ac:dyDescent="0.25">
      <c r="J4504" t="s">
        <v>1264</v>
      </c>
      <c r="K4504" s="22" t="s">
        <v>30</v>
      </c>
      <c r="L4504">
        <v>1</v>
      </c>
    </row>
    <row r="4505" spans="10:15" x14ac:dyDescent="0.25">
      <c r="J4505" t="s">
        <v>1264</v>
      </c>
      <c r="K4505" s="22" t="s">
        <v>35</v>
      </c>
      <c r="L4505">
        <v>3</v>
      </c>
      <c r="O4505" s="30"/>
    </row>
    <row r="4506" spans="10:15" x14ac:dyDescent="0.25">
      <c r="J4506" t="s">
        <v>1264</v>
      </c>
      <c r="K4506" s="22" t="s">
        <v>22</v>
      </c>
      <c r="L4506">
        <v>1</v>
      </c>
    </row>
    <row r="4507" spans="10:15" x14ac:dyDescent="0.25">
      <c r="J4507" t="s">
        <v>3282</v>
      </c>
      <c r="K4507" s="22" t="s">
        <v>31</v>
      </c>
      <c r="L4507">
        <v>1</v>
      </c>
      <c r="O4507" s="30"/>
    </row>
    <row r="4508" spans="10:15" x14ac:dyDescent="0.25">
      <c r="J4508" t="s">
        <v>2503</v>
      </c>
      <c r="K4508" s="22" t="s">
        <v>35</v>
      </c>
      <c r="L4508">
        <v>1</v>
      </c>
    </row>
    <row r="4509" spans="10:15" x14ac:dyDescent="0.25">
      <c r="J4509" t="s">
        <v>267</v>
      </c>
      <c r="K4509" s="22" t="s">
        <v>30</v>
      </c>
      <c r="L4509">
        <v>1</v>
      </c>
      <c r="M4509">
        <v>1</v>
      </c>
    </row>
    <row r="4510" spans="10:15" x14ac:dyDescent="0.25">
      <c r="J4510" t="s">
        <v>1736</v>
      </c>
      <c r="K4510" s="22" t="s">
        <v>30</v>
      </c>
      <c r="L4510">
        <v>8</v>
      </c>
      <c r="M4510">
        <v>8</v>
      </c>
      <c r="O4510" s="31"/>
    </row>
    <row r="4511" spans="10:15" x14ac:dyDescent="0.25">
      <c r="J4511" t="s">
        <v>2177</v>
      </c>
      <c r="K4511" s="22" t="s">
        <v>30</v>
      </c>
      <c r="L4511">
        <v>1</v>
      </c>
    </row>
    <row r="4512" spans="10:15" x14ac:dyDescent="0.25">
      <c r="J4512" t="s">
        <v>2177</v>
      </c>
      <c r="K4512" s="22" t="s">
        <v>22</v>
      </c>
      <c r="L4512">
        <v>2</v>
      </c>
      <c r="O4512" s="30"/>
    </row>
    <row r="4513" spans="10:15" x14ac:dyDescent="0.25">
      <c r="J4513" t="s">
        <v>277</v>
      </c>
      <c r="K4513" s="22" t="s">
        <v>29</v>
      </c>
      <c r="L4513">
        <v>2</v>
      </c>
      <c r="O4513" s="30"/>
    </row>
    <row r="4514" spans="10:15" x14ac:dyDescent="0.25">
      <c r="J4514" t="s">
        <v>277</v>
      </c>
      <c r="K4514" s="22" t="s">
        <v>28</v>
      </c>
      <c r="L4514">
        <v>2</v>
      </c>
      <c r="O4514" s="30"/>
    </row>
    <row r="4515" spans="10:15" x14ac:dyDescent="0.25">
      <c r="J4515" t="s">
        <v>277</v>
      </c>
      <c r="K4515" s="22" t="s">
        <v>35</v>
      </c>
      <c r="L4515">
        <v>2</v>
      </c>
      <c r="M4515">
        <v>2</v>
      </c>
    </row>
    <row r="4516" spans="10:15" x14ac:dyDescent="0.25">
      <c r="J4516" t="s">
        <v>1688</v>
      </c>
      <c r="K4516" s="22" t="s">
        <v>29</v>
      </c>
      <c r="L4516">
        <v>4</v>
      </c>
      <c r="M4516">
        <v>1</v>
      </c>
      <c r="O4516" s="31"/>
    </row>
    <row r="4517" spans="10:15" x14ac:dyDescent="0.25">
      <c r="J4517" t="s">
        <v>1688</v>
      </c>
      <c r="K4517" s="22" t="s">
        <v>28</v>
      </c>
      <c r="L4517">
        <v>2</v>
      </c>
      <c r="O4517" s="30"/>
    </row>
    <row r="4518" spans="10:15" x14ac:dyDescent="0.25">
      <c r="J4518" t="s">
        <v>1688</v>
      </c>
      <c r="K4518" s="22" t="s">
        <v>31</v>
      </c>
      <c r="L4518">
        <v>2</v>
      </c>
      <c r="M4518">
        <v>1</v>
      </c>
      <c r="O4518" s="30"/>
    </row>
    <row r="4519" spans="10:15" x14ac:dyDescent="0.25">
      <c r="J4519" t="s">
        <v>2960</v>
      </c>
      <c r="K4519" s="22" t="s">
        <v>22</v>
      </c>
      <c r="L4519">
        <v>1</v>
      </c>
      <c r="M4519">
        <v>1</v>
      </c>
      <c r="O4519" s="31"/>
    </row>
    <row r="4520" spans="10:15" x14ac:dyDescent="0.25">
      <c r="J4520" t="s">
        <v>970</v>
      </c>
      <c r="K4520" s="22" t="s">
        <v>35</v>
      </c>
      <c r="L4520">
        <v>3</v>
      </c>
      <c r="M4520">
        <v>3</v>
      </c>
      <c r="O4520" s="31"/>
    </row>
    <row r="4521" spans="10:15" x14ac:dyDescent="0.25">
      <c r="J4521" t="s">
        <v>3332</v>
      </c>
      <c r="K4521" s="22" t="s">
        <v>35</v>
      </c>
      <c r="L4521">
        <v>1</v>
      </c>
      <c r="M4521">
        <v>1</v>
      </c>
      <c r="O4521" s="31"/>
    </row>
    <row r="4522" spans="10:15" x14ac:dyDescent="0.25">
      <c r="J4522" t="s">
        <v>2512</v>
      </c>
      <c r="K4522" s="22" t="s">
        <v>29</v>
      </c>
      <c r="L4522">
        <v>1</v>
      </c>
    </row>
    <row r="4523" spans="10:15" x14ac:dyDescent="0.25">
      <c r="J4523" t="s">
        <v>1461</v>
      </c>
      <c r="K4523" s="22" t="s">
        <v>29</v>
      </c>
      <c r="L4523">
        <v>3</v>
      </c>
      <c r="M4523">
        <v>3</v>
      </c>
      <c r="O4523" s="31"/>
    </row>
    <row r="4524" spans="10:15" x14ac:dyDescent="0.25">
      <c r="J4524" t="s">
        <v>107</v>
      </c>
      <c r="K4524" s="22" t="s">
        <v>35</v>
      </c>
      <c r="L4524">
        <v>1</v>
      </c>
      <c r="M4524">
        <v>1</v>
      </c>
    </row>
    <row r="4525" spans="10:15" x14ac:dyDescent="0.25">
      <c r="J4525" t="s">
        <v>160</v>
      </c>
      <c r="K4525" s="22" t="s">
        <v>31</v>
      </c>
      <c r="L4525">
        <v>4</v>
      </c>
      <c r="M4525">
        <v>4</v>
      </c>
      <c r="O4525" s="31"/>
    </row>
    <row r="4526" spans="10:15" x14ac:dyDescent="0.25">
      <c r="J4526" t="s">
        <v>1005</v>
      </c>
      <c r="K4526" s="22" t="s">
        <v>28</v>
      </c>
      <c r="L4526">
        <v>1</v>
      </c>
    </row>
    <row r="4527" spans="10:15" x14ac:dyDescent="0.25">
      <c r="J4527" t="s">
        <v>1005</v>
      </c>
      <c r="K4527" s="22" t="s">
        <v>35</v>
      </c>
      <c r="L4527">
        <v>4</v>
      </c>
      <c r="M4527">
        <v>4</v>
      </c>
      <c r="O4527" s="31"/>
    </row>
    <row r="4528" spans="10:15" x14ac:dyDescent="0.25">
      <c r="J4528" t="s">
        <v>3463</v>
      </c>
      <c r="K4528" s="22" t="s">
        <v>28</v>
      </c>
      <c r="L4528">
        <v>1</v>
      </c>
      <c r="O4528" s="30"/>
    </row>
    <row r="4529" spans="10:15" x14ac:dyDescent="0.25">
      <c r="J4529" t="s">
        <v>2925</v>
      </c>
      <c r="K4529" s="22" t="s">
        <v>35</v>
      </c>
      <c r="L4529">
        <v>2</v>
      </c>
      <c r="M4529">
        <v>2</v>
      </c>
      <c r="O4529" s="31"/>
    </row>
    <row r="4530" spans="10:15" x14ac:dyDescent="0.25">
      <c r="J4530" t="s">
        <v>1490</v>
      </c>
      <c r="K4530" s="22" t="s">
        <v>35</v>
      </c>
      <c r="L4530">
        <v>3</v>
      </c>
      <c r="M4530">
        <v>3</v>
      </c>
      <c r="O4530" s="31"/>
    </row>
    <row r="4531" spans="10:15" x14ac:dyDescent="0.25">
      <c r="J4531" t="s">
        <v>1723</v>
      </c>
      <c r="K4531" s="22" t="s">
        <v>31</v>
      </c>
      <c r="L4531">
        <v>1</v>
      </c>
    </row>
    <row r="4532" spans="10:15" x14ac:dyDescent="0.25">
      <c r="J4532" t="s">
        <v>331</v>
      </c>
      <c r="K4532" s="22" t="s">
        <v>28</v>
      </c>
      <c r="L4532">
        <v>2</v>
      </c>
      <c r="M4532">
        <v>2</v>
      </c>
      <c r="O4532" s="31"/>
    </row>
    <row r="4533" spans="10:15" x14ac:dyDescent="0.25">
      <c r="J4533" t="s">
        <v>863</v>
      </c>
      <c r="K4533" s="22" t="s">
        <v>29</v>
      </c>
      <c r="L4533">
        <v>1</v>
      </c>
      <c r="M4533">
        <v>1</v>
      </c>
    </row>
    <row r="4534" spans="10:15" x14ac:dyDescent="0.25">
      <c r="J4534" t="s">
        <v>863</v>
      </c>
      <c r="K4534" s="22" t="s">
        <v>28</v>
      </c>
      <c r="L4534">
        <v>2</v>
      </c>
    </row>
    <row r="4535" spans="10:15" x14ac:dyDescent="0.25">
      <c r="J4535" t="s">
        <v>863</v>
      </c>
      <c r="K4535" s="22" t="s">
        <v>35</v>
      </c>
      <c r="L4535">
        <v>3</v>
      </c>
      <c r="M4535">
        <v>2</v>
      </c>
      <c r="O4535" s="31"/>
    </row>
    <row r="4536" spans="10:15" x14ac:dyDescent="0.25">
      <c r="J4536" t="s">
        <v>3230</v>
      </c>
      <c r="K4536" s="22" t="s">
        <v>28</v>
      </c>
      <c r="L4536">
        <v>1</v>
      </c>
      <c r="O4536" s="30"/>
    </row>
    <row r="4537" spans="10:15" x14ac:dyDescent="0.25">
      <c r="J4537" t="s">
        <v>3230</v>
      </c>
      <c r="K4537" s="22" t="s">
        <v>35</v>
      </c>
      <c r="L4537">
        <v>1</v>
      </c>
      <c r="M4537">
        <v>1</v>
      </c>
      <c r="O4537" s="31"/>
    </row>
    <row r="4538" spans="10:15" x14ac:dyDescent="0.25">
      <c r="J4538" t="s">
        <v>2194</v>
      </c>
      <c r="K4538" s="22" t="s">
        <v>28</v>
      </c>
      <c r="L4538">
        <v>1</v>
      </c>
      <c r="M4538">
        <v>1</v>
      </c>
    </row>
    <row r="4539" spans="10:15" x14ac:dyDescent="0.25">
      <c r="J4539" t="s">
        <v>2842</v>
      </c>
      <c r="K4539" s="22" t="s">
        <v>29</v>
      </c>
      <c r="L4539">
        <v>2</v>
      </c>
      <c r="M4539">
        <v>2</v>
      </c>
      <c r="O4539" s="31"/>
    </row>
    <row r="4540" spans="10:15" x14ac:dyDescent="0.25">
      <c r="J4540" t="s">
        <v>3182</v>
      </c>
      <c r="K4540" s="22" t="s">
        <v>29</v>
      </c>
      <c r="L4540">
        <v>2</v>
      </c>
      <c r="M4540">
        <v>2</v>
      </c>
      <c r="O4540" s="31"/>
    </row>
    <row r="4541" spans="10:15" x14ac:dyDescent="0.25">
      <c r="J4541" t="s">
        <v>2215</v>
      </c>
      <c r="K4541" s="22" t="s">
        <v>29</v>
      </c>
      <c r="L4541">
        <v>2</v>
      </c>
      <c r="M4541">
        <v>2</v>
      </c>
      <c r="O4541" s="31"/>
    </row>
    <row r="4542" spans="10:15" x14ac:dyDescent="0.25">
      <c r="J4542" t="s">
        <v>824</v>
      </c>
      <c r="K4542" s="22" t="s">
        <v>28</v>
      </c>
      <c r="L4542">
        <v>1</v>
      </c>
      <c r="M4542">
        <v>1</v>
      </c>
    </row>
    <row r="4543" spans="10:15" x14ac:dyDescent="0.25">
      <c r="J4543" t="s">
        <v>3511</v>
      </c>
      <c r="K4543" s="22" t="s">
        <v>29</v>
      </c>
      <c r="L4543">
        <v>1</v>
      </c>
      <c r="M4543">
        <v>1</v>
      </c>
      <c r="O4543" s="31"/>
    </row>
    <row r="4544" spans="10:15" x14ac:dyDescent="0.25">
      <c r="J4544" t="s">
        <v>333</v>
      </c>
      <c r="K4544" s="22" t="s">
        <v>29</v>
      </c>
      <c r="L4544">
        <v>7</v>
      </c>
      <c r="M4544">
        <v>7</v>
      </c>
      <c r="O4544" s="31"/>
    </row>
    <row r="4545" spans="10:15" x14ac:dyDescent="0.25">
      <c r="J4545" t="s">
        <v>865</v>
      </c>
      <c r="K4545" s="22" t="s">
        <v>29</v>
      </c>
      <c r="L4545">
        <v>4</v>
      </c>
      <c r="O4545" s="30"/>
    </row>
    <row r="4546" spans="10:15" x14ac:dyDescent="0.25">
      <c r="J4546" t="s">
        <v>865</v>
      </c>
      <c r="K4546" s="22" t="s">
        <v>35</v>
      </c>
      <c r="L4546">
        <v>4</v>
      </c>
    </row>
    <row r="4547" spans="10:15" x14ac:dyDescent="0.25">
      <c r="J4547" t="s">
        <v>334</v>
      </c>
      <c r="K4547" s="22" t="s">
        <v>29</v>
      </c>
      <c r="L4547">
        <v>6</v>
      </c>
      <c r="M4547">
        <v>6</v>
      </c>
      <c r="O4547" s="31"/>
    </row>
    <row r="4548" spans="10:15" x14ac:dyDescent="0.25">
      <c r="J4548" t="s">
        <v>2497</v>
      </c>
      <c r="K4548" s="22" t="s">
        <v>31</v>
      </c>
      <c r="L4548">
        <v>2</v>
      </c>
      <c r="M4548">
        <v>2</v>
      </c>
    </row>
    <row r="4549" spans="10:15" x14ac:dyDescent="0.25">
      <c r="J4549" t="s">
        <v>2319</v>
      </c>
      <c r="K4549" s="22" t="s">
        <v>35</v>
      </c>
      <c r="L4549">
        <v>2</v>
      </c>
      <c r="M4549">
        <v>1</v>
      </c>
      <c r="O4549" s="30"/>
    </row>
    <row r="4550" spans="10:15" x14ac:dyDescent="0.25">
      <c r="J4550" t="s">
        <v>2319</v>
      </c>
      <c r="K4550" s="22" t="s">
        <v>22</v>
      </c>
      <c r="L4550">
        <v>1</v>
      </c>
      <c r="O4550" s="30"/>
    </row>
    <row r="4551" spans="10:15" x14ac:dyDescent="0.25">
      <c r="J4551" t="s">
        <v>3200</v>
      </c>
      <c r="K4551" s="22" t="s">
        <v>22</v>
      </c>
      <c r="L4551">
        <v>1</v>
      </c>
      <c r="M4551">
        <v>1</v>
      </c>
      <c r="O4551" s="31"/>
    </row>
    <row r="4552" spans="10:15" x14ac:dyDescent="0.25">
      <c r="J4552" t="s">
        <v>2027</v>
      </c>
      <c r="K4552" s="22" t="s">
        <v>29</v>
      </c>
      <c r="L4552">
        <v>3</v>
      </c>
      <c r="M4552">
        <v>3</v>
      </c>
      <c r="O4552" s="31"/>
    </row>
    <row r="4553" spans="10:15" x14ac:dyDescent="0.25">
      <c r="J4553" t="s">
        <v>2027</v>
      </c>
      <c r="K4553" s="22" t="s">
        <v>35</v>
      </c>
      <c r="L4553">
        <v>2</v>
      </c>
      <c r="O4553" s="30"/>
    </row>
    <row r="4554" spans="10:15" x14ac:dyDescent="0.25">
      <c r="J4554" t="s">
        <v>1220</v>
      </c>
      <c r="K4554" s="22" t="s">
        <v>29</v>
      </c>
      <c r="L4554">
        <v>5</v>
      </c>
      <c r="M4554">
        <v>5</v>
      </c>
      <c r="O4554" s="31"/>
    </row>
    <row r="4555" spans="10:15" x14ac:dyDescent="0.25">
      <c r="J4555" t="s">
        <v>2070</v>
      </c>
      <c r="K4555" s="22" t="s">
        <v>29</v>
      </c>
      <c r="L4555">
        <v>4</v>
      </c>
      <c r="M4555">
        <v>4</v>
      </c>
      <c r="O4555" s="31"/>
    </row>
    <row r="4556" spans="10:15" x14ac:dyDescent="0.25">
      <c r="J4556" t="s">
        <v>3071</v>
      </c>
      <c r="K4556" s="22" t="s">
        <v>29</v>
      </c>
      <c r="L4556">
        <v>3</v>
      </c>
      <c r="M4556">
        <v>3</v>
      </c>
      <c r="O4556" s="31"/>
    </row>
    <row r="4557" spans="10:15" x14ac:dyDescent="0.25">
      <c r="J4557" t="s">
        <v>3071</v>
      </c>
      <c r="K4557" s="22" t="s">
        <v>31</v>
      </c>
      <c r="L4557">
        <v>1</v>
      </c>
      <c r="O4557" s="30"/>
    </row>
    <row r="4558" spans="10:15" x14ac:dyDescent="0.25">
      <c r="J4558" t="s">
        <v>1908</v>
      </c>
      <c r="K4558" s="22" t="s">
        <v>29</v>
      </c>
      <c r="L4558">
        <v>2</v>
      </c>
      <c r="M4558">
        <v>2</v>
      </c>
      <c r="O4558" s="31"/>
    </row>
    <row r="4559" spans="10:15" x14ac:dyDescent="0.25">
      <c r="J4559" t="s">
        <v>733</v>
      </c>
      <c r="K4559" s="22" t="s">
        <v>29</v>
      </c>
      <c r="L4559">
        <v>2</v>
      </c>
      <c r="M4559">
        <v>2</v>
      </c>
      <c r="O4559" s="31"/>
    </row>
    <row r="4560" spans="10:15" x14ac:dyDescent="0.25">
      <c r="J4560" t="s">
        <v>733</v>
      </c>
      <c r="K4560" s="22" t="s">
        <v>22</v>
      </c>
      <c r="L4560">
        <v>2</v>
      </c>
      <c r="O4560" s="30"/>
    </row>
    <row r="4561" spans="10:15" x14ac:dyDescent="0.25">
      <c r="J4561" t="s">
        <v>445</v>
      </c>
      <c r="K4561" s="22" t="s">
        <v>29</v>
      </c>
      <c r="L4561">
        <v>6</v>
      </c>
      <c r="M4561">
        <v>6</v>
      </c>
      <c r="O4561" s="31"/>
    </row>
    <row r="4562" spans="10:15" x14ac:dyDescent="0.25">
      <c r="J4562" t="s">
        <v>743</v>
      </c>
      <c r="K4562" s="22" t="s">
        <v>35</v>
      </c>
      <c r="L4562">
        <v>6</v>
      </c>
      <c r="M4562">
        <v>6</v>
      </c>
      <c r="O4562" s="31"/>
    </row>
    <row r="4563" spans="10:15" x14ac:dyDescent="0.25">
      <c r="J4563" t="s">
        <v>2587</v>
      </c>
      <c r="K4563" s="22" t="s">
        <v>35</v>
      </c>
      <c r="L4563">
        <v>5</v>
      </c>
      <c r="M4563">
        <v>5</v>
      </c>
      <c r="O4563" s="31"/>
    </row>
    <row r="4564" spans="10:15" x14ac:dyDescent="0.25">
      <c r="J4564" t="s">
        <v>1181</v>
      </c>
      <c r="K4564" s="22" t="s">
        <v>35</v>
      </c>
      <c r="L4564">
        <v>2</v>
      </c>
      <c r="M4564">
        <v>2</v>
      </c>
      <c r="O4564" s="31"/>
    </row>
    <row r="4565" spans="10:15" x14ac:dyDescent="0.25">
      <c r="J4565" t="s">
        <v>1307</v>
      </c>
      <c r="K4565" s="22" t="s">
        <v>28</v>
      </c>
      <c r="L4565">
        <v>1</v>
      </c>
      <c r="M4565">
        <v>1</v>
      </c>
    </row>
    <row r="4566" spans="10:15" x14ac:dyDescent="0.25">
      <c r="J4566" t="s">
        <v>3042</v>
      </c>
      <c r="K4566" s="22" t="s">
        <v>28</v>
      </c>
      <c r="L4566">
        <v>1</v>
      </c>
      <c r="O4566" s="30"/>
    </row>
    <row r="4567" spans="10:15" x14ac:dyDescent="0.25">
      <c r="J4567" t="s">
        <v>1766</v>
      </c>
      <c r="K4567" s="22" t="s">
        <v>28</v>
      </c>
      <c r="L4567">
        <v>2</v>
      </c>
      <c r="O4567" s="30"/>
    </row>
    <row r="4568" spans="10:15" x14ac:dyDescent="0.25">
      <c r="J4568" t="s">
        <v>1766</v>
      </c>
      <c r="K4568" s="22" t="s">
        <v>31</v>
      </c>
      <c r="L4568">
        <v>1</v>
      </c>
      <c r="M4568">
        <v>1</v>
      </c>
    </row>
    <row r="4569" spans="10:15" x14ac:dyDescent="0.25">
      <c r="J4569" t="s">
        <v>569</v>
      </c>
      <c r="K4569" s="22" t="s">
        <v>35</v>
      </c>
      <c r="L4569">
        <v>8</v>
      </c>
      <c r="M4569">
        <v>8</v>
      </c>
      <c r="O4569" s="31"/>
    </row>
    <row r="4570" spans="10:15" x14ac:dyDescent="0.25">
      <c r="J4570" t="s">
        <v>304</v>
      </c>
      <c r="K4570" s="22" t="s">
        <v>31</v>
      </c>
      <c r="L4570">
        <v>4</v>
      </c>
      <c r="M4570">
        <v>4</v>
      </c>
    </row>
    <row r="4571" spans="10:15" x14ac:dyDescent="0.25">
      <c r="J4571" t="s">
        <v>1403</v>
      </c>
      <c r="K4571" s="22" t="s">
        <v>22</v>
      </c>
      <c r="L4571">
        <v>8</v>
      </c>
      <c r="M4571">
        <v>8</v>
      </c>
      <c r="O4571" s="31"/>
    </row>
    <row r="4572" spans="10:15" x14ac:dyDescent="0.25">
      <c r="J4572" t="s">
        <v>714</v>
      </c>
      <c r="K4572" s="22" t="s">
        <v>35</v>
      </c>
      <c r="L4572">
        <v>2</v>
      </c>
      <c r="M4572">
        <v>2</v>
      </c>
    </row>
    <row r="4573" spans="10:15" x14ac:dyDescent="0.25">
      <c r="J4573" t="s">
        <v>1469</v>
      </c>
      <c r="K4573" s="22" t="s">
        <v>35</v>
      </c>
      <c r="L4573">
        <v>9</v>
      </c>
      <c r="M4573">
        <v>9</v>
      </c>
      <c r="O4573" s="31"/>
    </row>
    <row r="4574" spans="10:15" x14ac:dyDescent="0.25">
      <c r="J4574" t="s">
        <v>2476</v>
      </c>
      <c r="K4574" s="22" t="s">
        <v>31</v>
      </c>
      <c r="L4574">
        <v>3</v>
      </c>
      <c r="M4574">
        <v>3</v>
      </c>
      <c r="O4574" s="31"/>
    </row>
    <row r="4575" spans="10:15" x14ac:dyDescent="0.25">
      <c r="J4575" t="s">
        <v>1405</v>
      </c>
      <c r="K4575" s="22" t="s">
        <v>31</v>
      </c>
      <c r="L4575">
        <v>8</v>
      </c>
      <c r="M4575">
        <v>8</v>
      </c>
      <c r="O4575" s="31"/>
    </row>
    <row r="4576" spans="10:15" x14ac:dyDescent="0.25">
      <c r="J4576" t="s">
        <v>967</v>
      </c>
      <c r="K4576" s="22" t="s">
        <v>28</v>
      </c>
      <c r="L4576">
        <v>2</v>
      </c>
      <c r="O4576" s="30"/>
    </row>
    <row r="4577" spans="10:15" x14ac:dyDescent="0.25">
      <c r="J4577" t="s">
        <v>967</v>
      </c>
      <c r="K4577" s="22" t="s">
        <v>35</v>
      </c>
      <c r="L4577">
        <v>2</v>
      </c>
    </row>
    <row r="4578" spans="10:15" x14ac:dyDescent="0.25">
      <c r="J4578" t="s">
        <v>967</v>
      </c>
      <c r="K4578" s="22" t="s">
        <v>31</v>
      </c>
      <c r="L4578">
        <v>2</v>
      </c>
      <c r="M4578">
        <v>1</v>
      </c>
    </row>
    <row r="4579" spans="10:15" x14ac:dyDescent="0.25">
      <c r="J4579" t="s">
        <v>2202</v>
      </c>
      <c r="K4579" s="22" t="s">
        <v>35</v>
      </c>
      <c r="L4579">
        <v>1</v>
      </c>
      <c r="O4579" s="30"/>
    </row>
    <row r="4580" spans="10:15" x14ac:dyDescent="0.25">
      <c r="J4580" t="s">
        <v>2202</v>
      </c>
      <c r="K4580" s="22" t="s">
        <v>31</v>
      </c>
      <c r="L4580">
        <v>1</v>
      </c>
    </row>
    <row r="4581" spans="10:15" x14ac:dyDescent="0.25">
      <c r="J4581" t="s">
        <v>1477</v>
      </c>
      <c r="K4581" s="22" t="s">
        <v>35</v>
      </c>
      <c r="L4581">
        <v>1</v>
      </c>
    </row>
    <row r="4582" spans="10:15" x14ac:dyDescent="0.25">
      <c r="J4582" t="s">
        <v>1803</v>
      </c>
      <c r="K4582" s="22" t="s">
        <v>22</v>
      </c>
      <c r="L4582">
        <v>1</v>
      </c>
    </row>
    <row r="4583" spans="10:15" x14ac:dyDescent="0.25">
      <c r="J4583" t="s">
        <v>1431</v>
      </c>
      <c r="K4583" s="22" t="s">
        <v>28</v>
      </c>
      <c r="L4583">
        <v>1</v>
      </c>
      <c r="M4583">
        <v>1</v>
      </c>
    </row>
    <row r="4584" spans="10:15" x14ac:dyDescent="0.25">
      <c r="J4584" t="s">
        <v>1431</v>
      </c>
      <c r="K4584" s="22" t="s">
        <v>22</v>
      </c>
      <c r="L4584">
        <v>2</v>
      </c>
      <c r="O4584" s="30"/>
    </row>
    <row r="4585" spans="10:15" x14ac:dyDescent="0.25">
      <c r="J4585" t="s">
        <v>761</v>
      </c>
      <c r="K4585" s="22" t="s">
        <v>31</v>
      </c>
      <c r="L4585">
        <v>1</v>
      </c>
    </row>
    <row r="4586" spans="10:15" x14ac:dyDescent="0.25">
      <c r="J4586" t="s">
        <v>1573</v>
      </c>
      <c r="K4586" s="22" t="s">
        <v>28</v>
      </c>
      <c r="L4586">
        <v>3</v>
      </c>
      <c r="M4586">
        <v>3</v>
      </c>
    </row>
    <row r="4587" spans="10:15" x14ac:dyDescent="0.25">
      <c r="J4587" t="s">
        <v>405</v>
      </c>
      <c r="K4587" s="22" t="s">
        <v>31</v>
      </c>
      <c r="L4587">
        <v>5</v>
      </c>
      <c r="M4587">
        <v>5</v>
      </c>
      <c r="O4587" s="31"/>
    </row>
    <row r="4588" spans="10:15" x14ac:dyDescent="0.25">
      <c r="J4588" t="s">
        <v>1677</v>
      </c>
      <c r="K4588" s="22" t="s">
        <v>29</v>
      </c>
      <c r="L4588">
        <v>5</v>
      </c>
      <c r="M4588">
        <v>4</v>
      </c>
      <c r="O4588" s="31"/>
    </row>
    <row r="4589" spans="10:15" x14ac:dyDescent="0.25">
      <c r="J4589" t="s">
        <v>1677</v>
      </c>
      <c r="K4589" s="22" t="s">
        <v>35</v>
      </c>
      <c r="L4589">
        <v>1</v>
      </c>
      <c r="M4589">
        <v>1</v>
      </c>
      <c r="O4589" s="31"/>
    </row>
    <row r="4590" spans="10:15" x14ac:dyDescent="0.25">
      <c r="J4590" t="s">
        <v>3083</v>
      </c>
      <c r="K4590" s="22" t="s">
        <v>22</v>
      </c>
      <c r="L4590">
        <v>2</v>
      </c>
      <c r="M4590">
        <v>1</v>
      </c>
      <c r="O4590" s="30"/>
    </row>
    <row r="4591" spans="10:15" x14ac:dyDescent="0.25">
      <c r="J4591" t="s">
        <v>3414</v>
      </c>
      <c r="K4591" s="22" t="s">
        <v>35</v>
      </c>
      <c r="L4591">
        <v>1</v>
      </c>
      <c r="O4591" s="30"/>
    </row>
    <row r="4592" spans="10:15" x14ac:dyDescent="0.25">
      <c r="J4592" t="s">
        <v>3485</v>
      </c>
      <c r="K4592" s="22" t="s">
        <v>28</v>
      </c>
      <c r="L4592">
        <v>1</v>
      </c>
      <c r="O4592" s="30"/>
    </row>
    <row r="4593" spans="10:15" x14ac:dyDescent="0.25">
      <c r="J4593" t="s">
        <v>1090</v>
      </c>
      <c r="K4593" s="22" t="s">
        <v>29</v>
      </c>
      <c r="L4593">
        <v>6</v>
      </c>
      <c r="M4593">
        <v>6</v>
      </c>
      <c r="O4593" s="31"/>
    </row>
    <row r="4594" spans="10:15" x14ac:dyDescent="0.25">
      <c r="J4594" t="s">
        <v>898</v>
      </c>
      <c r="K4594" s="22" t="s">
        <v>29</v>
      </c>
      <c r="L4594">
        <v>1</v>
      </c>
      <c r="M4594">
        <v>1</v>
      </c>
    </row>
    <row r="4595" spans="10:15" x14ac:dyDescent="0.25">
      <c r="J4595" t="s">
        <v>3453</v>
      </c>
      <c r="K4595" s="22" t="s">
        <v>30</v>
      </c>
      <c r="L4595">
        <v>1</v>
      </c>
      <c r="O4595" s="30"/>
    </row>
    <row r="4596" spans="10:15" x14ac:dyDescent="0.25">
      <c r="J4596" t="s">
        <v>1873</v>
      </c>
      <c r="K4596" s="22" t="s">
        <v>29</v>
      </c>
      <c r="L4596">
        <v>11</v>
      </c>
      <c r="M4596">
        <v>11</v>
      </c>
      <c r="O4596" s="31"/>
    </row>
    <row r="4597" spans="10:15" x14ac:dyDescent="0.25">
      <c r="J4597" t="s">
        <v>2965</v>
      </c>
      <c r="K4597" s="22" t="s">
        <v>35</v>
      </c>
      <c r="L4597">
        <v>1</v>
      </c>
      <c r="M4597">
        <v>1</v>
      </c>
    </row>
    <row r="4598" spans="10:15" x14ac:dyDescent="0.25">
      <c r="J4598" t="s">
        <v>2722</v>
      </c>
      <c r="K4598" s="22" t="s">
        <v>30</v>
      </c>
      <c r="L4598">
        <v>5</v>
      </c>
      <c r="M4598">
        <v>5</v>
      </c>
      <c r="O4598" s="31"/>
    </row>
    <row r="4599" spans="10:15" x14ac:dyDescent="0.25">
      <c r="J4599" t="s">
        <v>698</v>
      </c>
      <c r="K4599" s="22" t="s">
        <v>30</v>
      </c>
      <c r="L4599">
        <v>2</v>
      </c>
      <c r="M4599">
        <v>2</v>
      </c>
    </row>
    <row r="4600" spans="10:15" x14ac:dyDescent="0.25">
      <c r="J4600" t="s">
        <v>698</v>
      </c>
      <c r="K4600" s="22" t="s">
        <v>35</v>
      </c>
      <c r="L4600">
        <v>2</v>
      </c>
    </row>
    <row r="4601" spans="10:15" x14ac:dyDescent="0.25">
      <c r="J4601" t="s">
        <v>698</v>
      </c>
      <c r="K4601" s="22" t="s">
        <v>31</v>
      </c>
      <c r="L4601">
        <v>3</v>
      </c>
      <c r="O4601" s="30"/>
    </row>
    <row r="4602" spans="10:15" x14ac:dyDescent="0.25">
      <c r="J4602" t="s">
        <v>680</v>
      </c>
      <c r="K4602" s="22" t="s">
        <v>30</v>
      </c>
      <c r="L4602">
        <v>1</v>
      </c>
    </row>
    <row r="4603" spans="10:15" x14ac:dyDescent="0.25">
      <c r="J4603" t="s">
        <v>680</v>
      </c>
      <c r="K4603" s="22" t="s">
        <v>29</v>
      </c>
      <c r="L4603">
        <v>1</v>
      </c>
      <c r="M4603">
        <v>1</v>
      </c>
    </row>
    <row r="4604" spans="10:15" x14ac:dyDescent="0.25">
      <c r="J4604" t="s">
        <v>680</v>
      </c>
      <c r="K4604" s="22" t="s">
        <v>35</v>
      </c>
      <c r="L4604">
        <v>1</v>
      </c>
    </row>
    <row r="4605" spans="10:15" x14ac:dyDescent="0.25">
      <c r="J4605" t="s">
        <v>1061</v>
      </c>
      <c r="K4605" s="22" t="s">
        <v>22</v>
      </c>
      <c r="L4605">
        <v>1</v>
      </c>
      <c r="M4605">
        <v>1</v>
      </c>
    </row>
    <row r="4606" spans="10:15" x14ac:dyDescent="0.25">
      <c r="J4606" t="s">
        <v>3190</v>
      </c>
      <c r="K4606" s="22" t="s">
        <v>30</v>
      </c>
      <c r="L4606">
        <v>1</v>
      </c>
      <c r="M4606">
        <v>1</v>
      </c>
      <c r="O4606" s="31"/>
    </row>
    <row r="4607" spans="10:15" x14ac:dyDescent="0.25">
      <c r="J4607" t="s">
        <v>685</v>
      </c>
      <c r="K4607" s="22" t="s">
        <v>30</v>
      </c>
      <c r="L4607">
        <v>2</v>
      </c>
      <c r="M4607">
        <v>2</v>
      </c>
    </row>
    <row r="4608" spans="10:15" x14ac:dyDescent="0.25">
      <c r="J4608" t="s">
        <v>3128</v>
      </c>
      <c r="K4608" s="22" t="s">
        <v>31</v>
      </c>
      <c r="L4608">
        <v>2</v>
      </c>
      <c r="M4608">
        <v>2</v>
      </c>
      <c r="O4608" s="31"/>
    </row>
    <row r="4609" spans="10:15" x14ac:dyDescent="0.25">
      <c r="J4609" t="s">
        <v>2707</v>
      </c>
      <c r="K4609" s="22" t="s">
        <v>30</v>
      </c>
      <c r="L4609">
        <v>1</v>
      </c>
    </row>
    <row r="4610" spans="10:15" x14ac:dyDescent="0.25">
      <c r="J4610" t="s">
        <v>956</v>
      </c>
      <c r="K4610" s="22" t="s">
        <v>29</v>
      </c>
      <c r="L4610">
        <v>1</v>
      </c>
      <c r="M4610">
        <v>1</v>
      </c>
    </row>
    <row r="4611" spans="10:15" x14ac:dyDescent="0.25">
      <c r="J4611" t="s">
        <v>956</v>
      </c>
      <c r="K4611" s="22" t="s">
        <v>31</v>
      </c>
      <c r="L4611">
        <v>1</v>
      </c>
    </row>
    <row r="4612" spans="10:15" x14ac:dyDescent="0.25">
      <c r="J4612" t="s">
        <v>3145</v>
      </c>
      <c r="K4612" s="22" t="s">
        <v>30</v>
      </c>
      <c r="L4612">
        <v>2</v>
      </c>
      <c r="O4612" s="30"/>
    </row>
    <row r="4613" spans="10:15" x14ac:dyDescent="0.25">
      <c r="J4613" t="s">
        <v>1500</v>
      </c>
      <c r="K4613" s="22" t="s">
        <v>29</v>
      </c>
      <c r="L4613">
        <v>5</v>
      </c>
      <c r="M4613">
        <v>5</v>
      </c>
      <c r="O4613" s="31"/>
    </row>
    <row r="4614" spans="10:15" x14ac:dyDescent="0.25">
      <c r="J4614" t="s">
        <v>3080</v>
      </c>
      <c r="K4614" s="22" t="s">
        <v>29</v>
      </c>
      <c r="L4614">
        <v>2</v>
      </c>
      <c r="M4614">
        <v>2</v>
      </c>
      <c r="O4614" s="31"/>
    </row>
    <row r="4615" spans="10:15" x14ac:dyDescent="0.25">
      <c r="J4615" t="s">
        <v>1376</v>
      </c>
      <c r="K4615" s="22" t="s">
        <v>30</v>
      </c>
      <c r="L4615">
        <v>2</v>
      </c>
      <c r="M4615">
        <v>1</v>
      </c>
      <c r="O4615" s="30"/>
    </row>
    <row r="4616" spans="10:15" x14ac:dyDescent="0.25">
      <c r="J4616" t="s">
        <v>1376</v>
      </c>
      <c r="K4616" s="22" t="s">
        <v>29</v>
      </c>
      <c r="L4616">
        <v>2</v>
      </c>
      <c r="M4616">
        <v>1</v>
      </c>
      <c r="O4616" s="30"/>
    </row>
    <row r="4617" spans="10:15" x14ac:dyDescent="0.25">
      <c r="J4617" t="s">
        <v>1376</v>
      </c>
      <c r="K4617" s="22" t="s">
        <v>35</v>
      </c>
      <c r="L4617">
        <v>1</v>
      </c>
    </row>
    <row r="4618" spans="10:15" x14ac:dyDescent="0.25">
      <c r="J4618" t="s">
        <v>2606</v>
      </c>
      <c r="K4618" s="22" t="s">
        <v>30</v>
      </c>
      <c r="L4618">
        <v>2</v>
      </c>
      <c r="M4618">
        <v>2</v>
      </c>
      <c r="O4618" s="31"/>
    </row>
    <row r="4619" spans="10:15" x14ac:dyDescent="0.25">
      <c r="J4619" t="s">
        <v>2984</v>
      </c>
      <c r="K4619" s="22" t="s">
        <v>22</v>
      </c>
      <c r="L4619">
        <v>3</v>
      </c>
      <c r="M4619">
        <v>2</v>
      </c>
      <c r="O4619" s="31"/>
    </row>
    <row r="4620" spans="10:15" x14ac:dyDescent="0.25">
      <c r="J4620" t="s">
        <v>2984</v>
      </c>
      <c r="K4620" s="22" t="s">
        <v>31</v>
      </c>
      <c r="L4620">
        <v>2</v>
      </c>
      <c r="M4620">
        <v>2</v>
      </c>
      <c r="O4620" s="31"/>
    </row>
    <row r="4621" spans="10:15" x14ac:dyDescent="0.25">
      <c r="J4621" t="s">
        <v>2975</v>
      </c>
      <c r="K4621" s="22" t="s">
        <v>29</v>
      </c>
      <c r="L4621">
        <v>2</v>
      </c>
      <c r="M4621">
        <v>2</v>
      </c>
      <c r="O4621" s="31"/>
    </row>
    <row r="4622" spans="10:15" x14ac:dyDescent="0.25">
      <c r="J4622" t="s">
        <v>3367</v>
      </c>
      <c r="K4622" s="22" t="s">
        <v>30</v>
      </c>
      <c r="L4622">
        <v>1</v>
      </c>
      <c r="M4622">
        <v>1</v>
      </c>
      <c r="O4622" s="31"/>
    </row>
    <row r="4623" spans="10:15" x14ac:dyDescent="0.25">
      <c r="J4623" t="s">
        <v>2200</v>
      </c>
      <c r="K4623" s="22" t="s">
        <v>29</v>
      </c>
      <c r="L4623">
        <v>3</v>
      </c>
      <c r="M4623">
        <v>3</v>
      </c>
      <c r="O4623" s="31"/>
    </row>
    <row r="4624" spans="10:15" x14ac:dyDescent="0.25">
      <c r="J4624" t="s">
        <v>3498</v>
      </c>
      <c r="K4624" s="22" t="s">
        <v>30</v>
      </c>
      <c r="L4624">
        <v>1</v>
      </c>
      <c r="O4624" s="30"/>
    </row>
    <row r="4625" spans="10:15" x14ac:dyDescent="0.25">
      <c r="J4625" t="s">
        <v>1309</v>
      </c>
      <c r="K4625" s="22" t="s">
        <v>30</v>
      </c>
      <c r="L4625">
        <v>3</v>
      </c>
      <c r="M4625">
        <v>2</v>
      </c>
      <c r="O4625" s="31"/>
    </row>
    <row r="4626" spans="10:15" x14ac:dyDescent="0.25">
      <c r="J4626" t="s">
        <v>1309</v>
      </c>
      <c r="K4626" s="22" t="s">
        <v>31</v>
      </c>
      <c r="L4626">
        <v>5</v>
      </c>
      <c r="M4626">
        <v>5</v>
      </c>
      <c r="O4626" s="31"/>
    </row>
    <row r="4627" spans="10:15" x14ac:dyDescent="0.25">
      <c r="J4627" t="s">
        <v>2900</v>
      </c>
      <c r="K4627" s="22" t="s">
        <v>22</v>
      </c>
      <c r="L4627">
        <v>1</v>
      </c>
    </row>
    <row r="4628" spans="10:15" x14ac:dyDescent="0.25">
      <c r="J4628" t="s">
        <v>2397</v>
      </c>
      <c r="K4628" s="22" t="s">
        <v>31</v>
      </c>
      <c r="L4628">
        <v>3</v>
      </c>
      <c r="M4628">
        <v>3</v>
      </c>
      <c r="O4628" s="31"/>
    </row>
    <row r="4629" spans="10:15" x14ac:dyDescent="0.25">
      <c r="J4629" t="s">
        <v>1319</v>
      </c>
      <c r="K4629" s="22" t="s">
        <v>31</v>
      </c>
      <c r="L4629">
        <v>5</v>
      </c>
      <c r="M4629">
        <v>5</v>
      </c>
      <c r="O4629" s="31"/>
    </row>
    <row r="4630" spans="10:15" x14ac:dyDescent="0.25">
      <c r="J4630" t="s">
        <v>3286</v>
      </c>
      <c r="K4630" s="22" t="s">
        <v>30</v>
      </c>
      <c r="L4630">
        <v>1</v>
      </c>
      <c r="O4630" s="30"/>
    </row>
    <row r="4631" spans="10:15" x14ac:dyDescent="0.25">
      <c r="J4631" t="s">
        <v>2826</v>
      </c>
      <c r="K4631" s="22" t="s">
        <v>30</v>
      </c>
      <c r="L4631">
        <v>6</v>
      </c>
      <c r="M4631">
        <v>6</v>
      </c>
      <c r="O4631" s="31"/>
    </row>
    <row r="4632" spans="10:15" x14ac:dyDescent="0.25">
      <c r="J4632" t="s">
        <v>2429</v>
      </c>
      <c r="K4632" s="22" t="s">
        <v>30</v>
      </c>
      <c r="L4632">
        <v>8</v>
      </c>
      <c r="M4632">
        <v>8</v>
      </c>
      <c r="O4632" s="31"/>
    </row>
    <row r="4633" spans="10:15" x14ac:dyDescent="0.25">
      <c r="J4633" t="s">
        <v>1069</v>
      </c>
      <c r="K4633" s="22" t="s">
        <v>30</v>
      </c>
      <c r="L4633">
        <v>5</v>
      </c>
      <c r="M4633">
        <v>5</v>
      </c>
      <c r="O4633" s="31"/>
    </row>
    <row r="4634" spans="10:15" x14ac:dyDescent="0.25">
      <c r="J4634" t="s">
        <v>1875</v>
      </c>
      <c r="K4634" s="22" t="s">
        <v>22</v>
      </c>
      <c r="L4634">
        <v>2</v>
      </c>
      <c r="M4634">
        <v>2</v>
      </c>
      <c r="O4634" s="31"/>
    </row>
    <row r="4635" spans="10:15" x14ac:dyDescent="0.25">
      <c r="J4635" t="s">
        <v>3489</v>
      </c>
      <c r="K4635" s="22" t="s">
        <v>30</v>
      </c>
      <c r="L4635">
        <v>2</v>
      </c>
      <c r="M4635">
        <v>2</v>
      </c>
      <c r="O4635" s="31"/>
    </row>
    <row r="4636" spans="10:15" x14ac:dyDescent="0.25">
      <c r="J4636" t="s">
        <v>488</v>
      </c>
      <c r="K4636" s="22" t="s">
        <v>30</v>
      </c>
      <c r="L4636">
        <v>8</v>
      </c>
      <c r="M4636">
        <v>8</v>
      </c>
      <c r="O4636" s="31"/>
    </row>
    <row r="4637" spans="10:15" x14ac:dyDescent="0.25">
      <c r="J4637" t="s">
        <v>1887</v>
      </c>
      <c r="K4637" s="22" t="s">
        <v>30</v>
      </c>
      <c r="L4637">
        <v>3</v>
      </c>
      <c r="M4637">
        <v>3</v>
      </c>
    </row>
    <row r="4638" spans="10:15" x14ac:dyDescent="0.25">
      <c r="J4638" t="s">
        <v>795</v>
      </c>
      <c r="K4638" s="22" t="s">
        <v>30</v>
      </c>
      <c r="L4638">
        <v>1</v>
      </c>
      <c r="O4638" s="30"/>
    </row>
    <row r="4639" spans="10:15" x14ac:dyDescent="0.25">
      <c r="J4639" t="s">
        <v>795</v>
      </c>
      <c r="K4639" s="22" t="s">
        <v>35</v>
      </c>
      <c r="L4639">
        <v>2</v>
      </c>
      <c r="M4639">
        <v>1</v>
      </c>
      <c r="O4639" s="30"/>
    </row>
    <row r="4640" spans="10:15" x14ac:dyDescent="0.25">
      <c r="J4640" t="s">
        <v>2577</v>
      </c>
      <c r="K4640" s="22" t="s">
        <v>35</v>
      </c>
      <c r="L4640">
        <v>1</v>
      </c>
    </row>
    <row r="4641" spans="10:15" x14ac:dyDescent="0.25">
      <c r="J4641" t="s">
        <v>263</v>
      </c>
      <c r="K4641" s="22" t="s">
        <v>30</v>
      </c>
      <c r="L4641">
        <v>1</v>
      </c>
      <c r="M4641">
        <v>1</v>
      </c>
    </row>
    <row r="4642" spans="10:15" x14ac:dyDescent="0.25">
      <c r="J4642" t="s">
        <v>3468</v>
      </c>
      <c r="K4642" s="22" t="s">
        <v>31</v>
      </c>
      <c r="L4642">
        <v>1</v>
      </c>
      <c r="M4642">
        <v>1</v>
      </c>
      <c r="O4642" s="31"/>
    </row>
    <row r="4643" spans="10:15" x14ac:dyDescent="0.25">
      <c r="J4643" t="s">
        <v>894</v>
      </c>
      <c r="K4643" s="22" t="s">
        <v>35</v>
      </c>
      <c r="L4643">
        <v>2</v>
      </c>
      <c r="M4643">
        <v>2</v>
      </c>
    </row>
    <row r="4644" spans="10:15" x14ac:dyDescent="0.25">
      <c r="J4644" t="s">
        <v>2844</v>
      </c>
      <c r="K4644" s="22" t="s">
        <v>28</v>
      </c>
      <c r="L4644">
        <v>1</v>
      </c>
      <c r="M4644">
        <v>1</v>
      </c>
    </row>
    <row r="4645" spans="10:15" x14ac:dyDescent="0.25">
      <c r="J4645" t="s">
        <v>3329</v>
      </c>
      <c r="K4645" s="22" t="s">
        <v>30</v>
      </c>
      <c r="L4645">
        <v>2</v>
      </c>
      <c r="M4645">
        <v>2</v>
      </c>
      <c r="O4645" s="31"/>
    </row>
    <row r="4646" spans="10:15" x14ac:dyDescent="0.25">
      <c r="J4646" t="s">
        <v>1300</v>
      </c>
      <c r="K4646" s="22" t="s">
        <v>22</v>
      </c>
      <c r="L4646">
        <v>2</v>
      </c>
      <c r="M4646">
        <v>2</v>
      </c>
    </row>
    <row r="4647" spans="10:15" x14ac:dyDescent="0.25">
      <c r="J4647" t="s">
        <v>3124</v>
      </c>
      <c r="K4647" s="22" t="s">
        <v>30</v>
      </c>
      <c r="L4647">
        <v>1</v>
      </c>
      <c r="M4647">
        <v>1</v>
      </c>
      <c r="O4647" s="31"/>
    </row>
    <row r="4648" spans="10:15" x14ac:dyDescent="0.25">
      <c r="J4648" t="s">
        <v>2448</v>
      </c>
      <c r="K4648" s="22" t="s">
        <v>30</v>
      </c>
      <c r="L4648">
        <v>1</v>
      </c>
      <c r="M4648">
        <v>1</v>
      </c>
    </row>
    <row r="4649" spans="10:15" x14ac:dyDescent="0.25">
      <c r="J4649" t="s">
        <v>756</v>
      </c>
      <c r="K4649" s="22" t="s">
        <v>30</v>
      </c>
      <c r="L4649">
        <v>6</v>
      </c>
      <c r="M4649">
        <v>1</v>
      </c>
      <c r="O4649" s="30"/>
    </row>
    <row r="4650" spans="10:15" x14ac:dyDescent="0.25">
      <c r="J4650" t="s">
        <v>756</v>
      </c>
      <c r="K4650" s="22" t="s">
        <v>35</v>
      </c>
      <c r="L4650">
        <v>2</v>
      </c>
      <c r="O4650" s="30"/>
    </row>
    <row r="4651" spans="10:15" x14ac:dyDescent="0.25">
      <c r="J4651" t="s">
        <v>756</v>
      </c>
      <c r="K4651" s="22" t="s">
        <v>22</v>
      </c>
      <c r="L4651">
        <v>3</v>
      </c>
      <c r="O4651" s="30"/>
    </row>
    <row r="4652" spans="10:15" x14ac:dyDescent="0.25">
      <c r="J4652" t="s">
        <v>756</v>
      </c>
      <c r="K4652" s="22" t="s">
        <v>31</v>
      </c>
      <c r="L4652">
        <v>4</v>
      </c>
      <c r="O4652" s="30"/>
    </row>
    <row r="4653" spans="10:15" x14ac:dyDescent="0.25">
      <c r="J4653" t="s">
        <v>821</v>
      </c>
      <c r="K4653" s="22" t="s">
        <v>30</v>
      </c>
      <c r="L4653">
        <v>1</v>
      </c>
      <c r="M4653">
        <v>1</v>
      </c>
    </row>
    <row r="4654" spans="10:15" x14ac:dyDescent="0.25">
      <c r="J4654" t="s">
        <v>2090</v>
      </c>
      <c r="K4654" s="22" t="s">
        <v>30</v>
      </c>
      <c r="L4654">
        <v>2</v>
      </c>
      <c r="M4654">
        <v>2</v>
      </c>
    </row>
    <row r="4655" spans="10:15" x14ac:dyDescent="0.25">
      <c r="J4655" t="s">
        <v>555</v>
      </c>
      <c r="K4655" s="22" t="s">
        <v>30</v>
      </c>
      <c r="L4655">
        <v>4</v>
      </c>
      <c r="M4655">
        <v>4</v>
      </c>
    </row>
    <row r="4656" spans="10:15" x14ac:dyDescent="0.25">
      <c r="J4656" t="s">
        <v>400</v>
      </c>
      <c r="K4656" s="22" t="s">
        <v>30</v>
      </c>
      <c r="L4656">
        <v>2</v>
      </c>
      <c r="O4656" s="30"/>
    </row>
    <row r="4657" spans="10:15" x14ac:dyDescent="0.25">
      <c r="J4657" t="s">
        <v>400</v>
      </c>
      <c r="K4657" s="22" t="s">
        <v>35</v>
      </c>
      <c r="L4657">
        <v>3</v>
      </c>
      <c r="M4657">
        <v>3</v>
      </c>
      <c r="O4657" s="31"/>
    </row>
    <row r="4658" spans="10:15" x14ac:dyDescent="0.25">
      <c r="J4658" t="s">
        <v>3339</v>
      </c>
      <c r="K4658" s="22" t="s">
        <v>30</v>
      </c>
      <c r="L4658">
        <v>1</v>
      </c>
      <c r="M4658">
        <v>1</v>
      </c>
      <c r="O4658" s="31"/>
    </row>
    <row r="4659" spans="10:15" x14ac:dyDescent="0.25">
      <c r="J4659" t="s">
        <v>896</v>
      </c>
      <c r="K4659" s="22" t="s">
        <v>30</v>
      </c>
      <c r="L4659">
        <v>2</v>
      </c>
      <c r="M4659">
        <v>2</v>
      </c>
    </row>
    <row r="4660" spans="10:15" x14ac:dyDescent="0.25">
      <c r="J4660" t="s">
        <v>588</v>
      </c>
      <c r="K4660" s="22" t="s">
        <v>29</v>
      </c>
      <c r="L4660">
        <v>2</v>
      </c>
      <c r="M4660">
        <v>1</v>
      </c>
    </row>
    <row r="4661" spans="10:15" x14ac:dyDescent="0.25">
      <c r="J4661" t="s">
        <v>588</v>
      </c>
      <c r="K4661" s="22" t="s">
        <v>28</v>
      </c>
      <c r="L4661">
        <v>3</v>
      </c>
      <c r="M4661">
        <v>3</v>
      </c>
      <c r="O4661" s="31"/>
    </row>
    <row r="4662" spans="10:15" x14ac:dyDescent="0.25">
      <c r="J4662" t="s">
        <v>1506</v>
      </c>
      <c r="K4662" s="22" t="s">
        <v>29</v>
      </c>
      <c r="L4662">
        <v>1</v>
      </c>
      <c r="O4662" s="30"/>
    </row>
    <row r="4663" spans="10:15" x14ac:dyDescent="0.25">
      <c r="J4663" t="s">
        <v>1506</v>
      </c>
      <c r="K4663" s="22" t="s">
        <v>28</v>
      </c>
      <c r="L4663">
        <v>1</v>
      </c>
      <c r="O4663" s="30"/>
    </row>
    <row r="4664" spans="10:15" x14ac:dyDescent="0.25">
      <c r="J4664" t="s">
        <v>1506</v>
      </c>
      <c r="K4664" s="22" t="s">
        <v>22</v>
      </c>
      <c r="L4664">
        <v>2</v>
      </c>
      <c r="M4664">
        <v>1</v>
      </c>
    </row>
    <row r="4665" spans="10:15" x14ac:dyDescent="0.25">
      <c r="J4665" t="s">
        <v>1863</v>
      </c>
      <c r="K4665" s="22" t="s">
        <v>35</v>
      </c>
      <c r="L4665">
        <v>5</v>
      </c>
      <c r="M4665">
        <v>5</v>
      </c>
      <c r="O4665" s="31"/>
    </row>
    <row r="4666" spans="10:15" x14ac:dyDescent="0.25">
      <c r="J4666" t="s">
        <v>3440</v>
      </c>
      <c r="K4666" s="22" t="s">
        <v>29</v>
      </c>
      <c r="L4666">
        <v>1</v>
      </c>
      <c r="M4666">
        <v>1</v>
      </c>
      <c r="O4666" s="31"/>
    </row>
    <row r="4667" spans="10:15" x14ac:dyDescent="0.25">
      <c r="J4667" t="s">
        <v>2496</v>
      </c>
      <c r="K4667" s="22" t="s">
        <v>29</v>
      </c>
      <c r="L4667">
        <v>1</v>
      </c>
    </row>
    <row r="4668" spans="10:15" x14ac:dyDescent="0.25">
      <c r="J4668" t="s">
        <v>2496</v>
      </c>
      <c r="K4668" s="22" t="s">
        <v>28</v>
      </c>
      <c r="L4668">
        <v>1</v>
      </c>
    </row>
    <row r="4669" spans="10:15" x14ac:dyDescent="0.25">
      <c r="J4669" t="s">
        <v>2496</v>
      </c>
      <c r="K4669" s="22" t="s">
        <v>31</v>
      </c>
      <c r="L4669">
        <v>3</v>
      </c>
      <c r="M4669">
        <v>1</v>
      </c>
      <c r="O4669" s="30"/>
    </row>
    <row r="4670" spans="10:15" x14ac:dyDescent="0.25">
      <c r="J4670" t="s">
        <v>2342</v>
      </c>
      <c r="K4670" s="22" t="s">
        <v>28</v>
      </c>
      <c r="L4670">
        <v>1</v>
      </c>
    </row>
    <row r="4671" spans="10:15" x14ac:dyDescent="0.25">
      <c r="J4671" t="s">
        <v>2342</v>
      </c>
      <c r="K4671" s="22" t="s">
        <v>22</v>
      </c>
      <c r="L4671">
        <v>2</v>
      </c>
      <c r="M4671">
        <v>1</v>
      </c>
      <c r="O4671" s="30"/>
    </row>
    <row r="4672" spans="10:15" x14ac:dyDescent="0.25">
      <c r="J4672" t="s">
        <v>944</v>
      </c>
      <c r="K4672" s="22" t="s">
        <v>29</v>
      </c>
      <c r="L4672">
        <v>3</v>
      </c>
      <c r="M4672">
        <v>3</v>
      </c>
      <c r="O4672" s="31"/>
    </row>
    <row r="4673" spans="10:15" x14ac:dyDescent="0.25">
      <c r="J4673" t="s">
        <v>386</v>
      </c>
      <c r="K4673" s="22" t="s">
        <v>29</v>
      </c>
      <c r="L4673">
        <v>2</v>
      </c>
      <c r="O4673" s="30"/>
    </row>
    <row r="4674" spans="10:15" x14ac:dyDescent="0.25">
      <c r="J4674" t="s">
        <v>386</v>
      </c>
      <c r="K4674" s="22" t="s">
        <v>28</v>
      </c>
      <c r="L4674">
        <v>4</v>
      </c>
      <c r="O4674" s="30"/>
    </row>
    <row r="4675" spans="10:15" x14ac:dyDescent="0.25">
      <c r="J4675" t="s">
        <v>2872</v>
      </c>
      <c r="K4675" s="22" t="s">
        <v>29</v>
      </c>
      <c r="L4675">
        <v>2</v>
      </c>
      <c r="M4675">
        <v>2</v>
      </c>
      <c r="O4675" s="31"/>
    </row>
    <row r="4676" spans="10:15" x14ac:dyDescent="0.25">
      <c r="J4676" t="s">
        <v>128</v>
      </c>
      <c r="K4676" s="22" t="s">
        <v>29</v>
      </c>
      <c r="L4676">
        <v>5</v>
      </c>
      <c r="M4676">
        <v>5</v>
      </c>
      <c r="O4676" s="31"/>
    </row>
    <row r="4677" spans="10:15" x14ac:dyDescent="0.25">
      <c r="J4677" t="s">
        <v>2801</v>
      </c>
      <c r="K4677" s="22" t="s">
        <v>29</v>
      </c>
      <c r="L4677">
        <v>2</v>
      </c>
      <c r="M4677">
        <v>2</v>
      </c>
      <c r="O4677" s="31"/>
    </row>
    <row r="4678" spans="10:15" x14ac:dyDescent="0.25">
      <c r="J4678" t="s">
        <v>1160</v>
      </c>
      <c r="K4678" s="22" t="s">
        <v>29</v>
      </c>
      <c r="L4678">
        <v>1</v>
      </c>
      <c r="M4678">
        <v>1</v>
      </c>
    </row>
    <row r="4679" spans="10:15" x14ac:dyDescent="0.25">
      <c r="J4679" t="s">
        <v>2331</v>
      </c>
      <c r="K4679" s="22" t="s">
        <v>29</v>
      </c>
      <c r="L4679">
        <v>1</v>
      </c>
      <c r="M4679">
        <v>1</v>
      </c>
      <c r="O4679" s="31"/>
    </row>
    <row r="4680" spans="10:15" x14ac:dyDescent="0.25">
      <c r="J4680" t="s">
        <v>2331</v>
      </c>
      <c r="K4680" s="22" t="s">
        <v>31</v>
      </c>
      <c r="L4680">
        <v>3</v>
      </c>
      <c r="M4680">
        <v>1</v>
      </c>
      <c r="O4680" s="31"/>
    </row>
    <row r="4681" spans="10:15" x14ac:dyDescent="0.25">
      <c r="J4681" t="s">
        <v>2488</v>
      </c>
      <c r="K4681" s="22" t="s">
        <v>29</v>
      </c>
      <c r="L4681">
        <v>7</v>
      </c>
      <c r="M4681">
        <v>7</v>
      </c>
      <c r="O4681" s="31"/>
    </row>
    <row r="4682" spans="10:15" x14ac:dyDescent="0.25">
      <c r="J4682" t="s">
        <v>2802</v>
      </c>
      <c r="K4682" s="22" t="s">
        <v>29</v>
      </c>
      <c r="L4682">
        <v>1</v>
      </c>
      <c r="M4682">
        <v>1</v>
      </c>
    </row>
    <row r="4683" spans="10:15" x14ac:dyDescent="0.25">
      <c r="J4683" t="s">
        <v>2803</v>
      </c>
      <c r="K4683" s="22" t="s">
        <v>31</v>
      </c>
      <c r="L4683">
        <v>2</v>
      </c>
      <c r="M4683">
        <v>2</v>
      </c>
      <c r="O4683" s="31"/>
    </row>
    <row r="4684" spans="10:15" x14ac:dyDescent="0.25">
      <c r="J4684" t="s">
        <v>3420</v>
      </c>
      <c r="K4684" s="22" t="s">
        <v>29</v>
      </c>
      <c r="L4684">
        <v>1</v>
      </c>
      <c r="M4684">
        <v>1</v>
      </c>
      <c r="O4684" s="31"/>
    </row>
    <row r="4685" spans="10:15" x14ac:dyDescent="0.25">
      <c r="J4685" t="s">
        <v>2614</v>
      </c>
      <c r="K4685" s="22" t="s">
        <v>35</v>
      </c>
      <c r="L4685">
        <v>1</v>
      </c>
      <c r="M4685">
        <v>1</v>
      </c>
    </row>
    <row r="4686" spans="10:15" x14ac:dyDescent="0.25">
      <c r="J4686" t="s">
        <v>2805</v>
      </c>
      <c r="K4686" s="22" t="s">
        <v>29</v>
      </c>
      <c r="L4686">
        <v>1</v>
      </c>
      <c r="M4686">
        <v>1</v>
      </c>
    </row>
    <row r="4687" spans="10:15" x14ac:dyDescent="0.25">
      <c r="J4687" t="s">
        <v>3059</v>
      </c>
      <c r="K4687" s="22" t="s">
        <v>29</v>
      </c>
      <c r="L4687">
        <v>1</v>
      </c>
      <c r="O4687" s="30"/>
    </row>
    <row r="4688" spans="10:15" x14ac:dyDescent="0.25">
      <c r="J4688" t="s">
        <v>3059</v>
      </c>
      <c r="K4688" s="22" t="s">
        <v>31</v>
      </c>
      <c r="L4688">
        <v>2</v>
      </c>
      <c r="O4688" s="30"/>
    </row>
    <row r="4689" spans="10:15" x14ac:dyDescent="0.25">
      <c r="J4689" t="s">
        <v>879</v>
      </c>
      <c r="K4689" s="22" t="s">
        <v>29</v>
      </c>
      <c r="L4689">
        <v>5</v>
      </c>
      <c r="M4689">
        <v>5</v>
      </c>
      <c r="O4689" s="31"/>
    </row>
    <row r="4690" spans="10:15" x14ac:dyDescent="0.25">
      <c r="J4690" t="s">
        <v>1310</v>
      </c>
      <c r="K4690" s="22" t="s">
        <v>35</v>
      </c>
      <c r="L4690">
        <v>4</v>
      </c>
      <c r="M4690">
        <v>4</v>
      </c>
      <c r="O4690" s="31"/>
    </row>
    <row r="4691" spans="10:15" x14ac:dyDescent="0.25">
      <c r="J4691" t="s">
        <v>1980</v>
      </c>
      <c r="K4691" s="22" t="s">
        <v>28</v>
      </c>
      <c r="L4691">
        <v>3</v>
      </c>
      <c r="M4691">
        <v>3</v>
      </c>
      <c r="O4691" s="31"/>
    </row>
    <row r="4692" spans="10:15" x14ac:dyDescent="0.25">
      <c r="J4692" t="s">
        <v>1218</v>
      </c>
      <c r="K4692" s="22" t="s">
        <v>28</v>
      </c>
      <c r="L4692">
        <v>1</v>
      </c>
      <c r="M4692">
        <v>1</v>
      </c>
    </row>
    <row r="4693" spans="10:15" x14ac:dyDescent="0.25">
      <c r="J4693" t="s">
        <v>935</v>
      </c>
      <c r="K4693" s="22" t="s">
        <v>31</v>
      </c>
      <c r="L4693">
        <v>4</v>
      </c>
      <c r="M4693">
        <v>4</v>
      </c>
      <c r="O4693" s="31"/>
    </row>
    <row r="4694" spans="10:15" x14ac:dyDescent="0.25">
      <c r="J4694" t="s">
        <v>2865</v>
      </c>
      <c r="K4694" s="22" t="s">
        <v>22</v>
      </c>
      <c r="L4694">
        <v>1</v>
      </c>
    </row>
    <row r="4695" spans="10:15" x14ac:dyDescent="0.25">
      <c r="J4695" t="s">
        <v>287</v>
      </c>
      <c r="K4695" s="22" t="s">
        <v>28</v>
      </c>
      <c r="L4695">
        <v>4</v>
      </c>
      <c r="M4695">
        <v>4</v>
      </c>
      <c r="O4695" s="31"/>
    </row>
    <row r="4696" spans="10:15" x14ac:dyDescent="0.25">
      <c r="J4696" t="s">
        <v>1554</v>
      </c>
      <c r="K4696" s="22" t="s">
        <v>35</v>
      </c>
      <c r="L4696">
        <v>6</v>
      </c>
      <c r="M4696">
        <v>6</v>
      </c>
      <c r="O4696" s="31"/>
    </row>
    <row r="4697" spans="10:15" x14ac:dyDescent="0.25">
      <c r="J4697" t="s">
        <v>1554</v>
      </c>
      <c r="K4697" s="22" t="s">
        <v>22</v>
      </c>
      <c r="L4697">
        <v>3</v>
      </c>
    </row>
    <row r="4698" spans="10:15" x14ac:dyDescent="0.25">
      <c r="J4698" t="s">
        <v>2550</v>
      </c>
      <c r="K4698" s="22" t="s">
        <v>35</v>
      </c>
      <c r="L4698">
        <v>1</v>
      </c>
      <c r="M4698">
        <v>1</v>
      </c>
    </row>
    <row r="4699" spans="10:15" x14ac:dyDescent="0.25">
      <c r="J4699" t="s">
        <v>1438</v>
      </c>
      <c r="K4699" s="22" t="s">
        <v>31</v>
      </c>
      <c r="L4699">
        <v>1</v>
      </c>
      <c r="M4699">
        <v>1</v>
      </c>
    </row>
    <row r="4700" spans="10:15" x14ac:dyDescent="0.25">
      <c r="J4700" t="s">
        <v>1093</v>
      </c>
      <c r="K4700" s="22" t="s">
        <v>31</v>
      </c>
      <c r="L4700">
        <v>3</v>
      </c>
      <c r="M4700">
        <v>3</v>
      </c>
    </row>
    <row r="4701" spans="10:15" x14ac:dyDescent="0.25">
      <c r="J4701" t="s">
        <v>1936</v>
      </c>
      <c r="K4701" s="22" t="s">
        <v>35</v>
      </c>
      <c r="L4701">
        <v>5</v>
      </c>
      <c r="M4701">
        <v>5</v>
      </c>
      <c r="O4701" s="31"/>
    </row>
    <row r="4702" spans="10:15" x14ac:dyDescent="0.25">
      <c r="J4702" t="s">
        <v>3241</v>
      </c>
      <c r="K4702" s="22" t="s">
        <v>28</v>
      </c>
      <c r="L4702">
        <v>1</v>
      </c>
      <c r="O4702" s="30"/>
    </row>
    <row r="4703" spans="10:15" x14ac:dyDescent="0.25">
      <c r="J4703" t="s">
        <v>836</v>
      </c>
      <c r="K4703" s="22" t="s">
        <v>28</v>
      </c>
      <c r="L4703">
        <v>2</v>
      </c>
      <c r="O4703" s="30"/>
    </row>
    <row r="4704" spans="10:15" x14ac:dyDescent="0.25">
      <c r="J4704" t="s">
        <v>836</v>
      </c>
      <c r="K4704" s="22" t="s">
        <v>35</v>
      </c>
      <c r="L4704">
        <v>4</v>
      </c>
      <c r="M4704">
        <v>4</v>
      </c>
    </row>
    <row r="4705" spans="10:15" x14ac:dyDescent="0.25">
      <c r="J4705" t="s">
        <v>1683</v>
      </c>
      <c r="K4705" s="22" t="s">
        <v>35</v>
      </c>
      <c r="L4705">
        <v>2</v>
      </c>
      <c r="M4705">
        <v>2</v>
      </c>
    </row>
    <row r="4706" spans="10:15" x14ac:dyDescent="0.25">
      <c r="J4706" t="s">
        <v>1594</v>
      </c>
      <c r="K4706" s="22" t="s">
        <v>35</v>
      </c>
      <c r="L4706">
        <v>1</v>
      </c>
      <c r="M4706">
        <v>1</v>
      </c>
    </row>
    <row r="4707" spans="10:15" x14ac:dyDescent="0.25">
      <c r="J4707" t="s">
        <v>1594</v>
      </c>
      <c r="K4707" s="22" t="s">
        <v>22</v>
      </c>
      <c r="L4707">
        <v>3</v>
      </c>
      <c r="O4707" s="30"/>
    </row>
    <row r="4708" spans="10:15" x14ac:dyDescent="0.25">
      <c r="J4708" t="s">
        <v>2723</v>
      </c>
      <c r="K4708" s="22" t="s">
        <v>35</v>
      </c>
      <c r="L4708">
        <v>2</v>
      </c>
      <c r="M4708">
        <v>2</v>
      </c>
    </row>
    <row r="4709" spans="10:15" x14ac:dyDescent="0.25">
      <c r="J4709" t="s">
        <v>3436</v>
      </c>
      <c r="K4709" s="22" t="s">
        <v>35</v>
      </c>
      <c r="L4709">
        <v>1</v>
      </c>
      <c r="M4709">
        <v>1</v>
      </c>
      <c r="O4709" s="31"/>
    </row>
    <row r="4710" spans="10:15" x14ac:dyDescent="0.25">
      <c r="J4710" t="s">
        <v>271</v>
      </c>
      <c r="K4710" s="22" t="s">
        <v>35</v>
      </c>
      <c r="L4710">
        <v>2</v>
      </c>
      <c r="M4710">
        <v>2</v>
      </c>
      <c r="O4710" s="31"/>
    </row>
    <row r="4711" spans="10:15" x14ac:dyDescent="0.25">
      <c r="J4711" t="s">
        <v>271</v>
      </c>
      <c r="K4711" s="22" t="s">
        <v>31</v>
      </c>
      <c r="L4711">
        <v>1</v>
      </c>
    </row>
    <row r="4712" spans="10:15" x14ac:dyDescent="0.25">
      <c r="J4712" t="s">
        <v>2607</v>
      </c>
      <c r="K4712" s="22" t="s">
        <v>35</v>
      </c>
      <c r="L4712">
        <v>3</v>
      </c>
      <c r="M4712">
        <v>3</v>
      </c>
      <c r="O4712" s="31"/>
    </row>
    <row r="4713" spans="10:15" x14ac:dyDescent="0.25">
      <c r="J4713" t="s">
        <v>1783</v>
      </c>
      <c r="K4713" s="22" t="s">
        <v>29</v>
      </c>
      <c r="L4713">
        <v>4</v>
      </c>
      <c r="M4713">
        <v>4</v>
      </c>
    </row>
    <row r="4714" spans="10:15" x14ac:dyDescent="0.25">
      <c r="J4714" t="s">
        <v>1570</v>
      </c>
      <c r="K4714" s="22" t="s">
        <v>35</v>
      </c>
      <c r="L4714">
        <v>2</v>
      </c>
      <c r="M4714">
        <v>2</v>
      </c>
      <c r="O4714" s="31"/>
    </row>
    <row r="4715" spans="10:15" x14ac:dyDescent="0.25">
      <c r="J4715" t="s">
        <v>2856</v>
      </c>
      <c r="K4715" s="22" t="s">
        <v>22</v>
      </c>
      <c r="L4715">
        <v>1</v>
      </c>
      <c r="M4715">
        <v>1</v>
      </c>
    </row>
    <row r="4716" spans="10:15" x14ac:dyDescent="0.25">
      <c r="J4716" t="s">
        <v>2264</v>
      </c>
      <c r="K4716" s="22" t="s">
        <v>29</v>
      </c>
      <c r="L4716">
        <v>2</v>
      </c>
      <c r="M4716">
        <v>2</v>
      </c>
      <c r="O4716" s="31"/>
    </row>
    <row r="4717" spans="10:15" x14ac:dyDescent="0.25">
      <c r="J4717" t="s">
        <v>1960</v>
      </c>
      <c r="K4717" s="22" t="s">
        <v>29</v>
      </c>
      <c r="L4717">
        <v>1</v>
      </c>
      <c r="M4717">
        <v>1</v>
      </c>
    </row>
    <row r="4718" spans="10:15" x14ac:dyDescent="0.25">
      <c r="J4718" t="s">
        <v>2885</v>
      </c>
      <c r="K4718" s="22" t="s">
        <v>35</v>
      </c>
      <c r="L4718">
        <v>1</v>
      </c>
      <c r="M4718">
        <v>1</v>
      </c>
    </row>
    <row r="4719" spans="10:15" x14ac:dyDescent="0.25">
      <c r="J4719" t="s">
        <v>3133</v>
      </c>
      <c r="K4719" s="22" t="s">
        <v>35</v>
      </c>
      <c r="L4719">
        <v>1</v>
      </c>
      <c r="M4719">
        <v>1</v>
      </c>
      <c r="O4719" s="31"/>
    </row>
    <row r="4720" spans="10:15" x14ac:dyDescent="0.25">
      <c r="J4720" t="s">
        <v>1592</v>
      </c>
      <c r="K4720" s="22" t="s">
        <v>29</v>
      </c>
      <c r="L4720">
        <v>2</v>
      </c>
      <c r="M4720">
        <v>2</v>
      </c>
      <c r="O4720" s="31"/>
    </row>
    <row r="4721" spans="10:15" x14ac:dyDescent="0.25">
      <c r="J4721" t="s">
        <v>3235</v>
      </c>
      <c r="K4721" s="22" t="s">
        <v>29</v>
      </c>
      <c r="L4721">
        <v>2</v>
      </c>
      <c r="M4721">
        <v>2</v>
      </c>
      <c r="O4721" s="31"/>
    </row>
    <row r="4722" spans="10:15" x14ac:dyDescent="0.25">
      <c r="J4722" t="s">
        <v>3235</v>
      </c>
      <c r="K4722" s="22" t="s">
        <v>22</v>
      </c>
      <c r="L4722">
        <v>1</v>
      </c>
      <c r="O4722" s="30"/>
    </row>
    <row r="4723" spans="10:15" x14ac:dyDescent="0.25">
      <c r="J4723" t="s">
        <v>124</v>
      </c>
      <c r="K4723" s="22" t="s">
        <v>29</v>
      </c>
      <c r="L4723">
        <v>3</v>
      </c>
      <c r="M4723">
        <v>3</v>
      </c>
      <c r="O4723" s="31"/>
    </row>
    <row r="4724" spans="10:15" x14ac:dyDescent="0.25">
      <c r="J4724" t="s">
        <v>3432</v>
      </c>
      <c r="K4724" s="22" t="s">
        <v>29</v>
      </c>
      <c r="L4724">
        <v>1</v>
      </c>
      <c r="M4724">
        <v>1</v>
      </c>
      <c r="O4724" s="31"/>
    </row>
    <row r="4725" spans="10:15" x14ac:dyDescent="0.25">
      <c r="J4725" t="s">
        <v>2396</v>
      </c>
      <c r="K4725" s="22" t="s">
        <v>29</v>
      </c>
      <c r="L4725">
        <v>2</v>
      </c>
      <c r="M4725">
        <v>2</v>
      </c>
      <c r="O4725" s="31"/>
    </row>
    <row r="4726" spans="10:15" x14ac:dyDescent="0.25">
      <c r="J4726" t="s">
        <v>1378</v>
      </c>
      <c r="K4726" s="22" t="s">
        <v>29</v>
      </c>
      <c r="L4726">
        <v>1</v>
      </c>
    </row>
    <row r="4727" spans="10:15" x14ac:dyDescent="0.25">
      <c r="J4727" t="s">
        <v>1378</v>
      </c>
      <c r="K4727" s="22" t="s">
        <v>31</v>
      </c>
      <c r="L4727">
        <v>3</v>
      </c>
      <c r="M4727">
        <v>3</v>
      </c>
      <c r="O4727" s="31"/>
    </row>
    <row r="4728" spans="10:15" x14ac:dyDescent="0.25">
      <c r="J4728" t="s">
        <v>54</v>
      </c>
      <c r="K4728" s="22" t="s">
        <v>22</v>
      </c>
      <c r="L4728">
        <v>1</v>
      </c>
    </row>
    <row r="4729" spans="10:15" x14ac:dyDescent="0.25">
      <c r="J4729" t="s">
        <v>54</v>
      </c>
      <c r="K4729" s="22" t="s">
        <v>31</v>
      </c>
      <c r="L4729">
        <v>3</v>
      </c>
      <c r="M4729">
        <v>3</v>
      </c>
      <c r="O4729" s="31"/>
    </row>
    <row r="4730" spans="10:15" x14ac:dyDescent="0.25">
      <c r="J4730" t="s">
        <v>1673</v>
      </c>
      <c r="K4730" s="22" t="s">
        <v>31</v>
      </c>
      <c r="L4730">
        <v>3</v>
      </c>
      <c r="M4730">
        <v>3</v>
      </c>
      <c r="O4730" s="31"/>
    </row>
    <row r="4731" spans="10:15" x14ac:dyDescent="0.25">
      <c r="J4731" t="s">
        <v>2663</v>
      </c>
      <c r="K4731" s="22" t="s">
        <v>35</v>
      </c>
      <c r="L4731">
        <v>1</v>
      </c>
    </row>
    <row r="4732" spans="10:15" x14ac:dyDescent="0.25">
      <c r="J4732" t="s">
        <v>2238</v>
      </c>
      <c r="K4732" s="22" t="s">
        <v>22</v>
      </c>
      <c r="L4732">
        <v>1</v>
      </c>
      <c r="M4732">
        <v>1</v>
      </c>
    </row>
    <row r="4733" spans="10:15" x14ac:dyDescent="0.25">
      <c r="J4733" t="s">
        <v>2291</v>
      </c>
      <c r="K4733" s="22" t="s">
        <v>22</v>
      </c>
      <c r="L4733">
        <v>1</v>
      </c>
    </row>
    <row r="4734" spans="10:15" x14ac:dyDescent="0.25">
      <c r="J4734" t="s">
        <v>1680</v>
      </c>
      <c r="K4734" s="22" t="s">
        <v>31</v>
      </c>
      <c r="L4734">
        <v>3</v>
      </c>
      <c r="M4734">
        <v>3</v>
      </c>
      <c r="O4734" s="31"/>
    </row>
    <row r="4735" spans="10:15" x14ac:dyDescent="0.25">
      <c r="J4735" t="s">
        <v>899</v>
      </c>
      <c r="K4735" s="22" t="s">
        <v>31</v>
      </c>
      <c r="L4735">
        <v>3</v>
      </c>
      <c r="M4735">
        <v>3</v>
      </c>
      <c r="O4735" s="31"/>
    </row>
    <row r="4736" spans="10:15" x14ac:dyDescent="0.25">
      <c r="J4736" t="s">
        <v>2229</v>
      </c>
      <c r="K4736" s="22" t="s">
        <v>31</v>
      </c>
      <c r="L4736">
        <v>2</v>
      </c>
      <c r="M4736">
        <v>2</v>
      </c>
    </row>
    <row r="4737" spans="10:15" x14ac:dyDescent="0.25">
      <c r="J4737" t="s">
        <v>3137</v>
      </c>
      <c r="K4737" s="22" t="s">
        <v>31</v>
      </c>
      <c r="L4737">
        <v>2</v>
      </c>
      <c r="M4737">
        <v>2</v>
      </c>
      <c r="O4737" s="31"/>
    </row>
    <row r="4738" spans="10:15" x14ac:dyDescent="0.25">
      <c r="J4738" t="s">
        <v>2044</v>
      </c>
      <c r="K4738" s="22" t="s">
        <v>31</v>
      </c>
      <c r="L4738">
        <v>2</v>
      </c>
      <c r="M4738">
        <v>2</v>
      </c>
    </row>
    <row r="4739" spans="10:15" x14ac:dyDescent="0.25">
      <c r="J4739" t="s">
        <v>3159</v>
      </c>
      <c r="K4739" s="22" t="s">
        <v>31</v>
      </c>
      <c r="L4739">
        <v>2</v>
      </c>
      <c r="M4739">
        <v>2</v>
      </c>
      <c r="O4739" s="31"/>
    </row>
    <row r="4740" spans="10:15" x14ac:dyDescent="0.25">
      <c r="J4740" t="s">
        <v>1137</v>
      </c>
      <c r="K4740" s="22" t="s">
        <v>31</v>
      </c>
      <c r="L4740">
        <v>4</v>
      </c>
      <c r="M4740">
        <v>4</v>
      </c>
      <c r="O4740" s="31"/>
    </row>
    <row r="4741" spans="10:15" x14ac:dyDescent="0.25">
      <c r="J4741" t="s">
        <v>834</v>
      </c>
      <c r="K4741" s="22" t="s">
        <v>35</v>
      </c>
      <c r="L4741">
        <v>2</v>
      </c>
      <c r="O4741" s="30"/>
    </row>
    <row r="4742" spans="10:15" x14ac:dyDescent="0.25">
      <c r="J4742" t="s">
        <v>834</v>
      </c>
      <c r="K4742" s="22" t="s">
        <v>31</v>
      </c>
      <c r="L4742">
        <v>2</v>
      </c>
      <c r="M4742">
        <v>2</v>
      </c>
      <c r="O4742" s="31"/>
    </row>
    <row r="4743" spans="10:15" x14ac:dyDescent="0.25">
      <c r="J4743" t="s">
        <v>2029</v>
      </c>
      <c r="K4743" s="22" t="s">
        <v>31</v>
      </c>
      <c r="L4743">
        <v>3</v>
      </c>
      <c r="M4743">
        <v>3</v>
      </c>
      <c r="O4743" s="31"/>
    </row>
    <row r="4744" spans="10:15" x14ac:dyDescent="0.25">
      <c r="J4744" t="s">
        <v>2240</v>
      </c>
      <c r="K4744" s="22" t="s">
        <v>31</v>
      </c>
      <c r="L4744">
        <v>2</v>
      </c>
      <c r="M4744">
        <v>2</v>
      </c>
      <c r="O4744" s="31"/>
    </row>
    <row r="4745" spans="10:15" x14ac:dyDescent="0.25">
      <c r="J4745" t="s">
        <v>1759</v>
      </c>
      <c r="K4745" s="22" t="s">
        <v>35</v>
      </c>
      <c r="L4745">
        <v>2</v>
      </c>
      <c r="M4745">
        <v>2</v>
      </c>
    </row>
    <row r="4746" spans="10:15" x14ac:dyDescent="0.25">
      <c r="J4746" t="s">
        <v>1932</v>
      </c>
      <c r="K4746" s="22" t="s">
        <v>22</v>
      </c>
      <c r="L4746">
        <v>2</v>
      </c>
      <c r="M4746">
        <v>2</v>
      </c>
      <c r="O4746" s="31"/>
    </row>
    <row r="4747" spans="10:15" x14ac:dyDescent="0.25">
      <c r="J4747" t="s">
        <v>2858</v>
      </c>
      <c r="K4747" s="22" t="s">
        <v>31</v>
      </c>
      <c r="L4747">
        <v>3</v>
      </c>
      <c r="M4747">
        <v>3</v>
      </c>
      <c r="O4747" s="31"/>
    </row>
    <row r="4748" spans="10:15" x14ac:dyDescent="0.25">
      <c r="J4748" t="s">
        <v>504</v>
      </c>
      <c r="K4748" s="22" t="s">
        <v>35</v>
      </c>
      <c r="L4748">
        <v>6</v>
      </c>
      <c r="O4748" s="30"/>
    </row>
    <row r="4749" spans="10:15" x14ac:dyDescent="0.25">
      <c r="J4749" t="s">
        <v>504</v>
      </c>
      <c r="K4749" s="22" t="s">
        <v>22</v>
      </c>
      <c r="L4749">
        <v>4</v>
      </c>
      <c r="O4749" s="30"/>
    </row>
    <row r="4750" spans="10:15" x14ac:dyDescent="0.25">
      <c r="J4750" t="s">
        <v>2846</v>
      </c>
      <c r="K4750" s="22" t="s">
        <v>35</v>
      </c>
      <c r="L4750">
        <v>4</v>
      </c>
      <c r="M4750">
        <v>4</v>
      </c>
      <c r="O4750" s="31"/>
    </row>
    <row r="4751" spans="10:15" x14ac:dyDescent="0.25">
      <c r="J4751" t="s">
        <v>2428</v>
      </c>
      <c r="K4751" s="22" t="s">
        <v>31</v>
      </c>
      <c r="L4751">
        <v>1</v>
      </c>
    </row>
    <row r="4752" spans="10:15" x14ac:dyDescent="0.25">
      <c r="J4752" t="s">
        <v>2887</v>
      </c>
      <c r="K4752" s="22" t="s">
        <v>22</v>
      </c>
      <c r="L4752">
        <v>3</v>
      </c>
      <c r="M4752">
        <v>3</v>
      </c>
      <c r="O4752" s="31"/>
    </row>
    <row r="4753" spans="10:15" x14ac:dyDescent="0.25">
      <c r="J4753" t="s">
        <v>2155</v>
      </c>
      <c r="K4753" s="22" t="s">
        <v>31</v>
      </c>
      <c r="L4753">
        <v>4</v>
      </c>
      <c r="M4753">
        <v>4</v>
      </c>
      <c r="O4753" s="31"/>
    </row>
    <row r="4754" spans="10:15" x14ac:dyDescent="0.25">
      <c r="J4754" t="s">
        <v>25</v>
      </c>
      <c r="K4754" s="22" t="s">
        <v>26</v>
      </c>
      <c r="L4754">
        <v>80</v>
      </c>
      <c r="M4754">
        <v>16</v>
      </c>
      <c r="O4754" s="30"/>
    </row>
    <row r="4755" spans="10:15" x14ac:dyDescent="0.25">
      <c r="J4755" t="s">
        <v>25</v>
      </c>
      <c r="K4755" s="22" t="s">
        <v>20</v>
      </c>
      <c r="L4755">
        <v>47</v>
      </c>
      <c r="M4755">
        <v>10</v>
      </c>
      <c r="O4755" s="31"/>
    </row>
    <row r="4756" spans="10:15" x14ac:dyDescent="0.25">
      <c r="J4756" t="s">
        <v>25</v>
      </c>
      <c r="K4756" s="22" t="s">
        <v>30</v>
      </c>
      <c r="L4756">
        <v>43</v>
      </c>
      <c r="M4756">
        <v>10</v>
      </c>
      <c r="O4756" s="30"/>
    </row>
    <row r="4757" spans="10:15" x14ac:dyDescent="0.25">
      <c r="J4757" t="s">
        <v>25</v>
      </c>
      <c r="K4757" s="22" t="s">
        <v>29</v>
      </c>
      <c r="L4757">
        <v>83</v>
      </c>
      <c r="M4757">
        <v>44</v>
      </c>
      <c r="O4757" s="30"/>
    </row>
    <row r="4758" spans="10:15" x14ac:dyDescent="0.25">
      <c r="J4758" t="s">
        <v>25</v>
      </c>
      <c r="K4758" s="22" t="s">
        <v>28</v>
      </c>
      <c r="L4758">
        <v>55</v>
      </c>
      <c r="M4758">
        <v>16</v>
      </c>
      <c r="O4758" s="30"/>
    </row>
    <row r="4759" spans="10:15" x14ac:dyDescent="0.25">
      <c r="J4759" t="s">
        <v>25</v>
      </c>
      <c r="K4759" s="22" t="s">
        <v>35</v>
      </c>
      <c r="L4759">
        <v>60</v>
      </c>
      <c r="M4759">
        <v>17</v>
      </c>
      <c r="O4759" s="30"/>
    </row>
    <row r="4760" spans="10:15" x14ac:dyDescent="0.25">
      <c r="J4760" t="s">
        <v>25</v>
      </c>
      <c r="K4760" s="22" t="s">
        <v>22</v>
      </c>
      <c r="L4760">
        <v>66</v>
      </c>
      <c r="M4760">
        <v>16</v>
      </c>
      <c r="O4760" s="30"/>
    </row>
    <row r="4761" spans="10:15" x14ac:dyDescent="0.25">
      <c r="J4761" t="s">
        <v>25</v>
      </c>
      <c r="K4761" s="22" t="s">
        <v>31</v>
      </c>
      <c r="L4761">
        <v>55</v>
      </c>
      <c r="M4761">
        <v>16</v>
      </c>
      <c r="O4761" s="30"/>
    </row>
    <row r="4762" spans="10:15" x14ac:dyDescent="0.25">
      <c r="J4762" t="s">
        <v>279</v>
      </c>
      <c r="K4762" s="22" t="s">
        <v>26</v>
      </c>
      <c r="L4762">
        <v>10</v>
      </c>
      <c r="M4762">
        <v>6</v>
      </c>
      <c r="O4762" s="30"/>
    </row>
    <row r="4763" spans="10:15" x14ac:dyDescent="0.25">
      <c r="J4763" t="s">
        <v>279</v>
      </c>
      <c r="K4763" s="22" t="s">
        <v>20</v>
      </c>
      <c r="L4763">
        <v>6</v>
      </c>
      <c r="M4763">
        <v>6</v>
      </c>
      <c r="O4763" s="31"/>
    </row>
    <row r="4764" spans="10:15" x14ac:dyDescent="0.25">
      <c r="J4764" t="s">
        <v>279</v>
      </c>
      <c r="K4764" s="22" t="s">
        <v>30</v>
      </c>
      <c r="L4764">
        <v>11</v>
      </c>
      <c r="M4764">
        <v>4</v>
      </c>
      <c r="O4764" s="31"/>
    </row>
    <row r="4765" spans="10:15" x14ac:dyDescent="0.25">
      <c r="J4765" t="s">
        <v>279</v>
      </c>
      <c r="K4765" s="22" t="s">
        <v>29</v>
      </c>
      <c r="L4765">
        <v>7</v>
      </c>
      <c r="M4765">
        <v>3</v>
      </c>
      <c r="O4765" s="30"/>
    </row>
    <row r="4766" spans="10:15" x14ac:dyDescent="0.25">
      <c r="J4766" t="s">
        <v>279</v>
      </c>
      <c r="K4766" s="22" t="s">
        <v>28</v>
      </c>
      <c r="L4766">
        <v>4</v>
      </c>
      <c r="O4766" s="30"/>
    </row>
    <row r="4767" spans="10:15" x14ac:dyDescent="0.25">
      <c r="J4767" t="s">
        <v>279</v>
      </c>
      <c r="K4767" s="22" t="s">
        <v>22</v>
      </c>
      <c r="L4767">
        <v>17</v>
      </c>
      <c r="M4767">
        <v>14</v>
      </c>
      <c r="O4767" s="31"/>
    </row>
    <row r="4768" spans="10:15" x14ac:dyDescent="0.25">
      <c r="J4768" t="s">
        <v>42</v>
      </c>
      <c r="K4768" s="22" t="s">
        <v>26</v>
      </c>
      <c r="L4768">
        <v>11</v>
      </c>
      <c r="M4768">
        <v>8</v>
      </c>
      <c r="O4768" s="31"/>
    </row>
    <row r="4769" spans="10:15" x14ac:dyDescent="0.25">
      <c r="J4769" t="s">
        <v>42</v>
      </c>
      <c r="K4769" s="22" t="s">
        <v>20</v>
      </c>
      <c r="L4769">
        <v>10</v>
      </c>
      <c r="M4769">
        <v>7</v>
      </c>
      <c r="O4769" s="30"/>
    </row>
    <row r="4770" spans="10:15" x14ac:dyDescent="0.25">
      <c r="J4770" t="s">
        <v>42</v>
      </c>
      <c r="K4770" s="22" t="s">
        <v>30</v>
      </c>
      <c r="L4770">
        <v>8</v>
      </c>
      <c r="M4770">
        <v>3</v>
      </c>
      <c r="O4770" s="30"/>
    </row>
    <row r="4771" spans="10:15" x14ac:dyDescent="0.25">
      <c r="J4771" t="s">
        <v>42</v>
      </c>
      <c r="K4771" s="22" t="s">
        <v>29</v>
      </c>
      <c r="L4771">
        <v>9</v>
      </c>
      <c r="M4771">
        <v>2</v>
      </c>
      <c r="O4771" s="30"/>
    </row>
    <row r="4772" spans="10:15" x14ac:dyDescent="0.25">
      <c r="J4772" t="s">
        <v>42</v>
      </c>
      <c r="K4772" s="22" t="s">
        <v>28</v>
      </c>
      <c r="L4772">
        <v>10</v>
      </c>
      <c r="M4772">
        <v>4</v>
      </c>
      <c r="O4772" s="30"/>
    </row>
    <row r="4773" spans="10:15" x14ac:dyDescent="0.25">
      <c r="J4773" t="s">
        <v>42</v>
      </c>
      <c r="K4773" s="22" t="s">
        <v>35</v>
      </c>
      <c r="L4773">
        <v>12</v>
      </c>
      <c r="M4773">
        <v>6</v>
      </c>
      <c r="O4773" s="31"/>
    </row>
    <row r="4774" spans="10:15" x14ac:dyDescent="0.25">
      <c r="J4774" t="s">
        <v>42</v>
      </c>
      <c r="K4774" s="22" t="s">
        <v>31</v>
      </c>
      <c r="L4774">
        <v>9</v>
      </c>
      <c r="M4774">
        <v>6</v>
      </c>
      <c r="O4774" s="31"/>
    </row>
    <row r="4775" spans="10:15" x14ac:dyDescent="0.25">
      <c r="J4775" t="s">
        <v>2530</v>
      </c>
      <c r="K4775" s="22" t="s">
        <v>29</v>
      </c>
      <c r="L4775">
        <v>2</v>
      </c>
      <c r="M4775">
        <v>2</v>
      </c>
      <c r="O4775" s="31"/>
    </row>
    <row r="4776" spans="10:15" x14ac:dyDescent="0.25">
      <c r="J4776" t="s">
        <v>2530</v>
      </c>
      <c r="K4776" s="22" t="s">
        <v>28</v>
      </c>
      <c r="L4776">
        <v>3</v>
      </c>
      <c r="O4776" s="30"/>
    </row>
    <row r="4777" spans="10:15" x14ac:dyDescent="0.25">
      <c r="J4777" t="s">
        <v>2530</v>
      </c>
      <c r="K4777" s="22" t="s">
        <v>35</v>
      </c>
      <c r="L4777">
        <v>1</v>
      </c>
    </row>
    <row r="4778" spans="10:15" x14ac:dyDescent="0.25">
      <c r="J4778" t="s">
        <v>1058</v>
      </c>
      <c r="K4778" s="22" t="s">
        <v>26</v>
      </c>
      <c r="L4778">
        <v>1</v>
      </c>
    </row>
    <row r="4779" spans="10:15" x14ac:dyDescent="0.25">
      <c r="J4779" t="s">
        <v>1058</v>
      </c>
      <c r="K4779" s="22" t="s">
        <v>20</v>
      </c>
      <c r="L4779">
        <v>6</v>
      </c>
      <c r="M4779">
        <v>1</v>
      </c>
      <c r="O4779" s="30"/>
    </row>
    <row r="4780" spans="10:15" x14ac:dyDescent="0.25">
      <c r="J4780" t="s">
        <v>1058</v>
      </c>
      <c r="K4780" s="22" t="s">
        <v>30</v>
      </c>
      <c r="L4780">
        <v>2</v>
      </c>
      <c r="O4780" s="30"/>
    </row>
    <row r="4781" spans="10:15" x14ac:dyDescent="0.25">
      <c r="J4781" t="s">
        <v>1058</v>
      </c>
      <c r="K4781" s="22" t="s">
        <v>29</v>
      </c>
      <c r="L4781">
        <v>1</v>
      </c>
    </row>
    <row r="4782" spans="10:15" x14ac:dyDescent="0.25">
      <c r="J4782" t="s">
        <v>1058</v>
      </c>
      <c r="K4782" s="22" t="s">
        <v>28</v>
      </c>
      <c r="L4782">
        <v>5</v>
      </c>
      <c r="M4782">
        <v>2</v>
      </c>
      <c r="O4782" s="31"/>
    </row>
    <row r="4783" spans="10:15" x14ac:dyDescent="0.25">
      <c r="J4783" t="s">
        <v>1058</v>
      </c>
      <c r="K4783" s="22" t="s">
        <v>35</v>
      </c>
      <c r="L4783">
        <v>3</v>
      </c>
      <c r="O4783" s="30"/>
    </row>
    <row r="4784" spans="10:15" x14ac:dyDescent="0.25">
      <c r="J4784" t="s">
        <v>471</v>
      </c>
      <c r="K4784" s="22" t="s">
        <v>26</v>
      </c>
      <c r="L4784">
        <v>3</v>
      </c>
      <c r="M4784">
        <v>1</v>
      </c>
      <c r="O4784" s="30"/>
    </row>
    <row r="4785" spans="10:15" x14ac:dyDescent="0.25">
      <c r="J4785" t="s">
        <v>471</v>
      </c>
      <c r="K4785" s="22" t="s">
        <v>20</v>
      </c>
      <c r="L4785">
        <v>10</v>
      </c>
      <c r="M4785">
        <v>5</v>
      </c>
      <c r="O4785" s="31"/>
    </row>
    <row r="4786" spans="10:15" x14ac:dyDescent="0.25">
      <c r="J4786" t="s">
        <v>471</v>
      </c>
      <c r="K4786" s="22" t="s">
        <v>30</v>
      </c>
      <c r="L4786">
        <v>12</v>
      </c>
      <c r="M4786">
        <v>2</v>
      </c>
      <c r="O4786" s="30"/>
    </row>
    <row r="4787" spans="10:15" x14ac:dyDescent="0.25">
      <c r="J4787" t="s">
        <v>471</v>
      </c>
      <c r="K4787" s="22" t="s">
        <v>29</v>
      </c>
      <c r="L4787">
        <v>6</v>
      </c>
      <c r="M4787">
        <v>5</v>
      </c>
      <c r="O4787" s="31"/>
    </row>
    <row r="4788" spans="10:15" x14ac:dyDescent="0.25">
      <c r="J4788" t="s">
        <v>471</v>
      </c>
      <c r="K4788" s="22" t="s">
        <v>22</v>
      </c>
      <c r="L4788">
        <v>8</v>
      </c>
      <c r="M4788">
        <v>7</v>
      </c>
      <c r="O4788" s="31"/>
    </row>
    <row r="4789" spans="10:15" x14ac:dyDescent="0.25">
      <c r="J4789" t="s">
        <v>471</v>
      </c>
      <c r="K4789" s="22" t="s">
        <v>31</v>
      </c>
      <c r="L4789">
        <v>8</v>
      </c>
      <c r="M4789">
        <v>8</v>
      </c>
      <c r="O4789" s="31"/>
    </row>
    <row r="4790" spans="10:15" x14ac:dyDescent="0.25">
      <c r="J4790" t="s">
        <v>1367</v>
      </c>
      <c r="K4790" s="22" t="s">
        <v>26</v>
      </c>
      <c r="L4790">
        <v>1</v>
      </c>
    </row>
    <row r="4791" spans="10:15" x14ac:dyDescent="0.25">
      <c r="J4791" t="s">
        <v>1367</v>
      </c>
      <c r="K4791" s="22" t="s">
        <v>29</v>
      </c>
      <c r="L4791">
        <v>3</v>
      </c>
      <c r="M4791">
        <v>2</v>
      </c>
      <c r="O4791" s="31"/>
    </row>
    <row r="4792" spans="10:15" x14ac:dyDescent="0.25">
      <c r="J4792" t="s">
        <v>1367</v>
      </c>
      <c r="K4792" s="22" t="s">
        <v>28</v>
      </c>
      <c r="L4792">
        <v>1</v>
      </c>
      <c r="M4792">
        <v>1</v>
      </c>
      <c r="O4792" s="31"/>
    </row>
    <row r="4793" spans="10:15" x14ac:dyDescent="0.25">
      <c r="J4793" t="s">
        <v>352</v>
      </c>
      <c r="K4793" s="22" t="s">
        <v>26</v>
      </c>
      <c r="L4793">
        <v>1</v>
      </c>
    </row>
    <row r="4794" spans="10:15" x14ac:dyDescent="0.25">
      <c r="J4794" t="s">
        <v>352</v>
      </c>
      <c r="K4794" s="22" t="s">
        <v>20</v>
      </c>
      <c r="L4794">
        <v>3</v>
      </c>
      <c r="M4794">
        <v>1</v>
      </c>
      <c r="O4794" s="30"/>
    </row>
    <row r="4795" spans="10:15" x14ac:dyDescent="0.25">
      <c r="J4795" t="s">
        <v>352</v>
      </c>
      <c r="K4795" s="22" t="s">
        <v>30</v>
      </c>
      <c r="L4795">
        <v>2</v>
      </c>
    </row>
    <row r="4796" spans="10:15" x14ac:dyDescent="0.25">
      <c r="J4796" t="s">
        <v>352</v>
      </c>
      <c r="K4796" s="22" t="s">
        <v>29</v>
      </c>
      <c r="L4796">
        <v>4</v>
      </c>
      <c r="M4796">
        <v>4</v>
      </c>
    </row>
    <row r="4797" spans="10:15" x14ac:dyDescent="0.25">
      <c r="J4797" t="s">
        <v>352</v>
      </c>
      <c r="K4797" s="22" t="s">
        <v>28</v>
      </c>
      <c r="L4797">
        <v>5</v>
      </c>
      <c r="M4797">
        <v>1</v>
      </c>
      <c r="O4797" s="30"/>
    </row>
    <row r="4798" spans="10:15" x14ac:dyDescent="0.25">
      <c r="J4798" t="s">
        <v>352</v>
      </c>
      <c r="K4798" s="22" t="s">
        <v>31</v>
      </c>
      <c r="L4798">
        <v>6</v>
      </c>
      <c r="O4798" s="30"/>
    </row>
    <row r="4799" spans="10:15" x14ac:dyDescent="0.25">
      <c r="J4799" t="s">
        <v>351</v>
      </c>
      <c r="K4799" s="22" t="s">
        <v>26</v>
      </c>
      <c r="L4799">
        <v>3</v>
      </c>
      <c r="O4799" s="30"/>
    </row>
    <row r="4800" spans="10:15" x14ac:dyDescent="0.25">
      <c r="J4800" t="s">
        <v>351</v>
      </c>
      <c r="K4800" s="22" t="s">
        <v>29</v>
      </c>
      <c r="L4800">
        <v>6</v>
      </c>
      <c r="M4800">
        <v>1</v>
      </c>
      <c r="O4800" s="30"/>
    </row>
    <row r="4801" spans="10:15" x14ac:dyDescent="0.25">
      <c r="J4801" t="s">
        <v>351</v>
      </c>
      <c r="K4801" s="22" t="s">
        <v>28</v>
      </c>
      <c r="L4801">
        <v>7</v>
      </c>
      <c r="M4801">
        <v>1</v>
      </c>
      <c r="O4801" s="30"/>
    </row>
    <row r="4802" spans="10:15" x14ac:dyDescent="0.25">
      <c r="J4802" t="s">
        <v>351</v>
      </c>
      <c r="K4802" s="22" t="s">
        <v>22</v>
      </c>
      <c r="L4802">
        <v>1</v>
      </c>
    </row>
    <row r="4803" spans="10:15" x14ac:dyDescent="0.25">
      <c r="J4803" t="s">
        <v>3438</v>
      </c>
      <c r="K4803" s="22" t="s">
        <v>20</v>
      </c>
      <c r="L4803">
        <v>3</v>
      </c>
      <c r="O4803" s="30"/>
    </row>
    <row r="4804" spans="10:15" x14ac:dyDescent="0.25">
      <c r="J4804" t="s">
        <v>3438</v>
      </c>
      <c r="K4804" s="22" t="s">
        <v>31</v>
      </c>
      <c r="L4804">
        <v>1</v>
      </c>
      <c r="O4804" s="30"/>
    </row>
    <row r="4805" spans="10:15" x14ac:dyDescent="0.25">
      <c r="J4805" t="s">
        <v>1449</v>
      </c>
      <c r="K4805" s="22" t="s">
        <v>26</v>
      </c>
      <c r="L4805">
        <v>2</v>
      </c>
      <c r="M4805">
        <v>1</v>
      </c>
    </row>
    <row r="4806" spans="10:15" x14ac:dyDescent="0.25">
      <c r="J4806" t="s">
        <v>1449</v>
      </c>
      <c r="K4806" s="22" t="s">
        <v>30</v>
      </c>
      <c r="L4806">
        <v>1</v>
      </c>
    </row>
    <row r="4807" spans="10:15" x14ac:dyDescent="0.25">
      <c r="J4807" t="s">
        <v>1449</v>
      </c>
      <c r="K4807" s="22" t="s">
        <v>29</v>
      </c>
      <c r="L4807">
        <v>1</v>
      </c>
    </row>
    <row r="4808" spans="10:15" x14ac:dyDescent="0.25">
      <c r="J4808" t="s">
        <v>1449</v>
      </c>
      <c r="K4808" s="22" t="s">
        <v>28</v>
      </c>
      <c r="L4808">
        <v>1</v>
      </c>
    </row>
    <row r="4809" spans="10:15" x14ac:dyDescent="0.25">
      <c r="J4809" t="s">
        <v>46</v>
      </c>
      <c r="K4809" s="22" t="s">
        <v>26</v>
      </c>
      <c r="L4809">
        <v>10</v>
      </c>
      <c r="M4809">
        <v>6</v>
      </c>
      <c r="O4809" s="30"/>
    </row>
    <row r="4810" spans="10:15" x14ac:dyDescent="0.25">
      <c r="J4810" t="s">
        <v>46</v>
      </c>
      <c r="K4810" s="22" t="s">
        <v>20</v>
      </c>
      <c r="L4810">
        <v>2</v>
      </c>
      <c r="M4810">
        <v>1</v>
      </c>
      <c r="O4810" s="30"/>
    </row>
    <row r="4811" spans="10:15" x14ac:dyDescent="0.25">
      <c r="J4811" t="s">
        <v>46</v>
      </c>
      <c r="K4811" s="22" t="s">
        <v>30</v>
      </c>
      <c r="L4811">
        <v>40</v>
      </c>
      <c r="M4811">
        <v>36</v>
      </c>
      <c r="O4811" s="31"/>
    </row>
    <row r="4812" spans="10:15" x14ac:dyDescent="0.25">
      <c r="J4812" t="s">
        <v>46</v>
      </c>
      <c r="K4812" s="22" t="s">
        <v>22</v>
      </c>
      <c r="L4812">
        <v>2</v>
      </c>
      <c r="M4812">
        <v>1</v>
      </c>
      <c r="O4812" s="30"/>
    </row>
    <row r="4813" spans="10:15" x14ac:dyDescent="0.25">
      <c r="J4813" t="s">
        <v>46</v>
      </c>
      <c r="K4813" s="22" t="s">
        <v>31</v>
      </c>
      <c r="L4813">
        <v>1</v>
      </c>
      <c r="O4813" s="30"/>
    </row>
    <row r="4814" spans="10:15" x14ac:dyDescent="0.25">
      <c r="J4814" t="s">
        <v>1746</v>
      </c>
      <c r="K4814" s="22" t="s">
        <v>26</v>
      </c>
      <c r="L4814">
        <v>6</v>
      </c>
      <c r="M4814">
        <v>1</v>
      </c>
      <c r="O4814" s="30"/>
    </row>
    <row r="4815" spans="10:15" x14ac:dyDescent="0.25">
      <c r="J4815" t="s">
        <v>1746</v>
      </c>
      <c r="K4815" s="22" t="s">
        <v>20</v>
      </c>
      <c r="L4815">
        <v>3</v>
      </c>
      <c r="O4815" s="30"/>
    </row>
    <row r="4816" spans="10:15" x14ac:dyDescent="0.25">
      <c r="J4816" t="s">
        <v>1746</v>
      </c>
      <c r="K4816" s="22" t="s">
        <v>30</v>
      </c>
      <c r="L4816">
        <v>3</v>
      </c>
      <c r="M4816">
        <v>2</v>
      </c>
      <c r="O4816" s="31"/>
    </row>
    <row r="4817" spans="10:15" x14ac:dyDescent="0.25">
      <c r="J4817" t="s">
        <v>1746</v>
      </c>
      <c r="K4817" s="22" t="s">
        <v>29</v>
      </c>
      <c r="L4817">
        <v>1</v>
      </c>
      <c r="M4817">
        <v>1</v>
      </c>
    </row>
    <row r="4818" spans="10:15" x14ac:dyDescent="0.25">
      <c r="J4818" t="s">
        <v>1746</v>
      </c>
      <c r="K4818" s="22" t="s">
        <v>22</v>
      </c>
      <c r="L4818">
        <v>2</v>
      </c>
      <c r="O4818" s="30"/>
    </row>
    <row r="4819" spans="10:15" x14ac:dyDescent="0.25">
      <c r="J4819" t="s">
        <v>2889</v>
      </c>
      <c r="K4819" s="22" t="s">
        <v>26</v>
      </c>
      <c r="L4819">
        <v>1</v>
      </c>
    </row>
    <row r="4820" spans="10:15" x14ac:dyDescent="0.25">
      <c r="J4820" t="s">
        <v>2889</v>
      </c>
      <c r="K4820" s="22" t="s">
        <v>29</v>
      </c>
      <c r="L4820">
        <v>2</v>
      </c>
      <c r="M4820">
        <v>2</v>
      </c>
      <c r="O4820" s="31"/>
    </row>
    <row r="4821" spans="10:15" x14ac:dyDescent="0.25">
      <c r="J4821" t="s">
        <v>1634</v>
      </c>
      <c r="K4821" s="22" t="s">
        <v>20</v>
      </c>
      <c r="L4821">
        <v>9</v>
      </c>
      <c r="M4821">
        <v>4</v>
      </c>
      <c r="O4821" s="30"/>
    </row>
    <row r="4822" spans="10:15" x14ac:dyDescent="0.25">
      <c r="J4822" t="s">
        <v>1634</v>
      </c>
      <c r="K4822" s="22" t="s">
        <v>30</v>
      </c>
      <c r="L4822">
        <v>3</v>
      </c>
      <c r="M4822">
        <v>1</v>
      </c>
      <c r="O4822" s="30"/>
    </row>
    <row r="4823" spans="10:15" x14ac:dyDescent="0.25">
      <c r="J4823" t="s">
        <v>1634</v>
      </c>
      <c r="K4823" s="22" t="s">
        <v>29</v>
      </c>
      <c r="L4823">
        <v>2</v>
      </c>
      <c r="M4823">
        <v>1</v>
      </c>
      <c r="O4823" s="31"/>
    </row>
    <row r="4824" spans="10:15" x14ac:dyDescent="0.25">
      <c r="J4824" t="s">
        <v>1634</v>
      </c>
      <c r="K4824" s="22" t="s">
        <v>35</v>
      </c>
      <c r="L4824">
        <v>2</v>
      </c>
      <c r="M4824">
        <v>1</v>
      </c>
      <c r="O4824" s="30"/>
    </row>
    <row r="4825" spans="10:15" x14ac:dyDescent="0.25">
      <c r="J4825" t="s">
        <v>2271</v>
      </c>
      <c r="K4825" s="22" t="s">
        <v>30</v>
      </c>
      <c r="L4825">
        <v>3</v>
      </c>
      <c r="M4825">
        <v>3</v>
      </c>
      <c r="O4825" s="31"/>
    </row>
    <row r="4826" spans="10:15" x14ac:dyDescent="0.25">
      <c r="J4826" t="s">
        <v>593</v>
      </c>
      <c r="K4826" s="22" t="s">
        <v>26</v>
      </c>
      <c r="L4826">
        <v>2</v>
      </c>
      <c r="M4826">
        <v>2</v>
      </c>
      <c r="O4826" s="31"/>
    </row>
    <row r="4827" spans="10:15" x14ac:dyDescent="0.25">
      <c r="J4827" t="s">
        <v>593</v>
      </c>
      <c r="K4827" s="22" t="s">
        <v>22</v>
      </c>
      <c r="L4827">
        <v>1</v>
      </c>
    </row>
    <row r="4828" spans="10:15" x14ac:dyDescent="0.25">
      <c r="J4828" t="s">
        <v>2906</v>
      </c>
      <c r="K4828" s="22" t="s">
        <v>20</v>
      </c>
      <c r="L4828">
        <v>2</v>
      </c>
      <c r="M4828">
        <v>1</v>
      </c>
      <c r="O4828" s="30"/>
    </row>
    <row r="4829" spans="10:15" x14ac:dyDescent="0.25">
      <c r="J4829" t="s">
        <v>2906</v>
      </c>
      <c r="K4829" s="22" t="s">
        <v>30</v>
      </c>
      <c r="L4829">
        <v>1</v>
      </c>
      <c r="O4829" s="30"/>
    </row>
    <row r="4830" spans="10:15" x14ac:dyDescent="0.25">
      <c r="J4830" t="s">
        <v>2906</v>
      </c>
      <c r="K4830" s="22" t="s">
        <v>31</v>
      </c>
      <c r="L4830">
        <v>1</v>
      </c>
      <c r="O4830" s="30"/>
    </row>
    <row r="4831" spans="10:15" x14ac:dyDescent="0.25">
      <c r="J4831" t="s">
        <v>771</v>
      </c>
      <c r="K4831" s="22" t="s">
        <v>26</v>
      </c>
      <c r="L4831">
        <v>1</v>
      </c>
    </row>
    <row r="4832" spans="10:15" x14ac:dyDescent="0.25">
      <c r="J4832" t="s">
        <v>771</v>
      </c>
      <c r="K4832" s="22" t="s">
        <v>20</v>
      </c>
      <c r="L4832">
        <v>2</v>
      </c>
      <c r="O4832" s="30"/>
    </row>
    <row r="4833" spans="10:15" x14ac:dyDescent="0.25">
      <c r="J4833" t="s">
        <v>771</v>
      </c>
      <c r="K4833" s="22" t="s">
        <v>30</v>
      </c>
      <c r="L4833">
        <v>2</v>
      </c>
      <c r="M4833">
        <v>1</v>
      </c>
    </row>
    <row r="4834" spans="10:15" x14ac:dyDescent="0.25">
      <c r="J4834" t="s">
        <v>771</v>
      </c>
      <c r="K4834" s="22" t="s">
        <v>29</v>
      </c>
      <c r="L4834">
        <v>1</v>
      </c>
      <c r="M4834">
        <v>1</v>
      </c>
      <c r="O4834" s="31"/>
    </row>
    <row r="4835" spans="10:15" x14ac:dyDescent="0.25">
      <c r="J4835" t="s">
        <v>594</v>
      </c>
      <c r="K4835" s="22" t="s">
        <v>26</v>
      </c>
      <c r="L4835">
        <v>3</v>
      </c>
      <c r="O4835" s="30"/>
    </row>
    <row r="4836" spans="10:15" x14ac:dyDescent="0.25">
      <c r="J4836" t="s">
        <v>594</v>
      </c>
      <c r="K4836" s="22" t="s">
        <v>20</v>
      </c>
      <c r="L4836">
        <v>4</v>
      </c>
      <c r="M4836">
        <v>2</v>
      </c>
      <c r="O4836" s="30"/>
    </row>
    <row r="4837" spans="10:15" x14ac:dyDescent="0.25">
      <c r="J4837" t="s">
        <v>594</v>
      </c>
      <c r="K4837" s="22" t="s">
        <v>30</v>
      </c>
      <c r="L4837">
        <v>5</v>
      </c>
      <c r="M4837">
        <v>3</v>
      </c>
      <c r="O4837" s="31"/>
    </row>
    <row r="4838" spans="10:15" x14ac:dyDescent="0.25">
      <c r="J4838" t="s">
        <v>594</v>
      </c>
      <c r="K4838" s="22" t="s">
        <v>29</v>
      </c>
      <c r="L4838">
        <v>3</v>
      </c>
      <c r="M4838">
        <v>1</v>
      </c>
    </row>
    <row r="4839" spans="10:15" x14ac:dyDescent="0.25">
      <c r="J4839" t="s">
        <v>594</v>
      </c>
      <c r="K4839" s="22" t="s">
        <v>22</v>
      </c>
      <c r="L4839">
        <v>5</v>
      </c>
      <c r="M4839">
        <v>1</v>
      </c>
      <c r="O4839" s="30"/>
    </row>
    <row r="4840" spans="10:15" x14ac:dyDescent="0.25">
      <c r="J4840" t="s">
        <v>594</v>
      </c>
      <c r="K4840" s="22" t="s">
        <v>31</v>
      </c>
      <c r="L4840">
        <v>1</v>
      </c>
      <c r="M4840">
        <v>1</v>
      </c>
    </row>
    <row r="4841" spans="10:15" x14ac:dyDescent="0.25">
      <c r="J4841" t="s">
        <v>2490</v>
      </c>
      <c r="K4841" s="22" t="s">
        <v>20</v>
      </c>
      <c r="L4841">
        <v>1</v>
      </c>
      <c r="M4841">
        <v>1</v>
      </c>
    </row>
    <row r="4842" spans="10:15" x14ac:dyDescent="0.25">
      <c r="J4842" t="s">
        <v>799</v>
      </c>
      <c r="K4842" s="22" t="s">
        <v>26</v>
      </c>
      <c r="L4842">
        <v>1</v>
      </c>
    </row>
    <row r="4843" spans="10:15" x14ac:dyDescent="0.25">
      <c r="J4843" t="s">
        <v>799</v>
      </c>
      <c r="K4843" s="22" t="s">
        <v>20</v>
      </c>
      <c r="L4843">
        <v>2</v>
      </c>
    </row>
    <row r="4844" spans="10:15" x14ac:dyDescent="0.25">
      <c r="J4844" t="s">
        <v>799</v>
      </c>
      <c r="K4844" s="22" t="s">
        <v>30</v>
      </c>
      <c r="L4844">
        <v>2</v>
      </c>
      <c r="M4844">
        <v>2</v>
      </c>
    </row>
    <row r="4845" spans="10:15" x14ac:dyDescent="0.25">
      <c r="J4845" t="s">
        <v>2970</v>
      </c>
      <c r="K4845" s="22" t="s">
        <v>20</v>
      </c>
      <c r="L4845">
        <v>1</v>
      </c>
      <c r="M4845">
        <v>1</v>
      </c>
    </row>
    <row r="4846" spans="10:15" x14ac:dyDescent="0.25">
      <c r="J4846" t="s">
        <v>690</v>
      </c>
      <c r="K4846" s="22" t="s">
        <v>26</v>
      </c>
      <c r="L4846">
        <v>2</v>
      </c>
    </row>
    <row r="4847" spans="10:15" x14ac:dyDescent="0.25">
      <c r="J4847" t="s">
        <v>690</v>
      </c>
      <c r="K4847" s="22" t="s">
        <v>20</v>
      </c>
      <c r="L4847">
        <v>2</v>
      </c>
    </row>
    <row r="4848" spans="10:15" x14ac:dyDescent="0.25">
      <c r="J4848" t="s">
        <v>690</v>
      </c>
      <c r="K4848" s="22" t="s">
        <v>30</v>
      </c>
      <c r="L4848">
        <v>2</v>
      </c>
    </row>
    <row r="4849" spans="10:15" x14ac:dyDescent="0.25">
      <c r="J4849" t="s">
        <v>690</v>
      </c>
      <c r="K4849" s="22" t="s">
        <v>29</v>
      </c>
      <c r="L4849">
        <v>2</v>
      </c>
    </row>
    <row r="4850" spans="10:15" x14ac:dyDescent="0.25">
      <c r="J4850" t="s">
        <v>690</v>
      </c>
      <c r="K4850" s="22" t="s">
        <v>35</v>
      </c>
      <c r="L4850">
        <v>7</v>
      </c>
      <c r="M4850">
        <v>3</v>
      </c>
      <c r="O4850" s="30"/>
    </row>
    <row r="4851" spans="10:15" x14ac:dyDescent="0.25">
      <c r="J4851" t="s">
        <v>690</v>
      </c>
      <c r="K4851" s="22" t="s">
        <v>22</v>
      </c>
      <c r="L4851">
        <v>7</v>
      </c>
      <c r="M4851">
        <v>2</v>
      </c>
      <c r="O4851" s="30"/>
    </row>
    <row r="4852" spans="10:15" x14ac:dyDescent="0.25">
      <c r="J4852" t="s">
        <v>3019</v>
      </c>
      <c r="K4852" s="22" t="s">
        <v>30</v>
      </c>
      <c r="L4852">
        <v>1</v>
      </c>
    </row>
    <row r="4853" spans="10:15" x14ac:dyDescent="0.25">
      <c r="J4853" t="s">
        <v>3019</v>
      </c>
      <c r="K4853" s="22" t="s">
        <v>35</v>
      </c>
      <c r="L4853">
        <v>3</v>
      </c>
      <c r="M4853">
        <v>3</v>
      </c>
      <c r="O4853" s="31"/>
    </row>
    <row r="4854" spans="10:15" x14ac:dyDescent="0.25">
      <c r="J4854" t="s">
        <v>3019</v>
      </c>
      <c r="K4854" s="22" t="s">
        <v>31</v>
      </c>
      <c r="L4854">
        <v>6</v>
      </c>
      <c r="M4854">
        <v>2</v>
      </c>
      <c r="O4854" s="30"/>
    </row>
    <row r="4855" spans="10:15" x14ac:dyDescent="0.25">
      <c r="J4855" t="s">
        <v>682</v>
      </c>
      <c r="K4855" s="22" t="s">
        <v>26</v>
      </c>
      <c r="L4855">
        <v>3</v>
      </c>
      <c r="M4855">
        <v>2</v>
      </c>
    </row>
    <row r="4856" spans="10:15" x14ac:dyDescent="0.25">
      <c r="J4856" t="s">
        <v>682</v>
      </c>
      <c r="K4856" s="22" t="s">
        <v>20</v>
      </c>
      <c r="L4856">
        <v>2</v>
      </c>
    </row>
    <row r="4857" spans="10:15" x14ac:dyDescent="0.25">
      <c r="J4857" t="s">
        <v>682</v>
      </c>
      <c r="K4857" s="22" t="s">
        <v>29</v>
      </c>
      <c r="L4857">
        <v>2</v>
      </c>
      <c r="M4857">
        <v>2</v>
      </c>
      <c r="O4857" s="31"/>
    </row>
    <row r="4858" spans="10:15" x14ac:dyDescent="0.25">
      <c r="J4858" t="s">
        <v>264</v>
      </c>
      <c r="K4858" s="22" t="s">
        <v>26</v>
      </c>
      <c r="L4858">
        <v>3</v>
      </c>
      <c r="O4858" s="30"/>
    </row>
    <row r="4859" spans="10:15" x14ac:dyDescent="0.25">
      <c r="J4859" t="s">
        <v>264</v>
      </c>
      <c r="K4859" s="22" t="s">
        <v>20</v>
      </c>
      <c r="L4859">
        <v>1</v>
      </c>
    </row>
    <row r="4860" spans="10:15" x14ac:dyDescent="0.25">
      <c r="J4860" t="s">
        <v>264</v>
      </c>
      <c r="K4860" s="22" t="s">
        <v>30</v>
      </c>
      <c r="L4860">
        <v>2</v>
      </c>
    </row>
    <row r="4861" spans="10:15" x14ac:dyDescent="0.25">
      <c r="J4861" t="s">
        <v>264</v>
      </c>
      <c r="K4861" s="22" t="s">
        <v>29</v>
      </c>
      <c r="L4861">
        <v>4</v>
      </c>
      <c r="M4861">
        <v>1</v>
      </c>
      <c r="O4861" s="30"/>
    </row>
    <row r="4862" spans="10:15" x14ac:dyDescent="0.25">
      <c r="J4862" t="s">
        <v>264</v>
      </c>
      <c r="K4862" s="22" t="s">
        <v>22</v>
      </c>
      <c r="L4862">
        <v>5</v>
      </c>
      <c r="M4862">
        <v>1</v>
      </c>
      <c r="O4862" s="30"/>
    </row>
    <row r="4863" spans="10:15" x14ac:dyDescent="0.25">
      <c r="J4863" t="s">
        <v>264</v>
      </c>
      <c r="K4863" s="22" t="s">
        <v>31</v>
      </c>
      <c r="L4863">
        <v>1</v>
      </c>
    </row>
    <row r="4864" spans="10:15" x14ac:dyDescent="0.25">
      <c r="J4864" t="s">
        <v>3212</v>
      </c>
      <c r="K4864" s="22" t="s">
        <v>30</v>
      </c>
      <c r="L4864">
        <v>2</v>
      </c>
      <c r="M4864">
        <v>2</v>
      </c>
      <c r="O4864" s="31"/>
    </row>
    <row r="4865" spans="10:15" x14ac:dyDescent="0.25">
      <c r="J4865" t="s">
        <v>1869</v>
      </c>
      <c r="K4865" s="22" t="s">
        <v>26</v>
      </c>
      <c r="L4865">
        <v>2</v>
      </c>
      <c r="M4865">
        <v>2</v>
      </c>
      <c r="O4865" s="31"/>
    </row>
    <row r="4866" spans="10:15" x14ac:dyDescent="0.25">
      <c r="J4866" t="s">
        <v>1869</v>
      </c>
      <c r="K4866" s="22" t="s">
        <v>20</v>
      </c>
      <c r="L4866">
        <v>2</v>
      </c>
    </row>
    <row r="4867" spans="10:15" x14ac:dyDescent="0.25">
      <c r="J4867" t="s">
        <v>1869</v>
      </c>
      <c r="K4867" s="22" t="s">
        <v>30</v>
      </c>
      <c r="L4867">
        <v>3</v>
      </c>
      <c r="M4867">
        <v>1</v>
      </c>
      <c r="O4867" s="31"/>
    </row>
    <row r="4868" spans="10:15" x14ac:dyDescent="0.25">
      <c r="J4868" t="s">
        <v>1869</v>
      </c>
      <c r="K4868" s="22" t="s">
        <v>29</v>
      </c>
      <c r="L4868">
        <v>3</v>
      </c>
      <c r="M4868">
        <v>2</v>
      </c>
      <c r="O4868" s="31"/>
    </row>
    <row r="4869" spans="10:15" x14ac:dyDescent="0.25">
      <c r="J4869" t="s">
        <v>3413</v>
      </c>
      <c r="K4869" s="22" t="s">
        <v>20</v>
      </c>
      <c r="L4869">
        <v>1</v>
      </c>
      <c r="O4869" s="30"/>
    </row>
    <row r="4870" spans="10:15" x14ac:dyDescent="0.25">
      <c r="J4870" t="s">
        <v>364</v>
      </c>
      <c r="K4870" s="22" t="s">
        <v>30</v>
      </c>
      <c r="L4870">
        <v>1</v>
      </c>
    </row>
    <row r="4871" spans="10:15" x14ac:dyDescent="0.25">
      <c r="J4871" t="s">
        <v>364</v>
      </c>
      <c r="K4871" s="22" t="s">
        <v>29</v>
      </c>
      <c r="L4871">
        <v>1</v>
      </c>
      <c r="O4871" s="30"/>
    </row>
    <row r="4872" spans="10:15" x14ac:dyDescent="0.25">
      <c r="J4872" t="s">
        <v>3357</v>
      </c>
      <c r="K4872" s="22" t="s">
        <v>29</v>
      </c>
      <c r="L4872">
        <v>1</v>
      </c>
      <c r="M4872">
        <v>1</v>
      </c>
      <c r="O4872" s="31"/>
    </row>
    <row r="4873" spans="10:15" x14ac:dyDescent="0.25">
      <c r="J4873" t="s">
        <v>137</v>
      </c>
      <c r="K4873" s="22" t="s">
        <v>26</v>
      </c>
      <c r="L4873">
        <v>29</v>
      </c>
      <c r="M4873">
        <v>27</v>
      </c>
      <c r="O4873" s="31"/>
    </row>
    <row r="4874" spans="10:15" x14ac:dyDescent="0.25">
      <c r="J4874" t="s">
        <v>137</v>
      </c>
      <c r="K4874" s="22" t="s">
        <v>20</v>
      </c>
      <c r="L4874">
        <v>21</v>
      </c>
      <c r="M4874">
        <v>14</v>
      </c>
      <c r="O4874" s="30"/>
    </row>
    <row r="4875" spans="10:15" x14ac:dyDescent="0.25">
      <c r="J4875" t="s">
        <v>137</v>
      </c>
      <c r="K4875" s="22" t="s">
        <v>30</v>
      </c>
      <c r="L4875">
        <v>29</v>
      </c>
      <c r="M4875">
        <v>22</v>
      </c>
      <c r="O4875" s="31"/>
    </row>
    <row r="4876" spans="10:15" x14ac:dyDescent="0.25">
      <c r="J4876" t="s">
        <v>137</v>
      </c>
      <c r="K4876" s="22" t="s">
        <v>28</v>
      </c>
      <c r="L4876">
        <v>12</v>
      </c>
      <c r="M4876">
        <v>5</v>
      </c>
      <c r="O4876" s="30"/>
    </row>
    <row r="4877" spans="10:15" x14ac:dyDescent="0.25">
      <c r="J4877" t="s">
        <v>137</v>
      </c>
      <c r="K4877" s="22" t="s">
        <v>35</v>
      </c>
      <c r="L4877">
        <v>26</v>
      </c>
      <c r="M4877">
        <v>19</v>
      </c>
      <c r="O4877" s="31"/>
    </row>
    <row r="4878" spans="10:15" x14ac:dyDescent="0.25">
      <c r="J4878" t="s">
        <v>137</v>
      </c>
      <c r="K4878" s="22" t="s">
        <v>22</v>
      </c>
      <c r="L4878">
        <v>9</v>
      </c>
      <c r="M4878">
        <v>5</v>
      </c>
      <c r="O4878" s="31"/>
    </row>
    <row r="4879" spans="10:15" x14ac:dyDescent="0.25">
      <c r="J4879" t="s">
        <v>137</v>
      </c>
      <c r="K4879" s="22" t="s">
        <v>31</v>
      </c>
      <c r="L4879">
        <v>9</v>
      </c>
      <c r="M4879">
        <v>5</v>
      </c>
      <c r="O4879" s="30"/>
    </row>
    <row r="4880" spans="10:15" x14ac:dyDescent="0.25">
      <c r="J4880" t="s">
        <v>118</v>
      </c>
      <c r="K4880" s="22" t="s">
        <v>26</v>
      </c>
      <c r="L4880">
        <v>4</v>
      </c>
      <c r="M4880">
        <v>2</v>
      </c>
      <c r="O4880" s="30"/>
    </row>
    <row r="4881" spans="10:15" x14ac:dyDescent="0.25">
      <c r="J4881" t="s">
        <v>118</v>
      </c>
      <c r="K4881" s="22" t="s">
        <v>20</v>
      </c>
      <c r="L4881">
        <v>6</v>
      </c>
      <c r="M4881">
        <v>3</v>
      </c>
      <c r="O4881" s="30"/>
    </row>
    <row r="4882" spans="10:15" x14ac:dyDescent="0.25">
      <c r="J4882" t="s">
        <v>118</v>
      </c>
      <c r="K4882" s="22" t="s">
        <v>30</v>
      </c>
      <c r="L4882">
        <v>2</v>
      </c>
    </row>
    <row r="4883" spans="10:15" x14ac:dyDescent="0.25">
      <c r="J4883" t="s">
        <v>118</v>
      </c>
      <c r="K4883" s="22" t="s">
        <v>28</v>
      </c>
      <c r="L4883">
        <v>13</v>
      </c>
      <c r="M4883">
        <v>10</v>
      </c>
      <c r="O4883" s="31"/>
    </row>
    <row r="4884" spans="10:15" x14ac:dyDescent="0.25">
      <c r="J4884" t="s">
        <v>118</v>
      </c>
      <c r="K4884" s="22" t="s">
        <v>35</v>
      </c>
      <c r="L4884">
        <v>7</v>
      </c>
      <c r="M4884">
        <v>4</v>
      </c>
      <c r="O4884" s="31"/>
    </row>
    <row r="4885" spans="10:15" x14ac:dyDescent="0.25">
      <c r="J4885" t="s">
        <v>118</v>
      </c>
      <c r="K4885" s="22" t="s">
        <v>22</v>
      </c>
      <c r="L4885">
        <v>3</v>
      </c>
      <c r="M4885">
        <v>1</v>
      </c>
      <c r="O4885" s="30"/>
    </row>
    <row r="4886" spans="10:15" x14ac:dyDescent="0.25">
      <c r="J4886" t="s">
        <v>1343</v>
      </c>
      <c r="K4886" s="22" t="s">
        <v>26</v>
      </c>
      <c r="L4886">
        <v>3</v>
      </c>
      <c r="M4886">
        <v>3</v>
      </c>
      <c r="O4886" s="31"/>
    </row>
    <row r="4887" spans="10:15" x14ac:dyDescent="0.25">
      <c r="J4887" t="s">
        <v>1896</v>
      </c>
      <c r="K4887" s="22" t="s">
        <v>20</v>
      </c>
      <c r="L4887">
        <v>5</v>
      </c>
      <c r="M4887">
        <v>3</v>
      </c>
      <c r="O4887" s="31"/>
    </row>
    <row r="4888" spans="10:15" x14ac:dyDescent="0.25">
      <c r="J4888" t="s">
        <v>1896</v>
      </c>
      <c r="K4888" s="22" t="s">
        <v>30</v>
      </c>
      <c r="L4888">
        <v>14</v>
      </c>
      <c r="M4888">
        <v>13</v>
      </c>
      <c r="O4888" s="31"/>
    </row>
    <row r="4889" spans="10:15" x14ac:dyDescent="0.25">
      <c r="J4889" t="s">
        <v>1896</v>
      </c>
      <c r="K4889" s="22" t="s">
        <v>28</v>
      </c>
      <c r="L4889">
        <v>8</v>
      </c>
      <c r="M4889">
        <v>3</v>
      </c>
      <c r="O4889" s="30"/>
    </row>
    <row r="4890" spans="10:15" x14ac:dyDescent="0.25">
      <c r="J4890" t="s">
        <v>1921</v>
      </c>
      <c r="K4890" s="22" t="s">
        <v>30</v>
      </c>
      <c r="L4890">
        <v>3</v>
      </c>
      <c r="M4890">
        <v>3</v>
      </c>
      <c r="O4890" s="31"/>
    </row>
    <row r="4891" spans="10:15" x14ac:dyDescent="0.25">
      <c r="J4891" t="s">
        <v>1665</v>
      </c>
      <c r="K4891" s="22" t="s">
        <v>20</v>
      </c>
      <c r="L4891">
        <v>4</v>
      </c>
      <c r="M4891">
        <v>4</v>
      </c>
      <c r="O4891" s="31"/>
    </row>
    <row r="4892" spans="10:15" x14ac:dyDescent="0.25">
      <c r="J4892" t="s">
        <v>492</v>
      </c>
      <c r="K4892" s="22" t="s">
        <v>30</v>
      </c>
      <c r="L4892">
        <v>5</v>
      </c>
      <c r="M4892">
        <v>4</v>
      </c>
      <c r="O4892" s="30"/>
    </row>
    <row r="4893" spans="10:15" x14ac:dyDescent="0.25">
      <c r="J4893" t="s">
        <v>1624</v>
      </c>
      <c r="K4893" s="22" t="s">
        <v>20</v>
      </c>
      <c r="L4893">
        <v>5</v>
      </c>
      <c r="M4893">
        <v>5</v>
      </c>
      <c r="O4893" s="31"/>
    </row>
    <row r="4894" spans="10:15" x14ac:dyDescent="0.25">
      <c r="J4894" t="s">
        <v>1664</v>
      </c>
      <c r="K4894" s="22" t="s">
        <v>30</v>
      </c>
      <c r="L4894">
        <v>4</v>
      </c>
      <c r="M4894">
        <v>4</v>
      </c>
      <c r="O4894" s="31"/>
    </row>
    <row r="4895" spans="10:15" x14ac:dyDescent="0.25">
      <c r="J4895" t="s">
        <v>1664</v>
      </c>
      <c r="K4895" s="22" t="s">
        <v>31</v>
      </c>
      <c r="L4895">
        <v>4</v>
      </c>
      <c r="O4895" s="30"/>
    </row>
    <row r="4896" spans="10:15" x14ac:dyDescent="0.25">
      <c r="J4896" t="s">
        <v>227</v>
      </c>
      <c r="K4896" s="22" t="s">
        <v>26</v>
      </c>
      <c r="L4896">
        <v>1</v>
      </c>
    </row>
    <row r="4897" spans="10:15" x14ac:dyDescent="0.25">
      <c r="J4897" t="s">
        <v>227</v>
      </c>
      <c r="K4897" s="22" t="s">
        <v>30</v>
      </c>
      <c r="L4897">
        <v>4</v>
      </c>
      <c r="M4897">
        <v>3</v>
      </c>
      <c r="O4897" s="31"/>
    </row>
    <row r="4898" spans="10:15" x14ac:dyDescent="0.25">
      <c r="J4898" t="s">
        <v>227</v>
      </c>
      <c r="K4898" s="22" t="s">
        <v>28</v>
      </c>
      <c r="L4898">
        <v>4</v>
      </c>
      <c r="O4898" s="30"/>
    </row>
    <row r="4899" spans="10:15" x14ac:dyDescent="0.25">
      <c r="J4899" t="s">
        <v>227</v>
      </c>
      <c r="K4899" s="22" t="s">
        <v>22</v>
      </c>
      <c r="L4899">
        <v>1</v>
      </c>
      <c r="M4899">
        <v>1</v>
      </c>
    </row>
    <row r="4900" spans="10:15" x14ac:dyDescent="0.25">
      <c r="J4900" t="s">
        <v>1753</v>
      </c>
      <c r="K4900" s="22" t="s">
        <v>26</v>
      </c>
      <c r="L4900">
        <v>15</v>
      </c>
      <c r="M4900">
        <v>15</v>
      </c>
      <c r="O4900" s="31"/>
    </row>
    <row r="4901" spans="10:15" x14ac:dyDescent="0.25">
      <c r="J4901" t="s">
        <v>1753</v>
      </c>
      <c r="K4901" s="22" t="s">
        <v>28</v>
      </c>
      <c r="L4901">
        <v>1</v>
      </c>
    </row>
    <row r="4902" spans="10:15" x14ac:dyDescent="0.25">
      <c r="J4902" t="s">
        <v>1919</v>
      </c>
      <c r="K4902" s="22" t="s">
        <v>26</v>
      </c>
      <c r="L4902">
        <v>2</v>
      </c>
      <c r="M4902">
        <v>2</v>
      </c>
      <c r="O4902" s="31"/>
    </row>
    <row r="4903" spans="10:15" x14ac:dyDescent="0.25">
      <c r="J4903" t="s">
        <v>1484</v>
      </c>
      <c r="K4903" s="22" t="s">
        <v>30</v>
      </c>
      <c r="L4903">
        <v>2</v>
      </c>
      <c r="M4903">
        <v>2</v>
      </c>
    </row>
    <row r="4904" spans="10:15" x14ac:dyDescent="0.25">
      <c r="J4904" t="s">
        <v>1472</v>
      </c>
      <c r="K4904" s="22" t="s">
        <v>26</v>
      </c>
      <c r="L4904">
        <v>2</v>
      </c>
      <c r="M4904">
        <v>2</v>
      </c>
      <c r="O4904" s="31"/>
    </row>
    <row r="4905" spans="10:15" x14ac:dyDescent="0.25">
      <c r="J4905" t="s">
        <v>1289</v>
      </c>
      <c r="K4905" s="22" t="s">
        <v>26</v>
      </c>
      <c r="L4905">
        <v>1</v>
      </c>
    </row>
    <row r="4906" spans="10:15" x14ac:dyDescent="0.25">
      <c r="J4906" t="s">
        <v>1289</v>
      </c>
      <c r="K4906" s="22" t="s">
        <v>20</v>
      </c>
      <c r="L4906">
        <v>4</v>
      </c>
      <c r="M4906">
        <v>4</v>
      </c>
      <c r="O4906" s="31"/>
    </row>
    <row r="4907" spans="10:15" x14ac:dyDescent="0.25">
      <c r="J4907" t="s">
        <v>1289</v>
      </c>
      <c r="K4907" s="22" t="s">
        <v>31</v>
      </c>
      <c r="L4907">
        <v>1</v>
      </c>
    </row>
    <row r="4908" spans="10:15" x14ac:dyDescent="0.25">
      <c r="J4908" t="s">
        <v>2367</v>
      </c>
      <c r="K4908" s="22" t="s">
        <v>35</v>
      </c>
      <c r="L4908">
        <v>6</v>
      </c>
      <c r="M4908">
        <v>6</v>
      </c>
      <c r="O4908" s="31"/>
    </row>
    <row r="4909" spans="10:15" x14ac:dyDescent="0.25">
      <c r="J4909" t="s">
        <v>3043</v>
      </c>
      <c r="K4909" s="22" t="s">
        <v>30</v>
      </c>
      <c r="L4909">
        <v>3</v>
      </c>
      <c r="M4909">
        <v>3</v>
      </c>
      <c r="O4909" s="31"/>
    </row>
    <row r="4910" spans="10:15" x14ac:dyDescent="0.25">
      <c r="J4910" t="s">
        <v>490</v>
      </c>
      <c r="K4910" s="22" t="s">
        <v>22</v>
      </c>
      <c r="L4910">
        <v>5</v>
      </c>
      <c r="M4910">
        <v>3</v>
      </c>
      <c r="O4910" s="30"/>
    </row>
    <row r="4911" spans="10:15" x14ac:dyDescent="0.25">
      <c r="J4911" t="s">
        <v>2505</v>
      </c>
      <c r="K4911" s="22" t="s">
        <v>26</v>
      </c>
      <c r="L4911">
        <v>1</v>
      </c>
    </row>
    <row r="4912" spans="10:15" x14ac:dyDescent="0.25">
      <c r="J4912" t="s">
        <v>2505</v>
      </c>
      <c r="K4912" s="22" t="s">
        <v>20</v>
      </c>
      <c r="L4912">
        <v>1</v>
      </c>
    </row>
    <row r="4913" spans="10:15" x14ac:dyDescent="0.25">
      <c r="J4913" t="s">
        <v>2505</v>
      </c>
      <c r="K4913" s="22" t="s">
        <v>30</v>
      </c>
      <c r="L4913">
        <v>3</v>
      </c>
      <c r="M4913">
        <v>3</v>
      </c>
      <c r="O4913" s="31"/>
    </row>
    <row r="4914" spans="10:15" x14ac:dyDescent="0.25">
      <c r="J4914" t="s">
        <v>3377</v>
      </c>
      <c r="K4914" s="22" t="s">
        <v>30</v>
      </c>
      <c r="L4914">
        <v>1</v>
      </c>
      <c r="M4914">
        <v>1</v>
      </c>
      <c r="O4914" s="31"/>
    </row>
    <row r="4915" spans="10:15" x14ac:dyDescent="0.25">
      <c r="J4915" t="s">
        <v>1898</v>
      </c>
      <c r="K4915" s="22" t="s">
        <v>26</v>
      </c>
      <c r="L4915">
        <v>1</v>
      </c>
    </row>
    <row r="4916" spans="10:15" x14ac:dyDescent="0.25">
      <c r="J4916" t="s">
        <v>1898</v>
      </c>
      <c r="K4916" s="22" t="s">
        <v>20</v>
      </c>
      <c r="L4916">
        <v>1</v>
      </c>
    </row>
    <row r="4917" spans="10:15" x14ac:dyDescent="0.25">
      <c r="J4917" t="s">
        <v>1898</v>
      </c>
      <c r="K4917" s="22" t="s">
        <v>30</v>
      </c>
      <c r="L4917">
        <v>1</v>
      </c>
      <c r="M4917">
        <v>1</v>
      </c>
    </row>
    <row r="4918" spans="10:15" x14ac:dyDescent="0.25">
      <c r="J4918" t="s">
        <v>1898</v>
      </c>
      <c r="K4918" s="22" t="s">
        <v>31</v>
      </c>
      <c r="L4918">
        <v>2</v>
      </c>
      <c r="O4918" s="30"/>
    </row>
    <row r="4919" spans="10:15" x14ac:dyDescent="0.25">
      <c r="J4919" t="s">
        <v>2559</v>
      </c>
      <c r="K4919" s="22" t="s">
        <v>20</v>
      </c>
      <c r="L4919">
        <v>2</v>
      </c>
      <c r="M4919">
        <v>2</v>
      </c>
      <c r="O4919" s="31"/>
    </row>
    <row r="4920" spans="10:15" x14ac:dyDescent="0.25">
      <c r="J4920" t="s">
        <v>222</v>
      </c>
      <c r="K4920" s="22" t="s">
        <v>26</v>
      </c>
      <c r="L4920">
        <v>6</v>
      </c>
      <c r="M4920">
        <v>5</v>
      </c>
      <c r="O4920" s="31"/>
    </row>
    <row r="4921" spans="10:15" x14ac:dyDescent="0.25">
      <c r="J4921" t="s">
        <v>222</v>
      </c>
      <c r="K4921" s="22" t="s">
        <v>20</v>
      </c>
      <c r="L4921">
        <v>2</v>
      </c>
      <c r="M4921">
        <v>1</v>
      </c>
    </row>
    <row r="4922" spans="10:15" x14ac:dyDescent="0.25">
      <c r="J4922" t="s">
        <v>222</v>
      </c>
      <c r="K4922" s="22" t="s">
        <v>30</v>
      </c>
      <c r="L4922">
        <v>2</v>
      </c>
      <c r="O4922" s="30"/>
    </row>
    <row r="4923" spans="10:15" x14ac:dyDescent="0.25">
      <c r="J4923" t="s">
        <v>222</v>
      </c>
      <c r="K4923" s="22" t="s">
        <v>35</v>
      </c>
      <c r="L4923">
        <v>5</v>
      </c>
      <c r="M4923">
        <v>3</v>
      </c>
      <c r="O4923" s="30"/>
    </row>
    <row r="4924" spans="10:15" x14ac:dyDescent="0.25">
      <c r="J4924" t="s">
        <v>222</v>
      </c>
      <c r="K4924" s="22" t="s">
        <v>22</v>
      </c>
      <c r="L4924">
        <v>4</v>
      </c>
      <c r="M4924">
        <v>1</v>
      </c>
      <c r="O4924" s="31"/>
    </row>
    <row r="4925" spans="10:15" x14ac:dyDescent="0.25">
      <c r="J4925" t="s">
        <v>222</v>
      </c>
      <c r="K4925" s="22" t="s">
        <v>31</v>
      </c>
      <c r="L4925">
        <v>2</v>
      </c>
      <c r="O4925" s="30"/>
    </row>
    <row r="4926" spans="10:15" x14ac:dyDescent="0.25">
      <c r="J4926" t="s">
        <v>2087</v>
      </c>
      <c r="K4926" s="22" t="s">
        <v>26</v>
      </c>
      <c r="L4926">
        <v>2</v>
      </c>
      <c r="M4926">
        <v>1</v>
      </c>
    </row>
    <row r="4927" spans="10:15" x14ac:dyDescent="0.25">
      <c r="J4927" t="s">
        <v>2087</v>
      </c>
      <c r="K4927" s="22" t="s">
        <v>35</v>
      </c>
      <c r="L4927">
        <v>4</v>
      </c>
      <c r="M4927">
        <v>4</v>
      </c>
      <c r="O4927" s="31"/>
    </row>
    <row r="4928" spans="10:15" x14ac:dyDescent="0.25">
      <c r="J4928" t="s">
        <v>1509</v>
      </c>
      <c r="K4928" s="22" t="s">
        <v>26</v>
      </c>
      <c r="L4928">
        <v>5</v>
      </c>
      <c r="M4928">
        <v>5</v>
      </c>
      <c r="O4928" s="31"/>
    </row>
    <row r="4929" spans="10:15" x14ac:dyDescent="0.25">
      <c r="J4929" t="s">
        <v>2520</v>
      </c>
      <c r="K4929" s="22" t="s">
        <v>30</v>
      </c>
      <c r="L4929">
        <v>1</v>
      </c>
    </row>
    <row r="4930" spans="10:15" x14ac:dyDescent="0.25">
      <c r="J4930" t="s">
        <v>2520</v>
      </c>
      <c r="K4930" s="22" t="s">
        <v>35</v>
      </c>
      <c r="L4930">
        <v>1</v>
      </c>
      <c r="M4930">
        <v>1</v>
      </c>
      <c r="O4930" s="31"/>
    </row>
    <row r="4931" spans="10:15" x14ac:dyDescent="0.25">
      <c r="J4931" t="s">
        <v>1649</v>
      </c>
      <c r="K4931" s="22" t="s">
        <v>20</v>
      </c>
      <c r="L4931">
        <v>3</v>
      </c>
      <c r="M4931">
        <v>3</v>
      </c>
      <c r="O4931" s="31"/>
    </row>
    <row r="4932" spans="10:15" x14ac:dyDescent="0.25">
      <c r="J4932" t="s">
        <v>483</v>
      </c>
      <c r="K4932" s="22" t="s">
        <v>20</v>
      </c>
      <c r="L4932">
        <v>1</v>
      </c>
      <c r="M4932">
        <v>1</v>
      </c>
    </row>
    <row r="4933" spans="10:15" x14ac:dyDescent="0.25">
      <c r="J4933" t="s">
        <v>2763</v>
      </c>
      <c r="K4933" s="22" t="s">
        <v>26</v>
      </c>
      <c r="L4933">
        <v>1</v>
      </c>
      <c r="M4933">
        <v>1</v>
      </c>
      <c r="O4933" s="31"/>
    </row>
    <row r="4934" spans="10:15" x14ac:dyDescent="0.25">
      <c r="J4934" t="s">
        <v>2763</v>
      </c>
      <c r="K4934" s="22" t="s">
        <v>30</v>
      </c>
      <c r="L4934">
        <v>1</v>
      </c>
    </row>
    <row r="4935" spans="10:15" x14ac:dyDescent="0.25">
      <c r="J4935" t="s">
        <v>2293</v>
      </c>
      <c r="K4935" s="22" t="s">
        <v>20</v>
      </c>
      <c r="L4935">
        <v>2</v>
      </c>
      <c r="M4935">
        <v>2</v>
      </c>
    </row>
    <row r="4936" spans="10:15" x14ac:dyDescent="0.25">
      <c r="J4936" t="s">
        <v>2333</v>
      </c>
      <c r="K4936" s="22" t="s">
        <v>26</v>
      </c>
      <c r="L4936">
        <v>1</v>
      </c>
    </row>
    <row r="4937" spans="10:15" x14ac:dyDescent="0.25">
      <c r="J4937" t="s">
        <v>2333</v>
      </c>
      <c r="K4937" s="22" t="s">
        <v>22</v>
      </c>
      <c r="L4937">
        <v>1</v>
      </c>
    </row>
    <row r="4938" spans="10:15" x14ac:dyDescent="0.25">
      <c r="J4938" t="s">
        <v>746</v>
      </c>
      <c r="K4938" s="22" t="s">
        <v>26</v>
      </c>
      <c r="L4938">
        <v>1</v>
      </c>
      <c r="M4938">
        <v>1</v>
      </c>
      <c r="O4938" s="31"/>
    </row>
    <row r="4939" spans="10:15" x14ac:dyDescent="0.25">
      <c r="J4939" t="s">
        <v>746</v>
      </c>
      <c r="K4939" s="22" t="s">
        <v>20</v>
      </c>
      <c r="L4939">
        <v>1</v>
      </c>
    </row>
    <row r="4940" spans="10:15" x14ac:dyDescent="0.25">
      <c r="J4940" t="s">
        <v>746</v>
      </c>
      <c r="K4940" s="22" t="s">
        <v>30</v>
      </c>
      <c r="L4940">
        <v>1</v>
      </c>
    </row>
    <row r="4941" spans="10:15" x14ac:dyDescent="0.25">
      <c r="J4941" t="s">
        <v>746</v>
      </c>
      <c r="K4941" s="22" t="s">
        <v>31</v>
      </c>
      <c r="L4941">
        <v>2</v>
      </c>
      <c r="M4941">
        <v>1</v>
      </c>
    </row>
    <row r="4942" spans="10:15" x14ac:dyDescent="0.25">
      <c r="J4942" t="s">
        <v>1451</v>
      </c>
      <c r="K4942" s="22" t="s">
        <v>26</v>
      </c>
      <c r="L4942">
        <v>1</v>
      </c>
      <c r="M4942">
        <v>1</v>
      </c>
    </row>
    <row r="4943" spans="10:15" x14ac:dyDescent="0.25">
      <c r="J4943" t="s">
        <v>1451</v>
      </c>
      <c r="K4943" s="22" t="s">
        <v>20</v>
      </c>
      <c r="L4943">
        <v>1</v>
      </c>
    </row>
    <row r="4944" spans="10:15" x14ac:dyDescent="0.25">
      <c r="J4944" t="s">
        <v>98</v>
      </c>
      <c r="K4944" s="22" t="s">
        <v>20</v>
      </c>
      <c r="L4944">
        <v>4</v>
      </c>
      <c r="M4944">
        <v>3</v>
      </c>
      <c r="O4944" s="31"/>
    </row>
    <row r="4945" spans="10:15" x14ac:dyDescent="0.25">
      <c r="J4945" t="s">
        <v>98</v>
      </c>
      <c r="K4945" s="22" t="s">
        <v>30</v>
      </c>
      <c r="L4945">
        <v>1</v>
      </c>
      <c r="M4945">
        <v>1</v>
      </c>
      <c r="O4945" s="31"/>
    </row>
    <row r="4946" spans="10:15" x14ac:dyDescent="0.25">
      <c r="J4946" t="s">
        <v>98</v>
      </c>
      <c r="K4946" s="22" t="s">
        <v>28</v>
      </c>
      <c r="L4946">
        <v>1</v>
      </c>
      <c r="O4946" s="30"/>
    </row>
    <row r="4947" spans="10:15" x14ac:dyDescent="0.25">
      <c r="J4947" t="s">
        <v>98</v>
      </c>
      <c r="K4947" s="22" t="s">
        <v>22</v>
      </c>
      <c r="L4947">
        <v>1</v>
      </c>
      <c r="O4947" s="30"/>
    </row>
    <row r="4948" spans="10:15" x14ac:dyDescent="0.25">
      <c r="J4948" t="s">
        <v>188</v>
      </c>
      <c r="K4948" s="22" t="s">
        <v>26</v>
      </c>
      <c r="L4948">
        <v>11</v>
      </c>
      <c r="O4948" s="30"/>
    </row>
    <row r="4949" spans="10:15" x14ac:dyDescent="0.25">
      <c r="J4949" t="s">
        <v>188</v>
      </c>
      <c r="K4949" s="22" t="s">
        <v>20</v>
      </c>
      <c r="L4949">
        <v>8</v>
      </c>
      <c r="M4949">
        <v>1</v>
      </c>
      <c r="O4949" s="31"/>
    </row>
    <row r="4950" spans="10:15" x14ac:dyDescent="0.25">
      <c r="J4950" t="s">
        <v>188</v>
      </c>
      <c r="K4950" s="22" t="s">
        <v>30</v>
      </c>
      <c r="L4950">
        <v>6</v>
      </c>
      <c r="O4950" s="30"/>
    </row>
    <row r="4951" spans="10:15" x14ac:dyDescent="0.25">
      <c r="J4951" t="s">
        <v>188</v>
      </c>
      <c r="K4951" s="22" t="s">
        <v>28</v>
      </c>
      <c r="L4951">
        <v>7</v>
      </c>
      <c r="O4951" s="30"/>
    </row>
    <row r="4952" spans="10:15" x14ac:dyDescent="0.25">
      <c r="J4952" t="s">
        <v>188</v>
      </c>
      <c r="K4952" s="22" t="s">
        <v>31</v>
      </c>
      <c r="L4952">
        <v>5</v>
      </c>
      <c r="M4952">
        <v>3</v>
      </c>
      <c r="O4952" s="30"/>
    </row>
    <row r="4953" spans="10:15" x14ac:dyDescent="0.25">
      <c r="J4953" t="s">
        <v>407</v>
      </c>
      <c r="K4953" s="22" t="s">
        <v>20</v>
      </c>
      <c r="L4953">
        <v>4</v>
      </c>
      <c r="M4953">
        <v>3</v>
      </c>
      <c r="O4953" s="31"/>
    </row>
    <row r="4954" spans="10:15" x14ac:dyDescent="0.25">
      <c r="J4954" t="s">
        <v>407</v>
      </c>
      <c r="K4954" s="22" t="s">
        <v>28</v>
      </c>
      <c r="L4954">
        <v>1</v>
      </c>
    </row>
    <row r="4955" spans="10:15" x14ac:dyDescent="0.25">
      <c r="J4955" t="s">
        <v>407</v>
      </c>
      <c r="K4955" s="22" t="s">
        <v>35</v>
      </c>
      <c r="L4955">
        <v>6</v>
      </c>
      <c r="M4955">
        <v>6</v>
      </c>
      <c r="O4955" s="31"/>
    </row>
    <row r="4956" spans="10:15" x14ac:dyDescent="0.25">
      <c r="J4956" t="s">
        <v>91</v>
      </c>
      <c r="K4956" s="22" t="s">
        <v>26</v>
      </c>
      <c r="L4956">
        <v>3</v>
      </c>
      <c r="O4956" s="30"/>
    </row>
    <row r="4957" spans="10:15" x14ac:dyDescent="0.25">
      <c r="J4957" t="s">
        <v>91</v>
      </c>
      <c r="K4957" s="22" t="s">
        <v>20</v>
      </c>
      <c r="L4957">
        <v>2</v>
      </c>
      <c r="M4957">
        <v>1</v>
      </c>
      <c r="O4957" s="30"/>
    </row>
    <row r="4958" spans="10:15" x14ac:dyDescent="0.25">
      <c r="J4958" t="s">
        <v>91</v>
      </c>
      <c r="K4958" s="22" t="s">
        <v>30</v>
      </c>
      <c r="L4958">
        <v>5</v>
      </c>
      <c r="O4958" s="30"/>
    </row>
    <row r="4959" spans="10:15" x14ac:dyDescent="0.25">
      <c r="J4959" t="s">
        <v>91</v>
      </c>
      <c r="K4959" s="22" t="s">
        <v>28</v>
      </c>
      <c r="L4959">
        <v>2</v>
      </c>
      <c r="O4959" s="30"/>
    </row>
    <row r="4960" spans="10:15" x14ac:dyDescent="0.25">
      <c r="J4960" t="s">
        <v>91</v>
      </c>
      <c r="K4960" s="22" t="s">
        <v>22</v>
      </c>
      <c r="L4960">
        <v>4</v>
      </c>
      <c r="M4960">
        <v>1</v>
      </c>
      <c r="O4960" s="30"/>
    </row>
    <row r="4961" spans="10:15" x14ac:dyDescent="0.25">
      <c r="J4961" t="s">
        <v>91</v>
      </c>
      <c r="K4961" s="22" t="s">
        <v>31</v>
      </c>
      <c r="L4961">
        <v>3</v>
      </c>
      <c r="M4961">
        <v>1</v>
      </c>
      <c r="O4961" s="30"/>
    </row>
    <row r="4962" spans="10:15" x14ac:dyDescent="0.25">
      <c r="J4962" t="s">
        <v>1562</v>
      </c>
      <c r="K4962" s="22" t="s">
        <v>22</v>
      </c>
      <c r="L4962">
        <v>4</v>
      </c>
      <c r="M4962">
        <v>4</v>
      </c>
      <c r="O4962" s="31"/>
    </row>
    <row r="4963" spans="10:15" x14ac:dyDescent="0.25">
      <c r="J4963" t="s">
        <v>1161</v>
      </c>
      <c r="K4963" s="22" t="s">
        <v>26</v>
      </c>
      <c r="L4963">
        <v>5</v>
      </c>
      <c r="M4963">
        <v>4</v>
      </c>
      <c r="O4963" s="30"/>
    </row>
    <row r="4964" spans="10:15" x14ac:dyDescent="0.25">
      <c r="J4964" t="s">
        <v>1161</v>
      </c>
      <c r="K4964" s="22" t="s">
        <v>20</v>
      </c>
      <c r="L4964">
        <v>1</v>
      </c>
      <c r="O4964" s="30"/>
    </row>
    <row r="4965" spans="10:15" x14ac:dyDescent="0.25">
      <c r="J4965" t="s">
        <v>1161</v>
      </c>
      <c r="K4965" s="22" t="s">
        <v>28</v>
      </c>
      <c r="L4965">
        <v>1</v>
      </c>
      <c r="O4965" s="30"/>
    </row>
    <row r="4966" spans="10:15" x14ac:dyDescent="0.25">
      <c r="J4966" t="s">
        <v>1161</v>
      </c>
      <c r="K4966" s="22" t="s">
        <v>31</v>
      </c>
      <c r="L4966">
        <v>1</v>
      </c>
      <c r="M4966">
        <v>1</v>
      </c>
      <c r="O4966" s="31"/>
    </row>
    <row r="4967" spans="10:15" x14ac:dyDescent="0.25">
      <c r="J4967" t="s">
        <v>462</v>
      </c>
      <c r="K4967" s="22" t="s">
        <v>28</v>
      </c>
      <c r="L4967">
        <v>1</v>
      </c>
    </row>
    <row r="4968" spans="10:15" x14ac:dyDescent="0.25">
      <c r="J4968" t="s">
        <v>3396</v>
      </c>
      <c r="K4968" s="22" t="s">
        <v>20</v>
      </c>
      <c r="L4968">
        <v>1</v>
      </c>
      <c r="O4968" s="30"/>
    </row>
    <row r="4969" spans="10:15" x14ac:dyDescent="0.25">
      <c r="J4969" t="s">
        <v>190</v>
      </c>
      <c r="K4969" s="22" t="s">
        <v>26</v>
      </c>
      <c r="L4969">
        <v>3</v>
      </c>
      <c r="O4969" s="30"/>
    </row>
    <row r="4970" spans="10:15" x14ac:dyDescent="0.25">
      <c r="J4970" t="s">
        <v>190</v>
      </c>
      <c r="K4970" s="22" t="s">
        <v>30</v>
      </c>
      <c r="L4970">
        <v>3</v>
      </c>
      <c r="O4970" s="30"/>
    </row>
    <row r="4971" spans="10:15" x14ac:dyDescent="0.25">
      <c r="J4971" t="s">
        <v>190</v>
      </c>
      <c r="K4971" s="22" t="s">
        <v>35</v>
      </c>
      <c r="L4971">
        <v>2</v>
      </c>
      <c r="M4971">
        <v>1</v>
      </c>
      <c r="O4971" s="30"/>
    </row>
    <row r="4972" spans="10:15" x14ac:dyDescent="0.25">
      <c r="J4972" t="s">
        <v>190</v>
      </c>
      <c r="K4972" s="22" t="s">
        <v>22</v>
      </c>
      <c r="L4972">
        <v>3</v>
      </c>
      <c r="O4972" s="30"/>
    </row>
    <row r="4973" spans="10:15" x14ac:dyDescent="0.25">
      <c r="J4973" t="s">
        <v>3290</v>
      </c>
      <c r="K4973" s="22" t="s">
        <v>30</v>
      </c>
      <c r="L4973">
        <v>1</v>
      </c>
      <c r="O4973" s="30"/>
    </row>
    <row r="4974" spans="10:15" x14ac:dyDescent="0.25">
      <c r="J4974" t="s">
        <v>3290</v>
      </c>
      <c r="K4974" s="22" t="s">
        <v>35</v>
      </c>
      <c r="L4974">
        <v>3</v>
      </c>
      <c r="M4974">
        <v>3</v>
      </c>
      <c r="O4974" s="31"/>
    </row>
    <row r="4975" spans="10:15" x14ac:dyDescent="0.25">
      <c r="J4975" t="s">
        <v>3378</v>
      </c>
      <c r="K4975" s="22" t="s">
        <v>31</v>
      </c>
      <c r="L4975">
        <v>2</v>
      </c>
      <c r="M4975">
        <v>2</v>
      </c>
      <c r="O4975" s="31"/>
    </row>
    <row r="4976" spans="10:15" x14ac:dyDescent="0.25">
      <c r="J4976" t="s">
        <v>921</v>
      </c>
      <c r="K4976" s="22" t="s">
        <v>20</v>
      </c>
      <c r="L4976">
        <v>4</v>
      </c>
      <c r="M4976">
        <v>4</v>
      </c>
      <c r="O4976" s="31"/>
    </row>
    <row r="4977" spans="10:15" x14ac:dyDescent="0.25">
      <c r="J4977" t="s">
        <v>2565</v>
      </c>
      <c r="K4977" s="22" t="s">
        <v>26</v>
      </c>
      <c r="L4977">
        <v>1</v>
      </c>
      <c r="O4977" s="30"/>
    </row>
    <row r="4978" spans="10:15" x14ac:dyDescent="0.25">
      <c r="J4978" t="s">
        <v>2565</v>
      </c>
      <c r="K4978" s="22" t="s">
        <v>31</v>
      </c>
      <c r="L4978">
        <v>4</v>
      </c>
      <c r="M4978">
        <v>3</v>
      </c>
      <c r="O4978" s="30"/>
    </row>
    <row r="4979" spans="10:15" x14ac:dyDescent="0.25">
      <c r="J4979" t="s">
        <v>3002</v>
      </c>
      <c r="K4979" s="22" t="s">
        <v>20</v>
      </c>
      <c r="L4979">
        <v>2</v>
      </c>
      <c r="M4979">
        <v>2</v>
      </c>
      <c r="O4979" s="31"/>
    </row>
    <row r="4980" spans="10:15" x14ac:dyDescent="0.25">
      <c r="J4980" t="s">
        <v>115</v>
      </c>
      <c r="K4980" s="22" t="s">
        <v>26</v>
      </c>
      <c r="L4980">
        <v>1</v>
      </c>
      <c r="M4980">
        <v>1</v>
      </c>
    </row>
    <row r="4981" spans="10:15" x14ac:dyDescent="0.25">
      <c r="J4981" t="s">
        <v>115</v>
      </c>
      <c r="K4981" s="22" t="s">
        <v>30</v>
      </c>
      <c r="L4981">
        <v>1</v>
      </c>
    </row>
    <row r="4982" spans="10:15" x14ac:dyDescent="0.25">
      <c r="J4982" t="s">
        <v>1455</v>
      </c>
      <c r="K4982" s="22" t="s">
        <v>30</v>
      </c>
      <c r="L4982">
        <v>2</v>
      </c>
      <c r="O4982" s="30"/>
    </row>
    <row r="4983" spans="10:15" x14ac:dyDescent="0.25">
      <c r="J4983" t="s">
        <v>3365</v>
      </c>
      <c r="K4983" s="22" t="s">
        <v>20</v>
      </c>
      <c r="L4983">
        <v>1</v>
      </c>
      <c r="O4983" s="30"/>
    </row>
    <row r="4984" spans="10:15" x14ac:dyDescent="0.25">
      <c r="J4984" t="s">
        <v>3365</v>
      </c>
      <c r="K4984" s="22" t="s">
        <v>35</v>
      </c>
      <c r="L4984">
        <v>1</v>
      </c>
      <c r="M4984">
        <v>1</v>
      </c>
      <c r="O4984" s="31"/>
    </row>
    <row r="4985" spans="10:15" x14ac:dyDescent="0.25">
      <c r="J4985" t="s">
        <v>153</v>
      </c>
      <c r="K4985" s="22" t="s">
        <v>22</v>
      </c>
      <c r="L4985">
        <v>2</v>
      </c>
      <c r="M4985">
        <v>2</v>
      </c>
    </row>
    <row r="4986" spans="10:15" x14ac:dyDescent="0.25">
      <c r="J4986" t="s">
        <v>2301</v>
      </c>
      <c r="K4986" s="22" t="s">
        <v>30</v>
      </c>
      <c r="L4986">
        <v>1</v>
      </c>
    </row>
    <row r="4987" spans="10:15" x14ac:dyDescent="0.25">
      <c r="J4987" t="s">
        <v>2301</v>
      </c>
      <c r="K4987" s="22" t="s">
        <v>31</v>
      </c>
      <c r="L4987">
        <v>1</v>
      </c>
      <c r="M4987">
        <v>1</v>
      </c>
    </row>
    <row r="4988" spans="10:15" x14ac:dyDescent="0.25">
      <c r="J4988" t="s">
        <v>53</v>
      </c>
      <c r="K4988" s="22" t="s">
        <v>29</v>
      </c>
      <c r="L4988">
        <v>16</v>
      </c>
      <c r="M4988">
        <v>16</v>
      </c>
      <c r="O4988" s="31"/>
    </row>
    <row r="4989" spans="10:15" x14ac:dyDescent="0.25">
      <c r="J4989" t="s">
        <v>53</v>
      </c>
      <c r="K4989" s="22" t="s">
        <v>28</v>
      </c>
      <c r="L4989">
        <v>14</v>
      </c>
      <c r="M4989">
        <v>10</v>
      </c>
      <c r="O4989" s="30"/>
    </row>
    <row r="4990" spans="10:15" x14ac:dyDescent="0.25">
      <c r="J4990" t="s">
        <v>53</v>
      </c>
      <c r="K4990" s="22" t="s">
        <v>35</v>
      </c>
      <c r="L4990">
        <v>17</v>
      </c>
      <c r="M4990">
        <v>5</v>
      </c>
      <c r="O4990" s="30"/>
    </row>
    <row r="4991" spans="10:15" x14ac:dyDescent="0.25">
      <c r="J4991" t="s">
        <v>1433</v>
      </c>
      <c r="K4991" s="22" t="s">
        <v>26</v>
      </c>
      <c r="L4991">
        <v>2</v>
      </c>
      <c r="O4991" s="30"/>
    </row>
    <row r="4992" spans="10:15" x14ac:dyDescent="0.25">
      <c r="J4992" t="s">
        <v>1433</v>
      </c>
      <c r="K4992" s="22" t="s">
        <v>29</v>
      </c>
      <c r="L4992">
        <v>2</v>
      </c>
      <c r="M4992">
        <v>2</v>
      </c>
      <c r="O4992" s="31"/>
    </row>
    <row r="4993" spans="10:15" x14ac:dyDescent="0.25">
      <c r="J4993" t="s">
        <v>1433</v>
      </c>
      <c r="K4993" s="22" t="s">
        <v>22</v>
      </c>
      <c r="L4993">
        <v>2</v>
      </c>
      <c r="O4993" s="30"/>
    </row>
    <row r="4994" spans="10:15" x14ac:dyDescent="0.25">
      <c r="J4994" t="s">
        <v>996</v>
      </c>
      <c r="K4994" s="22" t="s">
        <v>29</v>
      </c>
      <c r="L4994">
        <v>4</v>
      </c>
      <c r="M4994">
        <v>4</v>
      </c>
      <c r="O4994" s="31"/>
    </row>
    <row r="4995" spans="10:15" x14ac:dyDescent="0.25">
      <c r="J4995" t="s">
        <v>996</v>
      </c>
      <c r="K4995" s="22" t="s">
        <v>35</v>
      </c>
      <c r="L4995">
        <v>3</v>
      </c>
      <c r="O4995" s="30"/>
    </row>
    <row r="4996" spans="10:15" x14ac:dyDescent="0.25">
      <c r="J4996" t="s">
        <v>2063</v>
      </c>
      <c r="K4996" s="22" t="s">
        <v>29</v>
      </c>
      <c r="L4996">
        <v>2</v>
      </c>
      <c r="M4996">
        <v>2</v>
      </c>
      <c r="O4996" s="31"/>
    </row>
    <row r="4997" spans="10:15" x14ac:dyDescent="0.25">
      <c r="J4997" t="s">
        <v>2063</v>
      </c>
      <c r="K4997" s="22" t="s">
        <v>35</v>
      </c>
      <c r="L4997">
        <v>1</v>
      </c>
    </row>
    <row r="4998" spans="10:15" x14ac:dyDescent="0.25">
      <c r="J4998" t="s">
        <v>769</v>
      </c>
      <c r="K4998" s="22" t="s">
        <v>20</v>
      </c>
      <c r="L4998">
        <v>2</v>
      </c>
      <c r="M4998">
        <v>2</v>
      </c>
      <c r="O4998" s="31"/>
    </row>
    <row r="4999" spans="10:15" x14ac:dyDescent="0.25">
      <c r="J4999" t="s">
        <v>769</v>
      </c>
      <c r="K4999" s="22" t="s">
        <v>29</v>
      </c>
      <c r="L4999">
        <v>2</v>
      </c>
      <c r="M4999">
        <v>1</v>
      </c>
    </row>
    <row r="5000" spans="10:15" x14ac:dyDescent="0.25">
      <c r="J5000" t="s">
        <v>769</v>
      </c>
      <c r="K5000" s="22" t="s">
        <v>28</v>
      </c>
      <c r="L5000">
        <v>3</v>
      </c>
      <c r="O5000" s="30"/>
    </row>
    <row r="5001" spans="10:15" x14ac:dyDescent="0.25">
      <c r="J5001" t="s">
        <v>769</v>
      </c>
      <c r="K5001" s="22" t="s">
        <v>22</v>
      </c>
      <c r="L5001">
        <v>3</v>
      </c>
      <c r="O5001" s="30"/>
    </row>
    <row r="5002" spans="10:15" x14ac:dyDescent="0.25">
      <c r="J5002" t="s">
        <v>2310</v>
      </c>
      <c r="K5002" s="22" t="s">
        <v>20</v>
      </c>
      <c r="L5002">
        <v>3</v>
      </c>
      <c r="M5002">
        <v>2</v>
      </c>
      <c r="O5002" s="30"/>
    </row>
    <row r="5003" spans="10:15" x14ac:dyDescent="0.25">
      <c r="J5003" t="s">
        <v>350</v>
      </c>
      <c r="K5003" s="22" t="s">
        <v>26</v>
      </c>
      <c r="L5003">
        <v>2</v>
      </c>
      <c r="M5003">
        <v>1</v>
      </c>
    </row>
    <row r="5004" spans="10:15" x14ac:dyDescent="0.25">
      <c r="J5004" t="s">
        <v>350</v>
      </c>
      <c r="K5004" s="22" t="s">
        <v>28</v>
      </c>
      <c r="L5004">
        <v>4</v>
      </c>
      <c r="M5004">
        <v>3</v>
      </c>
      <c r="O5004" s="30"/>
    </row>
    <row r="5005" spans="10:15" x14ac:dyDescent="0.25">
      <c r="J5005" t="s">
        <v>350</v>
      </c>
      <c r="K5005" s="22" t="s">
        <v>22</v>
      </c>
      <c r="L5005">
        <v>5</v>
      </c>
      <c r="M5005">
        <v>2</v>
      </c>
      <c r="O5005" s="30"/>
    </row>
    <row r="5006" spans="10:15" x14ac:dyDescent="0.25">
      <c r="J5006" t="s">
        <v>350</v>
      </c>
      <c r="K5006" s="22" t="s">
        <v>31</v>
      </c>
      <c r="L5006">
        <v>4</v>
      </c>
      <c r="M5006">
        <v>2</v>
      </c>
      <c r="O5006" s="30"/>
    </row>
    <row r="5007" spans="10:15" x14ac:dyDescent="0.25">
      <c r="J5007" t="s">
        <v>3292</v>
      </c>
      <c r="K5007" s="22" t="s">
        <v>28</v>
      </c>
      <c r="L5007">
        <v>1</v>
      </c>
      <c r="M5007">
        <v>1</v>
      </c>
      <c r="O5007" s="31"/>
    </row>
    <row r="5008" spans="10:15" x14ac:dyDescent="0.25">
      <c r="J5008" t="s">
        <v>902</v>
      </c>
      <c r="K5008" s="22" t="s">
        <v>20</v>
      </c>
      <c r="L5008">
        <v>1</v>
      </c>
      <c r="O5008" s="30"/>
    </row>
    <row r="5009" spans="10:15" x14ac:dyDescent="0.25">
      <c r="J5009" t="s">
        <v>902</v>
      </c>
      <c r="K5009" s="22" t="s">
        <v>28</v>
      </c>
      <c r="L5009">
        <v>3</v>
      </c>
      <c r="M5009">
        <v>2</v>
      </c>
    </row>
    <row r="5010" spans="10:15" x14ac:dyDescent="0.25">
      <c r="J5010" t="s">
        <v>961</v>
      </c>
      <c r="K5010" s="22" t="s">
        <v>29</v>
      </c>
      <c r="L5010">
        <v>2</v>
      </c>
      <c r="M5010">
        <v>2</v>
      </c>
      <c r="O5010" s="31"/>
    </row>
    <row r="5011" spans="10:15" x14ac:dyDescent="0.25">
      <c r="J5011" t="s">
        <v>961</v>
      </c>
      <c r="K5011" s="22" t="s">
        <v>28</v>
      </c>
      <c r="L5011">
        <v>3</v>
      </c>
      <c r="O5011" s="30"/>
    </row>
    <row r="5012" spans="10:15" x14ac:dyDescent="0.25">
      <c r="J5012" t="s">
        <v>1834</v>
      </c>
      <c r="K5012" s="22" t="s">
        <v>29</v>
      </c>
      <c r="L5012">
        <v>1</v>
      </c>
      <c r="M5012">
        <v>1</v>
      </c>
    </row>
    <row r="5013" spans="10:15" x14ac:dyDescent="0.25">
      <c r="J5013" t="s">
        <v>730</v>
      </c>
      <c r="K5013" s="22" t="s">
        <v>26</v>
      </c>
      <c r="L5013">
        <v>1</v>
      </c>
      <c r="O5013" s="30"/>
    </row>
    <row r="5014" spans="10:15" x14ac:dyDescent="0.25">
      <c r="J5014" t="s">
        <v>730</v>
      </c>
      <c r="K5014" s="22" t="s">
        <v>35</v>
      </c>
      <c r="L5014">
        <v>3</v>
      </c>
      <c r="M5014">
        <v>2</v>
      </c>
    </row>
    <row r="5015" spans="10:15" x14ac:dyDescent="0.25">
      <c r="J5015" t="s">
        <v>102</v>
      </c>
      <c r="K5015" s="22" t="s">
        <v>26</v>
      </c>
      <c r="L5015">
        <v>2</v>
      </c>
      <c r="M5015">
        <v>2</v>
      </c>
    </row>
    <row r="5016" spans="10:15" x14ac:dyDescent="0.25">
      <c r="J5016" t="s">
        <v>2767</v>
      </c>
      <c r="K5016" s="22" t="s">
        <v>29</v>
      </c>
      <c r="L5016">
        <v>2</v>
      </c>
      <c r="M5016">
        <v>2</v>
      </c>
      <c r="O5016" s="31"/>
    </row>
    <row r="5017" spans="10:15" x14ac:dyDescent="0.25">
      <c r="J5017" t="s">
        <v>1091</v>
      </c>
      <c r="K5017" s="22" t="s">
        <v>29</v>
      </c>
      <c r="L5017">
        <v>20</v>
      </c>
      <c r="M5017">
        <v>20</v>
      </c>
      <c r="O5017" s="31"/>
    </row>
    <row r="5018" spans="10:15" x14ac:dyDescent="0.25">
      <c r="J5018" t="s">
        <v>2469</v>
      </c>
      <c r="K5018" s="22" t="s">
        <v>26</v>
      </c>
      <c r="L5018">
        <v>2</v>
      </c>
      <c r="M5018">
        <v>2</v>
      </c>
      <c r="O5018" s="31"/>
    </row>
    <row r="5019" spans="10:15" x14ac:dyDescent="0.25">
      <c r="J5019" t="s">
        <v>2273</v>
      </c>
      <c r="K5019" s="22" t="s">
        <v>20</v>
      </c>
      <c r="L5019">
        <v>2</v>
      </c>
      <c r="M5019">
        <v>2</v>
      </c>
      <c r="O5019" s="31"/>
    </row>
    <row r="5020" spans="10:15" x14ac:dyDescent="0.25">
      <c r="J5020" t="s">
        <v>693</v>
      </c>
      <c r="K5020" s="22" t="s">
        <v>26</v>
      </c>
      <c r="L5020">
        <v>2</v>
      </c>
      <c r="M5020">
        <v>1</v>
      </c>
      <c r="O5020" s="30"/>
    </row>
    <row r="5021" spans="10:15" x14ac:dyDescent="0.25">
      <c r="J5021" t="s">
        <v>693</v>
      </c>
      <c r="K5021" s="22" t="s">
        <v>29</v>
      </c>
      <c r="L5021">
        <v>1</v>
      </c>
    </row>
    <row r="5022" spans="10:15" x14ac:dyDescent="0.25">
      <c r="J5022" t="s">
        <v>693</v>
      </c>
      <c r="K5022" s="22" t="s">
        <v>35</v>
      </c>
      <c r="L5022">
        <v>1</v>
      </c>
    </row>
    <row r="5023" spans="10:15" x14ac:dyDescent="0.25">
      <c r="J5023" t="s">
        <v>3480</v>
      </c>
      <c r="K5023" s="22" t="s">
        <v>35</v>
      </c>
      <c r="L5023">
        <v>1</v>
      </c>
      <c r="O5023" s="30"/>
    </row>
    <row r="5024" spans="10:15" x14ac:dyDescent="0.25">
      <c r="J5024" t="s">
        <v>2303</v>
      </c>
      <c r="K5024" s="22" t="s">
        <v>20</v>
      </c>
      <c r="L5024">
        <v>2</v>
      </c>
      <c r="M5024">
        <v>2</v>
      </c>
      <c r="O5024" s="31"/>
    </row>
    <row r="5025" spans="10:15" x14ac:dyDescent="0.25">
      <c r="J5025" t="s">
        <v>2303</v>
      </c>
      <c r="K5025" s="22" t="s">
        <v>29</v>
      </c>
      <c r="L5025">
        <v>4</v>
      </c>
      <c r="M5025">
        <v>1</v>
      </c>
      <c r="O5025" s="30"/>
    </row>
    <row r="5026" spans="10:15" x14ac:dyDescent="0.25">
      <c r="J5026" t="s">
        <v>1324</v>
      </c>
      <c r="K5026" s="22" t="s">
        <v>20</v>
      </c>
      <c r="L5026">
        <v>2</v>
      </c>
      <c r="M5026">
        <v>1</v>
      </c>
    </row>
    <row r="5027" spans="10:15" x14ac:dyDescent="0.25">
      <c r="J5027" t="s">
        <v>1324</v>
      </c>
      <c r="K5027" s="22" t="s">
        <v>29</v>
      </c>
      <c r="L5027">
        <v>1</v>
      </c>
      <c r="O5027" s="30"/>
    </row>
    <row r="5028" spans="10:15" x14ac:dyDescent="0.25">
      <c r="J5028" t="s">
        <v>1324</v>
      </c>
      <c r="K5028" s="22" t="s">
        <v>22</v>
      </c>
      <c r="L5028">
        <v>1</v>
      </c>
    </row>
    <row r="5029" spans="10:15" x14ac:dyDescent="0.25">
      <c r="J5029" t="s">
        <v>3496</v>
      </c>
      <c r="K5029" s="22" t="s">
        <v>26</v>
      </c>
      <c r="L5029">
        <v>1</v>
      </c>
      <c r="O5029" s="30"/>
    </row>
    <row r="5030" spans="10:15" x14ac:dyDescent="0.25">
      <c r="J5030" t="s">
        <v>1844</v>
      </c>
      <c r="K5030" s="22" t="s">
        <v>22</v>
      </c>
      <c r="L5030">
        <v>1</v>
      </c>
    </row>
    <row r="5031" spans="10:15" x14ac:dyDescent="0.25">
      <c r="J5031" t="s">
        <v>1653</v>
      </c>
      <c r="K5031" s="22" t="s">
        <v>28</v>
      </c>
      <c r="L5031">
        <v>6</v>
      </c>
      <c r="M5031">
        <v>6</v>
      </c>
      <c r="O5031" s="31"/>
    </row>
    <row r="5032" spans="10:15" x14ac:dyDescent="0.25">
      <c r="J5032" t="s">
        <v>155</v>
      </c>
      <c r="K5032" s="22" t="s">
        <v>26</v>
      </c>
      <c r="L5032">
        <v>3</v>
      </c>
      <c r="M5032">
        <v>2</v>
      </c>
      <c r="O5032" s="31"/>
    </row>
    <row r="5033" spans="10:15" x14ac:dyDescent="0.25">
      <c r="J5033" t="s">
        <v>155</v>
      </c>
      <c r="K5033" s="22" t="s">
        <v>20</v>
      </c>
      <c r="L5033">
        <v>3</v>
      </c>
      <c r="M5033">
        <v>2</v>
      </c>
      <c r="O5033" s="30"/>
    </row>
    <row r="5034" spans="10:15" x14ac:dyDescent="0.25">
      <c r="J5034" t="s">
        <v>155</v>
      </c>
      <c r="K5034" s="22" t="s">
        <v>35</v>
      </c>
      <c r="L5034">
        <v>3</v>
      </c>
      <c r="M5034">
        <v>3</v>
      </c>
      <c r="O5034" s="31"/>
    </row>
    <row r="5035" spans="10:15" x14ac:dyDescent="0.25">
      <c r="J5035" t="s">
        <v>155</v>
      </c>
      <c r="K5035" s="22" t="s">
        <v>31</v>
      </c>
      <c r="L5035">
        <v>3</v>
      </c>
      <c r="M5035">
        <v>2</v>
      </c>
    </row>
    <row r="5036" spans="10:15" x14ac:dyDescent="0.25">
      <c r="J5036" t="s">
        <v>2432</v>
      </c>
      <c r="K5036" s="22" t="s">
        <v>35</v>
      </c>
      <c r="L5036">
        <v>1</v>
      </c>
      <c r="M5036">
        <v>1</v>
      </c>
    </row>
    <row r="5037" spans="10:15" x14ac:dyDescent="0.25">
      <c r="J5037" t="s">
        <v>144</v>
      </c>
      <c r="K5037" s="22" t="s">
        <v>28</v>
      </c>
      <c r="L5037">
        <v>3</v>
      </c>
      <c r="M5037">
        <v>3</v>
      </c>
      <c r="O5037" s="31"/>
    </row>
    <row r="5038" spans="10:15" x14ac:dyDescent="0.25">
      <c r="J5038" t="s">
        <v>2553</v>
      </c>
      <c r="K5038" s="22" t="s">
        <v>26</v>
      </c>
      <c r="L5038">
        <v>5</v>
      </c>
      <c r="M5038">
        <v>5</v>
      </c>
      <c r="O5038" s="31"/>
    </row>
    <row r="5039" spans="10:15" x14ac:dyDescent="0.25">
      <c r="J5039" t="s">
        <v>1900</v>
      </c>
      <c r="K5039" s="22" t="s">
        <v>28</v>
      </c>
      <c r="L5039">
        <v>1</v>
      </c>
      <c r="M5039">
        <v>1</v>
      </c>
    </row>
    <row r="5040" spans="10:15" x14ac:dyDescent="0.25">
      <c r="J5040" t="s">
        <v>3101</v>
      </c>
      <c r="K5040" s="22" t="s">
        <v>20</v>
      </c>
      <c r="L5040">
        <v>1</v>
      </c>
      <c r="M5040">
        <v>1</v>
      </c>
      <c r="O5040" s="31"/>
    </row>
    <row r="5041" spans="10:15" x14ac:dyDescent="0.25">
      <c r="J5041" t="s">
        <v>2274</v>
      </c>
      <c r="K5041" s="22" t="s">
        <v>28</v>
      </c>
      <c r="L5041">
        <v>2</v>
      </c>
      <c r="M5041">
        <v>2</v>
      </c>
      <c r="O5041" s="31"/>
    </row>
    <row r="5042" spans="10:15" x14ac:dyDescent="0.25">
      <c r="J5042" t="s">
        <v>2186</v>
      </c>
      <c r="K5042" s="22" t="s">
        <v>26</v>
      </c>
      <c r="L5042">
        <v>1</v>
      </c>
      <c r="M5042">
        <v>1</v>
      </c>
    </row>
    <row r="5043" spans="10:15" x14ac:dyDescent="0.25">
      <c r="J5043" t="s">
        <v>1304</v>
      </c>
      <c r="K5043" s="22" t="s">
        <v>26</v>
      </c>
      <c r="L5043">
        <v>3</v>
      </c>
      <c r="M5043">
        <v>2</v>
      </c>
      <c r="O5043" s="31"/>
    </row>
    <row r="5044" spans="10:15" x14ac:dyDescent="0.25">
      <c r="J5044" t="s">
        <v>1304</v>
      </c>
      <c r="K5044" s="22" t="s">
        <v>20</v>
      </c>
      <c r="L5044">
        <v>8</v>
      </c>
      <c r="M5044">
        <v>8</v>
      </c>
      <c r="O5044" s="31"/>
    </row>
    <row r="5045" spans="10:15" x14ac:dyDescent="0.25">
      <c r="J5045" t="s">
        <v>1304</v>
      </c>
      <c r="K5045" s="22" t="s">
        <v>35</v>
      </c>
      <c r="L5045">
        <v>1</v>
      </c>
    </row>
    <row r="5046" spans="10:15" x14ac:dyDescent="0.25">
      <c r="J5046" t="s">
        <v>1304</v>
      </c>
      <c r="K5046" s="22" t="s">
        <v>22</v>
      </c>
      <c r="L5046">
        <v>1</v>
      </c>
    </row>
    <row r="5047" spans="10:15" x14ac:dyDescent="0.25">
      <c r="J5047" t="s">
        <v>232</v>
      </c>
      <c r="K5047" s="22" t="s">
        <v>20</v>
      </c>
      <c r="L5047">
        <v>1</v>
      </c>
      <c r="M5047">
        <v>1</v>
      </c>
    </row>
    <row r="5048" spans="10:15" x14ac:dyDescent="0.25">
      <c r="J5048" t="s">
        <v>1467</v>
      </c>
      <c r="K5048" s="22" t="s">
        <v>26</v>
      </c>
      <c r="L5048">
        <v>1</v>
      </c>
      <c r="M5048">
        <v>1</v>
      </c>
    </row>
    <row r="5049" spans="10:15" x14ac:dyDescent="0.25">
      <c r="J5049" t="s">
        <v>1945</v>
      </c>
      <c r="K5049" s="22" t="s">
        <v>26</v>
      </c>
      <c r="L5049">
        <v>1</v>
      </c>
    </row>
    <row r="5050" spans="10:15" x14ac:dyDescent="0.25">
      <c r="J5050" t="s">
        <v>2645</v>
      </c>
      <c r="K5050" s="22" t="s">
        <v>35</v>
      </c>
      <c r="L5050">
        <v>1</v>
      </c>
      <c r="M5050">
        <v>1</v>
      </c>
    </row>
    <row r="5051" spans="10:15" x14ac:dyDescent="0.25">
      <c r="J5051" t="s">
        <v>2030</v>
      </c>
      <c r="K5051" s="22" t="s">
        <v>26</v>
      </c>
      <c r="L5051">
        <v>2</v>
      </c>
      <c r="O5051" s="30"/>
    </row>
    <row r="5052" spans="10:15" x14ac:dyDescent="0.25">
      <c r="J5052" t="s">
        <v>2030</v>
      </c>
      <c r="K5052" s="22" t="s">
        <v>22</v>
      </c>
      <c r="L5052">
        <v>1</v>
      </c>
      <c r="M5052">
        <v>1</v>
      </c>
    </row>
    <row r="5053" spans="10:15" x14ac:dyDescent="0.25">
      <c r="J5053" t="s">
        <v>158</v>
      </c>
      <c r="K5053" s="22" t="s">
        <v>26</v>
      </c>
      <c r="L5053">
        <v>1</v>
      </c>
      <c r="M5053">
        <v>1</v>
      </c>
    </row>
    <row r="5054" spans="10:15" x14ac:dyDescent="0.25">
      <c r="J5054" t="s">
        <v>3385</v>
      </c>
      <c r="K5054" s="22" t="s">
        <v>26</v>
      </c>
      <c r="L5054">
        <v>1</v>
      </c>
      <c r="O5054" s="30"/>
    </row>
    <row r="5055" spans="10:15" x14ac:dyDescent="0.25">
      <c r="J5055" t="s">
        <v>2074</v>
      </c>
      <c r="K5055" s="22" t="s">
        <v>22</v>
      </c>
      <c r="L5055">
        <v>1</v>
      </c>
      <c r="M5055">
        <v>1</v>
      </c>
    </row>
    <row r="5056" spans="10:15" x14ac:dyDescent="0.25">
      <c r="J5056" t="s">
        <v>87</v>
      </c>
      <c r="K5056" s="22" t="s">
        <v>26</v>
      </c>
      <c r="L5056">
        <v>6</v>
      </c>
      <c r="O5056" s="30"/>
    </row>
    <row r="5057" spans="10:15" x14ac:dyDescent="0.25">
      <c r="J5057" t="s">
        <v>87</v>
      </c>
      <c r="K5057" s="22" t="s">
        <v>20</v>
      </c>
      <c r="L5057">
        <v>2</v>
      </c>
    </row>
    <row r="5058" spans="10:15" x14ac:dyDescent="0.25">
      <c r="J5058" t="s">
        <v>87</v>
      </c>
      <c r="K5058" s="22" t="s">
        <v>28</v>
      </c>
      <c r="L5058">
        <v>6</v>
      </c>
      <c r="O5058" s="30"/>
    </row>
    <row r="5059" spans="10:15" x14ac:dyDescent="0.25">
      <c r="J5059" t="s">
        <v>87</v>
      </c>
      <c r="K5059" s="22" t="s">
        <v>35</v>
      </c>
      <c r="L5059">
        <v>7</v>
      </c>
      <c r="O5059" s="30"/>
    </row>
    <row r="5060" spans="10:15" x14ac:dyDescent="0.25">
      <c r="J5060" t="s">
        <v>87</v>
      </c>
      <c r="K5060" s="22" t="s">
        <v>22</v>
      </c>
      <c r="L5060">
        <v>10</v>
      </c>
      <c r="O5060" s="30"/>
    </row>
    <row r="5061" spans="10:15" x14ac:dyDescent="0.25">
      <c r="J5061" t="s">
        <v>87</v>
      </c>
      <c r="K5061" s="22" t="s">
        <v>31</v>
      </c>
      <c r="L5061">
        <v>11</v>
      </c>
      <c r="M5061">
        <v>1</v>
      </c>
      <c r="O5061" s="30"/>
    </row>
    <row r="5062" spans="10:15" x14ac:dyDescent="0.25">
      <c r="J5062" t="s">
        <v>3424</v>
      </c>
      <c r="K5062" s="22" t="s">
        <v>20</v>
      </c>
      <c r="L5062">
        <v>1</v>
      </c>
      <c r="M5062">
        <v>1</v>
      </c>
      <c r="O5062" s="31"/>
    </row>
    <row r="5063" spans="10:15" x14ac:dyDescent="0.25">
      <c r="J5063" t="s">
        <v>3015</v>
      </c>
      <c r="K5063" s="22" t="s">
        <v>26</v>
      </c>
      <c r="L5063">
        <v>1</v>
      </c>
      <c r="M5063">
        <v>1</v>
      </c>
      <c r="O5063" s="31"/>
    </row>
    <row r="5064" spans="10:15" x14ac:dyDescent="0.25">
      <c r="J5064" t="s">
        <v>3015</v>
      </c>
      <c r="K5064" s="22" t="s">
        <v>31</v>
      </c>
      <c r="L5064">
        <v>2</v>
      </c>
      <c r="M5064">
        <v>1</v>
      </c>
      <c r="O5064" s="30"/>
    </row>
    <row r="5065" spans="10:15" x14ac:dyDescent="0.25">
      <c r="J5065" t="s">
        <v>1719</v>
      </c>
      <c r="K5065" s="22" t="s">
        <v>26</v>
      </c>
      <c r="L5065">
        <v>1</v>
      </c>
      <c r="O5065" s="30"/>
    </row>
    <row r="5066" spans="10:15" x14ac:dyDescent="0.25">
      <c r="J5066" t="s">
        <v>1719</v>
      </c>
      <c r="K5066" s="22" t="s">
        <v>28</v>
      </c>
      <c r="L5066">
        <v>1</v>
      </c>
    </row>
    <row r="5067" spans="10:15" x14ac:dyDescent="0.25">
      <c r="J5067" t="s">
        <v>1417</v>
      </c>
      <c r="K5067" s="22" t="s">
        <v>26</v>
      </c>
      <c r="L5067">
        <v>3</v>
      </c>
      <c r="M5067">
        <v>1</v>
      </c>
      <c r="O5067" s="30"/>
    </row>
    <row r="5068" spans="10:15" x14ac:dyDescent="0.25">
      <c r="J5068" t="s">
        <v>1417</v>
      </c>
      <c r="K5068" s="22" t="s">
        <v>20</v>
      </c>
      <c r="L5068">
        <v>3</v>
      </c>
      <c r="M5068">
        <v>1</v>
      </c>
      <c r="O5068" s="30"/>
    </row>
    <row r="5069" spans="10:15" x14ac:dyDescent="0.25">
      <c r="J5069" t="s">
        <v>1417</v>
      </c>
      <c r="K5069" s="22" t="s">
        <v>28</v>
      </c>
      <c r="L5069">
        <v>1</v>
      </c>
    </row>
    <row r="5070" spans="10:15" x14ac:dyDescent="0.25">
      <c r="J5070" t="s">
        <v>1417</v>
      </c>
      <c r="K5070" s="22" t="s">
        <v>22</v>
      </c>
      <c r="L5070">
        <v>3</v>
      </c>
      <c r="O5070" s="30"/>
    </row>
    <row r="5071" spans="10:15" x14ac:dyDescent="0.25">
      <c r="J5071" t="s">
        <v>1417</v>
      </c>
      <c r="K5071" s="22" t="s">
        <v>31</v>
      </c>
      <c r="L5071">
        <v>1</v>
      </c>
    </row>
    <row r="5072" spans="10:15" x14ac:dyDescent="0.25">
      <c r="J5072" t="s">
        <v>749</v>
      </c>
      <c r="K5072" s="22" t="s">
        <v>26</v>
      </c>
      <c r="L5072">
        <v>2</v>
      </c>
      <c r="O5072" s="30"/>
    </row>
    <row r="5073" spans="10:15" x14ac:dyDescent="0.25">
      <c r="J5073" t="s">
        <v>749</v>
      </c>
      <c r="K5073" s="22" t="s">
        <v>20</v>
      </c>
      <c r="L5073">
        <v>1</v>
      </c>
    </row>
    <row r="5074" spans="10:15" x14ac:dyDescent="0.25">
      <c r="J5074" t="s">
        <v>749</v>
      </c>
      <c r="K5074" s="22" t="s">
        <v>28</v>
      </c>
      <c r="L5074">
        <v>1</v>
      </c>
    </row>
    <row r="5075" spans="10:15" x14ac:dyDescent="0.25">
      <c r="J5075" t="s">
        <v>749</v>
      </c>
      <c r="K5075" s="22" t="s">
        <v>31</v>
      </c>
      <c r="L5075">
        <v>1</v>
      </c>
    </row>
    <row r="5076" spans="10:15" x14ac:dyDescent="0.25">
      <c r="J5076" t="s">
        <v>2770</v>
      </c>
      <c r="K5076" s="22" t="s">
        <v>20</v>
      </c>
      <c r="L5076">
        <v>1</v>
      </c>
    </row>
    <row r="5077" spans="10:15" x14ac:dyDescent="0.25">
      <c r="J5077" t="s">
        <v>475</v>
      </c>
      <c r="K5077" s="22" t="s">
        <v>20</v>
      </c>
      <c r="L5077">
        <v>2</v>
      </c>
      <c r="M5077">
        <v>2</v>
      </c>
      <c r="O5077" s="31"/>
    </row>
    <row r="5078" spans="10:15" x14ac:dyDescent="0.25">
      <c r="J5078" t="s">
        <v>669</v>
      </c>
      <c r="K5078" s="22" t="s">
        <v>26</v>
      </c>
      <c r="L5078">
        <v>1</v>
      </c>
    </row>
    <row r="5079" spans="10:15" x14ac:dyDescent="0.25">
      <c r="J5079" t="s">
        <v>669</v>
      </c>
      <c r="K5079" s="22" t="s">
        <v>20</v>
      </c>
      <c r="L5079">
        <v>2</v>
      </c>
      <c r="M5079">
        <v>1</v>
      </c>
    </row>
    <row r="5080" spans="10:15" x14ac:dyDescent="0.25">
      <c r="J5080" t="s">
        <v>669</v>
      </c>
      <c r="K5080" s="22" t="s">
        <v>35</v>
      </c>
      <c r="L5080">
        <v>4</v>
      </c>
      <c r="O5080" s="30"/>
    </row>
    <row r="5081" spans="10:15" x14ac:dyDescent="0.25">
      <c r="J5081" t="s">
        <v>669</v>
      </c>
      <c r="K5081" s="22" t="s">
        <v>22</v>
      </c>
      <c r="L5081">
        <v>1</v>
      </c>
    </row>
    <row r="5082" spans="10:15" x14ac:dyDescent="0.25">
      <c r="J5082" t="s">
        <v>669</v>
      </c>
      <c r="K5082" s="22" t="s">
        <v>31</v>
      </c>
      <c r="L5082">
        <v>2</v>
      </c>
      <c r="M5082">
        <v>1</v>
      </c>
    </row>
    <row r="5083" spans="10:15" x14ac:dyDescent="0.25">
      <c r="J5083" t="s">
        <v>2393</v>
      </c>
      <c r="K5083" s="22" t="s">
        <v>26</v>
      </c>
      <c r="L5083">
        <v>2</v>
      </c>
      <c r="O5083" s="30"/>
    </row>
    <row r="5084" spans="10:15" x14ac:dyDescent="0.25">
      <c r="J5084" t="s">
        <v>2393</v>
      </c>
      <c r="K5084" s="22" t="s">
        <v>20</v>
      </c>
      <c r="L5084">
        <v>1</v>
      </c>
      <c r="O5084" s="30"/>
    </row>
    <row r="5085" spans="10:15" x14ac:dyDescent="0.25">
      <c r="J5085" t="s">
        <v>2393</v>
      </c>
      <c r="K5085" s="22" t="s">
        <v>35</v>
      </c>
      <c r="L5085">
        <v>3</v>
      </c>
      <c r="O5085" s="30"/>
    </row>
    <row r="5086" spans="10:15" x14ac:dyDescent="0.25">
      <c r="J5086" t="s">
        <v>2393</v>
      </c>
      <c r="K5086" s="22" t="s">
        <v>31</v>
      </c>
      <c r="L5086">
        <v>3</v>
      </c>
      <c r="O5086" s="30"/>
    </row>
    <row r="5087" spans="10:15" x14ac:dyDescent="0.25">
      <c r="J5087" t="s">
        <v>3047</v>
      </c>
      <c r="K5087" s="22" t="s">
        <v>20</v>
      </c>
      <c r="L5087">
        <v>1</v>
      </c>
    </row>
    <row r="5088" spans="10:15" x14ac:dyDescent="0.25">
      <c r="J5088" t="s">
        <v>2702</v>
      </c>
      <c r="K5088" s="22" t="s">
        <v>26</v>
      </c>
      <c r="L5088">
        <v>1</v>
      </c>
      <c r="O5088" s="30"/>
    </row>
    <row r="5089" spans="10:15" x14ac:dyDescent="0.25">
      <c r="J5089" t="s">
        <v>2702</v>
      </c>
      <c r="K5089" s="22" t="s">
        <v>20</v>
      </c>
      <c r="L5089">
        <v>1</v>
      </c>
    </row>
    <row r="5090" spans="10:15" x14ac:dyDescent="0.25">
      <c r="J5090" t="s">
        <v>2702</v>
      </c>
      <c r="K5090" s="22" t="s">
        <v>31</v>
      </c>
      <c r="L5090">
        <v>1</v>
      </c>
      <c r="O5090" s="30"/>
    </row>
    <row r="5091" spans="10:15" x14ac:dyDescent="0.25">
      <c r="J5091" t="s">
        <v>671</v>
      </c>
      <c r="K5091" s="22" t="s">
        <v>20</v>
      </c>
      <c r="L5091">
        <v>1</v>
      </c>
      <c r="M5091">
        <v>1</v>
      </c>
    </row>
    <row r="5092" spans="10:15" x14ac:dyDescent="0.25">
      <c r="J5092" t="s">
        <v>1193</v>
      </c>
      <c r="K5092" s="22" t="s">
        <v>26</v>
      </c>
      <c r="L5092">
        <v>1</v>
      </c>
    </row>
    <row r="5093" spans="10:15" x14ac:dyDescent="0.25">
      <c r="J5093" t="s">
        <v>1193</v>
      </c>
      <c r="K5093" s="22" t="s">
        <v>20</v>
      </c>
      <c r="L5093">
        <v>1</v>
      </c>
    </row>
    <row r="5094" spans="10:15" x14ac:dyDescent="0.25">
      <c r="J5094" t="s">
        <v>2157</v>
      </c>
      <c r="K5094" s="22" t="s">
        <v>26</v>
      </c>
      <c r="L5094">
        <v>1</v>
      </c>
    </row>
    <row r="5095" spans="10:15" x14ac:dyDescent="0.25">
      <c r="J5095" t="s">
        <v>2103</v>
      </c>
      <c r="K5095" s="22" t="s">
        <v>20</v>
      </c>
      <c r="L5095">
        <v>1</v>
      </c>
    </row>
    <row r="5096" spans="10:15" x14ac:dyDescent="0.25">
      <c r="J5096" t="s">
        <v>2103</v>
      </c>
      <c r="K5096" s="22" t="s">
        <v>35</v>
      </c>
      <c r="L5096">
        <v>2</v>
      </c>
      <c r="M5096">
        <v>2</v>
      </c>
      <c r="O5096" s="31"/>
    </row>
    <row r="5097" spans="10:15" x14ac:dyDescent="0.25">
      <c r="J5097" t="s">
        <v>3017</v>
      </c>
      <c r="K5097" s="22" t="s">
        <v>26</v>
      </c>
      <c r="L5097">
        <v>1</v>
      </c>
      <c r="M5097">
        <v>1</v>
      </c>
    </row>
    <row r="5098" spans="10:15" x14ac:dyDescent="0.25">
      <c r="J5098" t="s">
        <v>3214</v>
      </c>
      <c r="K5098" s="22" t="s">
        <v>22</v>
      </c>
      <c r="L5098">
        <v>1</v>
      </c>
      <c r="M5098">
        <v>1</v>
      </c>
      <c r="O5098" s="31"/>
    </row>
    <row r="5099" spans="10:15" x14ac:dyDescent="0.25">
      <c r="J5099" t="s">
        <v>1011</v>
      </c>
      <c r="K5099" s="22" t="s">
        <v>20</v>
      </c>
      <c r="L5099">
        <v>1</v>
      </c>
    </row>
    <row r="5100" spans="10:15" x14ac:dyDescent="0.25">
      <c r="J5100" t="s">
        <v>193</v>
      </c>
      <c r="K5100" s="22" t="s">
        <v>26</v>
      </c>
      <c r="L5100">
        <v>2</v>
      </c>
      <c r="O5100" s="30"/>
    </row>
    <row r="5101" spans="10:15" x14ac:dyDescent="0.25">
      <c r="J5101" t="s">
        <v>193</v>
      </c>
      <c r="K5101" s="22" t="s">
        <v>20</v>
      </c>
      <c r="L5101">
        <v>2</v>
      </c>
    </row>
    <row r="5102" spans="10:15" x14ac:dyDescent="0.25">
      <c r="J5102" t="s">
        <v>193</v>
      </c>
      <c r="K5102" s="22" t="s">
        <v>29</v>
      </c>
      <c r="L5102">
        <v>5</v>
      </c>
      <c r="M5102">
        <v>2</v>
      </c>
      <c r="O5102" s="30"/>
    </row>
    <row r="5103" spans="10:15" x14ac:dyDescent="0.25">
      <c r="J5103" t="s">
        <v>193</v>
      </c>
      <c r="K5103" s="22" t="s">
        <v>28</v>
      </c>
      <c r="L5103">
        <v>5</v>
      </c>
      <c r="O5103" s="30"/>
    </row>
    <row r="5104" spans="10:15" x14ac:dyDescent="0.25">
      <c r="J5104" t="s">
        <v>193</v>
      </c>
      <c r="K5104" s="22" t="s">
        <v>35</v>
      </c>
      <c r="L5104">
        <v>8</v>
      </c>
      <c r="M5104">
        <v>5</v>
      </c>
      <c r="O5104" s="31"/>
    </row>
    <row r="5105" spans="10:15" x14ac:dyDescent="0.25">
      <c r="J5105" t="s">
        <v>193</v>
      </c>
      <c r="K5105" s="22" t="s">
        <v>22</v>
      </c>
      <c r="L5105">
        <v>1</v>
      </c>
    </row>
    <row r="5106" spans="10:15" x14ac:dyDescent="0.25">
      <c r="J5106" t="s">
        <v>1799</v>
      </c>
      <c r="K5106" s="22" t="s">
        <v>28</v>
      </c>
      <c r="L5106">
        <v>3</v>
      </c>
      <c r="M5106">
        <v>1</v>
      </c>
      <c r="O5106" s="30"/>
    </row>
    <row r="5107" spans="10:15" x14ac:dyDescent="0.25">
      <c r="J5107" t="s">
        <v>1799</v>
      </c>
      <c r="K5107" s="22" t="s">
        <v>35</v>
      </c>
      <c r="L5107">
        <v>4</v>
      </c>
      <c r="M5107">
        <v>4</v>
      </c>
      <c r="O5107" s="31"/>
    </row>
    <row r="5108" spans="10:15" x14ac:dyDescent="0.25">
      <c r="J5108" t="s">
        <v>1799</v>
      </c>
      <c r="K5108" s="22" t="s">
        <v>31</v>
      </c>
      <c r="L5108">
        <v>5</v>
      </c>
      <c r="M5108">
        <v>3</v>
      </c>
      <c r="O5108" s="30"/>
    </row>
    <row r="5109" spans="10:15" x14ac:dyDescent="0.25">
      <c r="J5109" t="s">
        <v>362</v>
      </c>
      <c r="K5109" s="22" t="s">
        <v>35</v>
      </c>
      <c r="L5109">
        <v>12</v>
      </c>
      <c r="M5109">
        <v>12</v>
      </c>
      <c r="O5109" s="31"/>
    </row>
    <row r="5110" spans="10:15" x14ac:dyDescent="0.25">
      <c r="J5110" t="s">
        <v>584</v>
      </c>
      <c r="K5110" s="22" t="s">
        <v>29</v>
      </c>
      <c r="L5110">
        <v>10</v>
      </c>
      <c r="M5110">
        <v>9</v>
      </c>
      <c r="O5110" s="31"/>
    </row>
    <row r="5111" spans="10:15" x14ac:dyDescent="0.25">
      <c r="J5111" t="s">
        <v>584</v>
      </c>
      <c r="K5111" s="22" t="s">
        <v>28</v>
      </c>
      <c r="L5111">
        <v>1</v>
      </c>
      <c r="M5111">
        <v>1</v>
      </c>
    </row>
    <row r="5112" spans="10:15" x14ac:dyDescent="0.25">
      <c r="J5112" t="s">
        <v>584</v>
      </c>
      <c r="K5112" s="22" t="s">
        <v>22</v>
      </c>
      <c r="L5112">
        <v>6</v>
      </c>
      <c r="M5112">
        <v>3</v>
      </c>
      <c r="O5112" s="30"/>
    </row>
    <row r="5113" spans="10:15" x14ac:dyDescent="0.25">
      <c r="J5113" t="s">
        <v>2866</v>
      </c>
      <c r="K5113" s="22" t="s">
        <v>20</v>
      </c>
      <c r="L5113">
        <v>3</v>
      </c>
      <c r="M5113">
        <v>3</v>
      </c>
      <c r="O5113" s="31"/>
    </row>
    <row r="5114" spans="10:15" x14ac:dyDescent="0.25">
      <c r="J5114" t="s">
        <v>605</v>
      </c>
      <c r="K5114" s="22" t="s">
        <v>31</v>
      </c>
      <c r="L5114">
        <v>5</v>
      </c>
      <c r="M5114">
        <v>5</v>
      </c>
    </row>
    <row r="5115" spans="10:15" x14ac:dyDescent="0.25">
      <c r="J5115" t="s">
        <v>3325</v>
      </c>
      <c r="K5115" s="22" t="s">
        <v>29</v>
      </c>
      <c r="L5115">
        <v>1</v>
      </c>
      <c r="M5115">
        <v>1</v>
      </c>
      <c r="O5115" s="31"/>
    </row>
    <row r="5116" spans="10:15" x14ac:dyDescent="0.25">
      <c r="J5116" t="s">
        <v>3358</v>
      </c>
      <c r="K5116" s="22" t="s">
        <v>28</v>
      </c>
      <c r="L5116">
        <v>2</v>
      </c>
      <c r="M5116">
        <v>1</v>
      </c>
      <c r="O5116" s="30"/>
    </row>
    <row r="5117" spans="10:15" x14ac:dyDescent="0.25">
      <c r="J5117" t="s">
        <v>56</v>
      </c>
      <c r="K5117" s="22" t="s">
        <v>26</v>
      </c>
      <c r="L5117">
        <v>5</v>
      </c>
      <c r="M5117">
        <v>1</v>
      </c>
    </row>
    <row r="5118" spans="10:15" x14ac:dyDescent="0.25">
      <c r="J5118" t="s">
        <v>56</v>
      </c>
      <c r="K5118" s="22" t="s">
        <v>20</v>
      </c>
      <c r="L5118">
        <v>2</v>
      </c>
    </row>
    <row r="5119" spans="10:15" x14ac:dyDescent="0.25">
      <c r="J5119" t="s">
        <v>56</v>
      </c>
      <c r="K5119" s="22" t="s">
        <v>29</v>
      </c>
      <c r="L5119">
        <v>4</v>
      </c>
      <c r="M5119">
        <v>1</v>
      </c>
      <c r="O5119" s="30"/>
    </row>
    <row r="5120" spans="10:15" x14ac:dyDescent="0.25">
      <c r="J5120" t="s">
        <v>56</v>
      </c>
      <c r="K5120" s="22" t="s">
        <v>35</v>
      </c>
      <c r="L5120">
        <v>5</v>
      </c>
      <c r="M5120">
        <v>2</v>
      </c>
      <c r="O5120" s="30"/>
    </row>
    <row r="5121" spans="10:15" x14ac:dyDescent="0.25">
      <c r="J5121" t="s">
        <v>56</v>
      </c>
      <c r="K5121" s="22" t="s">
        <v>22</v>
      </c>
      <c r="L5121">
        <v>5</v>
      </c>
      <c r="M5121">
        <v>1</v>
      </c>
      <c r="O5121" s="30"/>
    </row>
    <row r="5122" spans="10:15" x14ac:dyDescent="0.25">
      <c r="J5122" t="s">
        <v>56</v>
      </c>
      <c r="K5122" s="22" t="s">
        <v>31</v>
      </c>
      <c r="L5122">
        <v>3</v>
      </c>
      <c r="O5122" s="30"/>
    </row>
    <row r="5123" spans="10:15" x14ac:dyDescent="0.25">
      <c r="J5123" t="s">
        <v>1541</v>
      </c>
      <c r="K5123" s="22" t="s">
        <v>35</v>
      </c>
      <c r="L5123">
        <v>2</v>
      </c>
      <c r="M5123">
        <v>2</v>
      </c>
      <c r="O5123" s="31"/>
    </row>
    <row r="5124" spans="10:15" x14ac:dyDescent="0.25">
      <c r="J5124" t="s">
        <v>1236</v>
      </c>
      <c r="K5124" s="22" t="s">
        <v>22</v>
      </c>
      <c r="L5124">
        <v>8</v>
      </c>
      <c r="M5124">
        <v>8</v>
      </c>
      <c r="O5124" s="31"/>
    </row>
    <row r="5125" spans="10:15" x14ac:dyDescent="0.25">
      <c r="J5125" t="s">
        <v>3300</v>
      </c>
      <c r="K5125" s="22" t="s">
        <v>20</v>
      </c>
      <c r="L5125">
        <v>1</v>
      </c>
      <c r="O5125" s="30"/>
    </row>
    <row r="5126" spans="10:15" x14ac:dyDescent="0.25">
      <c r="J5126" t="s">
        <v>831</v>
      </c>
      <c r="K5126" s="22" t="s">
        <v>26</v>
      </c>
      <c r="L5126">
        <v>2</v>
      </c>
      <c r="O5126" s="30"/>
    </row>
    <row r="5127" spans="10:15" x14ac:dyDescent="0.25">
      <c r="J5127" t="s">
        <v>831</v>
      </c>
      <c r="K5127" s="22" t="s">
        <v>29</v>
      </c>
      <c r="L5127">
        <v>3</v>
      </c>
      <c r="M5127">
        <v>3</v>
      </c>
      <c r="O5127" s="31"/>
    </row>
    <row r="5128" spans="10:15" x14ac:dyDescent="0.25">
      <c r="J5128" t="s">
        <v>819</v>
      </c>
      <c r="K5128" s="22" t="s">
        <v>20</v>
      </c>
      <c r="L5128">
        <v>3</v>
      </c>
      <c r="M5128">
        <v>3</v>
      </c>
      <c r="O5128" s="31"/>
    </row>
    <row r="5129" spans="10:15" x14ac:dyDescent="0.25">
      <c r="J5129" t="s">
        <v>765</v>
      </c>
      <c r="K5129" s="22" t="s">
        <v>26</v>
      </c>
      <c r="L5129">
        <v>5</v>
      </c>
      <c r="O5129" s="30"/>
    </row>
    <row r="5130" spans="10:15" x14ac:dyDescent="0.25">
      <c r="J5130" t="s">
        <v>765</v>
      </c>
      <c r="K5130" s="22" t="s">
        <v>20</v>
      </c>
      <c r="L5130">
        <v>2</v>
      </c>
      <c r="M5130">
        <v>1</v>
      </c>
      <c r="O5130" s="30"/>
    </row>
    <row r="5131" spans="10:15" x14ac:dyDescent="0.25">
      <c r="J5131" t="s">
        <v>765</v>
      </c>
      <c r="K5131" s="22" t="s">
        <v>29</v>
      </c>
      <c r="L5131">
        <v>2</v>
      </c>
      <c r="M5131">
        <v>1</v>
      </c>
      <c r="O5131" s="31"/>
    </row>
    <row r="5132" spans="10:15" x14ac:dyDescent="0.25">
      <c r="J5132" t="s">
        <v>765</v>
      </c>
      <c r="K5132" s="22" t="s">
        <v>35</v>
      </c>
      <c r="L5132">
        <v>1</v>
      </c>
      <c r="M5132">
        <v>1</v>
      </c>
      <c r="O5132" s="31"/>
    </row>
    <row r="5133" spans="10:15" x14ac:dyDescent="0.25">
      <c r="J5133" t="s">
        <v>1972</v>
      </c>
      <c r="K5133" s="22" t="s">
        <v>20</v>
      </c>
      <c r="L5133">
        <v>2</v>
      </c>
      <c r="O5133" s="30"/>
    </row>
    <row r="5134" spans="10:15" x14ac:dyDescent="0.25">
      <c r="J5134" t="s">
        <v>1972</v>
      </c>
      <c r="K5134" s="22" t="s">
        <v>22</v>
      </c>
      <c r="L5134">
        <v>2</v>
      </c>
      <c r="M5134">
        <v>2</v>
      </c>
      <c r="O5134" s="31"/>
    </row>
    <row r="5135" spans="10:15" x14ac:dyDescent="0.25">
      <c r="J5135" t="s">
        <v>3349</v>
      </c>
      <c r="K5135" s="22" t="s">
        <v>26</v>
      </c>
      <c r="L5135">
        <v>1</v>
      </c>
      <c r="O5135" s="30"/>
    </row>
    <row r="5136" spans="10:15" x14ac:dyDescent="0.25">
      <c r="J5136" t="s">
        <v>3349</v>
      </c>
      <c r="K5136" s="22" t="s">
        <v>31</v>
      </c>
      <c r="L5136">
        <v>1</v>
      </c>
      <c r="M5136">
        <v>1</v>
      </c>
      <c r="O5136" s="31"/>
    </row>
    <row r="5137" spans="10:15" x14ac:dyDescent="0.25">
      <c r="J5137" t="s">
        <v>126</v>
      </c>
      <c r="K5137" s="22" t="s">
        <v>26</v>
      </c>
      <c r="L5137">
        <v>6</v>
      </c>
      <c r="M5137">
        <v>4</v>
      </c>
      <c r="O5137" s="30"/>
    </row>
    <row r="5138" spans="10:15" x14ac:dyDescent="0.25">
      <c r="J5138" t="s">
        <v>126</v>
      </c>
      <c r="K5138" s="22" t="s">
        <v>20</v>
      </c>
      <c r="L5138">
        <v>2</v>
      </c>
    </row>
    <row r="5139" spans="10:15" x14ac:dyDescent="0.25">
      <c r="J5139" t="s">
        <v>126</v>
      </c>
      <c r="K5139" s="22" t="s">
        <v>35</v>
      </c>
      <c r="L5139">
        <v>10</v>
      </c>
      <c r="M5139">
        <v>10</v>
      </c>
      <c r="O5139" s="31"/>
    </row>
    <row r="5140" spans="10:15" x14ac:dyDescent="0.25">
      <c r="J5140" t="s">
        <v>126</v>
      </c>
      <c r="K5140" s="22" t="s">
        <v>22</v>
      </c>
      <c r="L5140">
        <v>5</v>
      </c>
      <c r="O5140" s="30"/>
    </row>
    <row r="5141" spans="10:15" x14ac:dyDescent="0.25">
      <c r="J5141" t="s">
        <v>292</v>
      </c>
      <c r="K5141" s="22" t="s">
        <v>26</v>
      </c>
      <c r="L5141">
        <v>2</v>
      </c>
      <c r="M5141">
        <v>1</v>
      </c>
      <c r="O5141" s="30"/>
    </row>
    <row r="5142" spans="10:15" x14ac:dyDescent="0.25">
      <c r="J5142" t="s">
        <v>292</v>
      </c>
      <c r="K5142" s="22" t="s">
        <v>20</v>
      </c>
      <c r="L5142">
        <v>2</v>
      </c>
      <c r="M5142">
        <v>1</v>
      </c>
    </row>
    <row r="5143" spans="10:15" x14ac:dyDescent="0.25">
      <c r="J5143" t="s">
        <v>292</v>
      </c>
      <c r="K5143" s="22" t="s">
        <v>28</v>
      </c>
      <c r="L5143">
        <v>4</v>
      </c>
      <c r="O5143" s="30"/>
    </row>
    <row r="5144" spans="10:15" x14ac:dyDescent="0.25">
      <c r="J5144" t="s">
        <v>292</v>
      </c>
      <c r="K5144" s="22" t="s">
        <v>35</v>
      </c>
      <c r="L5144">
        <v>5</v>
      </c>
      <c r="M5144">
        <v>4</v>
      </c>
      <c r="O5144" s="31"/>
    </row>
    <row r="5145" spans="10:15" x14ac:dyDescent="0.25">
      <c r="J5145" t="s">
        <v>292</v>
      </c>
      <c r="K5145" s="22" t="s">
        <v>22</v>
      </c>
      <c r="L5145">
        <v>1</v>
      </c>
    </row>
    <row r="5146" spans="10:15" x14ac:dyDescent="0.25">
      <c r="J5146" t="s">
        <v>1316</v>
      </c>
      <c r="K5146" s="22" t="s">
        <v>26</v>
      </c>
      <c r="L5146">
        <v>1</v>
      </c>
      <c r="M5146">
        <v>1</v>
      </c>
    </row>
    <row r="5147" spans="10:15" x14ac:dyDescent="0.25">
      <c r="J5147" t="s">
        <v>1316</v>
      </c>
      <c r="K5147" s="22" t="s">
        <v>20</v>
      </c>
      <c r="L5147">
        <v>3</v>
      </c>
      <c r="O5147" s="30"/>
    </row>
    <row r="5148" spans="10:15" x14ac:dyDescent="0.25">
      <c r="J5148" t="s">
        <v>1316</v>
      </c>
      <c r="K5148" s="22" t="s">
        <v>28</v>
      </c>
      <c r="L5148">
        <v>2</v>
      </c>
      <c r="O5148" s="30"/>
    </row>
    <row r="5149" spans="10:15" x14ac:dyDescent="0.25">
      <c r="J5149" t="s">
        <v>1316</v>
      </c>
      <c r="K5149" s="22" t="s">
        <v>31</v>
      </c>
      <c r="L5149">
        <v>3</v>
      </c>
      <c r="M5149">
        <v>2</v>
      </c>
    </row>
    <row r="5150" spans="10:15" x14ac:dyDescent="0.25">
      <c r="J5150" t="s">
        <v>2387</v>
      </c>
      <c r="K5150" s="22" t="s">
        <v>20</v>
      </c>
      <c r="L5150">
        <v>1</v>
      </c>
      <c r="M5150">
        <v>1</v>
      </c>
    </row>
    <row r="5151" spans="10:15" x14ac:dyDescent="0.25">
      <c r="J5151" t="s">
        <v>1360</v>
      </c>
      <c r="K5151" s="22" t="s">
        <v>20</v>
      </c>
      <c r="L5151">
        <v>8</v>
      </c>
      <c r="M5151">
        <v>8</v>
      </c>
      <c r="O5151" s="31"/>
    </row>
    <row r="5152" spans="10:15" x14ac:dyDescent="0.25">
      <c r="J5152" t="s">
        <v>211</v>
      </c>
      <c r="K5152" s="22" t="s">
        <v>20</v>
      </c>
      <c r="L5152">
        <v>2</v>
      </c>
      <c r="M5152">
        <v>2</v>
      </c>
      <c r="O5152" s="31"/>
    </row>
    <row r="5153" spans="10:15" x14ac:dyDescent="0.25">
      <c r="J5153" t="s">
        <v>1781</v>
      </c>
      <c r="K5153" s="22" t="s">
        <v>28</v>
      </c>
      <c r="L5153">
        <v>3</v>
      </c>
      <c r="M5153">
        <v>3</v>
      </c>
      <c r="O5153" s="31"/>
    </row>
    <row r="5154" spans="10:15" x14ac:dyDescent="0.25">
      <c r="J5154" t="s">
        <v>192</v>
      </c>
      <c r="K5154" s="22" t="s">
        <v>20</v>
      </c>
      <c r="L5154">
        <v>5</v>
      </c>
      <c r="M5154">
        <v>5</v>
      </c>
      <c r="O5154" s="31"/>
    </row>
    <row r="5155" spans="10:15" x14ac:dyDescent="0.25">
      <c r="J5155" t="s">
        <v>225</v>
      </c>
      <c r="K5155" s="22" t="s">
        <v>26</v>
      </c>
      <c r="L5155">
        <v>2</v>
      </c>
      <c r="O5155" s="30"/>
    </row>
    <row r="5156" spans="10:15" x14ac:dyDescent="0.25">
      <c r="J5156" t="s">
        <v>225</v>
      </c>
      <c r="K5156" s="22" t="s">
        <v>20</v>
      </c>
      <c r="L5156">
        <v>3</v>
      </c>
      <c r="M5156">
        <v>1</v>
      </c>
      <c r="O5156" s="30"/>
    </row>
    <row r="5157" spans="10:15" x14ac:dyDescent="0.25">
      <c r="J5157" t="s">
        <v>225</v>
      </c>
      <c r="K5157" s="22" t="s">
        <v>22</v>
      </c>
      <c r="L5157">
        <v>3</v>
      </c>
      <c r="M5157">
        <v>1</v>
      </c>
      <c r="O5157" s="30"/>
    </row>
    <row r="5158" spans="10:15" x14ac:dyDescent="0.25">
      <c r="J5158" t="s">
        <v>225</v>
      </c>
      <c r="K5158" s="22" t="s">
        <v>31</v>
      </c>
      <c r="L5158">
        <v>2</v>
      </c>
      <c r="O5158" s="30"/>
    </row>
    <row r="5159" spans="10:15" x14ac:dyDescent="0.25">
      <c r="J5159" t="s">
        <v>1597</v>
      </c>
      <c r="K5159" s="22" t="s">
        <v>26</v>
      </c>
      <c r="L5159">
        <v>2</v>
      </c>
      <c r="O5159" s="30"/>
    </row>
    <row r="5160" spans="10:15" x14ac:dyDescent="0.25">
      <c r="J5160" t="s">
        <v>1597</v>
      </c>
      <c r="K5160" s="22" t="s">
        <v>35</v>
      </c>
      <c r="L5160">
        <v>3</v>
      </c>
      <c r="M5160">
        <v>3</v>
      </c>
      <c r="O5160" s="31"/>
    </row>
    <row r="5161" spans="10:15" x14ac:dyDescent="0.25">
      <c r="J5161" t="s">
        <v>1597</v>
      </c>
      <c r="K5161" s="22" t="s">
        <v>22</v>
      </c>
      <c r="L5161">
        <v>1</v>
      </c>
    </row>
    <row r="5162" spans="10:15" x14ac:dyDescent="0.25">
      <c r="J5162" t="s">
        <v>176</v>
      </c>
      <c r="K5162" s="22" t="s">
        <v>26</v>
      </c>
      <c r="L5162">
        <v>2</v>
      </c>
      <c r="M5162">
        <v>2</v>
      </c>
      <c r="O5162" s="31"/>
    </row>
    <row r="5163" spans="10:15" x14ac:dyDescent="0.25">
      <c r="J5163" t="s">
        <v>176</v>
      </c>
      <c r="K5163" s="22" t="s">
        <v>35</v>
      </c>
      <c r="L5163">
        <v>1</v>
      </c>
      <c r="M5163">
        <v>1</v>
      </c>
    </row>
    <row r="5164" spans="10:15" x14ac:dyDescent="0.25">
      <c r="J5164" t="s">
        <v>3038</v>
      </c>
      <c r="K5164" s="22" t="s">
        <v>26</v>
      </c>
      <c r="L5164">
        <v>2</v>
      </c>
      <c r="O5164" s="30"/>
    </row>
    <row r="5165" spans="10:15" x14ac:dyDescent="0.25">
      <c r="J5165" t="s">
        <v>3038</v>
      </c>
      <c r="K5165" s="22" t="s">
        <v>35</v>
      </c>
      <c r="L5165">
        <v>1</v>
      </c>
      <c r="M5165">
        <v>1</v>
      </c>
      <c r="O5165" s="31"/>
    </row>
    <row r="5166" spans="10:15" x14ac:dyDescent="0.25">
      <c r="J5166" t="s">
        <v>1291</v>
      </c>
      <c r="K5166" s="22" t="s">
        <v>26</v>
      </c>
      <c r="L5166">
        <v>1</v>
      </c>
    </row>
    <row r="5167" spans="10:15" x14ac:dyDescent="0.25">
      <c r="J5167" t="s">
        <v>1630</v>
      </c>
      <c r="K5167" s="22" t="s">
        <v>22</v>
      </c>
      <c r="L5167">
        <v>1</v>
      </c>
      <c r="M5167">
        <v>1</v>
      </c>
    </row>
    <row r="5168" spans="10:15" x14ac:dyDescent="0.25">
      <c r="J5168" t="s">
        <v>1072</v>
      </c>
      <c r="K5168" s="22" t="s">
        <v>26</v>
      </c>
      <c r="L5168">
        <v>1</v>
      </c>
      <c r="M5168">
        <v>1</v>
      </c>
    </row>
    <row r="5169" spans="10:15" x14ac:dyDescent="0.25">
      <c r="J5169" t="s">
        <v>2059</v>
      </c>
      <c r="K5169" s="22" t="s">
        <v>20</v>
      </c>
      <c r="L5169">
        <v>4</v>
      </c>
      <c r="M5169">
        <v>4</v>
      </c>
      <c r="O5169" s="31"/>
    </row>
    <row r="5170" spans="10:15" x14ac:dyDescent="0.25">
      <c r="J5170" t="s">
        <v>703</v>
      </c>
      <c r="K5170" s="22" t="s">
        <v>20</v>
      </c>
      <c r="L5170">
        <v>3</v>
      </c>
    </row>
    <row r="5171" spans="10:15" x14ac:dyDescent="0.25">
      <c r="J5171" t="s">
        <v>703</v>
      </c>
      <c r="K5171" s="22" t="s">
        <v>35</v>
      </c>
      <c r="L5171">
        <v>2</v>
      </c>
      <c r="M5171">
        <v>2</v>
      </c>
    </row>
    <row r="5172" spans="10:15" x14ac:dyDescent="0.25">
      <c r="J5172" t="s">
        <v>703</v>
      </c>
      <c r="K5172" s="22" t="s">
        <v>22</v>
      </c>
      <c r="L5172">
        <v>1</v>
      </c>
    </row>
    <row r="5173" spans="10:15" x14ac:dyDescent="0.25">
      <c r="J5173" t="s">
        <v>2843</v>
      </c>
      <c r="K5173" s="22" t="s">
        <v>35</v>
      </c>
      <c r="L5173">
        <v>1</v>
      </c>
      <c r="M5173">
        <v>1</v>
      </c>
      <c r="O5173" s="31"/>
    </row>
    <row r="5174" spans="10:15" x14ac:dyDescent="0.25">
      <c r="J5174" t="s">
        <v>2843</v>
      </c>
      <c r="K5174" s="22" t="s">
        <v>31</v>
      </c>
      <c r="L5174">
        <v>3</v>
      </c>
      <c r="M5174">
        <v>2</v>
      </c>
      <c r="O5174" s="30"/>
    </row>
    <row r="5175" spans="10:15" x14ac:dyDescent="0.25">
      <c r="J5175" t="s">
        <v>1775</v>
      </c>
      <c r="K5175" s="22" t="s">
        <v>35</v>
      </c>
      <c r="L5175">
        <v>3</v>
      </c>
      <c r="M5175">
        <v>3</v>
      </c>
      <c r="O5175" s="31"/>
    </row>
    <row r="5176" spans="10:15" x14ac:dyDescent="0.25">
      <c r="J5176" t="s">
        <v>244</v>
      </c>
      <c r="K5176" s="22" t="s">
        <v>22</v>
      </c>
      <c r="L5176">
        <v>7</v>
      </c>
      <c r="M5176">
        <v>7</v>
      </c>
      <c r="O5176" s="31"/>
    </row>
    <row r="5177" spans="10:15" x14ac:dyDescent="0.25">
      <c r="J5177" t="s">
        <v>1569</v>
      </c>
      <c r="K5177" s="22" t="s">
        <v>22</v>
      </c>
      <c r="L5177">
        <v>3</v>
      </c>
      <c r="M5177">
        <v>3</v>
      </c>
    </row>
    <row r="5178" spans="10:15" x14ac:dyDescent="0.25">
      <c r="J5178" t="s">
        <v>1833</v>
      </c>
      <c r="K5178" s="22" t="s">
        <v>26</v>
      </c>
      <c r="L5178">
        <v>5</v>
      </c>
      <c r="M5178">
        <v>5</v>
      </c>
      <c r="O5178" s="31"/>
    </row>
    <row r="5179" spans="10:15" x14ac:dyDescent="0.25">
      <c r="J5179" t="s">
        <v>3167</v>
      </c>
      <c r="K5179" s="22" t="s">
        <v>20</v>
      </c>
      <c r="L5179">
        <v>1</v>
      </c>
      <c r="M5179">
        <v>1</v>
      </c>
      <c r="O5179" s="31"/>
    </row>
    <row r="5180" spans="10:15" x14ac:dyDescent="0.25">
      <c r="J5180" t="s">
        <v>3245</v>
      </c>
      <c r="K5180" s="22" t="s">
        <v>28</v>
      </c>
      <c r="L5180">
        <v>1</v>
      </c>
      <c r="O5180" s="30"/>
    </row>
    <row r="5181" spans="10:15" x14ac:dyDescent="0.25">
      <c r="J5181" t="s">
        <v>418</v>
      </c>
      <c r="K5181" s="22" t="s">
        <v>20</v>
      </c>
      <c r="L5181">
        <v>2</v>
      </c>
      <c r="M5181">
        <v>1</v>
      </c>
      <c r="O5181" s="30"/>
    </row>
    <row r="5182" spans="10:15" x14ac:dyDescent="0.25">
      <c r="J5182" t="s">
        <v>2515</v>
      </c>
      <c r="K5182" s="22" t="s">
        <v>26</v>
      </c>
      <c r="L5182">
        <v>1</v>
      </c>
    </row>
    <row r="5183" spans="10:15" x14ac:dyDescent="0.25">
      <c r="J5183" t="s">
        <v>2515</v>
      </c>
      <c r="K5183" s="22" t="s">
        <v>28</v>
      </c>
      <c r="L5183">
        <v>1</v>
      </c>
      <c r="M5183">
        <v>1</v>
      </c>
    </row>
    <row r="5184" spans="10:15" x14ac:dyDescent="0.25">
      <c r="J5184" t="s">
        <v>3418</v>
      </c>
      <c r="K5184" s="22" t="s">
        <v>26</v>
      </c>
      <c r="L5184">
        <v>1</v>
      </c>
      <c r="O5184" s="30"/>
    </row>
    <row r="5185" spans="10:15" x14ac:dyDescent="0.25">
      <c r="J5185" t="s">
        <v>783</v>
      </c>
      <c r="K5185" s="22" t="s">
        <v>31</v>
      </c>
      <c r="L5185">
        <v>3</v>
      </c>
      <c r="M5185">
        <v>2</v>
      </c>
      <c r="O5185" s="30"/>
    </row>
    <row r="5186" spans="10:15" x14ac:dyDescent="0.25">
      <c r="J5186" t="s">
        <v>1234</v>
      </c>
      <c r="K5186" s="22" t="s">
        <v>26</v>
      </c>
      <c r="L5186">
        <v>1</v>
      </c>
    </row>
    <row r="5187" spans="10:15" x14ac:dyDescent="0.25">
      <c r="J5187" t="s">
        <v>1234</v>
      </c>
      <c r="K5187" s="22" t="s">
        <v>20</v>
      </c>
      <c r="L5187">
        <v>1</v>
      </c>
      <c r="M5187">
        <v>1</v>
      </c>
      <c r="O5187" s="31"/>
    </row>
    <row r="5188" spans="10:15" x14ac:dyDescent="0.25">
      <c r="J5188" t="s">
        <v>1620</v>
      </c>
      <c r="K5188" s="22" t="s">
        <v>26</v>
      </c>
      <c r="L5188">
        <v>1</v>
      </c>
    </row>
    <row r="5189" spans="10:15" x14ac:dyDescent="0.25">
      <c r="J5189" t="s">
        <v>1620</v>
      </c>
      <c r="K5189" s="22" t="s">
        <v>22</v>
      </c>
      <c r="L5189">
        <v>1</v>
      </c>
    </row>
    <row r="5190" spans="10:15" x14ac:dyDescent="0.25">
      <c r="J5190" t="s">
        <v>1620</v>
      </c>
      <c r="K5190" s="22" t="s">
        <v>31</v>
      </c>
      <c r="L5190">
        <v>2</v>
      </c>
      <c r="M5190">
        <v>2</v>
      </c>
    </row>
    <row r="5191" spans="10:15" x14ac:dyDescent="0.25">
      <c r="J5191" t="s">
        <v>2567</v>
      </c>
      <c r="K5191" s="22" t="s">
        <v>20</v>
      </c>
      <c r="L5191">
        <v>4</v>
      </c>
      <c r="M5191">
        <v>4</v>
      </c>
      <c r="O5191" s="31"/>
    </row>
    <row r="5192" spans="10:15" x14ac:dyDescent="0.25">
      <c r="J5192" t="s">
        <v>1542</v>
      </c>
      <c r="K5192" s="22" t="s">
        <v>31</v>
      </c>
      <c r="L5192">
        <v>1</v>
      </c>
      <c r="M5192">
        <v>1</v>
      </c>
    </row>
    <row r="5193" spans="10:15" x14ac:dyDescent="0.25">
      <c r="J5193" t="s">
        <v>2150</v>
      </c>
      <c r="K5193" s="22" t="s">
        <v>20</v>
      </c>
      <c r="L5193">
        <v>2</v>
      </c>
      <c r="M5193">
        <v>2</v>
      </c>
      <c r="O5193" s="31"/>
    </row>
    <row r="5194" spans="10:15" x14ac:dyDescent="0.25">
      <c r="J5194" t="s">
        <v>323</v>
      </c>
      <c r="K5194" s="22" t="s">
        <v>26</v>
      </c>
      <c r="L5194">
        <v>2</v>
      </c>
      <c r="M5194">
        <v>1</v>
      </c>
      <c r="O5194" s="31"/>
    </row>
    <row r="5195" spans="10:15" x14ac:dyDescent="0.25">
      <c r="J5195" t="s">
        <v>323</v>
      </c>
      <c r="K5195" s="22" t="s">
        <v>30</v>
      </c>
      <c r="L5195">
        <v>9</v>
      </c>
      <c r="M5195">
        <v>8</v>
      </c>
      <c r="O5195" s="31"/>
    </row>
    <row r="5196" spans="10:15" x14ac:dyDescent="0.25">
      <c r="J5196" t="s">
        <v>323</v>
      </c>
      <c r="K5196" s="22" t="s">
        <v>29</v>
      </c>
      <c r="L5196">
        <v>6</v>
      </c>
      <c r="M5196">
        <v>4</v>
      </c>
      <c r="O5196" s="31"/>
    </row>
    <row r="5197" spans="10:15" x14ac:dyDescent="0.25">
      <c r="J5197" t="s">
        <v>323</v>
      </c>
      <c r="K5197" s="22" t="s">
        <v>28</v>
      </c>
      <c r="L5197">
        <v>9</v>
      </c>
      <c r="M5197">
        <v>5</v>
      </c>
      <c r="O5197" s="30"/>
    </row>
    <row r="5198" spans="10:15" x14ac:dyDescent="0.25">
      <c r="J5198" t="s">
        <v>323</v>
      </c>
      <c r="K5198" s="22" t="s">
        <v>35</v>
      </c>
      <c r="L5198">
        <v>8</v>
      </c>
      <c r="M5198">
        <v>4</v>
      </c>
      <c r="O5198" s="30"/>
    </row>
    <row r="5199" spans="10:15" x14ac:dyDescent="0.25">
      <c r="J5199" t="s">
        <v>323</v>
      </c>
      <c r="K5199" s="22" t="s">
        <v>22</v>
      </c>
      <c r="L5199">
        <v>6</v>
      </c>
      <c r="M5199">
        <v>4</v>
      </c>
      <c r="O5199" s="30"/>
    </row>
    <row r="5200" spans="10:15" x14ac:dyDescent="0.25">
      <c r="J5200" t="s">
        <v>323</v>
      </c>
      <c r="K5200" s="22" t="s">
        <v>31</v>
      </c>
      <c r="L5200">
        <v>5</v>
      </c>
      <c r="M5200">
        <v>3</v>
      </c>
      <c r="O5200" s="31"/>
    </row>
    <row r="5201" spans="10:15" x14ac:dyDescent="0.25">
      <c r="J5201" t="s">
        <v>2882</v>
      </c>
      <c r="K5201" s="22" t="s">
        <v>26</v>
      </c>
      <c r="L5201">
        <v>3</v>
      </c>
      <c r="M5201">
        <v>2</v>
      </c>
      <c r="O5201" s="31"/>
    </row>
    <row r="5202" spans="10:15" x14ac:dyDescent="0.25">
      <c r="J5202" t="s">
        <v>2882</v>
      </c>
      <c r="K5202" s="22" t="s">
        <v>30</v>
      </c>
      <c r="L5202">
        <v>3</v>
      </c>
      <c r="M5202">
        <v>1</v>
      </c>
      <c r="O5202" s="30"/>
    </row>
    <row r="5203" spans="10:15" x14ac:dyDescent="0.25">
      <c r="J5203" t="s">
        <v>2882</v>
      </c>
      <c r="K5203" s="22" t="s">
        <v>29</v>
      </c>
      <c r="L5203">
        <v>3</v>
      </c>
      <c r="M5203">
        <v>1</v>
      </c>
      <c r="O5203" s="31"/>
    </row>
    <row r="5204" spans="10:15" x14ac:dyDescent="0.25">
      <c r="J5204" t="s">
        <v>2882</v>
      </c>
      <c r="K5204" s="22" t="s">
        <v>28</v>
      </c>
      <c r="L5204">
        <v>3</v>
      </c>
      <c r="M5204">
        <v>1</v>
      </c>
      <c r="O5204" s="30"/>
    </row>
    <row r="5205" spans="10:15" x14ac:dyDescent="0.25">
      <c r="J5205" t="s">
        <v>2882</v>
      </c>
      <c r="K5205" s="22" t="s">
        <v>35</v>
      </c>
      <c r="L5205">
        <v>2</v>
      </c>
      <c r="M5205">
        <v>1</v>
      </c>
      <c r="O5205" s="31"/>
    </row>
    <row r="5206" spans="10:15" x14ac:dyDescent="0.25">
      <c r="J5206" t="s">
        <v>2882</v>
      </c>
      <c r="K5206" s="22" t="s">
        <v>22</v>
      </c>
      <c r="L5206">
        <v>2</v>
      </c>
      <c r="O5206" s="30"/>
    </row>
    <row r="5207" spans="10:15" x14ac:dyDescent="0.25">
      <c r="J5207" t="s">
        <v>2032</v>
      </c>
      <c r="K5207" s="22" t="s">
        <v>29</v>
      </c>
      <c r="L5207">
        <v>4</v>
      </c>
      <c r="M5207">
        <v>4</v>
      </c>
      <c r="O5207" s="31"/>
    </row>
    <row r="5208" spans="10:15" x14ac:dyDescent="0.25">
      <c r="J5208" t="s">
        <v>2683</v>
      </c>
      <c r="K5208" s="22" t="s">
        <v>31</v>
      </c>
      <c r="L5208">
        <v>2</v>
      </c>
      <c r="M5208">
        <v>2</v>
      </c>
      <c r="O5208" s="31"/>
    </row>
    <row r="5209" spans="10:15" x14ac:dyDescent="0.25">
      <c r="J5209" t="s">
        <v>1983</v>
      </c>
      <c r="K5209" s="22" t="s">
        <v>28</v>
      </c>
      <c r="L5209">
        <v>5</v>
      </c>
      <c r="M5209">
        <v>5</v>
      </c>
      <c r="O5209" s="31"/>
    </row>
    <row r="5210" spans="10:15" x14ac:dyDescent="0.25">
      <c r="J5210" t="s">
        <v>1089</v>
      </c>
      <c r="K5210" s="22" t="s">
        <v>26</v>
      </c>
      <c r="L5210">
        <v>4</v>
      </c>
      <c r="O5210" s="30"/>
    </row>
    <row r="5211" spans="10:15" x14ac:dyDescent="0.25">
      <c r="J5211" t="s">
        <v>1089</v>
      </c>
      <c r="K5211" s="22" t="s">
        <v>30</v>
      </c>
      <c r="L5211">
        <v>2</v>
      </c>
      <c r="M5211">
        <v>1</v>
      </c>
      <c r="O5211" s="30"/>
    </row>
    <row r="5212" spans="10:15" x14ac:dyDescent="0.25">
      <c r="J5212" t="s">
        <v>1089</v>
      </c>
      <c r="K5212" s="22" t="s">
        <v>22</v>
      </c>
      <c r="L5212">
        <v>11</v>
      </c>
      <c r="M5212">
        <v>6</v>
      </c>
      <c r="O5212" s="30"/>
    </row>
    <row r="5213" spans="10:15" x14ac:dyDescent="0.25">
      <c r="J5213" t="s">
        <v>3154</v>
      </c>
      <c r="K5213" s="22" t="s">
        <v>30</v>
      </c>
      <c r="L5213">
        <v>1</v>
      </c>
      <c r="O5213" s="30"/>
    </row>
    <row r="5214" spans="10:15" x14ac:dyDescent="0.25">
      <c r="J5214" t="s">
        <v>3154</v>
      </c>
      <c r="K5214" s="22" t="s">
        <v>29</v>
      </c>
      <c r="L5214">
        <v>1</v>
      </c>
      <c r="M5214">
        <v>1</v>
      </c>
      <c r="O5214" s="31"/>
    </row>
    <row r="5215" spans="10:15" x14ac:dyDescent="0.25">
      <c r="J5215" t="s">
        <v>3154</v>
      </c>
      <c r="K5215" s="22" t="s">
        <v>28</v>
      </c>
      <c r="L5215">
        <v>1</v>
      </c>
      <c r="O5215" s="30"/>
    </row>
    <row r="5216" spans="10:15" x14ac:dyDescent="0.25">
      <c r="J5216" t="s">
        <v>578</v>
      </c>
      <c r="K5216" s="22" t="s">
        <v>30</v>
      </c>
      <c r="L5216">
        <v>1</v>
      </c>
      <c r="O5216" s="30"/>
    </row>
    <row r="5217" spans="10:15" x14ac:dyDescent="0.25">
      <c r="J5217" t="s">
        <v>578</v>
      </c>
      <c r="K5217" s="22" t="s">
        <v>29</v>
      </c>
      <c r="L5217">
        <v>2</v>
      </c>
      <c r="O5217" s="30"/>
    </row>
    <row r="5218" spans="10:15" x14ac:dyDescent="0.25">
      <c r="J5218" t="s">
        <v>578</v>
      </c>
      <c r="K5218" s="22" t="s">
        <v>28</v>
      </c>
      <c r="L5218">
        <v>2</v>
      </c>
      <c r="O5218" s="30"/>
    </row>
    <row r="5219" spans="10:15" x14ac:dyDescent="0.25">
      <c r="J5219" t="s">
        <v>578</v>
      </c>
      <c r="K5219" s="22" t="s">
        <v>22</v>
      </c>
      <c r="L5219">
        <v>1</v>
      </c>
    </row>
    <row r="5220" spans="10:15" x14ac:dyDescent="0.25">
      <c r="J5220" t="s">
        <v>578</v>
      </c>
      <c r="K5220" s="22" t="s">
        <v>31</v>
      </c>
      <c r="L5220">
        <v>1</v>
      </c>
    </row>
    <row r="5221" spans="10:15" x14ac:dyDescent="0.25">
      <c r="J5221" t="s">
        <v>1854</v>
      </c>
      <c r="K5221" s="22" t="s">
        <v>30</v>
      </c>
      <c r="L5221">
        <v>2</v>
      </c>
      <c r="M5221">
        <v>2</v>
      </c>
      <c r="O5221" s="31"/>
    </row>
    <row r="5222" spans="10:15" x14ac:dyDescent="0.25">
      <c r="J5222" t="s">
        <v>2008</v>
      </c>
      <c r="K5222" s="22" t="s">
        <v>28</v>
      </c>
      <c r="L5222">
        <v>2</v>
      </c>
      <c r="M5222">
        <v>1</v>
      </c>
      <c r="O5222" s="30"/>
    </row>
    <row r="5223" spans="10:15" x14ac:dyDescent="0.25">
      <c r="J5223" t="s">
        <v>3484</v>
      </c>
      <c r="K5223" s="22" t="s">
        <v>26</v>
      </c>
      <c r="L5223">
        <v>1</v>
      </c>
      <c r="M5223">
        <v>1</v>
      </c>
      <c r="O5223" s="31"/>
    </row>
    <row r="5224" spans="10:15" x14ac:dyDescent="0.25">
      <c r="J5224" t="s">
        <v>3236</v>
      </c>
      <c r="K5224" s="22" t="s">
        <v>26</v>
      </c>
      <c r="L5224">
        <v>1</v>
      </c>
      <c r="O5224" s="30"/>
    </row>
    <row r="5225" spans="10:15" x14ac:dyDescent="0.25">
      <c r="J5225" t="s">
        <v>1375</v>
      </c>
      <c r="K5225" s="22" t="s">
        <v>26</v>
      </c>
      <c r="L5225">
        <v>5</v>
      </c>
      <c r="M5225">
        <v>3</v>
      </c>
      <c r="O5225" s="31"/>
    </row>
    <row r="5226" spans="10:15" x14ac:dyDescent="0.25">
      <c r="J5226" t="s">
        <v>1375</v>
      </c>
      <c r="K5226" s="22" t="s">
        <v>35</v>
      </c>
      <c r="L5226">
        <v>2</v>
      </c>
      <c r="M5226">
        <v>2</v>
      </c>
      <c r="O5226" s="31"/>
    </row>
    <row r="5227" spans="10:15" x14ac:dyDescent="0.25">
      <c r="J5227" t="s">
        <v>3181</v>
      </c>
      <c r="K5227" s="22" t="s">
        <v>30</v>
      </c>
      <c r="L5227">
        <v>1</v>
      </c>
      <c r="O5227" s="30"/>
    </row>
    <row r="5228" spans="10:15" x14ac:dyDescent="0.25">
      <c r="J5228" t="s">
        <v>3181</v>
      </c>
      <c r="K5228" s="22" t="s">
        <v>29</v>
      </c>
      <c r="L5228">
        <v>1</v>
      </c>
      <c r="O5228" s="30"/>
    </row>
    <row r="5229" spans="10:15" x14ac:dyDescent="0.25">
      <c r="J5229" t="s">
        <v>2623</v>
      </c>
      <c r="K5229" s="22" t="s">
        <v>26</v>
      </c>
      <c r="L5229">
        <v>1</v>
      </c>
      <c r="O5229" s="30"/>
    </row>
    <row r="5230" spans="10:15" x14ac:dyDescent="0.25">
      <c r="J5230" t="s">
        <v>2623</v>
      </c>
      <c r="K5230" s="22" t="s">
        <v>30</v>
      </c>
      <c r="L5230">
        <v>3</v>
      </c>
      <c r="M5230">
        <v>2</v>
      </c>
    </row>
    <row r="5231" spans="10:15" x14ac:dyDescent="0.25">
      <c r="J5231" t="s">
        <v>2623</v>
      </c>
      <c r="K5231" s="22" t="s">
        <v>29</v>
      </c>
      <c r="L5231">
        <v>1</v>
      </c>
      <c r="O5231" s="30"/>
    </row>
    <row r="5232" spans="10:15" x14ac:dyDescent="0.25">
      <c r="J5232" t="s">
        <v>2623</v>
      </c>
      <c r="K5232" s="22" t="s">
        <v>22</v>
      </c>
      <c r="L5232">
        <v>1</v>
      </c>
      <c r="O5232" s="30"/>
    </row>
    <row r="5233" spans="10:15" x14ac:dyDescent="0.25">
      <c r="J5233" t="s">
        <v>2834</v>
      </c>
      <c r="K5233" s="22" t="s">
        <v>30</v>
      </c>
      <c r="L5233">
        <v>1</v>
      </c>
      <c r="M5233">
        <v>1</v>
      </c>
      <c r="O5233" s="31"/>
    </row>
    <row r="5234" spans="10:15" x14ac:dyDescent="0.25">
      <c r="J5234" t="s">
        <v>2834</v>
      </c>
      <c r="K5234" s="22" t="s">
        <v>29</v>
      </c>
      <c r="L5234">
        <v>1</v>
      </c>
    </row>
    <row r="5235" spans="10:15" x14ac:dyDescent="0.25">
      <c r="J5235" t="s">
        <v>2834</v>
      </c>
      <c r="K5235" s="22" t="s">
        <v>22</v>
      </c>
      <c r="L5235">
        <v>1</v>
      </c>
    </row>
    <row r="5236" spans="10:15" x14ac:dyDescent="0.25">
      <c r="J5236" t="s">
        <v>844</v>
      </c>
      <c r="K5236" s="22" t="s">
        <v>26</v>
      </c>
      <c r="L5236">
        <v>2</v>
      </c>
      <c r="O5236" s="30"/>
    </row>
    <row r="5237" spans="10:15" x14ac:dyDescent="0.25">
      <c r="J5237" t="s">
        <v>844</v>
      </c>
      <c r="K5237" s="22" t="s">
        <v>30</v>
      </c>
      <c r="L5237">
        <v>3</v>
      </c>
      <c r="O5237" s="30"/>
    </row>
    <row r="5238" spans="10:15" x14ac:dyDescent="0.25">
      <c r="J5238" t="s">
        <v>844</v>
      </c>
      <c r="K5238" s="22" t="s">
        <v>29</v>
      </c>
      <c r="L5238">
        <v>5</v>
      </c>
      <c r="O5238" s="30"/>
    </row>
    <row r="5239" spans="10:15" x14ac:dyDescent="0.25">
      <c r="J5239" t="s">
        <v>623</v>
      </c>
      <c r="K5239" s="22" t="s">
        <v>30</v>
      </c>
      <c r="L5239">
        <v>1</v>
      </c>
      <c r="M5239">
        <v>1</v>
      </c>
    </row>
    <row r="5240" spans="10:15" x14ac:dyDescent="0.25">
      <c r="J5240" t="s">
        <v>623</v>
      </c>
      <c r="K5240" s="22" t="s">
        <v>29</v>
      </c>
      <c r="L5240">
        <v>2</v>
      </c>
      <c r="M5240">
        <v>1</v>
      </c>
    </row>
    <row r="5241" spans="10:15" x14ac:dyDescent="0.25">
      <c r="J5241" t="s">
        <v>122</v>
      </c>
      <c r="K5241" s="22" t="s">
        <v>26</v>
      </c>
      <c r="L5241">
        <v>7</v>
      </c>
      <c r="O5241" s="30"/>
    </row>
    <row r="5242" spans="10:15" x14ac:dyDescent="0.25">
      <c r="J5242" t="s">
        <v>122</v>
      </c>
      <c r="K5242" s="22" t="s">
        <v>30</v>
      </c>
      <c r="L5242">
        <v>3</v>
      </c>
      <c r="M5242">
        <v>2</v>
      </c>
    </row>
    <row r="5243" spans="10:15" x14ac:dyDescent="0.25">
      <c r="J5243" t="s">
        <v>122</v>
      </c>
      <c r="K5243" s="22" t="s">
        <v>29</v>
      </c>
      <c r="L5243">
        <v>6</v>
      </c>
      <c r="M5243">
        <v>5</v>
      </c>
      <c r="O5243" s="31"/>
    </row>
    <row r="5244" spans="10:15" x14ac:dyDescent="0.25">
      <c r="J5244" t="s">
        <v>122</v>
      </c>
      <c r="K5244" s="22" t="s">
        <v>35</v>
      </c>
      <c r="L5244">
        <v>2</v>
      </c>
      <c r="M5244">
        <v>1</v>
      </c>
    </row>
    <row r="5245" spans="10:15" x14ac:dyDescent="0.25">
      <c r="J5245" t="s">
        <v>122</v>
      </c>
      <c r="K5245" s="22" t="s">
        <v>22</v>
      </c>
      <c r="L5245">
        <v>3</v>
      </c>
      <c r="O5245" s="30"/>
    </row>
    <row r="5246" spans="10:15" x14ac:dyDescent="0.25">
      <c r="J5246" t="s">
        <v>122</v>
      </c>
      <c r="K5246" s="22" t="s">
        <v>31</v>
      </c>
      <c r="L5246">
        <v>3</v>
      </c>
      <c r="M5246">
        <v>2</v>
      </c>
    </row>
    <row r="5247" spans="10:15" x14ac:dyDescent="0.25">
      <c r="J5247" t="s">
        <v>2513</v>
      </c>
      <c r="K5247" s="22" t="s">
        <v>26</v>
      </c>
      <c r="L5247">
        <v>1</v>
      </c>
    </row>
    <row r="5248" spans="10:15" x14ac:dyDescent="0.25">
      <c r="J5248" t="s">
        <v>2513</v>
      </c>
      <c r="K5248" s="22" t="s">
        <v>29</v>
      </c>
      <c r="L5248">
        <v>1</v>
      </c>
      <c r="M5248">
        <v>1</v>
      </c>
      <c r="O5248" s="31"/>
    </row>
    <row r="5249" spans="10:15" x14ac:dyDescent="0.25">
      <c r="J5249" t="s">
        <v>359</v>
      </c>
      <c r="K5249" s="22" t="s">
        <v>26</v>
      </c>
      <c r="L5249">
        <v>5</v>
      </c>
      <c r="M5249">
        <v>4</v>
      </c>
      <c r="O5249" s="31"/>
    </row>
    <row r="5250" spans="10:15" x14ac:dyDescent="0.25">
      <c r="J5250" t="s">
        <v>359</v>
      </c>
      <c r="K5250" s="22" t="s">
        <v>29</v>
      </c>
      <c r="L5250">
        <v>4</v>
      </c>
      <c r="M5250">
        <v>4</v>
      </c>
      <c r="O5250" s="31"/>
    </row>
    <row r="5251" spans="10:15" x14ac:dyDescent="0.25">
      <c r="J5251" t="s">
        <v>2187</v>
      </c>
      <c r="K5251" s="22" t="s">
        <v>26</v>
      </c>
      <c r="L5251">
        <v>1</v>
      </c>
    </row>
    <row r="5252" spans="10:15" x14ac:dyDescent="0.25">
      <c r="J5252" t="s">
        <v>2187</v>
      </c>
      <c r="K5252" s="22" t="s">
        <v>35</v>
      </c>
      <c r="L5252">
        <v>1</v>
      </c>
      <c r="O5252" s="30"/>
    </row>
    <row r="5253" spans="10:15" x14ac:dyDescent="0.25">
      <c r="J5253" t="s">
        <v>2001</v>
      </c>
      <c r="K5253" s="22" t="s">
        <v>26</v>
      </c>
      <c r="L5253">
        <v>3</v>
      </c>
      <c r="O5253" s="30"/>
    </row>
    <row r="5254" spans="10:15" x14ac:dyDescent="0.25">
      <c r="J5254" t="s">
        <v>2001</v>
      </c>
      <c r="K5254" s="22" t="s">
        <v>29</v>
      </c>
      <c r="L5254">
        <v>1</v>
      </c>
      <c r="M5254">
        <v>1</v>
      </c>
    </row>
    <row r="5255" spans="10:15" x14ac:dyDescent="0.25">
      <c r="J5255" t="s">
        <v>2001</v>
      </c>
      <c r="K5255" s="22" t="s">
        <v>35</v>
      </c>
      <c r="L5255">
        <v>2</v>
      </c>
      <c r="O5255" s="30"/>
    </row>
    <row r="5256" spans="10:15" x14ac:dyDescent="0.25">
      <c r="J5256" t="s">
        <v>2706</v>
      </c>
      <c r="K5256" s="22" t="s">
        <v>26</v>
      </c>
      <c r="L5256">
        <v>1</v>
      </c>
      <c r="M5256">
        <v>1</v>
      </c>
    </row>
    <row r="5257" spans="10:15" x14ac:dyDescent="0.25">
      <c r="J5257" t="s">
        <v>1499</v>
      </c>
      <c r="K5257" s="22" t="s">
        <v>26</v>
      </c>
      <c r="L5257">
        <v>3</v>
      </c>
      <c r="O5257" s="30"/>
    </row>
    <row r="5258" spans="10:15" x14ac:dyDescent="0.25">
      <c r="J5258" t="s">
        <v>1499</v>
      </c>
      <c r="K5258" s="22" t="s">
        <v>30</v>
      </c>
      <c r="L5258">
        <v>1</v>
      </c>
    </row>
    <row r="5259" spans="10:15" x14ac:dyDescent="0.25">
      <c r="J5259" t="s">
        <v>1499</v>
      </c>
      <c r="K5259" s="22" t="s">
        <v>29</v>
      </c>
      <c r="L5259">
        <v>3</v>
      </c>
      <c r="M5259">
        <v>3</v>
      </c>
    </row>
    <row r="5260" spans="10:15" x14ac:dyDescent="0.25">
      <c r="J5260" t="s">
        <v>955</v>
      </c>
      <c r="K5260" s="22" t="s">
        <v>26</v>
      </c>
      <c r="L5260">
        <v>2</v>
      </c>
      <c r="M5260">
        <v>1</v>
      </c>
    </row>
    <row r="5261" spans="10:15" x14ac:dyDescent="0.25">
      <c r="J5261" t="s">
        <v>955</v>
      </c>
      <c r="K5261" s="22" t="s">
        <v>31</v>
      </c>
      <c r="L5261">
        <v>1</v>
      </c>
    </row>
    <row r="5262" spans="10:15" x14ac:dyDescent="0.25">
      <c r="J5262" t="s">
        <v>959</v>
      </c>
      <c r="K5262" s="22" t="s">
        <v>29</v>
      </c>
      <c r="L5262">
        <v>1</v>
      </c>
    </row>
    <row r="5263" spans="10:15" x14ac:dyDescent="0.25">
      <c r="J5263" t="s">
        <v>2717</v>
      </c>
      <c r="K5263" s="22" t="s">
        <v>26</v>
      </c>
      <c r="L5263">
        <v>1</v>
      </c>
      <c r="O5263" s="30"/>
    </row>
    <row r="5264" spans="10:15" x14ac:dyDescent="0.25">
      <c r="J5264" t="s">
        <v>2717</v>
      </c>
      <c r="K5264" s="22" t="s">
        <v>29</v>
      </c>
      <c r="L5264">
        <v>1</v>
      </c>
      <c r="O5264" s="30"/>
    </row>
    <row r="5265" spans="10:15" x14ac:dyDescent="0.25">
      <c r="J5265" t="s">
        <v>2717</v>
      </c>
      <c r="K5265" s="22" t="s">
        <v>31</v>
      </c>
      <c r="L5265">
        <v>1</v>
      </c>
    </row>
    <row r="5266" spans="10:15" x14ac:dyDescent="0.25">
      <c r="J5266" t="s">
        <v>684</v>
      </c>
      <c r="K5266" s="22" t="s">
        <v>26</v>
      </c>
      <c r="L5266">
        <v>1</v>
      </c>
    </row>
    <row r="5267" spans="10:15" x14ac:dyDescent="0.25">
      <c r="J5267" t="s">
        <v>684</v>
      </c>
      <c r="K5267" s="22" t="s">
        <v>29</v>
      </c>
      <c r="L5267">
        <v>1</v>
      </c>
    </row>
    <row r="5268" spans="10:15" x14ac:dyDescent="0.25">
      <c r="J5268" t="s">
        <v>526</v>
      </c>
      <c r="K5268" s="22" t="s">
        <v>22</v>
      </c>
      <c r="L5268">
        <v>3</v>
      </c>
      <c r="M5268">
        <v>3</v>
      </c>
      <c r="O5268" s="31"/>
    </row>
    <row r="5269" spans="10:15" x14ac:dyDescent="0.25">
      <c r="J5269" t="s">
        <v>399</v>
      </c>
      <c r="K5269" s="22" t="s">
        <v>26</v>
      </c>
      <c r="L5269">
        <v>1</v>
      </c>
    </row>
    <row r="5270" spans="10:15" x14ac:dyDescent="0.25">
      <c r="J5270" t="s">
        <v>399</v>
      </c>
      <c r="K5270" s="22" t="s">
        <v>30</v>
      </c>
      <c r="L5270">
        <v>2</v>
      </c>
      <c r="M5270">
        <v>2</v>
      </c>
      <c r="O5270" s="31"/>
    </row>
    <row r="5271" spans="10:15" x14ac:dyDescent="0.25">
      <c r="J5271" t="s">
        <v>399</v>
      </c>
      <c r="K5271" s="22" t="s">
        <v>28</v>
      </c>
      <c r="L5271">
        <v>2</v>
      </c>
      <c r="M5271">
        <v>1</v>
      </c>
      <c r="O5271" s="31"/>
    </row>
    <row r="5272" spans="10:15" x14ac:dyDescent="0.25">
      <c r="J5272" t="s">
        <v>399</v>
      </c>
      <c r="K5272" s="22" t="s">
        <v>31</v>
      </c>
      <c r="L5272">
        <v>3</v>
      </c>
      <c r="M5272">
        <v>2</v>
      </c>
    </row>
    <row r="5273" spans="10:15" x14ac:dyDescent="0.25">
      <c r="J5273" t="s">
        <v>219</v>
      </c>
      <c r="K5273" s="22" t="s">
        <v>30</v>
      </c>
      <c r="L5273">
        <v>5</v>
      </c>
      <c r="M5273">
        <v>4</v>
      </c>
      <c r="O5273" s="31"/>
    </row>
    <row r="5274" spans="10:15" x14ac:dyDescent="0.25">
      <c r="J5274" t="s">
        <v>219</v>
      </c>
      <c r="K5274" s="22" t="s">
        <v>28</v>
      </c>
      <c r="L5274">
        <v>2</v>
      </c>
      <c r="M5274">
        <v>2</v>
      </c>
      <c r="O5274" s="31"/>
    </row>
    <row r="5275" spans="10:15" x14ac:dyDescent="0.25">
      <c r="J5275" t="s">
        <v>1929</v>
      </c>
      <c r="K5275" s="22" t="s">
        <v>26</v>
      </c>
      <c r="L5275">
        <v>1</v>
      </c>
      <c r="O5275" s="30"/>
    </row>
    <row r="5276" spans="10:15" x14ac:dyDescent="0.25">
      <c r="J5276" t="s">
        <v>1929</v>
      </c>
      <c r="K5276" s="22" t="s">
        <v>30</v>
      </c>
      <c r="L5276">
        <v>1</v>
      </c>
    </row>
    <row r="5277" spans="10:15" x14ac:dyDescent="0.25">
      <c r="J5277" t="s">
        <v>1929</v>
      </c>
      <c r="K5277" s="22" t="s">
        <v>28</v>
      </c>
      <c r="L5277">
        <v>3</v>
      </c>
      <c r="M5277">
        <v>2</v>
      </c>
      <c r="O5277" s="30"/>
    </row>
    <row r="5278" spans="10:15" x14ac:dyDescent="0.25">
      <c r="J5278" t="s">
        <v>1299</v>
      </c>
      <c r="K5278" s="22" t="s">
        <v>26</v>
      </c>
      <c r="L5278">
        <v>1</v>
      </c>
    </row>
    <row r="5279" spans="10:15" x14ac:dyDescent="0.25">
      <c r="J5279" t="s">
        <v>1299</v>
      </c>
      <c r="K5279" s="22" t="s">
        <v>30</v>
      </c>
      <c r="L5279">
        <v>2</v>
      </c>
      <c r="O5279" s="30"/>
    </row>
    <row r="5280" spans="10:15" x14ac:dyDescent="0.25">
      <c r="J5280" t="s">
        <v>1299</v>
      </c>
      <c r="K5280" s="22" t="s">
        <v>28</v>
      </c>
      <c r="L5280">
        <v>1</v>
      </c>
      <c r="O5280" s="30"/>
    </row>
    <row r="5281" spans="10:15" x14ac:dyDescent="0.25">
      <c r="J5281" t="s">
        <v>1299</v>
      </c>
      <c r="K5281" s="22" t="s">
        <v>22</v>
      </c>
      <c r="L5281">
        <v>2</v>
      </c>
      <c r="O5281" s="30"/>
    </row>
    <row r="5282" spans="10:15" x14ac:dyDescent="0.25">
      <c r="J5282" t="s">
        <v>548</v>
      </c>
      <c r="K5282" s="22" t="s">
        <v>26</v>
      </c>
      <c r="L5282">
        <v>6</v>
      </c>
      <c r="M5282">
        <v>6</v>
      </c>
      <c r="O5282" s="31"/>
    </row>
    <row r="5283" spans="10:15" x14ac:dyDescent="0.25">
      <c r="J5283" t="s">
        <v>2401</v>
      </c>
      <c r="K5283" s="22" t="s">
        <v>26</v>
      </c>
      <c r="L5283">
        <v>1</v>
      </c>
      <c r="O5283" s="30"/>
    </row>
    <row r="5284" spans="10:15" x14ac:dyDescent="0.25">
      <c r="J5284" t="s">
        <v>1916</v>
      </c>
      <c r="K5284" s="22" t="s">
        <v>28</v>
      </c>
      <c r="L5284">
        <v>4</v>
      </c>
      <c r="M5284">
        <v>4</v>
      </c>
      <c r="O5284" s="31"/>
    </row>
    <row r="5285" spans="10:15" x14ac:dyDescent="0.25">
      <c r="J5285" t="s">
        <v>3428</v>
      </c>
      <c r="K5285" s="22" t="s">
        <v>26</v>
      </c>
      <c r="L5285">
        <v>2</v>
      </c>
      <c r="M5285">
        <v>1</v>
      </c>
      <c r="O5285" s="30"/>
    </row>
    <row r="5286" spans="10:15" x14ac:dyDescent="0.25">
      <c r="J5286" t="s">
        <v>2659</v>
      </c>
      <c r="K5286" s="22" t="s">
        <v>26</v>
      </c>
      <c r="L5286">
        <v>1</v>
      </c>
    </row>
    <row r="5287" spans="10:15" x14ac:dyDescent="0.25">
      <c r="J5287" t="s">
        <v>2659</v>
      </c>
      <c r="K5287" s="22" t="s">
        <v>31</v>
      </c>
      <c r="L5287">
        <v>3</v>
      </c>
      <c r="M5287">
        <v>3</v>
      </c>
      <c r="O5287" s="31"/>
    </row>
    <row r="5288" spans="10:15" x14ac:dyDescent="0.25">
      <c r="J5288" t="s">
        <v>567</v>
      </c>
      <c r="K5288" s="22" t="s">
        <v>26</v>
      </c>
      <c r="L5288">
        <v>8</v>
      </c>
      <c r="M5288">
        <v>7</v>
      </c>
      <c r="O5288" s="31"/>
    </row>
    <row r="5289" spans="10:15" x14ac:dyDescent="0.25">
      <c r="J5289" t="s">
        <v>567</v>
      </c>
      <c r="K5289" s="22" t="s">
        <v>22</v>
      </c>
      <c r="L5289">
        <v>6</v>
      </c>
      <c r="M5289">
        <v>6</v>
      </c>
      <c r="O5289" s="31"/>
    </row>
    <row r="5290" spans="10:15" x14ac:dyDescent="0.25">
      <c r="J5290" t="s">
        <v>3227</v>
      </c>
      <c r="K5290" s="22" t="s">
        <v>30</v>
      </c>
      <c r="L5290">
        <v>1</v>
      </c>
      <c r="O5290" s="30"/>
    </row>
    <row r="5291" spans="10:15" x14ac:dyDescent="0.25">
      <c r="J5291" t="s">
        <v>3227</v>
      </c>
      <c r="K5291" s="22" t="s">
        <v>35</v>
      </c>
      <c r="L5291">
        <v>2</v>
      </c>
      <c r="M5291">
        <v>2</v>
      </c>
      <c r="O5291" s="31"/>
    </row>
    <row r="5292" spans="10:15" x14ac:dyDescent="0.25">
      <c r="J5292" t="s">
        <v>2361</v>
      </c>
      <c r="K5292" s="22" t="s">
        <v>30</v>
      </c>
      <c r="L5292">
        <v>2</v>
      </c>
      <c r="M5292">
        <v>2</v>
      </c>
    </row>
    <row r="5293" spans="10:15" x14ac:dyDescent="0.25">
      <c r="J5293" t="s">
        <v>3063</v>
      </c>
      <c r="K5293" s="22" t="s">
        <v>30</v>
      </c>
      <c r="L5293">
        <v>2</v>
      </c>
      <c r="M5293">
        <v>1</v>
      </c>
      <c r="O5293" s="30"/>
    </row>
    <row r="5294" spans="10:15" x14ac:dyDescent="0.25">
      <c r="J5294" t="s">
        <v>3063</v>
      </c>
      <c r="K5294" s="22" t="s">
        <v>35</v>
      </c>
      <c r="L5294">
        <v>1</v>
      </c>
      <c r="M5294">
        <v>1</v>
      </c>
      <c r="O5294" s="31"/>
    </row>
    <row r="5295" spans="10:15" x14ac:dyDescent="0.25">
      <c r="J5295" t="s">
        <v>2383</v>
      </c>
      <c r="K5295" s="22" t="s">
        <v>30</v>
      </c>
      <c r="L5295">
        <v>1</v>
      </c>
      <c r="M5295">
        <v>1</v>
      </c>
    </row>
    <row r="5296" spans="10:15" x14ac:dyDescent="0.25">
      <c r="J5296" t="s">
        <v>476</v>
      </c>
      <c r="K5296" s="22" t="s">
        <v>26</v>
      </c>
      <c r="L5296">
        <v>1</v>
      </c>
    </row>
    <row r="5297" spans="10:15" x14ac:dyDescent="0.25">
      <c r="J5297" t="s">
        <v>476</v>
      </c>
      <c r="K5297" s="22" t="s">
        <v>22</v>
      </c>
      <c r="L5297">
        <v>1</v>
      </c>
    </row>
    <row r="5298" spans="10:15" x14ac:dyDescent="0.25">
      <c r="J5298" t="s">
        <v>3100</v>
      </c>
      <c r="K5298" s="22" t="s">
        <v>26</v>
      </c>
      <c r="L5298">
        <v>4</v>
      </c>
      <c r="M5298">
        <v>4</v>
      </c>
      <c r="O5298" s="31"/>
    </row>
    <row r="5299" spans="10:15" x14ac:dyDescent="0.25">
      <c r="J5299" t="s">
        <v>2323</v>
      </c>
      <c r="K5299" s="22" t="s">
        <v>26</v>
      </c>
      <c r="L5299">
        <v>1</v>
      </c>
    </row>
    <row r="5300" spans="10:15" x14ac:dyDescent="0.25">
      <c r="J5300" t="s">
        <v>214</v>
      </c>
      <c r="K5300" s="22" t="s">
        <v>26</v>
      </c>
      <c r="L5300">
        <v>3</v>
      </c>
      <c r="O5300" s="30"/>
    </row>
    <row r="5301" spans="10:15" x14ac:dyDescent="0.25">
      <c r="J5301" t="s">
        <v>214</v>
      </c>
      <c r="K5301" s="22" t="s">
        <v>30</v>
      </c>
      <c r="L5301">
        <v>1</v>
      </c>
    </row>
    <row r="5302" spans="10:15" x14ac:dyDescent="0.25">
      <c r="J5302" t="s">
        <v>214</v>
      </c>
      <c r="K5302" s="22" t="s">
        <v>28</v>
      </c>
      <c r="L5302">
        <v>4</v>
      </c>
      <c r="O5302" s="30"/>
    </row>
    <row r="5303" spans="10:15" x14ac:dyDescent="0.25">
      <c r="J5303" t="s">
        <v>214</v>
      </c>
      <c r="K5303" s="22" t="s">
        <v>35</v>
      </c>
      <c r="L5303">
        <v>3</v>
      </c>
      <c r="O5303" s="30"/>
    </row>
    <row r="5304" spans="10:15" x14ac:dyDescent="0.25">
      <c r="J5304" t="s">
        <v>214</v>
      </c>
      <c r="K5304" s="22" t="s">
        <v>22</v>
      </c>
      <c r="L5304">
        <v>8</v>
      </c>
      <c r="O5304" s="30"/>
    </row>
    <row r="5305" spans="10:15" x14ac:dyDescent="0.25">
      <c r="J5305" t="s">
        <v>214</v>
      </c>
      <c r="K5305" s="22" t="s">
        <v>31</v>
      </c>
      <c r="L5305">
        <v>7</v>
      </c>
      <c r="M5305">
        <v>5</v>
      </c>
      <c r="O5305" s="31"/>
    </row>
    <row r="5306" spans="10:15" x14ac:dyDescent="0.25">
      <c r="J5306" t="s">
        <v>808</v>
      </c>
      <c r="K5306" s="22" t="s">
        <v>28</v>
      </c>
      <c r="L5306">
        <v>5</v>
      </c>
      <c r="M5306">
        <v>5</v>
      </c>
      <c r="O5306" s="31"/>
    </row>
    <row r="5307" spans="10:15" x14ac:dyDescent="0.25">
      <c r="J5307" t="s">
        <v>2859</v>
      </c>
      <c r="K5307" s="22" t="s">
        <v>28</v>
      </c>
      <c r="L5307">
        <v>2</v>
      </c>
      <c r="M5307">
        <v>1</v>
      </c>
      <c r="O5307" s="30"/>
    </row>
    <row r="5308" spans="10:15" x14ac:dyDescent="0.25">
      <c r="J5308" t="s">
        <v>886</v>
      </c>
      <c r="K5308" s="22" t="s">
        <v>28</v>
      </c>
      <c r="L5308">
        <v>1</v>
      </c>
      <c r="M5308">
        <v>1</v>
      </c>
    </row>
    <row r="5309" spans="10:15" x14ac:dyDescent="0.25">
      <c r="J5309" t="s">
        <v>1318</v>
      </c>
      <c r="K5309" s="22" t="s">
        <v>26</v>
      </c>
      <c r="L5309">
        <v>1</v>
      </c>
    </row>
    <row r="5310" spans="10:15" x14ac:dyDescent="0.25">
      <c r="J5310" t="s">
        <v>1318</v>
      </c>
      <c r="K5310" s="22" t="s">
        <v>28</v>
      </c>
      <c r="L5310">
        <v>3</v>
      </c>
      <c r="O5310" s="30"/>
    </row>
    <row r="5311" spans="10:15" x14ac:dyDescent="0.25">
      <c r="J5311" t="s">
        <v>1318</v>
      </c>
      <c r="K5311" s="22" t="s">
        <v>22</v>
      </c>
      <c r="L5311">
        <v>3</v>
      </c>
      <c r="M5311">
        <v>1</v>
      </c>
      <c r="O5311" s="30"/>
    </row>
    <row r="5312" spans="10:15" x14ac:dyDescent="0.25">
      <c r="J5312" t="s">
        <v>1318</v>
      </c>
      <c r="K5312" s="22" t="s">
        <v>31</v>
      </c>
      <c r="L5312">
        <v>3</v>
      </c>
      <c r="M5312">
        <v>2</v>
      </c>
      <c r="O5312" s="31"/>
    </row>
    <row r="5313" spans="10:15" x14ac:dyDescent="0.25">
      <c r="J5313" t="s">
        <v>1464</v>
      </c>
      <c r="K5313" s="22" t="s">
        <v>28</v>
      </c>
      <c r="L5313">
        <v>1</v>
      </c>
    </row>
    <row r="5314" spans="10:15" x14ac:dyDescent="0.25">
      <c r="J5314" t="s">
        <v>1464</v>
      </c>
      <c r="K5314" s="22" t="s">
        <v>31</v>
      </c>
      <c r="L5314">
        <v>1</v>
      </c>
      <c r="M5314">
        <v>1</v>
      </c>
    </row>
    <row r="5315" spans="10:15" x14ac:dyDescent="0.25">
      <c r="J5315" t="s">
        <v>2728</v>
      </c>
      <c r="K5315" s="22" t="s">
        <v>30</v>
      </c>
      <c r="L5315">
        <v>1</v>
      </c>
    </row>
    <row r="5316" spans="10:15" x14ac:dyDescent="0.25">
      <c r="J5316" t="s">
        <v>500</v>
      </c>
      <c r="K5316" s="22" t="s">
        <v>28</v>
      </c>
      <c r="L5316">
        <v>6</v>
      </c>
      <c r="M5316">
        <v>6</v>
      </c>
      <c r="O5316" s="31"/>
    </row>
    <row r="5317" spans="10:15" x14ac:dyDescent="0.25">
      <c r="J5317" t="s">
        <v>3150</v>
      </c>
      <c r="K5317" s="22" t="s">
        <v>30</v>
      </c>
      <c r="L5317">
        <v>1</v>
      </c>
      <c r="M5317">
        <v>1</v>
      </c>
      <c r="O5317" s="31"/>
    </row>
    <row r="5318" spans="10:15" x14ac:dyDescent="0.25">
      <c r="J5318" t="s">
        <v>1636</v>
      </c>
      <c r="K5318" s="22" t="s">
        <v>31</v>
      </c>
      <c r="L5318">
        <v>4</v>
      </c>
      <c r="M5318">
        <v>4</v>
      </c>
      <c r="O5318" s="31"/>
    </row>
    <row r="5319" spans="10:15" x14ac:dyDescent="0.25">
      <c r="J5319" t="s">
        <v>3313</v>
      </c>
      <c r="K5319" s="22" t="s">
        <v>30</v>
      </c>
      <c r="L5319">
        <v>1</v>
      </c>
      <c r="O5319" s="30"/>
    </row>
    <row r="5320" spans="10:15" x14ac:dyDescent="0.25">
      <c r="J5320" t="s">
        <v>2010</v>
      </c>
      <c r="K5320" s="22" t="s">
        <v>30</v>
      </c>
      <c r="L5320">
        <v>2</v>
      </c>
      <c r="M5320">
        <v>1</v>
      </c>
      <c r="O5320" s="30"/>
    </row>
    <row r="5321" spans="10:15" x14ac:dyDescent="0.25">
      <c r="J5321" t="s">
        <v>493</v>
      </c>
      <c r="K5321" s="22" t="s">
        <v>35</v>
      </c>
      <c r="L5321">
        <v>1</v>
      </c>
    </row>
    <row r="5322" spans="10:15" x14ac:dyDescent="0.25">
      <c r="J5322" t="s">
        <v>493</v>
      </c>
      <c r="K5322" s="22" t="s">
        <v>22</v>
      </c>
      <c r="L5322">
        <v>1</v>
      </c>
    </row>
    <row r="5323" spans="10:15" x14ac:dyDescent="0.25">
      <c r="J5323" t="s">
        <v>1187</v>
      </c>
      <c r="K5323" s="22" t="s">
        <v>26</v>
      </c>
      <c r="L5323">
        <v>4</v>
      </c>
      <c r="O5323" s="30"/>
    </row>
    <row r="5324" spans="10:15" x14ac:dyDescent="0.25">
      <c r="J5324" t="s">
        <v>1187</v>
      </c>
      <c r="K5324" s="22" t="s">
        <v>30</v>
      </c>
      <c r="L5324">
        <v>2</v>
      </c>
      <c r="O5324" s="30"/>
    </row>
    <row r="5325" spans="10:15" x14ac:dyDescent="0.25">
      <c r="J5325" t="s">
        <v>1187</v>
      </c>
      <c r="K5325" s="22" t="s">
        <v>35</v>
      </c>
      <c r="L5325">
        <v>5</v>
      </c>
      <c r="O5325" s="30"/>
    </row>
    <row r="5326" spans="10:15" x14ac:dyDescent="0.25">
      <c r="J5326" t="s">
        <v>1187</v>
      </c>
      <c r="K5326" s="22" t="s">
        <v>31</v>
      </c>
      <c r="L5326">
        <v>2</v>
      </c>
    </row>
    <row r="5327" spans="10:15" x14ac:dyDescent="0.25">
      <c r="J5327" t="s">
        <v>3488</v>
      </c>
      <c r="K5327" s="22" t="s">
        <v>26</v>
      </c>
      <c r="L5327">
        <v>1</v>
      </c>
      <c r="O5327" s="30"/>
    </row>
    <row r="5328" spans="10:15" x14ac:dyDescent="0.25">
      <c r="J5328" t="s">
        <v>1211</v>
      </c>
      <c r="K5328" s="22" t="s">
        <v>26</v>
      </c>
      <c r="L5328">
        <v>6</v>
      </c>
      <c r="O5328" s="30"/>
    </row>
    <row r="5329" spans="10:15" x14ac:dyDescent="0.25">
      <c r="J5329" t="s">
        <v>1211</v>
      </c>
      <c r="K5329" s="22" t="s">
        <v>30</v>
      </c>
      <c r="L5329">
        <v>2</v>
      </c>
      <c r="O5329" s="30"/>
    </row>
    <row r="5330" spans="10:15" x14ac:dyDescent="0.25">
      <c r="J5330" t="s">
        <v>1782</v>
      </c>
      <c r="K5330" s="22" t="s">
        <v>26</v>
      </c>
      <c r="L5330">
        <v>3</v>
      </c>
    </row>
    <row r="5331" spans="10:15" x14ac:dyDescent="0.25">
      <c r="J5331" t="s">
        <v>1782</v>
      </c>
      <c r="K5331" s="22" t="s">
        <v>29</v>
      </c>
      <c r="L5331">
        <v>1</v>
      </c>
      <c r="M5331">
        <v>1</v>
      </c>
      <c r="O5331" s="31"/>
    </row>
    <row r="5332" spans="10:15" x14ac:dyDescent="0.25">
      <c r="J5332" t="s">
        <v>1782</v>
      </c>
      <c r="K5332" s="22" t="s">
        <v>28</v>
      </c>
      <c r="L5332">
        <v>2</v>
      </c>
      <c r="M5332">
        <v>1</v>
      </c>
      <c r="O5332" s="30"/>
    </row>
    <row r="5333" spans="10:15" x14ac:dyDescent="0.25">
      <c r="J5333" t="s">
        <v>1782</v>
      </c>
      <c r="K5333" s="22" t="s">
        <v>35</v>
      </c>
      <c r="L5333">
        <v>1</v>
      </c>
    </row>
    <row r="5334" spans="10:15" x14ac:dyDescent="0.25">
      <c r="J5334" t="s">
        <v>1782</v>
      </c>
      <c r="K5334" s="22" t="s">
        <v>22</v>
      </c>
      <c r="L5334">
        <v>2</v>
      </c>
      <c r="O5334" s="30"/>
    </row>
    <row r="5335" spans="10:15" x14ac:dyDescent="0.25">
      <c r="J5335" t="s">
        <v>1756</v>
      </c>
      <c r="K5335" s="22" t="s">
        <v>29</v>
      </c>
      <c r="L5335">
        <v>1</v>
      </c>
    </row>
    <row r="5336" spans="10:15" x14ac:dyDescent="0.25">
      <c r="J5336" t="s">
        <v>1756</v>
      </c>
      <c r="K5336" s="22" t="s">
        <v>28</v>
      </c>
      <c r="L5336">
        <v>2</v>
      </c>
      <c r="M5336">
        <v>2</v>
      </c>
    </row>
    <row r="5337" spans="10:15" x14ac:dyDescent="0.25">
      <c r="J5337" t="s">
        <v>257</v>
      </c>
      <c r="K5337" s="22" t="s">
        <v>26</v>
      </c>
      <c r="L5337">
        <v>1</v>
      </c>
    </row>
    <row r="5338" spans="10:15" x14ac:dyDescent="0.25">
      <c r="J5338" t="s">
        <v>257</v>
      </c>
      <c r="K5338" s="22" t="s">
        <v>29</v>
      </c>
      <c r="L5338">
        <v>1</v>
      </c>
      <c r="O5338" s="30"/>
    </row>
    <row r="5339" spans="10:15" x14ac:dyDescent="0.25">
      <c r="J5339" t="s">
        <v>257</v>
      </c>
      <c r="K5339" s="22" t="s">
        <v>28</v>
      </c>
      <c r="L5339">
        <v>1</v>
      </c>
    </row>
    <row r="5340" spans="10:15" x14ac:dyDescent="0.25">
      <c r="J5340" t="s">
        <v>1839</v>
      </c>
      <c r="K5340" s="22" t="s">
        <v>29</v>
      </c>
      <c r="L5340">
        <v>1</v>
      </c>
      <c r="M5340">
        <v>1</v>
      </c>
    </row>
    <row r="5341" spans="10:15" x14ac:dyDescent="0.25">
      <c r="J5341" t="s">
        <v>2245</v>
      </c>
      <c r="K5341" s="22" t="s">
        <v>26</v>
      </c>
      <c r="L5341">
        <v>1</v>
      </c>
    </row>
    <row r="5342" spans="10:15" x14ac:dyDescent="0.25">
      <c r="J5342" t="s">
        <v>2245</v>
      </c>
      <c r="K5342" s="22" t="s">
        <v>29</v>
      </c>
      <c r="L5342">
        <v>1</v>
      </c>
      <c r="M5342">
        <v>1</v>
      </c>
      <c r="O5342" s="31"/>
    </row>
    <row r="5343" spans="10:15" x14ac:dyDescent="0.25">
      <c r="J5343" t="s">
        <v>2245</v>
      </c>
      <c r="K5343" s="22" t="s">
        <v>22</v>
      </c>
      <c r="L5343">
        <v>2</v>
      </c>
      <c r="M5343">
        <v>1</v>
      </c>
    </row>
    <row r="5344" spans="10:15" x14ac:dyDescent="0.25">
      <c r="J5344" t="s">
        <v>2247</v>
      </c>
      <c r="K5344" s="22" t="s">
        <v>29</v>
      </c>
      <c r="L5344">
        <v>1</v>
      </c>
      <c r="M5344">
        <v>1</v>
      </c>
    </row>
    <row r="5345" spans="10:15" x14ac:dyDescent="0.25">
      <c r="J5345" t="s">
        <v>2197</v>
      </c>
      <c r="K5345" s="22" t="s">
        <v>29</v>
      </c>
      <c r="L5345">
        <v>1</v>
      </c>
    </row>
    <row r="5346" spans="10:15" x14ac:dyDescent="0.25">
      <c r="J5346" t="s">
        <v>2197</v>
      </c>
      <c r="K5346" s="22" t="s">
        <v>31</v>
      </c>
      <c r="L5346">
        <v>2</v>
      </c>
      <c r="M5346">
        <v>2</v>
      </c>
      <c r="O5346" s="31"/>
    </row>
    <row r="5347" spans="10:15" x14ac:dyDescent="0.25">
      <c r="J5347" t="s">
        <v>3149</v>
      </c>
      <c r="K5347" s="22" t="s">
        <v>28</v>
      </c>
      <c r="L5347">
        <v>1</v>
      </c>
      <c r="M5347">
        <v>1</v>
      </c>
      <c r="O5347" s="31"/>
    </row>
    <row r="5348" spans="10:15" x14ac:dyDescent="0.25">
      <c r="J5348" t="s">
        <v>2316</v>
      </c>
      <c r="K5348" s="22" t="s">
        <v>29</v>
      </c>
      <c r="L5348">
        <v>4</v>
      </c>
      <c r="M5348">
        <v>4</v>
      </c>
      <c r="O5348" s="31"/>
    </row>
    <row r="5349" spans="10:15" x14ac:dyDescent="0.25">
      <c r="J5349" t="s">
        <v>3046</v>
      </c>
      <c r="K5349" s="22" t="s">
        <v>22</v>
      </c>
      <c r="L5349">
        <v>1</v>
      </c>
    </row>
    <row r="5350" spans="10:15" x14ac:dyDescent="0.25">
      <c r="J5350" t="s">
        <v>1737</v>
      </c>
      <c r="K5350" s="22" t="s">
        <v>22</v>
      </c>
      <c r="L5350">
        <v>1</v>
      </c>
      <c r="M5350">
        <v>1</v>
      </c>
    </row>
    <row r="5351" spans="10:15" x14ac:dyDescent="0.25">
      <c r="J5351" t="s">
        <v>2884</v>
      </c>
      <c r="K5351" s="22" t="s">
        <v>26</v>
      </c>
      <c r="L5351">
        <v>1</v>
      </c>
    </row>
    <row r="5352" spans="10:15" x14ac:dyDescent="0.25">
      <c r="J5352" t="s">
        <v>2884</v>
      </c>
      <c r="K5352" s="22" t="s">
        <v>29</v>
      </c>
      <c r="L5352">
        <v>1</v>
      </c>
      <c r="M5352">
        <v>1</v>
      </c>
      <c r="O5352" s="31"/>
    </row>
    <row r="5353" spans="10:15" x14ac:dyDescent="0.25">
      <c r="J5353" t="s">
        <v>1739</v>
      </c>
      <c r="K5353" s="22" t="s">
        <v>29</v>
      </c>
      <c r="L5353">
        <v>1</v>
      </c>
      <c r="M5353">
        <v>1</v>
      </c>
    </row>
    <row r="5354" spans="10:15" x14ac:dyDescent="0.25">
      <c r="J5354" t="s">
        <v>3049</v>
      </c>
      <c r="K5354" s="22" t="s">
        <v>26</v>
      </c>
      <c r="L5354">
        <v>1</v>
      </c>
      <c r="O5354" s="30"/>
    </row>
    <row r="5355" spans="10:15" x14ac:dyDescent="0.25">
      <c r="J5355" t="s">
        <v>3049</v>
      </c>
      <c r="K5355" s="22" t="s">
        <v>35</v>
      </c>
      <c r="L5355">
        <v>1</v>
      </c>
    </row>
    <row r="5356" spans="10:15" x14ac:dyDescent="0.25">
      <c r="J5356" t="s">
        <v>1768</v>
      </c>
      <c r="K5356" s="22" t="s">
        <v>26</v>
      </c>
      <c r="L5356">
        <v>2</v>
      </c>
      <c r="M5356">
        <v>1</v>
      </c>
      <c r="O5356" s="30"/>
    </row>
    <row r="5357" spans="10:15" x14ac:dyDescent="0.25">
      <c r="J5357" t="s">
        <v>1768</v>
      </c>
      <c r="K5357" s="22" t="s">
        <v>22</v>
      </c>
      <c r="L5357">
        <v>3</v>
      </c>
      <c r="M5357">
        <v>2</v>
      </c>
      <c r="O5357" s="31"/>
    </row>
    <row r="5358" spans="10:15" x14ac:dyDescent="0.25">
      <c r="J5358" t="s">
        <v>2328</v>
      </c>
      <c r="K5358" s="22" t="s">
        <v>31</v>
      </c>
      <c r="L5358">
        <v>1</v>
      </c>
      <c r="M5358">
        <v>1</v>
      </c>
    </row>
    <row r="5359" spans="10:15" x14ac:dyDescent="0.25">
      <c r="J5359" t="s">
        <v>2403</v>
      </c>
      <c r="K5359" s="22" t="s">
        <v>26</v>
      </c>
      <c r="L5359">
        <v>1</v>
      </c>
    </row>
    <row r="5360" spans="10:15" x14ac:dyDescent="0.25">
      <c r="J5360" t="s">
        <v>1589</v>
      </c>
      <c r="K5360" s="22" t="s">
        <v>22</v>
      </c>
      <c r="L5360">
        <v>1</v>
      </c>
    </row>
    <row r="5361" spans="10:15" x14ac:dyDescent="0.25">
      <c r="J5361" t="s">
        <v>1591</v>
      </c>
      <c r="K5361" s="22" t="s">
        <v>26</v>
      </c>
      <c r="L5361">
        <v>1</v>
      </c>
    </row>
    <row r="5362" spans="10:15" x14ac:dyDescent="0.25">
      <c r="J5362" t="s">
        <v>1758</v>
      </c>
      <c r="K5362" s="22" t="s">
        <v>26</v>
      </c>
      <c r="L5362">
        <v>1</v>
      </c>
    </row>
    <row r="5363" spans="10:15" x14ac:dyDescent="0.25">
      <c r="J5363" t="s">
        <v>1758</v>
      </c>
      <c r="K5363" s="22" t="s">
        <v>28</v>
      </c>
      <c r="L5363">
        <v>2</v>
      </c>
      <c r="M5363">
        <v>2</v>
      </c>
      <c r="O5363" s="31"/>
    </row>
    <row r="5364" spans="10:15" x14ac:dyDescent="0.25">
      <c r="J5364" t="s">
        <v>1931</v>
      </c>
      <c r="K5364" s="22" t="s">
        <v>26</v>
      </c>
      <c r="L5364">
        <v>1</v>
      </c>
    </row>
    <row r="5365" spans="10:15" x14ac:dyDescent="0.25">
      <c r="J5365" t="s">
        <v>1931</v>
      </c>
      <c r="K5365" s="22" t="s">
        <v>22</v>
      </c>
      <c r="L5365">
        <v>1</v>
      </c>
      <c r="M5365">
        <v>1</v>
      </c>
      <c r="O5365" s="31"/>
    </row>
    <row r="5366" spans="10:15" x14ac:dyDescent="0.25">
      <c r="J5366" t="s">
        <v>3163</v>
      </c>
      <c r="K5366" s="22" t="s">
        <v>26</v>
      </c>
      <c r="L5366">
        <v>1</v>
      </c>
      <c r="O5366" s="30"/>
    </row>
    <row r="5367" spans="10:15" x14ac:dyDescent="0.25">
      <c r="J5367" t="s">
        <v>2667</v>
      </c>
      <c r="K5367" s="22" t="s">
        <v>26</v>
      </c>
      <c r="L5367">
        <v>4</v>
      </c>
      <c r="M5367">
        <v>4</v>
      </c>
      <c r="O5367" s="31"/>
    </row>
    <row r="5368" spans="10:15" x14ac:dyDescent="0.25">
      <c r="J5368" t="s">
        <v>2669</v>
      </c>
      <c r="K5368" s="22" t="s">
        <v>35</v>
      </c>
      <c r="L5368">
        <v>4</v>
      </c>
      <c r="M5368">
        <v>4</v>
      </c>
    </row>
    <row r="5369" spans="10:15" x14ac:dyDescent="0.25">
      <c r="J5369" t="s">
        <v>3255</v>
      </c>
      <c r="K5369" s="22" t="s">
        <v>26</v>
      </c>
      <c r="L5369">
        <v>1</v>
      </c>
      <c r="O5369" s="30"/>
    </row>
    <row r="5370" spans="10:15" x14ac:dyDescent="0.25">
      <c r="J5370" t="s">
        <v>2666</v>
      </c>
      <c r="K5370" s="22" t="s">
        <v>26</v>
      </c>
      <c r="L5370">
        <v>1</v>
      </c>
      <c r="M5370">
        <v>1</v>
      </c>
    </row>
    <row r="5371" spans="10:15" x14ac:dyDescent="0.25">
      <c r="J5371" t="s">
        <v>3061</v>
      </c>
      <c r="K5371" s="22" t="s">
        <v>26</v>
      </c>
      <c r="L5371">
        <v>1</v>
      </c>
      <c r="O5371" s="30"/>
    </row>
    <row r="5372" spans="10:15" x14ac:dyDescent="0.25">
      <c r="J5372" t="s">
        <v>2362</v>
      </c>
      <c r="K5372" s="22" t="s">
        <v>26</v>
      </c>
      <c r="L5372">
        <v>5</v>
      </c>
      <c r="M5372">
        <v>5</v>
      </c>
      <c r="O5372" s="31"/>
    </row>
    <row r="5373" spans="10:15" x14ac:dyDescent="0.25">
      <c r="J5373" t="s">
        <v>2199</v>
      </c>
      <c r="K5373" s="22" t="s">
        <v>26</v>
      </c>
      <c r="L5373">
        <v>1</v>
      </c>
    </row>
    <row r="5374" spans="10:15" x14ac:dyDescent="0.25">
      <c r="J5374" t="s">
        <v>2660</v>
      </c>
      <c r="K5374" s="22" t="s">
        <v>31</v>
      </c>
      <c r="L5374">
        <v>5</v>
      </c>
      <c r="M5374">
        <v>5</v>
      </c>
      <c r="O5374" s="31"/>
    </row>
    <row r="5375" spans="10:15" x14ac:dyDescent="0.25">
      <c r="J5375" t="s">
        <v>1177</v>
      </c>
      <c r="K5375" s="22" t="s">
        <v>31</v>
      </c>
      <c r="L5375">
        <v>1</v>
      </c>
      <c r="M5375">
        <v>1</v>
      </c>
    </row>
    <row r="5376" spans="10:15" x14ac:dyDescent="0.25">
      <c r="J5376" t="s">
        <v>2662</v>
      </c>
      <c r="K5376" s="22" t="s">
        <v>26</v>
      </c>
      <c r="L5376">
        <v>1</v>
      </c>
      <c r="M5376">
        <v>1</v>
      </c>
    </row>
    <row r="5377" spans="10:15" x14ac:dyDescent="0.25">
      <c r="J5377" t="s">
        <v>2738</v>
      </c>
      <c r="K5377" s="22" t="s">
        <v>26</v>
      </c>
      <c r="L5377">
        <v>1</v>
      </c>
      <c r="O5377" s="30"/>
    </row>
    <row r="5378" spans="10:15" x14ac:dyDescent="0.25">
      <c r="J5378" t="s">
        <v>2738</v>
      </c>
      <c r="K5378" s="22" t="s">
        <v>28</v>
      </c>
      <c r="L5378">
        <v>1</v>
      </c>
    </row>
    <row r="5379" spans="10:15" x14ac:dyDescent="0.25">
      <c r="J5379" t="s">
        <v>2237</v>
      </c>
      <c r="K5379" s="22" t="s">
        <v>26</v>
      </c>
      <c r="L5379">
        <v>1</v>
      </c>
    </row>
    <row r="5380" spans="10:15" x14ac:dyDescent="0.25">
      <c r="J5380" t="s">
        <v>2237</v>
      </c>
      <c r="K5380" s="22" t="s">
        <v>28</v>
      </c>
      <c r="L5380">
        <v>1</v>
      </c>
      <c r="O5380" s="30"/>
    </row>
    <row r="5381" spans="10:15" x14ac:dyDescent="0.25">
      <c r="J5381" t="s">
        <v>1856</v>
      </c>
      <c r="K5381" s="22" t="s">
        <v>28</v>
      </c>
      <c r="L5381">
        <v>4</v>
      </c>
      <c r="M5381">
        <v>4</v>
      </c>
      <c r="O5381" s="31"/>
    </row>
    <row r="5382" spans="10:15" x14ac:dyDescent="0.25">
      <c r="J5382" t="s">
        <v>2835</v>
      </c>
      <c r="K5382" s="22" t="s">
        <v>26</v>
      </c>
      <c r="L5382">
        <v>1</v>
      </c>
    </row>
    <row r="5383" spans="10:15" x14ac:dyDescent="0.25">
      <c r="J5383" t="s">
        <v>2835</v>
      </c>
      <c r="K5383" s="22" t="s">
        <v>28</v>
      </c>
      <c r="L5383">
        <v>1</v>
      </c>
      <c r="O5383" s="30"/>
    </row>
    <row r="5384" spans="10:15" x14ac:dyDescent="0.25">
      <c r="J5384" t="s">
        <v>307</v>
      </c>
      <c r="K5384" s="22" t="s">
        <v>28</v>
      </c>
      <c r="L5384">
        <v>3</v>
      </c>
      <c r="M5384">
        <v>3</v>
      </c>
      <c r="O5384" s="31"/>
    </row>
    <row r="5385" spans="10:15" x14ac:dyDescent="0.25">
      <c r="J5385" t="s">
        <v>2330</v>
      </c>
      <c r="K5385" s="22" t="s">
        <v>31</v>
      </c>
      <c r="L5385">
        <v>3</v>
      </c>
      <c r="M5385">
        <v>3</v>
      </c>
      <c r="O5385" s="31"/>
    </row>
    <row r="5386" spans="10:15" x14ac:dyDescent="0.25">
      <c r="J5386" t="s">
        <v>661</v>
      </c>
      <c r="K5386" s="22" t="s">
        <v>31</v>
      </c>
      <c r="L5386">
        <v>4</v>
      </c>
      <c r="M5386">
        <v>4</v>
      </c>
      <c r="O5386" s="31"/>
    </row>
    <row r="5387" spans="10:15" x14ac:dyDescent="0.25">
      <c r="J5387" t="s">
        <v>481</v>
      </c>
      <c r="K5387" s="22" t="s">
        <v>26</v>
      </c>
      <c r="L5387">
        <v>1</v>
      </c>
    </row>
    <row r="5388" spans="10:15" x14ac:dyDescent="0.25">
      <c r="J5388" t="s">
        <v>481</v>
      </c>
      <c r="K5388" s="22" t="s">
        <v>35</v>
      </c>
      <c r="L5388">
        <v>1</v>
      </c>
    </row>
    <row r="5389" spans="10:15" x14ac:dyDescent="0.25">
      <c r="J5389" t="s">
        <v>481</v>
      </c>
      <c r="K5389" s="22" t="s">
        <v>22</v>
      </c>
      <c r="L5389">
        <v>1</v>
      </c>
    </row>
    <row r="5390" spans="10:15" x14ac:dyDescent="0.25">
      <c r="J5390" t="s">
        <v>2286</v>
      </c>
      <c r="K5390" s="22" t="s">
        <v>22</v>
      </c>
      <c r="L5390">
        <v>1</v>
      </c>
      <c r="M5390">
        <v>1</v>
      </c>
      <c r="O5390" s="31"/>
    </row>
    <row r="5391" spans="10:15" x14ac:dyDescent="0.25">
      <c r="J5391" t="s">
        <v>2105</v>
      </c>
      <c r="K5391" s="22" t="s">
        <v>35</v>
      </c>
      <c r="L5391">
        <v>1</v>
      </c>
    </row>
    <row r="5392" spans="10:15" x14ac:dyDescent="0.25">
      <c r="J5392" t="s">
        <v>2735</v>
      </c>
      <c r="K5392" s="22" t="s">
        <v>31</v>
      </c>
      <c r="L5392">
        <v>1</v>
      </c>
      <c r="M5392">
        <v>1</v>
      </c>
    </row>
    <row r="5393" spans="10:15" x14ac:dyDescent="0.25">
      <c r="J5393" t="s">
        <v>290</v>
      </c>
      <c r="K5393" s="22" t="s">
        <v>26</v>
      </c>
      <c r="L5393">
        <v>1</v>
      </c>
    </row>
    <row r="5394" spans="10:15" x14ac:dyDescent="0.25">
      <c r="J5394" t="s">
        <v>290</v>
      </c>
      <c r="K5394" s="22" t="s">
        <v>31</v>
      </c>
      <c r="L5394">
        <v>1</v>
      </c>
    </row>
    <row r="5395" spans="10:15" x14ac:dyDescent="0.25">
      <c r="J5395" t="s">
        <v>927</v>
      </c>
      <c r="K5395" s="22" t="s">
        <v>26</v>
      </c>
      <c r="L5395">
        <v>2</v>
      </c>
      <c r="O5395" s="30"/>
    </row>
    <row r="5396" spans="10:15" x14ac:dyDescent="0.25">
      <c r="J5396" t="s">
        <v>927</v>
      </c>
      <c r="K5396" s="22" t="s">
        <v>29</v>
      </c>
      <c r="L5396">
        <v>2</v>
      </c>
      <c r="O5396" s="30"/>
    </row>
    <row r="5397" spans="10:15" x14ac:dyDescent="0.25">
      <c r="J5397" t="s">
        <v>927</v>
      </c>
      <c r="K5397" s="22" t="s">
        <v>28</v>
      </c>
      <c r="L5397">
        <v>12</v>
      </c>
      <c r="M5397">
        <v>2</v>
      </c>
      <c r="O5397" s="30"/>
    </row>
    <row r="5398" spans="10:15" x14ac:dyDescent="0.25">
      <c r="J5398" t="s">
        <v>927</v>
      </c>
      <c r="K5398" s="22" t="s">
        <v>35</v>
      </c>
      <c r="L5398">
        <v>2</v>
      </c>
      <c r="O5398" s="30"/>
    </row>
    <row r="5399" spans="10:15" x14ac:dyDescent="0.25">
      <c r="J5399" t="s">
        <v>927</v>
      </c>
      <c r="K5399" s="22" t="s">
        <v>22</v>
      </c>
      <c r="L5399">
        <v>2</v>
      </c>
      <c r="O5399" s="30"/>
    </row>
    <row r="5400" spans="10:15" x14ac:dyDescent="0.25">
      <c r="J5400" t="s">
        <v>927</v>
      </c>
      <c r="K5400" s="22" t="s">
        <v>31</v>
      </c>
      <c r="L5400">
        <v>2</v>
      </c>
      <c r="O5400" s="30"/>
    </row>
    <row r="5401" spans="10:15" x14ac:dyDescent="0.25">
      <c r="J5401" t="s">
        <v>1935</v>
      </c>
      <c r="K5401" s="22" t="s">
        <v>29</v>
      </c>
      <c r="L5401">
        <v>1</v>
      </c>
    </row>
    <row r="5402" spans="10:15" x14ac:dyDescent="0.25">
      <c r="J5402" t="s">
        <v>1935</v>
      </c>
      <c r="K5402" s="22" t="s">
        <v>35</v>
      </c>
      <c r="L5402">
        <v>2</v>
      </c>
      <c r="M5402">
        <v>2</v>
      </c>
      <c r="O5402" s="31"/>
    </row>
    <row r="5403" spans="10:15" x14ac:dyDescent="0.25">
      <c r="J5403" t="s">
        <v>2134</v>
      </c>
      <c r="K5403" s="22" t="s">
        <v>26</v>
      </c>
      <c r="L5403">
        <v>1</v>
      </c>
    </row>
    <row r="5404" spans="10:15" x14ac:dyDescent="0.25">
      <c r="J5404" t="s">
        <v>2134</v>
      </c>
      <c r="K5404" s="22" t="s">
        <v>29</v>
      </c>
      <c r="L5404">
        <v>1</v>
      </c>
    </row>
    <row r="5405" spans="10:15" x14ac:dyDescent="0.25">
      <c r="J5405" t="s">
        <v>2134</v>
      </c>
      <c r="K5405" s="22" t="s">
        <v>35</v>
      </c>
      <c r="L5405">
        <v>2</v>
      </c>
      <c r="M5405">
        <v>2</v>
      </c>
      <c r="O5405" s="31"/>
    </row>
    <row r="5406" spans="10:15" x14ac:dyDescent="0.25">
      <c r="J5406" t="s">
        <v>3090</v>
      </c>
      <c r="K5406" s="22" t="s">
        <v>29</v>
      </c>
      <c r="L5406">
        <v>1</v>
      </c>
      <c r="O5406" s="30"/>
    </row>
    <row r="5407" spans="10:15" x14ac:dyDescent="0.25">
      <c r="J5407" t="s">
        <v>3514</v>
      </c>
      <c r="K5407" s="22" t="s">
        <v>29</v>
      </c>
      <c r="L5407">
        <v>1</v>
      </c>
      <c r="M5407">
        <v>1</v>
      </c>
      <c r="O5407" s="31"/>
    </row>
    <row r="5408" spans="10:15" x14ac:dyDescent="0.25">
      <c r="J5408" t="s">
        <v>1222</v>
      </c>
      <c r="K5408" s="22" t="s">
        <v>29</v>
      </c>
      <c r="L5408">
        <v>4</v>
      </c>
      <c r="M5408">
        <v>4</v>
      </c>
      <c r="O5408" s="31"/>
    </row>
    <row r="5409" spans="10:15" x14ac:dyDescent="0.25">
      <c r="J5409" t="s">
        <v>1092</v>
      </c>
      <c r="K5409" s="22" t="s">
        <v>26</v>
      </c>
      <c r="L5409">
        <v>2</v>
      </c>
      <c r="O5409" s="30"/>
    </row>
    <row r="5410" spans="10:15" x14ac:dyDescent="0.25">
      <c r="J5410" t="s">
        <v>1092</v>
      </c>
      <c r="K5410" s="22" t="s">
        <v>28</v>
      </c>
      <c r="L5410">
        <v>2</v>
      </c>
      <c r="M5410">
        <v>2</v>
      </c>
      <c r="O5410" s="31"/>
    </row>
    <row r="5411" spans="10:15" x14ac:dyDescent="0.25">
      <c r="J5411" t="s">
        <v>913</v>
      </c>
      <c r="K5411" s="22" t="s">
        <v>26</v>
      </c>
      <c r="L5411">
        <v>5</v>
      </c>
      <c r="M5411">
        <v>5</v>
      </c>
      <c r="O5411" s="31"/>
    </row>
    <row r="5412" spans="10:15" x14ac:dyDescent="0.25">
      <c r="J5412" t="s">
        <v>1616</v>
      </c>
      <c r="K5412" s="22" t="s">
        <v>26</v>
      </c>
      <c r="L5412">
        <v>1</v>
      </c>
    </row>
    <row r="5413" spans="10:15" x14ac:dyDescent="0.25">
      <c r="J5413" t="s">
        <v>1616</v>
      </c>
      <c r="K5413" s="22" t="s">
        <v>29</v>
      </c>
      <c r="L5413">
        <v>3</v>
      </c>
      <c r="M5413">
        <v>2</v>
      </c>
      <c r="O5413" s="30"/>
    </row>
    <row r="5414" spans="10:15" x14ac:dyDescent="0.25">
      <c r="J5414" t="s">
        <v>1616</v>
      </c>
      <c r="K5414" s="22" t="s">
        <v>35</v>
      </c>
      <c r="L5414">
        <v>2</v>
      </c>
      <c r="M5414">
        <v>1</v>
      </c>
    </row>
    <row r="5415" spans="10:15" x14ac:dyDescent="0.25">
      <c r="J5415" t="s">
        <v>3419</v>
      </c>
      <c r="K5415" s="22" t="s">
        <v>26</v>
      </c>
      <c r="L5415">
        <v>1</v>
      </c>
      <c r="O5415" s="30"/>
    </row>
    <row r="5416" spans="10:15" x14ac:dyDescent="0.25">
      <c r="J5416" t="s">
        <v>3419</v>
      </c>
      <c r="K5416" s="22" t="s">
        <v>29</v>
      </c>
      <c r="L5416">
        <v>1</v>
      </c>
      <c r="O5416" s="30"/>
    </row>
    <row r="5417" spans="10:15" x14ac:dyDescent="0.25">
      <c r="J5417" t="s">
        <v>73</v>
      </c>
      <c r="K5417" s="22" t="s">
        <v>29</v>
      </c>
      <c r="L5417">
        <v>2</v>
      </c>
      <c r="M5417">
        <v>2</v>
      </c>
      <c r="O5417" s="31"/>
    </row>
    <row r="5418" spans="10:15" x14ac:dyDescent="0.25">
      <c r="J5418" t="s">
        <v>73</v>
      </c>
      <c r="K5418" s="22" t="s">
        <v>22</v>
      </c>
      <c r="L5418">
        <v>3</v>
      </c>
      <c r="M5418">
        <v>1</v>
      </c>
      <c r="O5418" s="30"/>
    </row>
    <row r="5419" spans="10:15" x14ac:dyDescent="0.25">
      <c r="J5419" t="s">
        <v>2681</v>
      </c>
      <c r="K5419" s="22" t="s">
        <v>31</v>
      </c>
      <c r="L5419">
        <v>1</v>
      </c>
      <c r="M5419">
        <v>1</v>
      </c>
    </row>
    <row r="5420" spans="10:15" x14ac:dyDescent="0.25">
      <c r="J5420" t="s">
        <v>3386</v>
      </c>
      <c r="K5420" s="22" t="s">
        <v>29</v>
      </c>
      <c r="L5420">
        <v>2</v>
      </c>
      <c r="M5420">
        <v>2</v>
      </c>
      <c r="O5420" s="31"/>
    </row>
    <row r="5421" spans="10:15" x14ac:dyDescent="0.25">
      <c r="J5421" t="s">
        <v>1052</v>
      </c>
      <c r="K5421" s="22" t="s">
        <v>26</v>
      </c>
      <c r="L5421">
        <v>4</v>
      </c>
      <c r="O5421" s="30"/>
    </row>
    <row r="5422" spans="10:15" x14ac:dyDescent="0.25">
      <c r="J5422" t="s">
        <v>1052</v>
      </c>
      <c r="K5422" s="22" t="s">
        <v>29</v>
      </c>
      <c r="L5422">
        <v>1</v>
      </c>
      <c r="M5422">
        <v>1</v>
      </c>
    </row>
    <row r="5423" spans="10:15" x14ac:dyDescent="0.25">
      <c r="J5423" t="s">
        <v>1052</v>
      </c>
      <c r="K5423" s="22" t="s">
        <v>35</v>
      </c>
      <c r="L5423">
        <v>2</v>
      </c>
    </row>
    <row r="5424" spans="10:15" x14ac:dyDescent="0.25">
      <c r="J5424" t="s">
        <v>2372</v>
      </c>
      <c r="K5424" s="22" t="s">
        <v>29</v>
      </c>
      <c r="L5424">
        <v>1</v>
      </c>
      <c r="M5424">
        <v>1</v>
      </c>
    </row>
    <row r="5425" spans="10:15" x14ac:dyDescent="0.25">
      <c r="J5425" t="s">
        <v>3180</v>
      </c>
      <c r="K5425" s="22" t="s">
        <v>29</v>
      </c>
      <c r="L5425">
        <v>1</v>
      </c>
      <c r="M5425">
        <v>1</v>
      </c>
      <c r="O5425" s="31"/>
    </row>
    <row r="5426" spans="10:15" x14ac:dyDescent="0.25">
      <c r="J5426" t="s">
        <v>3509</v>
      </c>
      <c r="K5426" s="22" t="s">
        <v>26</v>
      </c>
      <c r="L5426">
        <v>1</v>
      </c>
      <c r="O5426" s="30"/>
    </row>
    <row r="5427" spans="10:15" x14ac:dyDescent="0.25">
      <c r="J5427" t="s">
        <v>529</v>
      </c>
      <c r="K5427" s="22" t="s">
        <v>26</v>
      </c>
      <c r="L5427">
        <v>4</v>
      </c>
      <c r="O5427" s="30"/>
    </row>
    <row r="5428" spans="10:15" x14ac:dyDescent="0.25">
      <c r="J5428" t="s">
        <v>529</v>
      </c>
      <c r="K5428" s="22" t="s">
        <v>28</v>
      </c>
      <c r="L5428">
        <v>4</v>
      </c>
      <c r="M5428">
        <v>3</v>
      </c>
      <c r="O5428" s="31"/>
    </row>
    <row r="5429" spans="10:15" x14ac:dyDescent="0.25">
      <c r="J5429" t="s">
        <v>529</v>
      </c>
      <c r="K5429" s="22" t="s">
        <v>35</v>
      </c>
      <c r="L5429">
        <v>5</v>
      </c>
      <c r="M5429">
        <v>5</v>
      </c>
      <c r="O5429" s="31"/>
    </row>
    <row r="5430" spans="10:15" x14ac:dyDescent="0.25">
      <c r="J5430" t="s">
        <v>529</v>
      </c>
      <c r="K5430" s="22" t="s">
        <v>31</v>
      </c>
      <c r="L5430">
        <v>4</v>
      </c>
      <c r="M5430">
        <v>1</v>
      </c>
    </row>
    <row r="5431" spans="10:15" x14ac:dyDescent="0.25">
      <c r="J5431" t="s">
        <v>2876</v>
      </c>
      <c r="K5431" s="22" t="s">
        <v>26</v>
      </c>
      <c r="L5431">
        <v>1</v>
      </c>
      <c r="M5431">
        <v>1</v>
      </c>
    </row>
    <row r="5432" spans="10:15" x14ac:dyDescent="0.25">
      <c r="J5432" t="s">
        <v>835</v>
      </c>
      <c r="K5432" s="22" t="s">
        <v>26</v>
      </c>
      <c r="L5432">
        <v>4</v>
      </c>
      <c r="M5432">
        <v>1</v>
      </c>
    </row>
    <row r="5433" spans="10:15" x14ac:dyDescent="0.25">
      <c r="J5433" t="s">
        <v>835</v>
      </c>
      <c r="K5433" s="22" t="s">
        <v>28</v>
      </c>
      <c r="L5433">
        <v>3</v>
      </c>
      <c r="M5433">
        <v>3</v>
      </c>
      <c r="O5433" s="31"/>
    </row>
    <row r="5434" spans="10:15" x14ac:dyDescent="0.25">
      <c r="J5434" t="s">
        <v>2655</v>
      </c>
      <c r="K5434" s="22" t="s">
        <v>35</v>
      </c>
      <c r="L5434">
        <v>6</v>
      </c>
      <c r="M5434">
        <v>6</v>
      </c>
      <c r="O5434" s="31"/>
    </row>
    <row r="5435" spans="10:15" x14ac:dyDescent="0.25">
      <c r="J5435" t="s">
        <v>324</v>
      </c>
      <c r="K5435" s="22" t="s">
        <v>26</v>
      </c>
      <c r="L5435">
        <v>2</v>
      </c>
      <c r="M5435">
        <v>1</v>
      </c>
      <c r="O5435" s="30"/>
    </row>
    <row r="5436" spans="10:15" x14ac:dyDescent="0.25">
      <c r="J5436" t="s">
        <v>2771</v>
      </c>
      <c r="K5436" s="22" t="s">
        <v>26</v>
      </c>
      <c r="L5436">
        <v>1</v>
      </c>
    </row>
    <row r="5437" spans="10:15" x14ac:dyDescent="0.25">
      <c r="J5437" t="s">
        <v>2771</v>
      </c>
      <c r="K5437" s="22" t="s">
        <v>35</v>
      </c>
      <c r="L5437">
        <v>2</v>
      </c>
      <c r="M5437">
        <v>2</v>
      </c>
      <c r="O5437" s="31"/>
    </row>
    <row r="5438" spans="10:15" x14ac:dyDescent="0.25">
      <c r="J5438" t="s">
        <v>2771</v>
      </c>
      <c r="K5438" s="22" t="s">
        <v>31</v>
      </c>
      <c r="L5438">
        <v>1</v>
      </c>
    </row>
    <row r="5439" spans="10:15" x14ac:dyDescent="0.25">
      <c r="J5439" t="s">
        <v>447</v>
      </c>
      <c r="K5439" s="22" t="s">
        <v>35</v>
      </c>
      <c r="L5439">
        <v>1</v>
      </c>
      <c r="M5439">
        <v>1</v>
      </c>
      <c r="O5439" s="31"/>
    </row>
    <row r="5440" spans="10:15" x14ac:dyDescent="0.25">
      <c r="J5440" t="s">
        <v>447</v>
      </c>
      <c r="K5440" s="22" t="s">
        <v>22</v>
      </c>
      <c r="L5440">
        <v>1</v>
      </c>
    </row>
    <row r="5441" spans="10:15" x14ac:dyDescent="0.25">
      <c r="J5441" t="s">
        <v>3092</v>
      </c>
      <c r="K5441" s="22" t="s">
        <v>35</v>
      </c>
      <c r="L5441">
        <v>3</v>
      </c>
      <c r="M5441">
        <v>3</v>
      </c>
      <c r="O5441" s="31"/>
    </row>
    <row r="5442" spans="10:15" x14ac:dyDescent="0.25">
      <c r="J5442" t="s">
        <v>2863</v>
      </c>
      <c r="K5442" s="22" t="s">
        <v>26</v>
      </c>
      <c r="L5442">
        <v>1</v>
      </c>
      <c r="M5442">
        <v>1</v>
      </c>
    </row>
    <row r="5443" spans="10:15" x14ac:dyDescent="0.25">
      <c r="J5443" t="s">
        <v>2389</v>
      </c>
      <c r="K5443" s="22" t="s">
        <v>35</v>
      </c>
      <c r="L5443">
        <v>2</v>
      </c>
      <c r="M5443">
        <v>2</v>
      </c>
      <c r="O5443" s="31"/>
    </row>
    <row r="5444" spans="10:15" x14ac:dyDescent="0.25">
      <c r="J5444" t="s">
        <v>1186</v>
      </c>
      <c r="K5444" s="22" t="s">
        <v>28</v>
      </c>
      <c r="L5444">
        <v>3</v>
      </c>
      <c r="M5444">
        <v>3</v>
      </c>
      <c r="O5444" s="31"/>
    </row>
    <row r="5445" spans="10:15" x14ac:dyDescent="0.25">
      <c r="J5445" t="s">
        <v>1217</v>
      </c>
      <c r="K5445" s="22" t="s">
        <v>26</v>
      </c>
      <c r="L5445">
        <v>1</v>
      </c>
    </row>
    <row r="5446" spans="10:15" x14ac:dyDescent="0.25">
      <c r="J5446" t="s">
        <v>1217</v>
      </c>
      <c r="K5446" s="22" t="s">
        <v>28</v>
      </c>
      <c r="L5446">
        <v>1</v>
      </c>
      <c r="M5446">
        <v>1</v>
      </c>
      <c r="O5446" s="31"/>
    </row>
    <row r="5447" spans="10:15" x14ac:dyDescent="0.25">
      <c r="J5447" t="s">
        <v>1345</v>
      </c>
      <c r="K5447" s="22" t="s">
        <v>26</v>
      </c>
      <c r="L5447">
        <v>1</v>
      </c>
    </row>
    <row r="5448" spans="10:15" x14ac:dyDescent="0.25">
      <c r="J5448" t="s">
        <v>1345</v>
      </c>
      <c r="K5448" s="22" t="s">
        <v>22</v>
      </c>
      <c r="L5448">
        <v>2</v>
      </c>
      <c r="M5448">
        <v>1</v>
      </c>
      <c r="O5448" s="30"/>
    </row>
    <row r="5449" spans="10:15" x14ac:dyDescent="0.25">
      <c r="J5449" t="s">
        <v>1345</v>
      </c>
      <c r="K5449" s="22" t="s">
        <v>31</v>
      </c>
      <c r="L5449">
        <v>1</v>
      </c>
    </row>
    <row r="5450" spans="10:15" x14ac:dyDescent="0.25">
      <c r="J5450" t="s">
        <v>3260</v>
      </c>
      <c r="K5450" s="22" t="s">
        <v>28</v>
      </c>
      <c r="L5450">
        <v>1</v>
      </c>
      <c r="M5450">
        <v>1</v>
      </c>
      <c r="O5450" s="31"/>
    </row>
    <row r="5451" spans="10:15" x14ac:dyDescent="0.25">
      <c r="J5451" t="s">
        <v>780</v>
      </c>
      <c r="K5451" s="22" t="s">
        <v>28</v>
      </c>
      <c r="L5451">
        <v>2</v>
      </c>
      <c r="M5451">
        <v>2</v>
      </c>
    </row>
    <row r="5452" spans="10:15" x14ac:dyDescent="0.25">
      <c r="J5452" t="s">
        <v>2549</v>
      </c>
      <c r="K5452" s="22" t="s">
        <v>26</v>
      </c>
      <c r="L5452">
        <v>1</v>
      </c>
    </row>
    <row r="5453" spans="10:15" x14ac:dyDescent="0.25">
      <c r="J5453" t="s">
        <v>2549</v>
      </c>
      <c r="K5453" s="22" t="s">
        <v>35</v>
      </c>
      <c r="L5453">
        <v>1</v>
      </c>
      <c r="M5453">
        <v>1</v>
      </c>
    </row>
    <row r="5454" spans="10:15" x14ac:dyDescent="0.25">
      <c r="J5454" t="s">
        <v>3431</v>
      </c>
      <c r="K5454" s="22" t="s">
        <v>22</v>
      </c>
      <c r="L5454">
        <v>1</v>
      </c>
      <c r="O5454" s="30"/>
    </row>
    <row r="5455" spans="10:15" x14ac:dyDescent="0.25">
      <c r="J5455" t="s">
        <v>2351</v>
      </c>
      <c r="K5455" s="22" t="s">
        <v>26</v>
      </c>
      <c r="L5455">
        <v>1</v>
      </c>
    </row>
    <row r="5456" spans="10:15" x14ac:dyDescent="0.25">
      <c r="J5456" t="s">
        <v>2351</v>
      </c>
      <c r="K5456" s="22" t="s">
        <v>31</v>
      </c>
      <c r="L5456">
        <v>2</v>
      </c>
      <c r="M5456">
        <v>2</v>
      </c>
      <c r="O5456" s="31"/>
    </row>
    <row r="5457" spans="10:15" x14ac:dyDescent="0.25">
      <c r="J5457" t="s">
        <v>1882</v>
      </c>
      <c r="K5457" s="22" t="s">
        <v>26</v>
      </c>
      <c r="L5457">
        <v>3</v>
      </c>
      <c r="M5457">
        <v>1</v>
      </c>
      <c r="O5457" s="30"/>
    </row>
    <row r="5458" spans="10:15" x14ac:dyDescent="0.25">
      <c r="J5458" t="s">
        <v>1882</v>
      </c>
      <c r="K5458" s="22" t="s">
        <v>30</v>
      </c>
      <c r="L5458">
        <v>6</v>
      </c>
      <c r="O5458" s="30"/>
    </row>
    <row r="5459" spans="10:15" x14ac:dyDescent="0.25">
      <c r="J5459" t="s">
        <v>1882</v>
      </c>
      <c r="K5459" s="22" t="s">
        <v>29</v>
      </c>
      <c r="L5459">
        <v>1</v>
      </c>
      <c r="O5459" s="30"/>
    </row>
    <row r="5460" spans="10:15" x14ac:dyDescent="0.25">
      <c r="J5460" t="s">
        <v>1882</v>
      </c>
      <c r="K5460" s="22" t="s">
        <v>28</v>
      </c>
      <c r="L5460">
        <v>1</v>
      </c>
      <c r="O5460" s="30"/>
    </row>
    <row r="5461" spans="10:15" x14ac:dyDescent="0.25">
      <c r="J5461" t="s">
        <v>1882</v>
      </c>
      <c r="K5461" s="22" t="s">
        <v>35</v>
      </c>
      <c r="L5461">
        <v>7</v>
      </c>
      <c r="M5461">
        <v>3</v>
      </c>
      <c r="O5461" s="30"/>
    </row>
    <row r="5462" spans="10:15" x14ac:dyDescent="0.25">
      <c r="J5462" t="s">
        <v>1882</v>
      </c>
      <c r="K5462" s="22" t="s">
        <v>22</v>
      </c>
      <c r="L5462">
        <v>2</v>
      </c>
    </row>
    <row r="5463" spans="10:15" x14ac:dyDescent="0.25">
      <c r="J5463" t="s">
        <v>1840</v>
      </c>
      <c r="K5463" s="22" t="s">
        <v>29</v>
      </c>
      <c r="L5463">
        <v>1</v>
      </c>
    </row>
    <row r="5464" spans="10:15" x14ac:dyDescent="0.25">
      <c r="J5464" t="s">
        <v>1840</v>
      </c>
      <c r="K5464" s="22" t="s">
        <v>28</v>
      </c>
      <c r="L5464">
        <v>3</v>
      </c>
      <c r="O5464" s="30"/>
    </row>
    <row r="5465" spans="10:15" x14ac:dyDescent="0.25">
      <c r="J5465" t="s">
        <v>1840</v>
      </c>
      <c r="K5465" s="22" t="s">
        <v>35</v>
      </c>
      <c r="L5465">
        <v>2</v>
      </c>
      <c r="M5465">
        <v>1</v>
      </c>
      <c r="O5465" s="30"/>
    </row>
    <row r="5466" spans="10:15" x14ac:dyDescent="0.25">
      <c r="J5466" t="s">
        <v>1840</v>
      </c>
      <c r="K5466" s="22" t="s">
        <v>31</v>
      </c>
      <c r="L5466">
        <v>2</v>
      </c>
      <c r="O5466" s="30"/>
    </row>
    <row r="5467" spans="10:15" x14ac:dyDescent="0.25">
      <c r="J5467" t="s">
        <v>422</v>
      </c>
      <c r="K5467" s="22" t="s">
        <v>29</v>
      </c>
      <c r="L5467">
        <v>3</v>
      </c>
      <c r="O5467" s="30"/>
    </row>
    <row r="5468" spans="10:15" x14ac:dyDescent="0.25">
      <c r="J5468" t="s">
        <v>422</v>
      </c>
      <c r="K5468" s="22" t="s">
        <v>35</v>
      </c>
      <c r="L5468">
        <v>4</v>
      </c>
      <c r="M5468">
        <v>4</v>
      </c>
      <c r="O5468" s="31"/>
    </row>
    <row r="5469" spans="10:15" x14ac:dyDescent="0.25">
      <c r="J5469" t="s">
        <v>2632</v>
      </c>
      <c r="K5469" s="22" t="s">
        <v>30</v>
      </c>
      <c r="L5469">
        <v>1</v>
      </c>
    </row>
    <row r="5470" spans="10:15" x14ac:dyDescent="0.25">
      <c r="J5470" t="s">
        <v>2632</v>
      </c>
      <c r="K5470" s="22" t="s">
        <v>29</v>
      </c>
      <c r="L5470">
        <v>1</v>
      </c>
    </row>
    <row r="5471" spans="10:15" x14ac:dyDescent="0.25">
      <c r="J5471" t="s">
        <v>2632</v>
      </c>
      <c r="K5471" s="22" t="s">
        <v>28</v>
      </c>
      <c r="L5471">
        <v>1</v>
      </c>
    </row>
    <row r="5472" spans="10:15" x14ac:dyDescent="0.25">
      <c r="J5472" t="s">
        <v>2632</v>
      </c>
      <c r="K5472" s="22" t="s">
        <v>22</v>
      </c>
      <c r="L5472">
        <v>1</v>
      </c>
    </row>
    <row r="5473" spans="10:15" x14ac:dyDescent="0.25">
      <c r="J5473" t="s">
        <v>2632</v>
      </c>
      <c r="K5473" s="22" t="s">
        <v>31</v>
      </c>
      <c r="L5473">
        <v>1</v>
      </c>
    </row>
    <row r="5474" spans="10:15" x14ac:dyDescent="0.25">
      <c r="J5474" t="s">
        <v>254</v>
      </c>
      <c r="K5474" s="22" t="s">
        <v>29</v>
      </c>
      <c r="L5474">
        <v>6</v>
      </c>
      <c r="M5474">
        <v>1</v>
      </c>
      <c r="O5474" s="31"/>
    </row>
    <row r="5475" spans="10:15" x14ac:dyDescent="0.25">
      <c r="J5475" t="s">
        <v>254</v>
      </c>
      <c r="K5475" s="22" t="s">
        <v>22</v>
      </c>
      <c r="L5475">
        <v>4</v>
      </c>
      <c r="M5475">
        <v>4</v>
      </c>
      <c r="O5475" s="31"/>
    </row>
    <row r="5476" spans="10:15" x14ac:dyDescent="0.25">
      <c r="J5476" t="s">
        <v>626</v>
      </c>
      <c r="K5476" s="22" t="s">
        <v>26</v>
      </c>
      <c r="L5476">
        <v>4</v>
      </c>
      <c r="M5476">
        <v>3</v>
      </c>
      <c r="O5476" s="31"/>
    </row>
    <row r="5477" spans="10:15" x14ac:dyDescent="0.25">
      <c r="J5477" t="s">
        <v>626</v>
      </c>
      <c r="K5477" s="22" t="s">
        <v>31</v>
      </c>
      <c r="L5477">
        <v>1</v>
      </c>
      <c r="M5477">
        <v>1</v>
      </c>
    </row>
    <row r="5478" spans="10:15" x14ac:dyDescent="0.25">
      <c r="J5478" t="s">
        <v>1207</v>
      </c>
      <c r="K5478" s="22" t="s">
        <v>26</v>
      </c>
      <c r="L5478">
        <v>2</v>
      </c>
      <c r="M5478">
        <v>1</v>
      </c>
    </row>
    <row r="5479" spans="10:15" x14ac:dyDescent="0.25">
      <c r="J5479" t="s">
        <v>1207</v>
      </c>
      <c r="K5479" s="22" t="s">
        <v>30</v>
      </c>
      <c r="L5479">
        <v>1</v>
      </c>
    </row>
    <row r="5480" spans="10:15" x14ac:dyDescent="0.25">
      <c r="J5480" t="s">
        <v>1207</v>
      </c>
      <c r="K5480" s="22" t="s">
        <v>29</v>
      </c>
      <c r="L5480">
        <v>1</v>
      </c>
      <c r="O5480" s="30"/>
    </row>
    <row r="5481" spans="10:15" x14ac:dyDescent="0.25">
      <c r="J5481" t="s">
        <v>1207</v>
      </c>
      <c r="K5481" s="22" t="s">
        <v>28</v>
      </c>
      <c r="L5481">
        <v>1</v>
      </c>
    </row>
    <row r="5482" spans="10:15" x14ac:dyDescent="0.25">
      <c r="J5482" t="s">
        <v>573</v>
      </c>
      <c r="K5482" s="22" t="s">
        <v>30</v>
      </c>
      <c r="L5482">
        <v>2</v>
      </c>
      <c r="M5482">
        <v>1</v>
      </c>
      <c r="O5482" s="31"/>
    </row>
    <row r="5483" spans="10:15" x14ac:dyDescent="0.25">
      <c r="J5483" t="s">
        <v>573</v>
      </c>
      <c r="K5483" s="22" t="s">
        <v>29</v>
      </c>
      <c r="L5483">
        <v>1</v>
      </c>
    </row>
    <row r="5484" spans="10:15" x14ac:dyDescent="0.25">
      <c r="J5484" t="s">
        <v>573</v>
      </c>
      <c r="K5484" s="22" t="s">
        <v>35</v>
      </c>
      <c r="L5484">
        <v>2</v>
      </c>
      <c r="M5484">
        <v>1</v>
      </c>
    </row>
    <row r="5485" spans="10:15" x14ac:dyDescent="0.25">
      <c r="J5485" t="s">
        <v>573</v>
      </c>
      <c r="K5485" s="22" t="s">
        <v>31</v>
      </c>
      <c r="L5485">
        <v>1</v>
      </c>
      <c r="M5485">
        <v>1</v>
      </c>
      <c r="O5485" s="31"/>
    </row>
    <row r="5486" spans="10:15" x14ac:dyDescent="0.25">
      <c r="J5486" t="s">
        <v>759</v>
      </c>
      <c r="K5486" s="22" t="s">
        <v>26</v>
      </c>
      <c r="L5486">
        <v>1</v>
      </c>
    </row>
    <row r="5487" spans="10:15" x14ac:dyDescent="0.25">
      <c r="J5487" t="s">
        <v>759</v>
      </c>
      <c r="K5487" s="22" t="s">
        <v>30</v>
      </c>
      <c r="L5487">
        <v>1</v>
      </c>
    </row>
    <row r="5488" spans="10:15" x14ac:dyDescent="0.25">
      <c r="J5488" t="s">
        <v>759</v>
      </c>
      <c r="K5488" s="22" t="s">
        <v>29</v>
      </c>
      <c r="L5488">
        <v>4</v>
      </c>
      <c r="M5488">
        <v>1</v>
      </c>
      <c r="O5488" s="30"/>
    </row>
    <row r="5489" spans="10:15" x14ac:dyDescent="0.25">
      <c r="J5489" t="s">
        <v>759</v>
      </c>
      <c r="K5489" s="22" t="s">
        <v>35</v>
      </c>
      <c r="L5489">
        <v>1</v>
      </c>
      <c r="O5489" s="30"/>
    </row>
    <row r="5490" spans="10:15" x14ac:dyDescent="0.25">
      <c r="J5490" t="s">
        <v>759</v>
      </c>
      <c r="K5490" s="22" t="s">
        <v>22</v>
      </c>
      <c r="L5490">
        <v>1</v>
      </c>
      <c r="O5490" s="30"/>
    </row>
    <row r="5491" spans="10:15" x14ac:dyDescent="0.25">
      <c r="J5491" t="s">
        <v>2107</v>
      </c>
      <c r="K5491" s="22" t="s">
        <v>26</v>
      </c>
      <c r="L5491">
        <v>3</v>
      </c>
      <c r="M5491">
        <v>1</v>
      </c>
      <c r="O5491" s="30"/>
    </row>
    <row r="5492" spans="10:15" x14ac:dyDescent="0.25">
      <c r="J5492" t="s">
        <v>2107</v>
      </c>
      <c r="K5492" s="22" t="s">
        <v>30</v>
      </c>
      <c r="L5492">
        <v>1</v>
      </c>
    </row>
    <row r="5493" spans="10:15" x14ac:dyDescent="0.25">
      <c r="J5493" t="s">
        <v>2107</v>
      </c>
      <c r="K5493" s="22" t="s">
        <v>29</v>
      </c>
      <c r="L5493">
        <v>2</v>
      </c>
      <c r="O5493" s="30"/>
    </row>
    <row r="5494" spans="10:15" x14ac:dyDescent="0.25">
      <c r="J5494" t="s">
        <v>2107</v>
      </c>
      <c r="K5494" s="22" t="s">
        <v>35</v>
      </c>
      <c r="L5494">
        <v>1</v>
      </c>
    </row>
    <row r="5495" spans="10:15" x14ac:dyDescent="0.25">
      <c r="J5495" t="s">
        <v>2107</v>
      </c>
      <c r="K5495" s="22" t="s">
        <v>31</v>
      </c>
      <c r="L5495">
        <v>2</v>
      </c>
      <c r="M5495">
        <v>1</v>
      </c>
      <c r="O5495" s="30"/>
    </row>
    <row r="5496" spans="10:15" x14ac:dyDescent="0.25">
      <c r="J5496" t="s">
        <v>1842</v>
      </c>
      <c r="K5496" s="22" t="s">
        <v>26</v>
      </c>
      <c r="L5496">
        <v>1</v>
      </c>
    </row>
    <row r="5497" spans="10:15" x14ac:dyDescent="0.25">
      <c r="J5497" t="s">
        <v>1842</v>
      </c>
      <c r="K5497" s="22" t="s">
        <v>30</v>
      </c>
      <c r="L5497">
        <v>3</v>
      </c>
      <c r="O5497" s="30"/>
    </row>
    <row r="5498" spans="10:15" x14ac:dyDescent="0.25">
      <c r="J5498" t="s">
        <v>1842</v>
      </c>
      <c r="K5498" s="22" t="s">
        <v>29</v>
      </c>
      <c r="L5498">
        <v>2</v>
      </c>
      <c r="O5498" s="30"/>
    </row>
    <row r="5499" spans="10:15" x14ac:dyDescent="0.25">
      <c r="J5499" t="s">
        <v>1842</v>
      </c>
      <c r="K5499" s="22" t="s">
        <v>35</v>
      </c>
      <c r="L5499">
        <v>3</v>
      </c>
      <c r="O5499" s="30"/>
    </row>
    <row r="5500" spans="10:15" x14ac:dyDescent="0.25">
      <c r="J5500" t="s">
        <v>2932</v>
      </c>
      <c r="K5500" s="22" t="s">
        <v>26</v>
      </c>
      <c r="L5500">
        <v>1</v>
      </c>
      <c r="O5500" s="30"/>
    </row>
    <row r="5501" spans="10:15" x14ac:dyDescent="0.25">
      <c r="J5501" t="s">
        <v>2932</v>
      </c>
      <c r="K5501" s="22" t="s">
        <v>30</v>
      </c>
      <c r="L5501">
        <v>1</v>
      </c>
    </row>
    <row r="5502" spans="10:15" x14ac:dyDescent="0.25">
      <c r="J5502" t="s">
        <v>2932</v>
      </c>
      <c r="K5502" s="22" t="s">
        <v>29</v>
      </c>
      <c r="L5502">
        <v>2</v>
      </c>
      <c r="M5502">
        <v>1</v>
      </c>
      <c r="O5502" s="30"/>
    </row>
    <row r="5503" spans="10:15" x14ac:dyDescent="0.25">
      <c r="J5503" t="s">
        <v>1720</v>
      </c>
      <c r="K5503" s="22" t="s">
        <v>29</v>
      </c>
      <c r="L5503">
        <v>4</v>
      </c>
      <c r="M5503">
        <v>1</v>
      </c>
      <c r="O5503" s="30"/>
    </row>
    <row r="5504" spans="10:15" x14ac:dyDescent="0.25">
      <c r="J5504" t="s">
        <v>1720</v>
      </c>
      <c r="K5504" s="22" t="s">
        <v>31</v>
      </c>
      <c r="L5504">
        <v>1</v>
      </c>
      <c r="M5504">
        <v>1</v>
      </c>
    </row>
    <row r="5505" spans="10:15" x14ac:dyDescent="0.25">
      <c r="J5505" t="s">
        <v>753</v>
      </c>
      <c r="K5505" s="22" t="s">
        <v>26</v>
      </c>
      <c r="L5505">
        <v>1</v>
      </c>
    </row>
    <row r="5506" spans="10:15" x14ac:dyDescent="0.25">
      <c r="J5506" t="s">
        <v>753</v>
      </c>
      <c r="K5506" s="22" t="s">
        <v>30</v>
      </c>
      <c r="L5506">
        <v>4</v>
      </c>
      <c r="M5506">
        <v>1</v>
      </c>
    </row>
    <row r="5507" spans="10:15" x14ac:dyDescent="0.25">
      <c r="J5507" t="s">
        <v>753</v>
      </c>
      <c r="K5507" s="22" t="s">
        <v>29</v>
      </c>
      <c r="L5507">
        <v>1</v>
      </c>
    </row>
    <row r="5508" spans="10:15" x14ac:dyDescent="0.25">
      <c r="J5508" t="s">
        <v>753</v>
      </c>
      <c r="K5508" s="22" t="s">
        <v>31</v>
      </c>
      <c r="L5508">
        <v>1</v>
      </c>
    </row>
    <row r="5509" spans="10:15" x14ac:dyDescent="0.25">
      <c r="J5509" t="s">
        <v>3382</v>
      </c>
      <c r="K5509" s="22" t="s">
        <v>30</v>
      </c>
      <c r="L5509">
        <v>1</v>
      </c>
      <c r="O5509" s="30"/>
    </row>
    <row r="5510" spans="10:15" x14ac:dyDescent="0.25">
      <c r="J5510" t="s">
        <v>3382</v>
      </c>
      <c r="K5510" s="22" t="s">
        <v>29</v>
      </c>
      <c r="L5510">
        <v>1</v>
      </c>
      <c r="O5510" s="30"/>
    </row>
    <row r="5511" spans="10:15" x14ac:dyDescent="0.25">
      <c r="J5511" t="s">
        <v>2580</v>
      </c>
      <c r="K5511" s="22" t="s">
        <v>26</v>
      </c>
      <c r="L5511">
        <v>2</v>
      </c>
      <c r="O5511" s="30"/>
    </row>
    <row r="5512" spans="10:15" x14ac:dyDescent="0.25">
      <c r="J5512" t="s">
        <v>2580</v>
      </c>
      <c r="K5512" s="22" t="s">
        <v>30</v>
      </c>
      <c r="L5512">
        <v>2</v>
      </c>
      <c r="O5512" s="30"/>
    </row>
    <row r="5513" spans="10:15" x14ac:dyDescent="0.25">
      <c r="J5513" t="s">
        <v>2580</v>
      </c>
      <c r="K5513" s="22" t="s">
        <v>29</v>
      </c>
      <c r="L5513">
        <v>2</v>
      </c>
      <c r="O5513" s="30"/>
    </row>
    <row r="5514" spans="10:15" x14ac:dyDescent="0.25">
      <c r="J5514" t="s">
        <v>2968</v>
      </c>
      <c r="K5514" s="22" t="s">
        <v>29</v>
      </c>
      <c r="L5514">
        <v>2</v>
      </c>
      <c r="M5514">
        <v>1</v>
      </c>
      <c r="O5514" s="30"/>
    </row>
    <row r="5515" spans="10:15" x14ac:dyDescent="0.25">
      <c r="J5515" t="s">
        <v>2270</v>
      </c>
      <c r="K5515" s="22" t="s">
        <v>22</v>
      </c>
      <c r="L5515">
        <v>3</v>
      </c>
      <c r="M5515">
        <v>3</v>
      </c>
      <c r="O5515" s="31"/>
    </row>
    <row r="5516" spans="10:15" x14ac:dyDescent="0.25">
      <c r="J5516" t="s">
        <v>3356</v>
      </c>
      <c r="K5516" s="22" t="s">
        <v>31</v>
      </c>
      <c r="L5516">
        <v>1</v>
      </c>
      <c r="M5516">
        <v>1</v>
      </c>
      <c r="O5516" s="31"/>
    </row>
    <row r="5517" spans="10:15" x14ac:dyDescent="0.25">
      <c r="J5517" t="s">
        <v>2426</v>
      </c>
      <c r="K5517" s="22" t="s">
        <v>26</v>
      </c>
      <c r="L5517">
        <v>5</v>
      </c>
      <c r="M5517">
        <v>5</v>
      </c>
      <c r="O5517" s="31"/>
    </row>
    <row r="5518" spans="10:15" x14ac:dyDescent="0.25">
      <c r="J5518" t="s">
        <v>2426</v>
      </c>
      <c r="K5518" s="22" t="s">
        <v>28</v>
      </c>
      <c r="L5518">
        <v>2</v>
      </c>
      <c r="M5518">
        <v>1</v>
      </c>
    </row>
    <row r="5519" spans="10:15" x14ac:dyDescent="0.25">
      <c r="J5519" t="s">
        <v>2426</v>
      </c>
      <c r="K5519" s="22" t="s">
        <v>35</v>
      </c>
      <c r="L5519">
        <v>2</v>
      </c>
      <c r="O5519" s="30"/>
    </row>
    <row r="5520" spans="10:15" x14ac:dyDescent="0.25">
      <c r="J5520" t="s">
        <v>2426</v>
      </c>
      <c r="K5520" s="22" t="s">
        <v>22</v>
      </c>
      <c r="L5520">
        <v>4</v>
      </c>
      <c r="M5520">
        <v>2</v>
      </c>
      <c r="O5520" s="31"/>
    </row>
    <row r="5521" spans="10:15" x14ac:dyDescent="0.25">
      <c r="J5521" t="s">
        <v>2426</v>
      </c>
      <c r="K5521" s="22" t="s">
        <v>31</v>
      </c>
      <c r="L5521">
        <v>3</v>
      </c>
      <c r="O5521" s="30"/>
    </row>
    <row r="5522" spans="10:15" x14ac:dyDescent="0.25">
      <c r="J5522" t="s">
        <v>484</v>
      </c>
      <c r="K5522" s="22" t="s">
        <v>26</v>
      </c>
      <c r="L5522">
        <v>3</v>
      </c>
      <c r="M5522">
        <v>3</v>
      </c>
      <c r="O5522" s="31"/>
    </row>
    <row r="5523" spans="10:15" x14ac:dyDescent="0.25">
      <c r="J5523" t="s">
        <v>484</v>
      </c>
      <c r="K5523" s="22" t="s">
        <v>30</v>
      </c>
      <c r="L5523">
        <v>1</v>
      </c>
      <c r="O5523" s="30"/>
    </row>
    <row r="5524" spans="10:15" x14ac:dyDescent="0.25">
      <c r="J5524" t="s">
        <v>484</v>
      </c>
      <c r="K5524" s="22" t="s">
        <v>28</v>
      </c>
      <c r="L5524">
        <v>2</v>
      </c>
      <c r="O5524" s="30"/>
    </row>
    <row r="5525" spans="10:15" x14ac:dyDescent="0.25">
      <c r="J5525" t="s">
        <v>484</v>
      </c>
      <c r="K5525" s="22" t="s">
        <v>22</v>
      </c>
      <c r="L5525">
        <v>4</v>
      </c>
      <c r="M5525">
        <v>2</v>
      </c>
      <c r="O5525" s="30"/>
    </row>
    <row r="5526" spans="10:15" x14ac:dyDescent="0.25">
      <c r="J5526" t="s">
        <v>1915</v>
      </c>
      <c r="K5526" s="22" t="s">
        <v>26</v>
      </c>
      <c r="L5526">
        <v>2</v>
      </c>
      <c r="M5526">
        <v>2</v>
      </c>
      <c r="O5526" s="31"/>
    </row>
    <row r="5527" spans="10:15" x14ac:dyDescent="0.25">
      <c r="J5527" t="s">
        <v>1915</v>
      </c>
      <c r="K5527" s="22" t="s">
        <v>28</v>
      </c>
      <c r="L5527">
        <v>1</v>
      </c>
      <c r="O5527" s="30"/>
    </row>
    <row r="5528" spans="10:15" x14ac:dyDescent="0.25">
      <c r="J5528" t="s">
        <v>1915</v>
      </c>
      <c r="K5528" s="22" t="s">
        <v>35</v>
      </c>
      <c r="L5528">
        <v>1</v>
      </c>
      <c r="O5528" s="30"/>
    </row>
    <row r="5529" spans="10:15" x14ac:dyDescent="0.25">
      <c r="J5529" t="s">
        <v>1915</v>
      </c>
      <c r="K5529" s="22" t="s">
        <v>31</v>
      </c>
      <c r="L5529">
        <v>2</v>
      </c>
      <c r="O5529" s="30"/>
    </row>
    <row r="5530" spans="10:15" x14ac:dyDescent="0.25">
      <c r="J5530" t="s">
        <v>1261</v>
      </c>
      <c r="K5530" s="22" t="s">
        <v>26</v>
      </c>
      <c r="L5530">
        <v>3</v>
      </c>
      <c r="M5530">
        <v>3</v>
      </c>
      <c r="O5530" s="31"/>
    </row>
    <row r="5531" spans="10:15" x14ac:dyDescent="0.25">
      <c r="J5531" t="s">
        <v>203</v>
      </c>
      <c r="K5531" s="22" t="s">
        <v>26</v>
      </c>
      <c r="L5531">
        <v>3</v>
      </c>
      <c r="M5531">
        <v>3</v>
      </c>
    </row>
    <row r="5532" spans="10:15" x14ac:dyDescent="0.25">
      <c r="J5532" t="s">
        <v>203</v>
      </c>
      <c r="K5532" s="22" t="s">
        <v>30</v>
      </c>
      <c r="L5532">
        <v>3</v>
      </c>
    </row>
    <row r="5533" spans="10:15" x14ac:dyDescent="0.25">
      <c r="J5533" t="s">
        <v>203</v>
      </c>
      <c r="K5533" s="22" t="s">
        <v>28</v>
      </c>
      <c r="L5533">
        <v>3</v>
      </c>
      <c r="O5533" s="30"/>
    </row>
    <row r="5534" spans="10:15" x14ac:dyDescent="0.25">
      <c r="J5534" t="s">
        <v>203</v>
      </c>
      <c r="K5534" s="22" t="s">
        <v>22</v>
      </c>
      <c r="L5534">
        <v>5</v>
      </c>
      <c r="M5534">
        <v>1</v>
      </c>
      <c r="O5534" s="30"/>
    </row>
    <row r="5535" spans="10:15" x14ac:dyDescent="0.25">
      <c r="J5535" t="s">
        <v>203</v>
      </c>
      <c r="K5535" s="22" t="s">
        <v>31</v>
      </c>
      <c r="L5535">
        <v>2</v>
      </c>
      <c r="M5535">
        <v>1</v>
      </c>
    </row>
    <row r="5536" spans="10:15" x14ac:dyDescent="0.25">
      <c r="J5536" t="s">
        <v>218</v>
      </c>
      <c r="K5536" s="22" t="s">
        <v>26</v>
      </c>
      <c r="L5536">
        <v>3</v>
      </c>
      <c r="M5536">
        <v>1</v>
      </c>
      <c r="O5536" s="30"/>
    </row>
    <row r="5537" spans="10:15" x14ac:dyDescent="0.25">
      <c r="J5537" t="s">
        <v>218</v>
      </c>
      <c r="K5537" s="22" t="s">
        <v>30</v>
      </c>
      <c r="L5537">
        <v>2</v>
      </c>
      <c r="O5537" s="30"/>
    </row>
    <row r="5538" spans="10:15" x14ac:dyDescent="0.25">
      <c r="J5538" t="s">
        <v>218</v>
      </c>
      <c r="K5538" s="22" t="s">
        <v>28</v>
      </c>
      <c r="L5538">
        <v>1</v>
      </c>
    </row>
    <row r="5539" spans="10:15" x14ac:dyDescent="0.25">
      <c r="J5539" t="s">
        <v>218</v>
      </c>
      <c r="K5539" s="22" t="s">
        <v>22</v>
      </c>
      <c r="L5539">
        <v>1</v>
      </c>
    </row>
    <row r="5540" spans="10:15" x14ac:dyDescent="0.25">
      <c r="J5540" t="s">
        <v>180</v>
      </c>
      <c r="K5540" s="22" t="s">
        <v>30</v>
      </c>
      <c r="L5540">
        <v>1</v>
      </c>
      <c r="O5540" s="30"/>
    </row>
    <row r="5541" spans="10:15" x14ac:dyDescent="0.25">
      <c r="J5541" t="s">
        <v>180</v>
      </c>
      <c r="K5541" s="22" t="s">
        <v>28</v>
      </c>
      <c r="L5541">
        <v>2</v>
      </c>
      <c r="M5541">
        <v>1</v>
      </c>
      <c r="O5541" s="30"/>
    </row>
    <row r="5542" spans="10:15" x14ac:dyDescent="0.25">
      <c r="J5542" t="s">
        <v>1095</v>
      </c>
      <c r="K5542" s="22" t="s">
        <v>30</v>
      </c>
      <c r="L5542">
        <v>1</v>
      </c>
    </row>
    <row r="5543" spans="10:15" x14ac:dyDescent="0.25">
      <c r="J5543" t="s">
        <v>3203</v>
      </c>
      <c r="K5543" s="22" t="s">
        <v>26</v>
      </c>
      <c r="L5543">
        <v>1</v>
      </c>
      <c r="O5543" s="30"/>
    </row>
    <row r="5544" spans="10:15" x14ac:dyDescent="0.25">
      <c r="J5544" t="s">
        <v>1020</v>
      </c>
      <c r="K5544" s="22" t="s">
        <v>26</v>
      </c>
      <c r="L5544">
        <v>3</v>
      </c>
      <c r="M5544">
        <v>3</v>
      </c>
      <c r="O5544" s="31"/>
    </row>
    <row r="5545" spans="10:15" x14ac:dyDescent="0.25">
      <c r="J5545" t="s">
        <v>1020</v>
      </c>
      <c r="K5545" s="22" t="s">
        <v>28</v>
      </c>
      <c r="L5545">
        <v>1</v>
      </c>
    </row>
    <row r="5546" spans="10:15" x14ac:dyDescent="0.25">
      <c r="J5546" t="s">
        <v>1832</v>
      </c>
      <c r="K5546" s="22" t="s">
        <v>30</v>
      </c>
      <c r="L5546">
        <v>8</v>
      </c>
      <c r="M5546">
        <v>8</v>
      </c>
      <c r="O5546" s="31"/>
    </row>
    <row r="5547" spans="10:15" x14ac:dyDescent="0.25">
      <c r="J5547" t="s">
        <v>1832</v>
      </c>
      <c r="K5547" s="22" t="s">
        <v>35</v>
      </c>
      <c r="L5547">
        <v>2</v>
      </c>
      <c r="O5547" s="30"/>
    </row>
    <row r="5548" spans="10:15" x14ac:dyDescent="0.25">
      <c r="J5548" t="s">
        <v>1832</v>
      </c>
      <c r="K5548" s="22" t="s">
        <v>22</v>
      </c>
      <c r="L5548">
        <v>2</v>
      </c>
      <c r="O5548" s="30"/>
    </row>
    <row r="5549" spans="10:15" x14ac:dyDescent="0.25">
      <c r="J5549" t="s">
        <v>1847</v>
      </c>
      <c r="K5549" s="22" t="s">
        <v>30</v>
      </c>
      <c r="L5549">
        <v>6</v>
      </c>
      <c r="M5549">
        <v>6</v>
      </c>
      <c r="O5549" s="31"/>
    </row>
    <row r="5550" spans="10:15" x14ac:dyDescent="0.25">
      <c r="J5550" t="s">
        <v>2651</v>
      </c>
      <c r="K5550" s="22" t="s">
        <v>26</v>
      </c>
      <c r="L5550">
        <v>1</v>
      </c>
      <c r="M5550">
        <v>1</v>
      </c>
      <c r="O5550" s="31"/>
    </row>
    <row r="5551" spans="10:15" x14ac:dyDescent="0.25">
      <c r="J5551" t="s">
        <v>2651</v>
      </c>
      <c r="K5551" s="22" t="s">
        <v>31</v>
      </c>
      <c r="L5551">
        <v>2</v>
      </c>
      <c r="M5551">
        <v>1</v>
      </c>
      <c r="O5551" s="30"/>
    </row>
    <row r="5552" spans="10:15" x14ac:dyDescent="0.25">
      <c r="J5552" t="s">
        <v>3472</v>
      </c>
      <c r="K5552" s="22" t="s">
        <v>35</v>
      </c>
      <c r="L5552">
        <v>1</v>
      </c>
      <c r="O5552" s="30"/>
    </row>
    <row r="5553" spans="10:15" x14ac:dyDescent="0.25">
      <c r="J5553" t="s">
        <v>3057</v>
      </c>
      <c r="K5553" s="22" t="s">
        <v>31</v>
      </c>
      <c r="L5553">
        <v>1</v>
      </c>
      <c r="O5553" s="30"/>
    </row>
    <row r="5554" spans="10:15" x14ac:dyDescent="0.25">
      <c r="J5554" t="s">
        <v>3055</v>
      </c>
      <c r="K5554" s="22" t="s">
        <v>30</v>
      </c>
      <c r="L5554">
        <v>4</v>
      </c>
      <c r="M5554">
        <v>4</v>
      </c>
      <c r="O5554" s="31"/>
    </row>
    <row r="5555" spans="10:15" x14ac:dyDescent="0.25">
      <c r="J5555" t="s">
        <v>266</v>
      </c>
      <c r="K5555" s="22" t="s">
        <v>26</v>
      </c>
      <c r="L5555">
        <v>1</v>
      </c>
    </row>
    <row r="5556" spans="10:15" x14ac:dyDescent="0.25">
      <c r="J5556" t="s">
        <v>266</v>
      </c>
      <c r="K5556" s="22" t="s">
        <v>30</v>
      </c>
      <c r="L5556">
        <v>2</v>
      </c>
      <c r="M5556">
        <v>2</v>
      </c>
      <c r="O5556" s="31"/>
    </row>
    <row r="5557" spans="10:15" x14ac:dyDescent="0.25">
      <c r="J5557" t="s">
        <v>266</v>
      </c>
      <c r="K5557" s="22" t="s">
        <v>22</v>
      </c>
      <c r="L5557">
        <v>2</v>
      </c>
      <c r="O5557" s="30"/>
    </row>
    <row r="5558" spans="10:15" x14ac:dyDescent="0.25">
      <c r="J5558" t="s">
        <v>528</v>
      </c>
      <c r="K5558" s="22" t="s">
        <v>30</v>
      </c>
      <c r="L5558">
        <v>5</v>
      </c>
      <c r="M5558">
        <v>5</v>
      </c>
    </row>
    <row r="5559" spans="10:15" x14ac:dyDescent="0.25">
      <c r="J5559" t="s">
        <v>1373</v>
      </c>
      <c r="K5559" s="22" t="s">
        <v>30</v>
      </c>
      <c r="L5559">
        <v>4</v>
      </c>
      <c r="M5559">
        <v>4</v>
      </c>
      <c r="O5559" s="31"/>
    </row>
    <row r="5560" spans="10:15" x14ac:dyDescent="0.25">
      <c r="J5560" t="s">
        <v>1340</v>
      </c>
      <c r="K5560" s="22" t="s">
        <v>22</v>
      </c>
      <c r="L5560">
        <v>3</v>
      </c>
      <c r="M5560">
        <v>2</v>
      </c>
      <c r="O5560" s="31"/>
    </row>
    <row r="5561" spans="10:15" x14ac:dyDescent="0.25">
      <c r="J5561" t="s">
        <v>2788</v>
      </c>
      <c r="K5561" s="22" t="s">
        <v>26</v>
      </c>
      <c r="L5561">
        <v>2</v>
      </c>
      <c r="M5561">
        <v>2</v>
      </c>
      <c r="O5561" s="31"/>
    </row>
    <row r="5562" spans="10:15" x14ac:dyDescent="0.25">
      <c r="J5562" t="s">
        <v>2788</v>
      </c>
      <c r="K5562" s="22" t="s">
        <v>30</v>
      </c>
      <c r="L5562">
        <v>2</v>
      </c>
      <c r="O5562" s="30"/>
    </row>
    <row r="5563" spans="10:15" x14ac:dyDescent="0.25">
      <c r="J5563" t="s">
        <v>3082</v>
      </c>
      <c r="K5563" s="22" t="s">
        <v>35</v>
      </c>
      <c r="L5563">
        <v>1</v>
      </c>
      <c r="M5563">
        <v>1</v>
      </c>
      <c r="O5563" s="31"/>
    </row>
    <row r="5564" spans="10:15" x14ac:dyDescent="0.25">
      <c r="J5564" t="s">
        <v>3411</v>
      </c>
      <c r="K5564" s="22" t="s">
        <v>30</v>
      </c>
      <c r="L5564">
        <v>1</v>
      </c>
      <c r="O5564" s="30"/>
    </row>
    <row r="5565" spans="10:15" x14ac:dyDescent="0.25">
      <c r="J5565" t="s">
        <v>1462</v>
      </c>
      <c r="K5565" s="22" t="s">
        <v>22</v>
      </c>
      <c r="L5565">
        <v>4</v>
      </c>
      <c r="M5565">
        <v>4</v>
      </c>
      <c r="O5565" s="31"/>
    </row>
    <row r="5566" spans="10:15" x14ac:dyDescent="0.25">
      <c r="J5566" t="s">
        <v>2413</v>
      </c>
      <c r="K5566" s="22" t="s">
        <v>30</v>
      </c>
      <c r="L5566">
        <v>1</v>
      </c>
      <c r="O5566" s="30"/>
    </row>
    <row r="5567" spans="10:15" x14ac:dyDescent="0.25">
      <c r="J5567" t="s">
        <v>1028</v>
      </c>
      <c r="K5567" s="22" t="s">
        <v>26</v>
      </c>
      <c r="L5567">
        <v>6</v>
      </c>
      <c r="M5567">
        <v>6</v>
      </c>
      <c r="O5567" s="31"/>
    </row>
    <row r="5568" spans="10:15" x14ac:dyDescent="0.25">
      <c r="J5568" t="s">
        <v>3225</v>
      </c>
      <c r="K5568" s="22" t="s">
        <v>35</v>
      </c>
      <c r="L5568">
        <v>1</v>
      </c>
      <c r="M5568">
        <v>1</v>
      </c>
      <c r="O5568" s="31"/>
    </row>
    <row r="5569" spans="10:15" x14ac:dyDescent="0.25">
      <c r="J5569" t="s">
        <v>1333</v>
      </c>
      <c r="K5569" s="22" t="s">
        <v>22</v>
      </c>
      <c r="L5569">
        <v>3</v>
      </c>
      <c r="M5569">
        <v>3</v>
      </c>
      <c r="O5569" s="31"/>
    </row>
    <row r="5570" spans="10:15" x14ac:dyDescent="0.25">
      <c r="J5570" t="s">
        <v>1440</v>
      </c>
      <c r="K5570" s="22" t="s">
        <v>30</v>
      </c>
      <c r="L5570">
        <v>2</v>
      </c>
      <c r="O5570" s="30"/>
    </row>
    <row r="5571" spans="10:15" x14ac:dyDescent="0.25">
      <c r="J5571" t="s">
        <v>1440</v>
      </c>
      <c r="K5571" s="22" t="s">
        <v>31</v>
      </c>
      <c r="L5571">
        <v>1</v>
      </c>
      <c r="M5571">
        <v>1</v>
      </c>
    </row>
    <row r="5572" spans="10:15" x14ac:dyDescent="0.25">
      <c r="J5572" t="s">
        <v>3275</v>
      </c>
      <c r="K5572" s="22" t="s">
        <v>22</v>
      </c>
      <c r="L5572">
        <v>1</v>
      </c>
      <c r="O5572" s="30"/>
    </row>
    <row r="5573" spans="10:15" x14ac:dyDescent="0.25">
      <c r="J5573" t="s">
        <v>1063</v>
      </c>
      <c r="K5573" s="22" t="s">
        <v>26</v>
      </c>
      <c r="L5573">
        <v>2</v>
      </c>
      <c r="O5573" s="30"/>
    </row>
    <row r="5574" spans="10:15" x14ac:dyDescent="0.25">
      <c r="J5574" t="s">
        <v>1063</v>
      </c>
      <c r="K5574" s="22" t="s">
        <v>30</v>
      </c>
      <c r="L5574">
        <v>1</v>
      </c>
      <c r="O5574" s="30"/>
    </row>
    <row r="5575" spans="10:15" x14ac:dyDescent="0.25">
      <c r="J5575" t="s">
        <v>1063</v>
      </c>
      <c r="K5575" s="22" t="s">
        <v>35</v>
      </c>
      <c r="L5575">
        <v>1</v>
      </c>
    </row>
    <row r="5576" spans="10:15" x14ac:dyDescent="0.25">
      <c r="J5576" t="s">
        <v>1063</v>
      </c>
      <c r="K5576" s="22" t="s">
        <v>31</v>
      </c>
      <c r="L5576">
        <v>1</v>
      </c>
    </row>
    <row r="5577" spans="10:15" x14ac:dyDescent="0.25">
      <c r="J5577" t="s">
        <v>2998</v>
      </c>
      <c r="K5577" s="22" t="s">
        <v>35</v>
      </c>
      <c r="L5577">
        <v>2</v>
      </c>
      <c r="M5577">
        <v>2</v>
      </c>
      <c r="O5577" s="31"/>
    </row>
    <row r="5578" spans="10:15" x14ac:dyDescent="0.25">
      <c r="J5578" t="s">
        <v>2808</v>
      </c>
      <c r="K5578" s="22" t="s">
        <v>22</v>
      </c>
      <c r="L5578">
        <v>3</v>
      </c>
      <c r="M5578">
        <v>3</v>
      </c>
      <c r="O5578" s="31"/>
    </row>
    <row r="5579" spans="10:15" x14ac:dyDescent="0.25">
      <c r="J5579" t="s">
        <v>2109</v>
      </c>
      <c r="K5579" s="22" t="s">
        <v>26</v>
      </c>
      <c r="L5579">
        <v>1</v>
      </c>
      <c r="M5579">
        <v>1</v>
      </c>
      <c r="O5579" s="31"/>
    </row>
    <row r="5580" spans="10:15" x14ac:dyDescent="0.25">
      <c r="J5580" t="s">
        <v>2109</v>
      </c>
      <c r="K5580" s="22" t="s">
        <v>30</v>
      </c>
      <c r="L5580">
        <v>2</v>
      </c>
      <c r="O5580" s="30"/>
    </row>
    <row r="5581" spans="10:15" x14ac:dyDescent="0.25">
      <c r="J5581" t="s">
        <v>2284</v>
      </c>
      <c r="K5581" s="22" t="s">
        <v>30</v>
      </c>
      <c r="L5581">
        <v>1</v>
      </c>
    </row>
    <row r="5582" spans="10:15" x14ac:dyDescent="0.25">
      <c r="J5582" t="s">
        <v>336</v>
      </c>
      <c r="K5582" s="22" t="s">
        <v>26</v>
      </c>
      <c r="L5582">
        <v>1</v>
      </c>
    </row>
    <row r="5583" spans="10:15" x14ac:dyDescent="0.25">
      <c r="J5583" t="s">
        <v>336</v>
      </c>
      <c r="K5583" s="22" t="s">
        <v>28</v>
      </c>
      <c r="L5583">
        <v>3</v>
      </c>
      <c r="M5583">
        <v>2</v>
      </c>
      <c r="O5583" s="31"/>
    </row>
    <row r="5584" spans="10:15" x14ac:dyDescent="0.25">
      <c r="J5584" t="s">
        <v>336</v>
      </c>
      <c r="K5584" s="22" t="s">
        <v>35</v>
      </c>
      <c r="L5584">
        <v>1</v>
      </c>
      <c r="O5584" s="30"/>
    </row>
    <row r="5585" spans="10:15" x14ac:dyDescent="0.25">
      <c r="J5585" t="s">
        <v>336</v>
      </c>
      <c r="K5585" s="22" t="s">
        <v>22</v>
      </c>
      <c r="L5585">
        <v>1</v>
      </c>
    </row>
    <row r="5586" spans="10:15" x14ac:dyDescent="0.25">
      <c r="J5586" t="s">
        <v>336</v>
      </c>
      <c r="K5586" s="22" t="s">
        <v>31</v>
      </c>
      <c r="L5586">
        <v>1</v>
      </c>
    </row>
    <row r="5587" spans="10:15" x14ac:dyDescent="0.25">
      <c r="J5587" t="s">
        <v>862</v>
      </c>
      <c r="K5587" s="22" t="s">
        <v>26</v>
      </c>
      <c r="L5587">
        <v>3</v>
      </c>
      <c r="M5587">
        <v>2</v>
      </c>
    </row>
    <row r="5588" spans="10:15" x14ac:dyDescent="0.25">
      <c r="J5588" t="s">
        <v>862</v>
      </c>
      <c r="K5588" s="22" t="s">
        <v>29</v>
      </c>
      <c r="L5588">
        <v>1</v>
      </c>
    </row>
    <row r="5589" spans="10:15" x14ac:dyDescent="0.25">
      <c r="J5589" t="s">
        <v>862</v>
      </c>
      <c r="K5589" s="22" t="s">
        <v>28</v>
      </c>
      <c r="L5589">
        <v>2</v>
      </c>
    </row>
    <row r="5590" spans="10:15" x14ac:dyDescent="0.25">
      <c r="J5590" t="s">
        <v>862</v>
      </c>
      <c r="K5590" s="22" t="s">
        <v>35</v>
      </c>
      <c r="L5590">
        <v>2</v>
      </c>
    </row>
    <row r="5591" spans="10:15" x14ac:dyDescent="0.25">
      <c r="J5591" t="s">
        <v>862</v>
      </c>
      <c r="K5591" s="22" t="s">
        <v>22</v>
      </c>
      <c r="L5591">
        <v>2</v>
      </c>
      <c r="O5591" s="30"/>
    </row>
    <row r="5592" spans="10:15" x14ac:dyDescent="0.25">
      <c r="J5592" t="s">
        <v>3229</v>
      </c>
      <c r="K5592" s="22" t="s">
        <v>26</v>
      </c>
      <c r="L5592">
        <v>2</v>
      </c>
      <c r="M5592">
        <v>1</v>
      </c>
      <c r="O5592" s="30"/>
    </row>
    <row r="5593" spans="10:15" x14ac:dyDescent="0.25">
      <c r="J5593" t="s">
        <v>1435</v>
      </c>
      <c r="K5593" s="22" t="s">
        <v>29</v>
      </c>
      <c r="L5593">
        <v>1</v>
      </c>
      <c r="O5593" s="30"/>
    </row>
    <row r="5594" spans="10:15" x14ac:dyDescent="0.25">
      <c r="J5594" t="s">
        <v>1435</v>
      </c>
      <c r="K5594" s="22" t="s">
        <v>35</v>
      </c>
      <c r="L5594">
        <v>1</v>
      </c>
    </row>
    <row r="5595" spans="10:15" x14ac:dyDescent="0.25">
      <c r="J5595" t="s">
        <v>2477</v>
      </c>
      <c r="K5595" s="22" t="s">
        <v>26</v>
      </c>
      <c r="L5595">
        <v>2</v>
      </c>
      <c r="O5595" s="30"/>
    </row>
    <row r="5596" spans="10:15" x14ac:dyDescent="0.25">
      <c r="J5596" t="s">
        <v>2477</v>
      </c>
      <c r="K5596" s="22" t="s">
        <v>29</v>
      </c>
      <c r="L5596">
        <v>1</v>
      </c>
    </row>
    <row r="5597" spans="10:15" x14ac:dyDescent="0.25">
      <c r="J5597" t="s">
        <v>2477</v>
      </c>
      <c r="K5597" s="22" t="s">
        <v>28</v>
      </c>
      <c r="L5597">
        <v>1</v>
      </c>
    </row>
    <row r="5598" spans="10:15" x14ac:dyDescent="0.25">
      <c r="J5598" t="s">
        <v>2477</v>
      </c>
      <c r="K5598" s="22" t="s">
        <v>22</v>
      </c>
      <c r="L5598">
        <v>1</v>
      </c>
      <c r="O5598" s="30"/>
    </row>
    <row r="5599" spans="10:15" x14ac:dyDescent="0.25">
      <c r="J5599" t="s">
        <v>2477</v>
      </c>
      <c r="K5599" s="22" t="s">
        <v>31</v>
      </c>
      <c r="L5599">
        <v>1</v>
      </c>
    </row>
    <row r="5600" spans="10:15" x14ac:dyDescent="0.25">
      <c r="J5600" t="s">
        <v>3318</v>
      </c>
      <c r="K5600" s="22" t="s">
        <v>29</v>
      </c>
      <c r="L5600">
        <v>1</v>
      </c>
      <c r="O5600" s="30"/>
    </row>
    <row r="5601" spans="10:15" x14ac:dyDescent="0.25">
      <c r="J5601" t="s">
        <v>1284</v>
      </c>
      <c r="K5601" s="22" t="s">
        <v>29</v>
      </c>
      <c r="L5601">
        <v>1</v>
      </c>
    </row>
    <row r="5602" spans="10:15" x14ac:dyDescent="0.25">
      <c r="J5602" t="s">
        <v>1284</v>
      </c>
      <c r="K5602" s="22" t="s">
        <v>28</v>
      </c>
      <c r="L5602">
        <v>1</v>
      </c>
    </row>
    <row r="5603" spans="10:15" x14ac:dyDescent="0.25">
      <c r="J5603" t="s">
        <v>1284</v>
      </c>
      <c r="K5603" s="22" t="s">
        <v>31</v>
      </c>
      <c r="L5603">
        <v>1</v>
      </c>
    </row>
    <row r="5604" spans="10:15" x14ac:dyDescent="0.25">
      <c r="J5604" t="s">
        <v>2602</v>
      </c>
      <c r="K5604" s="22" t="s">
        <v>28</v>
      </c>
      <c r="L5604">
        <v>1</v>
      </c>
    </row>
    <row r="5605" spans="10:15" x14ac:dyDescent="0.25">
      <c r="J5605" t="s">
        <v>1504</v>
      </c>
      <c r="K5605" s="22" t="s">
        <v>26</v>
      </c>
      <c r="L5605">
        <v>1</v>
      </c>
      <c r="O5605" s="30"/>
    </row>
    <row r="5606" spans="10:15" x14ac:dyDescent="0.25">
      <c r="J5606" t="s">
        <v>1504</v>
      </c>
      <c r="K5606" s="22" t="s">
        <v>29</v>
      </c>
      <c r="L5606">
        <v>1</v>
      </c>
    </row>
    <row r="5607" spans="10:15" x14ac:dyDescent="0.25">
      <c r="J5607" t="s">
        <v>1047</v>
      </c>
      <c r="K5607" s="22" t="s">
        <v>29</v>
      </c>
      <c r="L5607">
        <v>13</v>
      </c>
      <c r="M5607">
        <v>13</v>
      </c>
      <c r="O5607" s="31"/>
    </row>
    <row r="5608" spans="10:15" x14ac:dyDescent="0.25">
      <c r="J5608" t="s">
        <v>1748</v>
      </c>
      <c r="K5608" s="22" t="s">
        <v>26</v>
      </c>
      <c r="L5608">
        <v>1</v>
      </c>
      <c r="O5608" s="30"/>
    </row>
    <row r="5609" spans="10:15" x14ac:dyDescent="0.25">
      <c r="J5609" t="s">
        <v>1748</v>
      </c>
      <c r="K5609" s="22" t="s">
        <v>29</v>
      </c>
      <c r="L5609">
        <v>1</v>
      </c>
      <c r="M5609">
        <v>1</v>
      </c>
      <c r="O5609" s="31"/>
    </row>
    <row r="5610" spans="10:15" x14ac:dyDescent="0.25">
      <c r="J5610" t="s">
        <v>1748</v>
      </c>
      <c r="K5610" s="22" t="s">
        <v>22</v>
      </c>
      <c r="L5610">
        <v>3</v>
      </c>
      <c r="M5610">
        <v>2</v>
      </c>
      <c r="O5610" s="31"/>
    </row>
    <row r="5611" spans="10:15" x14ac:dyDescent="0.25">
      <c r="J5611" t="s">
        <v>1520</v>
      </c>
      <c r="K5611" s="22" t="s">
        <v>29</v>
      </c>
      <c r="L5611">
        <v>1</v>
      </c>
      <c r="M5611">
        <v>1</v>
      </c>
    </row>
    <row r="5612" spans="10:15" x14ac:dyDescent="0.25">
      <c r="J5612" t="s">
        <v>1520</v>
      </c>
      <c r="K5612" s="22" t="s">
        <v>35</v>
      </c>
      <c r="L5612">
        <v>1</v>
      </c>
    </row>
    <row r="5613" spans="10:15" x14ac:dyDescent="0.25">
      <c r="J5613" t="s">
        <v>2464</v>
      </c>
      <c r="K5613" s="22" t="s">
        <v>31</v>
      </c>
      <c r="L5613">
        <v>2</v>
      </c>
      <c r="M5613">
        <v>1</v>
      </c>
      <c r="O5613" s="30"/>
    </row>
    <row r="5614" spans="10:15" x14ac:dyDescent="0.25">
      <c r="J5614" t="s">
        <v>2398</v>
      </c>
      <c r="K5614" s="22" t="s">
        <v>29</v>
      </c>
      <c r="L5614">
        <v>1</v>
      </c>
      <c r="M5614">
        <v>1</v>
      </c>
    </row>
    <row r="5615" spans="10:15" x14ac:dyDescent="0.25">
      <c r="J5615" t="s">
        <v>732</v>
      </c>
      <c r="K5615" s="22" t="s">
        <v>26</v>
      </c>
      <c r="L5615">
        <v>2</v>
      </c>
      <c r="M5615">
        <v>1</v>
      </c>
    </row>
    <row r="5616" spans="10:15" x14ac:dyDescent="0.25">
      <c r="J5616" t="s">
        <v>732</v>
      </c>
      <c r="K5616" s="22" t="s">
        <v>22</v>
      </c>
      <c r="L5616">
        <v>1</v>
      </c>
      <c r="O5616" s="30"/>
    </row>
    <row r="5617" spans="10:15" x14ac:dyDescent="0.25">
      <c r="J5617" t="s">
        <v>3270</v>
      </c>
      <c r="K5617" s="22" t="s">
        <v>29</v>
      </c>
      <c r="L5617">
        <v>1</v>
      </c>
      <c r="M5617">
        <v>1</v>
      </c>
      <c r="O5617" s="31"/>
    </row>
    <row r="5618" spans="10:15" x14ac:dyDescent="0.25">
      <c r="J5618" t="s">
        <v>444</v>
      </c>
      <c r="K5618" s="22" t="s">
        <v>29</v>
      </c>
      <c r="L5618">
        <v>2</v>
      </c>
      <c r="M5618">
        <v>2</v>
      </c>
    </row>
    <row r="5619" spans="10:15" x14ac:dyDescent="0.25">
      <c r="J5619" t="s">
        <v>692</v>
      </c>
      <c r="K5619" s="22" t="s">
        <v>29</v>
      </c>
      <c r="L5619">
        <v>11</v>
      </c>
      <c r="M5619">
        <v>11</v>
      </c>
      <c r="O5619" s="31"/>
    </row>
    <row r="5620" spans="10:15" x14ac:dyDescent="0.25">
      <c r="J5620" t="s">
        <v>3310</v>
      </c>
      <c r="K5620" s="22" t="s">
        <v>26</v>
      </c>
      <c r="L5620">
        <v>1</v>
      </c>
      <c r="O5620" s="30"/>
    </row>
    <row r="5621" spans="10:15" x14ac:dyDescent="0.25">
      <c r="J5621" t="s">
        <v>2189</v>
      </c>
      <c r="K5621" s="22" t="s">
        <v>29</v>
      </c>
      <c r="L5621">
        <v>1</v>
      </c>
      <c r="M5621">
        <v>1</v>
      </c>
    </row>
    <row r="5622" spans="10:15" x14ac:dyDescent="0.25">
      <c r="J5622" t="s">
        <v>1750</v>
      </c>
      <c r="K5622" s="22" t="s">
        <v>29</v>
      </c>
      <c r="L5622">
        <v>3</v>
      </c>
      <c r="M5622">
        <v>3</v>
      </c>
      <c r="O5622" s="31"/>
    </row>
    <row r="5623" spans="10:15" x14ac:dyDescent="0.25">
      <c r="J5623" t="s">
        <v>2466</v>
      </c>
      <c r="K5623" s="22" t="s">
        <v>29</v>
      </c>
      <c r="L5623">
        <v>1</v>
      </c>
      <c r="M5623">
        <v>1</v>
      </c>
    </row>
    <row r="5624" spans="10:15" x14ac:dyDescent="0.25">
      <c r="J5624" t="s">
        <v>423</v>
      </c>
      <c r="K5624" s="22" t="s">
        <v>35</v>
      </c>
      <c r="L5624">
        <v>1</v>
      </c>
    </row>
    <row r="5625" spans="10:15" x14ac:dyDescent="0.25">
      <c r="J5625" t="s">
        <v>423</v>
      </c>
      <c r="K5625" s="22" t="s">
        <v>22</v>
      </c>
      <c r="L5625">
        <v>1</v>
      </c>
    </row>
    <row r="5626" spans="10:15" x14ac:dyDescent="0.25">
      <c r="J5626" t="s">
        <v>395</v>
      </c>
      <c r="K5626" s="22" t="s">
        <v>26</v>
      </c>
      <c r="L5626">
        <v>3</v>
      </c>
      <c r="O5626" s="30"/>
    </row>
    <row r="5627" spans="10:15" x14ac:dyDescent="0.25">
      <c r="J5627" t="s">
        <v>395</v>
      </c>
      <c r="K5627" s="22" t="s">
        <v>29</v>
      </c>
      <c r="L5627">
        <v>1</v>
      </c>
    </row>
    <row r="5628" spans="10:15" x14ac:dyDescent="0.25">
      <c r="J5628" t="s">
        <v>395</v>
      </c>
      <c r="K5628" s="22" t="s">
        <v>35</v>
      </c>
      <c r="L5628">
        <v>3</v>
      </c>
      <c r="O5628" s="30"/>
    </row>
    <row r="5629" spans="10:15" x14ac:dyDescent="0.25">
      <c r="J5629" t="s">
        <v>395</v>
      </c>
      <c r="K5629" s="22" t="s">
        <v>31</v>
      </c>
      <c r="L5629">
        <v>1</v>
      </c>
      <c r="M5629">
        <v>1</v>
      </c>
    </row>
    <row r="5630" spans="10:15" x14ac:dyDescent="0.25">
      <c r="J5630" t="s">
        <v>2898</v>
      </c>
      <c r="K5630" s="22" t="s">
        <v>29</v>
      </c>
      <c r="L5630">
        <v>1</v>
      </c>
      <c r="O5630" s="30"/>
    </row>
    <row r="5631" spans="10:15" x14ac:dyDescent="0.25">
      <c r="J5631" t="s">
        <v>2898</v>
      </c>
      <c r="K5631" s="22" t="s">
        <v>22</v>
      </c>
      <c r="L5631">
        <v>1</v>
      </c>
    </row>
    <row r="5632" spans="10:15" x14ac:dyDescent="0.25">
      <c r="J5632" t="s">
        <v>983</v>
      </c>
      <c r="K5632" s="22" t="s">
        <v>26</v>
      </c>
      <c r="L5632">
        <v>2</v>
      </c>
    </row>
    <row r="5633" spans="10:15" x14ac:dyDescent="0.25">
      <c r="J5633" t="s">
        <v>983</v>
      </c>
      <c r="K5633" s="22" t="s">
        <v>29</v>
      </c>
      <c r="L5633">
        <v>1</v>
      </c>
    </row>
    <row r="5634" spans="10:15" x14ac:dyDescent="0.25">
      <c r="J5634" t="s">
        <v>983</v>
      </c>
      <c r="K5634" s="22" t="s">
        <v>31</v>
      </c>
      <c r="L5634">
        <v>2</v>
      </c>
      <c r="M5634">
        <v>2</v>
      </c>
      <c r="O5634" s="31"/>
    </row>
    <row r="5635" spans="10:15" x14ac:dyDescent="0.25">
      <c r="J5635" t="s">
        <v>366</v>
      </c>
      <c r="K5635" s="22" t="s">
        <v>29</v>
      </c>
      <c r="L5635">
        <v>1</v>
      </c>
    </row>
    <row r="5636" spans="10:15" x14ac:dyDescent="0.25">
      <c r="J5636" t="s">
        <v>596</v>
      </c>
      <c r="K5636" s="22" t="s">
        <v>26</v>
      </c>
      <c r="L5636">
        <v>2</v>
      </c>
      <c r="O5636" s="30"/>
    </row>
    <row r="5637" spans="10:15" x14ac:dyDescent="0.25">
      <c r="J5637" t="s">
        <v>596</v>
      </c>
      <c r="K5637" s="22" t="s">
        <v>29</v>
      </c>
      <c r="L5637">
        <v>3</v>
      </c>
      <c r="O5637" s="30"/>
    </row>
    <row r="5638" spans="10:15" x14ac:dyDescent="0.25">
      <c r="J5638" t="s">
        <v>1994</v>
      </c>
      <c r="K5638" s="22" t="s">
        <v>26</v>
      </c>
      <c r="L5638">
        <v>1</v>
      </c>
    </row>
    <row r="5639" spans="10:15" x14ac:dyDescent="0.25">
      <c r="J5639" t="s">
        <v>1994</v>
      </c>
      <c r="K5639" s="22" t="s">
        <v>28</v>
      </c>
      <c r="L5639">
        <v>7</v>
      </c>
      <c r="M5639">
        <v>7</v>
      </c>
      <c r="O5639" s="31"/>
    </row>
    <row r="5640" spans="10:15" x14ac:dyDescent="0.25">
      <c r="J5640" t="s">
        <v>1994</v>
      </c>
      <c r="K5640" s="22" t="s">
        <v>22</v>
      </c>
      <c r="L5640">
        <v>1</v>
      </c>
    </row>
    <row r="5641" spans="10:15" x14ac:dyDescent="0.25">
      <c r="J5641" t="s">
        <v>1994</v>
      </c>
      <c r="K5641" s="22" t="s">
        <v>31</v>
      </c>
      <c r="L5641">
        <v>1</v>
      </c>
    </row>
    <row r="5642" spans="10:15" x14ac:dyDescent="0.25">
      <c r="J5642" t="s">
        <v>1314</v>
      </c>
      <c r="K5642" s="22" t="s">
        <v>28</v>
      </c>
      <c r="L5642">
        <v>2</v>
      </c>
      <c r="M5642">
        <v>2</v>
      </c>
      <c r="O5642" s="31"/>
    </row>
    <row r="5643" spans="10:15" x14ac:dyDescent="0.25">
      <c r="J5643" t="s">
        <v>1314</v>
      </c>
      <c r="K5643" s="22" t="s">
        <v>35</v>
      </c>
      <c r="L5643">
        <v>1</v>
      </c>
    </row>
    <row r="5644" spans="10:15" x14ac:dyDescent="0.25">
      <c r="J5644" t="s">
        <v>1314</v>
      </c>
      <c r="K5644" s="22" t="s">
        <v>22</v>
      </c>
      <c r="L5644">
        <v>2</v>
      </c>
      <c r="O5644" s="30"/>
    </row>
    <row r="5645" spans="10:15" x14ac:dyDescent="0.25">
      <c r="J5645" t="s">
        <v>2230</v>
      </c>
      <c r="K5645" s="22" t="s">
        <v>26</v>
      </c>
      <c r="L5645">
        <v>2</v>
      </c>
      <c r="M5645">
        <v>2</v>
      </c>
      <c r="O5645" s="31"/>
    </row>
    <row r="5646" spans="10:15" x14ac:dyDescent="0.25">
      <c r="J5646" t="s">
        <v>2973</v>
      </c>
      <c r="K5646" s="22" t="s">
        <v>28</v>
      </c>
      <c r="L5646">
        <v>1</v>
      </c>
      <c r="M5646">
        <v>1</v>
      </c>
      <c r="O5646" s="31"/>
    </row>
    <row r="5647" spans="10:15" x14ac:dyDescent="0.25">
      <c r="J5647" t="s">
        <v>2973</v>
      </c>
      <c r="K5647" s="22" t="s">
        <v>31</v>
      </c>
      <c r="L5647">
        <v>1</v>
      </c>
      <c r="O5647" s="30"/>
    </row>
    <row r="5648" spans="10:15" x14ac:dyDescent="0.25">
      <c r="J5648" t="s">
        <v>2670</v>
      </c>
      <c r="K5648" s="22" t="s">
        <v>28</v>
      </c>
      <c r="L5648">
        <v>1</v>
      </c>
      <c r="M5648">
        <v>1</v>
      </c>
      <c r="O5648" s="31"/>
    </row>
    <row r="5649" spans="10:15" x14ac:dyDescent="0.25">
      <c r="J5649" t="s">
        <v>2670</v>
      </c>
      <c r="K5649" s="22" t="s">
        <v>35</v>
      </c>
      <c r="L5649">
        <v>1</v>
      </c>
    </row>
    <row r="5650" spans="10:15" x14ac:dyDescent="0.25">
      <c r="J5650" t="s">
        <v>2311</v>
      </c>
      <c r="K5650" s="22" t="s">
        <v>28</v>
      </c>
      <c r="L5650">
        <v>4</v>
      </c>
      <c r="M5650">
        <v>4</v>
      </c>
      <c r="O5650" s="31"/>
    </row>
    <row r="5651" spans="10:15" x14ac:dyDescent="0.25">
      <c r="J5651" t="s">
        <v>2311</v>
      </c>
      <c r="K5651" s="22" t="s">
        <v>31</v>
      </c>
      <c r="L5651">
        <v>2</v>
      </c>
      <c r="O5651" s="30"/>
    </row>
    <row r="5652" spans="10:15" x14ac:dyDescent="0.25">
      <c r="J5652" t="s">
        <v>2440</v>
      </c>
      <c r="K5652" s="22" t="s">
        <v>22</v>
      </c>
      <c r="L5652">
        <v>1</v>
      </c>
      <c r="M5652">
        <v>1</v>
      </c>
    </row>
    <row r="5653" spans="10:15" x14ac:dyDescent="0.25">
      <c r="J5653" t="s">
        <v>2234</v>
      </c>
      <c r="K5653" s="22" t="s">
        <v>28</v>
      </c>
      <c r="L5653">
        <v>2</v>
      </c>
      <c r="M5653">
        <v>2</v>
      </c>
      <c r="O5653" s="31"/>
    </row>
    <row r="5654" spans="10:15" x14ac:dyDescent="0.25">
      <c r="J5654" t="s">
        <v>2234</v>
      </c>
      <c r="K5654" s="22" t="s">
        <v>22</v>
      </c>
      <c r="L5654">
        <v>1</v>
      </c>
    </row>
    <row r="5655" spans="10:15" x14ac:dyDescent="0.25">
      <c r="J5655" t="s">
        <v>495</v>
      </c>
      <c r="K5655" s="22" t="s">
        <v>28</v>
      </c>
      <c r="L5655">
        <v>2</v>
      </c>
      <c r="M5655">
        <v>2</v>
      </c>
    </row>
    <row r="5656" spans="10:15" x14ac:dyDescent="0.25">
      <c r="J5656" t="s">
        <v>1486</v>
      </c>
      <c r="K5656" s="22" t="s">
        <v>28</v>
      </c>
      <c r="L5656">
        <v>3</v>
      </c>
      <c r="M5656">
        <v>3</v>
      </c>
    </row>
    <row r="5657" spans="10:15" x14ac:dyDescent="0.25">
      <c r="J5657" t="s">
        <v>453</v>
      </c>
      <c r="K5657" s="22" t="s">
        <v>35</v>
      </c>
      <c r="L5657">
        <v>1</v>
      </c>
    </row>
    <row r="5658" spans="10:15" x14ac:dyDescent="0.25">
      <c r="J5658" t="s">
        <v>2253</v>
      </c>
      <c r="K5658" s="22" t="s">
        <v>35</v>
      </c>
      <c r="L5658">
        <v>1</v>
      </c>
    </row>
    <row r="5659" spans="10:15" x14ac:dyDescent="0.25">
      <c r="J5659" t="s">
        <v>2650</v>
      </c>
      <c r="K5659" s="22" t="s">
        <v>22</v>
      </c>
      <c r="L5659">
        <v>1</v>
      </c>
    </row>
    <row r="5660" spans="10:15" x14ac:dyDescent="0.25">
      <c r="J5660" t="s">
        <v>2650</v>
      </c>
      <c r="K5660" s="22" t="s">
        <v>31</v>
      </c>
      <c r="L5660">
        <v>1</v>
      </c>
    </row>
    <row r="5661" spans="10:15" x14ac:dyDescent="0.25">
      <c r="J5661" t="s">
        <v>455</v>
      </c>
      <c r="K5661" s="22" t="s">
        <v>26</v>
      </c>
      <c r="L5661">
        <v>2</v>
      </c>
      <c r="O5661" s="30"/>
    </row>
    <row r="5662" spans="10:15" x14ac:dyDescent="0.25">
      <c r="J5662" t="s">
        <v>455</v>
      </c>
      <c r="K5662" s="22" t="s">
        <v>31</v>
      </c>
      <c r="L5662">
        <v>1</v>
      </c>
    </row>
    <row r="5663" spans="10:15" x14ac:dyDescent="0.25">
      <c r="J5663" t="s">
        <v>1770</v>
      </c>
      <c r="K5663" s="22" t="s">
        <v>22</v>
      </c>
      <c r="L5663">
        <v>1</v>
      </c>
    </row>
    <row r="5664" spans="10:15" x14ac:dyDescent="0.25">
      <c r="J5664" t="s">
        <v>2076</v>
      </c>
      <c r="K5664" s="22" t="s">
        <v>26</v>
      </c>
      <c r="L5664">
        <v>3</v>
      </c>
      <c r="M5664">
        <v>3</v>
      </c>
      <c r="O5664" s="31"/>
    </row>
    <row r="5665" spans="10:15" x14ac:dyDescent="0.25">
      <c r="J5665" t="s">
        <v>235</v>
      </c>
      <c r="K5665" s="22" t="s">
        <v>26</v>
      </c>
      <c r="L5665">
        <v>1</v>
      </c>
      <c r="O5665" s="30"/>
    </row>
    <row r="5666" spans="10:15" x14ac:dyDescent="0.25">
      <c r="J5666" t="s">
        <v>235</v>
      </c>
      <c r="K5666" s="22" t="s">
        <v>35</v>
      </c>
      <c r="L5666">
        <v>7</v>
      </c>
      <c r="M5666">
        <v>1</v>
      </c>
      <c r="O5666" s="30"/>
    </row>
    <row r="5667" spans="10:15" x14ac:dyDescent="0.25">
      <c r="J5667" t="s">
        <v>235</v>
      </c>
      <c r="K5667" s="22" t="s">
        <v>22</v>
      </c>
      <c r="L5667">
        <v>1</v>
      </c>
    </row>
    <row r="5668" spans="10:15" x14ac:dyDescent="0.25">
      <c r="J5668" t="s">
        <v>1202</v>
      </c>
      <c r="K5668" s="22" t="s">
        <v>26</v>
      </c>
      <c r="L5668">
        <v>3</v>
      </c>
      <c r="O5668" s="30"/>
    </row>
    <row r="5669" spans="10:15" x14ac:dyDescent="0.25">
      <c r="J5669" t="s">
        <v>1202</v>
      </c>
      <c r="K5669" s="22" t="s">
        <v>28</v>
      </c>
      <c r="L5669">
        <v>2</v>
      </c>
      <c r="O5669" s="30"/>
    </row>
    <row r="5670" spans="10:15" x14ac:dyDescent="0.25">
      <c r="J5670" t="s">
        <v>1202</v>
      </c>
      <c r="K5670" s="22" t="s">
        <v>35</v>
      </c>
      <c r="L5670">
        <v>4</v>
      </c>
      <c r="O5670" s="30"/>
    </row>
    <row r="5671" spans="10:15" x14ac:dyDescent="0.25">
      <c r="J5671" t="s">
        <v>1202</v>
      </c>
      <c r="K5671" s="22" t="s">
        <v>31</v>
      </c>
      <c r="L5671">
        <v>3</v>
      </c>
      <c r="O5671" s="30"/>
    </row>
    <row r="5672" spans="10:15" x14ac:dyDescent="0.25">
      <c r="J5672" t="s">
        <v>3131</v>
      </c>
      <c r="K5672" s="22" t="s">
        <v>26</v>
      </c>
      <c r="L5672">
        <v>1</v>
      </c>
      <c r="O5672" s="30"/>
    </row>
    <row r="5673" spans="10:15" x14ac:dyDescent="0.25">
      <c r="J5673" t="s">
        <v>3264</v>
      </c>
      <c r="K5673" s="22" t="s">
        <v>22</v>
      </c>
      <c r="L5673">
        <v>3</v>
      </c>
      <c r="M5673">
        <v>3</v>
      </c>
      <c r="O5673" s="31"/>
    </row>
    <row r="5674" spans="10:15" x14ac:dyDescent="0.25">
      <c r="J5674" t="s">
        <v>840</v>
      </c>
      <c r="K5674" s="22" t="s">
        <v>26</v>
      </c>
      <c r="L5674">
        <v>5</v>
      </c>
      <c r="O5674" s="30"/>
    </row>
    <row r="5675" spans="10:15" x14ac:dyDescent="0.25">
      <c r="J5675" t="s">
        <v>840</v>
      </c>
      <c r="K5675" s="22" t="s">
        <v>35</v>
      </c>
      <c r="L5675">
        <v>3</v>
      </c>
      <c r="O5675" s="30"/>
    </row>
    <row r="5676" spans="10:15" x14ac:dyDescent="0.25">
      <c r="J5676" t="s">
        <v>840</v>
      </c>
      <c r="K5676" s="22" t="s">
        <v>22</v>
      </c>
      <c r="L5676">
        <v>2</v>
      </c>
    </row>
    <row r="5677" spans="10:15" x14ac:dyDescent="0.25">
      <c r="J5677" t="s">
        <v>840</v>
      </c>
      <c r="K5677" s="22" t="s">
        <v>31</v>
      </c>
      <c r="L5677">
        <v>5</v>
      </c>
      <c r="O5677" s="30"/>
    </row>
    <row r="5678" spans="10:15" x14ac:dyDescent="0.25">
      <c r="J5678" t="s">
        <v>713</v>
      </c>
      <c r="K5678" s="22" t="s">
        <v>26</v>
      </c>
      <c r="L5678">
        <v>1</v>
      </c>
    </row>
    <row r="5679" spans="10:15" x14ac:dyDescent="0.25">
      <c r="J5679" t="s">
        <v>713</v>
      </c>
      <c r="K5679" s="22" t="s">
        <v>22</v>
      </c>
      <c r="L5679">
        <v>1</v>
      </c>
      <c r="O5679" s="30"/>
    </row>
    <row r="5680" spans="10:15" x14ac:dyDescent="0.25">
      <c r="J5680" t="s">
        <v>816</v>
      </c>
      <c r="K5680" s="22" t="s">
        <v>35</v>
      </c>
      <c r="L5680">
        <v>1</v>
      </c>
    </row>
    <row r="5681" spans="10:15" x14ac:dyDescent="0.25">
      <c r="J5681" t="s">
        <v>816</v>
      </c>
      <c r="K5681" s="22" t="s">
        <v>31</v>
      </c>
      <c r="L5681">
        <v>1</v>
      </c>
      <c r="O5681" s="30"/>
    </row>
    <row r="5682" spans="10:15" x14ac:dyDescent="0.25">
      <c r="J5682" t="s">
        <v>2933</v>
      </c>
      <c r="K5682" s="22" t="s">
        <v>35</v>
      </c>
      <c r="L5682">
        <v>1</v>
      </c>
    </row>
    <row r="5683" spans="10:15" x14ac:dyDescent="0.25">
      <c r="J5683" t="s">
        <v>1051</v>
      </c>
      <c r="K5683" s="22" t="s">
        <v>26</v>
      </c>
      <c r="L5683">
        <v>2</v>
      </c>
      <c r="O5683" s="30"/>
    </row>
    <row r="5684" spans="10:15" x14ac:dyDescent="0.25">
      <c r="J5684" t="s">
        <v>1051</v>
      </c>
      <c r="K5684" s="22" t="s">
        <v>22</v>
      </c>
      <c r="L5684">
        <v>1</v>
      </c>
    </row>
    <row r="5685" spans="10:15" x14ac:dyDescent="0.25">
      <c r="J5685" t="s">
        <v>1051</v>
      </c>
      <c r="K5685" s="22" t="s">
        <v>31</v>
      </c>
      <c r="L5685">
        <v>2</v>
      </c>
      <c r="O5685" s="30"/>
    </row>
    <row r="5686" spans="10:15" x14ac:dyDescent="0.25">
      <c r="J5686" t="s">
        <v>425</v>
      </c>
      <c r="K5686" s="22" t="s">
        <v>26</v>
      </c>
      <c r="L5686">
        <v>3</v>
      </c>
      <c r="O5686" s="30"/>
    </row>
    <row r="5687" spans="10:15" x14ac:dyDescent="0.25">
      <c r="J5687" t="s">
        <v>425</v>
      </c>
      <c r="K5687" s="22" t="s">
        <v>31</v>
      </c>
      <c r="L5687">
        <v>4</v>
      </c>
      <c r="O5687" s="30"/>
    </row>
    <row r="5688" spans="10:15" x14ac:dyDescent="0.25">
      <c r="J5688" t="s">
        <v>1816</v>
      </c>
      <c r="K5688" s="22" t="s">
        <v>35</v>
      </c>
      <c r="L5688">
        <v>3</v>
      </c>
      <c r="M5688">
        <v>3</v>
      </c>
      <c r="O5688" s="31"/>
    </row>
    <row r="5689" spans="10:15" x14ac:dyDescent="0.25">
      <c r="J5689" t="s">
        <v>565</v>
      </c>
      <c r="K5689" s="22" t="s">
        <v>22</v>
      </c>
      <c r="L5689">
        <v>3</v>
      </c>
      <c r="M5689">
        <v>3</v>
      </c>
    </row>
    <row r="5690" spans="10:15" x14ac:dyDescent="0.25">
      <c r="J5690" t="s">
        <v>2208</v>
      </c>
      <c r="K5690" s="22" t="s">
        <v>26</v>
      </c>
      <c r="L5690">
        <v>1</v>
      </c>
    </row>
    <row r="5691" spans="10:15" x14ac:dyDescent="0.25">
      <c r="J5691" t="s">
        <v>2208</v>
      </c>
      <c r="K5691" s="22" t="s">
        <v>31</v>
      </c>
      <c r="L5691">
        <v>1</v>
      </c>
      <c r="M5691">
        <v>1</v>
      </c>
      <c r="O5691" s="31"/>
    </row>
    <row r="5692" spans="10:15" x14ac:dyDescent="0.25">
      <c r="J5692" t="s">
        <v>2231</v>
      </c>
      <c r="K5692" s="22" t="s">
        <v>26</v>
      </c>
      <c r="L5692">
        <v>1</v>
      </c>
    </row>
    <row r="5693" spans="10:15" x14ac:dyDescent="0.25">
      <c r="J5693" t="s">
        <v>2231</v>
      </c>
      <c r="K5693" s="22" t="s">
        <v>28</v>
      </c>
      <c r="L5693">
        <v>1</v>
      </c>
      <c r="O5693" s="30"/>
    </row>
    <row r="5694" spans="10:15" x14ac:dyDescent="0.25">
      <c r="J5694" t="s">
        <v>1725</v>
      </c>
      <c r="K5694" s="22" t="s">
        <v>22</v>
      </c>
      <c r="L5694">
        <v>5</v>
      </c>
      <c r="M5694">
        <v>5</v>
      </c>
      <c r="O5694" s="31"/>
    </row>
    <row r="5695" spans="10:15" x14ac:dyDescent="0.25">
      <c r="J5695" t="s">
        <v>1687</v>
      </c>
      <c r="K5695" s="22" t="s">
        <v>26</v>
      </c>
      <c r="L5695">
        <v>6</v>
      </c>
      <c r="M5695">
        <v>6</v>
      </c>
      <c r="O5695" s="31"/>
    </row>
    <row r="5696" spans="10:15" x14ac:dyDescent="0.25">
      <c r="J5696" t="s">
        <v>3331</v>
      </c>
      <c r="K5696" s="22" t="s">
        <v>26</v>
      </c>
      <c r="L5696">
        <v>1</v>
      </c>
      <c r="O5696" s="30"/>
    </row>
    <row r="5697" spans="10:15" x14ac:dyDescent="0.25">
      <c r="J5697" t="s">
        <v>2437</v>
      </c>
      <c r="K5697" s="22" t="s">
        <v>29</v>
      </c>
      <c r="L5697">
        <v>1</v>
      </c>
      <c r="O5697" s="30"/>
    </row>
    <row r="5698" spans="10:15" x14ac:dyDescent="0.25">
      <c r="J5698" t="s">
        <v>2437</v>
      </c>
      <c r="K5698" s="22" t="s">
        <v>22</v>
      </c>
      <c r="L5698">
        <v>1</v>
      </c>
    </row>
    <row r="5699" spans="10:15" x14ac:dyDescent="0.25">
      <c r="J5699" t="s">
        <v>1432</v>
      </c>
      <c r="K5699" s="22" t="s">
        <v>29</v>
      </c>
      <c r="L5699">
        <v>1</v>
      </c>
    </row>
    <row r="5700" spans="10:15" x14ac:dyDescent="0.25">
      <c r="J5700" t="s">
        <v>1432</v>
      </c>
      <c r="K5700" s="22" t="s">
        <v>22</v>
      </c>
      <c r="L5700">
        <v>2</v>
      </c>
      <c r="M5700">
        <v>2</v>
      </c>
    </row>
    <row r="5701" spans="10:15" x14ac:dyDescent="0.25">
      <c r="J5701" t="s">
        <v>2961</v>
      </c>
      <c r="K5701" s="22" t="s">
        <v>31</v>
      </c>
      <c r="L5701">
        <v>5</v>
      </c>
      <c r="M5701">
        <v>5</v>
      </c>
      <c r="O5701" s="31"/>
    </row>
    <row r="5702" spans="10:15" x14ac:dyDescent="0.25">
      <c r="J5702" t="s">
        <v>2821</v>
      </c>
      <c r="K5702" s="22" t="s">
        <v>29</v>
      </c>
      <c r="L5702">
        <v>1</v>
      </c>
    </row>
    <row r="5703" spans="10:15" x14ac:dyDescent="0.25">
      <c r="J5703" t="s">
        <v>2493</v>
      </c>
      <c r="K5703" s="22" t="s">
        <v>28</v>
      </c>
      <c r="L5703">
        <v>2</v>
      </c>
      <c r="O5703" s="30"/>
    </row>
    <row r="5704" spans="10:15" x14ac:dyDescent="0.25">
      <c r="J5704" t="s">
        <v>2493</v>
      </c>
      <c r="K5704" s="22" t="s">
        <v>35</v>
      </c>
      <c r="L5704">
        <v>2</v>
      </c>
      <c r="O5704" s="30"/>
    </row>
    <row r="5705" spans="10:15" x14ac:dyDescent="0.25">
      <c r="J5705" t="s">
        <v>1859</v>
      </c>
      <c r="K5705" s="22" t="s">
        <v>26</v>
      </c>
      <c r="L5705">
        <v>2</v>
      </c>
      <c r="M5705">
        <v>2</v>
      </c>
      <c r="O5705" s="31"/>
    </row>
    <row r="5706" spans="10:15" x14ac:dyDescent="0.25">
      <c r="J5706" t="s">
        <v>1859</v>
      </c>
      <c r="K5706" s="22" t="s">
        <v>28</v>
      </c>
      <c r="L5706">
        <v>3</v>
      </c>
      <c r="O5706" s="30"/>
    </row>
    <row r="5707" spans="10:15" x14ac:dyDescent="0.25">
      <c r="J5707" t="s">
        <v>1859</v>
      </c>
      <c r="K5707" s="22" t="s">
        <v>35</v>
      </c>
      <c r="L5707">
        <v>1</v>
      </c>
      <c r="O5707" s="30"/>
    </row>
    <row r="5708" spans="10:15" x14ac:dyDescent="0.25">
      <c r="J5708" t="s">
        <v>1859</v>
      </c>
      <c r="K5708" s="22" t="s">
        <v>31</v>
      </c>
      <c r="L5708">
        <v>3</v>
      </c>
      <c r="M5708">
        <v>2</v>
      </c>
      <c r="O5708" s="31"/>
    </row>
    <row r="5709" spans="10:15" x14ac:dyDescent="0.25">
      <c r="J5709" t="s">
        <v>1182</v>
      </c>
      <c r="K5709" s="22" t="s">
        <v>26</v>
      </c>
      <c r="L5709">
        <v>3</v>
      </c>
      <c r="M5709">
        <v>3</v>
      </c>
    </row>
    <row r="5710" spans="10:15" x14ac:dyDescent="0.25">
      <c r="J5710" t="s">
        <v>1182</v>
      </c>
      <c r="K5710" s="22" t="s">
        <v>28</v>
      </c>
      <c r="L5710">
        <v>3</v>
      </c>
      <c r="O5710" s="30"/>
    </row>
    <row r="5711" spans="10:15" x14ac:dyDescent="0.25">
      <c r="J5711" t="s">
        <v>1605</v>
      </c>
      <c r="K5711" s="22" t="s">
        <v>26</v>
      </c>
      <c r="L5711">
        <v>2</v>
      </c>
      <c r="M5711">
        <v>2</v>
      </c>
      <c r="O5711" s="31"/>
    </row>
    <row r="5712" spans="10:15" x14ac:dyDescent="0.25">
      <c r="J5712" t="s">
        <v>1605</v>
      </c>
      <c r="K5712" s="22" t="s">
        <v>28</v>
      </c>
      <c r="L5712">
        <v>1</v>
      </c>
    </row>
    <row r="5713" spans="10:15" x14ac:dyDescent="0.25">
      <c r="J5713" t="s">
        <v>1605</v>
      </c>
      <c r="K5713" s="22" t="s">
        <v>22</v>
      </c>
      <c r="L5713">
        <v>2</v>
      </c>
      <c r="O5713" s="30"/>
    </row>
    <row r="5714" spans="10:15" x14ac:dyDescent="0.25">
      <c r="J5714" t="s">
        <v>1605</v>
      </c>
      <c r="K5714" s="22" t="s">
        <v>31</v>
      </c>
      <c r="L5714">
        <v>1</v>
      </c>
    </row>
    <row r="5715" spans="10:15" x14ac:dyDescent="0.25">
      <c r="J5715" t="s">
        <v>1241</v>
      </c>
      <c r="K5715" s="22" t="s">
        <v>28</v>
      </c>
      <c r="L5715">
        <v>3</v>
      </c>
      <c r="O5715" s="30"/>
    </row>
    <row r="5716" spans="10:15" x14ac:dyDescent="0.25">
      <c r="J5716" t="s">
        <v>1241</v>
      </c>
      <c r="K5716" s="22" t="s">
        <v>22</v>
      </c>
      <c r="L5716">
        <v>3</v>
      </c>
      <c r="M5716">
        <v>3</v>
      </c>
      <c r="O5716" s="31"/>
    </row>
    <row r="5717" spans="10:15" x14ac:dyDescent="0.25">
      <c r="J5717" t="s">
        <v>2141</v>
      </c>
      <c r="K5717" s="22" t="s">
        <v>26</v>
      </c>
      <c r="L5717">
        <v>1</v>
      </c>
      <c r="M5717">
        <v>1</v>
      </c>
    </row>
    <row r="5718" spans="10:15" x14ac:dyDescent="0.25">
      <c r="J5718" t="s">
        <v>2141</v>
      </c>
      <c r="K5718" s="22" t="s">
        <v>28</v>
      </c>
      <c r="L5718">
        <v>1</v>
      </c>
    </row>
    <row r="5719" spans="10:15" x14ac:dyDescent="0.25">
      <c r="J5719" t="s">
        <v>3327</v>
      </c>
      <c r="K5719" s="22" t="s">
        <v>26</v>
      </c>
      <c r="L5719">
        <v>1</v>
      </c>
      <c r="M5719">
        <v>1</v>
      </c>
      <c r="O5719" s="31"/>
    </row>
    <row r="5720" spans="10:15" x14ac:dyDescent="0.25">
      <c r="J5720" t="s">
        <v>2277</v>
      </c>
      <c r="K5720" s="22" t="s">
        <v>28</v>
      </c>
      <c r="L5720">
        <v>1</v>
      </c>
    </row>
    <row r="5721" spans="10:15" x14ac:dyDescent="0.25">
      <c r="J5721" t="s">
        <v>3195</v>
      </c>
      <c r="K5721" s="22" t="s">
        <v>22</v>
      </c>
      <c r="L5721">
        <v>1</v>
      </c>
      <c r="O5721" s="30"/>
    </row>
    <row r="5722" spans="10:15" x14ac:dyDescent="0.25">
      <c r="J5722" t="s">
        <v>1722</v>
      </c>
      <c r="K5722" s="22" t="s">
        <v>26</v>
      </c>
      <c r="L5722">
        <v>1</v>
      </c>
      <c r="M5722">
        <v>1</v>
      </c>
    </row>
    <row r="5723" spans="10:15" x14ac:dyDescent="0.25">
      <c r="J5723" t="s">
        <v>3202</v>
      </c>
      <c r="K5723" s="22" t="s">
        <v>22</v>
      </c>
      <c r="L5723">
        <v>1</v>
      </c>
      <c r="O5723" s="30"/>
    </row>
    <row r="5724" spans="10:15" x14ac:dyDescent="0.25">
      <c r="J5724" t="s">
        <v>182</v>
      </c>
      <c r="K5724" s="22" t="s">
        <v>26</v>
      </c>
      <c r="L5724">
        <v>5</v>
      </c>
      <c r="M5724">
        <v>5</v>
      </c>
      <c r="O5724" s="31"/>
    </row>
    <row r="5725" spans="10:15" x14ac:dyDescent="0.25">
      <c r="J5725" t="s">
        <v>1155</v>
      </c>
      <c r="K5725" s="22" t="s">
        <v>31</v>
      </c>
      <c r="L5725">
        <v>1</v>
      </c>
    </row>
    <row r="5726" spans="10:15" x14ac:dyDescent="0.25">
      <c r="J5726" t="s">
        <v>1342</v>
      </c>
      <c r="K5726" s="22" t="s">
        <v>26</v>
      </c>
      <c r="L5726">
        <v>7</v>
      </c>
      <c r="M5726">
        <v>7</v>
      </c>
      <c r="O5726" s="31"/>
    </row>
    <row r="5727" spans="10:15" x14ac:dyDescent="0.25">
      <c r="J5727" t="s">
        <v>1553</v>
      </c>
      <c r="K5727" s="22" t="s">
        <v>22</v>
      </c>
      <c r="L5727">
        <v>1</v>
      </c>
      <c r="M5727">
        <v>1</v>
      </c>
    </row>
    <row r="5728" spans="10:15" x14ac:dyDescent="0.25">
      <c r="J5728" t="s">
        <v>251</v>
      </c>
      <c r="K5728" s="22" t="s">
        <v>26</v>
      </c>
      <c r="L5728">
        <v>1</v>
      </c>
      <c r="M5728">
        <v>1</v>
      </c>
    </row>
    <row r="5729" spans="10:15" x14ac:dyDescent="0.25">
      <c r="J5729" t="s">
        <v>2704</v>
      </c>
      <c r="K5729" s="22" t="s">
        <v>35</v>
      </c>
      <c r="L5729">
        <v>1</v>
      </c>
      <c r="M5729">
        <v>1</v>
      </c>
    </row>
    <row r="5730" spans="10:15" x14ac:dyDescent="0.25">
      <c r="J5730" t="s">
        <v>2945</v>
      </c>
      <c r="K5730" s="22" t="s">
        <v>22</v>
      </c>
      <c r="L5730">
        <v>1</v>
      </c>
      <c r="M5730">
        <v>1</v>
      </c>
    </row>
    <row r="5731" spans="10:15" x14ac:dyDescent="0.25">
      <c r="J5731" t="s">
        <v>1245</v>
      </c>
      <c r="K5731" s="22" t="s">
        <v>26</v>
      </c>
      <c r="L5731">
        <v>1</v>
      </c>
    </row>
    <row r="5732" spans="10:15" x14ac:dyDescent="0.25">
      <c r="J5732" t="s">
        <v>1245</v>
      </c>
      <c r="K5732" s="22" t="s">
        <v>31</v>
      </c>
      <c r="L5732">
        <v>1</v>
      </c>
      <c r="M5732">
        <v>1</v>
      </c>
    </row>
    <row r="5733" spans="10:15" x14ac:dyDescent="0.25">
      <c r="J5733" t="s">
        <v>77</v>
      </c>
      <c r="K5733" s="22" t="s">
        <v>20</v>
      </c>
      <c r="L5733">
        <v>5</v>
      </c>
      <c r="M5733">
        <v>1</v>
      </c>
      <c r="O5733" s="30"/>
    </row>
    <row r="5734" spans="10:15" x14ac:dyDescent="0.25">
      <c r="J5734" t="s">
        <v>77</v>
      </c>
      <c r="K5734" s="22" t="s">
        <v>30</v>
      </c>
      <c r="L5734">
        <v>5</v>
      </c>
      <c r="M5734">
        <v>4</v>
      </c>
      <c r="O5734" s="31"/>
    </row>
    <row r="5735" spans="10:15" x14ac:dyDescent="0.25">
      <c r="J5735" t="s">
        <v>77</v>
      </c>
      <c r="K5735" s="22" t="s">
        <v>29</v>
      </c>
      <c r="L5735">
        <v>15</v>
      </c>
      <c r="M5735">
        <v>14</v>
      </c>
      <c r="O5735" s="31"/>
    </row>
    <row r="5736" spans="10:15" x14ac:dyDescent="0.25">
      <c r="J5736" t="s">
        <v>77</v>
      </c>
      <c r="K5736" s="22" t="s">
        <v>28</v>
      </c>
      <c r="L5736">
        <v>5</v>
      </c>
      <c r="M5736">
        <v>3</v>
      </c>
      <c r="O5736" s="31"/>
    </row>
    <row r="5737" spans="10:15" x14ac:dyDescent="0.25">
      <c r="J5737" t="s">
        <v>77</v>
      </c>
      <c r="K5737" s="22" t="s">
        <v>35</v>
      </c>
      <c r="L5737">
        <v>3</v>
      </c>
      <c r="O5737" s="30"/>
    </row>
    <row r="5738" spans="10:15" x14ac:dyDescent="0.25">
      <c r="J5738" t="s">
        <v>77</v>
      </c>
      <c r="K5738" s="22" t="s">
        <v>22</v>
      </c>
      <c r="L5738">
        <v>5</v>
      </c>
      <c r="M5738">
        <v>4</v>
      </c>
      <c r="O5738" s="31"/>
    </row>
    <row r="5739" spans="10:15" x14ac:dyDescent="0.25">
      <c r="J5739" t="s">
        <v>77</v>
      </c>
      <c r="K5739" s="22" t="s">
        <v>31</v>
      </c>
      <c r="L5739">
        <v>5</v>
      </c>
      <c r="M5739">
        <v>3</v>
      </c>
      <c r="O5739" s="31"/>
    </row>
    <row r="5740" spans="10:15" x14ac:dyDescent="0.25">
      <c r="J5740" t="s">
        <v>431</v>
      </c>
      <c r="K5740" s="22" t="s">
        <v>30</v>
      </c>
      <c r="L5740">
        <v>3</v>
      </c>
      <c r="M5740">
        <v>1</v>
      </c>
      <c r="O5740" s="30"/>
    </row>
    <row r="5741" spans="10:15" x14ac:dyDescent="0.25">
      <c r="J5741" t="s">
        <v>431</v>
      </c>
      <c r="K5741" s="22" t="s">
        <v>29</v>
      </c>
      <c r="L5741">
        <v>2</v>
      </c>
      <c r="M5741">
        <v>2</v>
      </c>
      <c r="O5741" s="31"/>
    </row>
    <row r="5742" spans="10:15" x14ac:dyDescent="0.25">
      <c r="J5742" t="s">
        <v>431</v>
      </c>
      <c r="K5742" s="22" t="s">
        <v>28</v>
      </c>
      <c r="L5742">
        <v>7</v>
      </c>
      <c r="M5742">
        <v>1</v>
      </c>
      <c r="O5742" s="30"/>
    </row>
    <row r="5743" spans="10:15" x14ac:dyDescent="0.25">
      <c r="J5743" t="s">
        <v>431</v>
      </c>
      <c r="K5743" s="22" t="s">
        <v>35</v>
      </c>
      <c r="L5743">
        <v>5</v>
      </c>
      <c r="O5743" s="30"/>
    </row>
    <row r="5744" spans="10:15" x14ac:dyDescent="0.25">
      <c r="J5744" t="s">
        <v>431</v>
      </c>
      <c r="K5744" s="22" t="s">
        <v>22</v>
      </c>
      <c r="L5744">
        <v>3</v>
      </c>
      <c r="O5744" s="30"/>
    </row>
    <row r="5745" spans="10:15" x14ac:dyDescent="0.25">
      <c r="J5745" t="s">
        <v>1415</v>
      </c>
      <c r="K5745" s="22" t="s">
        <v>29</v>
      </c>
      <c r="L5745">
        <v>3</v>
      </c>
      <c r="M5745">
        <v>3</v>
      </c>
      <c r="O5745" s="31"/>
    </row>
    <row r="5746" spans="10:15" x14ac:dyDescent="0.25">
      <c r="J5746" t="s">
        <v>2373</v>
      </c>
      <c r="K5746" s="22" t="s">
        <v>28</v>
      </c>
      <c r="L5746">
        <v>2</v>
      </c>
      <c r="O5746" s="30"/>
    </row>
    <row r="5747" spans="10:15" x14ac:dyDescent="0.25">
      <c r="J5747" t="s">
        <v>2373</v>
      </c>
      <c r="K5747" s="22" t="s">
        <v>35</v>
      </c>
      <c r="L5747">
        <v>3</v>
      </c>
      <c r="M5747">
        <v>2</v>
      </c>
      <c r="O5747" s="30"/>
    </row>
    <row r="5748" spans="10:15" x14ac:dyDescent="0.25">
      <c r="J5748" t="s">
        <v>1947</v>
      </c>
      <c r="K5748" s="22" t="s">
        <v>29</v>
      </c>
      <c r="L5748">
        <v>1</v>
      </c>
    </row>
    <row r="5749" spans="10:15" x14ac:dyDescent="0.25">
      <c r="J5749" t="s">
        <v>1947</v>
      </c>
      <c r="K5749" s="22" t="s">
        <v>28</v>
      </c>
      <c r="L5749">
        <v>1</v>
      </c>
      <c r="M5749">
        <v>1</v>
      </c>
      <c r="O5749" s="31"/>
    </row>
    <row r="5750" spans="10:15" x14ac:dyDescent="0.25">
      <c r="J5750" t="s">
        <v>2774</v>
      </c>
      <c r="K5750" s="22" t="s">
        <v>30</v>
      </c>
      <c r="L5750">
        <v>1</v>
      </c>
      <c r="O5750" s="30"/>
    </row>
    <row r="5751" spans="10:15" x14ac:dyDescent="0.25">
      <c r="J5751" t="s">
        <v>2774</v>
      </c>
      <c r="K5751" s="22" t="s">
        <v>22</v>
      </c>
      <c r="L5751">
        <v>1</v>
      </c>
    </row>
    <row r="5752" spans="10:15" x14ac:dyDescent="0.25">
      <c r="J5752" t="s">
        <v>897</v>
      </c>
      <c r="K5752" s="22" t="s">
        <v>20</v>
      </c>
      <c r="L5752">
        <v>1</v>
      </c>
    </row>
    <row r="5753" spans="10:15" x14ac:dyDescent="0.25">
      <c r="J5753" t="s">
        <v>3340</v>
      </c>
      <c r="K5753" s="22" t="s">
        <v>29</v>
      </c>
      <c r="L5753">
        <v>1</v>
      </c>
      <c r="M5753">
        <v>1</v>
      </c>
      <c r="O5753" s="31"/>
    </row>
    <row r="5754" spans="10:15" x14ac:dyDescent="0.25">
      <c r="J5754" t="s">
        <v>2982</v>
      </c>
      <c r="K5754" s="22" t="s">
        <v>30</v>
      </c>
      <c r="L5754">
        <v>1</v>
      </c>
      <c r="O5754" s="30"/>
    </row>
    <row r="5755" spans="10:15" x14ac:dyDescent="0.25">
      <c r="J5755" t="s">
        <v>2982</v>
      </c>
      <c r="K5755" s="22" t="s">
        <v>29</v>
      </c>
      <c r="L5755">
        <v>2</v>
      </c>
      <c r="M5755">
        <v>2</v>
      </c>
      <c r="O5755" s="31"/>
    </row>
    <row r="5756" spans="10:15" x14ac:dyDescent="0.25">
      <c r="J5756" t="s">
        <v>2982</v>
      </c>
      <c r="K5756" s="22" t="s">
        <v>28</v>
      </c>
      <c r="L5756">
        <v>1</v>
      </c>
      <c r="O5756" s="30"/>
    </row>
    <row r="5757" spans="10:15" x14ac:dyDescent="0.25">
      <c r="J5757" t="s">
        <v>2982</v>
      </c>
      <c r="K5757" s="22" t="s">
        <v>22</v>
      </c>
      <c r="L5757">
        <v>1</v>
      </c>
      <c r="O5757" s="30"/>
    </row>
    <row r="5758" spans="10:15" x14ac:dyDescent="0.25">
      <c r="J5758" t="s">
        <v>2982</v>
      </c>
      <c r="K5758" s="22" t="s">
        <v>31</v>
      </c>
      <c r="L5758">
        <v>1</v>
      </c>
    </row>
    <row r="5759" spans="10:15" x14ac:dyDescent="0.25">
      <c r="J5759" t="s">
        <v>1702</v>
      </c>
      <c r="K5759" s="22" t="s">
        <v>29</v>
      </c>
      <c r="L5759">
        <v>2</v>
      </c>
      <c r="M5759">
        <v>1</v>
      </c>
    </row>
    <row r="5760" spans="10:15" x14ac:dyDescent="0.25">
      <c r="J5760" t="s">
        <v>1702</v>
      </c>
      <c r="K5760" s="22" t="s">
        <v>28</v>
      </c>
      <c r="L5760">
        <v>2</v>
      </c>
      <c r="M5760">
        <v>1</v>
      </c>
      <c r="O5760" s="30"/>
    </row>
    <row r="5761" spans="10:15" x14ac:dyDescent="0.25">
      <c r="J5761" t="s">
        <v>1702</v>
      </c>
      <c r="K5761" s="22" t="s">
        <v>22</v>
      </c>
      <c r="L5761">
        <v>1</v>
      </c>
      <c r="O5761" s="30"/>
    </row>
    <row r="5762" spans="10:15" x14ac:dyDescent="0.25">
      <c r="J5762" t="s">
        <v>2570</v>
      </c>
      <c r="K5762" s="22" t="s">
        <v>29</v>
      </c>
      <c r="L5762">
        <v>4</v>
      </c>
      <c r="M5762">
        <v>4</v>
      </c>
      <c r="O5762" s="31"/>
    </row>
    <row r="5763" spans="10:15" x14ac:dyDescent="0.25">
      <c r="J5763" t="s">
        <v>2949</v>
      </c>
      <c r="K5763" s="22" t="s">
        <v>30</v>
      </c>
      <c r="L5763">
        <v>1</v>
      </c>
    </row>
    <row r="5764" spans="10:15" x14ac:dyDescent="0.25">
      <c r="J5764" t="s">
        <v>2949</v>
      </c>
      <c r="K5764" s="22" t="s">
        <v>29</v>
      </c>
      <c r="L5764">
        <v>1</v>
      </c>
      <c r="M5764">
        <v>1</v>
      </c>
      <c r="O5764" s="31"/>
    </row>
    <row r="5765" spans="10:15" x14ac:dyDescent="0.25">
      <c r="J5765" t="s">
        <v>2949</v>
      </c>
      <c r="K5765" s="22" t="s">
        <v>35</v>
      </c>
      <c r="L5765">
        <v>1</v>
      </c>
      <c r="O5765" s="30"/>
    </row>
    <row r="5766" spans="10:15" x14ac:dyDescent="0.25">
      <c r="J5766" t="s">
        <v>2949</v>
      </c>
      <c r="K5766" s="22" t="s">
        <v>22</v>
      </c>
      <c r="L5766">
        <v>2</v>
      </c>
      <c r="O5766" s="30"/>
    </row>
    <row r="5767" spans="10:15" x14ac:dyDescent="0.25">
      <c r="J5767" t="s">
        <v>2500</v>
      </c>
      <c r="K5767" s="22" t="s">
        <v>31</v>
      </c>
      <c r="L5767">
        <v>2</v>
      </c>
      <c r="M5767">
        <v>2</v>
      </c>
      <c r="O5767" s="31"/>
    </row>
    <row r="5768" spans="10:15" x14ac:dyDescent="0.25">
      <c r="J5768" t="s">
        <v>1903</v>
      </c>
      <c r="K5768" s="22" t="s">
        <v>20</v>
      </c>
      <c r="L5768">
        <v>2</v>
      </c>
      <c r="O5768" s="30"/>
    </row>
    <row r="5769" spans="10:15" x14ac:dyDescent="0.25">
      <c r="J5769" t="s">
        <v>1903</v>
      </c>
      <c r="K5769" s="22" t="s">
        <v>30</v>
      </c>
      <c r="L5769">
        <v>2</v>
      </c>
      <c r="O5769" s="30"/>
    </row>
    <row r="5770" spans="10:15" x14ac:dyDescent="0.25">
      <c r="J5770" t="s">
        <v>1903</v>
      </c>
      <c r="K5770" s="22" t="s">
        <v>29</v>
      </c>
      <c r="L5770">
        <v>3</v>
      </c>
      <c r="M5770">
        <v>2</v>
      </c>
      <c r="O5770" s="31"/>
    </row>
    <row r="5771" spans="10:15" x14ac:dyDescent="0.25">
      <c r="J5771" t="s">
        <v>1903</v>
      </c>
      <c r="K5771" s="22" t="s">
        <v>35</v>
      </c>
      <c r="L5771">
        <v>1</v>
      </c>
    </row>
    <row r="5772" spans="10:15" x14ac:dyDescent="0.25">
      <c r="J5772" t="s">
        <v>2737</v>
      </c>
      <c r="K5772" s="22" t="s">
        <v>20</v>
      </c>
      <c r="L5772">
        <v>3</v>
      </c>
      <c r="M5772">
        <v>1</v>
      </c>
      <c r="O5772" s="30"/>
    </row>
    <row r="5773" spans="10:15" x14ac:dyDescent="0.25">
      <c r="J5773" t="s">
        <v>2737</v>
      </c>
      <c r="K5773" s="22" t="s">
        <v>30</v>
      </c>
      <c r="L5773">
        <v>2</v>
      </c>
      <c r="M5773">
        <v>1</v>
      </c>
      <c r="O5773" s="30"/>
    </row>
    <row r="5774" spans="10:15" x14ac:dyDescent="0.25">
      <c r="J5774" t="s">
        <v>2737</v>
      </c>
      <c r="K5774" s="22" t="s">
        <v>31</v>
      </c>
      <c r="L5774">
        <v>1</v>
      </c>
    </row>
    <row r="5775" spans="10:15" x14ac:dyDescent="0.25">
      <c r="J5775" t="s">
        <v>3146</v>
      </c>
      <c r="K5775" s="22" t="s">
        <v>20</v>
      </c>
      <c r="L5775">
        <v>1</v>
      </c>
      <c r="O5775" s="30"/>
    </row>
    <row r="5776" spans="10:15" x14ac:dyDescent="0.25">
      <c r="J5776" t="s">
        <v>3146</v>
      </c>
      <c r="K5776" s="22" t="s">
        <v>30</v>
      </c>
      <c r="L5776">
        <v>3</v>
      </c>
      <c r="O5776" s="30"/>
    </row>
    <row r="5777" spans="10:15" x14ac:dyDescent="0.25">
      <c r="J5777" t="s">
        <v>3146</v>
      </c>
      <c r="K5777" s="22" t="s">
        <v>29</v>
      </c>
      <c r="L5777">
        <v>2</v>
      </c>
      <c r="O5777" s="30"/>
    </row>
    <row r="5778" spans="10:15" x14ac:dyDescent="0.25">
      <c r="J5778" t="s">
        <v>3146</v>
      </c>
      <c r="K5778" s="22" t="s">
        <v>22</v>
      </c>
      <c r="L5778">
        <v>1</v>
      </c>
      <c r="O5778" s="30"/>
    </row>
    <row r="5779" spans="10:15" x14ac:dyDescent="0.25">
      <c r="J5779" t="s">
        <v>2573</v>
      </c>
      <c r="K5779" s="22" t="s">
        <v>30</v>
      </c>
      <c r="L5779">
        <v>1</v>
      </c>
    </row>
    <row r="5780" spans="10:15" x14ac:dyDescent="0.25">
      <c r="J5780" t="s">
        <v>2672</v>
      </c>
      <c r="K5780" s="22" t="s">
        <v>20</v>
      </c>
      <c r="L5780">
        <v>1</v>
      </c>
      <c r="O5780" s="30"/>
    </row>
    <row r="5781" spans="10:15" x14ac:dyDescent="0.25">
      <c r="J5781" t="s">
        <v>2672</v>
      </c>
      <c r="K5781" s="22" t="s">
        <v>30</v>
      </c>
      <c r="L5781">
        <v>1</v>
      </c>
    </row>
    <row r="5782" spans="10:15" x14ac:dyDescent="0.25">
      <c r="J5782" t="s">
        <v>2672</v>
      </c>
      <c r="K5782" s="22" t="s">
        <v>31</v>
      </c>
      <c r="L5782">
        <v>1</v>
      </c>
      <c r="O5782" s="30"/>
    </row>
    <row r="5783" spans="10:15" x14ac:dyDescent="0.25">
      <c r="J5783" t="s">
        <v>3347</v>
      </c>
      <c r="K5783" s="22" t="s">
        <v>20</v>
      </c>
      <c r="L5783">
        <v>1</v>
      </c>
      <c r="M5783">
        <v>1</v>
      </c>
      <c r="O5783" s="31"/>
    </row>
    <row r="5784" spans="10:15" x14ac:dyDescent="0.25">
      <c r="J5784" t="s">
        <v>2618</v>
      </c>
      <c r="K5784" s="22" t="s">
        <v>20</v>
      </c>
      <c r="L5784">
        <v>5</v>
      </c>
      <c r="O5784" s="30"/>
    </row>
    <row r="5785" spans="10:15" x14ac:dyDescent="0.25">
      <c r="J5785" t="s">
        <v>2618</v>
      </c>
      <c r="K5785" s="22" t="s">
        <v>35</v>
      </c>
      <c r="L5785">
        <v>3</v>
      </c>
      <c r="M5785">
        <v>2</v>
      </c>
      <c r="O5785" s="30"/>
    </row>
    <row r="5786" spans="10:15" x14ac:dyDescent="0.25">
      <c r="J5786" t="s">
        <v>1266</v>
      </c>
      <c r="K5786" s="22" t="s">
        <v>30</v>
      </c>
      <c r="L5786">
        <v>1</v>
      </c>
      <c r="M5786">
        <v>1</v>
      </c>
    </row>
    <row r="5787" spans="10:15" x14ac:dyDescent="0.25">
      <c r="J5787" t="s">
        <v>2522</v>
      </c>
      <c r="K5787" s="22" t="s">
        <v>20</v>
      </c>
      <c r="L5787">
        <v>2</v>
      </c>
      <c r="M5787">
        <v>1</v>
      </c>
    </row>
    <row r="5788" spans="10:15" x14ac:dyDescent="0.25">
      <c r="J5788" t="s">
        <v>2522</v>
      </c>
      <c r="K5788" s="22" t="s">
        <v>35</v>
      </c>
      <c r="L5788">
        <v>1</v>
      </c>
    </row>
    <row r="5789" spans="10:15" x14ac:dyDescent="0.25">
      <c r="J5789" t="s">
        <v>2522</v>
      </c>
      <c r="K5789" s="22" t="s">
        <v>31</v>
      </c>
      <c r="L5789">
        <v>4</v>
      </c>
      <c r="M5789">
        <v>4</v>
      </c>
      <c r="O5789" s="31"/>
    </row>
    <row r="5790" spans="10:15" x14ac:dyDescent="0.25">
      <c r="J5790" t="s">
        <v>2743</v>
      </c>
      <c r="K5790" s="22" t="s">
        <v>29</v>
      </c>
      <c r="L5790">
        <v>1</v>
      </c>
      <c r="M5790">
        <v>1</v>
      </c>
    </row>
    <row r="5791" spans="10:15" x14ac:dyDescent="0.25">
      <c r="J5791" t="s">
        <v>920</v>
      </c>
      <c r="K5791" s="22" t="s">
        <v>20</v>
      </c>
      <c r="L5791">
        <v>1</v>
      </c>
    </row>
    <row r="5792" spans="10:15" x14ac:dyDescent="0.25">
      <c r="J5792" t="s">
        <v>920</v>
      </c>
      <c r="K5792" s="22" t="s">
        <v>29</v>
      </c>
      <c r="L5792">
        <v>1</v>
      </c>
    </row>
    <row r="5793" spans="10:15" x14ac:dyDescent="0.25">
      <c r="J5793" t="s">
        <v>3351</v>
      </c>
      <c r="K5793" s="22" t="s">
        <v>20</v>
      </c>
      <c r="L5793">
        <v>1</v>
      </c>
      <c r="O5793" s="30"/>
    </row>
    <row r="5794" spans="10:15" x14ac:dyDescent="0.25">
      <c r="J5794" t="s">
        <v>3351</v>
      </c>
      <c r="K5794" s="22" t="s">
        <v>30</v>
      </c>
      <c r="L5794">
        <v>1</v>
      </c>
      <c r="O5794" s="30"/>
    </row>
    <row r="5795" spans="10:15" x14ac:dyDescent="0.25">
      <c r="J5795" t="s">
        <v>3351</v>
      </c>
      <c r="K5795" s="22" t="s">
        <v>31</v>
      </c>
      <c r="L5795">
        <v>1</v>
      </c>
      <c r="M5795">
        <v>1</v>
      </c>
      <c r="O5795" s="31"/>
    </row>
    <row r="5796" spans="10:15" x14ac:dyDescent="0.25">
      <c r="J5796" t="s">
        <v>1977</v>
      </c>
      <c r="K5796" s="22" t="s">
        <v>20</v>
      </c>
      <c r="L5796">
        <v>1</v>
      </c>
    </row>
    <row r="5797" spans="10:15" x14ac:dyDescent="0.25">
      <c r="J5797" t="s">
        <v>1977</v>
      </c>
      <c r="K5797" s="22" t="s">
        <v>30</v>
      </c>
      <c r="L5797">
        <v>1</v>
      </c>
    </row>
    <row r="5798" spans="10:15" x14ac:dyDescent="0.25">
      <c r="J5798" t="s">
        <v>2416</v>
      </c>
      <c r="K5798" s="22" t="s">
        <v>29</v>
      </c>
      <c r="L5798">
        <v>1</v>
      </c>
      <c r="M5798">
        <v>1</v>
      </c>
    </row>
    <row r="5799" spans="10:15" x14ac:dyDescent="0.25">
      <c r="J5799" t="s">
        <v>876</v>
      </c>
      <c r="K5799" s="22" t="s">
        <v>20</v>
      </c>
      <c r="L5799">
        <v>1</v>
      </c>
    </row>
    <row r="5800" spans="10:15" x14ac:dyDescent="0.25">
      <c r="J5800" t="s">
        <v>876</v>
      </c>
      <c r="K5800" s="22" t="s">
        <v>30</v>
      </c>
      <c r="L5800">
        <v>1</v>
      </c>
    </row>
    <row r="5801" spans="10:15" x14ac:dyDescent="0.25">
      <c r="J5801" t="s">
        <v>2792</v>
      </c>
      <c r="K5801" s="22" t="s">
        <v>30</v>
      </c>
      <c r="L5801">
        <v>2</v>
      </c>
      <c r="M5801">
        <v>1</v>
      </c>
      <c r="O5801" s="30"/>
    </row>
    <row r="5802" spans="10:15" x14ac:dyDescent="0.25">
      <c r="J5802" t="s">
        <v>2140</v>
      </c>
      <c r="K5802" s="22" t="s">
        <v>29</v>
      </c>
      <c r="L5802">
        <v>1</v>
      </c>
      <c r="M5802">
        <v>1</v>
      </c>
    </row>
    <row r="5803" spans="10:15" x14ac:dyDescent="0.25">
      <c r="J5803" t="s">
        <v>3006</v>
      </c>
      <c r="K5803" s="22" t="s">
        <v>22</v>
      </c>
      <c r="L5803">
        <v>3</v>
      </c>
      <c r="M5803">
        <v>3</v>
      </c>
      <c r="O5803" s="31"/>
    </row>
    <row r="5804" spans="10:15" x14ac:dyDescent="0.25">
      <c r="J5804" t="s">
        <v>215</v>
      </c>
      <c r="K5804" s="22" t="s">
        <v>35</v>
      </c>
      <c r="L5804">
        <v>5</v>
      </c>
      <c r="M5804">
        <v>5</v>
      </c>
      <c r="O5804" s="31"/>
    </row>
    <row r="5805" spans="10:15" x14ac:dyDescent="0.25">
      <c r="J5805" t="s">
        <v>1987</v>
      </c>
      <c r="K5805" s="22" t="s">
        <v>20</v>
      </c>
      <c r="L5805">
        <v>1</v>
      </c>
    </row>
    <row r="5806" spans="10:15" x14ac:dyDescent="0.25">
      <c r="J5806" t="s">
        <v>498</v>
      </c>
      <c r="K5806" s="22" t="s">
        <v>30</v>
      </c>
      <c r="L5806">
        <v>1</v>
      </c>
      <c r="M5806">
        <v>1</v>
      </c>
    </row>
    <row r="5807" spans="10:15" x14ac:dyDescent="0.25">
      <c r="J5807" t="s">
        <v>3103</v>
      </c>
      <c r="K5807" s="22" t="s">
        <v>22</v>
      </c>
      <c r="L5807">
        <v>9</v>
      </c>
      <c r="M5807">
        <v>9</v>
      </c>
      <c r="O5807" s="31"/>
    </row>
    <row r="5808" spans="10:15" x14ac:dyDescent="0.25">
      <c r="J5808" t="s">
        <v>1954</v>
      </c>
      <c r="K5808" s="22" t="s">
        <v>22</v>
      </c>
      <c r="L5808">
        <v>4</v>
      </c>
      <c r="M5808">
        <v>4</v>
      </c>
      <c r="O5808" s="31"/>
    </row>
    <row r="5809" spans="10:15" x14ac:dyDescent="0.25">
      <c r="J5809" t="s">
        <v>1123</v>
      </c>
      <c r="K5809" s="22" t="s">
        <v>28</v>
      </c>
      <c r="L5809">
        <v>2</v>
      </c>
      <c r="M5809">
        <v>1</v>
      </c>
    </row>
    <row r="5810" spans="10:15" x14ac:dyDescent="0.25">
      <c r="J5810" t="s">
        <v>995</v>
      </c>
      <c r="K5810" s="22" t="s">
        <v>20</v>
      </c>
      <c r="L5810">
        <v>2</v>
      </c>
      <c r="M5810">
        <v>1</v>
      </c>
    </row>
    <row r="5811" spans="10:15" x14ac:dyDescent="0.25">
      <c r="J5811" t="s">
        <v>995</v>
      </c>
      <c r="K5811" s="22" t="s">
        <v>35</v>
      </c>
      <c r="L5811">
        <v>1</v>
      </c>
      <c r="M5811">
        <v>1</v>
      </c>
      <c r="O5811" s="31"/>
    </row>
    <row r="5812" spans="10:15" x14ac:dyDescent="0.25">
      <c r="J5812" t="s">
        <v>2425</v>
      </c>
      <c r="K5812" s="22" t="s">
        <v>30</v>
      </c>
      <c r="L5812">
        <v>2</v>
      </c>
      <c r="M5812">
        <v>2</v>
      </c>
      <c r="O5812" s="31"/>
    </row>
    <row r="5813" spans="10:15" x14ac:dyDescent="0.25">
      <c r="J5813" t="s">
        <v>2874</v>
      </c>
      <c r="K5813" s="22" t="s">
        <v>31</v>
      </c>
      <c r="L5813">
        <v>1</v>
      </c>
    </row>
    <row r="5814" spans="10:15" x14ac:dyDescent="0.25">
      <c r="J5814" t="s">
        <v>2588</v>
      </c>
      <c r="K5814" s="22" t="s">
        <v>20</v>
      </c>
      <c r="L5814">
        <v>3</v>
      </c>
      <c r="M5814">
        <v>3</v>
      </c>
      <c r="O5814" s="31"/>
    </row>
    <row r="5815" spans="10:15" x14ac:dyDescent="0.25">
      <c r="J5815" t="s">
        <v>3045</v>
      </c>
      <c r="K5815" s="22" t="s">
        <v>22</v>
      </c>
      <c r="L5815">
        <v>1</v>
      </c>
      <c r="M5815">
        <v>1</v>
      </c>
    </row>
    <row r="5816" spans="10:15" x14ac:dyDescent="0.25">
      <c r="J5816" t="s">
        <v>3029</v>
      </c>
      <c r="K5816" s="22" t="s">
        <v>35</v>
      </c>
      <c r="L5816">
        <v>2</v>
      </c>
      <c r="M5816">
        <v>2</v>
      </c>
      <c r="O5816" s="31"/>
    </row>
    <row r="5817" spans="10:15" x14ac:dyDescent="0.25">
      <c r="J5817" t="s">
        <v>1651</v>
      </c>
      <c r="K5817" s="22" t="s">
        <v>20</v>
      </c>
      <c r="L5817">
        <v>1</v>
      </c>
      <c r="M5817">
        <v>1</v>
      </c>
    </row>
    <row r="5818" spans="10:15" x14ac:dyDescent="0.25">
      <c r="J5818" t="s">
        <v>2147</v>
      </c>
      <c r="K5818" s="22" t="s">
        <v>20</v>
      </c>
      <c r="L5818">
        <v>3</v>
      </c>
      <c r="M5818">
        <v>3</v>
      </c>
      <c r="O5818" s="31"/>
    </row>
    <row r="5819" spans="10:15" x14ac:dyDescent="0.25">
      <c r="J5819" t="s">
        <v>3341</v>
      </c>
      <c r="K5819" s="22" t="s">
        <v>20</v>
      </c>
      <c r="L5819">
        <v>3</v>
      </c>
      <c r="M5819">
        <v>3</v>
      </c>
      <c r="O5819" s="31"/>
    </row>
    <row r="5820" spans="10:15" x14ac:dyDescent="0.25">
      <c r="J5820" t="s">
        <v>2089</v>
      </c>
      <c r="K5820" s="22" t="s">
        <v>20</v>
      </c>
      <c r="L5820">
        <v>1</v>
      </c>
    </row>
    <row r="5821" spans="10:15" x14ac:dyDescent="0.25">
      <c r="J5821" t="s">
        <v>2089</v>
      </c>
      <c r="K5821" s="22" t="s">
        <v>22</v>
      </c>
      <c r="L5821">
        <v>1</v>
      </c>
      <c r="M5821">
        <v>1</v>
      </c>
    </row>
    <row r="5822" spans="10:15" x14ac:dyDescent="0.25">
      <c r="J5822" t="s">
        <v>791</v>
      </c>
      <c r="K5822" s="22" t="s">
        <v>20</v>
      </c>
      <c r="L5822">
        <v>1</v>
      </c>
    </row>
    <row r="5823" spans="10:15" x14ac:dyDescent="0.25">
      <c r="J5823" t="s">
        <v>1938</v>
      </c>
      <c r="K5823" s="22" t="s">
        <v>20</v>
      </c>
      <c r="L5823">
        <v>5</v>
      </c>
      <c r="M5823">
        <v>1</v>
      </c>
      <c r="O5823" s="30"/>
    </row>
    <row r="5824" spans="10:15" x14ac:dyDescent="0.25">
      <c r="J5824" t="s">
        <v>1938</v>
      </c>
      <c r="K5824" s="22" t="s">
        <v>30</v>
      </c>
      <c r="L5824">
        <v>3</v>
      </c>
      <c r="O5824" s="30"/>
    </row>
    <row r="5825" spans="10:15" x14ac:dyDescent="0.25">
      <c r="J5825" t="s">
        <v>1938</v>
      </c>
      <c r="K5825" s="22" t="s">
        <v>28</v>
      </c>
      <c r="L5825">
        <v>3</v>
      </c>
      <c r="O5825" s="30"/>
    </row>
    <row r="5826" spans="10:15" x14ac:dyDescent="0.25">
      <c r="J5826" t="s">
        <v>1938</v>
      </c>
      <c r="K5826" s="22" t="s">
        <v>35</v>
      </c>
      <c r="L5826">
        <v>2</v>
      </c>
      <c r="O5826" s="30"/>
    </row>
    <row r="5827" spans="10:15" x14ac:dyDescent="0.25">
      <c r="J5827" t="s">
        <v>1938</v>
      </c>
      <c r="K5827" s="22" t="s">
        <v>22</v>
      </c>
      <c r="L5827">
        <v>4</v>
      </c>
      <c r="O5827" s="30"/>
    </row>
    <row r="5828" spans="10:15" x14ac:dyDescent="0.25">
      <c r="J5828" t="s">
        <v>1938</v>
      </c>
      <c r="K5828" s="22" t="s">
        <v>31</v>
      </c>
      <c r="L5828">
        <v>2</v>
      </c>
      <c r="O5828" s="30"/>
    </row>
    <row r="5829" spans="10:15" x14ac:dyDescent="0.25">
      <c r="J5829" t="s">
        <v>3107</v>
      </c>
      <c r="K5829" s="22" t="s">
        <v>35</v>
      </c>
      <c r="L5829">
        <v>1</v>
      </c>
      <c r="M5829">
        <v>1</v>
      </c>
      <c r="O5829" s="31"/>
    </row>
    <row r="5830" spans="10:15" x14ac:dyDescent="0.25">
      <c r="J5830" t="s">
        <v>2184</v>
      </c>
      <c r="K5830" s="22" t="s">
        <v>35</v>
      </c>
      <c r="L5830">
        <v>3</v>
      </c>
      <c r="M5830">
        <v>2</v>
      </c>
      <c r="O5830" s="30"/>
    </row>
    <row r="5831" spans="10:15" x14ac:dyDescent="0.25">
      <c r="J5831" t="s">
        <v>2184</v>
      </c>
      <c r="K5831" s="22" t="s">
        <v>31</v>
      </c>
      <c r="L5831">
        <v>3</v>
      </c>
      <c r="M5831">
        <v>1</v>
      </c>
      <c r="O5831" s="30"/>
    </row>
    <row r="5832" spans="10:15" x14ac:dyDescent="0.25">
      <c r="J5832" t="s">
        <v>1992</v>
      </c>
      <c r="K5832" s="22" t="s">
        <v>20</v>
      </c>
      <c r="L5832">
        <v>2</v>
      </c>
      <c r="O5832" s="30"/>
    </row>
    <row r="5833" spans="10:15" x14ac:dyDescent="0.25">
      <c r="J5833" t="s">
        <v>1992</v>
      </c>
      <c r="K5833" s="22" t="s">
        <v>30</v>
      </c>
      <c r="L5833">
        <v>2</v>
      </c>
      <c r="O5833" s="30"/>
    </row>
    <row r="5834" spans="10:15" x14ac:dyDescent="0.25">
      <c r="J5834" t="s">
        <v>1992</v>
      </c>
      <c r="K5834" s="22" t="s">
        <v>28</v>
      </c>
      <c r="L5834">
        <v>3</v>
      </c>
      <c r="O5834" s="30"/>
    </row>
    <row r="5835" spans="10:15" x14ac:dyDescent="0.25">
      <c r="J5835" t="s">
        <v>1992</v>
      </c>
      <c r="K5835" s="22" t="s">
        <v>22</v>
      </c>
      <c r="L5835">
        <v>2</v>
      </c>
      <c r="O5835" s="30"/>
    </row>
    <row r="5836" spans="10:15" x14ac:dyDescent="0.25">
      <c r="J5836" t="s">
        <v>1992</v>
      </c>
      <c r="K5836" s="22" t="s">
        <v>31</v>
      </c>
      <c r="L5836">
        <v>4</v>
      </c>
      <c r="M5836">
        <v>4</v>
      </c>
      <c r="O5836" s="31"/>
    </row>
    <row r="5837" spans="10:15" x14ac:dyDescent="0.25">
      <c r="J5837" t="s">
        <v>2720</v>
      </c>
      <c r="K5837" s="22" t="s">
        <v>20</v>
      </c>
      <c r="L5837">
        <v>1</v>
      </c>
      <c r="M5837">
        <v>1</v>
      </c>
      <c r="O5837" s="31"/>
    </row>
    <row r="5838" spans="10:15" x14ac:dyDescent="0.25">
      <c r="J5838" t="s">
        <v>1247</v>
      </c>
      <c r="K5838" s="22" t="s">
        <v>30</v>
      </c>
      <c r="L5838">
        <v>1</v>
      </c>
    </row>
    <row r="5839" spans="10:15" x14ac:dyDescent="0.25">
      <c r="J5839" t="s">
        <v>1247</v>
      </c>
      <c r="K5839" s="22" t="s">
        <v>28</v>
      </c>
      <c r="L5839">
        <v>2</v>
      </c>
      <c r="O5839" s="30"/>
    </row>
    <row r="5840" spans="10:15" x14ac:dyDescent="0.25">
      <c r="J5840" t="s">
        <v>686</v>
      </c>
      <c r="K5840" s="22" t="s">
        <v>20</v>
      </c>
      <c r="L5840">
        <v>2</v>
      </c>
      <c r="M5840">
        <v>2</v>
      </c>
      <c r="O5840" s="31"/>
    </row>
    <row r="5841" spans="10:15" x14ac:dyDescent="0.25">
      <c r="J5841" t="s">
        <v>686</v>
      </c>
      <c r="K5841" s="22" t="s">
        <v>30</v>
      </c>
      <c r="L5841">
        <v>3</v>
      </c>
      <c r="M5841">
        <v>1</v>
      </c>
      <c r="O5841" s="30"/>
    </row>
    <row r="5842" spans="10:15" x14ac:dyDescent="0.25">
      <c r="J5842" t="s">
        <v>1791</v>
      </c>
      <c r="K5842" s="22" t="s">
        <v>31</v>
      </c>
      <c r="L5842">
        <v>1</v>
      </c>
      <c r="M5842">
        <v>1</v>
      </c>
    </row>
    <row r="5843" spans="10:15" x14ac:dyDescent="0.25">
      <c r="J5843" t="s">
        <v>930</v>
      </c>
      <c r="K5843" s="22" t="s">
        <v>20</v>
      </c>
      <c r="L5843">
        <v>2</v>
      </c>
      <c r="M5843">
        <v>2</v>
      </c>
    </row>
    <row r="5844" spans="10:15" x14ac:dyDescent="0.25">
      <c r="J5844" t="s">
        <v>930</v>
      </c>
      <c r="K5844" s="22" t="s">
        <v>30</v>
      </c>
      <c r="L5844">
        <v>1</v>
      </c>
    </row>
    <row r="5845" spans="10:15" x14ac:dyDescent="0.25">
      <c r="J5845" t="s">
        <v>930</v>
      </c>
      <c r="K5845" s="22" t="s">
        <v>22</v>
      </c>
      <c r="L5845">
        <v>2</v>
      </c>
      <c r="O5845" s="30"/>
    </row>
    <row r="5846" spans="10:15" x14ac:dyDescent="0.25">
      <c r="J5846" t="s">
        <v>2755</v>
      </c>
      <c r="K5846" s="22" t="s">
        <v>20</v>
      </c>
      <c r="L5846">
        <v>1</v>
      </c>
      <c r="M5846">
        <v>1</v>
      </c>
    </row>
    <row r="5847" spans="10:15" x14ac:dyDescent="0.25">
      <c r="J5847" t="s">
        <v>1913</v>
      </c>
      <c r="K5847" s="22" t="s">
        <v>20</v>
      </c>
      <c r="L5847">
        <v>1</v>
      </c>
    </row>
    <row r="5848" spans="10:15" x14ac:dyDescent="0.25">
      <c r="J5848" t="s">
        <v>1913</v>
      </c>
      <c r="K5848" s="22" t="s">
        <v>35</v>
      </c>
      <c r="L5848">
        <v>2</v>
      </c>
      <c r="M5848">
        <v>2</v>
      </c>
      <c r="O5848" s="31"/>
    </row>
    <row r="5849" spans="10:15" x14ac:dyDescent="0.25">
      <c r="J5849" t="s">
        <v>3454</v>
      </c>
      <c r="K5849" s="22" t="s">
        <v>20</v>
      </c>
      <c r="L5849">
        <v>1</v>
      </c>
      <c r="O5849" s="30"/>
    </row>
    <row r="5850" spans="10:15" x14ac:dyDescent="0.25">
      <c r="J5850" t="s">
        <v>2785</v>
      </c>
      <c r="K5850" s="22" t="s">
        <v>22</v>
      </c>
      <c r="L5850">
        <v>2</v>
      </c>
      <c r="M5850">
        <v>2</v>
      </c>
    </row>
    <row r="5851" spans="10:15" x14ac:dyDescent="0.25">
      <c r="J5851" t="s">
        <v>2830</v>
      </c>
      <c r="K5851" s="22" t="s">
        <v>20</v>
      </c>
      <c r="L5851">
        <v>1</v>
      </c>
    </row>
    <row r="5852" spans="10:15" x14ac:dyDescent="0.25">
      <c r="J5852" t="s">
        <v>2830</v>
      </c>
      <c r="K5852" s="22" t="s">
        <v>31</v>
      </c>
      <c r="L5852">
        <v>1</v>
      </c>
      <c r="M5852">
        <v>1</v>
      </c>
    </row>
    <row r="5853" spans="10:15" x14ac:dyDescent="0.25">
      <c r="J5853" t="s">
        <v>487</v>
      </c>
      <c r="K5853" s="22" t="s">
        <v>20</v>
      </c>
      <c r="L5853">
        <v>1</v>
      </c>
    </row>
    <row r="5854" spans="10:15" x14ac:dyDescent="0.25">
      <c r="J5854" t="s">
        <v>2777</v>
      </c>
      <c r="K5854" s="22" t="s">
        <v>35</v>
      </c>
      <c r="L5854">
        <v>2</v>
      </c>
      <c r="M5854">
        <v>1</v>
      </c>
      <c r="O5854" s="30"/>
    </row>
    <row r="5855" spans="10:15" x14ac:dyDescent="0.25">
      <c r="J5855" t="s">
        <v>725</v>
      </c>
      <c r="K5855" s="22" t="s">
        <v>28</v>
      </c>
      <c r="L5855">
        <v>1</v>
      </c>
      <c r="M5855">
        <v>1</v>
      </c>
    </row>
    <row r="5856" spans="10:15" x14ac:dyDescent="0.25">
      <c r="J5856" t="s">
        <v>3445</v>
      </c>
      <c r="K5856" s="22" t="s">
        <v>20</v>
      </c>
      <c r="L5856">
        <v>1</v>
      </c>
      <c r="O5856" s="30"/>
    </row>
    <row r="5857" spans="10:15" x14ac:dyDescent="0.25">
      <c r="J5857" t="s">
        <v>3445</v>
      </c>
      <c r="K5857" s="22" t="s">
        <v>28</v>
      </c>
      <c r="L5857">
        <v>1</v>
      </c>
      <c r="O5857" s="30"/>
    </row>
    <row r="5858" spans="10:15" x14ac:dyDescent="0.25">
      <c r="J5858" t="s">
        <v>3445</v>
      </c>
      <c r="K5858" s="22" t="s">
        <v>35</v>
      </c>
      <c r="L5858">
        <v>1</v>
      </c>
      <c r="O5858" s="30"/>
    </row>
    <row r="5859" spans="10:15" x14ac:dyDescent="0.25">
      <c r="J5859" t="s">
        <v>2779</v>
      </c>
      <c r="K5859" s="22" t="s">
        <v>29</v>
      </c>
      <c r="L5859">
        <v>1</v>
      </c>
      <c r="M5859">
        <v>1</v>
      </c>
    </row>
    <row r="5860" spans="10:15" x14ac:dyDescent="0.25">
      <c r="J5860" t="s">
        <v>1013</v>
      </c>
      <c r="K5860" s="22" t="s">
        <v>29</v>
      </c>
      <c r="L5860">
        <v>2</v>
      </c>
      <c r="M5860">
        <v>2</v>
      </c>
      <c r="O5860" s="31"/>
    </row>
    <row r="5861" spans="10:15" x14ac:dyDescent="0.25">
      <c r="J5861" t="s">
        <v>1951</v>
      </c>
      <c r="K5861" s="22" t="s">
        <v>20</v>
      </c>
      <c r="L5861">
        <v>1</v>
      </c>
    </row>
    <row r="5862" spans="10:15" x14ac:dyDescent="0.25">
      <c r="J5862" t="s">
        <v>1951</v>
      </c>
      <c r="K5862" s="22" t="s">
        <v>29</v>
      </c>
      <c r="L5862">
        <v>1</v>
      </c>
      <c r="M5862">
        <v>1</v>
      </c>
    </row>
    <row r="5863" spans="10:15" x14ac:dyDescent="0.25">
      <c r="J5863" t="s">
        <v>1951</v>
      </c>
      <c r="K5863" s="22" t="s">
        <v>28</v>
      </c>
      <c r="L5863">
        <v>1</v>
      </c>
    </row>
    <row r="5864" spans="10:15" x14ac:dyDescent="0.25">
      <c r="J5864" t="s">
        <v>1959</v>
      </c>
      <c r="K5864" s="22" t="s">
        <v>20</v>
      </c>
      <c r="L5864">
        <v>1</v>
      </c>
    </row>
    <row r="5865" spans="10:15" x14ac:dyDescent="0.25">
      <c r="J5865" t="s">
        <v>1959</v>
      </c>
      <c r="K5865" s="22" t="s">
        <v>29</v>
      </c>
      <c r="L5865">
        <v>1</v>
      </c>
      <c r="M5865">
        <v>1</v>
      </c>
    </row>
    <row r="5866" spans="10:15" x14ac:dyDescent="0.25">
      <c r="J5866" t="s">
        <v>1959</v>
      </c>
      <c r="K5866" s="22" t="s">
        <v>28</v>
      </c>
      <c r="L5866">
        <v>1</v>
      </c>
    </row>
    <row r="5867" spans="10:15" x14ac:dyDescent="0.25">
      <c r="J5867" t="s">
        <v>1006</v>
      </c>
      <c r="K5867" s="22" t="s">
        <v>29</v>
      </c>
      <c r="L5867">
        <v>1</v>
      </c>
      <c r="M5867">
        <v>1</v>
      </c>
    </row>
    <row r="5868" spans="10:15" x14ac:dyDescent="0.25">
      <c r="J5868" t="s">
        <v>131</v>
      </c>
      <c r="K5868" s="22" t="s">
        <v>29</v>
      </c>
      <c r="L5868">
        <v>2</v>
      </c>
      <c r="M5868">
        <v>2</v>
      </c>
      <c r="O5868" s="31"/>
    </row>
    <row r="5869" spans="10:15" x14ac:dyDescent="0.25">
      <c r="J5869" t="s">
        <v>3104</v>
      </c>
      <c r="K5869" s="22" t="s">
        <v>29</v>
      </c>
      <c r="L5869">
        <v>1</v>
      </c>
      <c r="O5869" s="30"/>
    </row>
    <row r="5870" spans="10:15" x14ac:dyDescent="0.25">
      <c r="J5870" t="s">
        <v>3104</v>
      </c>
      <c r="K5870" s="22" t="s">
        <v>22</v>
      </c>
      <c r="L5870">
        <v>1</v>
      </c>
      <c r="O5870" s="30"/>
    </row>
    <row r="5871" spans="10:15" x14ac:dyDescent="0.25">
      <c r="J5871" t="s">
        <v>2204</v>
      </c>
      <c r="K5871" s="22" t="s">
        <v>29</v>
      </c>
      <c r="L5871">
        <v>1</v>
      </c>
    </row>
    <row r="5872" spans="10:15" x14ac:dyDescent="0.25">
      <c r="J5872" t="s">
        <v>2204</v>
      </c>
      <c r="K5872" s="22" t="s">
        <v>22</v>
      </c>
      <c r="L5872">
        <v>1</v>
      </c>
      <c r="M5872">
        <v>1</v>
      </c>
    </row>
    <row r="5873" spans="10:15" x14ac:dyDescent="0.25">
      <c r="J5873" t="s">
        <v>2953</v>
      </c>
      <c r="K5873" s="22" t="s">
        <v>31</v>
      </c>
      <c r="L5873">
        <v>1</v>
      </c>
      <c r="M5873">
        <v>1</v>
      </c>
    </row>
    <row r="5874" spans="10:15" x14ac:dyDescent="0.25">
      <c r="J5874" t="s">
        <v>2794</v>
      </c>
      <c r="K5874" s="22" t="s">
        <v>29</v>
      </c>
      <c r="L5874">
        <v>1</v>
      </c>
      <c r="M5874">
        <v>1</v>
      </c>
    </row>
    <row r="5875" spans="10:15" x14ac:dyDescent="0.25">
      <c r="J5875" t="s">
        <v>2642</v>
      </c>
      <c r="K5875" s="22" t="s">
        <v>20</v>
      </c>
      <c r="L5875">
        <v>1</v>
      </c>
    </row>
    <row r="5876" spans="10:15" x14ac:dyDescent="0.25">
      <c r="J5876" t="s">
        <v>2554</v>
      </c>
      <c r="K5876" s="22" t="s">
        <v>22</v>
      </c>
      <c r="L5876">
        <v>4</v>
      </c>
      <c r="M5876">
        <v>4</v>
      </c>
      <c r="O5876" s="31"/>
    </row>
    <row r="5877" spans="10:15" x14ac:dyDescent="0.25">
      <c r="J5877" t="s">
        <v>1262</v>
      </c>
      <c r="K5877" s="22" t="s">
        <v>28</v>
      </c>
      <c r="L5877">
        <v>5</v>
      </c>
      <c r="M5877">
        <v>5</v>
      </c>
      <c r="O5877" s="31"/>
    </row>
    <row r="5878" spans="10:15" x14ac:dyDescent="0.25">
      <c r="J5878" t="s">
        <v>2649</v>
      </c>
      <c r="K5878" s="22" t="s">
        <v>35</v>
      </c>
      <c r="L5878">
        <v>1</v>
      </c>
    </row>
    <row r="5879" spans="10:15" x14ac:dyDescent="0.25">
      <c r="J5879" t="s">
        <v>2381</v>
      </c>
      <c r="K5879" s="22" t="s">
        <v>20</v>
      </c>
      <c r="L5879">
        <v>1</v>
      </c>
      <c r="O5879" s="30"/>
    </row>
    <row r="5880" spans="10:15" x14ac:dyDescent="0.25">
      <c r="J5880" t="s">
        <v>2381</v>
      </c>
      <c r="K5880" s="22" t="s">
        <v>35</v>
      </c>
      <c r="L5880">
        <v>4</v>
      </c>
      <c r="O5880" s="30"/>
    </row>
    <row r="5881" spans="10:15" x14ac:dyDescent="0.25">
      <c r="J5881" t="s">
        <v>163</v>
      </c>
      <c r="K5881" s="22" t="s">
        <v>20</v>
      </c>
      <c r="L5881">
        <v>4</v>
      </c>
      <c r="M5881">
        <v>4</v>
      </c>
    </row>
    <row r="5882" spans="10:15" x14ac:dyDescent="0.25">
      <c r="J5882" t="s">
        <v>1015</v>
      </c>
      <c r="K5882" s="22" t="s">
        <v>22</v>
      </c>
      <c r="L5882">
        <v>3</v>
      </c>
      <c r="M5882">
        <v>3</v>
      </c>
      <c r="O5882" s="31"/>
    </row>
    <row r="5883" spans="10:15" x14ac:dyDescent="0.25">
      <c r="J5883" t="s">
        <v>2206</v>
      </c>
      <c r="K5883" s="22" t="s">
        <v>20</v>
      </c>
      <c r="L5883">
        <v>1</v>
      </c>
    </row>
    <row r="5884" spans="10:15" x14ac:dyDescent="0.25">
      <c r="J5884" t="s">
        <v>1779</v>
      </c>
      <c r="K5884" s="22" t="s">
        <v>20</v>
      </c>
      <c r="L5884">
        <v>1</v>
      </c>
    </row>
    <row r="5885" spans="10:15" x14ac:dyDescent="0.25">
      <c r="J5885" t="s">
        <v>1779</v>
      </c>
      <c r="K5885" s="22" t="s">
        <v>35</v>
      </c>
      <c r="L5885">
        <v>1</v>
      </c>
    </row>
    <row r="5886" spans="10:15" x14ac:dyDescent="0.25">
      <c r="J5886" t="s">
        <v>1779</v>
      </c>
      <c r="K5886" s="22" t="s">
        <v>22</v>
      </c>
      <c r="L5886">
        <v>1</v>
      </c>
      <c r="O5886" s="30"/>
    </row>
    <row r="5887" spans="10:15" x14ac:dyDescent="0.25">
      <c r="J5887" t="s">
        <v>1779</v>
      </c>
      <c r="K5887" s="22" t="s">
        <v>31</v>
      </c>
      <c r="L5887">
        <v>2</v>
      </c>
      <c r="M5887">
        <v>1</v>
      </c>
      <c r="O5887" s="30"/>
    </row>
    <row r="5888" spans="10:15" x14ac:dyDescent="0.25">
      <c r="J5888" t="s">
        <v>1679</v>
      </c>
      <c r="K5888" s="22" t="s">
        <v>20</v>
      </c>
      <c r="L5888">
        <v>1</v>
      </c>
    </row>
    <row r="5889" spans="10:15" x14ac:dyDescent="0.25">
      <c r="J5889" t="s">
        <v>1679</v>
      </c>
      <c r="K5889" s="22" t="s">
        <v>28</v>
      </c>
      <c r="L5889">
        <v>1</v>
      </c>
      <c r="O5889" s="30"/>
    </row>
    <row r="5890" spans="10:15" x14ac:dyDescent="0.25">
      <c r="J5890" t="s">
        <v>61</v>
      </c>
      <c r="K5890" s="22" t="s">
        <v>31</v>
      </c>
      <c r="L5890">
        <v>1</v>
      </c>
      <c r="M5890">
        <v>1</v>
      </c>
    </row>
    <row r="5891" spans="10:15" x14ac:dyDescent="0.25">
      <c r="J5891" t="s">
        <v>1631</v>
      </c>
      <c r="K5891" s="22" t="s">
        <v>20</v>
      </c>
      <c r="L5891">
        <v>1</v>
      </c>
    </row>
    <row r="5892" spans="10:15" x14ac:dyDescent="0.25">
      <c r="J5892" t="s">
        <v>1631</v>
      </c>
      <c r="K5892" s="22" t="s">
        <v>22</v>
      </c>
      <c r="L5892">
        <v>1</v>
      </c>
      <c r="O5892" s="30"/>
    </row>
    <row r="5893" spans="10:15" x14ac:dyDescent="0.25">
      <c r="J5893" t="s">
        <v>1631</v>
      </c>
      <c r="K5893" s="22" t="s">
        <v>31</v>
      </c>
      <c r="L5893">
        <v>1</v>
      </c>
    </row>
    <row r="5894" spans="10:15" x14ac:dyDescent="0.25">
      <c r="J5894" t="s">
        <v>2673</v>
      </c>
      <c r="K5894" s="22" t="s">
        <v>31</v>
      </c>
      <c r="L5894">
        <v>1</v>
      </c>
    </row>
    <row r="5895" spans="10:15" x14ac:dyDescent="0.25">
      <c r="J5895" t="s">
        <v>63</v>
      </c>
      <c r="K5895" s="22" t="s">
        <v>20</v>
      </c>
      <c r="L5895">
        <v>2</v>
      </c>
      <c r="M5895">
        <v>2</v>
      </c>
    </row>
    <row r="5896" spans="10:15" x14ac:dyDescent="0.25">
      <c r="J5896" t="s">
        <v>2853</v>
      </c>
      <c r="K5896" s="22" t="s">
        <v>35</v>
      </c>
      <c r="L5896">
        <v>1</v>
      </c>
      <c r="M5896">
        <v>1</v>
      </c>
      <c r="O5896" s="31"/>
    </row>
    <row r="5897" spans="10:15" x14ac:dyDescent="0.25">
      <c r="J5897" t="s">
        <v>3370</v>
      </c>
      <c r="K5897" s="22" t="s">
        <v>35</v>
      </c>
      <c r="L5897">
        <v>1</v>
      </c>
      <c r="O5897" s="30"/>
    </row>
    <row r="5898" spans="10:15" x14ac:dyDescent="0.25">
      <c r="J5898" t="s">
        <v>3353</v>
      </c>
      <c r="K5898" s="22" t="s">
        <v>20</v>
      </c>
      <c r="L5898">
        <v>1</v>
      </c>
      <c r="O5898" s="30"/>
    </row>
    <row r="5899" spans="10:15" x14ac:dyDescent="0.25">
      <c r="J5899" t="s">
        <v>2611</v>
      </c>
      <c r="K5899" s="22" t="s">
        <v>20</v>
      </c>
      <c r="L5899">
        <v>1</v>
      </c>
      <c r="O5899" s="30"/>
    </row>
    <row r="5900" spans="10:15" x14ac:dyDescent="0.25">
      <c r="J5900" t="s">
        <v>1795</v>
      </c>
      <c r="K5900" s="22" t="s">
        <v>20</v>
      </c>
      <c r="L5900">
        <v>1</v>
      </c>
    </row>
    <row r="5901" spans="10:15" x14ac:dyDescent="0.25">
      <c r="J5901" t="s">
        <v>1795</v>
      </c>
      <c r="K5901" s="22" t="s">
        <v>31</v>
      </c>
      <c r="L5901">
        <v>3</v>
      </c>
      <c r="O5901" s="30"/>
    </row>
    <row r="5902" spans="10:15" x14ac:dyDescent="0.25">
      <c r="J5902" t="s">
        <v>587</v>
      </c>
      <c r="K5902" s="22" t="s">
        <v>20</v>
      </c>
      <c r="L5902">
        <v>5</v>
      </c>
      <c r="M5902">
        <v>1</v>
      </c>
      <c r="O5902" s="30"/>
    </row>
    <row r="5903" spans="10:15" x14ac:dyDescent="0.25">
      <c r="J5903" t="s">
        <v>587</v>
      </c>
      <c r="K5903" s="22" t="s">
        <v>29</v>
      </c>
      <c r="L5903">
        <v>5</v>
      </c>
      <c r="M5903">
        <v>1</v>
      </c>
      <c r="O5903" s="30"/>
    </row>
    <row r="5904" spans="10:15" x14ac:dyDescent="0.25">
      <c r="J5904" t="s">
        <v>587</v>
      </c>
      <c r="K5904" s="22" t="s">
        <v>28</v>
      </c>
      <c r="L5904">
        <v>3</v>
      </c>
    </row>
    <row r="5905" spans="10:15" x14ac:dyDescent="0.25">
      <c r="J5905" t="s">
        <v>587</v>
      </c>
      <c r="K5905" s="22" t="s">
        <v>35</v>
      </c>
      <c r="L5905">
        <v>3</v>
      </c>
      <c r="O5905" s="30"/>
    </row>
    <row r="5906" spans="10:15" x14ac:dyDescent="0.25">
      <c r="J5906" t="s">
        <v>587</v>
      </c>
      <c r="K5906" s="22" t="s">
        <v>22</v>
      </c>
      <c r="L5906">
        <v>5</v>
      </c>
      <c r="M5906">
        <v>1</v>
      </c>
      <c r="O5906" s="30"/>
    </row>
    <row r="5907" spans="10:15" x14ac:dyDescent="0.25">
      <c r="J5907" t="s">
        <v>587</v>
      </c>
      <c r="K5907" s="22" t="s">
        <v>31</v>
      </c>
      <c r="L5907">
        <v>9</v>
      </c>
      <c r="M5907">
        <v>2</v>
      </c>
      <c r="O5907" s="30"/>
    </row>
    <row r="5908" spans="10:15" x14ac:dyDescent="0.25">
      <c r="J5908" t="s">
        <v>461</v>
      </c>
      <c r="K5908" s="22" t="s">
        <v>20</v>
      </c>
      <c r="L5908">
        <v>4</v>
      </c>
      <c r="M5908">
        <v>3</v>
      </c>
      <c r="O5908" s="31"/>
    </row>
    <row r="5909" spans="10:15" x14ac:dyDescent="0.25">
      <c r="J5909" t="s">
        <v>461</v>
      </c>
      <c r="K5909" s="22" t="s">
        <v>28</v>
      </c>
      <c r="L5909">
        <v>5</v>
      </c>
      <c r="O5909" s="30"/>
    </row>
    <row r="5910" spans="10:15" x14ac:dyDescent="0.25">
      <c r="J5910" t="s">
        <v>461</v>
      </c>
      <c r="K5910" s="22" t="s">
        <v>35</v>
      </c>
      <c r="L5910">
        <v>2</v>
      </c>
      <c r="M5910">
        <v>2</v>
      </c>
    </row>
    <row r="5911" spans="10:15" x14ac:dyDescent="0.25">
      <c r="J5911" t="s">
        <v>1862</v>
      </c>
      <c r="K5911" s="22" t="s">
        <v>20</v>
      </c>
      <c r="L5911">
        <v>2</v>
      </c>
      <c r="O5911" s="30"/>
    </row>
    <row r="5912" spans="10:15" x14ac:dyDescent="0.25">
      <c r="J5912" t="s">
        <v>1862</v>
      </c>
      <c r="K5912" s="22" t="s">
        <v>29</v>
      </c>
      <c r="L5912">
        <v>2</v>
      </c>
      <c r="M5912">
        <v>2</v>
      </c>
      <c r="O5912" s="31"/>
    </row>
    <row r="5913" spans="10:15" x14ac:dyDescent="0.25">
      <c r="J5913" t="s">
        <v>2495</v>
      </c>
      <c r="K5913" s="22" t="s">
        <v>20</v>
      </c>
      <c r="L5913">
        <v>3</v>
      </c>
      <c r="M5913">
        <v>2</v>
      </c>
    </row>
    <row r="5914" spans="10:15" x14ac:dyDescent="0.25">
      <c r="J5914" t="s">
        <v>2495</v>
      </c>
      <c r="K5914" s="22" t="s">
        <v>28</v>
      </c>
      <c r="L5914">
        <v>2</v>
      </c>
      <c r="M5914">
        <v>2</v>
      </c>
      <c r="O5914" s="31"/>
    </row>
    <row r="5915" spans="10:15" x14ac:dyDescent="0.25">
      <c r="J5915" t="s">
        <v>2341</v>
      </c>
      <c r="K5915" s="22" t="s">
        <v>20</v>
      </c>
      <c r="L5915">
        <v>2</v>
      </c>
      <c r="M5915">
        <v>1</v>
      </c>
    </row>
    <row r="5916" spans="10:15" x14ac:dyDescent="0.25">
      <c r="J5916" t="s">
        <v>2341</v>
      </c>
      <c r="K5916" s="22" t="s">
        <v>22</v>
      </c>
      <c r="L5916">
        <v>1</v>
      </c>
      <c r="O5916" s="30"/>
    </row>
    <row r="5917" spans="10:15" x14ac:dyDescent="0.25">
      <c r="J5917" t="s">
        <v>943</v>
      </c>
      <c r="K5917" s="22" t="s">
        <v>20</v>
      </c>
      <c r="L5917">
        <v>1</v>
      </c>
    </row>
    <row r="5918" spans="10:15" x14ac:dyDescent="0.25">
      <c r="J5918" t="s">
        <v>943</v>
      </c>
      <c r="K5918" s="22" t="s">
        <v>29</v>
      </c>
      <c r="L5918">
        <v>1</v>
      </c>
      <c r="M5918">
        <v>1</v>
      </c>
    </row>
    <row r="5919" spans="10:15" x14ac:dyDescent="0.25">
      <c r="J5919" t="s">
        <v>3267</v>
      </c>
      <c r="K5919" s="22" t="s">
        <v>29</v>
      </c>
      <c r="L5919">
        <v>1</v>
      </c>
      <c r="M5919">
        <v>1</v>
      </c>
      <c r="O5919" s="31"/>
    </row>
    <row r="5920" spans="10:15" x14ac:dyDescent="0.25">
      <c r="J5920" t="s">
        <v>3073</v>
      </c>
      <c r="K5920" s="22" t="s">
        <v>20</v>
      </c>
      <c r="L5920">
        <v>1</v>
      </c>
      <c r="O5920" s="30"/>
    </row>
    <row r="5921" spans="10:15" x14ac:dyDescent="0.25">
      <c r="J5921" t="s">
        <v>3073</v>
      </c>
      <c r="K5921" s="22" t="s">
        <v>29</v>
      </c>
      <c r="L5921">
        <v>1</v>
      </c>
      <c r="O5921" s="30"/>
    </row>
    <row r="5922" spans="10:15" x14ac:dyDescent="0.25">
      <c r="J5922" t="s">
        <v>3073</v>
      </c>
      <c r="K5922" s="22" t="s">
        <v>22</v>
      </c>
      <c r="L5922">
        <v>2</v>
      </c>
      <c r="M5922">
        <v>1</v>
      </c>
      <c r="O5922" s="30"/>
    </row>
    <row r="5923" spans="10:15" x14ac:dyDescent="0.25">
      <c r="J5923" t="s">
        <v>3073</v>
      </c>
      <c r="K5923" s="22" t="s">
        <v>31</v>
      </c>
      <c r="L5923">
        <v>1</v>
      </c>
      <c r="O5923" s="30"/>
    </row>
    <row r="5924" spans="10:15" x14ac:dyDescent="0.25">
      <c r="J5924" t="s">
        <v>3458</v>
      </c>
      <c r="K5924" s="22" t="s">
        <v>22</v>
      </c>
      <c r="L5924">
        <v>1</v>
      </c>
      <c r="M5924">
        <v>1</v>
      </c>
      <c r="O5924" s="31"/>
    </row>
    <row r="5925" spans="10:15" x14ac:dyDescent="0.25">
      <c r="J5925" t="s">
        <v>3478</v>
      </c>
      <c r="K5925" s="22" t="s">
        <v>29</v>
      </c>
      <c r="L5925">
        <v>1</v>
      </c>
      <c r="M5925">
        <v>1</v>
      </c>
      <c r="O5925" s="31"/>
    </row>
    <row r="5926" spans="10:15" x14ac:dyDescent="0.25">
      <c r="J5926" t="s">
        <v>2420</v>
      </c>
      <c r="K5926" s="22" t="s">
        <v>20</v>
      </c>
      <c r="L5926">
        <v>1</v>
      </c>
    </row>
    <row r="5927" spans="10:15" x14ac:dyDescent="0.25">
      <c r="J5927" t="s">
        <v>2420</v>
      </c>
      <c r="K5927" s="22" t="s">
        <v>29</v>
      </c>
      <c r="L5927">
        <v>1</v>
      </c>
    </row>
    <row r="5928" spans="10:15" x14ac:dyDescent="0.25">
      <c r="J5928" t="s">
        <v>3152</v>
      </c>
      <c r="K5928" s="22" t="s">
        <v>35</v>
      </c>
      <c r="L5928">
        <v>1</v>
      </c>
      <c r="M5928">
        <v>1</v>
      </c>
      <c r="O5928" s="31"/>
    </row>
    <row r="5929" spans="10:15" x14ac:dyDescent="0.25">
      <c r="J5929" t="s">
        <v>1146</v>
      </c>
      <c r="K5929" s="22" t="s">
        <v>29</v>
      </c>
      <c r="L5929">
        <v>2</v>
      </c>
      <c r="M5929">
        <v>2</v>
      </c>
      <c r="O5929" s="31"/>
    </row>
    <row r="5930" spans="10:15" x14ac:dyDescent="0.25">
      <c r="J5930" t="s">
        <v>2918</v>
      </c>
      <c r="K5930" s="22" t="s">
        <v>20</v>
      </c>
      <c r="L5930">
        <v>2</v>
      </c>
      <c r="M5930">
        <v>2</v>
      </c>
      <c r="O5930" s="31"/>
    </row>
    <row r="5931" spans="10:15" x14ac:dyDescent="0.25">
      <c r="J5931" t="s">
        <v>2974</v>
      </c>
      <c r="K5931" s="22" t="s">
        <v>20</v>
      </c>
      <c r="L5931">
        <v>1</v>
      </c>
    </row>
    <row r="5932" spans="10:15" x14ac:dyDescent="0.25">
      <c r="J5932" t="s">
        <v>2800</v>
      </c>
      <c r="K5932" s="22" t="s">
        <v>20</v>
      </c>
      <c r="L5932">
        <v>1</v>
      </c>
    </row>
    <row r="5933" spans="10:15" x14ac:dyDescent="0.25">
      <c r="J5933" t="s">
        <v>2800</v>
      </c>
      <c r="K5933" s="22" t="s">
        <v>29</v>
      </c>
      <c r="L5933">
        <v>1</v>
      </c>
      <c r="M5933">
        <v>1</v>
      </c>
      <c r="O5933" s="31"/>
    </row>
    <row r="5934" spans="10:15" x14ac:dyDescent="0.25">
      <c r="J5934" t="s">
        <v>2800</v>
      </c>
      <c r="K5934" s="22" t="s">
        <v>35</v>
      </c>
      <c r="L5934">
        <v>1</v>
      </c>
      <c r="O5934" s="30"/>
    </row>
    <row r="5935" spans="10:15" x14ac:dyDescent="0.25">
      <c r="J5935" t="s">
        <v>2800</v>
      </c>
      <c r="K5935" s="22" t="s">
        <v>31</v>
      </c>
      <c r="L5935">
        <v>1</v>
      </c>
      <c r="O5935" s="30"/>
    </row>
    <row r="5936" spans="10:15" x14ac:dyDescent="0.25">
      <c r="J5936" t="s">
        <v>656</v>
      </c>
      <c r="K5936" s="22" t="s">
        <v>35</v>
      </c>
      <c r="L5936">
        <v>6</v>
      </c>
      <c r="M5936">
        <v>6</v>
      </c>
      <c r="O5936" s="31"/>
    </row>
    <row r="5937" spans="10:15" x14ac:dyDescent="0.25">
      <c r="J5937" t="s">
        <v>1204</v>
      </c>
      <c r="K5937" s="22" t="s">
        <v>20</v>
      </c>
      <c r="L5937">
        <v>3</v>
      </c>
      <c r="M5937">
        <v>2</v>
      </c>
      <c r="O5937" s="31"/>
    </row>
    <row r="5938" spans="10:15" x14ac:dyDescent="0.25">
      <c r="J5938" t="s">
        <v>1204</v>
      </c>
      <c r="K5938" s="22" t="s">
        <v>29</v>
      </c>
      <c r="L5938">
        <v>1</v>
      </c>
      <c r="M5938">
        <v>1</v>
      </c>
      <c r="O5938" s="31"/>
    </row>
    <row r="5939" spans="10:15" x14ac:dyDescent="0.25">
      <c r="J5939" t="s">
        <v>1204</v>
      </c>
      <c r="K5939" s="22" t="s">
        <v>22</v>
      </c>
      <c r="L5939">
        <v>1</v>
      </c>
    </row>
    <row r="5940" spans="10:15" x14ac:dyDescent="0.25">
      <c r="J5940" t="s">
        <v>3506</v>
      </c>
      <c r="K5940" s="22" t="s">
        <v>22</v>
      </c>
      <c r="L5940">
        <v>1</v>
      </c>
      <c r="M5940">
        <v>1</v>
      </c>
      <c r="O5940" s="31"/>
    </row>
    <row r="5941" spans="10:15" x14ac:dyDescent="0.25">
      <c r="J5941" t="s">
        <v>1240</v>
      </c>
      <c r="K5941" s="22" t="s">
        <v>29</v>
      </c>
      <c r="L5941">
        <v>2</v>
      </c>
      <c r="M5941">
        <v>2</v>
      </c>
    </row>
    <row r="5942" spans="10:15" x14ac:dyDescent="0.25">
      <c r="J5942" t="s">
        <v>1646</v>
      </c>
      <c r="K5942" s="22" t="s">
        <v>20</v>
      </c>
      <c r="L5942">
        <v>1</v>
      </c>
    </row>
    <row r="5943" spans="10:15" x14ac:dyDescent="0.25">
      <c r="J5943" t="s">
        <v>1646</v>
      </c>
      <c r="K5943" s="22" t="s">
        <v>28</v>
      </c>
      <c r="L5943">
        <v>2</v>
      </c>
      <c r="O5943" s="30"/>
    </row>
    <row r="5944" spans="10:15" x14ac:dyDescent="0.25">
      <c r="J5944" t="s">
        <v>1646</v>
      </c>
      <c r="K5944" s="22" t="s">
        <v>35</v>
      </c>
      <c r="L5944">
        <v>22</v>
      </c>
      <c r="M5944">
        <v>22</v>
      </c>
      <c r="O5944" s="31"/>
    </row>
    <row r="5945" spans="10:15" x14ac:dyDescent="0.25">
      <c r="J5945" t="s">
        <v>240</v>
      </c>
      <c r="K5945" s="22" t="s">
        <v>35</v>
      </c>
      <c r="L5945">
        <v>5</v>
      </c>
      <c r="M5945">
        <v>5</v>
      </c>
      <c r="O5945" s="31"/>
    </row>
    <row r="5946" spans="10:15" x14ac:dyDescent="0.25">
      <c r="J5946" t="s">
        <v>3136</v>
      </c>
      <c r="K5946" s="22" t="s">
        <v>20</v>
      </c>
      <c r="L5946">
        <v>1</v>
      </c>
      <c r="M5946">
        <v>1</v>
      </c>
      <c r="O5946" s="31"/>
    </row>
    <row r="5947" spans="10:15" x14ac:dyDescent="0.25">
      <c r="J5947" t="s">
        <v>1967</v>
      </c>
      <c r="K5947" s="22" t="s">
        <v>20</v>
      </c>
      <c r="L5947">
        <v>7</v>
      </c>
      <c r="M5947">
        <v>7</v>
      </c>
      <c r="O5947" s="31"/>
    </row>
    <row r="5948" spans="10:15" x14ac:dyDescent="0.25">
      <c r="J5948" t="s">
        <v>245</v>
      </c>
      <c r="K5948" s="22" t="s">
        <v>20</v>
      </c>
      <c r="L5948">
        <v>2</v>
      </c>
      <c r="M5948">
        <v>2</v>
      </c>
    </row>
    <row r="5949" spans="10:15" x14ac:dyDescent="0.25">
      <c r="J5949" t="s">
        <v>1474</v>
      </c>
      <c r="K5949" s="22" t="s">
        <v>22</v>
      </c>
      <c r="L5949">
        <v>2</v>
      </c>
      <c r="M5949">
        <v>2</v>
      </c>
      <c r="O5949" s="31"/>
    </row>
    <row r="5950" spans="10:15" x14ac:dyDescent="0.25">
      <c r="J5950" t="s">
        <v>150</v>
      </c>
      <c r="K5950" s="22" t="s">
        <v>20</v>
      </c>
      <c r="L5950">
        <v>6</v>
      </c>
      <c r="M5950">
        <v>6</v>
      </c>
      <c r="O5950" s="31"/>
    </row>
    <row r="5951" spans="10:15" x14ac:dyDescent="0.25">
      <c r="J5951" t="s">
        <v>3336</v>
      </c>
      <c r="K5951" s="22" t="s">
        <v>20</v>
      </c>
      <c r="L5951">
        <v>1</v>
      </c>
      <c r="M5951">
        <v>1</v>
      </c>
      <c r="O5951" s="31"/>
    </row>
    <row r="5952" spans="10:15" x14ac:dyDescent="0.25">
      <c r="J5952" t="s">
        <v>3407</v>
      </c>
      <c r="K5952" s="22" t="s">
        <v>31</v>
      </c>
      <c r="L5952">
        <v>6</v>
      </c>
      <c r="M5952">
        <v>6</v>
      </c>
      <c r="O5952" s="31"/>
    </row>
    <row r="5953" spans="10:15" x14ac:dyDescent="0.25">
      <c r="J5953" t="s">
        <v>242</v>
      </c>
      <c r="K5953" s="22" t="s">
        <v>22</v>
      </c>
      <c r="L5953">
        <v>2</v>
      </c>
      <c r="M5953">
        <v>2</v>
      </c>
      <c r="O5953" s="31"/>
    </row>
    <row r="5954" spans="10:15" x14ac:dyDescent="0.25">
      <c r="J5954" t="s">
        <v>3170</v>
      </c>
      <c r="K5954" s="22" t="s">
        <v>20</v>
      </c>
      <c r="L5954">
        <v>2</v>
      </c>
      <c r="M5954">
        <v>2</v>
      </c>
      <c r="O5954" s="31"/>
    </row>
    <row r="5955" spans="10:15" x14ac:dyDescent="0.25">
      <c r="J5955" t="s">
        <v>2418</v>
      </c>
      <c r="K5955" s="22" t="s">
        <v>20</v>
      </c>
      <c r="L5955">
        <v>5</v>
      </c>
      <c r="M5955">
        <v>5</v>
      </c>
      <c r="O5955" s="31"/>
    </row>
    <row r="5956" spans="10:15" x14ac:dyDescent="0.25">
      <c r="J5956" t="s">
        <v>2125</v>
      </c>
      <c r="K5956" s="22" t="s">
        <v>20</v>
      </c>
      <c r="L5956">
        <v>3</v>
      </c>
      <c r="O5956" s="30"/>
    </row>
    <row r="5957" spans="10:15" x14ac:dyDescent="0.25">
      <c r="J5957" t="s">
        <v>2125</v>
      </c>
      <c r="K5957" s="22" t="s">
        <v>28</v>
      </c>
      <c r="L5957">
        <v>2</v>
      </c>
    </row>
    <row r="5958" spans="10:15" x14ac:dyDescent="0.25">
      <c r="J5958" t="s">
        <v>2125</v>
      </c>
      <c r="K5958" s="22" t="s">
        <v>35</v>
      </c>
      <c r="L5958">
        <v>2</v>
      </c>
      <c r="O5958" s="30"/>
    </row>
    <row r="5959" spans="10:15" x14ac:dyDescent="0.25">
      <c r="J5959" t="s">
        <v>2125</v>
      </c>
      <c r="K5959" s="22" t="s">
        <v>22</v>
      </c>
      <c r="L5959">
        <v>7</v>
      </c>
      <c r="O5959" s="30"/>
    </row>
    <row r="5960" spans="10:15" x14ac:dyDescent="0.25">
      <c r="J5960" t="s">
        <v>1201</v>
      </c>
      <c r="K5960" s="22" t="s">
        <v>20</v>
      </c>
      <c r="L5960">
        <v>3</v>
      </c>
      <c r="O5960" s="30"/>
    </row>
    <row r="5961" spans="10:15" x14ac:dyDescent="0.25">
      <c r="J5961" t="s">
        <v>1201</v>
      </c>
      <c r="K5961" s="22" t="s">
        <v>28</v>
      </c>
      <c r="L5961">
        <v>7</v>
      </c>
      <c r="O5961" s="30"/>
    </row>
    <row r="5962" spans="10:15" x14ac:dyDescent="0.25">
      <c r="J5962" t="s">
        <v>1201</v>
      </c>
      <c r="K5962" s="22" t="s">
        <v>35</v>
      </c>
      <c r="L5962">
        <v>4</v>
      </c>
    </row>
    <row r="5963" spans="10:15" x14ac:dyDescent="0.25">
      <c r="J5963" t="s">
        <v>1201</v>
      </c>
      <c r="K5963" s="22" t="s">
        <v>31</v>
      </c>
      <c r="L5963">
        <v>1</v>
      </c>
    </row>
    <row r="5964" spans="10:15" x14ac:dyDescent="0.25">
      <c r="J5964" t="s">
        <v>2832</v>
      </c>
      <c r="K5964" s="22" t="s">
        <v>28</v>
      </c>
      <c r="L5964">
        <v>1</v>
      </c>
    </row>
    <row r="5965" spans="10:15" x14ac:dyDescent="0.25">
      <c r="J5965" t="s">
        <v>2832</v>
      </c>
      <c r="K5965" s="22" t="s">
        <v>22</v>
      </c>
      <c r="L5965">
        <v>1</v>
      </c>
      <c r="O5965" s="30"/>
    </row>
    <row r="5966" spans="10:15" x14ac:dyDescent="0.25">
      <c r="J5966" t="s">
        <v>2422</v>
      </c>
      <c r="K5966" s="22" t="s">
        <v>22</v>
      </c>
      <c r="L5966">
        <v>2</v>
      </c>
      <c r="M5966">
        <v>2</v>
      </c>
      <c r="O5966" s="31"/>
    </row>
    <row r="5967" spans="10:15" x14ac:dyDescent="0.25">
      <c r="J5967" t="s">
        <v>78</v>
      </c>
      <c r="K5967" s="22" t="s">
        <v>31</v>
      </c>
      <c r="L5967">
        <v>6</v>
      </c>
      <c r="M5967">
        <v>6</v>
      </c>
      <c r="O5967" s="31"/>
    </row>
    <row r="5968" spans="10:15" x14ac:dyDescent="0.25">
      <c r="J5968" t="s">
        <v>855</v>
      </c>
      <c r="K5968" s="22" t="s">
        <v>20</v>
      </c>
      <c r="L5968">
        <v>7</v>
      </c>
      <c r="M5968">
        <v>1</v>
      </c>
      <c r="O5968" s="30"/>
    </row>
    <row r="5969" spans="10:15" x14ac:dyDescent="0.25">
      <c r="J5969" t="s">
        <v>855</v>
      </c>
      <c r="K5969" s="22" t="s">
        <v>35</v>
      </c>
      <c r="L5969">
        <v>1</v>
      </c>
    </row>
    <row r="5970" spans="10:15" x14ac:dyDescent="0.25">
      <c r="J5970" t="s">
        <v>855</v>
      </c>
      <c r="K5970" s="22" t="s">
        <v>22</v>
      </c>
      <c r="L5970">
        <v>2</v>
      </c>
    </row>
    <row r="5971" spans="10:15" x14ac:dyDescent="0.25">
      <c r="J5971" t="s">
        <v>855</v>
      </c>
      <c r="K5971" s="22" t="s">
        <v>31</v>
      </c>
      <c r="L5971">
        <v>4</v>
      </c>
      <c r="O5971" s="30"/>
    </row>
    <row r="5972" spans="10:15" x14ac:dyDescent="0.25">
      <c r="J5972" t="s">
        <v>3305</v>
      </c>
      <c r="K5972" s="22" t="s">
        <v>22</v>
      </c>
      <c r="L5972">
        <v>1</v>
      </c>
      <c r="O5972" s="30"/>
    </row>
    <row r="5973" spans="10:15" x14ac:dyDescent="0.25">
      <c r="J5973" t="s">
        <v>2893</v>
      </c>
      <c r="K5973" s="22" t="s">
        <v>22</v>
      </c>
      <c r="L5973">
        <v>1</v>
      </c>
      <c r="M5973">
        <v>1</v>
      </c>
    </row>
    <row r="5974" spans="10:15" x14ac:dyDescent="0.25">
      <c r="J5974" t="s">
        <v>1793</v>
      </c>
      <c r="K5974" s="22" t="s">
        <v>20</v>
      </c>
      <c r="L5974">
        <v>3</v>
      </c>
      <c r="M5974">
        <v>3</v>
      </c>
      <c r="O5974" s="31"/>
    </row>
    <row r="5975" spans="10:15" x14ac:dyDescent="0.25">
      <c r="J5975" t="s">
        <v>3027</v>
      </c>
      <c r="K5975" s="22" t="s">
        <v>30</v>
      </c>
      <c r="L5975">
        <v>1</v>
      </c>
    </row>
    <row r="5976" spans="10:15" x14ac:dyDescent="0.25">
      <c r="J5976" t="s">
        <v>3027</v>
      </c>
      <c r="K5976" s="22" t="s">
        <v>28</v>
      </c>
      <c r="L5976">
        <v>1</v>
      </c>
      <c r="O5976" s="30"/>
    </row>
    <row r="5977" spans="10:15" x14ac:dyDescent="0.25">
      <c r="J5977" t="s">
        <v>3027</v>
      </c>
      <c r="K5977" s="22" t="s">
        <v>35</v>
      </c>
      <c r="L5977">
        <v>1</v>
      </c>
      <c r="O5977" s="30"/>
    </row>
    <row r="5978" spans="10:15" x14ac:dyDescent="0.25">
      <c r="J5978" t="s">
        <v>3028</v>
      </c>
      <c r="K5978" s="22" t="s">
        <v>29</v>
      </c>
      <c r="L5978">
        <v>1</v>
      </c>
    </row>
    <row r="5979" spans="10:15" x14ac:dyDescent="0.25">
      <c r="J5979" t="s">
        <v>3028</v>
      </c>
      <c r="K5979" s="22" t="s">
        <v>31</v>
      </c>
      <c r="L5979">
        <v>1</v>
      </c>
      <c r="M5979">
        <v>1</v>
      </c>
      <c r="O5979" s="31"/>
    </row>
    <row r="5980" spans="10:15" x14ac:dyDescent="0.25">
      <c r="J5980" t="s">
        <v>3084</v>
      </c>
      <c r="K5980" s="22" t="s">
        <v>28</v>
      </c>
      <c r="L5980">
        <v>1</v>
      </c>
      <c r="O5980" s="30"/>
    </row>
    <row r="5981" spans="10:15" x14ac:dyDescent="0.25">
      <c r="J5981" t="s">
        <v>3084</v>
      </c>
      <c r="K5981" s="22" t="s">
        <v>35</v>
      </c>
      <c r="L5981">
        <v>1</v>
      </c>
      <c r="M5981">
        <v>1</v>
      </c>
      <c r="O5981" s="31"/>
    </row>
    <row r="5982" spans="10:15" x14ac:dyDescent="0.25">
      <c r="J5982" t="s">
        <v>1026</v>
      </c>
      <c r="K5982" s="22" t="s">
        <v>29</v>
      </c>
      <c r="L5982">
        <v>2</v>
      </c>
      <c r="M5982">
        <v>2</v>
      </c>
      <c r="O5982" s="31"/>
    </row>
    <row r="5983" spans="10:15" x14ac:dyDescent="0.25">
      <c r="J5983" t="s">
        <v>3354</v>
      </c>
      <c r="K5983" s="22" t="s">
        <v>29</v>
      </c>
      <c r="L5983">
        <v>1</v>
      </c>
      <c r="O5983" s="30"/>
    </row>
    <row r="5984" spans="10:15" x14ac:dyDescent="0.25">
      <c r="J5984" t="s">
        <v>2682</v>
      </c>
      <c r="K5984" s="22" t="s">
        <v>30</v>
      </c>
      <c r="L5984">
        <v>1</v>
      </c>
      <c r="O5984" s="30"/>
    </row>
    <row r="5985" spans="10:15" x14ac:dyDescent="0.25">
      <c r="J5985" t="s">
        <v>2682</v>
      </c>
      <c r="K5985" s="22" t="s">
        <v>29</v>
      </c>
      <c r="L5985">
        <v>2</v>
      </c>
      <c r="O5985" s="30"/>
    </row>
    <row r="5986" spans="10:15" x14ac:dyDescent="0.25">
      <c r="J5986" t="s">
        <v>2682</v>
      </c>
      <c r="K5986" s="22" t="s">
        <v>28</v>
      </c>
      <c r="L5986">
        <v>1</v>
      </c>
    </row>
    <row r="5987" spans="10:15" x14ac:dyDescent="0.25">
      <c r="J5987" t="s">
        <v>953</v>
      </c>
      <c r="K5987" s="22" t="s">
        <v>29</v>
      </c>
      <c r="L5987">
        <v>1</v>
      </c>
      <c r="M5987">
        <v>1</v>
      </c>
    </row>
    <row r="5988" spans="10:15" x14ac:dyDescent="0.25">
      <c r="J5988" t="s">
        <v>2447</v>
      </c>
      <c r="K5988" s="22" t="s">
        <v>29</v>
      </c>
      <c r="L5988">
        <v>1</v>
      </c>
    </row>
    <row r="5989" spans="10:15" x14ac:dyDescent="0.25">
      <c r="J5989" t="s">
        <v>2447</v>
      </c>
      <c r="K5989" s="22" t="s">
        <v>28</v>
      </c>
      <c r="L5989">
        <v>1</v>
      </c>
      <c r="M5989">
        <v>1</v>
      </c>
      <c r="O5989" s="31"/>
    </row>
    <row r="5990" spans="10:15" x14ac:dyDescent="0.25">
      <c r="J5990" t="s">
        <v>2592</v>
      </c>
      <c r="K5990" s="22" t="s">
        <v>30</v>
      </c>
      <c r="L5990">
        <v>1</v>
      </c>
      <c r="O5990" s="30"/>
    </row>
    <row r="5991" spans="10:15" x14ac:dyDescent="0.25">
      <c r="J5991" t="s">
        <v>2592</v>
      </c>
      <c r="K5991" s="22" t="s">
        <v>29</v>
      </c>
      <c r="L5991">
        <v>1</v>
      </c>
    </row>
    <row r="5992" spans="10:15" x14ac:dyDescent="0.25">
      <c r="J5992" t="s">
        <v>2592</v>
      </c>
      <c r="K5992" s="22" t="s">
        <v>35</v>
      </c>
      <c r="L5992">
        <v>1</v>
      </c>
      <c r="M5992">
        <v>1</v>
      </c>
      <c r="O5992" s="31"/>
    </row>
    <row r="5993" spans="10:15" x14ac:dyDescent="0.25">
      <c r="J5993" t="s">
        <v>3338</v>
      </c>
      <c r="K5993" s="22" t="s">
        <v>29</v>
      </c>
      <c r="L5993">
        <v>1</v>
      </c>
      <c r="O5993" s="30"/>
    </row>
    <row r="5994" spans="10:15" x14ac:dyDescent="0.25">
      <c r="J5994" t="s">
        <v>1377</v>
      </c>
      <c r="K5994" s="22" t="s">
        <v>30</v>
      </c>
      <c r="L5994">
        <v>3</v>
      </c>
      <c r="M5994">
        <v>1</v>
      </c>
      <c r="O5994" s="30"/>
    </row>
    <row r="5995" spans="10:15" x14ac:dyDescent="0.25">
      <c r="J5995" t="s">
        <v>1377</v>
      </c>
      <c r="K5995" s="22" t="s">
        <v>31</v>
      </c>
      <c r="L5995">
        <v>1</v>
      </c>
      <c r="M5995">
        <v>1</v>
      </c>
      <c r="O5995" s="31"/>
    </row>
    <row r="5996" spans="10:15" x14ac:dyDescent="0.25">
      <c r="J5996" t="s">
        <v>3127</v>
      </c>
      <c r="K5996" s="22" t="s">
        <v>35</v>
      </c>
      <c r="L5996">
        <v>1</v>
      </c>
      <c r="O5996" s="30"/>
    </row>
    <row r="5997" spans="10:15" x14ac:dyDescent="0.25">
      <c r="J5997" t="s">
        <v>679</v>
      </c>
      <c r="K5997" s="22" t="s">
        <v>22</v>
      </c>
      <c r="L5997">
        <v>2</v>
      </c>
      <c r="M5997">
        <v>2</v>
      </c>
    </row>
    <row r="5998" spans="10:15" x14ac:dyDescent="0.25">
      <c r="J5998" t="s">
        <v>949</v>
      </c>
      <c r="K5998" s="22" t="s">
        <v>29</v>
      </c>
      <c r="L5998">
        <v>4</v>
      </c>
      <c r="M5998">
        <v>4</v>
      </c>
      <c r="O5998" s="31"/>
    </row>
    <row r="5999" spans="10:15" x14ac:dyDescent="0.25">
      <c r="J5999" t="s">
        <v>3306</v>
      </c>
      <c r="K5999" s="22" t="s">
        <v>31</v>
      </c>
      <c r="L5999">
        <v>1</v>
      </c>
      <c r="O5999" s="30"/>
    </row>
    <row r="6000" spans="10:15" x14ac:dyDescent="0.25">
      <c r="J6000" t="s">
        <v>3129</v>
      </c>
      <c r="K6000" s="22" t="s">
        <v>30</v>
      </c>
      <c r="L6000">
        <v>1</v>
      </c>
      <c r="O6000" s="30"/>
    </row>
    <row r="6001" spans="10:15" x14ac:dyDescent="0.25">
      <c r="J6001" t="s">
        <v>3129</v>
      </c>
      <c r="K6001" s="22" t="s">
        <v>22</v>
      </c>
      <c r="L6001">
        <v>1</v>
      </c>
      <c r="O6001" s="30"/>
    </row>
    <row r="6002" spans="10:15" x14ac:dyDescent="0.25">
      <c r="J6002" t="s">
        <v>3144</v>
      </c>
      <c r="K6002" s="22" t="s">
        <v>31</v>
      </c>
      <c r="L6002">
        <v>2</v>
      </c>
      <c r="M6002">
        <v>2</v>
      </c>
      <c r="O6002" s="31"/>
    </row>
    <row r="6003" spans="10:15" x14ac:dyDescent="0.25">
      <c r="J6003" t="s">
        <v>957</v>
      </c>
      <c r="K6003" s="22" t="s">
        <v>29</v>
      </c>
      <c r="L6003">
        <v>1</v>
      </c>
      <c r="M6003">
        <v>1</v>
      </c>
    </row>
    <row r="6004" spans="10:15" x14ac:dyDescent="0.25">
      <c r="J6004" t="s">
        <v>988</v>
      </c>
      <c r="K6004" s="22" t="s">
        <v>29</v>
      </c>
      <c r="L6004">
        <v>1</v>
      </c>
    </row>
    <row r="6005" spans="10:15" x14ac:dyDescent="0.25">
      <c r="J6005" t="s">
        <v>988</v>
      </c>
      <c r="K6005" s="22" t="s">
        <v>22</v>
      </c>
      <c r="L6005">
        <v>1</v>
      </c>
    </row>
    <row r="6006" spans="10:15" x14ac:dyDescent="0.25">
      <c r="J6006" t="s">
        <v>699</v>
      </c>
      <c r="K6006" s="22" t="s">
        <v>29</v>
      </c>
      <c r="L6006">
        <v>4</v>
      </c>
      <c r="M6006">
        <v>4</v>
      </c>
      <c r="O6006" s="31"/>
    </row>
    <row r="6007" spans="10:15" x14ac:dyDescent="0.25">
      <c r="J6007" t="s">
        <v>1497</v>
      </c>
      <c r="K6007" s="22" t="s">
        <v>29</v>
      </c>
      <c r="L6007">
        <v>2</v>
      </c>
      <c r="M6007">
        <v>2</v>
      </c>
      <c r="O6007" s="31"/>
    </row>
    <row r="6008" spans="10:15" x14ac:dyDescent="0.25">
      <c r="J6008" t="s">
        <v>1062</v>
      </c>
      <c r="K6008" s="22" t="s">
        <v>29</v>
      </c>
      <c r="L6008">
        <v>1</v>
      </c>
    </row>
    <row r="6009" spans="10:15" x14ac:dyDescent="0.25">
      <c r="J6009" t="s">
        <v>2358</v>
      </c>
      <c r="K6009" s="22" t="s">
        <v>35</v>
      </c>
      <c r="L6009">
        <v>2</v>
      </c>
      <c r="M6009">
        <v>2</v>
      </c>
      <c r="O6009" s="31"/>
    </row>
    <row r="6010" spans="10:15" x14ac:dyDescent="0.25">
      <c r="J6010" t="s">
        <v>895</v>
      </c>
      <c r="K6010" s="22" t="s">
        <v>30</v>
      </c>
      <c r="L6010">
        <v>1</v>
      </c>
    </row>
    <row r="6011" spans="10:15" x14ac:dyDescent="0.25">
      <c r="J6011" t="s">
        <v>895</v>
      </c>
      <c r="K6011" s="22" t="s">
        <v>28</v>
      </c>
      <c r="L6011">
        <v>1</v>
      </c>
    </row>
    <row r="6012" spans="10:15" x14ac:dyDescent="0.25">
      <c r="J6012" t="s">
        <v>534</v>
      </c>
      <c r="K6012" s="22" t="s">
        <v>30</v>
      </c>
      <c r="L6012">
        <v>4</v>
      </c>
      <c r="M6012">
        <v>4</v>
      </c>
      <c r="O6012" s="31"/>
    </row>
    <row r="6013" spans="10:15" x14ac:dyDescent="0.25">
      <c r="J6013" t="s">
        <v>1077</v>
      </c>
      <c r="K6013" s="22" t="s">
        <v>35</v>
      </c>
      <c r="L6013">
        <v>4</v>
      </c>
      <c r="M6013">
        <v>4</v>
      </c>
      <c r="O6013" s="31"/>
    </row>
    <row r="6014" spans="10:15" x14ac:dyDescent="0.25">
      <c r="J6014" t="s">
        <v>2845</v>
      </c>
      <c r="K6014" s="22" t="s">
        <v>30</v>
      </c>
      <c r="L6014">
        <v>1</v>
      </c>
    </row>
    <row r="6015" spans="10:15" x14ac:dyDescent="0.25">
      <c r="J6015" t="s">
        <v>757</v>
      </c>
      <c r="K6015" s="22" t="s">
        <v>22</v>
      </c>
      <c r="L6015">
        <v>8</v>
      </c>
      <c r="M6015">
        <v>8</v>
      </c>
      <c r="O6015" s="31"/>
    </row>
    <row r="6016" spans="10:15" x14ac:dyDescent="0.25">
      <c r="J6016" t="s">
        <v>2154</v>
      </c>
      <c r="K6016" s="22" t="s">
        <v>30</v>
      </c>
      <c r="L6016">
        <v>1</v>
      </c>
    </row>
    <row r="6017" spans="10:15" x14ac:dyDescent="0.25">
      <c r="J6017" t="s">
        <v>2154</v>
      </c>
      <c r="K6017" s="22" t="s">
        <v>31</v>
      </c>
      <c r="L6017">
        <v>1</v>
      </c>
    </row>
    <row r="6018" spans="10:15" x14ac:dyDescent="0.25">
      <c r="J6018" t="s">
        <v>794</v>
      </c>
      <c r="K6018" s="22" t="s">
        <v>30</v>
      </c>
      <c r="L6018">
        <v>3</v>
      </c>
      <c r="M6018">
        <v>1</v>
      </c>
      <c r="O6018" s="30"/>
    </row>
    <row r="6019" spans="10:15" x14ac:dyDescent="0.25">
      <c r="J6019" t="s">
        <v>794</v>
      </c>
      <c r="K6019" s="22" t="s">
        <v>28</v>
      </c>
      <c r="L6019">
        <v>1</v>
      </c>
    </row>
    <row r="6020" spans="10:15" x14ac:dyDescent="0.25">
      <c r="J6020" t="s">
        <v>794</v>
      </c>
      <c r="K6020" s="22" t="s">
        <v>35</v>
      </c>
      <c r="L6020">
        <v>2</v>
      </c>
      <c r="O6020" s="30"/>
    </row>
    <row r="6021" spans="10:15" x14ac:dyDescent="0.25">
      <c r="J6021" t="s">
        <v>794</v>
      </c>
      <c r="K6021" s="22" t="s">
        <v>22</v>
      </c>
      <c r="L6021">
        <v>2</v>
      </c>
      <c r="O6021" s="30"/>
    </row>
    <row r="6022" spans="10:15" x14ac:dyDescent="0.25">
      <c r="J6022" t="s">
        <v>794</v>
      </c>
      <c r="K6022" s="22" t="s">
        <v>31</v>
      </c>
      <c r="L6022">
        <v>4</v>
      </c>
      <c r="M6022">
        <v>2</v>
      </c>
      <c r="O6022" s="30"/>
    </row>
    <row r="6023" spans="10:15" x14ac:dyDescent="0.25">
      <c r="J6023" t="s">
        <v>1672</v>
      </c>
      <c r="K6023" s="22" t="s">
        <v>30</v>
      </c>
      <c r="L6023">
        <v>2</v>
      </c>
    </row>
    <row r="6024" spans="10:15" x14ac:dyDescent="0.25">
      <c r="J6024" t="s">
        <v>1672</v>
      </c>
      <c r="K6024" s="22" t="s">
        <v>28</v>
      </c>
      <c r="L6024">
        <v>1</v>
      </c>
      <c r="M6024">
        <v>1</v>
      </c>
    </row>
    <row r="6025" spans="10:15" x14ac:dyDescent="0.25">
      <c r="J6025" t="s">
        <v>2967</v>
      </c>
      <c r="K6025" s="22" t="s">
        <v>28</v>
      </c>
      <c r="L6025">
        <v>2</v>
      </c>
      <c r="M6025">
        <v>2</v>
      </c>
      <c r="O6025" s="31"/>
    </row>
    <row r="6026" spans="10:15" x14ac:dyDescent="0.25">
      <c r="J6026" t="s">
        <v>564</v>
      </c>
      <c r="K6026" s="22" t="s">
        <v>30</v>
      </c>
      <c r="L6026">
        <v>1</v>
      </c>
    </row>
    <row r="6027" spans="10:15" x14ac:dyDescent="0.25">
      <c r="J6027" t="s">
        <v>2290</v>
      </c>
      <c r="K6027" s="22" t="s">
        <v>30</v>
      </c>
      <c r="L6027">
        <v>1</v>
      </c>
      <c r="M6027">
        <v>1</v>
      </c>
    </row>
    <row r="6028" spans="10:15" x14ac:dyDescent="0.25">
      <c r="J6028" t="s">
        <v>3366</v>
      </c>
      <c r="K6028" s="22" t="s">
        <v>30</v>
      </c>
      <c r="L6028">
        <v>1</v>
      </c>
      <c r="O6028" s="30"/>
    </row>
    <row r="6029" spans="10:15" x14ac:dyDescent="0.25">
      <c r="J6029" t="s">
        <v>3435</v>
      </c>
      <c r="K6029" s="22" t="s">
        <v>30</v>
      </c>
      <c r="L6029">
        <v>1</v>
      </c>
      <c r="O6029" s="30"/>
    </row>
    <row r="6030" spans="10:15" x14ac:dyDescent="0.25">
      <c r="J6030" t="s">
        <v>3435</v>
      </c>
      <c r="K6030" s="22" t="s">
        <v>35</v>
      </c>
      <c r="L6030">
        <v>1</v>
      </c>
      <c r="O6030" s="30"/>
    </row>
    <row r="6031" spans="10:15" x14ac:dyDescent="0.25">
      <c r="J6031" t="s">
        <v>3435</v>
      </c>
      <c r="K6031" s="22" t="s">
        <v>31</v>
      </c>
      <c r="L6031">
        <v>1</v>
      </c>
      <c r="M6031">
        <v>1</v>
      </c>
      <c r="O6031" s="31"/>
    </row>
    <row r="6032" spans="10:15" x14ac:dyDescent="0.25">
      <c r="J6032" t="s">
        <v>339</v>
      </c>
      <c r="K6032" s="22" t="s">
        <v>30</v>
      </c>
      <c r="L6032">
        <v>1</v>
      </c>
    </row>
    <row r="6033" spans="10:15" x14ac:dyDescent="0.25">
      <c r="J6033" t="s">
        <v>339</v>
      </c>
      <c r="K6033" s="22" t="s">
        <v>22</v>
      </c>
      <c r="L6033">
        <v>1</v>
      </c>
    </row>
    <row r="6034" spans="10:15" x14ac:dyDescent="0.25">
      <c r="J6034" t="s">
        <v>339</v>
      </c>
      <c r="K6034" s="22" t="s">
        <v>31</v>
      </c>
      <c r="L6034">
        <v>1</v>
      </c>
      <c r="M6034">
        <v>1</v>
      </c>
      <c r="O6034" s="31"/>
    </row>
    <row r="6035" spans="10:15" x14ac:dyDescent="0.25">
      <c r="J6035" t="s">
        <v>2578</v>
      </c>
      <c r="K6035" s="22" t="s">
        <v>31</v>
      </c>
      <c r="L6035">
        <v>2</v>
      </c>
      <c r="M6035">
        <v>2</v>
      </c>
      <c r="O6035" s="31"/>
    </row>
    <row r="6036" spans="10:15" x14ac:dyDescent="0.25">
      <c r="J6036" t="s">
        <v>1874</v>
      </c>
      <c r="K6036" s="22" t="s">
        <v>30</v>
      </c>
      <c r="L6036">
        <v>1</v>
      </c>
    </row>
    <row r="6037" spans="10:15" x14ac:dyDescent="0.25">
      <c r="J6037" t="s">
        <v>1874</v>
      </c>
      <c r="K6037" s="22" t="s">
        <v>35</v>
      </c>
      <c r="L6037">
        <v>1</v>
      </c>
    </row>
    <row r="6038" spans="10:15" x14ac:dyDescent="0.25">
      <c r="J6038" t="s">
        <v>1874</v>
      </c>
      <c r="K6038" s="22" t="s">
        <v>22</v>
      </c>
      <c r="L6038">
        <v>4</v>
      </c>
    </row>
    <row r="6039" spans="10:15" x14ac:dyDescent="0.25">
      <c r="J6039" t="s">
        <v>1874</v>
      </c>
      <c r="K6039" s="22" t="s">
        <v>31</v>
      </c>
      <c r="L6039">
        <v>5</v>
      </c>
      <c r="O6039" s="30"/>
    </row>
    <row r="6040" spans="10:15" x14ac:dyDescent="0.25">
      <c r="J6040" t="s">
        <v>375</v>
      </c>
      <c r="K6040" s="22" t="s">
        <v>30</v>
      </c>
      <c r="L6040">
        <v>1</v>
      </c>
      <c r="O6040" s="30"/>
    </row>
    <row r="6041" spans="10:15" x14ac:dyDescent="0.25">
      <c r="J6041" t="s">
        <v>375</v>
      </c>
      <c r="K6041" s="22" t="s">
        <v>35</v>
      </c>
      <c r="L6041">
        <v>1</v>
      </c>
    </row>
    <row r="6042" spans="10:15" x14ac:dyDescent="0.25">
      <c r="J6042" t="s">
        <v>375</v>
      </c>
      <c r="K6042" s="22" t="s">
        <v>31</v>
      </c>
      <c r="L6042">
        <v>2</v>
      </c>
      <c r="O6042" s="30"/>
    </row>
    <row r="6043" spans="10:15" x14ac:dyDescent="0.25">
      <c r="J6043" t="s">
        <v>1886</v>
      </c>
      <c r="K6043" s="22" t="s">
        <v>22</v>
      </c>
      <c r="L6043">
        <v>1</v>
      </c>
    </row>
    <row r="6044" spans="10:15" x14ac:dyDescent="0.25">
      <c r="J6044" t="s">
        <v>1876</v>
      </c>
      <c r="K6044" s="22" t="s">
        <v>30</v>
      </c>
      <c r="L6044">
        <v>2</v>
      </c>
      <c r="O6044" s="30"/>
    </row>
    <row r="6045" spans="10:15" x14ac:dyDescent="0.25">
      <c r="J6045" t="s">
        <v>1876</v>
      </c>
      <c r="K6045" s="22" t="s">
        <v>31</v>
      </c>
      <c r="L6045">
        <v>1</v>
      </c>
    </row>
    <row r="6046" spans="10:15" x14ac:dyDescent="0.25">
      <c r="J6046" t="s">
        <v>2395</v>
      </c>
      <c r="K6046" s="22" t="s">
        <v>29</v>
      </c>
      <c r="L6046">
        <v>1</v>
      </c>
      <c r="O6046" s="30"/>
    </row>
    <row r="6047" spans="10:15" x14ac:dyDescent="0.25">
      <c r="J6047" t="s">
        <v>2395</v>
      </c>
      <c r="K6047" s="22" t="s">
        <v>28</v>
      </c>
      <c r="L6047">
        <v>1</v>
      </c>
    </row>
    <row r="6048" spans="10:15" x14ac:dyDescent="0.25">
      <c r="J6048" t="s">
        <v>2857</v>
      </c>
      <c r="K6048" s="22" t="s">
        <v>29</v>
      </c>
      <c r="L6048">
        <v>1</v>
      </c>
    </row>
    <row r="6049" spans="10:15" x14ac:dyDescent="0.25">
      <c r="J6049" t="s">
        <v>40</v>
      </c>
      <c r="K6049" s="22" t="s">
        <v>29</v>
      </c>
      <c r="L6049">
        <v>1</v>
      </c>
    </row>
    <row r="6050" spans="10:15" x14ac:dyDescent="0.25">
      <c r="J6050" t="s">
        <v>40</v>
      </c>
      <c r="K6050" s="22" t="s">
        <v>35</v>
      </c>
      <c r="L6050">
        <v>1</v>
      </c>
    </row>
    <row r="6051" spans="10:15" x14ac:dyDescent="0.25">
      <c r="J6051" t="s">
        <v>861</v>
      </c>
      <c r="K6051" s="22" t="s">
        <v>29</v>
      </c>
      <c r="L6051">
        <v>3</v>
      </c>
      <c r="M6051">
        <v>3</v>
      </c>
      <c r="O6051" s="31"/>
    </row>
    <row r="6052" spans="10:15" x14ac:dyDescent="0.25">
      <c r="J6052" t="s">
        <v>2886</v>
      </c>
      <c r="K6052" s="22" t="s">
        <v>29</v>
      </c>
      <c r="L6052">
        <v>1</v>
      </c>
    </row>
    <row r="6053" spans="10:15" x14ac:dyDescent="0.25">
      <c r="J6053" t="s">
        <v>2166</v>
      </c>
      <c r="K6053" s="22" t="s">
        <v>29</v>
      </c>
      <c r="L6053">
        <v>2</v>
      </c>
      <c r="M6053">
        <v>2</v>
      </c>
      <c r="O6053" s="31"/>
    </row>
    <row r="6054" spans="10:15" x14ac:dyDescent="0.25">
      <c r="J6054" t="s">
        <v>3134</v>
      </c>
      <c r="K6054" s="22" t="s">
        <v>29</v>
      </c>
      <c r="L6054">
        <v>1</v>
      </c>
      <c r="O6054" s="30"/>
    </row>
    <row r="6055" spans="10:15" x14ac:dyDescent="0.25">
      <c r="J6055" t="s">
        <v>428</v>
      </c>
      <c r="K6055" s="22" t="s">
        <v>35</v>
      </c>
      <c r="L6055">
        <v>4</v>
      </c>
      <c r="M6055">
        <v>4</v>
      </c>
      <c r="O6055" s="31"/>
    </row>
    <row r="6056" spans="10:15" x14ac:dyDescent="0.25">
      <c r="J6056" t="s">
        <v>2589</v>
      </c>
      <c r="K6056" s="22" t="s">
        <v>22</v>
      </c>
      <c r="L6056">
        <v>7</v>
      </c>
      <c r="M6056">
        <v>7</v>
      </c>
      <c r="O6056" s="31"/>
    </row>
    <row r="6057" spans="10:15" x14ac:dyDescent="0.25">
      <c r="J6057" t="s">
        <v>833</v>
      </c>
      <c r="K6057" s="22" t="s">
        <v>28</v>
      </c>
      <c r="L6057">
        <v>3</v>
      </c>
      <c r="M6057">
        <v>2</v>
      </c>
      <c r="O6057" s="30"/>
    </row>
    <row r="6058" spans="10:15" x14ac:dyDescent="0.25">
      <c r="J6058" t="s">
        <v>3263</v>
      </c>
      <c r="K6058" s="22" t="s">
        <v>28</v>
      </c>
      <c r="L6058">
        <v>1</v>
      </c>
      <c r="O6058" s="30"/>
    </row>
    <row r="6059" spans="10:15" x14ac:dyDescent="0.25">
      <c r="J6059" t="s">
        <v>2239</v>
      </c>
      <c r="K6059" s="22" t="s">
        <v>28</v>
      </c>
      <c r="L6059">
        <v>1</v>
      </c>
    </row>
    <row r="6060" spans="10:15" x14ac:dyDescent="0.25">
      <c r="J6060" t="s">
        <v>2292</v>
      </c>
      <c r="K6060" s="22" t="s">
        <v>28</v>
      </c>
      <c r="L6060">
        <v>4</v>
      </c>
      <c r="M6060">
        <v>4</v>
      </c>
      <c r="O6060" s="31"/>
    </row>
    <row r="6061" spans="10:15" x14ac:dyDescent="0.25">
      <c r="J6061" t="s">
        <v>64</v>
      </c>
      <c r="K6061" s="22" t="s">
        <v>31</v>
      </c>
      <c r="L6061">
        <v>4</v>
      </c>
      <c r="M6061">
        <v>4</v>
      </c>
      <c r="O6061" s="31"/>
    </row>
    <row r="6062" spans="10:15" x14ac:dyDescent="0.25">
      <c r="J6062" t="s">
        <v>2875</v>
      </c>
      <c r="K6062" s="22" t="s">
        <v>22</v>
      </c>
      <c r="L6062">
        <v>1</v>
      </c>
      <c r="O6062" s="30"/>
    </row>
    <row r="6063" spans="10:15" x14ac:dyDescent="0.25">
      <c r="J6063" t="s">
        <v>2043</v>
      </c>
      <c r="K6063" s="22" t="s">
        <v>22</v>
      </c>
      <c r="L6063">
        <v>1</v>
      </c>
    </row>
    <row r="6064" spans="10:15" x14ac:dyDescent="0.25">
      <c r="J6064" t="s">
        <v>3430</v>
      </c>
      <c r="K6064" s="22" t="s">
        <v>22</v>
      </c>
      <c r="L6064">
        <v>2</v>
      </c>
      <c r="O6064" s="30"/>
    </row>
    <row r="6065" spans="10:15" x14ac:dyDescent="0.25">
      <c r="J6065" t="s">
        <v>3439</v>
      </c>
      <c r="K6065" s="22" t="s">
        <v>22</v>
      </c>
      <c r="L6065">
        <v>1</v>
      </c>
      <c r="O6065" s="30"/>
    </row>
    <row r="6066" spans="10:15" x14ac:dyDescent="0.25">
      <c r="J6066" t="s">
        <v>3240</v>
      </c>
      <c r="K6066" s="22" t="s">
        <v>29</v>
      </c>
      <c r="L6066">
        <v>1</v>
      </c>
      <c r="M6066">
        <v>1</v>
      </c>
      <c r="O6066" s="31"/>
    </row>
    <row r="6067" spans="10:15" x14ac:dyDescent="0.25">
      <c r="J6067" t="s">
        <v>1507</v>
      </c>
      <c r="K6067" s="22" t="s">
        <v>29</v>
      </c>
      <c r="L6067">
        <v>1</v>
      </c>
    </row>
    <row r="6068" spans="10:15" x14ac:dyDescent="0.25">
      <c r="J6068" t="s">
        <v>1507</v>
      </c>
      <c r="K6068" s="22" t="s">
        <v>28</v>
      </c>
      <c r="L6068">
        <v>1</v>
      </c>
      <c r="M6068">
        <v>1</v>
      </c>
    </row>
    <row r="6069" spans="10:15" x14ac:dyDescent="0.25">
      <c r="J6069" t="s">
        <v>2871</v>
      </c>
      <c r="K6069" s="22" t="s">
        <v>22</v>
      </c>
      <c r="L6069">
        <v>1</v>
      </c>
    </row>
    <row r="6070" spans="10:15" x14ac:dyDescent="0.25">
      <c r="J6070" t="s">
        <v>3032</v>
      </c>
      <c r="K6070" s="22" t="s">
        <v>29</v>
      </c>
      <c r="L6070">
        <v>2</v>
      </c>
      <c r="M6070">
        <v>2</v>
      </c>
      <c r="O6070" s="31"/>
    </row>
    <row r="6071" spans="10:15" x14ac:dyDescent="0.25">
      <c r="J6071" t="s">
        <v>3032</v>
      </c>
      <c r="K6071" s="22" t="s">
        <v>28</v>
      </c>
      <c r="L6071">
        <v>1</v>
      </c>
    </row>
    <row r="6072" spans="10:15" x14ac:dyDescent="0.25">
      <c r="J6072" t="s">
        <v>2804</v>
      </c>
      <c r="K6072" s="22" t="s">
        <v>29</v>
      </c>
      <c r="L6072">
        <v>1</v>
      </c>
      <c r="O6072" s="30"/>
    </row>
    <row r="6073" spans="10:15" x14ac:dyDescent="0.25">
      <c r="J6073" t="s">
        <v>2804</v>
      </c>
      <c r="K6073" s="22" t="s">
        <v>35</v>
      </c>
      <c r="L6073">
        <v>1</v>
      </c>
    </row>
    <row r="6074" spans="10:15" x14ac:dyDescent="0.25">
      <c r="J6074" t="s">
        <v>2489</v>
      </c>
      <c r="K6074" s="22" t="s">
        <v>29</v>
      </c>
      <c r="L6074">
        <v>1</v>
      </c>
    </row>
    <row r="6075" spans="10:15" x14ac:dyDescent="0.25">
      <c r="J6075" t="s">
        <v>2489</v>
      </c>
      <c r="K6075" s="22" t="s">
        <v>35</v>
      </c>
      <c r="L6075">
        <v>1</v>
      </c>
      <c r="M6075">
        <v>1</v>
      </c>
      <c r="O6075" s="31"/>
    </row>
    <row r="6076" spans="10:15" x14ac:dyDescent="0.25">
      <c r="J6076" t="s">
        <v>878</v>
      </c>
      <c r="K6076" s="22" t="s">
        <v>29</v>
      </c>
      <c r="L6076">
        <v>2</v>
      </c>
      <c r="O6076" s="30"/>
    </row>
    <row r="6077" spans="10:15" x14ac:dyDescent="0.25">
      <c r="J6077" t="s">
        <v>878</v>
      </c>
      <c r="K6077" s="22" t="s">
        <v>35</v>
      </c>
      <c r="L6077">
        <v>2</v>
      </c>
      <c r="O6077" s="30"/>
    </row>
    <row r="6078" spans="10:15" x14ac:dyDescent="0.25">
      <c r="J6078" t="s">
        <v>2223</v>
      </c>
      <c r="K6078" s="22" t="s">
        <v>29</v>
      </c>
      <c r="L6078">
        <v>5</v>
      </c>
      <c r="M6078">
        <v>5</v>
      </c>
      <c r="O6078" s="31"/>
    </row>
    <row r="6079" spans="10:15" x14ac:dyDescent="0.25">
      <c r="J6079" t="s">
        <v>1682</v>
      </c>
      <c r="K6079" s="22" t="s">
        <v>29</v>
      </c>
      <c r="L6079">
        <v>1</v>
      </c>
    </row>
    <row r="6080" spans="10:15" x14ac:dyDescent="0.25">
      <c r="J6080" t="s">
        <v>1682</v>
      </c>
      <c r="K6080" s="22" t="s">
        <v>31</v>
      </c>
      <c r="L6080">
        <v>1</v>
      </c>
    </row>
    <row r="6081" spans="10:15" x14ac:dyDescent="0.25">
      <c r="J6081" t="s">
        <v>3206</v>
      </c>
      <c r="K6081" s="22" t="s">
        <v>29</v>
      </c>
      <c r="L6081">
        <v>1</v>
      </c>
      <c r="M6081">
        <v>1</v>
      </c>
      <c r="O6081" s="31"/>
    </row>
    <row r="6082" spans="10:15" x14ac:dyDescent="0.25">
      <c r="J6082" t="s">
        <v>1159</v>
      </c>
      <c r="K6082" s="22" t="s">
        <v>35</v>
      </c>
      <c r="L6082">
        <v>1</v>
      </c>
    </row>
    <row r="6083" spans="10:15" x14ac:dyDescent="0.25">
      <c r="J6083" t="s">
        <v>1159</v>
      </c>
      <c r="K6083" s="22" t="s">
        <v>31</v>
      </c>
      <c r="L6083">
        <v>1</v>
      </c>
    </row>
    <row r="6084" spans="10:15" x14ac:dyDescent="0.25">
      <c r="J6084" t="s">
        <v>681</v>
      </c>
      <c r="K6084" s="22" t="s">
        <v>29</v>
      </c>
      <c r="L6084">
        <v>1</v>
      </c>
      <c r="M6084">
        <v>1</v>
      </c>
    </row>
    <row r="6085" spans="10:15" x14ac:dyDescent="0.25">
      <c r="J6085" t="s">
        <v>2487</v>
      </c>
      <c r="K6085" s="22" t="s">
        <v>29</v>
      </c>
      <c r="L6085">
        <v>2</v>
      </c>
    </row>
    <row r="6086" spans="10:15" x14ac:dyDescent="0.25">
      <c r="J6086" t="s">
        <v>2487</v>
      </c>
      <c r="K6086" s="22" t="s">
        <v>35</v>
      </c>
      <c r="L6086">
        <v>4</v>
      </c>
      <c r="O6086" s="30"/>
    </row>
    <row r="6087" spans="10:15" x14ac:dyDescent="0.25">
      <c r="J6087" t="s">
        <v>1604</v>
      </c>
      <c r="K6087" s="22" t="s">
        <v>29</v>
      </c>
      <c r="L6087">
        <v>2</v>
      </c>
      <c r="M6087">
        <v>2</v>
      </c>
    </row>
    <row r="6088" spans="10:15" x14ac:dyDescent="0.25">
      <c r="J6088" t="s">
        <v>2332</v>
      </c>
      <c r="K6088" s="22" t="s">
        <v>29</v>
      </c>
      <c r="L6088">
        <v>4</v>
      </c>
      <c r="M6088">
        <v>4</v>
      </c>
      <c r="O6088" s="31"/>
    </row>
    <row r="6089" spans="10:15" x14ac:dyDescent="0.25">
      <c r="J6089" t="s">
        <v>2710</v>
      </c>
      <c r="K6089" s="22" t="s">
        <v>29</v>
      </c>
      <c r="L6089">
        <v>1</v>
      </c>
      <c r="M6089">
        <v>1</v>
      </c>
    </row>
    <row r="6090" spans="10:15" x14ac:dyDescent="0.25">
      <c r="J6090" t="s">
        <v>387</v>
      </c>
      <c r="K6090" s="22" t="s">
        <v>29</v>
      </c>
      <c r="L6090">
        <v>7</v>
      </c>
      <c r="M6090">
        <v>7</v>
      </c>
      <c r="O6090" s="31"/>
    </row>
    <row r="6091" spans="10:15" x14ac:dyDescent="0.25">
      <c r="J6091" t="s">
        <v>2958</v>
      </c>
      <c r="K6091" s="22" t="s">
        <v>35</v>
      </c>
      <c r="L6091">
        <v>1</v>
      </c>
      <c r="M6091">
        <v>1</v>
      </c>
    </row>
    <row r="6092" spans="10:15" x14ac:dyDescent="0.25">
      <c r="J6092" t="s">
        <v>2979</v>
      </c>
      <c r="K6092" s="22" t="s">
        <v>28</v>
      </c>
      <c r="L6092">
        <v>1</v>
      </c>
    </row>
    <row r="6093" spans="10:15" x14ac:dyDescent="0.25">
      <c r="J6093" t="s">
        <v>272</v>
      </c>
      <c r="K6093" s="22" t="s">
        <v>35</v>
      </c>
      <c r="L6093">
        <v>5</v>
      </c>
      <c r="M6093">
        <v>5</v>
      </c>
      <c r="O6093" s="31"/>
    </row>
    <row r="6094" spans="10:15" x14ac:dyDescent="0.25">
      <c r="J6094" t="s">
        <v>1593</v>
      </c>
      <c r="K6094" s="22" t="s">
        <v>35</v>
      </c>
      <c r="L6094">
        <v>3</v>
      </c>
      <c r="M6094">
        <v>3</v>
      </c>
      <c r="O6094" s="31"/>
    </row>
    <row r="6095" spans="10:15" x14ac:dyDescent="0.25">
      <c r="J6095" t="s">
        <v>1593</v>
      </c>
      <c r="K6095" s="22" t="s">
        <v>31</v>
      </c>
      <c r="L6095">
        <v>2</v>
      </c>
      <c r="M6095">
        <v>1</v>
      </c>
    </row>
    <row r="6096" spans="10:15" x14ac:dyDescent="0.25">
      <c r="J6096" t="s">
        <v>3242</v>
      </c>
      <c r="K6096" s="22" t="s">
        <v>35</v>
      </c>
      <c r="L6096">
        <v>1</v>
      </c>
      <c r="M6096">
        <v>1</v>
      </c>
      <c r="O6096" s="31"/>
    </row>
    <row r="6097" spans="10:15" x14ac:dyDescent="0.25">
      <c r="J6097" t="s">
        <v>522</v>
      </c>
      <c r="K6097" s="22" t="s">
        <v>35</v>
      </c>
      <c r="L6097">
        <v>8</v>
      </c>
      <c r="M6097">
        <v>8</v>
      </c>
      <c r="O6097" s="31"/>
    </row>
    <row r="6098" spans="10:15" x14ac:dyDescent="0.25">
      <c r="J6098" t="s">
        <v>934</v>
      </c>
      <c r="K6098" s="22" t="s">
        <v>28</v>
      </c>
      <c r="L6098">
        <v>2</v>
      </c>
      <c r="M6098">
        <v>2</v>
      </c>
    </row>
    <row r="6099" spans="10:15" x14ac:dyDescent="0.25">
      <c r="J6099" t="s">
        <v>934</v>
      </c>
      <c r="K6099" s="22" t="s">
        <v>35</v>
      </c>
      <c r="L6099">
        <v>2</v>
      </c>
      <c r="O6099" s="30"/>
    </row>
    <row r="6100" spans="10:15" x14ac:dyDescent="0.25">
      <c r="J6100" t="s">
        <v>934</v>
      </c>
      <c r="K6100" s="22" t="s">
        <v>31</v>
      </c>
      <c r="L6100">
        <v>1</v>
      </c>
    </row>
    <row r="6101" spans="10:15" x14ac:dyDescent="0.25">
      <c r="J6101" t="s">
        <v>3151</v>
      </c>
      <c r="K6101" s="22" t="s">
        <v>28</v>
      </c>
      <c r="L6101">
        <v>2</v>
      </c>
      <c r="M6101">
        <v>2</v>
      </c>
      <c r="O6101" s="31"/>
    </row>
    <row r="6102" spans="10:15" x14ac:dyDescent="0.25">
      <c r="J6102" t="s">
        <v>2864</v>
      </c>
      <c r="K6102" s="22" t="s">
        <v>31</v>
      </c>
      <c r="L6102">
        <v>1</v>
      </c>
      <c r="M6102">
        <v>1</v>
      </c>
    </row>
    <row r="6103" spans="10:15" x14ac:dyDescent="0.25">
      <c r="J6103" t="s">
        <v>945</v>
      </c>
      <c r="K6103" s="22" t="s">
        <v>28</v>
      </c>
      <c r="L6103">
        <v>2</v>
      </c>
    </row>
    <row r="6104" spans="10:15" x14ac:dyDescent="0.25">
      <c r="J6104" t="s">
        <v>945</v>
      </c>
      <c r="K6104" s="22" t="s">
        <v>31</v>
      </c>
      <c r="L6104">
        <v>2</v>
      </c>
      <c r="O6104" s="30"/>
    </row>
    <row r="6105" spans="10:15" x14ac:dyDescent="0.25">
      <c r="J6105" t="s">
        <v>2128</v>
      </c>
      <c r="K6105" s="22" t="s">
        <v>28</v>
      </c>
      <c r="L6105">
        <v>7</v>
      </c>
      <c r="M6105">
        <v>7</v>
      </c>
      <c r="O6105" s="31"/>
    </row>
    <row r="6106" spans="10:15" x14ac:dyDescent="0.25">
      <c r="J6106" t="s">
        <v>1437</v>
      </c>
      <c r="K6106" s="22" t="s">
        <v>35</v>
      </c>
      <c r="L6106">
        <v>1</v>
      </c>
    </row>
    <row r="6107" spans="10:15" x14ac:dyDescent="0.25">
      <c r="J6107" t="s">
        <v>1437</v>
      </c>
      <c r="K6107" s="22" t="s">
        <v>31</v>
      </c>
      <c r="L6107">
        <v>1</v>
      </c>
      <c r="M6107">
        <v>1</v>
      </c>
      <c r="O6107" s="31"/>
    </row>
    <row r="6108" spans="10:15" x14ac:dyDescent="0.25">
      <c r="J6108" t="s">
        <v>1555</v>
      </c>
      <c r="K6108" s="22" t="s">
        <v>31</v>
      </c>
      <c r="L6108">
        <v>3</v>
      </c>
      <c r="M6108">
        <v>3</v>
      </c>
    </row>
    <row r="6109" spans="10:15" x14ac:dyDescent="0.25">
      <c r="J6109" t="s">
        <v>1986</v>
      </c>
      <c r="K6109" s="22" t="s">
        <v>31</v>
      </c>
      <c r="L6109">
        <v>3</v>
      </c>
      <c r="M6109">
        <v>3</v>
      </c>
      <c r="O6109" s="31"/>
    </row>
    <row r="6110" spans="10:15" x14ac:dyDescent="0.25">
      <c r="J6110" t="s">
        <v>330</v>
      </c>
      <c r="K6110" s="22" t="s">
        <v>30</v>
      </c>
      <c r="L6110">
        <v>2</v>
      </c>
      <c r="O6110" s="30"/>
    </row>
    <row r="6111" spans="10:15" x14ac:dyDescent="0.25">
      <c r="J6111" t="s">
        <v>330</v>
      </c>
      <c r="K6111" s="22" t="s">
        <v>29</v>
      </c>
      <c r="L6111">
        <v>9</v>
      </c>
      <c r="M6111">
        <v>7</v>
      </c>
      <c r="O6111" s="30"/>
    </row>
    <row r="6112" spans="10:15" x14ac:dyDescent="0.25">
      <c r="J6112" t="s">
        <v>330</v>
      </c>
      <c r="K6112" s="22" t="s">
        <v>35</v>
      </c>
      <c r="L6112">
        <v>1</v>
      </c>
    </row>
    <row r="6113" spans="10:15" x14ac:dyDescent="0.25">
      <c r="J6113" t="s">
        <v>330</v>
      </c>
      <c r="K6113" s="22" t="s">
        <v>22</v>
      </c>
      <c r="L6113">
        <v>14</v>
      </c>
      <c r="M6113">
        <v>6</v>
      </c>
      <c r="O6113" s="31"/>
    </row>
    <row r="6114" spans="10:15" x14ac:dyDescent="0.25">
      <c r="J6114" t="s">
        <v>330</v>
      </c>
      <c r="K6114" s="22" t="s">
        <v>31</v>
      </c>
      <c r="L6114">
        <v>2</v>
      </c>
      <c r="M6114">
        <v>1</v>
      </c>
      <c r="O6114" s="30"/>
    </row>
    <row r="6115" spans="10:15" x14ac:dyDescent="0.25">
      <c r="J6115" t="s">
        <v>1802</v>
      </c>
      <c r="K6115" s="22" t="s">
        <v>30</v>
      </c>
      <c r="L6115">
        <v>3</v>
      </c>
      <c r="M6115">
        <v>1</v>
      </c>
      <c r="O6115" s="30"/>
    </row>
    <row r="6116" spans="10:15" x14ac:dyDescent="0.25">
      <c r="J6116" t="s">
        <v>1130</v>
      </c>
      <c r="K6116" s="22" t="s">
        <v>29</v>
      </c>
      <c r="L6116">
        <v>5</v>
      </c>
      <c r="M6116">
        <v>5</v>
      </c>
      <c r="O6116" s="31"/>
    </row>
    <row r="6117" spans="10:15" x14ac:dyDescent="0.25">
      <c r="J6117" t="s">
        <v>1458</v>
      </c>
      <c r="K6117" s="22" t="s">
        <v>30</v>
      </c>
      <c r="L6117">
        <v>1</v>
      </c>
    </row>
    <row r="6118" spans="10:15" x14ac:dyDescent="0.25">
      <c r="J6118" t="s">
        <v>1458</v>
      </c>
      <c r="K6118" s="22" t="s">
        <v>29</v>
      </c>
      <c r="L6118">
        <v>2</v>
      </c>
      <c r="M6118">
        <v>2</v>
      </c>
      <c r="O6118" s="31"/>
    </row>
    <row r="6119" spans="10:15" x14ac:dyDescent="0.25">
      <c r="J6119" t="s">
        <v>1458</v>
      </c>
      <c r="K6119" s="22" t="s">
        <v>28</v>
      </c>
      <c r="L6119">
        <v>1</v>
      </c>
    </row>
    <row r="6120" spans="10:15" x14ac:dyDescent="0.25">
      <c r="J6120" t="s">
        <v>1458</v>
      </c>
      <c r="K6120" s="22" t="s">
        <v>35</v>
      </c>
      <c r="L6120">
        <v>1</v>
      </c>
    </row>
    <row r="6121" spans="10:15" x14ac:dyDescent="0.25">
      <c r="J6121" t="s">
        <v>1487</v>
      </c>
      <c r="K6121" s="22" t="s">
        <v>29</v>
      </c>
      <c r="L6121">
        <v>1</v>
      </c>
    </row>
    <row r="6122" spans="10:15" x14ac:dyDescent="0.25">
      <c r="J6122" t="s">
        <v>1487</v>
      </c>
      <c r="K6122" s="22" t="s">
        <v>28</v>
      </c>
      <c r="L6122">
        <v>1</v>
      </c>
    </row>
    <row r="6123" spans="10:15" x14ac:dyDescent="0.25">
      <c r="J6123" t="s">
        <v>1278</v>
      </c>
      <c r="K6123" s="22" t="s">
        <v>28</v>
      </c>
      <c r="L6123">
        <v>1</v>
      </c>
    </row>
    <row r="6124" spans="10:15" x14ac:dyDescent="0.25">
      <c r="J6124" t="s">
        <v>823</v>
      </c>
      <c r="K6124" s="22" t="s">
        <v>30</v>
      </c>
      <c r="L6124">
        <v>1</v>
      </c>
    </row>
    <row r="6125" spans="10:15" x14ac:dyDescent="0.25">
      <c r="J6125" t="s">
        <v>975</v>
      </c>
      <c r="K6125" s="22" t="s">
        <v>30</v>
      </c>
      <c r="L6125">
        <v>1</v>
      </c>
    </row>
    <row r="6126" spans="10:15" x14ac:dyDescent="0.25">
      <c r="J6126" t="s">
        <v>975</v>
      </c>
      <c r="K6126" s="22" t="s">
        <v>29</v>
      </c>
      <c r="L6126">
        <v>1</v>
      </c>
      <c r="O6126" s="30"/>
    </row>
    <row r="6127" spans="10:15" x14ac:dyDescent="0.25">
      <c r="J6127" t="s">
        <v>975</v>
      </c>
      <c r="K6127" s="22" t="s">
        <v>28</v>
      </c>
      <c r="L6127">
        <v>1</v>
      </c>
    </row>
    <row r="6128" spans="10:15" x14ac:dyDescent="0.25">
      <c r="J6128" t="s">
        <v>975</v>
      </c>
      <c r="K6128" s="22" t="s">
        <v>22</v>
      </c>
      <c r="L6128">
        <v>3</v>
      </c>
      <c r="M6128">
        <v>1</v>
      </c>
      <c r="O6128" s="31"/>
    </row>
    <row r="6129" spans="10:15" x14ac:dyDescent="0.25">
      <c r="J6129" t="s">
        <v>3093</v>
      </c>
      <c r="K6129" s="22" t="s">
        <v>28</v>
      </c>
      <c r="L6129">
        <v>1</v>
      </c>
      <c r="O6129" s="30"/>
    </row>
    <row r="6130" spans="10:15" x14ac:dyDescent="0.25">
      <c r="J6130" t="s">
        <v>2318</v>
      </c>
      <c r="K6130" s="22" t="s">
        <v>30</v>
      </c>
      <c r="L6130">
        <v>3</v>
      </c>
      <c r="M6130">
        <v>2</v>
      </c>
      <c r="O6130" s="31"/>
    </row>
    <row r="6131" spans="10:15" x14ac:dyDescent="0.25">
      <c r="J6131" t="s">
        <v>2318</v>
      </c>
      <c r="K6131" s="22" t="s">
        <v>35</v>
      </c>
      <c r="L6131">
        <v>3</v>
      </c>
      <c r="M6131">
        <v>3</v>
      </c>
      <c r="O6131" s="31"/>
    </row>
    <row r="6132" spans="10:15" x14ac:dyDescent="0.25">
      <c r="J6132" t="s">
        <v>2748</v>
      </c>
      <c r="K6132" s="22" t="s">
        <v>30</v>
      </c>
      <c r="L6132">
        <v>2</v>
      </c>
      <c r="O6132" s="30"/>
    </row>
    <row r="6133" spans="10:15" x14ac:dyDescent="0.25">
      <c r="J6133" t="s">
        <v>2748</v>
      </c>
      <c r="K6133" s="22" t="s">
        <v>29</v>
      </c>
      <c r="L6133">
        <v>2</v>
      </c>
      <c r="M6133">
        <v>2</v>
      </c>
      <c r="O6133" s="31"/>
    </row>
    <row r="6134" spans="10:15" x14ac:dyDescent="0.25">
      <c r="J6134" t="s">
        <v>2748</v>
      </c>
      <c r="K6134" s="22" t="s">
        <v>35</v>
      </c>
      <c r="L6134">
        <v>2</v>
      </c>
      <c r="O6134" s="30"/>
    </row>
    <row r="6135" spans="10:15" x14ac:dyDescent="0.25">
      <c r="J6135" t="s">
        <v>2375</v>
      </c>
      <c r="K6135" s="22" t="s">
        <v>31</v>
      </c>
      <c r="L6135">
        <v>1</v>
      </c>
    </row>
    <row r="6136" spans="10:15" x14ac:dyDescent="0.25">
      <c r="J6136" t="s">
        <v>2502</v>
      </c>
      <c r="K6136" s="22" t="s">
        <v>29</v>
      </c>
      <c r="L6136">
        <v>1</v>
      </c>
      <c r="M6136">
        <v>1</v>
      </c>
    </row>
    <row r="6137" spans="10:15" x14ac:dyDescent="0.25">
      <c r="J6137" t="s">
        <v>3095</v>
      </c>
      <c r="K6137" s="22" t="s">
        <v>30</v>
      </c>
      <c r="L6137">
        <v>2</v>
      </c>
      <c r="M6137">
        <v>1</v>
      </c>
      <c r="O6137" s="30"/>
    </row>
    <row r="6138" spans="10:15" x14ac:dyDescent="0.25">
      <c r="J6138" t="s">
        <v>3095</v>
      </c>
      <c r="K6138" s="22" t="s">
        <v>29</v>
      </c>
      <c r="L6138">
        <v>1</v>
      </c>
      <c r="M6138">
        <v>1</v>
      </c>
      <c r="O6138" s="31"/>
    </row>
    <row r="6139" spans="10:15" x14ac:dyDescent="0.25">
      <c r="J6139" t="s">
        <v>1076</v>
      </c>
      <c r="K6139" s="22" t="s">
        <v>30</v>
      </c>
      <c r="L6139">
        <v>1</v>
      </c>
    </row>
    <row r="6140" spans="10:15" x14ac:dyDescent="0.25">
      <c r="J6140" t="s">
        <v>2745</v>
      </c>
      <c r="K6140" s="22" t="s">
        <v>22</v>
      </c>
      <c r="L6140">
        <v>1</v>
      </c>
    </row>
    <row r="6141" spans="10:15" x14ac:dyDescent="0.25">
      <c r="J6141" t="s">
        <v>439</v>
      </c>
      <c r="K6141" s="22" t="s">
        <v>29</v>
      </c>
      <c r="L6141">
        <v>1</v>
      </c>
      <c r="M6141">
        <v>1</v>
      </c>
    </row>
    <row r="6142" spans="10:15" x14ac:dyDescent="0.25">
      <c r="J6142" t="s">
        <v>1735</v>
      </c>
      <c r="K6142" s="22" t="s">
        <v>30</v>
      </c>
      <c r="L6142">
        <v>3</v>
      </c>
      <c r="O6142" s="30"/>
    </row>
    <row r="6143" spans="10:15" x14ac:dyDescent="0.25">
      <c r="J6143" t="s">
        <v>1735</v>
      </c>
      <c r="K6143" s="22" t="s">
        <v>29</v>
      </c>
      <c r="L6143">
        <v>6</v>
      </c>
      <c r="O6143" s="30"/>
    </row>
    <row r="6144" spans="10:15" x14ac:dyDescent="0.25">
      <c r="J6144" t="s">
        <v>1046</v>
      </c>
      <c r="K6144" s="22" t="s">
        <v>30</v>
      </c>
      <c r="L6144">
        <v>3</v>
      </c>
    </row>
    <row r="6145" spans="10:15" x14ac:dyDescent="0.25">
      <c r="J6145" t="s">
        <v>1046</v>
      </c>
      <c r="K6145" s="22" t="s">
        <v>35</v>
      </c>
      <c r="L6145">
        <v>2</v>
      </c>
      <c r="M6145">
        <v>1</v>
      </c>
      <c r="O6145" s="30"/>
    </row>
    <row r="6146" spans="10:15" x14ac:dyDescent="0.25">
      <c r="J6146" t="s">
        <v>1046</v>
      </c>
      <c r="K6146" s="22" t="s">
        <v>31</v>
      </c>
      <c r="L6146">
        <v>2</v>
      </c>
      <c r="M6146">
        <v>2</v>
      </c>
      <c r="O6146" s="31"/>
    </row>
    <row r="6147" spans="10:15" x14ac:dyDescent="0.25">
      <c r="J6147" t="s">
        <v>782</v>
      </c>
      <c r="K6147" s="22" t="s">
        <v>29</v>
      </c>
      <c r="L6147">
        <v>4</v>
      </c>
      <c r="M6147">
        <v>4</v>
      </c>
      <c r="O6147" s="31"/>
    </row>
    <row r="6148" spans="10:15" x14ac:dyDescent="0.25">
      <c r="J6148" t="s">
        <v>3429</v>
      </c>
      <c r="K6148" s="22" t="s">
        <v>29</v>
      </c>
      <c r="L6148">
        <v>2</v>
      </c>
      <c r="M6148">
        <v>1</v>
      </c>
      <c r="O6148" s="30"/>
    </row>
    <row r="6149" spans="10:15" x14ac:dyDescent="0.25">
      <c r="J6149" t="s">
        <v>1968</v>
      </c>
      <c r="K6149" s="22" t="s">
        <v>29</v>
      </c>
      <c r="L6149">
        <v>1</v>
      </c>
      <c r="M6149">
        <v>1</v>
      </c>
    </row>
    <row r="6150" spans="10:15" x14ac:dyDescent="0.25">
      <c r="J6150" t="s">
        <v>3294</v>
      </c>
      <c r="K6150" s="22" t="s">
        <v>29</v>
      </c>
      <c r="L6150">
        <v>2</v>
      </c>
      <c r="M6150">
        <v>2</v>
      </c>
      <c r="O6150" s="31"/>
    </row>
    <row r="6151" spans="10:15" x14ac:dyDescent="0.25">
      <c r="J6151" t="s">
        <v>977</v>
      </c>
      <c r="K6151" s="22" t="s">
        <v>30</v>
      </c>
      <c r="L6151">
        <v>2</v>
      </c>
      <c r="O6151" s="30"/>
    </row>
    <row r="6152" spans="10:15" x14ac:dyDescent="0.25">
      <c r="J6152" t="s">
        <v>977</v>
      </c>
      <c r="K6152" s="22" t="s">
        <v>29</v>
      </c>
      <c r="L6152">
        <v>2</v>
      </c>
      <c r="M6152">
        <v>2</v>
      </c>
      <c r="O6152" s="31"/>
    </row>
    <row r="6153" spans="10:15" x14ac:dyDescent="0.25">
      <c r="J6153" t="s">
        <v>2629</v>
      </c>
      <c r="K6153" s="22" t="s">
        <v>30</v>
      </c>
      <c r="L6153">
        <v>4</v>
      </c>
      <c r="M6153">
        <v>4</v>
      </c>
      <c r="O6153" s="31"/>
    </row>
    <row r="6154" spans="10:15" x14ac:dyDescent="0.25">
      <c r="J6154" t="s">
        <v>1263</v>
      </c>
      <c r="K6154" s="22" t="s">
        <v>28</v>
      </c>
      <c r="L6154">
        <v>5</v>
      </c>
      <c r="M6154">
        <v>5</v>
      </c>
      <c r="O6154" s="31"/>
    </row>
    <row r="6155" spans="10:15" x14ac:dyDescent="0.25">
      <c r="J6155" t="s">
        <v>2201</v>
      </c>
      <c r="K6155" s="22" t="s">
        <v>30</v>
      </c>
      <c r="L6155">
        <v>2</v>
      </c>
      <c r="M6155">
        <v>2</v>
      </c>
      <c r="O6155" s="31"/>
    </row>
    <row r="6156" spans="10:15" x14ac:dyDescent="0.25">
      <c r="J6156" t="s">
        <v>2176</v>
      </c>
      <c r="K6156" s="22" t="s">
        <v>28</v>
      </c>
      <c r="L6156">
        <v>2</v>
      </c>
      <c r="M6156">
        <v>2</v>
      </c>
    </row>
    <row r="6157" spans="10:15" x14ac:dyDescent="0.25">
      <c r="J6157" t="s">
        <v>474</v>
      </c>
      <c r="K6157" s="22" t="s">
        <v>30</v>
      </c>
      <c r="L6157">
        <v>1</v>
      </c>
      <c r="M6157">
        <v>1</v>
      </c>
    </row>
    <row r="6158" spans="10:15" x14ac:dyDescent="0.25">
      <c r="J6158" t="s">
        <v>1989</v>
      </c>
      <c r="K6158" s="22" t="s">
        <v>30</v>
      </c>
      <c r="L6158">
        <v>1</v>
      </c>
    </row>
    <row r="6159" spans="10:15" x14ac:dyDescent="0.25">
      <c r="J6159" t="s">
        <v>2453</v>
      </c>
      <c r="K6159" s="22" t="s">
        <v>22</v>
      </c>
      <c r="L6159">
        <v>3</v>
      </c>
      <c r="M6159">
        <v>3</v>
      </c>
      <c r="O6159" s="31"/>
    </row>
    <row r="6160" spans="10:15" x14ac:dyDescent="0.25">
      <c r="J6160" t="s">
        <v>1704</v>
      </c>
      <c r="K6160" s="22" t="s">
        <v>22</v>
      </c>
      <c r="L6160">
        <v>1</v>
      </c>
      <c r="M6160">
        <v>1</v>
      </c>
    </row>
    <row r="6161" spans="10:15" x14ac:dyDescent="0.25">
      <c r="J6161" t="s">
        <v>1705</v>
      </c>
      <c r="K6161" s="22" t="s">
        <v>30</v>
      </c>
      <c r="L6161">
        <v>2</v>
      </c>
      <c r="M6161">
        <v>2</v>
      </c>
      <c r="O6161" s="31"/>
    </row>
    <row r="6162" spans="10:15" x14ac:dyDescent="0.25">
      <c r="J6162" t="s">
        <v>1265</v>
      </c>
      <c r="K6162" s="22" t="s">
        <v>30</v>
      </c>
      <c r="L6162">
        <v>4</v>
      </c>
      <c r="M6162">
        <v>4</v>
      </c>
      <c r="O6162" s="31"/>
    </row>
    <row r="6163" spans="10:15" x14ac:dyDescent="0.25">
      <c r="J6163" t="s">
        <v>2178</v>
      </c>
      <c r="K6163" s="22" t="s">
        <v>30</v>
      </c>
      <c r="L6163">
        <v>3</v>
      </c>
      <c r="M6163">
        <v>3</v>
      </c>
      <c r="O6163" s="31"/>
    </row>
    <row r="6164" spans="10:15" x14ac:dyDescent="0.25">
      <c r="J6164" t="s">
        <v>2952</v>
      </c>
      <c r="K6164" s="22" t="s">
        <v>22</v>
      </c>
      <c r="L6164">
        <v>3</v>
      </c>
      <c r="M6164">
        <v>3</v>
      </c>
      <c r="O6164" s="31"/>
    </row>
    <row r="6165" spans="10:15" x14ac:dyDescent="0.25">
      <c r="J6165" t="s">
        <v>2228</v>
      </c>
      <c r="K6165" s="22" t="s">
        <v>31</v>
      </c>
      <c r="L6165">
        <v>1</v>
      </c>
    </row>
    <row r="6166" spans="10:15" x14ac:dyDescent="0.25">
      <c r="J6166" t="s">
        <v>520</v>
      </c>
      <c r="K6166" s="22" t="s">
        <v>30</v>
      </c>
      <c r="L6166">
        <v>4</v>
      </c>
      <c r="M6166">
        <v>4</v>
      </c>
      <c r="O6166" s="31"/>
    </row>
    <row r="6167" spans="10:15" x14ac:dyDescent="0.25">
      <c r="J6167" t="s">
        <v>209</v>
      </c>
      <c r="K6167" s="22" t="s">
        <v>31</v>
      </c>
      <c r="L6167">
        <v>2</v>
      </c>
      <c r="M6167">
        <v>2</v>
      </c>
      <c r="O6167" s="31"/>
    </row>
    <row r="6168" spans="10:15" x14ac:dyDescent="0.25">
      <c r="J6168" t="s">
        <v>3250</v>
      </c>
      <c r="K6168" s="22" t="s">
        <v>22</v>
      </c>
      <c r="L6168">
        <v>4</v>
      </c>
      <c r="M6168">
        <v>4</v>
      </c>
      <c r="O6168" s="31"/>
    </row>
    <row r="6169" spans="10:15" x14ac:dyDescent="0.25">
      <c r="J6169" t="s">
        <v>2627</v>
      </c>
      <c r="K6169" s="22" t="s">
        <v>22</v>
      </c>
      <c r="L6169">
        <v>1</v>
      </c>
      <c r="M6169">
        <v>1</v>
      </c>
    </row>
    <row r="6170" spans="10:15" x14ac:dyDescent="0.25">
      <c r="J6170" t="s">
        <v>1252</v>
      </c>
      <c r="K6170" s="22" t="s">
        <v>30</v>
      </c>
      <c r="L6170">
        <v>1</v>
      </c>
    </row>
    <row r="6171" spans="10:15" x14ac:dyDescent="0.25">
      <c r="J6171" t="s">
        <v>2576</v>
      </c>
      <c r="K6171" s="22" t="s">
        <v>22</v>
      </c>
      <c r="L6171">
        <v>1</v>
      </c>
      <c r="M6171">
        <v>1</v>
      </c>
      <c r="O6171" s="31"/>
    </row>
    <row r="6172" spans="10:15" x14ac:dyDescent="0.25">
      <c r="J6172" t="s">
        <v>742</v>
      </c>
      <c r="K6172" s="22" t="s">
        <v>30</v>
      </c>
      <c r="L6172">
        <v>3</v>
      </c>
      <c r="O6172" s="30"/>
    </row>
    <row r="6173" spans="10:15" x14ac:dyDescent="0.25">
      <c r="J6173" t="s">
        <v>742</v>
      </c>
      <c r="K6173" s="22" t="s">
        <v>28</v>
      </c>
      <c r="L6173">
        <v>1</v>
      </c>
    </row>
    <row r="6174" spans="10:15" x14ac:dyDescent="0.25">
      <c r="J6174" t="s">
        <v>742</v>
      </c>
      <c r="K6174" s="22" t="s">
        <v>22</v>
      </c>
      <c r="L6174">
        <v>2</v>
      </c>
      <c r="M6174">
        <v>2</v>
      </c>
      <c r="O6174" s="31"/>
    </row>
    <row r="6175" spans="10:15" x14ac:dyDescent="0.25">
      <c r="J6175" t="s">
        <v>2256</v>
      </c>
      <c r="K6175" s="22" t="s">
        <v>35</v>
      </c>
      <c r="L6175">
        <v>1</v>
      </c>
      <c r="M6175">
        <v>1</v>
      </c>
    </row>
    <row r="6176" spans="10:15" x14ac:dyDescent="0.25">
      <c r="J6176" t="s">
        <v>2256</v>
      </c>
      <c r="K6176" s="22" t="s">
        <v>31</v>
      </c>
      <c r="L6176">
        <v>2</v>
      </c>
      <c r="O6176" s="30"/>
    </row>
    <row r="6177" spans="10:15" x14ac:dyDescent="0.25">
      <c r="J6177" t="s">
        <v>2916</v>
      </c>
      <c r="K6177" s="22" t="s">
        <v>28</v>
      </c>
      <c r="L6177">
        <v>1</v>
      </c>
    </row>
    <row r="6178" spans="10:15" x14ac:dyDescent="0.25">
      <c r="J6178" t="s">
        <v>2916</v>
      </c>
      <c r="K6178" s="22" t="s">
        <v>31</v>
      </c>
      <c r="L6178">
        <v>1</v>
      </c>
      <c r="M6178">
        <v>1</v>
      </c>
      <c r="O6178" s="31"/>
    </row>
    <row r="6179" spans="10:15" x14ac:dyDescent="0.25">
      <c r="J6179" t="s">
        <v>3320</v>
      </c>
      <c r="K6179" s="22" t="s">
        <v>22</v>
      </c>
      <c r="L6179">
        <v>3</v>
      </c>
      <c r="M6179">
        <v>3</v>
      </c>
      <c r="O6179" s="31"/>
    </row>
    <row r="6180" spans="10:15" x14ac:dyDescent="0.25">
      <c r="J6180" t="s">
        <v>868</v>
      </c>
      <c r="K6180" s="22" t="s">
        <v>31</v>
      </c>
      <c r="L6180">
        <v>6</v>
      </c>
      <c r="M6180">
        <v>6</v>
      </c>
      <c r="O6180" s="31"/>
    </row>
    <row r="6181" spans="10:15" x14ac:dyDescent="0.25">
      <c r="J6181" t="s">
        <v>3161</v>
      </c>
      <c r="K6181" s="22" t="s">
        <v>31</v>
      </c>
      <c r="L6181">
        <v>1</v>
      </c>
      <c r="M6181">
        <v>1</v>
      </c>
      <c r="O6181" s="31"/>
    </row>
    <row r="6182" spans="10:15" x14ac:dyDescent="0.25">
      <c r="J6182" t="s">
        <v>3277</v>
      </c>
      <c r="K6182" s="22" t="s">
        <v>35</v>
      </c>
      <c r="L6182">
        <v>1</v>
      </c>
      <c r="M6182">
        <v>1</v>
      </c>
      <c r="O6182" s="31"/>
    </row>
    <row r="6183" spans="10:15" x14ac:dyDescent="0.25">
      <c r="J6183" t="s">
        <v>3192</v>
      </c>
      <c r="K6183" s="22" t="s">
        <v>22</v>
      </c>
      <c r="L6183">
        <v>1</v>
      </c>
      <c r="M6183">
        <v>1</v>
      </c>
      <c r="O6183" s="31"/>
    </row>
    <row r="6184" spans="10:15" x14ac:dyDescent="0.25">
      <c r="J6184" t="s">
        <v>966</v>
      </c>
      <c r="K6184" s="22" t="s">
        <v>29</v>
      </c>
      <c r="L6184">
        <v>2</v>
      </c>
      <c r="M6184">
        <v>2</v>
      </c>
      <c r="O6184" s="31"/>
    </row>
    <row r="6185" spans="10:15" x14ac:dyDescent="0.25">
      <c r="J6185" t="s">
        <v>2026</v>
      </c>
      <c r="K6185" s="22" t="s">
        <v>28</v>
      </c>
      <c r="L6185">
        <v>2</v>
      </c>
      <c r="M6185">
        <v>2</v>
      </c>
      <c r="O6185" s="31"/>
    </row>
    <row r="6186" spans="10:15" x14ac:dyDescent="0.25">
      <c r="J6186" t="s">
        <v>1476</v>
      </c>
      <c r="K6186" s="22" t="s">
        <v>29</v>
      </c>
      <c r="L6186">
        <v>1</v>
      </c>
      <c r="M6186">
        <v>1</v>
      </c>
    </row>
    <row r="6187" spans="10:15" x14ac:dyDescent="0.25">
      <c r="J6187" t="s">
        <v>1572</v>
      </c>
      <c r="K6187" s="22" t="s">
        <v>29</v>
      </c>
      <c r="L6187">
        <v>1</v>
      </c>
    </row>
    <row r="6188" spans="10:15" x14ac:dyDescent="0.25">
      <c r="J6188" t="s">
        <v>1572</v>
      </c>
      <c r="K6188" s="22" t="s">
        <v>28</v>
      </c>
      <c r="L6188">
        <v>2</v>
      </c>
      <c r="O6188" s="30"/>
    </row>
    <row r="6189" spans="10:15" x14ac:dyDescent="0.25">
      <c r="J6189" t="s">
        <v>3261</v>
      </c>
      <c r="K6189" s="22" t="s">
        <v>31</v>
      </c>
      <c r="L6189">
        <v>1</v>
      </c>
      <c r="O6189" s="30"/>
    </row>
    <row r="6190" spans="10:15" x14ac:dyDescent="0.25">
      <c r="J6190" t="s">
        <v>1219</v>
      </c>
      <c r="K6190" s="22" t="s">
        <v>29</v>
      </c>
      <c r="L6190">
        <v>1</v>
      </c>
      <c r="M6190">
        <v>1</v>
      </c>
    </row>
    <row r="6191" spans="10:15" x14ac:dyDescent="0.25">
      <c r="J6191" t="s">
        <v>1219</v>
      </c>
      <c r="K6191" s="22" t="s">
        <v>28</v>
      </c>
      <c r="L6191">
        <v>2</v>
      </c>
      <c r="O6191" s="30"/>
    </row>
    <row r="6192" spans="10:15" x14ac:dyDescent="0.25">
      <c r="J6192" t="s">
        <v>3497</v>
      </c>
      <c r="K6192" s="22" t="s">
        <v>28</v>
      </c>
      <c r="L6192">
        <v>1</v>
      </c>
      <c r="O6192" s="30"/>
    </row>
    <row r="6193" spans="10:15" x14ac:dyDescent="0.25">
      <c r="J6193" t="s">
        <v>1907</v>
      </c>
      <c r="K6193" s="22" t="s">
        <v>29</v>
      </c>
      <c r="L6193">
        <v>1</v>
      </c>
      <c r="M6193">
        <v>1</v>
      </c>
      <c r="O6193" s="31"/>
    </row>
    <row r="6194" spans="10:15" x14ac:dyDescent="0.25">
      <c r="J6194" t="s">
        <v>1907</v>
      </c>
      <c r="K6194" s="22" t="s">
        <v>28</v>
      </c>
      <c r="L6194">
        <v>2</v>
      </c>
      <c r="O6194" s="30"/>
    </row>
    <row r="6195" spans="10:15" x14ac:dyDescent="0.25">
      <c r="J6195" t="s">
        <v>939</v>
      </c>
      <c r="K6195" s="22" t="s">
        <v>29</v>
      </c>
      <c r="L6195">
        <v>2</v>
      </c>
      <c r="M6195">
        <v>2</v>
      </c>
      <c r="O6195" s="31"/>
    </row>
    <row r="6196" spans="10:15" x14ac:dyDescent="0.25">
      <c r="J6196" t="s">
        <v>1806</v>
      </c>
      <c r="K6196" s="22" t="s">
        <v>29</v>
      </c>
      <c r="L6196">
        <v>1</v>
      </c>
      <c r="M6196">
        <v>1</v>
      </c>
      <c r="O6196" s="31"/>
    </row>
    <row r="6197" spans="10:15" x14ac:dyDescent="0.25">
      <c r="J6197" t="s">
        <v>1806</v>
      </c>
      <c r="K6197" s="22" t="s">
        <v>35</v>
      </c>
      <c r="L6197">
        <v>2</v>
      </c>
      <c r="O6197" s="30"/>
    </row>
    <row r="6198" spans="10:15" x14ac:dyDescent="0.25">
      <c r="J6198" t="s">
        <v>734</v>
      </c>
      <c r="K6198" s="22" t="s">
        <v>29</v>
      </c>
      <c r="L6198">
        <v>3</v>
      </c>
      <c r="M6198">
        <v>3</v>
      </c>
      <c r="O6198" s="31"/>
    </row>
    <row r="6199" spans="10:15" x14ac:dyDescent="0.25">
      <c r="J6199" t="s">
        <v>2320</v>
      </c>
      <c r="K6199" s="22" t="s">
        <v>22</v>
      </c>
      <c r="L6199">
        <v>2</v>
      </c>
      <c r="M6199">
        <v>1</v>
      </c>
      <c r="O6199" s="30"/>
    </row>
    <row r="6200" spans="10:15" x14ac:dyDescent="0.25">
      <c r="J6200" t="s">
        <v>2320</v>
      </c>
      <c r="K6200" s="22" t="s">
        <v>31</v>
      </c>
      <c r="L6200">
        <v>1</v>
      </c>
    </row>
    <row r="6201" spans="10:15" x14ac:dyDescent="0.25">
      <c r="J6201" t="s">
        <v>2028</v>
      </c>
      <c r="K6201" s="22" t="s">
        <v>29</v>
      </c>
      <c r="L6201">
        <v>3</v>
      </c>
      <c r="M6201">
        <v>3</v>
      </c>
      <c r="O6201" s="31"/>
    </row>
    <row r="6202" spans="10:15" x14ac:dyDescent="0.25">
      <c r="J6202" t="s">
        <v>968</v>
      </c>
      <c r="K6202" s="22" t="s">
        <v>29</v>
      </c>
      <c r="L6202">
        <v>4</v>
      </c>
      <c r="M6202">
        <v>4</v>
      </c>
      <c r="O6202" s="31"/>
    </row>
    <row r="6203" spans="10:15" x14ac:dyDescent="0.25">
      <c r="J6203" t="s">
        <v>1890</v>
      </c>
      <c r="K6203" s="22" t="s">
        <v>29</v>
      </c>
      <c r="L6203">
        <v>3</v>
      </c>
      <c r="M6203">
        <v>3</v>
      </c>
      <c r="O6203" s="31"/>
    </row>
    <row r="6204" spans="10:15" x14ac:dyDescent="0.25">
      <c r="J6204" t="s">
        <v>332</v>
      </c>
      <c r="K6204" s="22" t="s">
        <v>22</v>
      </c>
      <c r="L6204">
        <v>1</v>
      </c>
    </row>
    <row r="6205" spans="10:15" x14ac:dyDescent="0.25">
      <c r="J6205" t="s">
        <v>332</v>
      </c>
      <c r="K6205" s="22" t="s">
        <v>31</v>
      </c>
      <c r="L6205">
        <v>1</v>
      </c>
      <c r="O6205" s="30"/>
    </row>
    <row r="6206" spans="10:15" x14ac:dyDescent="0.25">
      <c r="J6206" t="s">
        <v>864</v>
      </c>
      <c r="K6206" s="22" t="s">
        <v>22</v>
      </c>
      <c r="L6206">
        <v>4</v>
      </c>
      <c r="M6206">
        <v>4</v>
      </c>
    </row>
    <row r="6207" spans="10:15" x14ac:dyDescent="0.25">
      <c r="J6207" t="s">
        <v>1054</v>
      </c>
      <c r="K6207" s="22" t="s">
        <v>31</v>
      </c>
      <c r="L6207">
        <v>3</v>
      </c>
      <c r="M6207">
        <v>3</v>
      </c>
      <c r="O6207" s="31"/>
    </row>
    <row r="6208" spans="10:15" x14ac:dyDescent="0.25">
      <c r="J6208" t="s">
        <v>404</v>
      </c>
      <c r="K6208" s="22" t="s">
        <v>29</v>
      </c>
      <c r="L6208">
        <v>1</v>
      </c>
    </row>
    <row r="6209" spans="10:15" x14ac:dyDescent="0.25">
      <c r="J6209" t="s">
        <v>1910</v>
      </c>
      <c r="K6209" s="22" t="s">
        <v>22</v>
      </c>
      <c r="L6209">
        <v>1</v>
      </c>
    </row>
    <row r="6210" spans="10:15" x14ac:dyDescent="0.25">
      <c r="J6210" t="s">
        <v>1697</v>
      </c>
      <c r="K6210" s="22" t="s">
        <v>29</v>
      </c>
      <c r="L6210">
        <v>2</v>
      </c>
      <c r="M6210">
        <v>2</v>
      </c>
      <c r="O6210" s="31"/>
    </row>
    <row r="6211" spans="10:15" x14ac:dyDescent="0.25">
      <c r="J6211" t="s">
        <v>1697</v>
      </c>
      <c r="K6211" s="22" t="s">
        <v>31</v>
      </c>
      <c r="L6211">
        <v>1</v>
      </c>
    </row>
    <row r="6212" spans="10:15" x14ac:dyDescent="0.25">
      <c r="J6212" t="s">
        <v>866</v>
      </c>
      <c r="K6212" s="22" t="s">
        <v>29</v>
      </c>
      <c r="L6212">
        <v>8</v>
      </c>
      <c r="M6212">
        <v>8</v>
      </c>
      <c r="O6212" s="31"/>
    </row>
    <row r="6213" spans="10:15" x14ac:dyDescent="0.25">
      <c r="J6213" t="s">
        <v>1430</v>
      </c>
      <c r="K6213" s="22" t="s">
        <v>28</v>
      </c>
      <c r="L6213">
        <v>1</v>
      </c>
      <c r="M6213">
        <v>1</v>
      </c>
    </row>
    <row r="6214" spans="10:15" x14ac:dyDescent="0.25">
      <c r="J6214" t="s">
        <v>1430</v>
      </c>
      <c r="K6214" s="22" t="s">
        <v>35</v>
      </c>
      <c r="L6214">
        <v>3</v>
      </c>
      <c r="M6214">
        <v>2</v>
      </c>
      <c r="O6214" s="31"/>
    </row>
    <row r="6215" spans="10:15" x14ac:dyDescent="0.25">
      <c r="J6215" t="s">
        <v>1629</v>
      </c>
      <c r="K6215" s="22" t="s">
        <v>28</v>
      </c>
      <c r="L6215">
        <v>2</v>
      </c>
      <c r="M6215">
        <v>2</v>
      </c>
      <c r="O6215" s="31"/>
    </row>
    <row r="6216" spans="10:15" x14ac:dyDescent="0.25">
      <c r="J6216" t="s">
        <v>1629</v>
      </c>
      <c r="K6216" s="22" t="s">
        <v>35</v>
      </c>
      <c r="L6216">
        <v>1</v>
      </c>
    </row>
    <row r="6217" spans="10:15" x14ac:dyDescent="0.25">
      <c r="J6217" t="s">
        <v>557</v>
      </c>
      <c r="K6217" s="22" t="s">
        <v>28</v>
      </c>
      <c r="L6217">
        <v>5</v>
      </c>
      <c r="M6217">
        <v>5</v>
      </c>
      <c r="O6217" s="31"/>
    </row>
    <row r="6218" spans="10:15" x14ac:dyDescent="0.25">
      <c r="J6218" t="s">
        <v>52</v>
      </c>
      <c r="K6218" s="22" t="s">
        <v>28</v>
      </c>
      <c r="L6218">
        <v>4</v>
      </c>
      <c r="M6218">
        <v>4</v>
      </c>
      <c r="O6218" s="31"/>
    </row>
    <row r="6219" spans="10:15" x14ac:dyDescent="0.25">
      <c r="J6219" t="s">
        <v>2037</v>
      </c>
      <c r="K6219" s="22" t="s">
        <v>22</v>
      </c>
      <c r="L6219">
        <v>2</v>
      </c>
      <c r="M6219">
        <v>2</v>
      </c>
    </row>
    <row r="6220" spans="10:15" x14ac:dyDescent="0.25">
      <c r="J6220" t="s">
        <v>2441</v>
      </c>
      <c r="K6220" s="22" t="s">
        <v>28</v>
      </c>
      <c r="L6220">
        <v>1</v>
      </c>
      <c r="M6220">
        <v>1</v>
      </c>
      <c r="O6220" s="31"/>
    </row>
    <row r="6221" spans="10:15" x14ac:dyDescent="0.25">
      <c r="J6221" t="s">
        <v>1478</v>
      </c>
      <c r="K6221" s="22" t="s">
        <v>28</v>
      </c>
      <c r="L6221">
        <v>3</v>
      </c>
      <c r="M6221">
        <v>3</v>
      </c>
    </row>
    <row r="6222" spans="10:15" x14ac:dyDescent="0.25">
      <c r="J6222" t="s">
        <v>3183</v>
      </c>
      <c r="K6222" s="22" t="s">
        <v>22</v>
      </c>
      <c r="L6222">
        <v>2</v>
      </c>
      <c r="M6222">
        <v>2</v>
      </c>
      <c r="O6222" s="31"/>
    </row>
    <row r="6223" spans="10:15" x14ac:dyDescent="0.25">
      <c r="J6223" t="s">
        <v>2621</v>
      </c>
      <c r="K6223" s="22" t="s">
        <v>35</v>
      </c>
      <c r="L6223">
        <v>1</v>
      </c>
    </row>
    <row r="6224" spans="10:15" x14ac:dyDescent="0.25">
      <c r="J6224" t="s">
        <v>2687</v>
      </c>
      <c r="K6224" s="22" t="s">
        <v>22</v>
      </c>
      <c r="L6224">
        <v>4</v>
      </c>
      <c r="M6224">
        <v>4</v>
      </c>
      <c r="O6224" s="31"/>
    </row>
    <row r="6225" spans="10:15" x14ac:dyDescent="0.25">
      <c r="J6225" t="s">
        <v>1306</v>
      </c>
      <c r="K6225" s="22" t="s">
        <v>28</v>
      </c>
      <c r="L6225">
        <v>3</v>
      </c>
      <c r="O6225" s="30"/>
    </row>
    <row r="6226" spans="10:15" x14ac:dyDescent="0.25">
      <c r="J6226" t="s">
        <v>1306</v>
      </c>
      <c r="K6226" s="22" t="s">
        <v>35</v>
      </c>
      <c r="L6226">
        <v>1</v>
      </c>
    </row>
    <row r="6227" spans="10:15" x14ac:dyDescent="0.25">
      <c r="J6227" t="s">
        <v>1306</v>
      </c>
      <c r="K6227" s="22" t="s">
        <v>22</v>
      </c>
      <c r="L6227">
        <v>2</v>
      </c>
      <c r="O6227" s="30"/>
    </row>
    <row r="6228" spans="10:15" x14ac:dyDescent="0.25">
      <c r="J6228" t="s">
        <v>1306</v>
      </c>
      <c r="K6228" s="22" t="s">
        <v>31</v>
      </c>
      <c r="L6228">
        <v>2</v>
      </c>
      <c r="O6228" s="30"/>
    </row>
    <row r="6229" spans="10:15" x14ac:dyDescent="0.25">
      <c r="J6229" t="s">
        <v>1180</v>
      </c>
      <c r="K6229" s="22" t="s">
        <v>28</v>
      </c>
      <c r="L6229">
        <v>1</v>
      </c>
    </row>
    <row r="6230" spans="10:15" x14ac:dyDescent="0.25">
      <c r="J6230" t="s">
        <v>1180</v>
      </c>
      <c r="K6230" s="22" t="s">
        <v>35</v>
      </c>
      <c r="L6230">
        <v>1</v>
      </c>
      <c r="M6230">
        <v>1</v>
      </c>
      <c r="O6230" s="31"/>
    </row>
    <row r="6231" spans="10:15" x14ac:dyDescent="0.25">
      <c r="J6231" t="s">
        <v>1180</v>
      </c>
      <c r="K6231" s="22" t="s">
        <v>22</v>
      </c>
      <c r="L6231">
        <v>1</v>
      </c>
    </row>
    <row r="6232" spans="10:15" x14ac:dyDescent="0.25">
      <c r="J6232" t="s">
        <v>3141</v>
      </c>
      <c r="K6232" s="22" t="s">
        <v>35</v>
      </c>
      <c r="L6232">
        <v>1</v>
      </c>
      <c r="M6232">
        <v>1</v>
      </c>
      <c r="O6232" s="31"/>
    </row>
    <row r="6233" spans="10:15" x14ac:dyDescent="0.25">
      <c r="J6233" t="s">
        <v>3455</v>
      </c>
      <c r="K6233" s="22" t="s">
        <v>28</v>
      </c>
      <c r="L6233">
        <v>1</v>
      </c>
      <c r="O6233" s="30"/>
    </row>
    <row r="6234" spans="10:15" x14ac:dyDescent="0.25">
      <c r="J6234" t="s">
        <v>1765</v>
      </c>
      <c r="K6234" s="22" t="s">
        <v>22</v>
      </c>
      <c r="L6234">
        <v>2</v>
      </c>
      <c r="M6234">
        <v>1</v>
      </c>
    </row>
    <row r="6235" spans="10:15" x14ac:dyDescent="0.25">
      <c r="J6235" t="s">
        <v>1404</v>
      </c>
      <c r="K6235" s="22" t="s">
        <v>35</v>
      </c>
      <c r="L6235">
        <v>5</v>
      </c>
      <c r="O6235" s="30"/>
    </row>
    <row r="6236" spans="10:15" x14ac:dyDescent="0.25">
      <c r="J6236" t="s">
        <v>1404</v>
      </c>
      <c r="K6236" s="22" t="s">
        <v>31</v>
      </c>
      <c r="L6236">
        <v>7</v>
      </c>
      <c r="O6236" s="30"/>
    </row>
    <row r="6237" spans="10:15" x14ac:dyDescent="0.25">
      <c r="J6237" t="s">
        <v>3512</v>
      </c>
      <c r="K6237" s="22" t="s">
        <v>22</v>
      </c>
      <c r="L6237">
        <v>1</v>
      </c>
      <c r="O6237" s="30"/>
    </row>
    <row r="6238" spans="10:15" x14ac:dyDescent="0.25">
      <c r="J6238" t="s">
        <v>314</v>
      </c>
      <c r="K6238" s="22" t="s">
        <v>35</v>
      </c>
      <c r="L6238">
        <v>2</v>
      </c>
    </row>
    <row r="6239" spans="10:15" x14ac:dyDescent="0.25">
      <c r="J6239" t="s">
        <v>314</v>
      </c>
      <c r="K6239" s="22" t="s">
        <v>31</v>
      </c>
      <c r="L6239">
        <v>5</v>
      </c>
      <c r="O6239" s="30"/>
    </row>
    <row r="6240" spans="10:15" x14ac:dyDescent="0.25">
      <c r="J6240" t="s">
        <v>1055</v>
      </c>
      <c r="K6240" s="22" t="s">
        <v>35</v>
      </c>
      <c r="L6240">
        <v>5</v>
      </c>
      <c r="M6240">
        <v>5</v>
      </c>
      <c r="O6240" s="31"/>
    </row>
    <row r="6241" spans="10:15" x14ac:dyDescent="0.25">
      <c r="J6241" t="s">
        <v>1308</v>
      </c>
      <c r="K6241" s="22" t="s">
        <v>22</v>
      </c>
      <c r="L6241">
        <v>1</v>
      </c>
    </row>
    <row r="6242" spans="10:15" x14ac:dyDescent="0.25">
      <c r="J6242" t="s">
        <v>3427</v>
      </c>
      <c r="K6242" s="22" t="s">
        <v>22</v>
      </c>
      <c r="L6242">
        <v>4</v>
      </c>
      <c r="M6242">
        <v>4</v>
      </c>
      <c r="O6242" s="31"/>
    </row>
    <row r="6243" spans="10:15" x14ac:dyDescent="0.25">
      <c r="J6243" t="s">
        <v>1767</v>
      </c>
      <c r="K6243" s="22" t="s">
        <v>31</v>
      </c>
      <c r="L6243">
        <v>4</v>
      </c>
      <c r="M6243">
        <v>4</v>
      </c>
      <c r="O6243" s="31"/>
    </row>
    <row r="6244" spans="10:15" x14ac:dyDescent="0.25">
      <c r="J6244" t="s">
        <v>1030</v>
      </c>
      <c r="K6244" s="22" t="s">
        <v>22</v>
      </c>
      <c r="L6244">
        <v>2</v>
      </c>
      <c r="M6244">
        <v>2</v>
      </c>
      <c r="O6244" s="31"/>
    </row>
    <row r="6245" spans="10:15" x14ac:dyDescent="0.25">
      <c r="J6245" t="s">
        <v>276</v>
      </c>
      <c r="K6245" s="22" t="s">
        <v>29</v>
      </c>
      <c r="L6245">
        <v>2</v>
      </c>
      <c r="M6245">
        <v>2</v>
      </c>
      <c r="O6245" s="31"/>
    </row>
    <row r="6246" spans="10:15" x14ac:dyDescent="0.25">
      <c r="J6246" t="s">
        <v>276</v>
      </c>
      <c r="K6246" s="22" t="s">
        <v>28</v>
      </c>
      <c r="L6246">
        <v>2</v>
      </c>
      <c r="O6246" s="30"/>
    </row>
    <row r="6247" spans="10:15" x14ac:dyDescent="0.25">
      <c r="J6247" t="s">
        <v>276</v>
      </c>
      <c r="K6247" s="22" t="s">
        <v>31</v>
      </c>
      <c r="L6247">
        <v>3</v>
      </c>
      <c r="M6247">
        <v>2</v>
      </c>
      <c r="O6247" s="31"/>
    </row>
    <row r="6248" spans="10:15" x14ac:dyDescent="0.25">
      <c r="J6248" t="s">
        <v>3160</v>
      </c>
      <c r="K6248" s="22" t="s">
        <v>22</v>
      </c>
      <c r="L6248">
        <v>1</v>
      </c>
      <c r="O6248" s="30"/>
    </row>
    <row r="6249" spans="10:15" x14ac:dyDescent="0.25">
      <c r="J6249" t="s">
        <v>1633</v>
      </c>
      <c r="K6249" s="22" t="s">
        <v>22</v>
      </c>
      <c r="L6249">
        <v>2</v>
      </c>
      <c r="M6249">
        <v>2</v>
      </c>
    </row>
    <row r="6250" spans="10:15" x14ac:dyDescent="0.25">
      <c r="J6250" t="s">
        <v>1460</v>
      </c>
      <c r="K6250" s="22" t="s">
        <v>29</v>
      </c>
      <c r="L6250">
        <v>3</v>
      </c>
      <c r="M6250">
        <v>3</v>
      </c>
      <c r="O6250" s="31"/>
    </row>
    <row r="6251" spans="10:15" x14ac:dyDescent="0.25">
      <c r="J6251" t="s">
        <v>1460</v>
      </c>
      <c r="K6251" s="22" t="s">
        <v>28</v>
      </c>
      <c r="L6251">
        <v>2</v>
      </c>
      <c r="O6251" s="30"/>
    </row>
    <row r="6252" spans="10:15" x14ac:dyDescent="0.25">
      <c r="J6252" t="s">
        <v>2067</v>
      </c>
      <c r="K6252" s="22" t="s">
        <v>22</v>
      </c>
      <c r="L6252">
        <v>1</v>
      </c>
    </row>
    <row r="6253" spans="10:15" x14ac:dyDescent="0.25">
      <c r="J6253" t="s">
        <v>2067</v>
      </c>
      <c r="K6253" s="22" t="s">
        <v>31</v>
      </c>
      <c r="L6253">
        <v>1</v>
      </c>
      <c r="O6253" s="30"/>
    </row>
    <row r="6254" spans="10:15" x14ac:dyDescent="0.25">
      <c r="J6254" t="s">
        <v>3457</v>
      </c>
      <c r="K6254" s="22" t="s">
        <v>29</v>
      </c>
      <c r="L6254">
        <v>1</v>
      </c>
      <c r="M6254">
        <v>1</v>
      </c>
      <c r="O6254" s="31"/>
    </row>
    <row r="6255" spans="10:15" x14ac:dyDescent="0.25">
      <c r="J6255" t="s">
        <v>3460</v>
      </c>
      <c r="K6255" s="22" t="s">
        <v>29</v>
      </c>
      <c r="L6255">
        <v>1</v>
      </c>
      <c r="M6255">
        <v>1</v>
      </c>
      <c r="O6255" s="31"/>
    </row>
    <row r="6256" spans="10:15" x14ac:dyDescent="0.25">
      <c r="J6256" t="s">
        <v>3296</v>
      </c>
      <c r="K6256" s="22" t="s">
        <v>29</v>
      </c>
      <c r="L6256">
        <v>1</v>
      </c>
      <c r="O6256" s="30"/>
    </row>
    <row r="6257" spans="10:15" x14ac:dyDescent="0.25">
      <c r="J6257" t="s">
        <v>2511</v>
      </c>
      <c r="K6257" s="22" t="s">
        <v>31</v>
      </c>
      <c r="L6257">
        <v>1</v>
      </c>
      <c r="M6257">
        <v>1</v>
      </c>
    </row>
    <row r="6258" spans="10:15" x14ac:dyDescent="0.25">
      <c r="J6258" t="s">
        <v>2050</v>
      </c>
      <c r="K6258" s="22" t="s">
        <v>29</v>
      </c>
      <c r="L6258">
        <v>2</v>
      </c>
      <c r="M6258">
        <v>2</v>
      </c>
      <c r="O6258" s="31"/>
    </row>
    <row r="6259" spans="10:15" x14ac:dyDescent="0.25">
      <c r="J6259" t="s">
        <v>278</v>
      </c>
      <c r="K6259" s="22" t="s">
        <v>35</v>
      </c>
      <c r="L6259">
        <v>3</v>
      </c>
      <c r="M6259">
        <v>3</v>
      </c>
      <c r="O6259" s="31"/>
    </row>
    <row r="6260" spans="10:15" x14ac:dyDescent="0.25">
      <c r="J6260" t="s">
        <v>1135</v>
      </c>
      <c r="K6260" s="22" t="s">
        <v>29</v>
      </c>
      <c r="L6260">
        <v>3</v>
      </c>
      <c r="M6260">
        <v>3</v>
      </c>
      <c r="O6260" s="31"/>
    </row>
    <row r="6261" spans="10:15" x14ac:dyDescent="0.25">
      <c r="J6261" t="s">
        <v>1004</v>
      </c>
      <c r="K6261" s="22" t="s">
        <v>28</v>
      </c>
      <c r="L6261">
        <v>2</v>
      </c>
      <c r="O6261" s="30"/>
    </row>
    <row r="6262" spans="10:15" x14ac:dyDescent="0.25">
      <c r="J6262" t="s">
        <v>1004</v>
      </c>
      <c r="K6262" s="22" t="s">
        <v>22</v>
      </c>
      <c r="L6262">
        <v>4</v>
      </c>
      <c r="M6262">
        <v>4</v>
      </c>
      <c r="O6262" s="31"/>
    </row>
    <row r="6263" spans="10:15" x14ac:dyDescent="0.25">
      <c r="J6263" t="s">
        <v>1004</v>
      </c>
      <c r="K6263" s="22" t="s">
        <v>31</v>
      </c>
      <c r="L6263">
        <v>3</v>
      </c>
      <c r="M6263">
        <v>1</v>
      </c>
      <c r="O6263" s="30"/>
    </row>
    <row r="6264" spans="10:15" x14ac:dyDescent="0.25">
      <c r="J6264" t="s">
        <v>2188</v>
      </c>
      <c r="K6264" s="22" t="s">
        <v>22</v>
      </c>
      <c r="L6264">
        <v>2</v>
      </c>
      <c r="M6264">
        <v>2</v>
      </c>
      <c r="O6264" s="31"/>
    </row>
    <row r="6265" spans="10:15" x14ac:dyDescent="0.25">
      <c r="J6265" t="s">
        <v>1489</v>
      </c>
      <c r="K6265" s="22" t="s">
        <v>28</v>
      </c>
      <c r="L6265">
        <v>1</v>
      </c>
    </row>
    <row r="6266" spans="10:15" x14ac:dyDescent="0.25">
      <c r="J6266" t="s">
        <v>2378</v>
      </c>
      <c r="K6266" s="22" t="s">
        <v>22</v>
      </c>
      <c r="L6266">
        <v>4</v>
      </c>
      <c r="M6266">
        <v>4</v>
      </c>
      <c r="O6266" s="31"/>
    </row>
    <row r="6267" spans="10:15" x14ac:dyDescent="0.25">
      <c r="J6267" t="s">
        <v>1491</v>
      </c>
      <c r="K6267" s="22" t="s">
        <v>22</v>
      </c>
      <c r="L6267">
        <v>4</v>
      </c>
      <c r="M6267">
        <v>4</v>
      </c>
      <c r="O6267" s="31"/>
    </row>
    <row r="6268" spans="10:15" x14ac:dyDescent="0.25">
      <c r="J6268" t="s">
        <v>2020</v>
      </c>
      <c r="K6268" s="22" t="s">
        <v>22</v>
      </c>
      <c r="L6268">
        <v>2</v>
      </c>
      <c r="M6268">
        <v>2</v>
      </c>
    </row>
    <row r="6269" spans="10:15" x14ac:dyDescent="0.25">
      <c r="J6269" t="s">
        <v>1724</v>
      </c>
      <c r="K6269" s="22" t="s">
        <v>22</v>
      </c>
      <c r="L6269">
        <v>4</v>
      </c>
      <c r="M6269">
        <v>4</v>
      </c>
      <c r="O6269" s="31"/>
    </row>
    <row r="6270" spans="10:15" x14ac:dyDescent="0.25">
      <c r="J6270" t="s">
        <v>213</v>
      </c>
      <c r="K6270" s="22" t="s">
        <v>22</v>
      </c>
      <c r="L6270">
        <v>2</v>
      </c>
      <c r="M6270">
        <v>2</v>
      </c>
    </row>
    <row r="6271" spans="10:15" x14ac:dyDescent="0.25">
      <c r="J6271" t="s">
        <v>1552</v>
      </c>
      <c r="K6271" s="22" t="s">
        <v>22</v>
      </c>
      <c r="L6271">
        <v>3</v>
      </c>
      <c r="M6271">
        <v>3</v>
      </c>
      <c r="O6271" s="31"/>
    </row>
    <row r="6272" spans="10:15" x14ac:dyDescent="0.25">
      <c r="J6272" t="s">
        <v>3007</v>
      </c>
      <c r="K6272" s="22" t="s">
        <v>22</v>
      </c>
      <c r="L6272">
        <v>4</v>
      </c>
      <c r="M6272">
        <v>4</v>
      </c>
      <c r="O6272" s="31"/>
    </row>
    <row r="6273" spans="10:15" x14ac:dyDescent="0.25">
      <c r="J6273" t="s">
        <v>1691</v>
      </c>
      <c r="K6273" s="22" t="s">
        <v>35</v>
      </c>
      <c r="L6273">
        <v>4</v>
      </c>
      <c r="M6273">
        <v>4</v>
      </c>
      <c r="O6273" s="31"/>
    </row>
    <row r="6274" spans="10:15" x14ac:dyDescent="0.25">
      <c r="J6274" t="s">
        <v>1191</v>
      </c>
      <c r="K6274" s="22" t="s">
        <v>22</v>
      </c>
      <c r="L6274">
        <v>1</v>
      </c>
      <c r="M6274">
        <v>1</v>
      </c>
    </row>
    <row r="6275" spans="10:15" x14ac:dyDescent="0.25">
      <c r="J6275" t="s">
        <v>1689</v>
      </c>
      <c r="K6275" s="22" t="s">
        <v>31</v>
      </c>
      <c r="L6275">
        <v>4</v>
      </c>
      <c r="M6275">
        <v>4</v>
      </c>
      <c r="O6275" s="31"/>
    </row>
    <row r="6276" spans="10:15" x14ac:dyDescent="0.25">
      <c r="J6276" t="s">
        <v>506</v>
      </c>
      <c r="K6276" s="22" t="s">
        <v>22</v>
      </c>
      <c r="L6276">
        <v>1</v>
      </c>
    </row>
    <row r="6277" spans="10:15" x14ac:dyDescent="0.25">
      <c r="J6277" t="s">
        <v>1824</v>
      </c>
      <c r="K6277" s="22" t="s">
        <v>22</v>
      </c>
      <c r="L6277">
        <v>1</v>
      </c>
    </row>
    <row r="6278" spans="10:15" x14ac:dyDescent="0.25">
      <c r="J6278" t="s">
        <v>1943</v>
      </c>
      <c r="K6278" s="22" t="s">
        <v>22</v>
      </c>
      <c r="L6278">
        <v>3</v>
      </c>
      <c r="M6278">
        <v>3</v>
      </c>
      <c r="O6278" s="31"/>
    </row>
    <row r="6279" spans="10:15" x14ac:dyDescent="0.25">
      <c r="J6279" t="s">
        <v>2895</v>
      </c>
      <c r="K6279" s="22" t="s">
        <v>31</v>
      </c>
      <c r="L6279">
        <v>2</v>
      </c>
      <c r="M6279">
        <v>2</v>
      </c>
      <c r="O6279" s="31"/>
    </row>
    <row r="6280" spans="10:15" x14ac:dyDescent="0.25">
      <c r="J6280" t="s">
        <v>34</v>
      </c>
      <c r="K6280" s="22" t="s">
        <v>20</v>
      </c>
      <c r="L6280">
        <v>3</v>
      </c>
      <c r="M6280">
        <v>2</v>
      </c>
    </row>
    <row r="6281" spans="10:15" x14ac:dyDescent="0.25">
      <c r="J6281" t="s">
        <v>34</v>
      </c>
      <c r="K6281" s="22" t="s">
        <v>29</v>
      </c>
      <c r="L6281">
        <v>2</v>
      </c>
      <c r="O6281" s="30"/>
    </row>
    <row r="6282" spans="10:15" x14ac:dyDescent="0.25">
      <c r="J6282" t="s">
        <v>34</v>
      </c>
      <c r="K6282" s="22" t="s">
        <v>28</v>
      </c>
      <c r="L6282">
        <v>2</v>
      </c>
      <c r="M6282">
        <v>1</v>
      </c>
      <c r="O6282" s="30"/>
    </row>
    <row r="6283" spans="10:15" x14ac:dyDescent="0.25">
      <c r="J6283" t="s">
        <v>34</v>
      </c>
      <c r="K6283" s="22" t="s">
        <v>35</v>
      </c>
      <c r="L6283">
        <v>3</v>
      </c>
      <c r="M6283">
        <v>2</v>
      </c>
      <c r="O6283" s="30"/>
    </row>
    <row r="6284" spans="10:15" x14ac:dyDescent="0.25">
      <c r="J6284" t="s">
        <v>34</v>
      </c>
      <c r="K6284" s="22" t="s">
        <v>22</v>
      </c>
      <c r="L6284">
        <v>3</v>
      </c>
      <c r="M6284">
        <v>2</v>
      </c>
      <c r="O6284" s="31"/>
    </row>
    <row r="6285" spans="10:15" x14ac:dyDescent="0.25">
      <c r="J6285" t="s">
        <v>37</v>
      </c>
      <c r="K6285" s="22" t="s">
        <v>20</v>
      </c>
      <c r="L6285">
        <v>6</v>
      </c>
      <c r="M6285">
        <v>2</v>
      </c>
      <c r="O6285" s="30"/>
    </row>
    <row r="6286" spans="10:15" x14ac:dyDescent="0.25">
      <c r="J6286" t="s">
        <v>37</v>
      </c>
      <c r="K6286" s="22" t="s">
        <v>30</v>
      </c>
      <c r="L6286">
        <v>1</v>
      </c>
    </row>
    <row r="6287" spans="10:15" x14ac:dyDescent="0.25">
      <c r="J6287" t="s">
        <v>37</v>
      </c>
      <c r="K6287" s="22" t="s">
        <v>29</v>
      </c>
      <c r="L6287">
        <v>4</v>
      </c>
      <c r="M6287">
        <v>1</v>
      </c>
      <c r="O6287" s="30"/>
    </row>
    <row r="6288" spans="10:15" x14ac:dyDescent="0.25">
      <c r="J6288" t="s">
        <v>37</v>
      </c>
      <c r="K6288" s="22" t="s">
        <v>28</v>
      </c>
      <c r="L6288">
        <v>2</v>
      </c>
      <c r="O6288" s="30"/>
    </row>
    <row r="6289" spans="10:15" x14ac:dyDescent="0.25">
      <c r="J6289" t="s">
        <v>37</v>
      </c>
      <c r="K6289" s="22" t="s">
        <v>35</v>
      </c>
      <c r="L6289">
        <v>6</v>
      </c>
      <c r="M6289">
        <v>3</v>
      </c>
      <c r="O6289" s="31"/>
    </row>
    <row r="6290" spans="10:15" x14ac:dyDescent="0.25">
      <c r="J6290" t="s">
        <v>37</v>
      </c>
      <c r="K6290" s="22" t="s">
        <v>31</v>
      </c>
      <c r="L6290">
        <v>3</v>
      </c>
      <c r="M6290">
        <v>1</v>
      </c>
    </row>
    <row r="6291" spans="10:15" x14ac:dyDescent="0.25">
      <c r="J6291" t="s">
        <v>2113</v>
      </c>
      <c r="K6291" s="22" t="s">
        <v>28</v>
      </c>
      <c r="L6291">
        <v>3</v>
      </c>
      <c r="M6291">
        <v>2</v>
      </c>
      <c r="O6291" s="30"/>
    </row>
    <row r="6292" spans="10:15" x14ac:dyDescent="0.25">
      <c r="J6292" t="s">
        <v>2113</v>
      </c>
      <c r="K6292" s="22" t="s">
        <v>35</v>
      </c>
      <c r="L6292">
        <v>1</v>
      </c>
      <c r="M6292">
        <v>1</v>
      </c>
      <c r="O6292" s="31"/>
    </row>
    <row r="6293" spans="10:15" x14ac:dyDescent="0.25">
      <c r="J6293" t="s">
        <v>589</v>
      </c>
      <c r="K6293" s="22" t="s">
        <v>20</v>
      </c>
      <c r="L6293">
        <v>7</v>
      </c>
      <c r="M6293">
        <v>4</v>
      </c>
      <c r="O6293" s="31"/>
    </row>
    <row r="6294" spans="10:15" x14ac:dyDescent="0.25">
      <c r="J6294" t="s">
        <v>589</v>
      </c>
      <c r="K6294" s="22" t="s">
        <v>30</v>
      </c>
      <c r="L6294">
        <v>7</v>
      </c>
      <c r="M6294">
        <v>2</v>
      </c>
      <c r="O6294" s="30"/>
    </row>
    <row r="6295" spans="10:15" x14ac:dyDescent="0.25">
      <c r="J6295" t="s">
        <v>589</v>
      </c>
      <c r="K6295" s="22" t="s">
        <v>29</v>
      </c>
      <c r="L6295">
        <v>3</v>
      </c>
      <c r="M6295">
        <v>2</v>
      </c>
      <c r="O6295" s="30"/>
    </row>
    <row r="6296" spans="10:15" x14ac:dyDescent="0.25">
      <c r="J6296" t="s">
        <v>589</v>
      </c>
      <c r="K6296" s="22" t="s">
        <v>28</v>
      </c>
      <c r="L6296">
        <v>5</v>
      </c>
      <c r="O6296" s="30"/>
    </row>
    <row r="6297" spans="10:15" x14ac:dyDescent="0.25">
      <c r="J6297" t="s">
        <v>589</v>
      </c>
      <c r="K6297" s="22" t="s">
        <v>22</v>
      </c>
      <c r="L6297">
        <v>4</v>
      </c>
      <c r="M6297">
        <v>1</v>
      </c>
      <c r="O6297" s="30"/>
    </row>
    <row r="6298" spans="10:15" x14ac:dyDescent="0.25">
      <c r="J6298" t="s">
        <v>589</v>
      </c>
      <c r="K6298" s="22" t="s">
        <v>31</v>
      </c>
      <c r="L6298">
        <v>3</v>
      </c>
      <c r="M6298">
        <v>2</v>
      </c>
    </row>
    <row r="6299" spans="10:15" x14ac:dyDescent="0.25">
      <c r="J6299" t="s">
        <v>1978</v>
      </c>
      <c r="K6299" s="22" t="s">
        <v>20</v>
      </c>
      <c r="L6299">
        <v>3</v>
      </c>
      <c r="M6299">
        <v>2</v>
      </c>
    </row>
    <row r="6300" spans="10:15" x14ac:dyDescent="0.25">
      <c r="J6300" t="s">
        <v>1978</v>
      </c>
      <c r="K6300" s="22" t="s">
        <v>30</v>
      </c>
      <c r="L6300">
        <v>1</v>
      </c>
    </row>
    <row r="6301" spans="10:15" x14ac:dyDescent="0.25">
      <c r="J6301" t="s">
        <v>1978</v>
      </c>
      <c r="K6301" s="22" t="s">
        <v>29</v>
      </c>
      <c r="L6301">
        <v>1</v>
      </c>
      <c r="O6301" s="30"/>
    </row>
    <row r="6302" spans="10:15" x14ac:dyDescent="0.25">
      <c r="J6302" t="s">
        <v>1978</v>
      </c>
      <c r="K6302" s="22" t="s">
        <v>28</v>
      </c>
      <c r="L6302">
        <v>1</v>
      </c>
    </row>
    <row r="6303" spans="10:15" x14ac:dyDescent="0.25">
      <c r="J6303" t="s">
        <v>1978</v>
      </c>
      <c r="K6303" s="22" t="s">
        <v>22</v>
      </c>
      <c r="L6303">
        <v>5</v>
      </c>
      <c r="M6303">
        <v>5</v>
      </c>
      <c r="O6303" s="31"/>
    </row>
    <row r="6304" spans="10:15" x14ac:dyDescent="0.25">
      <c r="J6304" t="s">
        <v>1034</v>
      </c>
      <c r="K6304" s="22" t="s">
        <v>20</v>
      </c>
      <c r="L6304">
        <v>1</v>
      </c>
      <c r="M6304">
        <v>1</v>
      </c>
      <c r="O6304" s="31"/>
    </row>
    <row r="6305" spans="10:15" x14ac:dyDescent="0.25">
      <c r="J6305" t="s">
        <v>1034</v>
      </c>
      <c r="K6305" s="22" t="s">
        <v>30</v>
      </c>
      <c r="L6305">
        <v>2</v>
      </c>
      <c r="M6305">
        <v>1</v>
      </c>
    </row>
    <row r="6306" spans="10:15" x14ac:dyDescent="0.25">
      <c r="J6306" t="s">
        <v>1034</v>
      </c>
      <c r="K6306" s="22" t="s">
        <v>28</v>
      </c>
      <c r="L6306">
        <v>2</v>
      </c>
      <c r="M6306">
        <v>1</v>
      </c>
      <c r="O6306" s="30"/>
    </row>
    <row r="6307" spans="10:15" x14ac:dyDescent="0.25">
      <c r="J6307" t="s">
        <v>2977</v>
      </c>
      <c r="K6307" s="22" t="s">
        <v>20</v>
      </c>
      <c r="L6307">
        <v>2</v>
      </c>
      <c r="O6307" s="30"/>
    </row>
    <row r="6308" spans="10:15" x14ac:dyDescent="0.25">
      <c r="J6308" t="s">
        <v>2977</v>
      </c>
      <c r="K6308" s="22" t="s">
        <v>28</v>
      </c>
      <c r="L6308">
        <v>1</v>
      </c>
    </row>
    <row r="6309" spans="10:15" x14ac:dyDescent="0.25">
      <c r="J6309" t="s">
        <v>354</v>
      </c>
      <c r="K6309" s="22" t="s">
        <v>20</v>
      </c>
      <c r="L6309">
        <v>2</v>
      </c>
    </row>
    <row r="6310" spans="10:15" x14ac:dyDescent="0.25">
      <c r="J6310" t="s">
        <v>354</v>
      </c>
      <c r="K6310" s="22" t="s">
        <v>30</v>
      </c>
      <c r="L6310">
        <v>4</v>
      </c>
      <c r="O6310" s="30"/>
    </row>
    <row r="6311" spans="10:15" x14ac:dyDescent="0.25">
      <c r="J6311" t="s">
        <v>354</v>
      </c>
      <c r="K6311" s="22" t="s">
        <v>29</v>
      </c>
      <c r="L6311">
        <v>6</v>
      </c>
      <c r="O6311" s="30"/>
    </row>
    <row r="6312" spans="10:15" x14ac:dyDescent="0.25">
      <c r="J6312" t="s">
        <v>354</v>
      </c>
      <c r="K6312" s="22" t="s">
        <v>28</v>
      </c>
      <c r="L6312">
        <v>3</v>
      </c>
      <c r="O6312" s="30"/>
    </row>
    <row r="6313" spans="10:15" x14ac:dyDescent="0.25">
      <c r="J6313" t="s">
        <v>3467</v>
      </c>
      <c r="K6313" s="22" t="s">
        <v>30</v>
      </c>
      <c r="L6313">
        <v>1</v>
      </c>
      <c r="O6313" s="30"/>
    </row>
    <row r="6314" spans="10:15" x14ac:dyDescent="0.25">
      <c r="J6314" t="s">
        <v>2766</v>
      </c>
      <c r="K6314" s="22" t="s">
        <v>20</v>
      </c>
      <c r="L6314">
        <v>1</v>
      </c>
      <c r="M6314">
        <v>1</v>
      </c>
      <c r="O6314" s="31"/>
    </row>
    <row r="6315" spans="10:15" x14ac:dyDescent="0.25">
      <c r="J6315" t="s">
        <v>2766</v>
      </c>
      <c r="K6315" s="22" t="s">
        <v>35</v>
      </c>
      <c r="L6315">
        <v>2</v>
      </c>
      <c r="O6315" s="30"/>
    </row>
    <row r="6316" spans="10:15" x14ac:dyDescent="0.25">
      <c r="J6316" t="s">
        <v>1829</v>
      </c>
      <c r="K6316" s="22" t="s">
        <v>20</v>
      </c>
      <c r="L6316">
        <v>1</v>
      </c>
      <c r="O6316" s="30"/>
    </row>
    <row r="6317" spans="10:15" x14ac:dyDescent="0.25">
      <c r="J6317" t="s">
        <v>1829</v>
      </c>
      <c r="K6317" s="22" t="s">
        <v>30</v>
      </c>
      <c r="L6317">
        <v>1</v>
      </c>
      <c r="O6317" s="30"/>
    </row>
    <row r="6318" spans="10:15" x14ac:dyDescent="0.25">
      <c r="J6318" t="s">
        <v>1829</v>
      </c>
      <c r="K6318" s="22" t="s">
        <v>29</v>
      </c>
      <c r="L6318">
        <v>3</v>
      </c>
      <c r="M6318">
        <v>2</v>
      </c>
      <c r="O6318" s="30"/>
    </row>
    <row r="6319" spans="10:15" x14ac:dyDescent="0.25">
      <c r="J6319" t="s">
        <v>1829</v>
      </c>
      <c r="K6319" s="22" t="s">
        <v>35</v>
      </c>
      <c r="L6319">
        <v>1</v>
      </c>
      <c r="O6319" s="30"/>
    </row>
    <row r="6320" spans="10:15" x14ac:dyDescent="0.25">
      <c r="J6320" t="s">
        <v>882</v>
      </c>
      <c r="K6320" s="22" t="s">
        <v>20</v>
      </c>
      <c r="L6320">
        <v>4</v>
      </c>
      <c r="O6320" s="30"/>
    </row>
    <row r="6321" spans="10:15" x14ac:dyDescent="0.25">
      <c r="J6321" t="s">
        <v>882</v>
      </c>
      <c r="K6321" s="22" t="s">
        <v>30</v>
      </c>
      <c r="L6321">
        <v>1</v>
      </c>
    </row>
    <row r="6322" spans="10:15" x14ac:dyDescent="0.25">
      <c r="J6322" t="s">
        <v>882</v>
      </c>
      <c r="K6322" s="22" t="s">
        <v>29</v>
      </c>
      <c r="L6322">
        <v>1</v>
      </c>
    </row>
    <row r="6323" spans="10:15" x14ac:dyDescent="0.25">
      <c r="J6323" t="s">
        <v>882</v>
      </c>
      <c r="K6323" s="22" t="s">
        <v>35</v>
      </c>
      <c r="L6323">
        <v>2</v>
      </c>
    </row>
    <row r="6324" spans="10:15" x14ac:dyDescent="0.25">
      <c r="J6324" t="s">
        <v>568</v>
      </c>
      <c r="K6324" s="22" t="s">
        <v>29</v>
      </c>
      <c r="L6324">
        <v>1</v>
      </c>
    </row>
    <row r="6325" spans="10:15" x14ac:dyDescent="0.25">
      <c r="J6325" t="s">
        <v>568</v>
      </c>
      <c r="K6325" s="22" t="s">
        <v>31</v>
      </c>
      <c r="L6325">
        <v>1</v>
      </c>
      <c r="O6325" s="30"/>
    </row>
    <row r="6326" spans="10:15" x14ac:dyDescent="0.25">
      <c r="J6326" t="s">
        <v>3380</v>
      </c>
      <c r="K6326" s="22" t="s">
        <v>20</v>
      </c>
      <c r="L6326">
        <v>2</v>
      </c>
      <c r="M6326">
        <v>2</v>
      </c>
      <c r="O6326" s="31"/>
    </row>
    <row r="6327" spans="10:15" x14ac:dyDescent="0.25">
      <c r="J6327" t="s">
        <v>1762</v>
      </c>
      <c r="K6327" s="22" t="s">
        <v>20</v>
      </c>
      <c r="L6327">
        <v>1</v>
      </c>
      <c r="M6327">
        <v>1</v>
      </c>
      <c r="O6327" s="31"/>
    </row>
    <row r="6328" spans="10:15" x14ac:dyDescent="0.25">
      <c r="J6328" t="s">
        <v>1762</v>
      </c>
      <c r="K6328" s="22" t="s">
        <v>29</v>
      </c>
      <c r="L6328">
        <v>1</v>
      </c>
    </row>
    <row r="6329" spans="10:15" x14ac:dyDescent="0.25">
      <c r="J6329" t="s">
        <v>727</v>
      </c>
      <c r="K6329" s="22" t="s">
        <v>20</v>
      </c>
      <c r="L6329">
        <v>3</v>
      </c>
      <c r="M6329">
        <v>2</v>
      </c>
      <c r="O6329" s="30"/>
    </row>
    <row r="6330" spans="10:15" x14ac:dyDescent="0.25">
      <c r="J6330" t="s">
        <v>727</v>
      </c>
      <c r="K6330" s="22" t="s">
        <v>35</v>
      </c>
      <c r="L6330">
        <v>2</v>
      </c>
      <c r="M6330">
        <v>2</v>
      </c>
      <c r="O6330" s="31"/>
    </row>
    <row r="6331" spans="10:15" x14ac:dyDescent="0.25">
      <c r="J6331" t="s">
        <v>2491</v>
      </c>
      <c r="K6331" s="22" t="s">
        <v>30</v>
      </c>
      <c r="L6331">
        <v>1</v>
      </c>
    </row>
    <row r="6332" spans="10:15" x14ac:dyDescent="0.25">
      <c r="J6332" t="s">
        <v>2491</v>
      </c>
      <c r="K6332" s="22" t="s">
        <v>29</v>
      </c>
      <c r="L6332">
        <v>1</v>
      </c>
      <c r="O6332" s="30"/>
    </row>
    <row r="6333" spans="10:15" x14ac:dyDescent="0.25">
      <c r="J6333" t="s">
        <v>1170</v>
      </c>
      <c r="K6333" s="22" t="s">
        <v>30</v>
      </c>
      <c r="L6333">
        <v>2</v>
      </c>
      <c r="O6333" s="30"/>
    </row>
    <row r="6334" spans="10:15" x14ac:dyDescent="0.25">
      <c r="J6334" t="s">
        <v>1170</v>
      </c>
      <c r="K6334" s="22" t="s">
        <v>31</v>
      </c>
      <c r="L6334">
        <v>1</v>
      </c>
      <c r="M6334">
        <v>1</v>
      </c>
      <c r="O6334" s="31"/>
    </row>
    <row r="6335" spans="10:15" x14ac:dyDescent="0.25">
      <c r="J6335" t="s">
        <v>220</v>
      </c>
      <c r="K6335" s="22" t="s">
        <v>20</v>
      </c>
      <c r="L6335">
        <v>10</v>
      </c>
      <c r="M6335">
        <v>8</v>
      </c>
      <c r="O6335" s="30"/>
    </row>
    <row r="6336" spans="10:15" x14ac:dyDescent="0.25">
      <c r="J6336" t="s">
        <v>220</v>
      </c>
      <c r="K6336" s="22" t="s">
        <v>28</v>
      </c>
      <c r="L6336">
        <v>2</v>
      </c>
      <c r="M6336">
        <v>1</v>
      </c>
      <c r="O6336" s="30"/>
    </row>
    <row r="6337" spans="10:15" x14ac:dyDescent="0.25">
      <c r="J6337" t="s">
        <v>220</v>
      </c>
      <c r="K6337" s="22" t="s">
        <v>22</v>
      </c>
      <c r="L6337">
        <v>1</v>
      </c>
      <c r="O6337" s="30"/>
    </row>
    <row r="6338" spans="10:15" x14ac:dyDescent="0.25">
      <c r="J6338" t="s">
        <v>220</v>
      </c>
      <c r="K6338" s="22" t="s">
        <v>31</v>
      </c>
      <c r="L6338">
        <v>1</v>
      </c>
    </row>
    <row r="6339" spans="10:15" x14ac:dyDescent="0.25">
      <c r="J6339" t="s">
        <v>1031</v>
      </c>
      <c r="K6339" s="22" t="s">
        <v>35</v>
      </c>
      <c r="L6339">
        <v>3</v>
      </c>
      <c r="M6339">
        <v>2</v>
      </c>
    </row>
    <row r="6340" spans="10:15" x14ac:dyDescent="0.25">
      <c r="J6340" t="s">
        <v>1527</v>
      </c>
      <c r="K6340" s="22" t="s">
        <v>28</v>
      </c>
      <c r="L6340">
        <v>2</v>
      </c>
      <c r="M6340">
        <v>1</v>
      </c>
      <c r="O6340" s="30"/>
    </row>
    <row r="6341" spans="10:15" x14ac:dyDescent="0.25">
      <c r="J6341" t="s">
        <v>1527</v>
      </c>
      <c r="K6341" s="22" t="s">
        <v>35</v>
      </c>
      <c r="L6341">
        <v>4</v>
      </c>
      <c r="O6341" s="30"/>
    </row>
    <row r="6342" spans="10:15" x14ac:dyDescent="0.25">
      <c r="J6342" t="s">
        <v>1312</v>
      </c>
      <c r="K6342" s="22" t="s">
        <v>30</v>
      </c>
      <c r="L6342">
        <v>2</v>
      </c>
      <c r="O6342" s="30"/>
    </row>
    <row r="6343" spans="10:15" x14ac:dyDescent="0.25">
      <c r="J6343" t="s">
        <v>1312</v>
      </c>
      <c r="K6343" s="22" t="s">
        <v>35</v>
      </c>
      <c r="L6343">
        <v>1</v>
      </c>
      <c r="M6343">
        <v>1</v>
      </c>
    </row>
    <row r="6344" spans="10:15" x14ac:dyDescent="0.25">
      <c r="J6344" t="s">
        <v>1511</v>
      </c>
      <c r="K6344" s="22" t="s">
        <v>20</v>
      </c>
      <c r="L6344">
        <v>1</v>
      </c>
      <c r="M6344">
        <v>1</v>
      </c>
    </row>
    <row r="6345" spans="10:15" x14ac:dyDescent="0.25">
      <c r="J6345" t="s">
        <v>1511</v>
      </c>
      <c r="K6345" s="22" t="s">
        <v>28</v>
      </c>
      <c r="L6345">
        <v>1</v>
      </c>
    </row>
    <row r="6346" spans="10:15" x14ac:dyDescent="0.25">
      <c r="J6346" t="s">
        <v>1511</v>
      </c>
      <c r="K6346" s="22" t="s">
        <v>35</v>
      </c>
      <c r="L6346">
        <v>1</v>
      </c>
    </row>
    <row r="6347" spans="10:15" x14ac:dyDescent="0.25">
      <c r="J6347" t="s">
        <v>1652</v>
      </c>
      <c r="K6347" s="22" t="s">
        <v>20</v>
      </c>
      <c r="L6347">
        <v>7</v>
      </c>
      <c r="M6347">
        <v>7</v>
      </c>
      <c r="O6347" s="31"/>
    </row>
    <row r="6348" spans="10:15" x14ac:dyDescent="0.25">
      <c r="J6348" t="s">
        <v>1369</v>
      </c>
      <c r="K6348" s="22" t="s">
        <v>20</v>
      </c>
      <c r="L6348">
        <v>2</v>
      </c>
      <c r="M6348">
        <v>2</v>
      </c>
    </row>
    <row r="6349" spans="10:15" x14ac:dyDescent="0.25">
      <c r="J6349" t="s">
        <v>1369</v>
      </c>
      <c r="K6349" s="22" t="s">
        <v>30</v>
      </c>
      <c r="L6349">
        <v>1</v>
      </c>
    </row>
    <row r="6350" spans="10:15" x14ac:dyDescent="0.25">
      <c r="J6350" t="s">
        <v>775</v>
      </c>
      <c r="K6350" s="22" t="s">
        <v>20</v>
      </c>
      <c r="L6350">
        <v>3</v>
      </c>
      <c r="M6350">
        <v>3</v>
      </c>
    </row>
    <row r="6351" spans="10:15" x14ac:dyDescent="0.25">
      <c r="J6351" t="s">
        <v>1048</v>
      </c>
      <c r="K6351" s="22" t="s">
        <v>20</v>
      </c>
      <c r="L6351">
        <v>1</v>
      </c>
      <c r="M6351">
        <v>1</v>
      </c>
    </row>
    <row r="6352" spans="10:15" x14ac:dyDescent="0.25">
      <c r="J6352" t="s">
        <v>3387</v>
      </c>
      <c r="K6352" s="22" t="s">
        <v>20</v>
      </c>
      <c r="L6352">
        <v>1</v>
      </c>
      <c r="M6352">
        <v>1</v>
      </c>
      <c r="O6352" s="31"/>
    </row>
    <row r="6353" spans="10:15" x14ac:dyDescent="0.25">
      <c r="J6353" t="s">
        <v>544</v>
      </c>
      <c r="K6353" s="22" t="s">
        <v>30</v>
      </c>
      <c r="L6353">
        <v>2</v>
      </c>
      <c r="O6353" s="30"/>
    </row>
    <row r="6354" spans="10:15" x14ac:dyDescent="0.25">
      <c r="J6354" t="s">
        <v>544</v>
      </c>
      <c r="K6354" s="22" t="s">
        <v>28</v>
      </c>
      <c r="L6354">
        <v>3</v>
      </c>
      <c r="M6354">
        <v>1</v>
      </c>
      <c r="O6354" s="30"/>
    </row>
    <row r="6355" spans="10:15" x14ac:dyDescent="0.25">
      <c r="J6355" t="s">
        <v>2192</v>
      </c>
      <c r="K6355" s="22" t="s">
        <v>30</v>
      </c>
      <c r="L6355">
        <v>1</v>
      </c>
    </row>
    <row r="6356" spans="10:15" x14ac:dyDescent="0.25">
      <c r="J6356" t="s">
        <v>1776</v>
      </c>
      <c r="K6356" s="22" t="s">
        <v>30</v>
      </c>
      <c r="L6356">
        <v>3</v>
      </c>
      <c r="M6356">
        <v>3</v>
      </c>
      <c r="O6356" s="31"/>
    </row>
    <row r="6357" spans="10:15" x14ac:dyDescent="0.25">
      <c r="J6357" t="s">
        <v>2752</v>
      </c>
      <c r="K6357" s="22" t="s">
        <v>20</v>
      </c>
      <c r="L6357">
        <v>3</v>
      </c>
      <c r="M6357">
        <v>3</v>
      </c>
      <c r="O6357" s="31"/>
    </row>
    <row r="6358" spans="10:15" x14ac:dyDescent="0.25">
      <c r="J6358" t="s">
        <v>2752</v>
      </c>
      <c r="K6358" s="22" t="s">
        <v>35</v>
      </c>
      <c r="L6358">
        <v>3</v>
      </c>
      <c r="M6358">
        <v>1</v>
      </c>
      <c r="O6358" s="30"/>
    </row>
    <row r="6359" spans="10:15" x14ac:dyDescent="0.25">
      <c r="J6359" t="s">
        <v>1831</v>
      </c>
      <c r="K6359" s="22" t="s">
        <v>30</v>
      </c>
      <c r="L6359">
        <v>1</v>
      </c>
      <c r="M6359">
        <v>1</v>
      </c>
    </row>
    <row r="6360" spans="10:15" x14ac:dyDescent="0.25">
      <c r="J6360" t="s">
        <v>2419</v>
      </c>
      <c r="K6360" s="22" t="s">
        <v>35</v>
      </c>
      <c r="L6360">
        <v>1</v>
      </c>
    </row>
    <row r="6361" spans="10:15" x14ac:dyDescent="0.25">
      <c r="J6361" t="s">
        <v>2419</v>
      </c>
      <c r="K6361" s="22" t="s">
        <v>31</v>
      </c>
      <c r="L6361">
        <v>1</v>
      </c>
    </row>
    <row r="6362" spans="10:15" x14ac:dyDescent="0.25">
      <c r="J6362" t="s">
        <v>2721</v>
      </c>
      <c r="K6362" s="22" t="s">
        <v>20</v>
      </c>
      <c r="L6362">
        <v>3</v>
      </c>
      <c r="M6362">
        <v>3</v>
      </c>
      <c r="O6362" s="31"/>
    </row>
    <row r="6363" spans="10:15" x14ac:dyDescent="0.25">
      <c r="J6363" t="s">
        <v>2072</v>
      </c>
      <c r="K6363" s="22" t="s">
        <v>20</v>
      </c>
      <c r="L6363">
        <v>4</v>
      </c>
      <c r="M6363">
        <v>4</v>
      </c>
      <c r="O6363" s="31"/>
    </row>
    <row r="6364" spans="10:15" x14ac:dyDescent="0.25">
      <c r="J6364" t="s">
        <v>2376</v>
      </c>
      <c r="K6364" s="22" t="s">
        <v>30</v>
      </c>
      <c r="L6364">
        <v>2</v>
      </c>
      <c r="M6364">
        <v>2</v>
      </c>
      <c r="O6364" s="31"/>
    </row>
    <row r="6365" spans="10:15" x14ac:dyDescent="0.25">
      <c r="J6365" t="s">
        <v>3410</v>
      </c>
      <c r="K6365" s="22" t="s">
        <v>20</v>
      </c>
      <c r="L6365">
        <v>1</v>
      </c>
      <c r="M6365">
        <v>1</v>
      </c>
      <c r="O6365" s="31"/>
    </row>
    <row r="6366" spans="10:15" x14ac:dyDescent="0.25">
      <c r="J6366" t="s">
        <v>1481</v>
      </c>
      <c r="K6366" s="22" t="s">
        <v>20</v>
      </c>
      <c r="L6366">
        <v>2</v>
      </c>
    </row>
    <row r="6367" spans="10:15" x14ac:dyDescent="0.25">
      <c r="J6367" t="s">
        <v>1481</v>
      </c>
      <c r="K6367" s="22" t="s">
        <v>30</v>
      </c>
      <c r="L6367">
        <v>2</v>
      </c>
      <c r="M6367">
        <v>2</v>
      </c>
      <c r="O6367" s="31"/>
    </row>
    <row r="6368" spans="10:15" x14ac:dyDescent="0.25">
      <c r="J6368" t="s">
        <v>2436</v>
      </c>
      <c r="K6368" s="22" t="s">
        <v>30</v>
      </c>
      <c r="L6368">
        <v>1</v>
      </c>
    </row>
    <row r="6369" spans="10:15" x14ac:dyDescent="0.25">
      <c r="J6369" t="s">
        <v>2436</v>
      </c>
      <c r="K6369" s="22" t="s">
        <v>35</v>
      </c>
      <c r="L6369">
        <v>1</v>
      </c>
      <c r="M6369">
        <v>1</v>
      </c>
    </row>
    <row r="6370" spans="10:15" x14ac:dyDescent="0.25">
      <c r="J6370" t="s">
        <v>224</v>
      </c>
      <c r="K6370" s="22" t="s">
        <v>20</v>
      </c>
      <c r="L6370">
        <v>2</v>
      </c>
      <c r="M6370">
        <v>2</v>
      </c>
      <c r="O6370" s="31"/>
    </row>
    <row r="6371" spans="10:15" x14ac:dyDescent="0.25">
      <c r="J6371" t="s">
        <v>224</v>
      </c>
      <c r="K6371" s="22" t="s">
        <v>30</v>
      </c>
      <c r="L6371">
        <v>1</v>
      </c>
    </row>
    <row r="6372" spans="10:15" x14ac:dyDescent="0.25">
      <c r="J6372" t="s">
        <v>224</v>
      </c>
      <c r="K6372" s="22" t="s">
        <v>22</v>
      </c>
      <c r="L6372">
        <v>1</v>
      </c>
    </row>
    <row r="6373" spans="10:15" x14ac:dyDescent="0.25">
      <c r="J6373" t="s">
        <v>224</v>
      </c>
      <c r="K6373" s="22" t="s">
        <v>31</v>
      </c>
      <c r="L6373">
        <v>2</v>
      </c>
      <c r="O6373" s="30"/>
    </row>
    <row r="6374" spans="10:15" x14ac:dyDescent="0.25">
      <c r="J6374" t="s">
        <v>1033</v>
      </c>
      <c r="K6374" s="22" t="s">
        <v>20</v>
      </c>
      <c r="L6374">
        <v>5</v>
      </c>
      <c r="M6374">
        <v>5</v>
      </c>
      <c r="O6374" s="31"/>
    </row>
    <row r="6375" spans="10:15" x14ac:dyDescent="0.25">
      <c r="J6375" t="s">
        <v>3437</v>
      </c>
      <c r="K6375" s="22" t="s">
        <v>20</v>
      </c>
      <c r="L6375">
        <v>2</v>
      </c>
      <c r="M6375">
        <v>2</v>
      </c>
      <c r="O6375" s="31"/>
    </row>
    <row r="6376" spans="10:15" x14ac:dyDescent="0.25">
      <c r="J6376" t="s">
        <v>2499</v>
      </c>
      <c r="K6376" s="22" t="s">
        <v>20</v>
      </c>
      <c r="L6376">
        <v>1</v>
      </c>
      <c r="M6376">
        <v>1</v>
      </c>
    </row>
    <row r="6377" spans="10:15" x14ac:dyDescent="0.25">
      <c r="J6377" t="s">
        <v>1524</v>
      </c>
      <c r="K6377" s="22" t="s">
        <v>20</v>
      </c>
      <c r="L6377">
        <v>1</v>
      </c>
    </row>
    <row r="6378" spans="10:15" x14ac:dyDescent="0.25">
      <c r="J6378" t="s">
        <v>1524</v>
      </c>
      <c r="K6378" s="22" t="s">
        <v>30</v>
      </c>
      <c r="L6378">
        <v>3</v>
      </c>
      <c r="O6378" s="30"/>
    </row>
    <row r="6379" spans="10:15" x14ac:dyDescent="0.25">
      <c r="J6379" t="s">
        <v>1330</v>
      </c>
      <c r="K6379" s="22" t="s">
        <v>35</v>
      </c>
      <c r="L6379">
        <v>2</v>
      </c>
      <c r="M6379">
        <v>2</v>
      </c>
      <c r="O6379" s="31"/>
    </row>
    <row r="6380" spans="10:15" x14ac:dyDescent="0.25">
      <c r="J6380" t="s">
        <v>1966</v>
      </c>
      <c r="K6380" s="22" t="s">
        <v>22</v>
      </c>
      <c r="L6380">
        <v>4</v>
      </c>
      <c r="M6380">
        <v>4</v>
      </c>
      <c r="O6380" s="31"/>
    </row>
    <row r="6381" spans="10:15" x14ac:dyDescent="0.25">
      <c r="J6381" t="s">
        <v>1281</v>
      </c>
      <c r="K6381" s="22" t="s">
        <v>20</v>
      </c>
      <c r="L6381">
        <v>1</v>
      </c>
    </row>
    <row r="6382" spans="10:15" x14ac:dyDescent="0.25">
      <c r="J6382" t="s">
        <v>1281</v>
      </c>
      <c r="K6382" s="22" t="s">
        <v>30</v>
      </c>
      <c r="L6382">
        <v>1</v>
      </c>
    </row>
    <row r="6383" spans="10:15" x14ac:dyDescent="0.25">
      <c r="J6383" t="s">
        <v>1281</v>
      </c>
      <c r="K6383" s="22" t="s">
        <v>28</v>
      </c>
      <c r="L6383">
        <v>1</v>
      </c>
    </row>
    <row r="6384" spans="10:15" x14ac:dyDescent="0.25">
      <c r="J6384" t="s">
        <v>1281</v>
      </c>
      <c r="K6384" s="22" t="s">
        <v>31</v>
      </c>
      <c r="L6384">
        <v>3</v>
      </c>
      <c r="M6384">
        <v>3</v>
      </c>
      <c r="O6384" s="31"/>
    </row>
    <row r="6385" spans="10:15" x14ac:dyDescent="0.25">
      <c r="J6385" t="s">
        <v>1655</v>
      </c>
      <c r="K6385" s="22" t="s">
        <v>20</v>
      </c>
      <c r="L6385">
        <v>2</v>
      </c>
      <c r="M6385">
        <v>2</v>
      </c>
      <c r="O6385" s="31"/>
    </row>
    <row r="6386" spans="10:15" x14ac:dyDescent="0.25">
      <c r="J6386" t="s">
        <v>3228</v>
      </c>
      <c r="K6386" s="22" t="s">
        <v>30</v>
      </c>
      <c r="L6386">
        <v>1</v>
      </c>
      <c r="O6386" s="30"/>
    </row>
    <row r="6387" spans="10:15" x14ac:dyDescent="0.25">
      <c r="J6387" t="s">
        <v>3298</v>
      </c>
      <c r="K6387" s="22" t="s">
        <v>30</v>
      </c>
      <c r="L6387">
        <v>1</v>
      </c>
      <c r="O6387" s="30"/>
    </row>
    <row r="6388" spans="10:15" x14ac:dyDescent="0.25">
      <c r="J6388" t="s">
        <v>3321</v>
      </c>
      <c r="K6388" s="22" t="s">
        <v>20</v>
      </c>
      <c r="L6388">
        <v>1</v>
      </c>
      <c r="M6388">
        <v>1</v>
      </c>
      <c r="O6388" s="31"/>
    </row>
    <row r="6389" spans="10:15" x14ac:dyDescent="0.25">
      <c r="J6389" t="s">
        <v>3321</v>
      </c>
      <c r="K6389" s="22" t="s">
        <v>30</v>
      </c>
      <c r="L6389">
        <v>1</v>
      </c>
      <c r="O6389" s="30"/>
    </row>
    <row r="6390" spans="10:15" x14ac:dyDescent="0.25">
      <c r="J6390" t="s">
        <v>3119</v>
      </c>
      <c r="K6390" s="22" t="s">
        <v>29</v>
      </c>
      <c r="L6390">
        <v>1</v>
      </c>
      <c r="O6390" s="30"/>
    </row>
    <row r="6391" spans="10:15" x14ac:dyDescent="0.25">
      <c r="J6391" t="s">
        <v>3119</v>
      </c>
      <c r="K6391" s="22" t="s">
        <v>28</v>
      </c>
      <c r="L6391">
        <v>1</v>
      </c>
      <c r="O6391" s="30"/>
    </row>
    <row r="6392" spans="10:15" x14ac:dyDescent="0.25">
      <c r="J6392" t="s">
        <v>3119</v>
      </c>
      <c r="K6392" s="22" t="s">
        <v>35</v>
      </c>
      <c r="L6392">
        <v>1</v>
      </c>
      <c r="O6392" s="30"/>
    </row>
    <row r="6393" spans="10:15" x14ac:dyDescent="0.25">
      <c r="J6393" t="s">
        <v>3119</v>
      </c>
      <c r="K6393" s="22" t="s">
        <v>31</v>
      </c>
      <c r="L6393">
        <v>1</v>
      </c>
      <c r="O6393" s="30"/>
    </row>
    <row r="6394" spans="10:15" x14ac:dyDescent="0.25">
      <c r="J6394" t="s">
        <v>917</v>
      </c>
      <c r="K6394" s="22" t="s">
        <v>29</v>
      </c>
      <c r="L6394">
        <v>1</v>
      </c>
    </row>
    <row r="6395" spans="10:15" x14ac:dyDescent="0.25">
      <c r="J6395" t="s">
        <v>917</v>
      </c>
      <c r="K6395" s="22" t="s">
        <v>28</v>
      </c>
      <c r="L6395">
        <v>2</v>
      </c>
      <c r="M6395">
        <v>1</v>
      </c>
      <c r="O6395" s="30"/>
    </row>
    <row r="6396" spans="10:15" x14ac:dyDescent="0.25">
      <c r="J6396" t="s">
        <v>917</v>
      </c>
      <c r="K6396" s="22" t="s">
        <v>35</v>
      </c>
      <c r="L6396">
        <v>2</v>
      </c>
      <c r="O6396" s="30"/>
    </row>
    <row r="6397" spans="10:15" x14ac:dyDescent="0.25">
      <c r="J6397" t="s">
        <v>917</v>
      </c>
      <c r="K6397" s="22" t="s">
        <v>22</v>
      </c>
      <c r="L6397">
        <v>2</v>
      </c>
      <c r="M6397">
        <v>2</v>
      </c>
      <c r="O6397" s="31"/>
    </row>
    <row r="6398" spans="10:15" x14ac:dyDescent="0.25">
      <c r="J6398" t="s">
        <v>3232</v>
      </c>
      <c r="K6398" s="22" t="s">
        <v>35</v>
      </c>
      <c r="L6398">
        <v>1</v>
      </c>
      <c r="O6398" s="30"/>
    </row>
    <row r="6399" spans="10:15" x14ac:dyDescent="0.25">
      <c r="J6399" t="s">
        <v>3492</v>
      </c>
      <c r="K6399" s="22" t="s">
        <v>20</v>
      </c>
      <c r="L6399">
        <v>1</v>
      </c>
      <c r="O6399" s="30"/>
    </row>
    <row r="6400" spans="10:15" x14ac:dyDescent="0.25">
      <c r="J6400" t="s">
        <v>1112</v>
      </c>
      <c r="K6400" s="22" t="s">
        <v>20</v>
      </c>
      <c r="L6400">
        <v>3</v>
      </c>
      <c r="M6400">
        <v>1</v>
      </c>
      <c r="O6400" s="30"/>
    </row>
    <row r="6401" spans="10:15" x14ac:dyDescent="0.25">
      <c r="J6401" t="s">
        <v>1112</v>
      </c>
      <c r="K6401" s="22" t="s">
        <v>29</v>
      </c>
      <c r="L6401">
        <v>1</v>
      </c>
      <c r="O6401" s="30"/>
    </row>
    <row r="6402" spans="10:15" x14ac:dyDescent="0.25">
      <c r="J6402" t="s">
        <v>1112</v>
      </c>
      <c r="K6402" s="22" t="s">
        <v>28</v>
      </c>
      <c r="L6402">
        <v>4</v>
      </c>
      <c r="O6402" s="30"/>
    </row>
    <row r="6403" spans="10:15" x14ac:dyDescent="0.25">
      <c r="J6403" t="s">
        <v>1112</v>
      </c>
      <c r="K6403" s="22" t="s">
        <v>22</v>
      </c>
      <c r="L6403">
        <v>1</v>
      </c>
    </row>
    <row r="6404" spans="10:15" x14ac:dyDescent="0.25">
      <c r="J6404" t="s">
        <v>1112</v>
      </c>
      <c r="K6404" s="22" t="s">
        <v>31</v>
      </c>
      <c r="L6404">
        <v>2</v>
      </c>
      <c r="O6404" s="30"/>
    </row>
    <row r="6405" spans="10:15" x14ac:dyDescent="0.25">
      <c r="J6405" t="s">
        <v>3253</v>
      </c>
      <c r="K6405" s="22" t="s">
        <v>28</v>
      </c>
      <c r="L6405">
        <v>1</v>
      </c>
      <c r="O6405" s="30"/>
    </row>
    <row r="6406" spans="10:15" x14ac:dyDescent="0.25">
      <c r="J6406" t="s">
        <v>1036</v>
      </c>
      <c r="K6406" s="22" t="s">
        <v>29</v>
      </c>
      <c r="L6406">
        <v>3</v>
      </c>
      <c r="M6406">
        <v>2</v>
      </c>
    </row>
    <row r="6407" spans="10:15" x14ac:dyDescent="0.25">
      <c r="J6407" t="s">
        <v>1036</v>
      </c>
      <c r="K6407" s="22" t="s">
        <v>28</v>
      </c>
      <c r="L6407">
        <v>1</v>
      </c>
      <c r="O6407" s="30"/>
    </row>
    <row r="6408" spans="10:15" x14ac:dyDescent="0.25">
      <c r="J6408" t="s">
        <v>989</v>
      </c>
      <c r="K6408" s="22" t="s">
        <v>20</v>
      </c>
      <c r="L6408">
        <v>1</v>
      </c>
    </row>
    <row r="6409" spans="10:15" x14ac:dyDescent="0.25">
      <c r="J6409" t="s">
        <v>989</v>
      </c>
      <c r="K6409" s="22" t="s">
        <v>28</v>
      </c>
      <c r="L6409">
        <v>1</v>
      </c>
      <c r="O6409" s="30"/>
    </row>
    <row r="6410" spans="10:15" x14ac:dyDescent="0.25">
      <c r="J6410" t="s">
        <v>989</v>
      </c>
      <c r="K6410" s="22" t="s">
        <v>31</v>
      </c>
      <c r="L6410">
        <v>1</v>
      </c>
      <c r="O6410" s="30"/>
    </row>
    <row r="6411" spans="10:15" x14ac:dyDescent="0.25">
      <c r="J6411" t="s">
        <v>2870</v>
      </c>
      <c r="K6411" s="22" t="s">
        <v>29</v>
      </c>
      <c r="L6411">
        <v>1</v>
      </c>
    </row>
    <row r="6412" spans="10:15" x14ac:dyDescent="0.25">
      <c r="J6412" t="s">
        <v>2870</v>
      </c>
      <c r="K6412" s="22" t="s">
        <v>28</v>
      </c>
      <c r="L6412">
        <v>1</v>
      </c>
      <c r="O6412" s="30"/>
    </row>
    <row r="6413" spans="10:15" x14ac:dyDescent="0.25">
      <c r="J6413" t="s">
        <v>972</v>
      </c>
      <c r="K6413" s="22" t="s">
        <v>28</v>
      </c>
      <c r="L6413">
        <v>3</v>
      </c>
      <c r="M6413">
        <v>2</v>
      </c>
      <c r="O6413" s="30"/>
    </row>
    <row r="6414" spans="10:15" x14ac:dyDescent="0.25">
      <c r="J6414" t="s">
        <v>1269</v>
      </c>
      <c r="K6414" s="22" t="s">
        <v>29</v>
      </c>
      <c r="L6414">
        <v>1</v>
      </c>
    </row>
    <row r="6415" spans="10:15" x14ac:dyDescent="0.25">
      <c r="J6415" t="s">
        <v>1269</v>
      </c>
      <c r="K6415" s="22" t="s">
        <v>28</v>
      </c>
      <c r="L6415">
        <v>1</v>
      </c>
      <c r="O6415" s="30"/>
    </row>
    <row r="6416" spans="10:15" x14ac:dyDescent="0.25">
      <c r="J6416" t="s">
        <v>1269</v>
      </c>
      <c r="K6416" s="22" t="s">
        <v>31</v>
      </c>
      <c r="L6416">
        <v>1</v>
      </c>
    </row>
    <row r="6417" spans="10:15" x14ac:dyDescent="0.25">
      <c r="J6417" t="s">
        <v>3000</v>
      </c>
      <c r="K6417" s="22" t="s">
        <v>28</v>
      </c>
      <c r="L6417">
        <v>1</v>
      </c>
    </row>
    <row r="6418" spans="10:15" x14ac:dyDescent="0.25">
      <c r="J6418" t="s">
        <v>1001</v>
      </c>
      <c r="K6418" s="22" t="s">
        <v>29</v>
      </c>
      <c r="L6418">
        <v>17</v>
      </c>
      <c r="M6418">
        <v>17</v>
      </c>
      <c r="O6418" s="31"/>
    </row>
    <row r="6419" spans="10:15" x14ac:dyDescent="0.25">
      <c r="J6419" t="s">
        <v>3262</v>
      </c>
      <c r="K6419" s="22" t="s">
        <v>20</v>
      </c>
      <c r="L6419">
        <v>1</v>
      </c>
      <c r="M6419">
        <v>1</v>
      </c>
      <c r="O6419" s="31"/>
    </row>
    <row r="6420" spans="10:15" x14ac:dyDescent="0.25">
      <c r="J6420" t="s">
        <v>3262</v>
      </c>
      <c r="K6420" s="22" t="s">
        <v>22</v>
      </c>
      <c r="L6420">
        <v>1</v>
      </c>
      <c r="O6420" s="30"/>
    </row>
    <row r="6421" spans="10:15" x14ac:dyDescent="0.25">
      <c r="J6421" t="s">
        <v>3395</v>
      </c>
      <c r="K6421" s="22" t="s">
        <v>35</v>
      </c>
      <c r="L6421">
        <v>1</v>
      </c>
      <c r="O6421" s="30"/>
    </row>
    <row r="6422" spans="10:15" x14ac:dyDescent="0.25">
      <c r="J6422" t="s">
        <v>689</v>
      </c>
      <c r="K6422" s="22" t="s">
        <v>29</v>
      </c>
      <c r="L6422">
        <v>2</v>
      </c>
      <c r="M6422">
        <v>2</v>
      </c>
    </row>
    <row r="6423" spans="10:15" x14ac:dyDescent="0.25">
      <c r="J6423" t="s">
        <v>1105</v>
      </c>
      <c r="K6423" s="22" t="s">
        <v>29</v>
      </c>
      <c r="L6423">
        <v>5</v>
      </c>
      <c r="M6423">
        <v>5</v>
      </c>
      <c r="O6423" s="31"/>
    </row>
    <row r="6424" spans="10:15" x14ac:dyDescent="0.25">
      <c r="J6424" t="s">
        <v>1973</v>
      </c>
      <c r="K6424" s="22" t="s">
        <v>20</v>
      </c>
      <c r="L6424">
        <v>2</v>
      </c>
      <c r="M6424">
        <v>1</v>
      </c>
      <c r="O6424" s="30"/>
    </row>
    <row r="6425" spans="10:15" x14ac:dyDescent="0.25">
      <c r="J6425" t="s">
        <v>3450</v>
      </c>
      <c r="K6425" s="22" t="s">
        <v>20</v>
      </c>
      <c r="L6425">
        <v>1</v>
      </c>
      <c r="O6425" s="30"/>
    </row>
    <row r="6426" spans="10:15" x14ac:dyDescent="0.25">
      <c r="J6426" t="s">
        <v>3473</v>
      </c>
      <c r="K6426" s="22" t="s">
        <v>22</v>
      </c>
      <c r="L6426">
        <v>1</v>
      </c>
      <c r="O6426" s="30"/>
    </row>
    <row r="6427" spans="10:15" x14ac:dyDescent="0.25">
      <c r="J6427" t="s">
        <v>3065</v>
      </c>
      <c r="K6427" s="22" t="s">
        <v>20</v>
      </c>
      <c r="L6427">
        <v>1</v>
      </c>
      <c r="M6427">
        <v>1</v>
      </c>
      <c r="O6427" s="31"/>
    </row>
    <row r="6428" spans="10:15" x14ac:dyDescent="0.25">
      <c r="J6428" t="s">
        <v>3065</v>
      </c>
      <c r="K6428" s="22" t="s">
        <v>22</v>
      </c>
      <c r="L6428">
        <v>1</v>
      </c>
      <c r="O6428" s="30"/>
    </row>
    <row r="6429" spans="10:15" x14ac:dyDescent="0.25">
      <c r="J6429" t="s">
        <v>44</v>
      </c>
      <c r="K6429" s="22" t="s">
        <v>20</v>
      </c>
      <c r="L6429">
        <v>1</v>
      </c>
      <c r="M6429">
        <v>1</v>
      </c>
    </row>
    <row r="6430" spans="10:15" x14ac:dyDescent="0.25">
      <c r="J6430" t="s">
        <v>963</v>
      </c>
      <c r="K6430" s="22" t="s">
        <v>20</v>
      </c>
      <c r="L6430">
        <v>2</v>
      </c>
      <c r="O6430" s="30"/>
    </row>
    <row r="6431" spans="10:15" x14ac:dyDescent="0.25">
      <c r="J6431" t="s">
        <v>963</v>
      </c>
      <c r="K6431" s="22" t="s">
        <v>29</v>
      </c>
      <c r="L6431">
        <v>1</v>
      </c>
      <c r="M6431">
        <v>1</v>
      </c>
    </row>
    <row r="6432" spans="10:15" x14ac:dyDescent="0.25">
      <c r="J6432" t="s">
        <v>974</v>
      </c>
      <c r="K6432" s="22" t="s">
        <v>20</v>
      </c>
      <c r="L6432">
        <v>1</v>
      </c>
      <c r="M6432">
        <v>1</v>
      </c>
    </row>
    <row r="6433" spans="10:15" x14ac:dyDescent="0.25">
      <c r="J6433" t="s">
        <v>3021</v>
      </c>
      <c r="K6433" s="22" t="s">
        <v>29</v>
      </c>
      <c r="L6433">
        <v>1</v>
      </c>
    </row>
    <row r="6434" spans="10:15" x14ac:dyDescent="0.25">
      <c r="J6434" t="s">
        <v>1526</v>
      </c>
      <c r="K6434" s="22" t="s">
        <v>35</v>
      </c>
      <c r="L6434">
        <v>3</v>
      </c>
      <c r="M6434">
        <v>3</v>
      </c>
      <c r="O6434" s="31"/>
    </row>
    <row r="6435" spans="10:15" x14ac:dyDescent="0.25">
      <c r="J6435" t="s">
        <v>2694</v>
      </c>
      <c r="K6435" s="22" t="s">
        <v>20</v>
      </c>
      <c r="L6435">
        <v>1</v>
      </c>
    </row>
    <row r="6436" spans="10:15" x14ac:dyDescent="0.25">
      <c r="J6436" t="s">
        <v>2694</v>
      </c>
      <c r="K6436" s="22" t="s">
        <v>31</v>
      </c>
      <c r="L6436">
        <v>1</v>
      </c>
      <c r="O6436" s="30"/>
    </row>
    <row r="6437" spans="10:15" x14ac:dyDescent="0.25">
      <c r="J6437" t="s">
        <v>1172</v>
      </c>
      <c r="K6437" s="22" t="s">
        <v>20</v>
      </c>
      <c r="L6437">
        <v>2</v>
      </c>
      <c r="O6437" s="30"/>
    </row>
    <row r="6438" spans="10:15" x14ac:dyDescent="0.25">
      <c r="J6438" t="s">
        <v>1172</v>
      </c>
      <c r="K6438" s="22" t="s">
        <v>29</v>
      </c>
      <c r="L6438">
        <v>1</v>
      </c>
    </row>
    <row r="6439" spans="10:15" x14ac:dyDescent="0.25">
      <c r="J6439" t="s">
        <v>665</v>
      </c>
      <c r="K6439" s="22" t="s">
        <v>20</v>
      </c>
      <c r="L6439">
        <v>2</v>
      </c>
      <c r="O6439" s="30"/>
    </row>
    <row r="6440" spans="10:15" x14ac:dyDescent="0.25">
      <c r="J6440" t="s">
        <v>665</v>
      </c>
      <c r="K6440" s="22" t="s">
        <v>29</v>
      </c>
      <c r="L6440">
        <v>1</v>
      </c>
    </row>
    <row r="6441" spans="10:15" x14ac:dyDescent="0.25">
      <c r="J6441" t="s">
        <v>512</v>
      </c>
      <c r="K6441" s="22" t="s">
        <v>28</v>
      </c>
      <c r="L6441">
        <v>9</v>
      </c>
      <c r="M6441">
        <v>9</v>
      </c>
      <c r="O6441" s="31"/>
    </row>
    <row r="6442" spans="10:15" x14ac:dyDescent="0.25">
      <c r="J6442" t="s">
        <v>3221</v>
      </c>
      <c r="K6442" s="22" t="s">
        <v>35</v>
      </c>
      <c r="L6442">
        <v>1</v>
      </c>
      <c r="O6442" s="30"/>
    </row>
    <row r="6443" spans="10:15" x14ac:dyDescent="0.25">
      <c r="J6443" t="s">
        <v>3423</v>
      </c>
      <c r="K6443" s="22" t="s">
        <v>28</v>
      </c>
      <c r="L6443">
        <v>1</v>
      </c>
      <c r="M6443">
        <v>1</v>
      </c>
      <c r="O6443" s="31"/>
    </row>
    <row r="6444" spans="10:15" x14ac:dyDescent="0.25">
      <c r="J6444" t="s">
        <v>3441</v>
      </c>
      <c r="K6444" s="22" t="s">
        <v>35</v>
      </c>
      <c r="L6444">
        <v>1</v>
      </c>
      <c r="O6444" s="30"/>
    </row>
    <row r="6445" spans="10:15" x14ac:dyDescent="0.25">
      <c r="J6445" t="s">
        <v>1923</v>
      </c>
      <c r="K6445" s="22" t="s">
        <v>28</v>
      </c>
      <c r="L6445">
        <v>4</v>
      </c>
      <c r="M6445">
        <v>4</v>
      </c>
      <c r="O6445" s="31"/>
    </row>
    <row r="6446" spans="10:15" x14ac:dyDescent="0.25">
      <c r="J6446" t="s">
        <v>143</v>
      </c>
      <c r="K6446" s="22" t="s">
        <v>20</v>
      </c>
      <c r="L6446">
        <v>1</v>
      </c>
      <c r="M6446">
        <v>1</v>
      </c>
    </row>
    <row r="6447" spans="10:15" x14ac:dyDescent="0.25">
      <c r="J6447" t="s">
        <v>1513</v>
      </c>
      <c r="K6447" s="22" t="s">
        <v>31</v>
      </c>
      <c r="L6447">
        <v>1</v>
      </c>
      <c r="M6447">
        <v>1</v>
      </c>
    </row>
    <row r="6448" spans="10:15" x14ac:dyDescent="0.25">
      <c r="J6448" t="s">
        <v>2434</v>
      </c>
      <c r="K6448" s="22" t="s">
        <v>28</v>
      </c>
      <c r="L6448">
        <v>2</v>
      </c>
      <c r="M6448">
        <v>2</v>
      </c>
    </row>
    <row r="6449" spans="10:15" x14ac:dyDescent="0.25">
      <c r="J6449" t="s">
        <v>1611</v>
      </c>
      <c r="K6449" s="22" t="s">
        <v>28</v>
      </c>
      <c r="L6449">
        <v>3</v>
      </c>
      <c r="M6449">
        <v>3</v>
      </c>
      <c r="O6449" s="31"/>
    </row>
    <row r="6450" spans="10:15" x14ac:dyDescent="0.25">
      <c r="J6450" t="s">
        <v>3188</v>
      </c>
      <c r="K6450" s="22" t="s">
        <v>28</v>
      </c>
      <c r="L6450">
        <v>1</v>
      </c>
      <c r="M6450">
        <v>1</v>
      </c>
      <c r="O6450" s="31"/>
    </row>
    <row r="6451" spans="10:15" x14ac:dyDescent="0.25">
      <c r="J6451" t="s">
        <v>3111</v>
      </c>
      <c r="K6451" s="22" t="s">
        <v>28</v>
      </c>
      <c r="L6451">
        <v>1</v>
      </c>
      <c r="M6451">
        <v>1</v>
      </c>
      <c r="O6451" s="31"/>
    </row>
    <row r="6452" spans="10:15" x14ac:dyDescent="0.25">
      <c r="J6452" t="s">
        <v>1835</v>
      </c>
      <c r="K6452" s="22" t="s">
        <v>28</v>
      </c>
      <c r="L6452">
        <v>1</v>
      </c>
      <c r="M6452">
        <v>1</v>
      </c>
    </row>
    <row r="6453" spans="10:15" x14ac:dyDescent="0.25">
      <c r="J6453" t="s">
        <v>3009</v>
      </c>
      <c r="K6453" s="22" t="s">
        <v>35</v>
      </c>
      <c r="L6453">
        <v>1</v>
      </c>
      <c r="O6453" s="30"/>
    </row>
    <row r="6454" spans="10:15" x14ac:dyDescent="0.25">
      <c r="J6454" t="s">
        <v>3009</v>
      </c>
      <c r="K6454" s="22" t="s">
        <v>22</v>
      </c>
      <c r="L6454">
        <v>1</v>
      </c>
      <c r="O6454" s="30"/>
    </row>
    <row r="6455" spans="10:15" x14ac:dyDescent="0.25">
      <c r="J6455" t="s">
        <v>3009</v>
      </c>
      <c r="K6455" s="22" t="s">
        <v>31</v>
      </c>
      <c r="L6455">
        <v>1</v>
      </c>
    </row>
    <row r="6456" spans="10:15" x14ac:dyDescent="0.25">
      <c r="J6456" t="s">
        <v>233</v>
      </c>
      <c r="K6456" s="22" t="s">
        <v>20</v>
      </c>
      <c r="L6456">
        <v>1</v>
      </c>
      <c r="M6456">
        <v>1</v>
      </c>
    </row>
    <row r="6457" spans="10:15" x14ac:dyDescent="0.25">
      <c r="J6457" t="s">
        <v>233</v>
      </c>
      <c r="K6457" s="22" t="s">
        <v>35</v>
      </c>
      <c r="L6457">
        <v>3</v>
      </c>
      <c r="O6457" s="30"/>
    </row>
    <row r="6458" spans="10:15" x14ac:dyDescent="0.25">
      <c r="J6458" t="s">
        <v>695</v>
      </c>
      <c r="K6458" s="22" t="s">
        <v>35</v>
      </c>
      <c r="L6458">
        <v>1</v>
      </c>
    </row>
    <row r="6459" spans="10:15" x14ac:dyDescent="0.25">
      <c r="J6459" t="s">
        <v>695</v>
      </c>
      <c r="K6459" s="22" t="s">
        <v>31</v>
      </c>
      <c r="L6459">
        <v>1</v>
      </c>
    </row>
    <row r="6460" spans="10:15" x14ac:dyDescent="0.25">
      <c r="J6460" t="s">
        <v>2521</v>
      </c>
      <c r="K6460" s="22" t="s">
        <v>35</v>
      </c>
      <c r="L6460">
        <v>1</v>
      </c>
    </row>
    <row r="6461" spans="10:15" x14ac:dyDescent="0.25">
      <c r="J6461" t="s">
        <v>3223</v>
      </c>
      <c r="K6461" s="22" t="s">
        <v>22</v>
      </c>
      <c r="L6461">
        <v>1</v>
      </c>
      <c r="O6461" s="30"/>
    </row>
    <row r="6462" spans="10:15" x14ac:dyDescent="0.25">
      <c r="J6462" t="s">
        <v>184</v>
      </c>
      <c r="K6462" s="22" t="s">
        <v>20</v>
      </c>
      <c r="L6462">
        <v>3</v>
      </c>
      <c r="M6462">
        <v>3</v>
      </c>
    </row>
    <row r="6463" spans="10:15" x14ac:dyDescent="0.25">
      <c r="J6463" t="s">
        <v>3443</v>
      </c>
      <c r="K6463" s="22" t="s">
        <v>31</v>
      </c>
      <c r="L6463">
        <v>1</v>
      </c>
      <c r="O6463" s="30"/>
    </row>
    <row r="6464" spans="10:15" x14ac:dyDescent="0.25">
      <c r="J6464" t="s">
        <v>1515</v>
      </c>
      <c r="K6464" s="22" t="s">
        <v>20</v>
      </c>
      <c r="L6464">
        <v>6</v>
      </c>
      <c r="M6464">
        <v>6</v>
      </c>
      <c r="O6464" s="31"/>
    </row>
    <row r="6465" spans="10:15" x14ac:dyDescent="0.25">
      <c r="J6465" t="s">
        <v>2923</v>
      </c>
      <c r="K6465" s="22" t="s">
        <v>22</v>
      </c>
      <c r="L6465">
        <v>1</v>
      </c>
    </row>
    <row r="6466" spans="10:15" x14ac:dyDescent="0.25">
      <c r="J6466" t="s">
        <v>2345</v>
      </c>
      <c r="K6466" s="22" t="s">
        <v>31</v>
      </c>
      <c r="L6466">
        <v>1</v>
      </c>
    </row>
    <row r="6467" spans="10:15" x14ac:dyDescent="0.25">
      <c r="J6467" t="s">
        <v>786</v>
      </c>
      <c r="K6467" s="22" t="s">
        <v>20</v>
      </c>
      <c r="L6467">
        <v>2</v>
      </c>
    </row>
    <row r="6468" spans="10:15" x14ac:dyDescent="0.25">
      <c r="J6468" t="s">
        <v>786</v>
      </c>
      <c r="K6468" s="22" t="s">
        <v>28</v>
      </c>
      <c r="L6468">
        <v>3</v>
      </c>
      <c r="O6468" s="30"/>
    </row>
    <row r="6469" spans="10:15" x14ac:dyDescent="0.25">
      <c r="J6469" t="s">
        <v>786</v>
      </c>
      <c r="K6469" s="22" t="s">
        <v>22</v>
      </c>
      <c r="L6469">
        <v>2</v>
      </c>
      <c r="O6469" s="30"/>
    </row>
    <row r="6470" spans="10:15" x14ac:dyDescent="0.25">
      <c r="J6470" t="s">
        <v>786</v>
      </c>
      <c r="K6470" s="22" t="s">
        <v>31</v>
      </c>
      <c r="L6470">
        <v>4</v>
      </c>
      <c r="M6470">
        <v>3</v>
      </c>
      <c r="O6470" s="31"/>
    </row>
    <row r="6471" spans="10:15" x14ac:dyDescent="0.25">
      <c r="J6471" t="s">
        <v>1271</v>
      </c>
      <c r="K6471" s="22" t="s">
        <v>28</v>
      </c>
      <c r="L6471">
        <v>1</v>
      </c>
    </row>
    <row r="6472" spans="10:15" x14ac:dyDescent="0.25">
      <c r="J6472" t="s">
        <v>1101</v>
      </c>
      <c r="K6472" s="22" t="s">
        <v>20</v>
      </c>
      <c r="L6472">
        <v>1</v>
      </c>
    </row>
    <row r="6473" spans="10:15" x14ac:dyDescent="0.25">
      <c r="J6473" t="s">
        <v>1101</v>
      </c>
      <c r="K6473" s="22" t="s">
        <v>35</v>
      </c>
      <c r="L6473">
        <v>3</v>
      </c>
      <c r="O6473" s="30"/>
    </row>
    <row r="6474" spans="10:15" x14ac:dyDescent="0.25">
      <c r="J6474" t="s">
        <v>1101</v>
      </c>
      <c r="K6474" s="22" t="s">
        <v>22</v>
      </c>
      <c r="L6474">
        <v>1</v>
      </c>
    </row>
    <row r="6475" spans="10:15" x14ac:dyDescent="0.25">
      <c r="J6475" t="s">
        <v>1101</v>
      </c>
      <c r="K6475" s="22" t="s">
        <v>31</v>
      </c>
      <c r="L6475">
        <v>1</v>
      </c>
    </row>
    <row r="6476" spans="10:15" x14ac:dyDescent="0.25">
      <c r="J6476" t="s">
        <v>3272</v>
      </c>
      <c r="K6476" s="22" t="s">
        <v>35</v>
      </c>
      <c r="L6476">
        <v>1</v>
      </c>
      <c r="O6476" s="30"/>
    </row>
    <row r="6477" spans="10:15" x14ac:dyDescent="0.25">
      <c r="J6477" t="s">
        <v>1114</v>
      </c>
      <c r="K6477" s="22" t="s">
        <v>20</v>
      </c>
      <c r="L6477">
        <v>2</v>
      </c>
      <c r="O6477" s="30"/>
    </row>
    <row r="6478" spans="10:15" x14ac:dyDescent="0.25">
      <c r="J6478" t="s">
        <v>1114</v>
      </c>
      <c r="K6478" s="22" t="s">
        <v>22</v>
      </c>
      <c r="L6478">
        <v>1</v>
      </c>
      <c r="O6478" s="30"/>
    </row>
    <row r="6479" spans="10:15" x14ac:dyDescent="0.25">
      <c r="J6479" t="s">
        <v>1114</v>
      </c>
      <c r="K6479" s="22" t="s">
        <v>31</v>
      </c>
      <c r="L6479">
        <v>1</v>
      </c>
    </row>
    <row r="6480" spans="10:15" x14ac:dyDescent="0.25">
      <c r="J6480" t="s">
        <v>2537</v>
      </c>
      <c r="K6480" s="22" t="s">
        <v>20</v>
      </c>
      <c r="L6480">
        <v>1</v>
      </c>
      <c r="M6480">
        <v>1</v>
      </c>
    </row>
    <row r="6481" spans="10:15" x14ac:dyDescent="0.25">
      <c r="J6481" t="s">
        <v>1457</v>
      </c>
      <c r="K6481" s="22" t="s">
        <v>20</v>
      </c>
      <c r="L6481">
        <v>2</v>
      </c>
      <c r="O6481" s="30"/>
    </row>
    <row r="6482" spans="10:15" x14ac:dyDescent="0.25">
      <c r="J6482" t="s">
        <v>1457</v>
      </c>
      <c r="K6482" s="22" t="s">
        <v>31</v>
      </c>
      <c r="L6482">
        <v>2</v>
      </c>
      <c r="O6482" s="30"/>
    </row>
    <row r="6483" spans="10:15" x14ac:dyDescent="0.25">
      <c r="J6483" t="s">
        <v>788</v>
      </c>
      <c r="K6483" s="22" t="s">
        <v>22</v>
      </c>
      <c r="L6483">
        <v>5</v>
      </c>
      <c r="M6483">
        <v>5</v>
      </c>
      <c r="O6483" s="31"/>
    </row>
    <row r="6484" spans="10:15" x14ac:dyDescent="0.25">
      <c r="J6484" t="s">
        <v>1025</v>
      </c>
      <c r="K6484" s="22" t="s">
        <v>31</v>
      </c>
      <c r="L6484">
        <v>1</v>
      </c>
      <c r="M6484">
        <v>1</v>
      </c>
    </row>
    <row r="6485" spans="10:15" x14ac:dyDescent="0.25">
      <c r="J6485" t="s">
        <v>2135</v>
      </c>
      <c r="K6485" s="22" t="s">
        <v>28</v>
      </c>
      <c r="L6485">
        <v>1</v>
      </c>
      <c r="M6485">
        <v>1</v>
      </c>
    </row>
    <row r="6486" spans="10:15" x14ac:dyDescent="0.25">
      <c r="J6486" t="s">
        <v>858</v>
      </c>
      <c r="K6486" s="22" t="s">
        <v>20</v>
      </c>
      <c r="L6486">
        <v>2</v>
      </c>
      <c r="M6486">
        <v>2</v>
      </c>
      <c r="O6486" s="31"/>
    </row>
    <row r="6487" spans="10:15" x14ac:dyDescent="0.25">
      <c r="J6487" t="s">
        <v>858</v>
      </c>
      <c r="K6487" s="22" t="s">
        <v>29</v>
      </c>
      <c r="L6487">
        <v>2</v>
      </c>
    </row>
    <row r="6488" spans="10:15" x14ac:dyDescent="0.25">
      <c r="J6488" t="s">
        <v>3085</v>
      </c>
      <c r="K6488" s="22" t="s">
        <v>31</v>
      </c>
      <c r="L6488">
        <v>4</v>
      </c>
      <c r="M6488">
        <v>4</v>
      </c>
      <c r="O6488" s="31"/>
    </row>
    <row r="6489" spans="10:15" x14ac:dyDescent="0.25">
      <c r="J6489" t="s">
        <v>1998</v>
      </c>
      <c r="K6489" s="22" t="s">
        <v>20</v>
      </c>
      <c r="L6489">
        <v>4</v>
      </c>
      <c r="M6489">
        <v>4</v>
      </c>
    </row>
    <row r="6490" spans="10:15" x14ac:dyDescent="0.25">
      <c r="J6490" t="s">
        <v>3003</v>
      </c>
      <c r="K6490" s="22" t="s">
        <v>29</v>
      </c>
      <c r="L6490">
        <v>1</v>
      </c>
      <c r="M6490">
        <v>1</v>
      </c>
    </row>
    <row r="6491" spans="10:15" x14ac:dyDescent="0.25">
      <c r="J6491" t="s">
        <v>2991</v>
      </c>
      <c r="K6491" s="22" t="s">
        <v>31</v>
      </c>
      <c r="L6491">
        <v>3</v>
      </c>
      <c r="M6491">
        <v>3</v>
      </c>
      <c r="O6491" s="31"/>
    </row>
    <row r="6492" spans="10:15" x14ac:dyDescent="0.25">
      <c r="J6492" t="s">
        <v>3464</v>
      </c>
      <c r="K6492" s="22" t="s">
        <v>20</v>
      </c>
      <c r="L6492">
        <v>1</v>
      </c>
      <c r="O6492" s="30"/>
    </row>
    <row r="6493" spans="10:15" x14ac:dyDescent="0.25">
      <c r="J6493" t="s">
        <v>2901</v>
      </c>
      <c r="K6493" s="22" t="s">
        <v>20</v>
      </c>
      <c r="L6493">
        <v>1</v>
      </c>
      <c r="M6493">
        <v>1</v>
      </c>
    </row>
    <row r="6494" spans="10:15" x14ac:dyDescent="0.25">
      <c r="J6494" t="s">
        <v>2926</v>
      </c>
      <c r="K6494" s="22" t="s">
        <v>28</v>
      </c>
      <c r="L6494">
        <v>1</v>
      </c>
    </row>
    <row r="6495" spans="10:15" x14ac:dyDescent="0.25">
      <c r="J6495" t="s">
        <v>2926</v>
      </c>
      <c r="K6495" s="22" t="s">
        <v>31</v>
      </c>
      <c r="L6495">
        <v>1</v>
      </c>
      <c r="O6495" s="30"/>
    </row>
    <row r="6496" spans="10:15" x14ac:dyDescent="0.25">
      <c r="J6496" t="s">
        <v>1362</v>
      </c>
      <c r="K6496" s="22" t="s">
        <v>20</v>
      </c>
      <c r="L6496">
        <v>1</v>
      </c>
      <c r="M6496">
        <v>1</v>
      </c>
    </row>
    <row r="6497" spans="10:15" x14ac:dyDescent="0.25">
      <c r="J6497" t="s">
        <v>247</v>
      </c>
      <c r="K6497" s="22" t="s">
        <v>20</v>
      </c>
      <c r="L6497">
        <v>8</v>
      </c>
      <c r="M6497">
        <v>8</v>
      </c>
      <c r="O6497" s="31"/>
    </row>
    <row r="6498" spans="10:15" x14ac:dyDescent="0.25">
      <c r="J6498" t="s">
        <v>1422</v>
      </c>
      <c r="K6498" s="22" t="s">
        <v>22</v>
      </c>
      <c r="L6498">
        <v>1</v>
      </c>
      <c r="M6498">
        <v>1</v>
      </c>
    </row>
    <row r="6499" spans="10:15" x14ac:dyDescent="0.25">
      <c r="J6499" t="s">
        <v>2110</v>
      </c>
      <c r="K6499" s="22" t="s">
        <v>20</v>
      </c>
      <c r="L6499">
        <v>2</v>
      </c>
      <c r="M6499">
        <v>2</v>
      </c>
      <c r="O6499" s="31"/>
    </row>
    <row r="6500" spans="10:15" x14ac:dyDescent="0.25">
      <c r="J6500" t="s">
        <v>318</v>
      </c>
      <c r="K6500" s="22" t="s">
        <v>20</v>
      </c>
      <c r="L6500">
        <v>4</v>
      </c>
      <c r="M6500">
        <v>3</v>
      </c>
      <c r="O6500" s="30"/>
    </row>
    <row r="6501" spans="10:15" x14ac:dyDescent="0.25">
      <c r="J6501" t="s">
        <v>1599</v>
      </c>
      <c r="K6501" s="22" t="s">
        <v>20</v>
      </c>
      <c r="L6501">
        <v>2</v>
      </c>
      <c r="O6501" s="30"/>
    </row>
    <row r="6502" spans="10:15" x14ac:dyDescent="0.25">
      <c r="J6502" t="s">
        <v>1599</v>
      </c>
      <c r="K6502" s="22" t="s">
        <v>35</v>
      </c>
      <c r="L6502">
        <v>1</v>
      </c>
    </row>
    <row r="6503" spans="10:15" x14ac:dyDescent="0.25">
      <c r="J6503" t="s">
        <v>1402</v>
      </c>
      <c r="K6503" s="22" t="s">
        <v>20</v>
      </c>
      <c r="L6503">
        <v>4</v>
      </c>
      <c r="M6503">
        <v>4</v>
      </c>
      <c r="O6503" s="31"/>
    </row>
    <row r="6504" spans="10:15" x14ac:dyDescent="0.25">
      <c r="J6504" t="s">
        <v>319</v>
      </c>
      <c r="K6504" s="22" t="s">
        <v>20</v>
      </c>
      <c r="L6504">
        <v>6</v>
      </c>
      <c r="M6504">
        <v>6</v>
      </c>
      <c r="O6504" s="31"/>
    </row>
    <row r="6505" spans="10:15" x14ac:dyDescent="0.25">
      <c r="J6505" t="s">
        <v>1228</v>
      </c>
      <c r="K6505" s="22" t="s">
        <v>20</v>
      </c>
      <c r="L6505">
        <v>3</v>
      </c>
      <c r="M6505">
        <v>3</v>
      </c>
      <c r="O6505" s="31"/>
    </row>
    <row r="6506" spans="10:15" x14ac:dyDescent="0.25">
      <c r="J6506" t="s">
        <v>3005</v>
      </c>
      <c r="K6506" s="22" t="s">
        <v>20</v>
      </c>
      <c r="L6506">
        <v>1</v>
      </c>
      <c r="M6506">
        <v>1</v>
      </c>
    </row>
    <row r="6507" spans="10:15" x14ac:dyDescent="0.25">
      <c r="J6507" t="s">
        <v>994</v>
      </c>
      <c r="K6507" s="22" t="s">
        <v>20</v>
      </c>
      <c r="L6507">
        <v>1</v>
      </c>
    </row>
    <row r="6508" spans="10:15" x14ac:dyDescent="0.25">
      <c r="J6508" t="s">
        <v>994</v>
      </c>
      <c r="K6508" s="22" t="s">
        <v>35</v>
      </c>
      <c r="L6508">
        <v>2</v>
      </c>
      <c r="M6508">
        <v>2</v>
      </c>
      <c r="O6508" s="31"/>
    </row>
    <row r="6509" spans="10:15" x14ac:dyDescent="0.25">
      <c r="J6509" t="s">
        <v>1391</v>
      </c>
      <c r="K6509" s="22" t="s">
        <v>20</v>
      </c>
      <c r="L6509">
        <v>1</v>
      </c>
      <c r="M6509">
        <v>1</v>
      </c>
    </row>
    <row r="6510" spans="10:15" x14ac:dyDescent="0.25">
      <c r="J6510" t="s">
        <v>778</v>
      </c>
      <c r="K6510" s="22" t="s">
        <v>20</v>
      </c>
      <c r="L6510">
        <v>4</v>
      </c>
      <c r="M6510">
        <v>4</v>
      </c>
      <c r="O6510" s="31"/>
    </row>
    <row r="6511" spans="10:15" x14ac:dyDescent="0.25">
      <c r="J6511" t="s">
        <v>645</v>
      </c>
      <c r="K6511" s="22" t="s">
        <v>20</v>
      </c>
      <c r="L6511">
        <v>4</v>
      </c>
      <c r="M6511">
        <v>4</v>
      </c>
      <c r="O6511" s="31"/>
    </row>
    <row r="6512" spans="10:15" x14ac:dyDescent="0.25">
      <c r="J6512" t="s">
        <v>2343</v>
      </c>
      <c r="K6512" s="22" t="s">
        <v>22</v>
      </c>
      <c r="L6512">
        <v>2</v>
      </c>
      <c r="M6512">
        <v>2</v>
      </c>
      <c r="O6512" s="31"/>
    </row>
    <row r="6513" spans="10:15" x14ac:dyDescent="0.25">
      <c r="J6513" t="s">
        <v>1622</v>
      </c>
      <c r="K6513" s="22" t="s">
        <v>20</v>
      </c>
      <c r="L6513">
        <v>1</v>
      </c>
    </row>
    <row r="6514" spans="10:15" x14ac:dyDescent="0.25">
      <c r="J6514" t="s">
        <v>1622</v>
      </c>
      <c r="K6514" s="22" t="s">
        <v>31</v>
      </c>
      <c r="L6514">
        <v>1</v>
      </c>
      <c r="M6514">
        <v>1</v>
      </c>
    </row>
    <row r="6515" spans="10:15" x14ac:dyDescent="0.25">
      <c r="J6515" t="s">
        <v>2993</v>
      </c>
      <c r="K6515" s="22" t="s">
        <v>22</v>
      </c>
      <c r="L6515">
        <v>3</v>
      </c>
      <c r="M6515">
        <v>2</v>
      </c>
      <c r="O6515" s="30"/>
    </row>
    <row r="6516" spans="10:15" x14ac:dyDescent="0.25">
      <c r="J6516" t="s">
        <v>1258</v>
      </c>
      <c r="K6516" s="22" t="s">
        <v>22</v>
      </c>
      <c r="L6516">
        <v>4</v>
      </c>
      <c r="M6516">
        <v>4</v>
      </c>
      <c r="O6516" s="31"/>
    </row>
    <row r="6517" spans="10:15" x14ac:dyDescent="0.25">
      <c r="J6517" t="s">
        <v>1109</v>
      </c>
      <c r="K6517" s="22" t="s">
        <v>28</v>
      </c>
      <c r="L6517">
        <v>3</v>
      </c>
      <c r="M6517">
        <v>2</v>
      </c>
    </row>
    <row r="6518" spans="10:15" x14ac:dyDescent="0.25">
      <c r="J6518" t="s">
        <v>1109</v>
      </c>
      <c r="K6518" s="22" t="s">
        <v>31</v>
      </c>
      <c r="L6518">
        <v>3</v>
      </c>
      <c r="M6518">
        <v>3</v>
      </c>
      <c r="O6518" s="31"/>
    </row>
    <row r="6519" spans="10:15" x14ac:dyDescent="0.25">
      <c r="J6519" t="s">
        <v>379</v>
      </c>
      <c r="K6519" s="22" t="s">
        <v>29</v>
      </c>
      <c r="L6519">
        <v>2</v>
      </c>
      <c r="M6519">
        <v>1</v>
      </c>
      <c r="O6519" s="30"/>
    </row>
    <row r="6520" spans="10:15" x14ac:dyDescent="0.25">
      <c r="J6520" t="s">
        <v>379</v>
      </c>
      <c r="K6520" s="22" t="s">
        <v>28</v>
      </c>
      <c r="L6520">
        <v>3</v>
      </c>
    </row>
    <row r="6521" spans="10:15" x14ac:dyDescent="0.25">
      <c r="J6521" t="s">
        <v>379</v>
      </c>
      <c r="K6521" s="22" t="s">
        <v>35</v>
      </c>
      <c r="L6521">
        <v>3</v>
      </c>
    </row>
    <row r="6522" spans="10:15" x14ac:dyDescent="0.25">
      <c r="J6522" t="s">
        <v>1140</v>
      </c>
      <c r="K6522" s="22" t="s">
        <v>29</v>
      </c>
      <c r="L6522">
        <v>1</v>
      </c>
      <c r="M6522">
        <v>1</v>
      </c>
      <c r="O6522" s="31"/>
    </row>
    <row r="6523" spans="10:15" x14ac:dyDescent="0.25">
      <c r="J6523" t="s">
        <v>1140</v>
      </c>
      <c r="K6523" s="22" t="s">
        <v>35</v>
      </c>
      <c r="L6523">
        <v>8</v>
      </c>
      <c r="M6523">
        <v>5</v>
      </c>
      <c r="O6523" s="30"/>
    </row>
    <row r="6524" spans="10:15" x14ac:dyDescent="0.25">
      <c r="J6524" t="s">
        <v>2772</v>
      </c>
      <c r="K6524" s="22" t="s">
        <v>30</v>
      </c>
      <c r="L6524">
        <v>1</v>
      </c>
    </row>
    <row r="6525" spans="10:15" x14ac:dyDescent="0.25">
      <c r="J6525" t="s">
        <v>2772</v>
      </c>
      <c r="K6525" s="22" t="s">
        <v>29</v>
      </c>
      <c r="L6525">
        <v>1</v>
      </c>
      <c r="M6525">
        <v>1</v>
      </c>
      <c r="O6525" s="31"/>
    </row>
    <row r="6526" spans="10:15" x14ac:dyDescent="0.25">
      <c r="J6526" t="s">
        <v>3054</v>
      </c>
      <c r="K6526" s="22" t="s">
        <v>29</v>
      </c>
      <c r="L6526">
        <v>1</v>
      </c>
      <c r="M6526">
        <v>1</v>
      </c>
      <c r="O6526" s="31"/>
    </row>
    <row r="6527" spans="10:15" x14ac:dyDescent="0.25">
      <c r="J6527" t="s">
        <v>3054</v>
      </c>
      <c r="K6527" s="22" t="s">
        <v>22</v>
      </c>
      <c r="L6527">
        <v>1</v>
      </c>
    </row>
    <row r="6528" spans="10:15" x14ac:dyDescent="0.25">
      <c r="J6528" t="s">
        <v>1470</v>
      </c>
      <c r="K6528" s="22" t="s">
        <v>30</v>
      </c>
      <c r="L6528">
        <v>2</v>
      </c>
      <c r="M6528">
        <v>1</v>
      </c>
    </row>
    <row r="6529" spans="10:15" x14ac:dyDescent="0.25">
      <c r="J6529" t="s">
        <v>1470</v>
      </c>
      <c r="K6529" s="22" t="s">
        <v>28</v>
      </c>
      <c r="L6529">
        <v>1</v>
      </c>
      <c r="M6529">
        <v>1</v>
      </c>
      <c r="O6529" s="31"/>
    </row>
    <row r="6530" spans="10:15" x14ac:dyDescent="0.25">
      <c r="J6530" t="s">
        <v>2555</v>
      </c>
      <c r="K6530" s="22" t="s">
        <v>30</v>
      </c>
      <c r="L6530">
        <v>1</v>
      </c>
    </row>
    <row r="6531" spans="10:15" x14ac:dyDescent="0.25">
      <c r="J6531" t="s">
        <v>1707</v>
      </c>
      <c r="K6531" s="22" t="s">
        <v>30</v>
      </c>
      <c r="L6531">
        <v>1</v>
      </c>
      <c r="O6531" s="30"/>
    </row>
    <row r="6532" spans="10:15" x14ac:dyDescent="0.25">
      <c r="J6532" t="s">
        <v>1707</v>
      </c>
      <c r="K6532" s="22" t="s">
        <v>29</v>
      </c>
      <c r="L6532">
        <v>1</v>
      </c>
      <c r="O6532" s="30"/>
    </row>
    <row r="6533" spans="10:15" x14ac:dyDescent="0.25">
      <c r="J6533" t="s">
        <v>1707</v>
      </c>
      <c r="K6533" s="22" t="s">
        <v>28</v>
      </c>
      <c r="L6533">
        <v>3</v>
      </c>
      <c r="M6533">
        <v>1</v>
      </c>
      <c r="O6533" s="30"/>
    </row>
    <row r="6534" spans="10:15" x14ac:dyDescent="0.25">
      <c r="J6534" t="s">
        <v>1707</v>
      </c>
      <c r="K6534" s="22" t="s">
        <v>31</v>
      </c>
      <c r="L6534">
        <v>2</v>
      </c>
      <c r="M6534">
        <v>1</v>
      </c>
      <c r="O6534" s="30"/>
    </row>
    <row r="6535" spans="10:15" x14ac:dyDescent="0.25">
      <c r="J6535" t="s">
        <v>2091</v>
      </c>
      <c r="K6535" s="22" t="s">
        <v>30</v>
      </c>
      <c r="L6535">
        <v>1</v>
      </c>
      <c r="M6535">
        <v>1</v>
      </c>
    </row>
    <row r="6536" spans="10:15" x14ac:dyDescent="0.25">
      <c r="J6536" t="s">
        <v>3216</v>
      </c>
      <c r="K6536" s="22" t="s">
        <v>22</v>
      </c>
      <c r="L6536">
        <v>2</v>
      </c>
      <c r="M6536">
        <v>2</v>
      </c>
      <c r="O6536" s="31"/>
    </row>
    <row r="6537" spans="10:15" x14ac:dyDescent="0.25">
      <c r="J6537" t="s">
        <v>1111</v>
      </c>
      <c r="K6537" s="22" t="s">
        <v>29</v>
      </c>
      <c r="L6537">
        <v>3</v>
      </c>
      <c r="M6537">
        <v>3</v>
      </c>
      <c r="O6537" s="31"/>
    </row>
    <row r="6538" spans="10:15" x14ac:dyDescent="0.25">
      <c r="J6538" t="s">
        <v>2454</v>
      </c>
      <c r="K6538" s="22" t="s">
        <v>29</v>
      </c>
      <c r="L6538">
        <v>1</v>
      </c>
      <c r="M6538">
        <v>1</v>
      </c>
    </row>
    <row r="6539" spans="10:15" x14ac:dyDescent="0.25">
      <c r="J6539" t="s">
        <v>2454</v>
      </c>
      <c r="K6539" s="22" t="s">
        <v>35</v>
      </c>
      <c r="L6539">
        <v>1</v>
      </c>
    </row>
    <row r="6540" spans="10:15" x14ac:dyDescent="0.25">
      <c r="J6540" t="s">
        <v>2907</v>
      </c>
      <c r="K6540" s="22" t="s">
        <v>30</v>
      </c>
      <c r="L6540">
        <v>2</v>
      </c>
      <c r="M6540">
        <v>1</v>
      </c>
      <c r="O6540" s="30"/>
    </row>
    <row r="6541" spans="10:15" x14ac:dyDescent="0.25">
      <c r="J6541" t="s">
        <v>2251</v>
      </c>
      <c r="K6541" s="22" t="s">
        <v>30</v>
      </c>
      <c r="L6541">
        <v>2</v>
      </c>
      <c r="M6541">
        <v>2</v>
      </c>
    </row>
    <row r="6542" spans="10:15" x14ac:dyDescent="0.25">
      <c r="J6542" t="s">
        <v>2690</v>
      </c>
      <c r="K6542" s="22" t="s">
        <v>30</v>
      </c>
      <c r="L6542">
        <v>1</v>
      </c>
    </row>
    <row r="6543" spans="10:15" x14ac:dyDescent="0.25">
      <c r="J6543" t="s">
        <v>2690</v>
      </c>
      <c r="K6543" s="22" t="s">
        <v>29</v>
      </c>
      <c r="L6543">
        <v>2</v>
      </c>
      <c r="O6543" s="30"/>
    </row>
    <row r="6544" spans="10:15" x14ac:dyDescent="0.25">
      <c r="J6544" t="s">
        <v>2935</v>
      </c>
      <c r="K6544" s="22" t="s">
        <v>35</v>
      </c>
      <c r="L6544">
        <v>1</v>
      </c>
    </row>
    <row r="6545" spans="10:15" x14ac:dyDescent="0.25">
      <c r="J6545" t="s">
        <v>2817</v>
      </c>
      <c r="K6545" s="22" t="s">
        <v>29</v>
      </c>
      <c r="L6545">
        <v>1</v>
      </c>
      <c r="M6545">
        <v>1</v>
      </c>
    </row>
    <row r="6546" spans="10:15" x14ac:dyDescent="0.25">
      <c r="J6546" t="s">
        <v>3051</v>
      </c>
      <c r="K6546" s="22" t="s">
        <v>35</v>
      </c>
      <c r="L6546">
        <v>3</v>
      </c>
      <c r="M6546">
        <v>3</v>
      </c>
      <c r="O6546" s="31"/>
    </row>
    <row r="6547" spans="10:15" x14ac:dyDescent="0.25">
      <c r="J6547" t="s">
        <v>2479</v>
      </c>
      <c r="K6547" s="22" t="s">
        <v>29</v>
      </c>
      <c r="L6547">
        <v>1</v>
      </c>
      <c r="M6547">
        <v>1</v>
      </c>
    </row>
    <row r="6548" spans="10:15" x14ac:dyDescent="0.25">
      <c r="J6548" t="s">
        <v>805</v>
      </c>
      <c r="K6548" s="22" t="s">
        <v>30</v>
      </c>
      <c r="L6548">
        <v>6</v>
      </c>
      <c r="M6548">
        <v>6</v>
      </c>
      <c r="O6548" s="31"/>
    </row>
    <row r="6549" spans="10:15" x14ac:dyDescent="0.25">
      <c r="J6549" t="s">
        <v>2937</v>
      </c>
      <c r="K6549" s="22" t="s">
        <v>30</v>
      </c>
      <c r="L6549">
        <v>1</v>
      </c>
    </row>
    <row r="6550" spans="10:15" x14ac:dyDescent="0.25">
      <c r="J6550" t="s">
        <v>3130</v>
      </c>
      <c r="K6550" s="22" t="s">
        <v>29</v>
      </c>
      <c r="L6550">
        <v>1</v>
      </c>
      <c r="O6550" s="30"/>
    </row>
    <row r="6551" spans="10:15" x14ac:dyDescent="0.25">
      <c r="J6551" t="s">
        <v>524</v>
      </c>
      <c r="K6551" s="22" t="s">
        <v>22</v>
      </c>
      <c r="L6551">
        <v>3</v>
      </c>
      <c r="M6551">
        <v>3</v>
      </c>
    </row>
    <row r="6552" spans="10:15" x14ac:dyDescent="0.25">
      <c r="J6552" t="s">
        <v>120</v>
      </c>
      <c r="K6552" s="22" t="s">
        <v>35</v>
      </c>
      <c r="L6552">
        <v>3</v>
      </c>
      <c r="M6552">
        <v>3</v>
      </c>
      <c r="O6552" s="31"/>
    </row>
    <row r="6553" spans="10:15" x14ac:dyDescent="0.25">
      <c r="J6553" t="s">
        <v>172</v>
      </c>
      <c r="K6553" s="22" t="s">
        <v>35</v>
      </c>
      <c r="L6553">
        <v>2</v>
      </c>
      <c r="M6553">
        <v>2</v>
      </c>
    </row>
    <row r="6554" spans="10:15" x14ac:dyDescent="0.25">
      <c r="J6554" t="s">
        <v>2042</v>
      </c>
      <c r="K6554" s="22" t="s">
        <v>35</v>
      </c>
      <c r="L6554">
        <v>4</v>
      </c>
      <c r="M6554">
        <v>4</v>
      </c>
      <c r="O6554" s="31"/>
    </row>
    <row r="6555" spans="10:15" x14ac:dyDescent="0.25">
      <c r="J6555" t="s">
        <v>420</v>
      </c>
      <c r="K6555" s="22" t="s">
        <v>30</v>
      </c>
      <c r="L6555">
        <v>4</v>
      </c>
      <c r="M6555">
        <v>4</v>
      </c>
      <c r="O6555" s="31"/>
    </row>
    <row r="6556" spans="10:15" x14ac:dyDescent="0.25">
      <c r="J6556" t="s">
        <v>1543</v>
      </c>
      <c r="K6556" s="22" t="s">
        <v>28</v>
      </c>
      <c r="L6556">
        <v>2</v>
      </c>
      <c r="M6556">
        <v>1</v>
      </c>
    </row>
    <row r="6557" spans="10:15" x14ac:dyDescent="0.25">
      <c r="J6557" t="s">
        <v>1213</v>
      </c>
      <c r="K6557" s="22" t="s">
        <v>28</v>
      </c>
      <c r="L6557">
        <v>3</v>
      </c>
      <c r="M6557">
        <v>3</v>
      </c>
      <c r="O6557" s="31"/>
    </row>
    <row r="6558" spans="10:15" x14ac:dyDescent="0.25">
      <c r="J6558" t="s">
        <v>2980</v>
      </c>
      <c r="K6558" s="22" t="s">
        <v>30</v>
      </c>
      <c r="L6558">
        <v>1</v>
      </c>
      <c r="M6558">
        <v>1</v>
      </c>
    </row>
    <row r="6559" spans="10:15" x14ac:dyDescent="0.25">
      <c r="J6559" t="s">
        <v>2921</v>
      </c>
      <c r="K6559" s="22" t="s">
        <v>28</v>
      </c>
      <c r="L6559">
        <v>1</v>
      </c>
      <c r="O6559" s="30"/>
    </row>
    <row r="6560" spans="10:15" x14ac:dyDescent="0.25">
      <c r="J6560" t="s">
        <v>2360</v>
      </c>
      <c r="K6560" s="22" t="s">
        <v>28</v>
      </c>
      <c r="L6560">
        <v>3</v>
      </c>
      <c r="M6560">
        <v>3</v>
      </c>
      <c r="O6560" s="31"/>
    </row>
    <row r="6561" spans="10:15" x14ac:dyDescent="0.25">
      <c r="J6561" t="s">
        <v>3392</v>
      </c>
      <c r="K6561" s="22" t="s">
        <v>30</v>
      </c>
      <c r="L6561">
        <v>3</v>
      </c>
      <c r="M6561">
        <v>3</v>
      </c>
      <c r="O6561" s="31"/>
    </row>
    <row r="6562" spans="10:15" x14ac:dyDescent="0.25">
      <c r="J6562" t="s">
        <v>2062</v>
      </c>
      <c r="K6562" s="22" t="s">
        <v>30</v>
      </c>
      <c r="L6562">
        <v>3</v>
      </c>
      <c r="M6562">
        <v>3</v>
      </c>
      <c r="O6562" s="31"/>
    </row>
    <row r="6563" spans="10:15" x14ac:dyDescent="0.25">
      <c r="J6563" t="s">
        <v>2005</v>
      </c>
      <c r="K6563" s="22" t="s">
        <v>30</v>
      </c>
      <c r="L6563">
        <v>1</v>
      </c>
      <c r="M6563">
        <v>1</v>
      </c>
    </row>
    <row r="6564" spans="10:15" x14ac:dyDescent="0.25">
      <c r="J6564" t="s">
        <v>2992</v>
      </c>
      <c r="K6564" s="22" t="s">
        <v>30</v>
      </c>
      <c r="L6564">
        <v>1</v>
      </c>
      <c r="M6564">
        <v>1</v>
      </c>
    </row>
    <row r="6565" spans="10:15" x14ac:dyDescent="0.25">
      <c r="J6565" t="s">
        <v>1000</v>
      </c>
      <c r="K6565" s="22" t="s">
        <v>31</v>
      </c>
      <c r="L6565">
        <v>3</v>
      </c>
      <c r="M6565">
        <v>3</v>
      </c>
    </row>
    <row r="6566" spans="10:15" x14ac:dyDescent="0.25">
      <c r="J6566" t="s">
        <v>1498</v>
      </c>
      <c r="K6566" s="22" t="s">
        <v>35</v>
      </c>
      <c r="L6566">
        <v>5</v>
      </c>
      <c r="M6566">
        <v>5</v>
      </c>
      <c r="O6566" s="31"/>
    </row>
    <row r="6567" spans="10:15" x14ac:dyDescent="0.25">
      <c r="J6567" t="s">
        <v>2119</v>
      </c>
      <c r="K6567" s="22" t="s">
        <v>31</v>
      </c>
      <c r="L6567">
        <v>1</v>
      </c>
      <c r="M6567">
        <v>1</v>
      </c>
    </row>
    <row r="6568" spans="10:15" x14ac:dyDescent="0.25">
      <c r="J6568" t="s">
        <v>1393</v>
      </c>
      <c r="K6568" s="22" t="s">
        <v>35</v>
      </c>
      <c r="L6568">
        <v>2</v>
      </c>
      <c r="M6568">
        <v>2</v>
      </c>
      <c r="O6568" s="31"/>
    </row>
    <row r="6569" spans="10:15" x14ac:dyDescent="0.25">
      <c r="J6569" t="s">
        <v>2880</v>
      </c>
      <c r="K6569" s="22" t="s">
        <v>35</v>
      </c>
      <c r="L6569">
        <v>1</v>
      </c>
      <c r="M6569">
        <v>1</v>
      </c>
    </row>
    <row r="6570" spans="10:15" x14ac:dyDescent="0.25">
      <c r="J6570" t="s">
        <v>721</v>
      </c>
      <c r="K6570" s="22" t="s">
        <v>22</v>
      </c>
      <c r="L6570">
        <v>1</v>
      </c>
    </row>
    <row r="6571" spans="10:15" x14ac:dyDescent="0.25">
      <c r="J6571" t="s">
        <v>2594</v>
      </c>
      <c r="K6571" s="22" t="s">
        <v>31</v>
      </c>
      <c r="L6571">
        <v>1</v>
      </c>
    </row>
    <row r="6572" spans="10:15" x14ac:dyDescent="0.25">
      <c r="J6572" t="s">
        <v>100</v>
      </c>
      <c r="K6572" s="22" t="s">
        <v>28</v>
      </c>
      <c r="L6572">
        <v>2</v>
      </c>
      <c r="M6572">
        <v>2</v>
      </c>
    </row>
    <row r="6573" spans="10:15" x14ac:dyDescent="0.25">
      <c r="J6573" t="s">
        <v>2635</v>
      </c>
      <c r="K6573" s="22" t="s">
        <v>31</v>
      </c>
      <c r="L6573">
        <v>5</v>
      </c>
      <c r="M6573">
        <v>5</v>
      </c>
      <c r="O6573" s="31"/>
    </row>
    <row r="6574" spans="10:15" x14ac:dyDescent="0.25">
      <c r="J6574" t="s">
        <v>653</v>
      </c>
      <c r="K6574" s="22" t="s">
        <v>28</v>
      </c>
      <c r="L6574">
        <v>5</v>
      </c>
      <c r="M6574">
        <v>5</v>
      </c>
      <c r="O6574" s="31"/>
    </row>
    <row r="6575" spans="10:15" x14ac:dyDescent="0.25">
      <c r="J6575" t="s">
        <v>1927</v>
      </c>
      <c r="K6575" s="22" t="s">
        <v>30</v>
      </c>
      <c r="L6575">
        <v>1</v>
      </c>
      <c r="O6575" s="30"/>
    </row>
    <row r="6576" spans="10:15" x14ac:dyDescent="0.25">
      <c r="J6576" t="s">
        <v>1927</v>
      </c>
      <c r="K6576" s="22" t="s">
        <v>28</v>
      </c>
      <c r="L6576">
        <v>2</v>
      </c>
      <c r="O6576" s="30"/>
    </row>
    <row r="6577" spans="10:15" x14ac:dyDescent="0.25">
      <c r="J6577" t="s">
        <v>1927</v>
      </c>
      <c r="K6577" s="22" t="s">
        <v>22</v>
      </c>
      <c r="L6577">
        <v>1</v>
      </c>
      <c r="O6577" s="30"/>
    </row>
    <row r="6578" spans="10:15" x14ac:dyDescent="0.25">
      <c r="J6578" t="s">
        <v>1927</v>
      </c>
      <c r="K6578" s="22" t="s">
        <v>31</v>
      </c>
      <c r="L6578">
        <v>3</v>
      </c>
      <c r="M6578">
        <v>2</v>
      </c>
      <c r="O6578" s="30"/>
    </row>
    <row r="6579" spans="10:15" x14ac:dyDescent="0.25">
      <c r="J6579" t="s">
        <v>2336</v>
      </c>
      <c r="K6579" s="22" t="s">
        <v>28</v>
      </c>
      <c r="L6579">
        <v>2</v>
      </c>
      <c r="M6579">
        <v>2</v>
      </c>
    </row>
    <row r="6580" spans="10:15" x14ac:dyDescent="0.25">
      <c r="J6580" t="s">
        <v>2288</v>
      </c>
      <c r="K6580" s="22" t="s">
        <v>31</v>
      </c>
      <c r="L6580">
        <v>3</v>
      </c>
      <c r="M6580">
        <v>3</v>
      </c>
      <c r="O6580" s="31"/>
    </row>
    <row r="6581" spans="10:15" x14ac:dyDescent="0.25">
      <c r="J6581" t="s">
        <v>2637</v>
      </c>
      <c r="K6581" s="22" t="s">
        <v>28</v>
      </c>
      <c r="L6581">
        <v>3</v>
      </c>
      <c r="M6581">
        <v>3</v>
      </c>
    </row>
    <row r="6582" spans="10:15" x14ac:dyDescent="0.25">
      <c r="J6582" t="s">
        <v>3476</v>
      </c>
      <c r="K6582" s="22" t="s">
        <v>35</v>
      </c>
      <c r="L6582">
        <v>1</v>
      </c>
      <c r="O6582" s="30"/>
    </row>
    <row r="6583" spans="10:15" x14ac:dyDescent="0.25">
      <c r="J6583" t="s">
        <v>1709</v>
      </c>
      <c r="K6583" s="22" t="s">
        <v>31</v>
      </c>
      <c r="L6583">
        <v>1</v>
      </c>
      <c r="M6583">
        <v>1</v>
      </c>
    </row>
    <row r="6584" spans="10:15" x14ac:dyDescent="0.25">
      <c r="J6584" t="s">
        <v>2765</v>
      </c>
      <c r="K6584" s="22" t="s">
        <v>35</v>
      </c>
      <c r="L6584">
        <v>4</v>
      </c>
      <c r="M6584">
        <v>4</v>
      </c>
      <c r="O6584" s="31"/>
    </row>
    <row r="6585" spans="10:15" x14ac:dyDescent="0.25">
      <c r="J6585" t="s">
        <v>2852</v>
      </c>
      <c r="K6585" s="22" t="s">
        <v>22</v>
      </c>
      <c r="L6585">
        <v>1</v>
      </c>
      <c r="M6585">
        <v>1</v>
      </c>
    </row>
    <row r="6586" spans="10:15" x14ac:dyDescent="0.25">
      <c r="J6586" t="s">
        <v>2838</v>
      </c>
      <c r="K6586" s="22" t="s">
        <v>31</v>
      </c>
      <c r="L6586">
        <v>2</v>
      </c>
      <c r="M6586">
        <v>1</v>
      </c>
      <c r="O6586" s="30"/>
    </row>
    <row r="6587" spans="10:15" x14ac:dyDescent="0.25">
      <c r="J6587" t="s">
        <v>986</v>
      </c>
      <c r="K6587" s="22" t="s">
        <v>28</v>
      </c>
      <c r="L6587">
        <v>2</v>
      </c>
      <c r="M6587">
        <v>1</v>
      </c>
    </row>
    <row r="6588" spans="10:15" x14ac:dyDescent="0.25">
      <c r="J6588" t="s">
        <v>986</v>
      </c>
      <c r="K6588" s="22" t="s">
        <v>35</v>
      </c>
      <c r="L6588">
        <v>1</v>
      </c>
    </row>
    <row r="6589" spans="10:15" x14ac:dyDescent="0.25">
      <c r="J6589" t="s">
        <v>986</v>
      </c>
      <c r="K6589" s="22" t="s">
        <v>22</v>
      </c>
      <c r="L6589">
        <v>1</v>
      </c>
    </row>
    <row r="6590" spans="10:15" x14ac:dyDescent="0.25">
      <c r="J6590" t="s">
        <v>1007</v>
      </c>
      <c r="K6590" s="22" t="s">
        <v>29</v>
      </c>
      <c r="L6590">
        <v>1</v>
      </c>
      <c r="M6590">
        <v>1</v>
      </c>
    </row>
    <row r="6591" spans="10:15" x14ac:dyDescent="0.25">
      <c r="J6591" t="s">
        <v>1007</v>
      </c>
      <c r="K6591" s="22" t="s">
        <v>28</v>
      </c>
      <c r="L6591">
        <v>1</v>
      </c>
    </row>
    <row r="6592" spans="10:15" x14ac:dyDescent="0.25">
      <c r="J6592" t="s">
        <v>3383</v>
      </c>
      <c r="K6592" s="22" t="s">
        <v>22</v>
      </c>
      <c r="L6592">
        <v>3</v>
      </c>
      <c r="M6592">
        <v>2</v>
      </c>
      <c r="O6592" s="30"/>
    </row>
    <row r="6593" spans="10:15" x14ac:dyDescent="0.25">
      <c r="J6593" t="s">
        <v>1164</v>
      </c>
      <c r="K6593" s="22" t="s">
        <v>29</v>
      </c>
      <c r="L6593">
        <v>2</v>
      </c>
      <c r="M6593">
        <v>2</v>
      </c>
    </row>
    <row r="6594" spans="10:15" x14ac:dyDescent="0.25">
      <c r="J6594" t="s">
        <v>991</v>
      </c>
      <c r="K6594" s="22" t="s">
        <v>28</v>
      </c>
      <c r="L6594">
        <v>1</v>
      </c>
    </row>
    <row r="6595" spans="10:15" x14ac:dyDescent="0.25">
      <c r="J6595" t="s">
        <v>1819</v>
      </c>
      <c r="K6595" s="22" t="s">
        <v>31</v>
      </c>
      <c r="L6595">
        <v>2</v>
      </c>
      <c r="M6595">
        <v>2</v>
      </c>
    </row>
    <row r="6596" spans="10:15" x14ac:dyDescent="0.25">
      <c r="J6596" t="s">
        <v>2698</v>
      </c>
      <c r="K6596" s="22" t="s">
        <v>28</v>
      </c>
      <c r="L6596">
        <v>1</v>
      </c>
      <c r="M6596">
        <v>1</v>
      </c>
    </row>
    <row r="6597" spans="10:15" x14ac:dyDescent="0.25">
      <c r="J6597" t="s">
        <v>1419</v>
      </c>
      <c r="K6597" s="22" t="s">
        <v>28</v>
      </c>
      <c r="L6597">
        <v>1</v>
      </c>
    </row>
    <row r="6598" spans="10:15" x14ac:dyDescent="0.25">
      <c r="J6598" t="s">
        <v>1821</v>
      </c>
      <c r="K6598" s="22" t="s">
        <v>28</v>
      </c>
      <c r="L6598">
        <v>3</v>
      </c>
      <c r="M6598">
        <v>3</v>
      </c>
    </row>
    <row r="6599" spans="10:15" x14ac:dyDescent="0.25">
      <c r="J6599" t="s">
        <v>1158</v>
      </c>
      <c r="K6599" s="22" t="s">
        <v>29</v>
      </c>
      <c r="L6599">
        <v>3</v>
      </c>
      <c r="M6599">
        <v>3</v>
      </c>
      <c r="O6599" s="31"/>
    </row>
    <row r="6600" spans="10:15" x14ac:dyDescent="0.25">
      <c r="J6600" t="s">
        <v>1975</v>
      </c>
      <c r="K6600" s="22" t="s">
        <v>29</v>
      </c>
      <c r="L6600">
        <v>2</v>
      </c>
      <c r="M6600">
        <v>2</v>
      </c>
    </row>
    <row r="6601" spans="10:15" x14ac:dyDescent="0.25">
      <c r="J6601" t="s">
        <v>2625</v>
      </c>
      <c r="K6601" s="22" t="s">
        <v>31</v>
      </c>
      <c r="L6601">
        <v>1</v>
      </c>
      <c r="M6601">
        <v>1</v>
      </c>
    </row>
    <row r="6602" spans="10:15" x14ac:dyDescent="0.25">
      <c r="J6602" t="s">
        <v>709</v>
      </c>
      <c r="K6602" s="22" t="s">
        <v>29</v>
      </c>
      <c r="L6602">
        <v>2</v>
      </c>
      <c r="M6602">
        <v>2</v>
      </c>
      <c r="O6602" s="31"/>
    </row>
    <row r="6603" spans="10:15" x14ac:dyDescent="0.25">
      <c r="J6603" t="s">
        <v>1153</v>
      </c>
      <c r="K6603" s="22" t="s">
        <v>29</v>
      </c>
      <c r="L6603">
        <v>3</v>
      </c>
      <c r="M6603">
        <v>3</v>
      </c>
    </row>
    <row r="6604" spans="10:15" x14ac:dyDescent="0.25">
      <c r="J6604" t="s">
        <v>1643</v>
      </c>
      <c r="K6604" s="22" t="s">
        <v>31</v>
      </c>
      <c r="L6604">
        <v>4</v>
      </c>
      <c r="M6604">
        <v>4</v>
      </c>
      <c r="O6604" s="31"/>
    </row>
    <row r="6605" spans="10:15" x14ac:dyDescent="0.25">
      <c r="J6605" t="s">
        <v>674</v>
      </c>
      <c r="K6605" s="22" t="s">
        <v>29</v>
      </c>
      <c r="L6605">
        <v>2</v>
      </c>
      <c r="M6605">
        <v>2</v>
      </c>
    </row>
    <row r="6606" spans="10:15" x14ac:dyDescent="0.25">
      <c r="J6606" t="s">
        <v>2799</v>
      </c>
      <c r="K6606" s="22" t="s">
        <v>22</v>
      </c>
      <c r="L6606">
        <v>4</v>
      </c>
      <c r="M6606">
        <v>4</v>
      </c>
      <c r="O6606" s="31"/>
    </row>
    <row r="6607" spans="10:15" x14ac:dyDescent="0.25">
      <c r="J6607" t="s">
        <v>947</v>
      </c>
      <c r="K6607" s="22" t="s">
        <v>29</v>
      </c>
      <c r="L6607">
        <v>3</v>
      </c>
      <c r="M6607">
        <v>3</v>
      </c>
    </row>
    <row r="6608" spans="10:15" x14ac:dyDescent="0.25">
      <c r="J6608" t="s">
        <v>807</v>
      </c>
      <c r="K6608" s="22" t="s">
        <v>29</v>
      </c>
      <c r="L6608">
        <v>14</v>
      </c>
      <c r="M6608">
        <v>14</v>
      </c>
      <c r="O6608" s="31"/>
    </row>
    <row r="6609" spans="10:15" x14ac:dyDescent="0.25">
      <c r="J6609" t="s">
        <v>2696</v>
      </c>
      <c r="K6609" s="22" t="s">
        <v>31</v>
      </c>
      <c r="L6609">
        <v>1</v>
      </c>
    </row>
    <row r="6610" spans="10:15" x14ac:dyDescent="0.25">
      <c r="J6610" t="s">
        <v>2598</v>
      </c>
      <c r="K6610" s="22" t="s">
        <v>29</v>
      </c>
      <c r="L6610">
        <v>1</v>
      </c>
      <c r="M6610">
        <v>1</v>
      </c>
    </row>
    <row r="6611" spans="10:15" x14ac:dyDescent="0.25">
      <c r="J6611" t="s">
        <v>3249</v>
      </c>
      <c r="K6611" s="22" t="s">
        <v>22</v>
      </c>
      <c r="L6611">
        <v>2</v>
      </c>
      <c r="M6611">
        <v>2</v>
      </c>
      <c r="O6611" s="31"/>
    </row>
    <row r="6612" spans="10:15" x14ac:dyDescent="0.25">
      <c r="J6612" t="s">
        <v>3126</v>
      </c>
      <c r="K6612" s="22" t="s">
        <v>28</v>
      </c>
      <c r="L6612">
        <v>2</v>
      </c>
      <c r="M6612">
        <v>2</v>
      </c>
      <c r="O6612" s="31"/>
    </row>
    <row r="6613" spans="10:15" x14ac:dyDescent="0.25">
      <c r="J6613" t="s">
        <v>901</v>
      </c>
      <c r="K6613" s="22" t="s">
        <v>35</v>
      </c>
      <c r="L6613">
        <v>9</v>
      </c>
      <c r="M6613">
        <v>9</v>
      </c>
      <c r="O6613" s="31"/>
    </row>
    <row r="6614" spans="10:15" x14ac:dyDescent="0.25">
      <c r="J6614" t="s">
        <v>1535</v>
      </c>
      <c r="K6614" s="22" t="s">
        <v>28</v>
      </c>
      <c r="L6614">
        <v>5</v>
      </c>
      <c r="M6614">
        <v>5</v>
      </c>
      <c r="O6614" s="31"/>
    </row>
    <row r="6615" spans="10:15" x14ac:dyDescent="0.25">
      <c r="J6615" t="s">
        <v>250</v>
      </c>
      <c r="K6615" s="22" t="s">
        <v>28</v>
      </c>
      <c r="L6615">
        <v>4</v>
      </c>
      <c r="M6615">
        <v>4</v>
      </c>
      <c r="O6615" s="31"/>
    </row>
    <row r="6616" spans="10:15" x14ac:dyDescent="0.25">
      <c r="J6616" t="s">
        <v>2033</v>
      </c>
      <c r="K6616" s="22" t="s">
        <v>28</v>
      </c>
      <c r="L6616">
        <v>5</v>
      </c>
      <c r="M6616">
        <v>5</v>
      </c>
      <c r="O6616" s="31"/>
    </row>
    <row r="6617" spans="10:15" x14ac:dyDescent="0.25">
      <c r="J6617" t="s">
        <v>2338</v>
      </c>
      <c r="K6617" s="22" t="s">
        <v>22</v>
      </c>
      <c r="L6617">
        <v>1</v>
      </c>
      <c r="M6617">
        <v>1</v>
      </c>
    </row>
    <row r="6618" spans="10:15" x14ac:dyDescent="0.25">
      <c r="J6618" t="s">
        <v>636</v>
      </c>
      <c r="K6618" s="22" t="s">
        <v>35</v>
      </c>
      <c r="L6618">
        <v>4</v>
      </c>
      <c r="M6618">
        <v>4</v>
      </c>
      <c r="O6618" s="31"/>
    </row>
    <row r="6619" spans="10:15" x14ac:dyDescent="0.25">
      <c r="J6619" t="s">
        <v>1741</v>
      </c>
      <c r="K6619" s="22" t="s">
        <v>35</v>
      </c>
      <c r="L6619">
        <v>5</v>
      </c>
      <c r="M6619">
        <v>5</v>
      </c>
      <c r="O6619" s="31"/>
    </row>
    <row r="6620" spans="10:15" x14ac:dyDescent="0.25">
      <c r="J6620" t="s">
        <v>2891</v>
      </c>
      <c r="K6620" s="22" t="s">
        <v>35</v>
      </c>
      <c r="L6620">
        <v>6</v>
      </c>
      <c r="M6620">
        <v>6</v>
      </c>
      <c r="O6620" s="31"/>
    </row>
    <row r="6621" spans="10:15" x14ac:dyDescent="0.25">
      <c r="J6621" t="s">
        <v>1169</v>
      </c>
      <c r="K6621" s="22" t="s">
        <v>35</v>
      </c>
      <c r="L6621">
        <v>5</v>
      </c>
      <c r="M6621">
        <v>5</v>
      </c>
      <c r="O6621" s="31"/>
    </row>
    <row r="6622" spans="10:15" x14ac:dyDescent="0.25">
      <c r="J6622" t="s">
        <v>1381</v>
      </c>
      <c r="K6622" s="22" t="s">
        <v>35</v>
      </c>
      <c r="L6622">
        <v>2</v>
      </c>
      <c r="M6622">
        <v>1</v>
      </c>
    </row>
    <row r="6623" spans="10:15" x14ac:dyDescent="0.25">
      <c r="J6623" t="s">
        <v>1381</v>
      </c>
      <c r="K6623" s="22" t="s">
        <v>22</v>
      </c>
      <c r="L6623">
        <v>3</v>
      </c>
      <c r="M6623">
        <v>3</v>
      </c>
      <c r="O6623" s="31"/>
    </row>
    <row r="6624" spans="10:15" x14ac:dyDescent="0.25">
      <c r="J6624" t="s">
        <v>2051</v>
      </c>
      <c r="K6624" s="22" t="s">
        <v>28</v>
      </c>
      <c r="L6624">
        <v>1</v>
      </c>
    </row>
    <row r="6625" spans="10:15" x14ac:dyDescent="0.25">
      <c r="J6625" t="s">
        <v>2051</v>
      </c>
      <c r="K6625" s="22" t="s">
        <v>35</v>
      </c>
      <c r="L6625">
        <v>2</v>
      </c>
      <c r="M6625">
        <v>1</v>
      </c>
    </row>
    <row r="6626" spans="10:15" x14ac:dyDescent="0.25">
      <c r="J6626" t="s">
        <v>2712</v>
      </c>
      <c r="K6626" s="22" t="s">
        <v>28</v>
      </c>
      <c r="L6626">
        <v>1</v>
      </c>
    </row>
    <row r="6627" spans="10:15" x14ac:dyDescent="0.25">
      <c r="J6627" t="s">
        <v>2712</v>
      </c>
      <c r="K6627" s="22" t="s">
        <v>22</v>
      </c>
      <c r="L6627">
        <v>1</v>
      </c>
    </row>
    <row r="6628" spans="10:15" x14ac:dyDescent="0.25">
      <c r="J6628" t="s">
        <v>1210</v>
      </c>
      <c r="K6628" s="22" t="s">
        <v>28</v>
      </c>
      <c r="L6628">
        <v>3</v>
      </c>
      <c r="M6628">
        <v>3</v>
      </c>
      <c r="O6628" s="31"/>
    </row>
    <row r="6629" spans="10:15" x14ac:dyDescent="0.25">
      <c r="J6629" t="s">
        <v>3034</v>
      </c>
      <c r="K6629" s="22" t="s">
        <v>28</v>
      </c>
      <c r="L6629">
        <v>1</v>
      </c>
      <c r="O6629" s="30"/>
    </row>
    <row r="6630" spans="10:15" x14ac:dyDescent="0.25">
      <c r="J6630" t="s">
        <v>517</v>
      </c>
      <c r="K6630" s="22" t="s">
        <v>28</v>
      </c>
      <c r="L6630">
        <v>4</v>
      </c>
      <c r="M6630">
        <v>4</v>
      </c>
      <c r="O6630" s="31"/>
    </row>
    <row r="6631" spans="10:15" x14ac:dyDescent="0.25">
      <c r="J6631" t="s">
        <v>2518</v>
      </c>
      <c r="K6631" s="22" t="s">
        <v>35</v>
      </c>
      <c r="L6631">
        <v>2</v>
      </c>
      <c r="O6631" s="30"/>
    </row>
    <row r="6632" spans="10:15" x14ac:dyDescent="0.25">
      <c r="J6632" t="s">
        <v>2518</v>
      </c>
      <c r="K6632" s="22" t="s">
        <v>31</v>
      </c>
      <c r="L6632">
        <v>1</v>
      </c>
      <c r="M6632">
        <v>1</v>
      </c>
      <c r="O6632" s="31"/>
    </row>
    <row r="6633" spans="10:15" x14ac:dyDescent="0.25">
      <c r="J6633" t="s">
        <v>905</v>
      </c>
      <c r="K6633" s="22" t="s">
        <v>31</v>
      </c>
      <c r="L6633">
        <v>4</v>
      </c>
      <c r="M6633">
        <v>4</v>
      </c>
    </row>
    <row r="6634" spans="10:15" x14ac:dyDescent="0.25">
      <c r="J6634" t="s">
        <v>1787</v>
      </c>
      <c r="K6634" s="22" t="s">
        <v>35</v>
      </c>
      <c r="L6634">
        <v>4</v>
      </c>
      <c r="M6634">
        <v>4</v>
      </c>
      <c r="O6634" s="31"/>
    </row>
    <row r="6635" spans="10:15" x14ac:dyDescent="0.25">
      <c r="J6635" t="s">
        <v>2262</v>
      </c>
      <c r="K6635" s="22" t="s">
        <v>22</v>
      </c>
      <c r="L6635">
        <v>2</v>
      </c>
      <c r="O6635" s="30"/>
    </row>
    <row r="6636" spans="10:15" x14ac:dyDescent="0.25">
      <c r="J6636" t="s">
        <v>2262</v>
      </c>
      <c r="K6636" s="22" t="s">
        <v>31</v>
      </c>
      <c r="L6636">
        <v>3</v>
      </c>
      <c r="O6636" s="30"/>
    </row>
    <row r="6637" spans="10:15" x14ac:dyDescent="0.25">
      <c r="J6637" t="s">
        <v>1383</v>
      </c>
      <c r="K6637" s="22" t="s">
        <v>22</v>
      </c>
      <c r="L6637">
        <v>2</v>
      </c>
      <c r="M6637">
        <v>2</v>
      </c>
    </row>
    <row r="6638" spans="10:15" x14ac:dyDescent="0.25">
      <c r="J6638" t="s">
        <v>1049</v>
      </c>
      <c r="K6638" s="22" t="s">
        <v>31</v>
      </c>
      <c r="L6638">
        <v>12</v>
      </c>
      <c r="M6638">
        <v>12</v>
      </c>
      <c r="O6638" s="31"/>
    </row>
    <row r="6639" spans="10:15" x14ac:dyDescent="0.25">
      <c r="J6639" t="s">
        <v>1208</v>
      </c>
      <c r="K6639" s="22" t="s">
        <v>28</v>
      </c>
      <c r="L6639">
        <v>2</v>
      </c>
    </row>
    <row r="6640" spans="10:15" x14ac:dyDescent="0.25">
      <c r="J6640" t="s">
        <v>1208</v>
      </c>
      <c r="K6640" s="22" t="s">
        <v>35</v>
      </c>
      <c r="L6640">
        <v>1</v>
      </c>
      <c r="M6640">
        <v>1</v>
      </c>
      <c r="O6640" s="31"/>
    </row>
    <row r="6641" spans="10:15" x14ac:dyDescent="0.25">
      <c r="J6641" t="s">
        <v>1208</v>
      </c>
      <c r="K6641" s="22" t="s">
        <v>31</v>
      </c>
      <c r="L6641">
        <v>2</v>
      </c>
      <c r="M6641">
        <v>1</v>
      </c>
    </row>
    <row r="6642" spans="10:15" x14ac:dyDescent="0.25">
      <c r="J6642" t="s">
        <v>1260</v>
      </c>
      <c r="K6642" s="22" t="s">
        <v>35</v>
      </c>
      <c r="L6642">
        <v>4</v>
      </c>
      <c r="M6642">
        <v>4</v>
      </c>
      <c r="O6642" s="31"/>
    </row>
    <row r="6643" spans="10:15" x14ac:dyDescent="0.25">
      <c r="J6643" t="s">
        <v>1714</v>
      </c>
      <c r="K6643" s="22" t="s">
        <v>22</v>
      </c>
      <c r="L6643">
        <v>4</v>
      </c>
      <c r="M6643">
        <v>4</v>
      </c>
      <c r="O6643" s="31"/>
    </row>
    <row r="6644" spans="10:15" x14ac:dyDescent="0.25">
      <c r="J6644" t="s">
        <v>2313</v>
      </c>
      <c r="K6644" s="22" t="s">
        <v>28</v>
      </c>
      <c r="L6644">
        <v>2</v>
      </c>
      <c r="M6644">
        <v>2</v>
      </c>
      <c r="O6644" s="31"/>
    </row>
    <row r="6645" spans="10:15" x14ac:dyDescent="0.25">
      <c r="J6645" t="s">
        <v>2391</v>
      </c>
      <c r="K6645" s="22" t="s">
        <v>29</v>
      </c>
      <c r="L6645">
        <v>1</v>
      </c>
      <c r="M6645">
        <v>1</v>
      </c>
    </row>
    <row r="6646" spans="10:15" x14ac:dyDescent="0.25">
      <c r="J6646" t="s">
        <v>1716</v>
      </c>
      <c r="K6646" s="22" t="s">
        <v>29</v>
      </c>
      <c r="L6646">
        <v>2</v>
      </c>
      <c r="M6646">
        <v>2</v>
      </c>
      <c r="O6646" s="31"/>
    </row>
    <row r="6647" spans="10:15" x14ac:dyDescent="0.25">
      <c r="J6647" t="s">
        <v>356</v>
      </c>
      <c r="K6647" s="22" t="s">
        <v>29</v>
      </c>
      <c r="L6647">
        <v>6</v>
      </c>
      <c r="M6647">
        <v>6</v>
      </c>
      <c r="O6647" s="31"/>
    </row>
    <row r="6648" spans="10:15" x14ac:dyDescent="0.25">
      <c r="J6648" t="s">
        <v>929</v>
      </c>
      <c r="K6648" s="22" t="s">
        <v>31</v>
      </c>
      <c r="L6648">
        <v>2</v>
      </c>
      <c r="M6648">
        <v>2</v>
      </c>
      <c r="O6648" s="31"/>
    </row>
    <row r="6649" spans="10:15" x14ac:dyDescent="0.25">
      <c r="J6649" t="s">
        <v>2218</v>
      </c>
      <c r="K6649" s="22" t="s">
        <v>29</v>
      </c>
      <c r="L6649">
        <v>1</v>
      </c>
    </row>
    <row r="6650" spans="10:15" x14ac:dyDescent="0.25">
      <c r="J6650" t="s">
        <v>2218</v>
      </c>
      <c r="K6650" s="22" t="s">
        <v>35</v>
      </c>
      <c r="L6650">
        <v>1</v>
      </c>
      <c r="M6650">
        <v>1</v>
      </c>
      <c r="O6650" s="31"/>
    </row>
    <row r="6651" spans="10:15" x14ac:dyDescent="0.25">
      <c r="J6651" t="s">
        <v>1618</v>
      </c>
      <c r="K6651" s="22" t="s">
        <v>29</v>
      </c>
      <c r="L6651">
        <v>3</v>
      </c>
      <c r="M6651">
        <v>3</v>
      </c>
      <c r="O6651" s="31"/>
    </row>
    <row r="6652" spans="10:15" x14ac:dyDescent="0.25">
      <c r="J6652" t="s">
        <v>810</v>
      </c>
      <c r="K6652" s="22" t="s">
        <v>29</v>
      </c>
      <c r="L6652">
        <v>4</v>
      </c>
      <c r="M6652">
        <v>4</v>
      </c>
      <c r="O6652" s="31"/>
    </row>
    <row r="6653" spans="10:15" x14ac:dyDescent="0.25">
      <c r="J6653" t="s">
        <v>1216</v>
      </c>
      <c r="K6653" s="22" t="s">
        <v>29</v>
      </c>
      <c r="L6653">
        <v>3</v>
      </c>
      <c r="M6653">
        <v>3</v>
      </c>
      <c r="O6653" s="31"/>
    </row>
    <row r="6654" spans="10:15" x14ac:dyDescent="0.25">
      <c r="J6654" t="s">
        <v>169</v>
      </c>
      <c r="K6654" s="22" t="s">
        <v>35</v>
      </c>
      <c r="L6654">
        <v>2</v>
      </c>
      <c r="M6654">
        <v>2</v>
      </c>
    </row>
    <row r="6655" spans="10:15" x14ac:dyDescent="0.25">
      <c r="J6655" t="s">
        <v>1730</v>
      </c>
      <c r="K6655" s="22" t="s">
        <v>29</v>
      </c>
      <c r="L6655">
        <v>1</v>
      </c>
      <c r="M6655">
        <v>1</v>
      </c>
    </row>
    <row r="6656" spans="10:15" x14ac:dyDescent="0.25">
      <c r="J6656" t="s">
        <v>3243</v>
      </c>
      <c r="K6656" s="22" t="s">
        <v>31</v>
      </c>
      <c r="L6656">
        <v>1</v>
      </c>
      <c r="M6656">
        <v>1</v>
      </c>
      <c r="O6656" s="31"/>
    </row>
    <row r="6657" spans="10:15" x14ac:dyDescent="0.25">
      <c r="J6657" t="s">
        <v>2116</v>
      </c>
      <c r="K6657" s="22" t="s">
        <v>35</v>
      </c>
      <c r="L6657">
        <v>3</v>
      </c>
      <c r="M6657">
        <v>3</v>
      </c>
      <c r="O6657" s="31"/>
    </row>
    <row r="6658" spans="10:15" x14ac:dyDescent="0.25">
      <c r="J6658" t="s">
        <v>3515</v>
      </c>
      <c r="K6658" s="22" t="s">
        <v>28</v>
      </c>
      <c r="L6658">
        <v>1</v>
      </c>
      <c r="M6658">
        <v>1</v>
      </c>
      <c r="O6658" s="31"/>
    </row>
    <row r="6659" spans="10:15" x14ac:dyDescent="0.25">
      <c r="J6659" t="s">
        <v>2653</v>
      </c>
      <c r="K6659" s="22" t="s">
        <v>35</v>
      </c>
      <c r="L6659">
        <v>1</v>
      </c>
      <c r="M6659">
        <v>1</v>
      </c>
    </row>
    <row r="6660" spans="10:15" x14ac:dyDescent="0.25">
      <c r="J6660" t="s">
        <v>380</v>
      </c>
      <c r="K6660" s="22" t="s">
        <v>28</v>
      </c>
      <c r="L6660">
        <v>1</v>
      </c>
    </row>
    <row r="6661" spans="10:15" x14ac:dyDescent="0.25">
      <c r="J6661" t="s">
        <v>380</v>
      </c>
      <c r="K6661" s="22" t="s">
        <v>35</v>
      </c>
      <c r="L6661">
        <v>1</v>
      </c>
      <c r="M6661">
        <v>1</v>
      </c>
    </row>
    <row r="6662" spans="10:15" x14ac:dyDescent="0.25">
      <c r="J6662" t="s">
        <v>2679</v>
      </c>
      <c r="K6662" s="22" t="s">
        <v>35</v>
      </c>
      <c r="L6662">
        <v>5</v>
      </c>
      <c r="M6662">
        <v>5</v>
      </c>
      <c r="O6662" s="31"/>
    </row>
    <row r="6663" spans="10:15" x14ac:dyDescent="0.25">
      <c r="J6663" t="s">
        <v>3166</v>
      </c>
      <c r="K6663" s="22" t="s">
        <v>22</v>
      </c>
      <c r="L6663">
        <v>1</v>
      </c>
      <c r="O6663" s="30"/>
    </row>
    <row r="6664" spans="10:15" x14ac:dyDescent="0.25">
      <c r="J6664" t="s">
        <v>3285</v>
      </c>
      <c r="K6664" s="22" t="s">
        <v>35</v>
      </c>
      <c r="L6664">
        <v>1</v>
      </c>
      <c r="M6664">
        <v>1</v>
      </c>
      <c r="O6664" s="31"/>
    </row>
    <row r="6665" spans="10:15" x14ac:dyDescent="0.25">
      <c r="J6665" t="s">
        <v>320</v>
      </c>
      <c r="K6665" s="22" t="s">
        <v>35</v>
      </c>
      <c r="L6665">
        <v>6</v>
      </c>
      <c r="M6665">
        <v>6</v>
      </c>
      <c r="O6665" s="31"/>
    </row>
    <row r="6666" spans="10:15" x14ac:dyDescent="0.25">
      <c r="J6666" t="s">
        <v>705</v>
      </c>
      <c r="K6666" s="22" t="s">
        <v>35</v>
      </c>
      <c r="L6666">
        <v>1</v>
      </c>
      <c r="M6666">
        <v>1</v>
      </c>
    </row>
    <row r="6667" spans="10:15" x14ac:dyDescent="0.25">
      <c r="J6667" t="s">
        <v>705</v>
      </c>
      <c r="K6667" s="22" t="s">
        <v>22</v>
      </c>
      <c r="L6667">
        <v>3</v>
      </c>
    </row>
    <row r="6668" spans="10:15" x14ac:dyDescent="0.25">
      <c r="J6668" t="s">
        <v>2819</v>
      </c>
      <c r="K6668" s="22" t="s">
        <v>35</v>
      </c>
      <c r="L6668">
        <v>2</v>
      </c>
      <c r="M6668">
        <v>2</v>
      </c>
    </row>
    <row r="6669" spans="10:15" x14ac:dyDescent="0.25">
      <c r="J6669" t="s">
        <v>1364</v>
      </c>
      <c r="K6669" s="22" t="s">
        <v>35</v>
      </c>
      <c r="L6669">
        <v>3</v>
      </c>
      <c r="M6669">
        <v>3</v>
      </c>
      <c r="O6669" s="31"/>
    </row>
    <row r="6670" spans="10:15" x14ac:dyDescent="0.25">
      <c r="J6670" t="s">
        <v>1575</v>
      </c>
      <c r="K6670" s="22" t="s">
        <v>28</v>
      </c>
      <c r="L6670">
        <v>3</v>
      </c>
      <c r="M6670">
        <v>3</v>
      </c>
      <c r="O6670" s="31"/>
    </row>
    <row r="6671" spans="10:15" x14ac:dyDescent="0.25">
      <c r="J6671" t="s">
        <v>525</v>
      </c>
      <c r="K6671" s="22" t="s">
        <v>28</v>
      </c>
      <c r="L6671">
        <v>1</v>
      </c>
      <c r="M6671">
        <v>1</v>
      </c>
    </row>
    <row r="6672" spans="10:15" x14ac:dyDescent="0.25">
      <c r="J6672" t="s">
        <v>525</v>
      </c>
      <c r="K6672" s="22" t="s">
        <v>22</v>
      </c>
      <c r="L6672">
        <v>1</v>
      </c>
      <c r="M6672">
        <v>1</v>
      </c>
    </row>
    <row r="6673" spans="10:17" x14ac:dyDescent="0.25">
      <c r="J6673" t="s">
        <v>1179</v>
      </c>
      <c r="K6673" s="22" t="s">
        <v>31</v>
      </c>
      <c r="L6673">
        <v>5</v>
      </c>
      <c r="M6673">
        <v>5</v>
      </c>
      <c r="O6673" s="31"/>
    </row>
    <row r="6674" spans="10:17" x14ac:dyDescent="0.25">
      <c r="J6674" t="s">
        <v>1082</v>
      </c>
      <c r="K6674" s="22" t="s">
        <v>35</v>
      </c>
      <c r="L6674">
        <v>1</v>
      </c>
    </row>
    <row r="6675" spans="10:17" x14ac:dyDescent="0.25">
      <c r="J6675" t="s">
        <v>1082</v>
      </c>
      <c r="K6675" s="22" t="s">
        <v>31</v>
      </c>
      <c r="L6675">
        <v>2</v>
      </c>
      <c r="M6675">
        <v>2</v>
      </c>
      <c r="O6675" s="31"/>
    </row>
    <row r="6676" spans="10:17" x14ac:dyDescent="0.25">
      <c r="J6676" t="s">
        <v>2862</v>
      </c>
      <c r="K6676" s="22" t="s">
        <v>31</v>
      </c>
      <c r="L6676">
        <v>1</v>
      </c>
      <c r="M6676">
        <v>1</v>
      </c>
    </row>
    <row r="6677" spans="10:17" x14ac:dyDescent="0.25">
      <c r="J6677" t="s">
        <v>615</v>
      </c>
      <c r="K6677" s="22" t="s">
        <v>30</v>
      </c>
      <c r="L6677">
        <v>6</v>
      </c>
      <c r="M6677">
        <v>3</v>
      </c>
      <c r="O6677" s="30"/>
    </row>
    <row r="6678" spans="10:17" x14ac:dyDescent="0.25">
      <c r="J6678" t="s">
        <v>125</v>
      </c>
      <c r="K6678" s="22" t="s">
        <v>30</v>
      </c>
      <c r="L6678">
        <v>2</v>
      </c>
      <c r="M6678">
        <v>2</v>
      </c>
      <c r="O6678" s="31"/>
      <c r="P6678" s="26"/>
      <c r="Q6678" s="26"/>
    </row>
    <row r="6679" spans="10:17" x14ac:dyDescent="0.25">
      <c r="J6679" t="s">
        <v>491</v>
      </c>
      <c r="K6679" s="22" t="s">
        <v>26</v>
      </c>
      <c r="L6679">
        <v>1</v>
      </c>
      <c r="M6679">
        <v>1</v>
      </c>
      <c r="O6679" s="31"/>
      <c r="P6679" s="26"/>
      <c r="Q6679" s="26"/>
    </row>
    <row r="6680" spans="10:17" x14ac:dyDescent="0.25">
      <c r="J6680" t="s">
        <v>3518</v>
      </c>
      <c r="K6680" s="22" t="s">
        <v>35</v>
      </c>
      <c r="L6680">
        <v>1</v>
      </c>
      <c r="O6680" s="30"/>
      <c r="P6680" s="26"/>
      <c r="Q6680" s="26"/>
    </row>
    <row r="6681" spans="10:17" x14ac:dyDescent="0.25">
      <c r="J6681" t="s">
        <v>3519</v>
      </c>
      <c r="K6681" s="22" t="s">
        <v>20</v>
      </c>
      <c r="L6681">
        <v>1</v>
      </c>
      <c r="M6681">
        <v>1</v>
      </c>
      <c r="O6681" s="31"/>
      <c r="P6681" s="26"/>
      <c r="Q6681" s="26"/>
    </row>
    <row r="6682" spans="10:17" x14ac:dyDescent="0.25">
      <c r="J6682" t="s">
        <v>421</v>
      </c>
      <c r="K6682" s="22" t="s">
        <v>31</v>
      </c>
      <c r="L6682">
        <v>1</v>
      </c>
      <c r="O6682" s="30"/>
      <c r="P6682" s="26"/>
      <c r="Q6682" s="26"/>
    </row>
    <row r="6683" spans="10:17" x14ac:dyDescent="0.25">
      <c r="J6683" t="s">
        <v>3520</v>
      </c>
      <c r="K6683" s="22" t="s">
        <v>28</v>
      </c>
      <c r="L6683">
        <v>1</v>
      </c>
      <c r="M6683">
        <v>1</v>
      </c>
      <c r="O6683" s="31"/>
      <c r="P6683" s="26"/>
      <c r="Q6683" s="26"/>
    </row>
    <row r="6684" spans="10:17" x14ac:dyDescent="0.25">
      <c r="J6684" t="s">
        <v>3521</v>
      </c>
      <c r="K6684" s="22" t="s">
        <v>29</v>
      </c>
      <c r="L6684">
        <v>1</v>
      </c>
      <c r="O6684" s="30"/>
      <c r="P6684" s="26"/>
      <c r="Q6684" s="26"/>
    </row>
    <row r="6685" spans="10:17" x14ac:dyDescent="0.25">
      <c r="J6685" t="s">
        <v>3522</v>
      </c>
      <c r="K6685" s="22" t="s">
        <v>22</v>
      </c>
      <c r="L6685">
        <v>1</v>
      </c>
      <c r="M6685">
        <v>1</v>
      </c>
      <c r="O6685" s="31"/>
      <c r="P6685" s="26"/>
      <c r="Q6685" s="26"/>
    </row>
    <row r="6686" spans="10:17" x14ac:dyDescent="0.25">
      <c r="J6686" t="s">
        <v>3523</v>
      </c>
      <c r="K6686" s="22" t="s">
        <v>35</v>
      </c>
      <c r="L6686">
        <v>1</v>
      </c>
      <c r="O6686" s="30"/>
      <c r="P6686" s="26"/>
      <c r="Q6686" s="26"/>
    </row>
    <row r="6687" spans="10:17" x14ac:dyDescent="0.25">
      <c r="J6687" t="s">
        <v>2993</v>
      </c>
      <c r="K6687" s="22" t="s">
        <v>35</v>
      </c>
      <c r="L6687">
        <v>1</v>
      </c>
      <c r="O6687" s="30"/>
      <c r="P6687" s="26"/>
      <c r="Q6687" s="26"/>
    </row>
    <row r="6688" spans="10:17" x14ac:dyDescent="0.25">
      <c r="J6688" t="s">
        <v>1713</v>
      </c>
      <c r="K6688" s="22" t="s">
        <v>31</v>
      </c>
      <c r="L6688">
        <v>1</v>
      </c>
      <c r="M6688">
        <v>1</v>
      </c>
      <c r="O6688" s="31"/>
      <c r="P6688" s="26"/>
      <c r="Q6688" s="26"/>
    </row>
    <row r="6689" spans="10:17" x14ac:dyDescent="0.25">
      <c r="J6689" t="s">
        <v>3054</v>
      </c>
      <c r="K6689" s="22" t="s">
        <v>28</v>
      </c>
      <c r="L6689">
        <v>1</v>
      </c>
      <c r="O6689" s="30"/>
      <c r="P6689" s="26"/>
      <c r="Q6689" s="26"/>
    </row>
    <row r="6690" spans="10:17" x14ac:dyDescent="0.25">
      <c r="J6690" t="s">
        <v>3524</v>
      </c>
      <c r="K6690" s="22" t="s">
        <v>22</v>
      </c>
      <c r="L6690">
        <v>1</v>
      </c>
      <c r="M6690">
        <v>1</v>
      </c>
      <c r="O6690" s="31"/>
      <c r="P6690" s="26"/>
      <c r="Q6690" s="26"/>
    </row>
    <row r="6691" spans="10:17" x14ac:dyDescent="0.25">
      <c r="J6691" t="s">
        <v>3525</v>
      </c>
      <c r="K6691" s="22" t="s">
        <v>30</v>
      </c>
      <c r="L6691">
        <v>1</v>
      </c>
      <c r="O6691" s="30"/>
      <c r="P6691" s="26"/>
      <c r="Q6691" s="26"/>
    </row>
    <row r="6692" spans="10:17" x14ac:dyDescent="0.25">
      <c r="J6692" t="s">
        <v>2993</v>
      </c>
      <c r="K6692" s="22" t="s">
        <v>31</v>
      </c>
      <c r="L6692">
        <v>1</v>
      </c>
      <c r="M6692">
        <v>1</v>
      </c>
      <c r="O6692" s="31"/>
      <c r="P6692" s="26"/>
      <c r="Q6692" s="26"/>
    </row>
    <row r="6693" spans="10:17" x14ac:dyDescent="0.25">
      <c r="J6693" t="s">
        <v>2481</v>
      </c>
      <c r="K6693" s="22" t="s">
        <v>35</v>
      </c>
      <c r="L6693">
        <v>1</v>
      </c>
      <c r="O6693" s="30"/>
      <c r="P6693" s="26"/>
      <c r="Q6693" s="26"/>
    </row>
    <row r="6694" spans="10:17" x14ac:dyDescent="0.25">
      <c r="J6694" t="s">
        <v>3526</v>
      </c>
      <c r="K6694" s="22" t="s">
        <v>28</v>
      </c>
      <c r="L6694">
        <v>1</v>
      </c>
      <c r="M6694">
        <v>1</v>
      </c>
      <c r="O6694" s="31"/>
      <c r="P6694" s="26"/>
      <c r="Q6694" s="26"/>
    </row>
    <row r="6695" spans="10:17" x14ac:dyDescent="0.25">
      <c r="J6695" t="s">
        <v>125</v>
      </c>
      <c r="K6695" s="22" t="s">
        <v>26</v>
      </c>
      <c r="L6695">
        <v>1</v>
      </c>
      <c r="O6695" s="30"/>
      <c r="P6695" s="26"/>
      <c r="Q6695" s="26"/>
    </row>
    <row r="6696" spans="10:17" x14ac:dyDescent="0.25">
      <c r="J6696" t="s">
        <v>3467</v>
      </c>
      <c r="K6696" s="22" t="s">
        <v>29</v>
      </c>
      <c r="L6696">
        <v>2</v>
      </c>
      <c r="M6696">
        <v>1</v>
      </c>
      <c r="O6696" s="30"/>
      <c r="P6696" s="26"/>
      <c r="Q6696" s="26"/>
    </row>
    <row r="6697" spans="10:17" x14ac:dyDescent="0.25">
      <c r="J6697" t="s">
        <v>3283</v>
      </c>
      <c r="K6697" s="22" t="s">
        <v>22</v>
      </c>
      <c r="L6697">
        <v>1</v>
      </c>
      <c r="O6697" s="30"/>
      <c r="P6697" s="26"/>
      <c r="Q6697" s="26"/>
    </row>
    <row r="6698" spans="10:17" x14ac:dyDescent="0.25">
      <c r="J6698" t="s">
        <v>2419</v>
      </c>
      <c r="K6698" s="22" t="s">
        <v>30</v>
      </c>
      <c r="L6698">
        <v>1</v>
      </c>
      <c r="M6698">
        <v>1</v>
      </c>
      <c r="O6698" s="31"/>
      <c r="P6698" s="26"/>
      <c r="Q6698" s="26"/>
    </row>
    <row r="6699" spans="10:17" x14ac:dyDescent="0.25">
      <c r="J6699" t="s">
        <v>3462</v>
      </c>
      <c r="K6699" s="22" t="s">
        <v>20</v>
      </c>
      <c r="L6699">
        <v>1</v>
      </c>
      <c r="M6699">
        <v>1</v>
      </c>
      <c r="O6699" s="31"/>
      <c r="P6699" s="26"/>
      <c r="Q6699" s="26"/>
    </row>
    <row r="6700" spans="10:17" x14ac:dyDescent="0.25">
      <c r="J6700" t="s">
        <v>1822</v>
      </c>
      <c r="K6700" s="22" t="s">
        <v>29</v>
      </c>
      <c r="L6700">
        <v>1</v>
      </c>
      <c r="O6700" s="30"/>
      <c r="P6700" s="26"/>
      <c r="Q6700" s="26"/>
    </row>
    <row r="6701" spans="10:17" x14ac:dyDescent="0.25">
      <c r="J6701" t="s">
        <v>3527</v>
      </c>
      <c r="K6701" s="22" t="s">
        <v>31</v>
      </c>
      <c r="L6701">
        <v>1</v>
      </c>
      <c r="M6701">
        <v>1</v>
      </c>
      <c r="O6701" s="31"/>
      <c r="P6701" s="26"/>
      <c r="Q6701" s="26"/>
    </row>
    <row r="6702" spans="10:17" x14ac:dyDescent="0.25">
      <c r="J6702" t="s">
        <v>3199</v>
      </c>
      <c r="K6702" s="22" t="s">
        <v>31</v>
      </c>
      <c r="L6702">
        <v>4</v>
      </c>
      <c r="M6702">
        <v>2</v>
      </c>
      <c r="O6702" s="31"/>
      <c r="P6702" s="26"/>
      <c r="Q6702" s="26"/>
    </row>
    <row r="6703" spans="10:17" x14ac:dyDescent="0.25">
      <c r="J6703" t="s">
        <v>3528</v>
      </c>
      <c r="K6703" s="22" t="s">
        <v>22</v>
      </c>
      <c r="L6703">
        <v>1</v>
      </c>
      <c r="M6703">
        <v>1</v>
      </c>
      <c r="O6703" s="31"/>
      <c r="P6703" s="26"/>
      <c r="Q6703" s="26"/>
    </row>
    <row r="6704" spans="10:17" x14ac:dyDescent="0.25">
      <c r="J6704" t="s">
        <v>3529</v>
      </c>
      <c r="K6704" s="22" t="s">
        <v>30</v>
      </c>
      <c r="L6704">
        <v>1</v>
      </c>
      <c r="O6704" s="30"/>
      <c r="P6704" s="26"/>
      <c r="Q6704" s="26"/>
    </row>
    <row r="6705" spans="10:17" x14ac:dyDescent="0.25">
      <c r="J6705" t="s">
        <v>3530</v>
      </c>
      <c r="K6705" s="22" t="s">
        <v>35</v>
      </c>
      <c r="L6705">
        <v>1</v>
      </c>
      <c r="M6705">
        <v>1</v>
      </c>
      <c r="O6705" s="31"/>
      <c r="P6705" s="26"/>
      <c r="Q6705" s="26"/>
    </row>
    <row r="6706" spans="10:17" x14ac:dyDescent="0.25">
      <c r="J6706" t="s">
        <v>3531</v>
      </c>
      <c r="K6706" s="22" t="s">
        <v>24</v>
      </c>
      <c r="L6706">
        <v>1</v>
      </c>
      <c r="O6706" s="30"/>
      <c r="P6706" s="26"/>
      <c r="Q6706" s="26"/>
    </row>
    <row r="6707" spans="10:17" x14ac:dyDescent="0.25">
      <c r="J6707" t="s">
        <v>281</v>
      </c>
      <c r="K6707" s="22" t="s">
        <v>30</v>
      </c>
      <c r="L6707">
        <v>2</v>
      </c>
      <c r="M6707">
        <v>1</v>
      </c>
      <c r="O6707" s="30"/>
      <c r="P6707" s="26"/>
      <c r="Q6707" s="26"/>
    </row>
    <row r="6708" spans="10:17" x14ac:dyDescent="0.25">
      <c r="J6708" t="s">
        <v>3451</v>
      </c>
      <c r="K6708" s="22" t="s">
        <v>28</v>
      </c>
      <c r="L6708">
        <v>1</v>
      </c>
      <c r="O6708" s="30"/>
      <c r="P6708" s="26"/>
      <c r="Q6708" s="26"/>
    </row>
    <row r="6709" spans="10:17" x14ac:dyDescent="0.25">
      <c r="J6709" t="s">
        <v>3299</v>
      </c>
      <c r="K6709" s="22" t="s">
        <v>26</v>
      </c>
      <c r="L6709">
        <v>1</v>
      </c>
      <c r="M6709">
        <v>1</v>
      </c>
      <c r="O6709" s="31"/>
      <c r="P6709" s="26"/>
      <c r="Q6709" s="26"/>
    </row>
    <row r="6710" spans="10:17" x14ac:dyDescent="0.25">
      <c r="J6710" t="s">
        <v>3504</v>
      </c>
      <c r="K6710" s="22" t="s">
        <v>22</v>
      </c>
      <c r="L6710">
        <v>1</v>
      </c>
      <c r="O6710" s="30"/>
      <c r="P6710" s="26"/>
      <c r="Q6710" s="26"/>
    </row>
    <row r="6711" spans="10:17" x14ac:dyDescent="0.25">
      <c r="J6711" t="s">
        <v>3079</v>
      </c>
      <c r="K6711" s="22" t="s">
        <v>20</v>
      </c>
      <c r="L6711">
        <v>1</v>
      </c>
      <c r="M6711">
        <v>1</v>
      </c>
      <c r="O6711" s="31"/>
      <c r="P6711" s="26"/>
      <c r="Q6711" s="26"/>
    </row>
    <row r="6712" spans="10:17" x14ac:dyDescent="0.25">
      <c r="J6712" t="s">
        <v>3532</v>
      </c>
      <c r="K6712" s="22" t="s">
        <v>29</v>
      </c>
      <c r="L6712">
        <v>1</v>
      </c>
      <c r="O6712" s="30"/>
      <c r="P6712" s="26"/>
      <c r="Q6712" s="26"/>
    </row>
    <row r="6713" spans="10:17" x14ac:dyDescent="0.25">
      <c r="J6713" t="s">
        <v>1433</v>
      </c>
      <c r="K6713" s="22" t="s">
        <v>28</v>
      </c>
      <c r="L6713">
        <v>2</v>
      </c>
      <c r="M6713">
        <v>1</v>
      </c>
      <c r="O6713" s="30"/>
      <c r="P6713" s="26"/>
      <c r="Q6713" s="26"/>
    </row>
    <row r="6714" spans="10:17" x14ac:dyDescent="0.25">
      <c r="J6714" t="s">
        <v>1747</v>
      </c>
      <c r="K6714" s="22" t="s">
        <v>35</v>
      </c>
      <c r="L6714">
        <v>1</v>
      </c>
      <c r="O6714" s="30"/>
      <c r="P6714" s="26"/>
      <c r="Q6714" s="26"/>
    </row>
    <row r="6715" spans="10:17" x14ac:dyDescent="0.25">
      <c r="J6715" t="s">
        <v>3533</v>
      </c>
      <c r="K6715" s="22" t="s">
        <v>29</v>
      </c>
      <c r="L6715">
        <v>1</v>
      </c>
      <c r="M6715">
        <v>1</v>
      </c>
      <c r="O6715" s="31"/>
      <c r="P6715" s="26"/>
      <c r="Q6715" s="26"/>
    </row>
    <row r="6716" spans="10:17" x14ac:dyDescent="0.25">
      <c r="J6716" t="s">
        <v>327</v>
      </c>
      <c r="K6716" s="22" t="s">
        <v>24</v>
      </c>
      <c r="L6716">
        <v>3</v>
      </c>
      <c r="M6716">
        <v>3</v>
      </c>
      <c r="O6716" s="31"/>
      <c r="P6716" s="26"/>
      <c r="Q6716" s="26"/>
    </row>
    <row r="6717" spans="10:17" x14ac:dyDescent="0.25">
      <c r="J6717" t="s">
        <v>573</v>
      </c>
      <c r="K6717" s="22" t="s">
        <v>26</v>
      </c>
      <c r="L6717">
        <v>2</v>
      </c>
      <c r="O6717" s="30"/>
      <c r="P6717" s="26"/>
      <c r="Q6717" s="26"/>
    </row>
    <row r="6718" spans="10:17" x14ac:dyDescent="0.25">
      <c r="J6718" t="s">
        <v>3534</v>
      </c>
      <c r="K6718" s="22" t="s">
        <v>29</v>
      </c>
      <c r="L6718">
        <v>2</v>
      </c>
      <c r="M6718">
        <v>2</v>
      </c>
      <c r="O6718" s="31"/>
      <c r="P6718" s="26"/>
      <c r="Q6718" s="26"/>
    </row>
    <row r="6719" spans="10:17" x14ac:dyDescent="0.25">
      <c r="J6719" t="s">
        <v>3535</v>
      </c>
      <c r="K6719" s="22" t="s">
        <v>22</v>
      </c>
      <c r="L6719">
        <v>1</v>
      </c>
      <c r="O6719" s="30"/>
      <c r="P6719" s="26"/>
      <c r="Q6719" s="26"/>
    </row>
    <row r="6720" spans="10:17" x14ac:dyDescent="0.25">
      <c r="J6720" t="s">
        <v>3184</v>
      </c>
      <c r="K6720" s="22" t="s">
        <v>30</v>
      </c>
      <c r="L6720">
        <v>1</v>
      </c>
      <c r="M6720">
        <v>1</v>
      </c>
      <c r="O6720" s="31"/>
      <c r="P6720" s="26"/>
      <c r="Q6720" s="26"/>
    </row>
    <row r="6721" spans="10:17" x14ac:dyDescent="0.25">
      <c r="J6721" t="s">
        <v>3536</v>
      </c>
      <c r="K6721" s="22" t="s">
        <v>35</v>
      </c>
      <c r="L6721">
        <v>1</v>
      </c>
      <c r="O6721" s="30"/>
      <c r="P6721" s="26"/>
      <c r="Q6721" s="26"/>
    </row>
    <row r="6722" spans="10:17" x14ac:dyDescent="0.25">
      <c r="J6722" t="s">
        <v>531</v>
      </c>
      <c r="K6722" s="22" t="s">
        <v>20</v>
      </c>
      <c r="L6722">
        <v>1</v>
      </c>
      <c r="O6722" s="30"/>
      <c r="P6722" s="26"/>
      <c r="Q6722" s="26"/>
    </row>
    <row r="6723" spans="10:17" x14ac:dyDescent="0.25">
      <c r="J6723" t="s">
        <v>326</v>
      </c>
      <c r="K6723" s="22" t="s">
        <v>29</v>
      </c>
      <c r="L6723">
        <v>1</v>
      </c>
      <c r="M6723">
        <v>1</v>
      </c>
      <c r="O6723" s="31"/>
      <c r="P6723" s="26"/>
      <c r="Q6723" s="26"/>
    </row>
    <row r="6724" spans="10:17" x14ac:dyDescent="0.25">
      <c r="J6724" t="s">
        <v>3537</v>
      </c>
      <c r="K6724" s="22" t="s">
        <v>31</v>
      </c>
      <c r="L6724">
        <v>2</v>
      </c>
      <c r="M6724">
        <v>1</v>
      </c>
      <c r="O6724" s="31"/>
      <c r="P6724" s="26"/>
      <c r="Q6724" s="26"/>
    </row>
    <row r="6725" spans="10:17" x14ac:dyDescent="0.25">
      <c r="J6725" t="s">
        <v>2727</v>
      </c>
      <c r="K6725" s="22" t="s">
        <v>28</v>
      </c>
      <c r="L6725">
        <v>1</v>
      </c>
      <c r="M6725">
        <v>1</v>
      </c>
      <c r="O6725" s="31"/>
      <c r="P6725" s="26"/>
      <c r="Q6725" s="26"/>
    </row>
    <row r="6726" spans="10:17" x14ac:dyDescent="0.25">
      <c r="J6726" t="s">
        <v>3538</v>
      </c>
      <c r="K6726" s="22" t="s">
        <v>24</v>
      </c>
      <c r="L6726">
        <v>1</v>
      </c>
      <c r="O6726" s="30"/>
      <c r="P6726" s="26"/>
      <c r="Q6726" s="26"/>
    </row>
    <row r="6727" spans="10:17" x14ac:dyDescent="0.25">
      <c r="J6727" t="s">
        <v>3539</v>
      </c>
      <c r="K6727" s="22" t="s">
        <v>26</v>
      </c>
      <c r="L6727">
        <v>1</v>
      </c>
      <c r="M6727">
        <v>1</v>
      </c>
      <c r="O6727" s="31"/>
      <c r="P6727" s="26"/>
      <c r="Q6727" s="26"/>
    </row>
    <row r="6728" spans="10:17" x14ac:dyDescent="0.25">
      <c r="J6728" t="s">
        <v>3231</v>
      </c>
      <c r="K6728" s="22" t="s">
        <v>31</v>
      </c>
      <c r="L6728">
        <v>1</v>
      </c>
      <c r="O6728" s="30"/>
      <c r="P6728" s="26"/>
      <c r="Q6728" s="26"/>
    </row>
    <row r="6729" spans="10:17" x14ac:dyDescent="0.25">
      <c r="J6729" t="s">
        <v>543</v>
      </c>
      <c r="K6729" s="22" t="s">
        <v>20</v>
      </c>
      <c r="L6729">
        <v>1</v>
      </c>
      <c r="M6729">
        <v>1</v>
      </c>
      <c r="O6729" s="31"/>
      <c r="P6729" s="26"/>
      <c r="Q6729" s="26"/>
    </row>
    <row r="6730" spans="10:17" x14ac:dyDescent="0.25">
      <c r="J6730" t="s">
        <v>3542</v>
      </c>
      <c r="K6730" s="22" t="s">
        <v>24</v>
      </c>
      <c r="L6730">
        <v>1</v>
      </c>
      <c r="O6730" s="30"/>
      <c r="P6730" s="26"/>
      <c r="Q6730" s="26"/>
    </row>
    <row r="6731" spans="10:17" x14ac:dyDescent="0.25">
      <c r="J6731" t="s">
        <v>534</v>
      </c>
      <c r="K6731" s="22" t="s">
        <v>22</v>
      </c>
      <c r="L6731">
        <v>1</v>
      </c>
      <c r="M6731">
        <v>1</v>
      </c>
      <c r="O6731" s="31"/>
      <c r="P6731" s="26"/>
      <c r="Q6731" s="26"/>
    </row>
    <row r="6732" spans="10:17" x14ac:dyDescent="0.25">
      <c r="J6732" t="s">
        <v>1540</v>
      </c>
      <c r="K6732" s="22" t="s">
        <v>35</v>
      </c>
      <c r="L6732">
        <v>1</v>
      </c>
      <c r="M6732">
        <v>1</v>
      </c>
      <c r="O6732" s="31"/>
      <c r="P6732" s="26"/>
      <c r="Q6732" s="26"/>
    </row>
    <row r="6733" spans="10:17" x14ac:dyDescent="0.25">
      <c r="J6733" t="s">
        <v>2490</v>
      </c>
      <c r="K6733" s="22" t="s">
        <v>31</v>
      </c>
      <c r="L6733">
        <v>1</v>
      </c>
      <c r="O6733" s="30"/>
      <c r="P6733" s="26"/>
      <c r="Q6733" s="26"/>
    </row>
    <row r="6734" spans="10:17" x14ac:dyDescent="0.25">
      <c r="J6734" t="s">
        <v>1761</v>
      </c>
      <c r="K6734" s="22" t="s">
        <v>20</v>
      </c>
      <c r="L6734">
        <v>1</v>
      </c>
      <c r="M6734">
        <v>1</v>
      </c>
      <c r="O6734" s="31"/>
      <c r="P6734" s="26"/>
      <c r="Q6734" s="26"/>
    </row>
    <row r="6735" spans="10:17" x14ac:dyDescent="0.25">
      <c r="J6735" t="s">
        <v>1021</v>
      </c>
      <c r="K6735" s="22" t="s">
        <v>30</v>
      </c>
      <c r="L6735">
        <v>2</v>
      </c>
      <c r="M6735">
        <v>2</v>
      </c>
      <c r="O6735" s="31"/>
      <c r="P6735" s="26"/>
      <c r="Q6735" s="26"/>
    </row>
    <row r="6736" spans="10:17" x14ac:dyDescent="0.25">
      <c r="J6736" t="s">
        <v>465</v>
      </c>
      <c r="K6736" s="22" t="s">
        <v>24</v>
      </c>
      <c r="L6736">
        <v>3</v>
      </c>
      <c r="M6736">
        <v>3</v>
      </c>
      <c r="O6736" s="31"/>
      <c r="P6736" s="26"/>
      <c r="Q6736" s="26"/>
    </row>
    <row r="6737" spans="10:17" x14ac:dyDescent="0.25">
      <c r="J6737" t="s">
        <v>578</v>
      </c>
      <c r="K6737" s="22" t="s">
        <v>26</v>
      </c>
      <c r="L6737">
        <v>1</v>
      </c>
      <c r="O6737" s="30"/>
      <c r="P6737" s="26"/>
      <c r="Q6737" s="26"/>
    </row>
    <row r="6738" spans="10:17" x14ac:dyDescent="0.25">
      <c r="J6738" t="s">
        <v>3543</v>
      </c>
      <c r="K6738" s="22" t="s">
        <v>30</v>
      </c>
      <c r="L6738">
        <v>1</v>
      </c>
      <c r="M6738">
        <v>1</v>
      </c>
      <c r="O6738" s="31"/>
      <c r="P6738" s="26"/>
      <c r="Q6738" s="26"/>
    </row>
    <row r="6739" spans="10:17" x14ac:dyDescent="0.25">
      <c r="J6739" t="s">
        <v>53</v>
      </c>
      <c r="K6739" s="22" t="s">
        <v>26</v>
      </c>
      <c r="L6739">
        <v>3</v>
      </c>
      <c r="M6739">
        <v>2</v>
      </c>
      <c r="O6739" s="31"/>
      <c r="P6739" s="26"/>
      <c r="Q6739" s="26"/>
    </row>
    <row r="6740" spans="10:17" x14ac:dyDescent="0.25">
      <c r="J6740" t="s">
        <v>965</v>
      </c>
      <c r="K6740" s="22" t="s">
        <v>28</v>
      </c>
      <c r="L6740">
        <v>1</v>
      </c>
      <c r="O6740" s="30"/>
      <c r="P6740" s="26"/>
      <c r="Q6740" s="26"/>
    </row>
    <row r="6741" spans="10:17" x14ac:dyDescent="0.25">
      <c r="J6741" t="s">
        <v>3544</v>
      </c>
      <c r="K6741" s="22" t="s">
        <v>20</v>
      </c>
      <c r="L6741">
        <v>2</v>
      </c>
      <c r="M6741">
        <v>1</v>
      </c>
      <c r="O6741" s="30"/>
      <c r="P6741" s="26"/>
      <c r="Q6741" s="26"/>
    </row>
    <row r="6742" spans="10:17" x14ac:dyDescent="0.25">
      <c r="J6742" t="s">
        <v>3545</v>
      </c>
      <c r="K6742" s="22" t="s">
        <v>31</v>
      </c>
      <c r="L6742">
        <v>1</v>
      </c>
      <c r="O6742" s="30"/>
      <c r="P6742" s="26"/>
      <c r="Q6742" s="26"/>
    </row>
    <row r="6743" spans="10:17" x14ac:dyDescent="0.25">
      <c r="J6743" t="s">
        <v>3546</v>
      </c>
      <c r="K6743" s="22" t="s">
        <v>29</v>
      </c>
      <c r="L6743">
        <v>1</v>
      </c>
      <c r="M6743">
        <v>1</v>
      </c>
      <c r="O6743" s="31"/>
      <c r="P6743" s="26"/>
      <c r="Q6743" s="26"/>
    </row>
    <row r="6744" spans="10:17" x14ac:dyDescent="0.25">
      <c r="J6744" t="s">
        <v>3087</v>
      </c>
      <c r="K6744" s="22" t="s">
        <v>28</v>
      </c>
      <c r="L6744">
        <v>2</v>
      </c>
      <c r="M6744">
        <v>2</v>
      </c>
      <c r="O6744" s="31"/>
      <c r="P6744" s="26"/>
      <c r="Q6744" s="26"/>
    </row>
    <row r="6745" spans="10:17" x14ac:dyDescent="0.25">
      <c r="J6745" t="s">
        <v>597</v>
      </c>
      <c r="K6745" s="22" t="s">
        <v>26</v>
      </c>
      <c r="L6745">
        <v>1</v>
      </c>
      <c r="O6745" s="30"/>
      <c r="P6745" s="26"/>
      <c r="Q6745" s="26"/>
    </row>
    <row r="6746" spans="10:17" x14ac:dyDescent="0.25">
      <c r="J6746" t="s">
        <v>3547</v>
      </c>
      <c r="K6746" s="22" t="s">
        <v>30</v>
      </c>
      <c r="L6746">
        <v>1</v>
      </c>
      <c r="M6746">
        <v>1</v>
      </c>
      <c r="O6746" s="31"/>
      <c r="P6746" s="26"/>
      <c r="Q6746" s="26"/>
    </row>
    <row r="6747" spans="10:17" x14ac:dyDescent="0.25">
      <c r="J6747" t="s">
        <v>3434</v>
      </c>
      <c r="K6747" s="22" t="s">
        <v>20</v>
      </c>
      <c r="L6747">
        <v>1</v>
      </c>
      <c r="O6747" s="30"/>
      <c r="P6747" s="26"/>
      <c r="Q6747" s="26"/>
    </row>
    <row r="6748" spans="10:17" x14ac:dyDescent="0.25">
      <c r="J6748" t="s">
        <v>1585</v>
      </c>
      <c r="K6748" s="22" t="s">
        <v>22</v>
      </c>
      <c r="L6748">
        <v>1</v>
      </c>
      <c r="M6748">
        <v>1</v>
      </c>
      <c r="O6748" s="31"/>
      <c r="P6748" s="26"/>
      <c r="Q6748" s="26"/>
    </row>
    <row r="6749" spans="10:17" x14ac:dyDescent="0.25">
      <c r="J6749" t="s">
        <v>2480</v>
      </c>
      <c r="K6749" s="22" t="s">
        <v>29</v>
      </c>
      <c r="L6749">
        <v>1</v>
      </c>
      <c r="O6749" s="30"/>
      <c r="P6749" s="26"/>
      <c r="Q6749" s="26"/>
    </row>
    <row r="6750" spans="10:17" x14ac:dyDescent="0.25">
      <c r="J6750" t="s">
        <v>358</v>
      </c>
      <c r="K6750" s="22" t="s">
        <v>31</v>
      </c>
      <c r="L6750">
        <v>1</v>
      </c>
      <c r="O6750" s="30"/>
      <c r="P6750" s="26"/>
      <c r="Q6750" s="26"/>
    </row>
    <row r="6751" spans="10:17" x14ac:dyDescent="0.25">
      <c r="J6751" t="s">
        <v>2144</v>
      </c>
      <c r="K6751" s="22" t="s">
        <v>29</v>
      </c>
      <c r="L6751">
        <v>1</v>
      </c>
      <c r="M6751">
        <v>1</v>
      </c>
      <c r="O6751" s="31"/>
      <c r="P6751" s="26"/>
      <c r="Q6751" s="26"/>
    </row>
    <row r="6752" spans="10:17" x14ac:dyDescent="0.25">
      <c r="J6752" t="s">
        <v>3548</v>
      </c>
      <c r="K6752" s="22" t="s">
        <v>24</v>
      </c>
      <c r="L6752">
        <v>1</v>
      </c>
      <c r="O6752" s="30"/>
      <c r="P6752" s="26"/>
      <c r="Q6752" s="26"/>
    </row>
    <row r="6753" spans="10:17" x14ac:dyDescent="0.25">
      <c r="J6753" t="s">
        <v>2361</v>
      </c>
      <c r="K6753" s="22" t="s">
        <v>35</v>
      </c>
      <c r="L6753">
        <v>3</v>
      </c>
      <c r="M6753">
        <v>3</v>
      </c>
      <c r="O6753" s="31"/>
      <c r="P6753" s="26"/>
      <c r="Q6753" s="26"/>
    </row>
    <row r="6754" spans="10:17" x14ac:dyDescent="0.25">
      <c r="J6754" t="s">
        <v>662</v>
      </c>
      <c r="K6754" s="22" t="s">
        <v>30</v>
      </c>
      <c r="L6754">
        <v>4</v>
      </c>
      <c r="M6754">
        <v>1</v>
      </c>
      <c r="O6754" s="30"/>
      <c r="P6754" s="26"/>
      <c r="Q6754" s="26"/>
    </row>
    <row r="6755" spans="10:17" x14ac:dyDescent="0.25">
      <c r="J6755" t="s">
        <v>1517</v>
      </c>
      <c r="K6755" s="22" t="s">
        <v>26</v>
      </c>
      <c r="L6755">
        <v>1</v>
      </c>
      <c r="O6755" s="30"/>
      <c r="P6755" s="26"/>
      <c r="Q6755" s="26"/>
    </row>
    <row r="6756" spans="10:17" x14ac:dyDescent="0.25">
      <c r="J6756" t="s">
        <v>3433</v>
      </c>
      <c r="K6756" s="22" t="s">
        <v>29</v>
      </c>
      <c r="L6756">
        <v>1</v>
      </c>
      <c r="M6756">
        <v>1</v>
      </c>
      <c r="O6756" s="31"/>
      <c r="P6756" s="26"/>
      <c r="Q6756" s="26"/>
    </row>
    <row r="6757" spans="10:17" x14ac:dyDescent="0.25">
      <c r="J6757" t="s">
        <v>32</v>
      </c>
      <c r="K6757" s="22" t="s">
        <v>20</v>
      </c>
      <c r="L6757">
        <v>1</v>
      </c>
      <c r="O6757" s="30"/>
      <c r="P6757" s="26"/>
      <c r="Q6757" s="26"/>
    </row>
    <row r="6758" spans="10:17" x14ac:dyDescent="0.25">
      <c r="J6758" t="s">
        <v>336</v>
      </c>
      <c r="K6758" s="22" t="s">
        <v>29</v>
      </c>
      <c r="L6758">
        <v>3</v>
      </c>
      <c r="M6758">
        <v>2</v>
      </c>
      <c r="O6758" s="30"/>
      <c r="P6758" s="26"/>
      <c r="Q6758" s="26"/>
    </row>
    <row r="6759" spans="10:17" x14ac:dyDescent="0.25">
      <c r="J6759" t="s">
        <v>3549</v>
      </c>
      <c r="K6759" s="22" t="s">
        <v>22</v>
      </c>
      <c r="L6759">
        <v>1</v>
      </c>
      <c r="O6759" s="30"/>
      <c r="P6759" s="26"/>
      <c r="Q6759" s="26"/>
    </row>
    <row r="6760" spans="10:17" x14ac:dyDescent="0.25">
      <c r="J6760" t="s">
        <v>2973</v>
      </c>
      <c r="K6760" s="22" t="s">
        <v>35</v>
      </c>
      <c r="L6760">
        <v>1</v>
      </c>
      <c r="M6760">
        <v>1</v>
      </c>
      <c r="O6760" s="31"/>
      <c r="P6760" s="26"/>
      <c r="Q6760" s="26"/>
    </row>
    <row r="6761" spans="10:17" x14ac:dyDescent="0.25">
      <c r="J6761" t="s">
        <v>1096</v>
      </c>
      <c r="K6761" s="22" t="s">
        <v>31</v>
      </c>
      <c r="L6761">
        <v>1</v>
      </c>
      <c r="O6761" s="30"/>
      <c r="P6761" s="26"/>
      <c r="Q6761" s="26"/>
    </row>
    <row r="6762" spans="10:17" x14ac:dyDescent="0.25">
      <c r="J6762" t="s">
        <v>3550</v>
      </c>
      <c r="K6762" s="22" t="s">
        <v>28</v>
      </c>
      <c r="L6762">
        <v>2</v>
      </c>
      <c r="M6762">
        <v>2</v>
      </c>
      <c r="O6762" s="31"/>
      <c r="P6762" s="26"/>
      <c r="Q6762" s="26"/>
    </row>
    <row r="6763" spans="10:17" x14ac:dyDescent="0.25">
      <c r="J6763" t="s">
        <v>448</v>
      </c>
      <c r="K6763" s="22" t="s">
        <v>35</v>
      </c>
      <c r="L6763">
        <v>1</v>
      </c>
      <c r="O6763" s="30"/>
      <c r="P6763" s="26"/>
      <c r="Q6763" s="26"/>
    </row>
    <row r="6764" spans="10:17" x14ac:dyDescent="0.25">
      <c r="J6764" t="s">
        <v>1323</v>
      </c>
      <c r="K6764" s="22" t="s">
        <v>29</v>
      </c>
      <c r="L6764">
        <v>1</v>
      </c>
      <c r="M6764">
        <v>1</v>
      </c>
      <c r="O6764" s="31"/>
      <c r="P6764" s="26"/>
      <c r="Q6764" s="26"/>
    </row>
    <row r="6765" spans="10:17" x14ac:dyDescent="0.25">
      <c r="J6765" t="s">
        <v>2848</v>
      </c>
      <c r="K6765" s="22" t="s">
        <v>26</v>
      </c>
      <c r="L6765">
        <v>1</v>
      </c>
      <c r="O6765" s="30"/>
      <c r="P6765" s="26"/>
      <c r="Q6765" s="26"/>
    </row>
    <row r="6766" spans="10:17" x14ac:dyDescent="0.25">
      <c r="J6766" t="s">
        <v>3551</v>
      </c>
      <c r="K6766" s="22" t="s">
        <v>24</v>
      </c>
      <c r="L6766">
        <v>1</v>
      </c>
      <c r="M6766">
        <v>1</v>
      </c>
      <c r="O6766" s="31"/>
      <c r="P6766" s="26"/>
      <c r="Q6766" s="26"/>
    </row>
    <row r="6767" spans="10:17" x14ac:dyDescent="0.25">
      <c r="J6767" t="s">
        <v>2148</v>
      </c>
      <c r="K6767" s="22" t="s">
        <v>31</v>
      </c>
      <c r="L6767">
        <v>1</v>
      </c>
      <c r="O6767" s="30"/>
      <c r="P6767" s="26"/>
      <c r="Q6767" s="26"/>
    </row>
    <row r="6768" spans="10:17" x14ac:dyDescent="0.25">
      <c r="J6768" t="s">
        <v>3552</v>
      </c>
      <c r="K6768" s="22" t="s">
        <v>24</v>
      </c>
      <c r="L6768">
        <v>1</v>
      </c>
      <c r="M6768">
        <v>1</v>
      </c>
      <c r="O6768" s="31"/>
      <c r="P6768" s="26"/>
      <c r="Q6768" s="26"/>
    </row>
    <row r="6769" spans="10:17" x14ac:dyDescent="0.25">
      <c r="J6769" t="s">
        <v>121</v>
      </c>
      <c r="K6769" s="22" t="s">
        <v>31</v>
      </c>
      <c r="L6769">
        <v>3</v>
      </c>
      <c r="M6769">
        <v>2</v>
      </c>
      <c r="O6769" s="30"/>
      <c r="P6769" s="26"/>
      <c r="Q6769" s="26"/>
    </row>
    <row r="6770" spans="10:17" x14ac:dyDescent="0.25">
      <c r="J6770" t="s">
        <v>2920</v>
      </c>
      <c r="K6770" s="22" t="s">
        <v>28</v>
      </c>
      <c r="L6770">
        <v>1</v>
      </c>
      <c r="M6770">
        <v>1</v>
      </c>
      <c r="O6770" s="31"/>
      <c r="P6770" s="26"/>
      <c r="Q6770" s="26"/>
    </row>
    <row r="6771" spans="10:17" x14ac:dyDescent="0.25">
      <c r="J6771" t="s">
        <v>2187</v>
      </c>
      <c r="K6771" s="22" t="s">
        <v>30</v>
      </c>
      <c r="L6771">
        <v>1</v>
      </c>
      <c r="O6771" s="30"/>
      <c r="P6771" s="26"/>
      <c r="Q6771" s="26"/>
    </row>
    <row r="6772" spans="10:17" x14ac:dyDescent="0.25">
      <c r="J6772" t="s">
        <v>3553</v>
      </c>
      <c r="K6772" s="22" t="s">
        <v>29</v>
      </c>
      <c r="L6772">
        <v>1</v>
      </c>
      <c r="M6772">
        <v>1</v>
      </c>
      <c r="O6772" s="31"/>
      <c r="P6772" s="26"/>
      <c r="Q6772" s="26"/>
    </row>
    <row r="6773" spans="10:17" x14ac:dyDescent="0.25">
      <c r="J6773" t="s">
        <v>367</v>
      </c>
      <c r="K6773" s="22" t="s">
        <v>35</v>
      </c>
      <c r="L6773">
        <v>2</v>
      </c>
      <c r="M6773">
        <v>1</v>
      </c>
      <c r="O6773" s="30"/>
      <c r="P6773" s="26"/>
      <c r="Q6773" s="26"/>
    </row>
    <row r="6774" spans="10:17" x14ac:dyDescent="0.25">
      <c r="J6774" t="s">
        <v>1536</v>
      </c>
      <c r="K6774" s="22" t="s">
        <v>20</v>
      </c>
      <c r="L6774">
        <v>1</v>
      </c>
      <c r="O6774" s="30"/>
      <c r="P6774" s="26"/>
      <c r="Q6774" s="26"/>
    </row>
    <row r="6775" spans="10:17" x14ac:dyDescent="0.25">
      <c r="J6775" t="s">
        <v>2359</v>
      </c>
      <c r="K6775" s="22" t="s">
        <v>28</v>
      </c>
      <c r="L6775">
        <v>1</v>
      </c>
      <c r="M6775">
        <v>1</v>
      </c>
      <c r="O6775" s="31"/>
      <c r="P6775" s="26"/>
      <c r="Q6775" s="26"/>
    </row>
    <row r="6776" spans="10:17" x14ac:dyDescent="0.25">
      <c r="J6776" t="s">
        <v>2322</v>
      </c>
      <c r="K6776" s="22" t="s">
        <v>24</v>
      </c>
      <c r="L6776">
        <v>1</v>
      </c>
      <c r="O6776" s="30"/>
      <c r="P6776" s="26"/>
      <c r="Q6776" s="26"/>
    </row>
    <row r="6777" spans="10:17" x14ac:dyDescent="0.25">
      <c r="J6777" t="s">
        <v>3554</v>
      </c>
      <c r="K6777" s="22" t="s">
        <v>26</v>
      </c>
      <c r="L6777">
        <v>1</v>
      </c>
      <c r="M6777">
        <v>1</v>
      </c>
      <c r="O6777" s="31"/>
      <c r="P6777" s="26"/>
      <c r="Q6777" s="26"/>
    </row>
    <row r="6778" spans="10:17" x14ac:dyDescent="0.25">
      <c r="J6778" t="s">
        <v>1279</v>
      </c>
      <c r="K6778" s="22" t="s">
        <v>30</v>
      </c>
      <c r="L6778">
        <v>1</v>
      </c>
      <c r="O6778" s="30"/>
      <c r="P6778" s="26"/>
      <c r="Q6778" s="26"/>
    </row>
    <row r="6779" spans="10:17" x14ac:dyDescent="0.25">
      <c r="J6779" t="s">
        <v>1343</v>
      </c>
      <c r="K6779" s="22" t="s">
        <v>28</v>
      </c>
      <c r="L6779">
        <v>1</v>
      </c>
      <c r="O6779" s="30"/>
      <c r="P6779" s="26"/>
      <c r="Q6779" s="26"/>
    </row>
    <row r="6780" spans="10:17" x14ac:dyDescent="0.25">
      <c r="J6780" t="s">
        <v>3376</v>
      </c>
      <c r="K6780" s="22" t="s">
        <v>30</v>
      </c>
      <c r="L6780">
        <v>2</v>
      </c>
      <c r="M6780">
        <v>1</v>
      </c>
      <c r="O6780" s="30"/>
      <c r="P6780" s="26"/>
      <c r="Q6780" s="26"/>
    </row>
    <row r="6781" spans="10:17" x14ac:dyDescent="0.25">
      <c r="J6781" t="s">
        <v>176</v>
      </c>
      <c r="K6781" s="22" t="s">
        <v>20</v>
      </c>
      <c r="L6781">
        <v>1</v>
      </c>
      <c r="O6781" s="30"/>
      <c r="P6781" s="26"/>
      <c r="Q6781" s="26"/>
    </row>
    <row r="6782" spans="10:17" x14ac:dyDescent="0.25">
      <c r="J6782" t="s">
        <v>3555</v>
      </c>
      <c r="K6782" s="22" t="s">
        <v>35</v>
      </c>
      <c r="L6782">
        <v>1</v>
      </c>
      <c r="M6782">
        <v>1</v>
      </c>
      <c r="O6782" s="31"/>
      <c r="P6782" s="26"/>
      <c r="Q6782" s="26"/>
    </row>
    <row r="6783" spans="10:17" x14ac:dyDescent="0.25">
      <c r="J6783" t="s">
        <v>1935</v>
      </c>
      <c r="K6783" s="22" t="s">
        <v>28</v>
      </c>
      <c r="L6783">
        <v>1</v>
      </c>
      <c r="M6783">
        <v>1</v>
      </c>
      <c r="O6783" s="31"/>
      <c r="P6783" s="26"/>
      <c r="Q6783" s="26"/>
    </row>
    <row r="6784" spans="10:17" x14ac:dyDescent="0.25">
      <c r="J6784" t="s">
        <v>736</v>
      </c>
      <c r="K6784" s="22" t="s">
        <v>31</v>
      </c>
      <c r="L6784">
        <v>1</v>
      </c>
      <c r="O6784" s="30"/>
      <c r="P6784" s="26"/>
      <c r="Q6784" s="26"/>
    </row>
    <row r="6785" spans="10:17" x14ac:dyDescent="0.25">
      <c r="J6785" t="s">
        <v>283</v>
      </c>
      <c r="K6785" s="22" t="s">
        <v>20</v>
      </c>
      <c r="L6785">
        <v>1</v>
      </c>
      <c r="M6785">
        <v>1</v>
      </c>
      <c r="O6785" s="31"/>
      <c r="P6785" s="26"/>
      <c r="Q6785" s="26"/>
    </row>
    <row r="6786" spans="10:17" x14ac:dyDescent="0.25">
      <c r="J6786" t="s">
        <v>1608</v>
      </c>
      <c r="K6786" s="22" t="s">
        <v>22</v>
      </c>
      <c r="L6786">
        <v>1</v>
      </c>
      <c r="O6786" s="30"/>
      <c r="P6786" s="26"/>
      <c r="Q6786" s="26"/>
    </row>
    <row r="6787" spans="10:17" x14ac:dyDescent="0.25">
      <c r="J6787" t="s">
        <v>3556</v>
      </c>
      <c r="K6787" s="22" t="s">
        <v>29</v>
      </c>
      <c r="L6787">
        <v>2</v>
      </c>
      <c r="M6787">
        <v>2</v>
      </c>
      <c r="O6787" s="31"/>
      <c r="P6787" s="26"/>
      <c r="Q6787" s="26"/>
    </row>
    <row r="6788" spans="10:17" x14ac:dyDescent="0.25">
      <c r="J6788" t="s">
        <v>736</v>
      </c>
      <c r="K6788" s="22" t="s">
        <v>20</v>
      </c>
      <c r="L6788">
        <v>6</v>
      </c>
      <c r="M6788">
        <v>4</v>
      </c>
      <c r="O6788" s="30"/>
      <c r="P6788" s="26"/>
      <c r="Q6788" s="26"/>
    </row>
    <row r="6789" spans="10:17" x14ac:dyDescent="0.25">
      <c r="J6789" t="s">
        <v>1996</v>
      </c>
      <c r="K6789" s="22" t="s">
        <v>28</v>
      </c>
      <c r="L6789">
        <v>1</v>
      </c>
      <c r="O6789" s="30"/>
      <c r="P6789" s="26"/>
      <c r="Q6789" s="26"/>
    </row>
    <row r="6790" spans="10:17" x14ac:dyDescent="0.25">
      <c r="J6790" t="s">
        <v>3557</v>
      </c>
      <c r="K6790" s="22" t="s">
        <v>24</v>
      </c>
      <c r="L6790">
        <v>2</v>
      </c>
      <c r="M6790">
        <v>2</v>
      </c>
      <c r="O6790" s="31"/>
      <c r="P6790" s="26"/>
      <c r="Q6790" s="26"/>
    </row>
    <row r="6791" spans="10:17" x14ac:dyDescent="0.25">
      <c r="J6791" t="s">
        <v>1677</v>
      </c>
      <c r="K6791" s="22" t="s">
        <v>30</v>
      </c>
      <c r="L6791">
        <v>1</v>
      </c>
      <c r="O6791" s="30"/>
      <c r="P6791" s="26"/>
      <c r="Q6791" s="26"/>
    </row>
    <row r="6792" spans="10:17" x14ac:dyDescent="0.25">
      <c r="J6792" t="s">
        <v>3430</v>
      </c>
      <c r="K6792" s="22" t="s">
        <v>35</v>
      </c>
      <c r="L6792">
        <v>3</v>
      </c>
      <c r="M6792">
        <v>3</v>
      </c>
      <c r="O6792" s="31"/>
      <c r="P6792" s="26"/>
      <c r="Q6792" s="26"/>
    </row>
    <row r="6793" spans="10:17" x14ac:dyDescent="0.25">
      <c r="J6793" t="s">
        <v>2496</v>
      </c>
      <c r="K6793" s="22" t="s">
        <v>22</v>
      </c>
      <c r="L6793">
        <v>1</v>
      </c>
      <c r="O6793" s="30"/>
      <c r="P6793" s="26"/>
      <c r="Q6793" s="26"/>
    </row>
    <row r="6794" spans="10:17" x14ac:dyDescent="0.25">
      <c r="J6794" t="s">
        <v>3558</v>
      </c>
      <c r="K6794" s="22" t="s">
        <v>31</v>
      </c>
      <c r="L6794">
        <v>1</v>
      </c>
      <c r="M6794">
        <v>1</v>
      </c>
      <c r="O6794" s="31"/>
      <c r="P6794" s="26"/>
      <c r="Q6794" s="26"/>
    </row>
    <row r="6795" spans="10:17" x14ac:dyDescent="0.25">
      <c r="J6795" t="s">
        <v>281</v>
      </c>
      <c r="K6795" s="22" t="s">
        <v>24</v>
      </c>
      <c r="L6795">
        <v>1</v>
      </c>
      <c r="O6795" s="30"/>
      <c r="P6795" s="26"/>
      <c r="Q6795" s="26"/>
    </row>
    <row r="6796" spans="10:17" x14ac:dyDescent="0.25">
      <c r="J6796" t="s">
        <v>3559</v>
      </c>
      <c r="K6796" s="22" t="s">
        <v>22</v>
      </c>
      <c r="L6796">
        <v>6</v>
      </c>
      <c r="M6796">
        <v>1</v>
      </c>
      <c r="O6796" s="30"/>
      <c r="P6796" s="26"/>
      <c r="Q6796" s="26"/>
    </row>
    <row r="6797" spans="10:17" x14ac:dyDescent="0.25">
      <c r="J6797" t="s">
        <v>2976</v>
      </c>
      <c r="K6797" s="22" t="s">
        <v>30</v>
      </c>
      <c r="L6797">
        <v>1</v>
      </c>
      <c r="O6797" s="30"/>
      <c r="P6797" s="26"/>
      <c r="Q6797" s="26"/>
    </row>
    <row r="6798" spans="10:17" x14ac:dyDescent="0.25">
      <c r="J6798" t="s">
        <v>3325</v>
      </c>
      <c r="K6798" s="22" t="s">
        <v>20</v>
      </c>
      <c r="L6798">
        <v>3</v>
      </c>
      <c r="M6798">
        <v>2</v>
      </c>
      <c r="O6798" s="30"/>
      <c r="P6798" s="26"/>
      <c r="Q6798" s="26"/>
    </row>
    <row r="6799" spans="10:17" x14ac:dyDescent="0.25">
      <c r="J6799" t="s">
        <v>3560</v>
      </c>
      <c r="K6799" s="22" t="s">
        <v>28</v>
      </c>
      <c r="L6799">
        <v>1</v>
      </c>
      <c r="O6799" s="30"/>
      <c r="P6799" s="26"/>
      <c r="Q6799" s="26"/>
    </row>
    <row r="6800" spans="10:17" x14ac:dyDescent="0.25">
      <c r="J6800" t="s">
        <v>3561</v>
      </c>
      <c r="K6800" s="22" t="s">
        <v>29</v>
      </c>
      <c r="L6800">
        <v>1</v>
      </c>
      <c r="M6800">
        <v>1</v>
      </c>
      <c r="O6800" s="31"/>
      <c r="P6800" s="26"/>
      <c r="Q6800" s="26"/>
    </row>
    <row r="6801" spans="10:17" x14ac:dyDescent="0.25">
      <c r="J6801" t="s">
        <v>1347</v>
      </c>
      <c r="K6801" s="22" t="s">
        <v>30</v>
      </c>
      <c r="L6801">
        <v>2</v>
      </c>
      <c r="M6801">
        <v>1</v>
      </c>
      <c r="O6801" s="30"/>
      <c r="P6801" s="26"/>
      <c r="Q6801" s="26"/>
    </row>
    <row r="6802" spans="10:17" x14ac:dyDescent="0.25">
      <c r="J6802" t="s">
        <v>2034</v>
      </c>
      <c r="K6802" s="22" t="s">
        <v>28</v>
      </c>
      <c r="L6802">
        <v>1</v>
      </c>
      <c r="O6802" s="30"/>
      <c r="P6802" s="26"/>
      <c r="Q6802" s="26"/>
    </row>
    <row r="6803" spans="10:17" x14ac:dyDescent="0.25">
      <c r="J6803" t="s">
        <v>998</v>
      </c>
      <c r="K6803" s="22" t="s">
        <v>31</v>
      </c>
      <c r="L6803">
        <v>1</v>
      </c>
      <c r="M6803">
        <v>1</v>
      </c>
      <c r="O6803" s="31"/>
      <c r="P6803" s="26"/>
      <c r="Q6803" s="26"/>
    </row>
    <row r="6804" spans="10:17" x14ac:dyDescent="0.25">
      <c r="J6804" t="s">
        <v>456</v>
      </c>
      <c r="K6804" s="22" t="s">
        <v>26</v>
      </c>
      <c r="L6804">
        <v>1</v>
      </c>
      <c r="O6804" s="30"/>
      <c r="P6804" s="26"/>
      <c r="Q6804" s="26"/>
    </row>
    <row r="6805" spans="10:17" x14ac:dyDescent="0.25">
      <c r="J6805" t="s">
        <v>3562</v>
      </c>
      <c r="K6805" s="22" t="s">
        <v>24</v>
      </c>
      <c r="L6805">
        <v>1</v>
      </c>
      <c r="M6805">
        <v>1</v>
      </c>
      <c r="O6805" s="31"/>
      <c r="P6805" s="26"/>
      <c r="Q6805" s="26"/>
    </row>
    <row r="6806" spans="10:17" x14ac:dyDescent="0.25">
      <c r="J6806" t="s">
        <v>84</v>
      </c>
      <c r="K6806" s="22" t="s">
        <v>28</v>
      </c>
      <c r="L6806">
        <v>1</v>
      </c>
      <c r="O6806" s="30"/>
      <c r="P6806" s="26"/>
      <c r="Q6806" s="26"/>
    </row>
    <row r="6807" spans="10:17" x14ac:dyDescent="0.25">
      <c r="J6807" t="s">
        <v>1776</v>
      </c>
      <c r="K6807" s="22" t="s">
        <v>22</v>
      </c>
      <c r="L6807">
        <v>1</v>
      </c>
      <c r="O6807" s="30"/>
      <c r="P6807" s="26"/>
      <c r="Q6807" s="26"/>
    </row>
    <row r="6808" spans="10:17" x14ac:dyDescent="0.25">
      <c r="J6808" t="s">
        <v>1830</v>
      </c>
      <c r="K6808" s="22" t="s">
        <v>35</v>
      </c>
      <c r="L6808">
        <v>1</v>
      </c>
      <c r="M6808">
        <v>1</v>
      </c>
      <c r="O6808" s="31"/>
      <c r="P6808" s="26"/>
      <c r="Q6808" s="26"/>
    </row>
    <row r="6809" spans="10:17" x14ac:dyDescent="0.25">
      <c r="J6809" t="s">
        <v>3563</v>
      </c>
      <c r="K6809" s="22" t="s">
        <v>31</v>
      </c>
      <c r="L6809">
        <v>1</v>
      </c>
      <c r="O6809" s="30"/>
      <c r="P6809" s="26"/>
      <c r="Q6809" s="26"/>
    </row>
    <row r="6810" spans="10:17" x14ac:dyDescent="0.25">
      <c r="J6810" t="s">
        <v>1763</v>
      </c>
      <c r="K6810" s="22" t="s">
        <v>30</v>
      </c>
      <c r="L6810">
        <v>1</v>
      </c>
      <c r="M6810">
        <v>1</v>
      </c>
      <c r="O6810" s="31"/>
      <c r="P6810" s="26"/>
      <c r="Q6810" s="26"/>
    </row>
    <row r="6811" spans="10:17" x14ac:dyDescent="0.25">
      <c r="J6811" t="s">
        <v>367</v>
      </c>
      <c r="K6811" s="22" t="s">
        <v>28</v>
      </c>
      <c r="L6811">
        <v>3</v>
      </c>
      <c r="M6811">
        <v>2</v>
      </c>
      <c r="O6811" s="30"/>
      <c r="P6811" s="26"/>
      <c r="Q6811" s="26"/>
    </row>
    <row r="6812" spans="10:17" x14ac:dyDescent="0.25">
      <c r="J6812" t="s">
        <v>663</v>
      </c>
      <c r="K6812" s="22" t="s">
        <v>20</v>
      </c>
      <c r="L6812">
        <v>1</v>
      </c>
      <c r="O6812" s="30"/>
      <c r="P6812" s="26"/>
      <c r="Q6812" s="26"/>
    </row>
    <row r="6813" spans="10:17" x14ac:dyDescent="0.25">
      <c r="J6813" t="s">
        <v>2321</v>
      </c>
      <c r="K6813" s="22" t="s">
        <v>26</v>
      </c>
      <c r="L6813">
        <v>1</v>
      </c>
      <c r="M6813">
        <v>1</v>
      </c>
      <c r="O6813" s="31"/>
      <c r="P6813" s="26"/>
      <c r="Q6813" s="26"/>
    </row>
    <row r="6814" spans="10:17" x14ac:dyDescent="0.25">
      <c r="J6814" t="s">
        <v>3564</v>
      </c>
      <c r="K6814" s="22" t="s">
        <v>24</v>
      </c>
      <c r="L6814">
        <v>1</v>
      </c>
      <c r="O6814" s="30"/>
      <c r="P6814" s="26"/>
      <c r="Q6814" s="26"/>
    </row>
    <row r="6815" spans="10:17" x14ac:dyDescent="0.25">
      <c r="J6815" t="s">
        <v>1939</v>
      </c>
      <c r="K6815" s="22" t="s">
        <v>35</v>
      </c>
      <c r="L6815">
        <v>1</v>
      </c>
      <c r="M6815">
        <v>1</v>
      </c>
      <c r="O6815" s="31"/>
      <c r="P6815" s="26"/>
      <c r="Q6815" s="26"/>
    </row>
    <row r="6816" spans="10:17" x14ac:dyDescent="0.25">
      <c r="J6816" t="s">
        <v>3565</v>
      </c>
      <c r="K6816" s="22" t="s">
        <v>28</v>
      </c>
      <c r="L6816">
        <v>1</v>
      </c>
      <c r="O6816" s="30"/>
      <c r="P6816" s="26"/>
      <c r="Q6816" s="26"/>
    </row>
    <row r="6817" spans="10:17" x14ac:dyDescent="0.25">
      <c r="J6817" t="s">
        <v>2754</v>
      </c>
      <c r="K6817" s="22" t="s">
        <v>20</v>
      </c>
      <c r="L6817">
        <v>1</v>
      </c>
      <c r="M6817">
        <v>1</v>
      </c>
      <c r="O6817" s="31"/>
      <c r="P6817" s="26"/>
      <c r="Q6817" s="26"/>
    </row>
    <row r="6818" spans="10:17" x14ac:dyDescent="0.25">
      <c r="J6818" t="s">
        <v>188</v>
      </c>
      <c r="K6818" s="22" t="s">
        <v>35</v>
      </c>
      <c r="L6818">
        <v>4</v>
      </c>
      <c r="M6818">
        <v>1</v>
      </c>
      <c r="O6818" s="30"/>
      <c r="P6818" s="26"/>
      <c r="Q6818" s="26"/>
    </row>
    <row r="6819" spans="10:17" x14ac:dyDescent="0.25">
      <c r="J6819" t="s">
        <v>225</v>
      </c>
      <c r="K6819" s="22" t="s">
        <v>35</v>
      </c>
      <c r="L6819">
        <v>1</v>
      </c>
      <c r="O6819" s="30"/>
      <c r="P6819" s="26"/>
      <c r="Q6819" s="26"/>
    </row>
    <row r="6820" spans="10:17" x14ac:dyDescent="0.25">
      <c r="J6820" t="s">
        <v>3566</v>
      </c>
      <c r="K6820" s="22" t="s">
        <v>20</v>
      </c>
      <c r="L6820">
        <v>1</v>
      </c>
      <c r="M6820">
        <v>1</v>
      </c>
      <c r="O6820" s="31"/>
      <c r="P6820" s="26"/>
      <c r="Q6820" s="26"/>
    </row>
    <row r="6821" spans="10:17" x14ac:dyDescent="0.25">
      <c r="J6821" t="s">
        <v>1722</v>
      </c>
      <c r="K6821" s="22" t="s">
        <v>31</v>
      </c>
      <c r="L6821">
        <v>1</v>
      </c>
      <c r="O6821" s="30"/>
      <c r="P6821" s="26"/>
      <c r="Q6821" s="26"/>
    </row>
    <row r="6822" spans="10:17" x14ac:dyDescent="0.25">
      <c r="J6822" t="s">
        <v>2660</v>
      </c>
      <c r="K6822" s="22" t="s">
        <v>22</v>
      </c>
      <c r="L6822">
        <v>1</v>
      </c>
      <c r="O6822" s="30"/>
      <c r="P6822" s="26"/>
      <c r="Q6822" s="26"/>
    </row>
    <row r="6823" spans="10:17" x14ac:dyDescent="0.25">
      <c r="J6823" t="s">
        <v>3567</v>
      </c>
      <c r="K6823" s="22" t="s">
        <v>31</v>
      </c>
      <c r="L6823">
        <v>2</v>
      </c>
      <c r="M6823">
        <v>2</v>
      </c>
      <c r="O6823" s="31"/>
      <c r="P6823" s="26"/>
      <c r="Q6823" s="26"/>
    </row>
    <row r="6824" spans="10:17" x14ac:dyDescent="0.25">
      <c r="J6824" t="s">
        <v>227</v>
      </c>
      <c r="K6824" s="22" t="s">
        <v>20</v>
      </c>
      <c r="L6824">
        <v>1</v>
      </c>
      <c r="O6824" s="30"/>
      <c r="P6824" s="26"/>
      <c r="Q6824" s="26"/>
    </row>
    <row r="6825" spans="10:17" x14ac:dyDescent="0.25">
      <c r="J6825" t="s">
        <v>3568</v>
      </c>
      <c r="K6825" s="22" t="s">
        <v>30</v>
      </c>
      <c r="L6825">
        <v>1</v>
      </c>
      <c r="M6825">
        <v>1</v>
      </c>
      <c r="O6825" s="31"/>
      <c r="P6825" s="26"/>
      <c r="Q6825" s="26"/>
    </row>
    <row r="6826" spans="10:17" x14ac:dyDescent="0.25">
      <c r="J6826" t="s">
        <v>1779</v>
      </c>
      <c r="K6826" s="22" t="s">
        <v>28</v>
      </c>
      <c r="L6826">
        <v>1</v>
      </c>
      <c r="O6826" s="30"/>
      <c r="P6826" s="26"/>
      <c r="Q6826" s="26"/>
    </row>
    <row r="6827" spans="10:17" x14ac:dyDescent="0.25">
      <c r="J6827" t="s">
        <v>60</v>
      </c>
      <c r="K6827" s="22" t="s">
        <v>31</v>
      </c>
      <c r="L6827">
        <v>1</v>
      </c>
      <c r="M6827">
        <v>1</v>
      </c>
      <c r="O6827" s="31"/>
      <c r="P6827" s="26"/>
      <c r="Q6827" s="26"/>
    </row>
    <row r="6828" spans="10:17" x14ac:dyDescent="0.25">
      <c r="J6828" t="s">
        <v>1463</v>
      </c>
      <c r="K6828" s="22" t="s">
        <v>31</v>
      </c>
      <c r="L6828">
        <v>1</v>
      </c>
      <c r="M6828">
        <v>1</v>
      </c>
      <c r="O6828" s="31"/>
      <c r="P6828" s="26"/>
      <c r="Q6828" s="26"/>
    </row>
    <row r="6829" spans="10:17" x14ac:dyDescent="0.25">
      <c r="J6829" t="s">
        <v>92</v>
      </c>
      <c r="K6829" s="22" t="s">
        <v>30</v>
      </c>
      <c r="L6829">
        <v>2</v>
      </c>
      <c r="M6829">
        <v>2</v>
      </c>
      <c r="O6829" s="31"/>
      <c r="P6829" s="26"/>
      <c r="Q6829" s="26"/>
    </row>
    <row r="6830" spans="10:17" x14ac:dyDescent="0.25">
      <c r="J6830" t="s">
        <v>93</v>
      </c>
      <c r="K6830" s="22" t="s">
        <v>31</v>
      </c>
      <c r="L6830">
        <v>1</v>
      </c>
      <c r="O6830" s="30"/>
      <c r="P6830" s="26"/>
      <c r="Q6830" s="26"/>
    </row>
    <row r="6831" spans="10:17" x14ac:dyDescent="0.25">
      <c r="J6831" t="s">
        <v>3244</v>
      </c>
      <c r="K6831" s="22" t="s">
        <v>28</v>
      </c>
      <c r="L6831">
        <v>1</v>
      </c>
      <c r="M6831">
        <v>1</v>
      </c>
      <c r="O6831" s="31"/>
      <c r="P6831" s="26"/>
      <c r="Q6831" s="26"/>
    </row>
    <row r="6832" spans="10:17" x14ac:dyDescent="0.25">
      <c r="J6832" t="s">
        <v>1305</v>
      </c>
      <c r="K6832" s="22" t="s">
        <v>31</v>
      </c>
      <c r="L6832">
        <v>1</v>
      </c>
      <c r="M6832">
        <v>1</v>
      </c>
      <c r="O6832" s="31"/>
      <c r="P6832" s="26"/>
      <c r="Q6832" s="26"/>
    </row>
    <row r="6833" spans="10:17" x14ac:dyDescent="0.25">
      <c r="J6833" t="s">
        <v>1247</v>
      </c>
      <c r="K6833" s="22" t="s">
        <v>20</v>
      </c>
      <c r="L6833">
        <v>1</v>
      </c>
      <c r="O6833" s="30"/>
      <c r="P6833" s="26"/>
      <c r="Q6833" s="26"/>
    </row>
    <row r="6834" spans="10:17" x14ac:dyDescent="0.25">
      <c r="J6834" t="s">
        <v>3569</v>
      </c>
      <c r="K6834" s="22" t="s">
        <v>30</v>
      </c>
      <c r="L6834">
        <v>1</v>
      </c>
      <c r="M6834">
        <v>1</v>
      </c>
      <c r="O6834" s="31"/>
      <c r="P6834" s="26"/>
      <c r="Q6834" s="26"/>
    </row>
    <row r="6835" spans="10:17" x14ac:dyDescent="0.25">
      <c r="J6835" t="s">
        <v>2084</v>
      </c>
      <c r="K6835" s="22" t="s">
        <v>24</v>
      </c>
      <c r="L6835">
        <v>1</v>
      </c>
      <c r="M6835">
        <v>1</v>
      </c>
      <c r="O6835" s="31"/>
      <c r="P6835" s="26"/>
      <c r="Q6835" s="26"/>
    </row>
    <row r="6836" spans="10:17" x14ac:dyDescent="0.25">
      <c r="J6836" t="s">
        <v>113</v>
      </c>
      <c r="K6836" s="22" t="s">
        <v>24</v>
      </c>
      <c r="L6836">
        <v>2</v>
      </c>
      <c r="M6836">
        <v>1</v>
      </c>
      <c r="O6836" s="30"/>
      <c r="P6836" s="26"/>
      <c r="Q6836" s="26"/>
    </row>
    <row r="6837" spans="10:17" x14ac:dyDescent="0.25">
      <c r="J6837" t="s">
        <v>190</v>
      </c>
      <c r="K6837" s="22" t="s">
        <v>20</v>
      </c>
      <c r="L6837">
        <v>2</v>
      </c>
      <c r="O6837" s="30"/>
      <c r="P6837" s="26"/>
      <c r="Q6837" s="26"/>
    </row>
    <row r="6838" spans="10:17" x14ac:dyDescent="0.25">
      <c r="J6838" t="s">
        <v>229</v>
      </c>
      <c r="K6838" s="22" t="s">
        <v>20</v>
      </c>
      <c r="L6838">
        <v>1</v>
      </c>
      <c r="M6838">
        <v>1</v>
      </c>
      <c r="O6838" s="31"/>
      <c r="P6838" s="26"/>
      <c r="Q6838" s="26"/>
    </row>
    <row r="6839" spans="10:17" x14ac:dyDescent="0.25">
      <c r="J6839" t="s">
        <v>492</v>
      </c>
      <c r="K6839" s="22" t="s">
        <v>20</v>
      </c>
      <c r="L6839">
        <v>1</v>
      </c>
      <c r="M6839">
        <v>1</v>
      </c>
      <c r="O6839" s="31"/>
      <c r="P6839" s="26"/>
      <c r="Q6839" s="26"/>
    </row>
    <row r="6840" spans="10:17" x14ac:dyDescent="0.25">
      <c r="J6840" t="s">
        <v>23</v>
      </c>
      <c r="K6840" s="22" t="s">
        <v>30</v>
      </c>
      <c r="L6840">
        <v>5</v>
      </c>
      <c r="M6840">
        <v>5</v>
      </c>
      <c r="O6840" s="31"/>
      <c r="P6840" s="26"/>
      <c r="Q6840" s="26"/>
    </row>
    <row r="6841" spans="10:17" x14ac:dyDescent="0.25">
      <c r="J6841" t="s">
        <v>1755</v>
      </c>
      <c r="K6841" s="22" t="s">
        <v>31</v>
      </c>
      <c r="L6841">
        <v>1</v>
      </c>
      <c r="O6841" s="30"/>
      <c r="P6841" s="26"/>
      <c r="Q6841" s="26"/>
    </row>
    <row r="6842" spans="10:17" x14ac:dyDescent="0.25">
      <c r="J6842" t="s">
        <v>1425</v>
      </c>
      <c r="K6842" s="22" t="s">
        <v>24</v>
      </c>
      <c r="L6842">
        <v>1</v>
      </c>
      <c r="M6842">
        <v>1</v>
      </c>
      <c r="O6842" s="31"/>
      <c r="P6842" s="26"/>
      <c r="Q6842" s="26"/>
    </row>
    <row r="6843" spans="10:17" x14ac:dyDescent="0.25">
      <c r="J6843" t="s">
        <v>2231</v>
      </c>
      <c r="K6843" s="22" t="s">
        <v>29</v>
      </c>
      <c r="L6843">
        <v>1</v>
      </c>
      <c r="O6843" s="30"/>
      <c r="P6843" s="26"/>
      <c r="Q6843" s="26"/>
    </row>
    <row r="6844" spans="10:17" x14ac:dyDescent="0.25">
      <c r="J6844" t="s">
        <v>2657</v>
      </c>
      <c r="K6844" s="22" t="s">
        <v>26</v>
      </c>
      <c r="L6844">
        <v>1</v>
      </c>
      <c r="M6844">
        <v>1</v>
      </c>
      <c r="O6844" s="31"/>
      <c r="P6844" s="26"/>
      <c r="Q6844" s="26"/>
    </row>
    <row r="6845" spans="10:17" x14ac:dyDescent="0.25">
      <c r="J6845" t="s">
        <v>3015</v>
      </c>
      <c r="K6845" s="22" t="s">
        <v>28</v>
      </c>
      <c r="L6845">
        <v>1</v>
      </c>
      <c r="O6845" s="30"/>
      <c r="P6845" s="26"/>
      <c r="Q6845" s="26"/>
    </row>
    <row r="6846" spans="10:17" x14ac:dyDescent="0.25">
      <c r="J6846" t="s">
        <v>1192</v>
      </c>
      <c r="K6846" s="22" t="s">
        <v>31</v>
      </c>
      <c r="L6846">
        <v>1</v>
      </c>
      <c r="M6846">
        <v>1</v>
      </c>
      <c r="O6846" s="31"/>
      <c r="P6846" s="26"/>
      <c r="Q6846" s="26"/>
    </row>
    <row r="6847" spans="10:17" x14ac:dyDescent="0.25">
      <c r="J6847" t="s">
        <v>1742</v>
      </c>
      <c r="K6847" s="22" t="s">
        <v>30</v>
      </c>
      <c r="L6847">
        <v>1</v>
      </c>
      <c r="O6847" s="30"/>
      <c r="P6847" s="26"/>
      <c r="Q6847" s="26"/>
    </row>
    <row r="6848" spans="10:17" x14ac:dyDescent="0.25">
      <c r="J6848" t="s">
        <v>3520</v>
      </c>
      <c r="K6848" s="22" t="s">
        <v>24</v>
      </c>
      <c r="L6848">
        <v>1</v>
      </c>
      <c r="M6848">
        <v>1</v>
      </c>
      <c r="O6848" s="31"/>
      <c r="P6848" s="26"/>
      <c r="Q6848" s="26"/>
    </row>
    <row r="6849" spans="10:17" x14ac:dyDescent="0.25">
      <c r="J6849" t="s">
        <v>1755</v>
      </c>
      <c r="K6849" s="22" t="s">
        <v>35</v>
      </c>
      <c r="L6849">
        <v>3</v>
      </c>
      <c r="M6849">
        <v>1</v>
      </c>
      <c r="O6849" s="30"/>
      <c r="P6849" s="26"/>
      <c r="Q6849" s="26"/>
    </row>
    <row r="6850" spans="10:17" x14ac:dyDescent="0.25">
      <c r="J6850" t="s">
        <v>3400</v>
      </c>
      <c r="K6850" s="22" t="s">
        <v>26</v>
      </c>
      <c r="L6850">
        <v>1</v>
      </c>
      <c r="O6850" s="30"/>
      <c r="P6850" s="26"/>
      <c r="Q6850" s="26"/>
    </row>
    <row r="6851" spans="10:17" x14ac:dyDescent="0.25">
      <c r="J6851" t="s">
        <v>3570</v>
      </c>
      <c r="K6851" s="22" t="s">
        <v>29</v>
      </c>
      <c r="L6851">
        <v>1</v>
      </c>
      <c r="M6851">
        <v>1</v>
      </c>
      <c r="O6851" s="31"/>
      <c r="P6851" s="26"/>
      <c r="Q6851" s="26"/>
    </row>
    <row r="6852" spans="10:17" x14ac:dyDescent="0.25">
      <c r="J6852" t="s">
        <v>2407</v>
      </c>
      <c r="K6852" s="22" t="s">
        <v>28</v>
      </c>
      <c r="L6852">
        <v>1</v>
      </c>
      <c r="O6852" s="30"/>
      <c r="P6852" s="26"/>
      <c r="Q6852" s="26"/>
    </row>
    <row r="6853" spans="10:17" x14ac:dyDescent="0.25">
      <c r="J6853" t="s">
        <v>410</v>
      </c>
      <c r="K6853" s="22" t="s">
        <v>31</v>
      </c>
      <c r="L6853">
        <v>1</v>
      </c>
      <c r="M6853">
        <v>1</v>
      </c>
      <c r="O6853" s="31"/>
      <c r="P6853" s="26"/>
      <c r="Q6853" s="26"/>
    </row>
    <row r="6854" spans="10:17" x14ac:dyDescent="0.25">
      <c r="J6854" t="s">
        <v>36</v>
      </c>
      <c r="K6854" s="22" t="s">
        <v>20</v>
      </c>
      <c r="L6854">
        <v>2</v>
      </c>
      <c r="M6854">
        <v>1</v>
      </c>
      <c r="O6854" s="31"/>
      <c r="P6854" s="26"/>
      <c r="Q6854" s="26"/>
    </row>
    <row r="6855" spans="10:17" x14ac:dyDescent="0.25">
      <c r="J6855" t="s">
        <v>1840</v>
      </c>
      <c r="K6855" s="22" t="s">
        <v>26</v>
      </c>
      <c r="L6855">
        <v>2</v>
      </c>
      <c r="M6855">
        <v>1</v>
      </c>
      <c r="O6855" s="30"/>
      <c r="P6855" s="26"/>
      <c r="Q6855" s="26"/>
    </row>
    <row r="6856" spans="10:17" x14ac:dyDescent="0.25">
      <c r="J6856" t="s">
        <v>1045</v>
      </c>
      <c r="K6856" s="22" t="s">
        <v>31</v>
      </c>
      <c r="L6856">
        <v>1</v>
      </c>
      <c r="O6856" s="30"/>
      <c r="P6856" s="26"/>
      <c r="Q6856" s="26"/>
    </row>
    <row r="6857" spans="10:17" x14ac:dyDescent="0.25">
      <c r="J6857" t="s">
        <v>1433</v>
      </c>
      <c r="K6857" s="22" t="s">
        <v>20</v>
      </c>
      <c r="L6857">
        <v>2</v>
      </c>
      <c r="M6857">
        <v>1</v>
      </c>
      <c r="O6857" s="31"/>
      <c r="P6857" s="26"/>
      <c r="Q6857" s="26"/>
    </row>
    <row r="6858" spans="10:17" x14ac:dyDescent="0.25">
      <c r="J6858" t="s">
        <v>2883</v>
      </c>
      <c r="K6858" s="22" t="s">
        <v>29</v>
      </c>
      <c r="L6858">
        <v>2</v>
      </c>
      <c r="M6858">
        <v>2</v>
      </c>
      <c r="O6858" s="31"/>
      <c r="P6858" s="26"/>
      <c r="Q6858" s="26"/>
    </row>
    <row r="6859" spans="10:17" x14ac:dyDescent="0.25">
      <c r="J6859" t="s">
        <v>531</v>
      </c>
      <c r="K6859" s="22" t="s">
        <v>31</v>
      </c>
      <c r="L6859">
        <v>3</v>
      </c>
      <c r="M6859">
        <v>1</v>
      </c>
      <c r="O6859" s="30"/>
      <c r="P6859" s="26"/>
      <c r="Q6859" s="26"/>
    </row>
    <row r="6860" spans="10:17" x14ac:dyDescent="0.25">
      <c r="J6860" t="s">
        <v>3164</v>
      </c>
      <c r="K6860" s="22" t="s">
        <v>26</v>
      </c>
      <c r="L6860">
        <v>1</v>
      </c>
      <c r="O6860" s="30"/>
      <c r="P6860" s="26"/>
      <c r="Q6860" s="26"/>
    </row>
    <row r="6861" spans="10:17" x14ac:dyDescent="0.25">
      <c r="J6861" t="s">
        <v>2385</v>
      </c>
      <c r="K6861" s="22" t="s">
        <v>24</v>
      </c>
      <c r="L6861">
        <v>1</v>
      </c>
      <c r="M6861">
        <v>1</v>
      </c>
      <c r="O6861" s="31"/>
      <c r="P6861" s="26"/>
      <c r="Q6861" s="26"/>
    </row>
    <row r="6862" spans="10:17" x14ac:dyDescent="0.25">
      <c r="J6862" t="s">
        <v>3572</v>
      </c>
      <c r="K6862" s="22" t="s">
        <v>30</v>
      </c>
      <c r="L6862">
        <v>1</v>
      </c>
      <c r="O6862" s="30"/>
      <c r="P6862" s="26"/>
      <c r="Q6862" s="26"/>
    </row>
    <row r="6863" spans="10:17" x14ac:dyDescent="0.25">
      <c r="J6863" t="s">
        <v>3573</v>
      </c>
      <c r="K6863" s="22" t="s">
        <v>28</v>
      </c>
      <c r="L6863">
        <v>1</v>
      </c>
      <c r="M6863">
        <v>1</v>
      </c>
      <c r="O6863" s="31"/>
      <c r="P6863" s="26"/>
      <c r="Q6863" s="26"/>
    </row>
    <row r="6864" spans="10:17" x14ac:dyDescent="0.25">
      <c r="J6864" t="s">
        <v>2794</v>
      </c>
      <c r="K6864" s="22" t="s">
        <v>20</v>
      </c>
      <c r="L6864">
        <v>1</v>
      </c>
      <c r="O6864" s="30"/>
      <c r="P6864" s="26"/>
      <c r="Q6864" s="26"/>
    </row>
    <row r="6865" spans="10:17" x14ac:dyDescent="0.25">
      <c r="J6865" t="s">
        <v>3438</v>
      </c>
      <c r="K6865" s="22" t="s">
        <v>30</v>
      </c>
      <c r="L6865">
        <v>1</v>
      </c>
      <c r="O6865" s="30"/>
      <c r="P6865" s="26"/>
      <c r="Q6865" s="26"/>
    </row>
    <row r="6866" spans="10:17" x14ac:dyDescent="0.25">
      <c r="J6866" t="s">
        <v>595</v>
      </c>
      <c r="K6866" s="22" t="s">
        <v>20</v>
      </c>
      <c r="L6866">
        <v>1</v>
      </c>
      <c r="M6866">
        <v>1</v>
      </c>
      <c r="O6866" s="31"/>
      <c r="P6866" s="26"/>
      <c r="Q6866" s="26"/>
    </row>
    <row r="6867" spans="10:17" x14ac:dyDescent="0.25">
      <c r="J6867" t="s">
        <v>3574</v>
      </c>
      <c r="K6867" s="22" t="s">
        <v>31</v>
      </c>
      <c r="L6867">
        <v>1</v>
      </c>
      <c r="O6867" s="30"/>
      <c r="P6867" s="26"/>
      <c r="Q6867" s="26"/>
    </row>
    <row r="6868" spans="10:17" x14ac:dyDescent="0.25">
      <c r="J6868" t="s">
        <v>3575</v>
      </c>
      <c r="K6868" s="22" t="s">
        <v>29</v>
      </c>
      <c r="L6868">
        <v>1</v>
      </c>
      <c r="M6868">
        <v>1</v>
      </c>
      <c r="O6868" s="31"/>
      <c r="P6868" s="26"/>
      <c r="Q6868" s="26"/>
    </row>
    <row r="6869" spans="10:17" x14ac:dyDescent="0.25">
      <c r="J6869" t="s">
        <v>621</v>
      </c>
      <c r="K6869" s="22" t="s">
        <v>24</v>
      </c>
      <c r="L6869">
        <v>1</v>
      </c>
      <c r="M6869">
        <v>1</v>
      </c>
      <c r="O6869" s="31"/>
      <c r="P6869" s="26"/>
      <c r="Q6869" s="26"/>
    </row>
    <row r="6870" spans="10:17" x14ac:dyDescent="0.25">
      <c r="J6870" t="s">
        <v>1788</v>
      </c>
      <c r="K6870" s="22" t="s">
        <v>20</v>
      </c>
      <c r="L6870">
        <v>1</v>
      </c>
      <c r="O6870" s="30"/>
      <c r="P6870" s="26"/>
      <c r="Q6870" s="26"/>
    </row>
    <row r="6871" spans="10:17" x14ac:dyDescent="0.25">
      <c r="J6871" t="s">
        <v>2787</v>
      </c>
      <c r="K6871" s="22" t="s">
        <v>31</v>
      </c>
      <c r="L6871">
        <v>1</v>
      </c>
      <c r="M6871">
        <v>1</v>
      </c>
      <c r="O6871" s="31"/>
      <c r="P6871" s="26"/>
      <c r="Q6871" s="26"/>
    </row>
    <row r="6872" spans="10:17" x14ac:dyDescent="0.25">
      <c r="J6872" t="s">
        <v>3576</v>
      </c>
      <c r="K6872" s="22" t="s">
        <v>35</v>
      </c>
      <c r="L6872">
        <v>1</v>
      </c>
      <c r="O6872" s="30"/>
      <c r="P6872" s="26"/>
      <c r="Q6872" s="26"/>
    </row>
    <row r="6873" spans="10:17" x14ac:dyDescent="0.25">
      <c r="J6873" t="s">
        <v>3577</v>
      </c>
      <c r="K6873" s="22" t="s">
        <v>29</v>
      </c>
      <c r="L6873">
        <v>1</v>
      </c>
      <c r="M6873">
        <v>1</v>
      </c>
      <c r="O6873" s="31"/>
      <c r="P6873" s="26"/>
      <c r="Q6873" s="26"/>
    </row>
    <row r="6874" spans="10:17" x14ac:dyDescent="0.25">
      <c r="J6874" t="s">
        <v>3343</v>
      </c>
      <c r="K6874" s="22" t="s">
        <v>30</v>
      </c>
      <c r="L6874">
        <v>1</v>
      </c>
      <c r="O6874" s="30"/>
      <c r="P6874" s="26"/>
      <c r="Q6874" s="26"/>
    </row>
    <row r="6875" spans="10:17" x14ac:dyDescent="0.25">
      <c r="J6875" t="s">
        <v>2768</v>
      </c>
      <c r="K6875" s="22" t="s">
        <v>30</v>
      </c>
      <c r="L6875">
        <v>1</v>
      </c>
      <c r="M6875">
        <v>1</v>
      </c>
      <c r="O6875" s="31"/>
      <c r="P6875" s="26"/>
      <c r="Q6875" s="26"/>
    </row>
    <row r="6876" spans="10:17" x14ac:dyDescent="0.25">
      <c r="J6876" t="s">
        <v>2173</v>
      </c>
      <c r="K6876" s="22" t="s">
        <v>20</v>
      </c>
      <c r="L6876">
        <v>1</v>
      </c>
      <c r="O6876" s="30"/>
      <c r="P6876" s="26"/>
      <c r="Q6876" s="26"/>
    </row>
    <row r="6877" spans="10:17" x14ac:dyDescent="0.25">
      <c r="J6877" t="s">
        <v>3578</v>
      </c>
      <c r="K6877" s="22" t="s">
        <v>31</v>
      </c>
      <c r="L6877">
        <v>1</v>
      </c>
      <c r="M6877">
        <v>1</v>
      </c>
      <c r="O6877" s="31"/>
      <c r="P6877" s="26"/>
      <c r="Q6877" s="26"/>
    </row>
    <row r="6878" spans="10:17" x14ac:dyDescent="0.25">
      <c r="J6878" t="s">
        <v>1109</v>
      </c>
      <c r="K6878" s="22" t="s">
        <v>29</v>
      </c>
      <c r="L6878">
        <v>1</v>
      </c>
      <c r="M6878">
        <v>1</v>
      </c>
      <c r="O6878" s="31"/>
      <c r="P6878" s="26"/>
      <c r="Q6878" s="26"/>
    </row>
    <row r="6879" spans="10:17" x14ac:dyDescent="0.25">
      <c r="J6879" t="s">
        <v>1138</v>
      </c>
      <c r="K6879" s="22" t="s">
        <v>28</v>
      </c>
      <c r="L6879">
        <v>1</v>
      </c>
      <c r="O6879" s="30"/>
      <c r="P6879" s="26"/>
      <c r="Q6879" s="26"/>
    </row>
    <row r="6880" spans="10:17" x14ac:dyDescent="0.25">
      <c r="J6880" t="s">
        <v>2119</v>
      </c>
      <c r="K6880" s="22" t="s">
        <v>35</v>
      </c>
      <c r="L6880">
        <v>1</v>
      </c>
      <c r="M6880">
        <v>1</v>
      </c>
      <c r="O6880" s="31"/>
      <c r="P6880" s="26"/>
      <c r="Q6880" s="26"/>
    </row>
    <row r="6881" spans="10:17" x14ac:dyDescent="0.25">
      <c r="J6881" t="s">
        <v>1634</v>
      </c>
      <c r="K6881" s="22" t="s">
        <v>31</v>
      </c>
      <c r="L6881">
        <v>1</v>
      </c>
      <c r="O6881" s="30"/>
      <c r="P6881" s="26"/>
      <c r="Q6881" s="26"/>
    </row>
    <row r="6882" spans="10:17" x14ac:dyDescent="0.25">
      <c r="J6882" t="s">
        <v>2931</v>
      </c>
      <c r="K6882" s="22" t="s">
        <v>29</v>
      </c>
      <c r="L6882">
        <v>2</v>
      </c>
      <c r="M6882">
        <v>1</v>
      </c>
      <c r="O6882" s="30"/>
      <c r="P6882" s="26"/>
      <c r="Q6882" s="26"/>
    </row>
    <row r="6883" spans="10:17" x14ac:dyDescent="0.25">
      <c r="J6883" t="s">
        <v>921</v>
      </c>
      <c r="K6883" s="22" t="s">
        <v>26</v>
      </c>
      <c r="L6883">
        <v>1</v>
      </c>
      <c r="O6883" s="30"/>
      <c r="P6883" s="26"/>
      <c r="Q6883" s="26"/>
    </row>
    <row r="6884" spans="10:17" x14ac:dyDescent="0.25">
      <c r="J6884" t="s">
        <v>3579</v>
      </c>
      <c r="K6884" s="22" t="s">
        <v>35</v>
      </c>
      <c r="L6884">
        <v>1</v>
      </c>
      <c r="M6884">
        <v>1</v>
      </c>
      <c r="O6884" s="31"/>
      <c r="P6884" s="26"/>
      <c r="Q6884" s="26"/>
    </row>
    <row r="6885" spans="10:17" x14ac:dyDescent="0.25">
      <c r="J6885" t="s">
        <v>2755</v>
      </c>
      <c r="K6885" s="22" t="s">
        <v>30</v>
      </c>
      <c r="L6885">
        <v>1</v>
      </c>
      <c r="O6885" s="30"/>
      <c r="P6885" s="26"/>
      <c r="Q6885" s="26"/>
    </row>
    <row r="6886" spans="10:17" x14ac:dyDescent="0.25">
      <c r="J6886" t="s">
        <v>2618</v>
      </c>
      <c r="K6886" s="22" t="s">
        <v>22</v>
      </c>
      <c r="L6886">
        <v>1</v>
      </c>
      <c r="O6886" s="30"/>
      <c r="P6886" s="26"/>
      <c r="Q6886" s="26"/>
    </row>
    <row r="6887" spans="10:17" x14ac:dyDescent="0.25">
      <c r="J6887" t="s">
        <v>3580</v>
      </c>
      <c r="K6887" s="22" t="s">
        <v>29</v>
      </c>
      <c r="L6887">
        <v>1</v>
      </c>
      <c r="M6887">
        <v>1</v>
      </c>
      <c r="O6887" s="31"/>
      <c r="P6887" s="26"/>
      <c r="Q6887" s="26"/>
    </row>
    <row r="6888" spans="10:17" x14ac:dyDescent="0.25">
      <c r="J6888" t="s">
        <v>3581</v>
      </c>
      <c r="K6888" s="22" t="s">
        <v>20</v>
      </c>
      <c r="L6888">
        <v>1</v>
      </c>
      <c r="O6888" s="30"/>
      <c r="P6888" s="26"/>
      <c r="Q6888" s="26"/>
    </row>
    <row r="6889" spans="10:17" x14ac:dyDescent="0.25">
      <c r="J6889" t="s">
        <v>2429</v>
      </c>
      <c r="K6889" s="22" t="s">
        <v>31</v>
      </c>
      <c r="L6889">
        <v>1</v>
      </c>
      <c r="M6889">
        <v>1</v>
      </c>
      <c r="O6889" s="31"/>
      <c r="P6889" s="26"/>
      <c r="Q6889" s="26"/>
    </row>
    <row r="6890" spans="10:17" x14ac:dyDescent="0.25">
      <c r="J6890" t="s">
        <v>2671</v>
      </c>
      <c r="K6890" s="22" t="s">
        <v>31</v>
      </c>
      <c r="L6890">
        <v>1</v>
      </c>
      <c r="M6890">
        <v>1</v>
      </c>
      <c r="O6890" s="31"/>
      <c r="P6890" s="26"/>
      <c r="Q6890" s="26"/>
    </row>
    <row r="6891" spans="10:17" x14ac:dyDescent="0.25">
      <c r="J6891" t="s">
        <v>2789</v>
      </c>
      <c r="K6891" s="22" t="s">
        <v>30</v>
      </c>
      <c r="L6891">
        <v>1</v>
      </c>
      <c r="M6891">
        <v>1</v>
      </c>
      <c r="O6891" s="31"/>
      <c r="P6891" s="26"/>
      <c r="Q6891" s="26"/>
    </row>
    <row r="6892" spans="10:17" x14ac:dyDescent="0.25">
      <c r="J6892" t="s">
        <v>1955</v>
      </c>
      <c r="K6892" s="22" t="s">
        <v>24</v>
      </c>
      <c r="L6892">
        <v>1</v>
      </c>
      <c r="O6892" s="30"/>
      <c r="P6892" s="26"/>
      <c r="Q6892" s="26"/>
    </row>
    <row r="6893" spans="10:17" x14ac:dyDescent="0.25">
      <c r="J6893" t="s">
        <v>3582</v>
      </c>
      <c r="K6893" s="22" t="s">
        <v>28</v>
      </c>
      <c r="L6893">
        <v>1</v>
      </c>
      <c r="M6893">
        <v>1</v>
      </c>
      <c r="O6893" s="31"/>
      <c r="P6893" s="26"/>
      <c r="Q6893" s="26"/>
    </row>
    <row r="6894" spans="10:17" x14ac:dyDescent="0.25">
      <c r="J6894" t="s">
        <v>3142</v>
      </c>
      <c r="K6894" s="22" t="s">
        <v>24</v>
      </c>
      <c r="L6894">
        <v>1</v>
      </c>
      <c r="M6894">
        <v>1</v>
      </c>
      <c r="O6894" s="31"/>
      <c r="P6894" s="26"/>
      <c r="Q6894" s="26"/>
    </row>
    <row r="6895" spans="10:17" x14ac:dyDescent="0.25">
      <c r="J6895" t="s">
        <v>989</v>
      </c>
      <c r="K6895" s="22" t="s">
        <v>29</v>
      </c>
      <c r="L6895">
        <v>1</v>
      </c>
      <c r="O6895" s="30"/>
      <c r="P6895" s="26"/>
      <c r="Q6895" s="26"/>
    </row>
    <row r="6896" spans="10:17" x14ac:dyDescent="0.25">
      <c r="J6896" t="s">
        <v>3442</v>
      </c>
      <c r="K6896" s="22" t="s">
        <v>20</v>
      </c>
      <c r="L6896">
        <v>1</v>
      </c>
      <c r="M6896">
        <v>1</v>
      </c>
      <c r="O6896" s="31"/>
      <c r="P6896" s="26"/>
      <c r="Q6896" s="26"/>
    </row>
    <row r="6897" spans="10:17" x14ac:dyDescent="0.25">
      <c r="J6897" t="s">
        <v>1328</v>
      </c>
      <c r="K6897" s="22" t="s">
        <v>31</v>
      </c>
      <c r="L6897">
        <v>4</v>
      </c>
      <c r="M6897">
        <v>4</v>
      </c>
      <c r="O6897" s="31"/>
      <c r="P6897" s="26"/>
      <c r="Q6897" s="26"/>
    </row>
    <row r="6898" spans="10:17" x14ac:dyDescent="0.25">
      <c r="J6898" t="s">
        <v>2795</v>
      </c>
      <c r="K6898" s="22" t="s">
        <v>28</v>
      </c>
      <c r="L6898">
        <v>1</v>
      </c>
      <c r="O6898" s="30"/>
      <c r="P6898" s="26"/>
      <c r="Q6898" s="26"/>
    </row>
    <row r="6899" spans="10:17" x14ac:dyDescent="0.25">
      <c r="J6899" t="s">
        <v>3583</v>
      </c>
      <c r="K6899" s="22" t="s">
        <v>30</v>
      </c>
      <c r="L6899">
        <v>1</v>
      </c>
      <c r="M6899">
        <v>1</v>
      </c>
      <c r="O6899" s="31"/>
      <c r="P6899" s="26"/>
      <c r="Q6899" s="26"/>
    </row>
    <row r="6900" spans="10:17" x14ac:dyDescent="0.25">
      <c r="J6900" t="s">
        <v>261</v>
      </c>
      <c r="K6900" s="22" t="s">
        <v>35</v>
      </c>
      <c r="L6900">
        <v>5</v>
      </c>
      <c r="M6900">
        <v>4</v>
      </c>
      <c r="O6900" s="30"/>
      <c r="P6900" s="26"/>
      <c r="Q6900" s="26"/>
    </row>
    <row r="6901" spans="10:17" x14ac:dyDescent="0.25">
      <c r="J6901" t="s">
        <v>437</v>
      </c>
      <c r="K6901" s="22" t="s">
        <v>20</v>
      </c>
      <c r="L6901">
        <v>4</v>
      </c>
      <c r="M6901">
        <v>3</v>
      </c>
      <c r="O6901" s="30"/>
      <c r="P6901" s="26"/>
      <c r="Q6901" s="26"/>
    </row>
    <row r="6902" spans="10:17" x14ac:dyDescent="0.25">
      <c r="J6902" t="s">
        <v>3584</v>
      </c>
      <c r="K6902" s="22" t="s">
        <v>30</v>
      </c>
      <c r="L6902">
        <v>1</v>
      </c>
      <c r="O6902" s="30"/>
      <c r="P6902" s="26"/>
      <c r="Q6902" s="26"/>
    </row>
    <row r="6903" spans="10:17" x14ac:dyDescent="0.25">
      <c r="J6903" t="s">
        <v>1595</v>
      </c>
      <c r="K6903" s="22" t="s">
        <v>26</v>
      </c>
      <c r="L6903">
        <v>1</v>
      </c>
      <c r="M6903">
        <v>1</v>
      </c>
      <c r="O6903" s="31"/>
      <c r="P6903" s="26"/>
      <c r="Q6903" s="26"/>
    </row>
    <row r="6904" spans="10:17" x14ac:dyDescent="0.25">
      <c r="J6904" t="s">
        <v>3585</v>
      </c>
      <c r="K6904" s="22" t="s">
        <v>24</v>
      </c>
      <c r="L6904">
        <v>1</v>
      </c>
      <c r="O6904" s="30"/>
      <c r="P6904" s="26"/>
      <c r="Q6904" s="26"/>
    </row>
    <row r="6905" spans="10:17" x14ac:dyDescent="0.25">
      <c r="J6905" t="s">
        <v>55</v>
      </c>
      <c r="K6905" s="22" t="s">
        <v>26</v>
      </c>
      <c r="L6905">
        <v>2</v>
      </c>
      <c r="M6905">
        <v>1</v>
      </c>
      <c r="O6905" s="30"/>
      <c r="P6905" s="26"/>
      <c r="Q6905" s="26"/>
    </row>
    <row r="6906" spans="10:17" x14ac:dyDescent="0.25">
      <c r="J6906" t="s">
        <v>3462</v>
      </c>
      <c r="K6906" s="22" t="s">
        <v>24</v>
      </c>
      <c r="L6906">
        <v>2</v>
      </c>
      <c r="M6906">
        <v>1</v>
      </c>
      <c r="O6906" s="31"/>
      <c r="P6906" s="26"/>
      <c r="Q6906" s="26"/>
    </row>
    <row r="6907" spans="10:17" x14ac:dyDescent="0.25">
      <c r="J6907" t="s">
        <v>3544</v>
      </c>
      <c r="K6907" s="22" t="s">
        <v>22</v>
      </c>
      <c r="L6907">
        <v>1</v>
      </c>
      <c r="M6907">
        <v>1</v>
      </c>
      <c r="O6907" s="31"/>
      <c r="P6907" s="26"/>
      <c r="Q6907" s="26"/>
    </row>
    <row r="6908" spans="10:17" x14ac:dyDescent="0.25">
      <c r="J6908" t="s">
        <v>1053</v>
      </c>
      <c r="K6908" s="22" t="s">
        <v>35</v>
      </c>
      <c r="L6908">
        <v>1</v>
      </c>
      <c r="O6908" s="30"/>
      <c r="P6908" s="26"/>
      <c r="Q6908" s="26"/>
    </row>
    <row r="6909" spans="10:17" x14ac:dyDescent="0.25">
      <c r="J6909" t="s">
        <v>2953</v>
      </c>
      <c r="K6909" s="22" t="s">
        <v>29</v>
      </c>
      <c r="L6909">
        <v>1</v>
      </c>
      <c r="M6909">
        <v>1</v>
      </c>
      <c r="O6909" s="31"/>
      <c r="P6909" s="26"/>
      <c r="Q6909" s="26"/>
    </row>
    <row r="6910" spans="10:17" x14ac:dyDescent="0.25">
      <c r="J6910" t="s">
        <v>2691</v>
      </c>
      <c r="K6910" s="22" t="s">
        <v>28</v>
      </c>
      <c r="L6910">
        <v>1</v>
      </c>
      <c r="M6910">
        <v>1</v>
      </c>
      <c r="O6910" s="31"/>
      <c r="P6910" s="26"/>
      <c r="Q6910" s="26"/>
    </row>
    <row r="6911" spans="10:17" x14ac:dyDescent="0.25">
      <c r="J6911" t="s">
        <v>2591</v>
      </c>
      <c r="K6911" s="22" t="s">
        <v>30</v>
      </c>
      <c r="L6911">
        <v>1</v>
      </c>
      <c r="O6911" s="30"/>
      <c r="P6911" s="26"/>
      <c r="Q6911" s="26"/>
    </row>
    <row r="6912" spans="10:17" x14ac:dyDescent="0.25">
      <c r="J6912" t="s">
        <v>3586</v>
      </c>
      <c r="K6912" s="22" t="s">
        <v>29</v>
      </c>
      <c r="L6912">
        <v>1</v>
      </c>
      <c r="M6912">
        <v>1</v>
      </c>
      <c r="O6912" s="31"/>
      <c r="P6912" s="26"/>
      <c r="Q6912" s="26"/>
    </row>
    <row r="6913" spans="10:17" x14ac:dyDescent="0.25">
      <c r="J6913" t="s">
        <v>3401</v>
      </c>
      <c r="K6913" s="22" t="s">
        <v>24</v>
      </c>
      <c r="L6913">
        <v>1</v>
      </c>
      <c r="O6913" s="30"/>
      <c r="P6913" s="26"/>
      <c r="Q6913" s="26"/>
    </row>
    <row r="6914" spans="10:17" x14ac:dyDescent="0.25">
      <c r="J6914" t="s">
        <v>1258</v>
      </c>
      <c r="K6914" s="22" t="s">
        <v>35</v>
      </c>
      <c r="L6914">
        <v>1</v>
      </c>
      <c r="M6914">
        <v>1</v>
      </c>
      <c r="O6914" s="31"/>
      <c r="P6914" s="26"/>
      <c r="Q6914" s="26"/>
    </row>
    <row r="6915" spans="10:17" x14ac:dyDescent="0.25">
      <c r="J6915" t="s">
        <v>2335</v>
      </c>
      <c r="K6915" s="22" t="s">
        <v>30</v>
      </c>
      <c r="L6915">
        <v>1</v>
      </c>
      <c r="O6915" s="30"/>
      <c r="P6915" s="26"/>
      <c r="Q6915" s="26"/>
    </row>
    <row r="6916" spans="10:17" x14ac:dyDescent="0.25">
      <c r="J6916" t="s">
        <v>2313</v>
      </c>
      <c r="K6916" s="22" t="s">
        <v>22</v>
      </c>
      <c r="L6916">
        <v>1</v>
      </c>
      <c r="M6916">
        <v>1</v>
      </c>
      <c r="O6916" s="31"/>
      <c r="P6916" s="26"/>
      <c r="Q6916" s="26"/>
    </row>
    <row r="6917" spans="10:17" x14ac:dyDescent="0.25">
      <c r="J6917" t="s">
        <v>280</v>
      </c>
      <c r="K6917" s="22" t="s">
        <v>29</v>
      </c>
      <c r="L6917">
        <v>1</v>
      </c>
      <c r="O6917" s="30"/>
      <c r="P6917" s="26"/>
      <c r="Q6917" s="26"/>
    </row>
    <row r="6918" spans="10:17" x14ac:dyDescent="0.25">
      <c r="J6918" t="s">
        <v>3107</v>
      </c>
      <c r="K6918" s="22" t="s">
        <v>20</v>
      </c>
      <c r="L6918">
        <v>1</v>
      </c>
      <c r="M6918">
        <v>1</v>
      </c>
      <c r="O6918" s="31"/>
      <c r="P6918" s="26"/>
      <c r="Q6918" s="26"/>
    </row>
    <row r="6919" spans="10:17" x14ac:dyDescent="0.25">
      <c r="J6919" t="s">
        <v>2900</v>
      </c>
      <c r="K6919" s="22" t="s">
        <v>35</v>
      </c>
      <c r="L6919">
        <v>1</v>
      </c>
      <c r="O6919" s="30"/>
      <c r="P6919" s="26"/>
      <c r="Q6919" s="26"/>
    </row>
    <row r="6920" spans="10:17" x14ac:dyDescent="0.25">
      <c r="J6920" t="s">
        <v>2290</v>
      </c>
      <c r="K6920" s="22" t="s">
        <v>28</v>
      </c>
      <c r="L6920">
        <v>2</v>
      </c>
      <c r="M6920">
        <v>2</v>
      </c>
      <c r="O6920" s="31"/>
      <c r="P6920" s="26"/>
      <c r="Q6920" s="26"/>
    </row>
    <row r="6921" spans="10:17" x14ac:dyDescent="0.25">
      <c r="J6921" t="s">
        <v>2084</v>
      </c>
      <c r="K6921" s="22" t="s">
        <v>22</v>
      </c>
      <c r="L6921">
        <v>1</v>
      </c>
      <c r="M6921">
        <v>1</v>
      </c>
      <c r="O6921" s="31"/>
      <c r="P6921" s="26"/>
      <c r="Q6921" s="26"/>
    </row>
    <row r="6922" spans="10:17" x14ac:dyDescent="0.25">
      <c r="J6922" t="s">
        <v>3587</v>
      </c>
      <c r="K6922" s="22" t="s">
        <v>28</v>
      </c>
      <c r="L6922">
        <v>1</v>
      </c>
      <c r="O6922" s="30"/>
      <c r="P6922" s="26"/>
      <c r="Q6922" s="26"/>
    </row>
    <row r="6923" spans="10:17" x14ac:dyDescent="0.25">
      <c r="J6923" t="s">
        <v>2122</v>
      </c>
      <c r="K6923" s="22" t="s">
        <v>26</v>
      </c>
      <c r="L6923">
        <v>1</v>
      </c>
      <c r="M6923">
        <v>1</v>
      </c>
      <c r="O6923" s="31"/>
      <c r="P6923" s="26"/>
      <c r="Q6923" s="26"/>
    </row>
    <row r="6924" spans="10:17" x14ac:dyDescent="0.25">
      <c r="J6924" t="s">
        <v>119</v>
      </c>
      <c r="K6924" s="22" t="s">
        <v>30</v>
      </c>
      <c r="L6924">
        <v>1</v>
      </c>
      <c r="O6924" s="30"/>
      <c r="P6924" s="26"/>
      <c r="Q6924" s="26"/>
    </row>
    <row r="6925" spans="10:17" x14ac:dyDescent="0.25">
      <c r="J6925" t="s">
        <v>3588</v>
      </c>
      <c r="K6925" s="22" t="s">
        <v>26</v>
      </c>
      <c r="L6925">
        <v>1</v>
      </c>
      <c r="M6925">
        <v>1</v>
      </c>
      <c r="O6925" s="31"/>
      <c r="P6925" s="26"/>
      <c r="Q6925" s="26"/>
    </row>
    <row r="6926" spans="10:17" x14ac:dyDescent="0.25">
      <c r="J6926" t="s">
        <v>3589</v>
      </c>
      <c r="K6926" s="22" t="s">
        <v>28</v>
      </c>
      <c r="L6926">
        <v>1</v>
      </c>
      <c r="O6926" s="30"/>
      <c r="P6926" s="26"/>
      <c r="Q6926" s="26"/>
    </row>
    <row r="6927" spans="10:17" x14ac:dyDescent="0.25">
      <c r="J6927" t="s">
        <v>3590</v>
      </c>
      <c r="K6927" s="22" t="s">
        <v>35</v>
      </c>
      <c r="L6927">
        <v>1</v>
      </c>
      <c r="M6927">
        <v>1</v>
      </c>
      <c r="O6927" s="31"/>
      <c r="P6927" s="26"/>
      <c r="Q6927" s="26"/>
    </row>
    <row r="6928" spans="10:17" x14ac:dyDescent="0.25">
      <c r="J6928" t="s">
        <v>2859</v>
      </c>
      <c r="K6928" s="22" t="s">
        <v>31</v>
      </c>
      <c r="L6928">
        <v>2</v>
      </c>
      <c r="M6928">
        <v>1</v>
      </c>
      <c r="O6928" s="30"/>
      <c r="P6928" s="26"/>
      <c r="Q6928" s="26"/>
    </row>
    <row r="6929" spans="10:17" x14ac:dyDescent="0.25">
      <c r="J6929" t="s">
        <v>652</v>
      </c>
      <c r="K6929" s="22" t="s">
        <v>35</v>
      </c>
      <c r="L6929">
        <v>1</v>
      </c>
      <c r="O6929" s="30"/>
      <c r="P6929" s="26"/>
      <c r="Q6929" s="26"/>
    </row>
    <row r="6930" spans="10:17" x14ac:dyDescent="0.25">
      <c r="J6930" t="s">
        <v>3591</v>
      </c>
      <c r="K6930" s="22" t="s">
        <v>28</v>
      </c>
      <c r="L6930">
        <v>2</v>
      </c>
      <c r="M6930">
        <v>2</v>
      </c>
      <c r="O6930" s="31"/>
      <c r="P6930" s="26"/>
      <c r="Q6930" s="26"/>
    </row>
    <row r="6931" spans="10:17" x14ac:dyDescent="0.25">
      <c r="J6931" t="s">
        <v>2931</v>
      </c>
      <c r="K6931" s="22" t="s">
        <v>26</v>
      </c>
      <c r="L6931">
        <v>1</v>
      </c>
      <c r="O6931" s="30"/>
      <c r="P6931" s="26"/>
      <c r="Q6931" s="26"/>
    </row>
    <row r="6932" spans="10:17" x14ac:dyDescent="0.25">
      <c r="J6932" t="s">
        <v>3592</v>
      </c>
      <c r="K6932" s="22" t="s">
        <v>20</v>
      </c>
      <c r="L6932">
        <v>2</v>
      </c>
      <c r="M6932">
        <v>2</v>
      </c>
      <c r="O6932" s="31"/>
      <c r="P6932" s="26"/>
      <c r="Q6932" s="26"/>
    </row>
    <row r="6933" spans="10:17" x14ac:dyDescent="0.25">
      <c r="J6933" t="s">
        <v>570</v>
      </c>
      <c r="K6933" s="22" t="s">
        <v>22</v>
      </c>
      <c r="L6933">
        <v>1</v>
      </c>
      <c r="O6933" s="30"/>
      <c r="P6933" s="26"/>
      <c r="Q6933" s="26"/>
    </row>
    <row r="6934" spans="10:17" x14ac:dyDescent="0.25">
      <c r="J6934" t="s">
        <v>2046</v>
      </c>
      <c r="K6934" s="22" t="s">
        <v>24</v>
      </c>
      <c r="L6934">
        <v>1</v>
      </c>
      <c r="M6934">
        <v>1</v>
      </c>
      <c r="O6934" s="31"/>
      <c r="P6934" s="26"/>
      <c r="Q6934" s="26"/>
    </row>
    <row r="6935" spans="10:17" x14ac:dyDescent="0.25">
      <c r="J6935" t="s">
        <v>1541</v>
      </c>
      <c r="K6935" s="22" t="s">
        <v>20</v>
      </c>
      <c r="L6935">
        <v>1</v>
      </c>
      <c r="O6935" s="30"/>
      <c r="P6935" s="26"/>
      <c r="Q6935" s="26"/>
    </row>
    <row r="6936" spans="10:17" x14ac:dyDescent="0.25">
      <c r="J6936" t="s">
        <v>3593</v>
      </c>
      <c r="K6936" s="22" t="s">
        <v>35</v>
      </c>
      <c r="L6936">
        <v>1</v>
      </c>
      <c r="M6936">
        <v>1</v>
      </c>
      <c r="O6936" s="31"/>
      <c r="P6936" s="26"/>
      <c r="Q6936" s="26"/>
    </row>
    <row r="6937" spans="10:17" x14ac:dyDescent="0.25">
      <c r="J6937" t="s">
        <v>839</v>
      </c>
      <c r="K6937" s="22" t="s">
        <v>24</v>
      </c>
      <c r="L6937">
        <v>3</v>
      </c>
      <c r="M6937">
        <v>3</v>
      </c>
      <c r="O6937" s="31"/>
      <c r="P6937" s="26"/>
      <c r="Q6937" s="26"/>
    </row>
    <row r="6938" spans="10:17" x14ac:dyDescent="0.25">
      <c r="J6938" t="s">
        <v>2464</v>
      </c>
      <c r="K6938" s="22" t="s">
        <v>26</v>
      </c>
      <c r="L6938">
        <v>1</v>
      </c>
      <c r="O6938" s="30"/>
      <c r="P6938" s="26"/>
      <c r="Q6938" s="26"/>
    </row>
    <row r="6939" spans="10:17" x14ac:dyDescent="0.25">
      <c r="J6939" t="s">
        <v>3594</v>
      </c>
      <c r="K6939" s="22" t="s">
        <v>29</v>
      </c>
      <c r="L6939">
        <v>1</v>
      </c>
      <c r="M6939">
        <v>1</v>
      </c>
      <c r="O6939" s="31"/>
      <c r="P6939" s="26"/>
      <c r="Q6939" s="26"/>
    </row>
    <row r="6940" spans="10:17" x14ac:dyDescent="0.25">
      <c r="J6940" t="s">
        <v>84</v>
      </c>
      <c r="K6940" s="22" t="s">
        <v>22</v>
      </c>
      <c r="L6940">
        <v>2</v>
      </c>
      <c r="M6940">
        <v>1</v>
      </c>
      <c r="O6940" s="30"/>
      <c r="P6940" s="26"/>
      <c r="Q6940" s="26"/>
    </row>
    <row r="6941" spans="10:17" x14ac:dyDescent="0.25">
      <c r="J6941" t="s">
        <v>2306</v>
      </c>
      <c r="K6941" s="22" t="s">
        <v>35</v>
      </c>
      <c r="L6941">
        <v>1</v>
      </c>
      <c r="O6941" s="30"/>
      <c r="P6941" s="26"/>
      <c r="Q6941" s="26"/>
    </row>
    <row r="6942" spans="10:17" x14ac:dyDescent="0.25">
      <c r="J6942" t="s">
        <v>510</v>
      </c>
      <c r="K6942" s="22" t="s">
        <v>24</v>
      </c>
      <c r="L6942">
        <v>2</v>
      </c>
      <c r="M6942">
        <v>2</v>
      </c>
      <c r="O6942" s="31"/>
      <c r="P6942" s="26"/>
      <c r="Q6942" s="26"/>
    </row>
    <row r="6943" spans="10:17" x14ac:dyDescent="0.25">
      <c r="J6943" t="s">
        <v>3595</v>
      </c>
      <c r="K6943" s="22" t="s">
        <v>20</v>
      </c>
      <c r="L6943">
        <v>1</v>
      </c>
      <c r="O6943" s="30"/>
      <c r="P6943" s="26"/>
      <c r="Q6943" s="26"/>
    </row>
    <row r="6944" spans="10:17" x14ac:dyDescent="0.25">
      <c r="J6944" t="s">
        <v>3596</v>
      </c>
      <c r="K6944" s="22" t="s">
        <v>31</v>
      </c>
      <c r="L6944">
        <v>1</v>
      </c>
      <c r="M6944">
        <v>1</v>
      </c>
      <c r="O6944" s="31"/>
      <c r="P6944" s="26"/>
      <c r="Q6944" s="26"/>
    </row>
    <row r="6945" spans="10:17" x14ac:dyDescent="0.25">
      <c r="J6945" t="s">
        <v>138</v>
      </c>
      <c r="K6945" s="22" t="s">
        <v>30</v>
      </c>
      <c r="L6945">
        <v>1</v>
      </c>
      <c r="M6945">
        <v>1</v>
      </c>
      <c r="O6945" s="31"/>
      <c r="P6945" s="26"/>
      <c r="Q6945" s="26"/>
    </row>
    <row r="6946" spans="10:17" x14ac:dyDescent="0.25">
      <c r="J6946" t="s">
        <v>3597</v>
      </c>
      <c r="K6946" s="22" t="s">
        <v>22</v>
      </c>
      <c r="L6946">
        <v>1</v>
      </c>
      <c r="O6946" s="30"/>
      <c r="P6946" s="26"/>
      <c r="Q6946" s="26"/>
    </row>
    <row r="6947" spans="10:17" x14ac:dyDescent="0.25">
      <c r="J6947" t="s">
        <v>3598</v>
      </c>
      <c r="K6947" s="22" t="s">
        <v>35</v>
      </c>
      <c r="L6947">
        <v>1</v>
      </c>
      <c r="M6947">
        <v>1</v>
      </c>
      <c r="O6947" s="31"/>
      <c r="P6947" s="26"/>
      <c r="Q6947" s="26"/>
    </row>
    <row r="6948" spans="10:17" x14ac:dyDescent="0.25">
      <c r="J6948" t="s">
        <v>478</v>
      </c>
      <c r="K6948" s="22" t="s">
        <v>31</v>
      </c>
      <c r="L6948">
        <v>2</v>
      </c>
      <c r="M6948">
        <v>1</v>
      </c>
      <c r="O6948" s="30"/>
      <c r="P6948" s="26"/>
      <c r="Q6948" s="26"/>
    </row>
    <row r="6949" spans="10:17" x14ac:dyDescent="0.25">
      <c r="J6949" t="s">
        <v>620</v>
      </c>
      <c r="K6949" s="22" t="s">
        <v>26</v>
      </c>
      <c r="L6949">
        <v>1</v>
      </c>
      <c r="O6949" s="30"/>
      <c r="P6949" s="26"/>
      <c r="Q6949" s="26"/>
    </row>
    <row r="6950" spans="10:17" x14ac:dyDescent="0.25">
      <c r="J6950" t="s">
        <v>1866</v>
      </c>
      <c r="K6950" s="22" t="s">
        <v>24</v>
      </c>
      <c r="L6950">
        <v>1</v>
      </c>
      <c r="M6950">
        <v>1</v>
      </c>
      <c r="O6950" s="31"/>
      <c r="P6950" s="26"/>
      <c r="Q6950" s="26"/>
    </row>
    <row r="6951" spans="10:17" x14ac:dyDescent="0.25">
      <c r="J6951" t="s">
        <v>3599</v>
      </c>
      <c r="K6951" s="22" t="s">
        <v>20</v>
      </c>
      <c r="L6951">
        <v>1</v>
      </c>
      <c r="O6951" s="30"/>
      <c r="P6951" s="26"/>
      <c r="Q6951" s="26"/>
    </row>
    <row r="6952" spans="10:17" x14ac:dyDescent="0.25">
      <c r="J6952" t="s">
        <v>2707</v>
      </c>
      <c r="K6952" s="22" t="s">
        <v>29</v>
      </c>
      <c r="L6952">
        <v>1</v>
      </c>
      <c r="M6952">
        <v>1</v>
      </c>
      <c r="O6952" s="31"/>
      <c r="P6952" s="26"/>
      <c r="Q6952" s="26"/>
    </row>
    <row r="6953" spans="10:17" x14ac:dyDescent="0.25">
      <c r="J6953" t="s">
        <v>3207</v>
      </c>
      <c r="K6953" s="22" t="s">
        <v>35</v>
      </c>
      <c r="L6953">
        <v>3</v>
      </c>
      <c r="M6953">
        <v>2</v>
      </c>
      <c r="O6953" s="30"/>
      <c r="P6953" s="26"/>
      <c r="Q6953" s="26"/>
    </row>
    <row r="6954" spans="10:17" x14ac:dyDescent="0.25">
      <c r="J6954" t="s">
        <v>3600</v>
      </c>
      <c r="K6954" s="22" t="s">
        <v>24</v>
      </c>
      <c r="L6954">
        <v>1</v>
      </c>
      <c r="O6954" s="30"/>
      <c r="P6954" s="26"/>
      <c r="Q6954" s="26"/>
    </row>
    <row r="6955" spans="10:17" x14ac:dyDescent="0.25">
      <c r="J6955" t="s">
        <v>3228</v>
      </c>
      <c r="K6955" s="22" t="s">
        <v>22</v>
      </c>
      <c r="L6955">
        <v>2</v>
      </c>
      <c r="M6955">
        <v>2</v>
      </c>
      <c r="O6955" s="31"/>
      <c r="P6955" s="26"/>
      <c r="Q6955" s="26"/>
    </row>
    <row r="6956" spans="10:17" x14ac:dyDescent="0.25">
      <c r="J6956" t="s">
        <v>3138</v>
      </c>
      <c r="K6956" s="22" t="s">
        <v>20</v>
      </c>
      <c r="L6956">
        <v>1</v>
      </c>
      <c r="O6956" s="30"/>
      <c r="P6956" s="26"/>
      <c r="Q6956" s="26"/>
    </row>
    <row r="6957" spans="10:17" x14ac:dyDescent="0.25">
      <c r="J6957" t="s">
        <v>3601</v>
      </c>
      <c r="K6957" s="22" t="s">
        <v>31</v>
      </c>
      <c r="L6957">
        <v>1</v>
      </c>
      <c r="M6957">
        <v>1</v>
      </c>
      <c r="O6957" s="31"/>
      <c r="P6957" s="26"/>
      <c r="Q6957" s="26"/>
    </row>
    <row r="6958" spans="10:17" x14ac:dyDescent="0.25">
      <c r="J6958" t="s">
        <v>3602</v>
      </c>
      <c r="K6958" s="22" t="s">
        <v>28</v>
      </c>
      <c r="L6958">
        <v>1</v>
      </c>
      <c r="O6958" s="30"/>
      <c r="P6958" s="26"/>
      <c r="Q6958" s="26"/>
    </row>
    <row r="6959" spans="10:17" x14ac:dyDescent="0.25">
      <c r="J6959" t="s">
        <v>1157</v>
      </c>
      <c r="K6959" s="22" t="s">
        <v>29</v>
      </c>
      <c r="L6959">
        <v>1</v>
      </c>
      <c r="M6959">
        <v>1</v>
      </c>
      <c r="O6959" s="31"/>
      <c r="P6959" s="26"/>
      <c r="Q6959" s="26"/>
    </row>
    <row r="6960" spans="10:17" x14ac:dyDescent="0.25">
      <c r="J6960" t="s">
        <v>1840</v>
      </c>
      <c r="K6960" s="22" t="s">
        <v>30</v>
      </c>
      <c r="L6960">
        <v>1</v>
      </c>
      <c r="O6960" s="30"/>
      <c r="P6960" s="26"/>
      <c r="Q6960" s="26"/>
    </row>
    <row r="6961" spans="10:17" x14ac:dyDescent="0.25">
      <c r="J6961" t="s">
        <v>2599</v>
      </c>
      <c r="K6961" s="22" t="s">
        <v>31</v>
      </c>
      <c r="L6961">
        <v>1</v>
      </c>
      <c r="M6961">
        <v>1</v>
      </c>
      <c r="O6961" s="31"/>
      <c r="P6961" s="26"/>
      <c r="Q6961" s="26"/>
    </row>
    <row r="6962" spans="10:17" x14ac:dyDescent="0.25">
      <c r="J6962" t="s">
        <v>1435</v>
      </c>
      <c r="K6962" s="22" t="s">
        <v>26</v>
      </c>
      <c r="L6962">
        <v>1</v>
      </c>
      <c r="O6962" s="30"/>
      <c r="P6962" s="26"/>
      <c r="Q6962" s="26"/>
    </row>
    <row r="6963" spans="10:17" x14ac:dyDescent="0.25">
      <c r="J6963" t="s">
        <v>2194</v>
      </c>
      <c r="K6963" s="22" t="s">
        <v>35</v>
      </c>
      <c r="L6963">
        <v>1</v>
      </c>
      <c r="M6963">
        <v>1</v>
      </c>
      <c r="O6963" s="31"/>
      <c r="P6963" s="26"/>
      <c r="Q6963" s="26"/>
    </row>
    <row r="6964" spans="10:17" x14ac:dyDescent="0.25">
      <c r="J6964" t="s">
        <v>367</v>
      </c>
      <c r="K6964" s="22" t="s">
        <v>26</v>
      </c>
      <c r="L6964">
        <v>3</v>
      </c>
      <c r="M6964">
        <v>2</v>
      </c>
      <c r="O6964" s="30"/>
      <c r="P6964" s="26"/>
      <c r="Q6964" s="26"/>
    </row>
    <row r="6965" spans="10:17" x14ac:dyDescent="0.25">
      <c r="J6965" t="s">
        <v>2759</v>
      </c>
      <c r="K6965" s="22" t="s">
        <v>20</v>
      </c>
      <c r="L6965">
        <v>1</v>
      </c>
      <c r="M6965">
        <v>1</v>
      </c>
      <c r="O6965" s="31"/>
      <c r="P6965" s="26"/>
      <c r="Q6965" s="26"/>
    </row>
    <row r="6966" spans="10:17" x14ac:dyDescent="0.25">
      <c r="J6966" t="s">
        <v>3603</v>
      </c>
      <c r="K6966" s="22" t="s">
        <v>35</v>
      </c>
      <c r="L6966">
        <v>1</v>
      </c>
      <c r="O6966" s="30"/>
      <c r="P6966" s="26"/>
      <c r="Q6966" s="26"/>
    </row>
    <row r="6967" spans="10:17" x14ac:dyDescent="0.25">
      <c r="J6967" t="s">
        <v>2613</v>
      </c>
      <c r="K6967" s="22" t="s">
        <v>28</v>
      </c>
      <c r="L6967">
        <v>1</v>
      </c>
      <c r="M6967">
        <v>1</v>
      </c>
      <c r="O6967" s="31"/>
      <c r="P6967" s="26"/>
      <c r="Q6967" s="26"/>
    </row>
    <row r="6968" spans="10:17" x14ac:dyDescent="0.25">
      <c r="J6968" t="s">
        <v>1996</v>
      </c>
      <c r="K6968" s="22" t="s">
        <v>31</v>
      </c>
      <c r="L6968">
        <v>1</v>
      </c>
      <c r="O6968" s="30"/>
      <c r="P6968" s="26"/>
      <c r="Q6968" s="26"/>
    </row>
    <row r="6969" spans="10:17" x14ac:dyDescent="0.25">
      <c r="J6969" t="s">
        <v>3604</v>
      </c>
      <c r="K6969" s="22" t="s">
        <v>28</v>
      </c>
      <c r="L6969">
        <v>1</v>
      </c>
      <c r="M6969">
        <v>1</v>
      </c>
      <c r="O6969" s="31"/>
      <c r="P6969" s="26"/>
      <c r="Q6969" s="26"/>
    </row>
    <row r="6970" spans="10:17" x14ac:dyDescent="0.25">
      <c r="J6970" t="s">
        <v>3345</v>
      </c>
      <c r="K6970" s="22" t="s">
        <v>30</v>
      </c>
      <c r="L6970">
        <v>1</v>
      </c>
      <c r="O6970" s="30"/>
      <c r="P6970" s="26"/>
      <c r="Q6970" s="26"/>
    </row>
    <row r="6971" spans="10:17" x14ac:dyDescent="0.25">
      <c r="J6971" t="s">
        <v>3605</v>
      </c>
      <c r="K6971" s="22" t="s">
        <v>22</v>
      </c>
      <c r="L6971">
        <v>1</v>
      </c>
      <c r="M6971">
        <v>1</v>
      </c>
      <c r="O6971" s="31"/>
      <c r="P6971" s="26"/>
      <c r="Q6971" s="26"/>
    </row>
    <row r="6972" spans="10:17" x14ac:dyDescent="0.25">
      <c r="J6972" t="s">
        <v>279</v>
      </c>
      <c r="K6972" s="22" t="s">
        <v>35</v>
      </c>
      <c r="L6972">
        <v>4</v>
      </c>
      <c r="M6972">
        <v>4</v>
      </c>
      <c r="O6972" s="31"/>
      <c r="P6972" s="26"/>
      <c r="Q6972" s="26"/>
    </row>
    <row r="6973" spans="10:17" x14ac:dyDescent="0.25">
      <c r="J6973" t="s">
        <v>3238</v>
      </c>
      <c r="K6973" s="22" t="s">
        <v>20</v>
      </c>
      <c r="L6973">
        <v>2</v>
      </c>
      <c r="O6973" s="30"/>
      <c r="P6973" s="26"/>
      <c r="Q6973" s="26"/>
    </row>
    <row r="6974" spans="10:17" x14ac:dyDescent="0.25">
      <c r="J6974" t="s">
        <v>254</v>
      </c>
      <c r="K6974" s="22" t="s">
        <v>30</v>
      </c>
      <c r="L6974">
        <v>1</v>
      </c>
      <c r="M6974">
        <v>1</v>
      </c>
      <c r="O6974" s="31"/>
      <c r="P6974" s="26"/>
      <c r="Q6974" s="26"/>
    </row>
    <row r="6975" spans="10:17" x14ac:dyDescent="0.25">
      <c r="J6975" t="s">
        <v>2404</v>
      </c>
      <c r="K6975" s="22" t="s">
        <v>28</v>
      </c>
      <c r="L6975">
        <v>1</v>
      </c>
      <c r="O6975" s="30"/>
      <c r="P6975" s="26"/>
      <c r="Q6975" s="26"/>
    </row>
    <row r="6976" spans="10:17" x14ac:dyDescent="0.25">
      <c r="J6976" t="s">
        <v>3606</v>
      </c>
      <c r="K6976" s="22" t="s">
        <v>26</v>
      </c>
      <c r="L6976">
        <v>1</v>
      </c>
      <c r="M6976">
        <v>1</v>
      </c>
      <c r="O6976" s="31"/>
      <c r="P6976" s="26"/>
      <c r="Q6976" s="26"/>
    </row>
    <row r="6977" spans="10:17" x14ac:dyDescent="0.25">
      <c r="J6977" t="s">
        <v>3607</v>
      </c>
      <c r="K6977" s="22" t="s">
        <v>29</v>
      </c>
      <c r="L6977">
        <v>1</v>
      </c>
      <c r="O6977" s="30"/>
      <c r="P6977" s="26"/>
      <c r="Q6977" s="26"/>
    </row>
    <row r="6978" spans="10:17" x14ac:dyDescent="0.25">
      <c r="J6978" t="s">
        <v>171</v>
      </c>
      <c r="K6978" s="22" t="s">
        <v>35</v>
      </c>
      <c r="L6978">
        <v>2</v>
      </c>
      <c r="M6978">
        <v>1</v>
      </c>
      <c r="O6978" s="30"/>
      <c r="P6978" s="26"/>
      <c r="Q6978" s="26"/>
    </row>
    <row r="6979" spans="10:17" x14ac:dyDescent="0.25">
      <c r="J6979" t="s">
        <v>3608</v>
      </c>
      <c r="K6979" s="22" t="s">
        <v>24</v>
      </c>
      <c r="L6979">
        <v>1</v>
      </c>
      <c r="O6979" s="30"/>
      <c r="P6979" s="26"/>
      <c r="Q6979" s="26"/>
    </row>
    <row r="6980" spans="10:17" x14ac:dyDescent="0.25">
      <c r="J6980" t="s">
        <v>2763</v>
      </c>
      <c r="K6980" s="22" t="s">
        <v>20</v>
      </c>
      <c r="L6980">
        <v>1</v>
      </c>
      <c r="M6980">
        <v>1</v>
      </c>
      <c r="O6980" s="31"/>
      <c r="P6980" s="26"/>
      <c r="Q6980" s="26"/>
    </row>
    <row r="6981" spans="10:17" x14ac:dyDescent="0.25">
      <c r="J6981" t="s">
        <v>1275</v>
      </c>
      <c r="K6981" s="22" t="s">
        <v>26</v>
      </c>
      <c r="L6981">
        <v>1</v>
      </c>
      <c r="M6981">
        <v>1</v>
      </c>
      <c r="O6981" s="31"/>
      <c r="P6981" s="26"/>
      <c r="Q6981" s="26"/>
    </row>
    <row r="6982" spans="10:17" x14ac:dyDescent="0.25">
      <c r="J6982" t="s">
        <v>3148</v>
      </c>
      <c r="K6982" s="22" t="s">
        <v>31</v>
      </c>
      <c r="L6982">
        <v>1</v>
      </c>
      <c r="O6982" s="30"/>
      <c r="P6982" s="26"/>
      <c r="Q6982" s="26"/>
    </row>
    <row r="6983" spans="10:17" x14ac:dyDescent="0.25">
      <c r="J6983" t="s">
        <v>3466</v>
      </c>
      <c r="K6983" s="22" t="s">
        <v>30</v>
      </c>
      <c r="L6983">
        <v>1</v>
      </c>
      <c r="M6983">
        <v>1</v>
      </c>
      <c r="O6983" s="31"/>
      <c r="P6983" s="26"/>
      <c r="Q6983" s="26"/>
    </row>
    <row r="6984" spans="10:17" x14ac:dyDescent="0.25">
      <c r="J6984" t="s">
        <v>32</v>
      </c>
      <c r="K6984" s="22" t="s">
        <v>31</v>
      </c>
      <c r="L6984">
        <v>2</v>
      </c>
      <c r="M6984">
        <v>1</v>
      </c>
      <c r="O6984" s="30"/>
      <c r="P6984" s="26"/>
      <c r="Q6984" s="26"/>
    </row>
    <row r="6985" spans="10:17" x14ac:dyDescent="0.25">
      <c r="J6985" t="s">
        <v>1433</v>
      </c>
      <c r="K6985" s="22" t="s">
        <v>35</v>
      </c>
      <c r="L6985">
        <v>1</v>
      </c>
      <c r="O6985" s="30"/>
      <c r="P6985" s="26"/>
      <c r="Q6985" s="26"/>
    </row>
    <row r="6986" spans="10:17" x14ac:dyDescent="0.25">
      <c r="J6986" t="s">
        <v>3609</v>
      </c>
      <c r="K6986" s="22" t="s">
        <v>20</v>
      </c>
      <c r="L6986">
        <v>2</v>
      </c>
      <c r="M6986">
        <v>2</v>
      </c>
      <c r="O6986" s="31"/>
      <c r="P6986" s="26"/>
      <c r="Q6986" s="26"/>
    </row>
    <row r="6987" spans="10:17" x14ac:dyDescent="0.25">
      <c r="J6987" t="s">
        <v>3610</v>
      </c>
      <c r="K6987" s="22" t="s">
        <v>28</v>
      </c>
      <c r="L6987">
        <v>1</v>
      </c>
      <c r="O6987" s="30"/>
      <c r="P6987" s="26"/>
      <c r="Q6987" s="26"/>
    </row>
    <row r="6988" spans="10:17" x14ac:dyDescent="0.25">
      <c r="J6988" t="s">
        <v>3611</v>
      </c>
      <c r="K6988" s="22" t="s">
        <v>22</v>
      </c>
      <c r="L6988">
        <v>1</v>
      </c>
      <c r="M6988">
        <v>1</v>
      </c>
      <c r="O6988" s="31"/>
      <c r="P6988" s="26"/>
      <c r="Q6988" s="26"/>
    </row>
    <row r="6989" spans="10:17" x14ac:dyDescent="0.25">
      <c r="J6989" t="s">
        <v>444</v>
      </c>
      <c r="K6989" s="22" t="s">
        <v>26</v>
      </c>
      <c r="L6989">
        <v>1</v>
      </c>
      <c r="O6989" s="30"/>
      <c r="P6989" s="26"/>
      <c r="Q6989" s="26"/>
    </row>
    <row r="6990" spans="10:17" x14ac:dyDescent="0.25">
      <c r="J6990" t="s">
        <v>2629</v>
      </c>
      <c r="K6990" s="22" t="s">
        <v>22</v>
      </c>
      <c r="L6990">
        <v>1</v>
      </c>
      <c r="M6990">
        <v>1</v>
      </c>
      <c r="O6990" s="31"/>
      <c r="P6990" s="26"/>
      <c r="Q6990" s="26"/>
    </row>
    <row r="6991" spans="10:17" x14ac:dyDescent="0.25">
      <c r="J6991" t="s">
        <v>813</v>
      </c>
      <c r="K6991" s="22" t="s">
        <v>31</v>
      </c>
      <c r="L6991">
        <v>2</v>
      </c>
      <c r="M6991">
        <v>1</v>
      </c>
      <c r="O6991" s="31"/>
      <c r="P6991" s="26"/>
      <c r="Q6991" s="26"/>
    </row>
    <row r="6992" spans="10:17" x14ac:dyDescent="0.25">
      <c r="J6992" t="s">
        <v>1518</v>
      </c>
      <c r="K6992" s="22" t="s">
        <v>29</v>
      </c>
      <c r="L6992">
        <v>1</v>
      </c>
      <c r="M6992">
        <v>1</v>
      </c>
      <c r="O6992" s="31"/>
      <c r="P6992" s="26"/>
      <c r="Q6992" s="26"/>
    </row>
    <row r="6993" spans="10:17" x14ac:dyDescent="0.25">
      <c r="J6993" t="s">
        <v>421</v>
      </c>
      <c r="K6993" s="22" t="s">
        <v>29</v>
      </c>
      <c r="L6993">
        <v>3</v>
      </c>
      <c r="O6993" s="30"/>
      <c r="P6993" s="26"/>
      <c r="Q6993" s="26"/>
    </row>
    <row r="6994" spans="10:17" x14ac:dyDescent="0.25">
      <c r="J6994" t="s">
        <v>3612</v>
      </c>
      <c r="K6994" s="22" t="s">
        <v>28</v>
      </c>
      <c r="L6994">
        <v>2</v>
      </c>
      <c r="M6994">
        <v>2</v>
      </c>
      <c r="O6994" s="31"/>
      <c r="P6994" s="26"/>
      <c r="Q6994" s="26"/>
    </row>
    <row r="6995" spans="10:17" x14ac:dyDescent="0.25">
      <c r="J6995" t="s">
        <v>402</v>
      </c>
      <c r="K6995" s="22" t="s">
        <v>22</v>
      </c>
      <c r="L6995">
        <v>1</v>
      </c>
      <c r="O6995" s="30"/>
      <c r="P6995" s="26"/>
      <c r="Q6995" s="26"/>
    </row>
    <row r="6996" spans="10:17" x14ac:dyDescent="0.25">
      <c r="J6996" t="s">
        <v>459</v>
      </c>
      <c r="K6996" s="22" t="s">
        <v>24</v>
      </c>
      <c r="L6996">
        <v>1</v>
      </c>
      <c r="M6996">
        <v>1</v>
      </c>
      <c r="O6996" s="31"/>
      <c r="P6996" s="26"/>
      <c r="Q6996" s="26"/>
    </row>
    <row r="6997" spans="10:17" x14ac:dyDescent="0.25">
      <c r="J6997" t="s">
        <v>58</v>
      </c>
      <c r="K6997" s="22" t="s">
        <v>22</v>
      </c>
      <c r="L6997">
        <v>3</v>
      </c>
      <c r="M6997">
        <v>3</v>
      </c>
      <c r="O6997" s="31"/>
      <c r="P6997" s="26"/>
      <c r="Q6997" s="26"/>
    </row>
    <row r="6998" spans="10:17" x14ac:dyDescent="0.25">
      <c r="J6998" t="s">
        <v>590</v>
      </c>
      <c r="K6998" s="22" t="s">
        <v>20</v>
      </c>
      <c r="L6998">
        <v>1</v>
      </c>
      <c r="O6998" s="30"/>
      <c r="P6998" s="26"/>
      <c r="Q6998" s="26"/>
    </row>
    <row r="6999" spans="10:17" x14ac:dyDescent="0.25">
      <c r="J6999" t="s">
        <v>1955</v>
      </c>
      <c r="K6999" s="22" t="s">
        <v>31</v>
      </c>
      <c r="L6999">
        <v>1</v>
      </c>
      <c r="O6999" s="30"/>
      <c r="P6999" s="26"/>
      <c r="Q6999" s="26"/>
    </row>
    <row r="7000" spans="10:17" x14ac:dyDescent="0.25">
      <c r="J7000" t="s">
        <v>173</v>
      </c>
      <c r="K7000" s="22" t="s">
        <v>26</v>
      </c>
      <c r="L7000">
        <v>1</v>
      </c>
      <c r="M7000">
        <v>1</v>
      </c>
      <c r="O7000" s="31"/>
      <c r="P7000" s="26"/>
      <c r="Q7000" s="26"/>
    </row>
    <row r="7001" spans="10:17" x14ac:dyDescent="0.25">
      <c r="J7001" t="s">
        <v>252</v>
      </c>
      <c r="K7001" s="22" t="s">
        <v>28</v>
      </c>
      <c r="L7001">
        <v>2</v>
      </c>
      <c r="M7001">
        <v>1</v>
      </c>
      <c r="O7001" s="30"/>
      <c r="P7001" s="26"/>
      <c r="Q7001" s="26"/>
    </row>
    <row r="7002" spans="10:17" x14ac:dyDescent="0.25">
      <c r="J7002" t="s">
        <v>758</v>
      </c>
      <c r="K7002" s="22" t="s">
        <v>35</v>
      </c>
      <c r="L7002">
        <v>1</v>
      </c>
      <c r="O7002" s="30"/>
      <c r="P7002" s="26"/>
      <c r="Q7002" s="26"/>
    </row>
    <row r="7003" spans="10:17" x14ac:dyDescent="0.25">
      <c r="J7003" t="s">
        <v>2705</v>
      </c>
      <c r="K7003" s="22" t="s">
        <v>26</v>
      </c>
      <c r="L7003">
        <v>2</v>
      </c>
      <c r="M7003">
        <v>1</v>
      </c>
      <c r="O7003" s="30"/>
      <c r="P7003" s="26"/>
      <c r="Q7003" s="26"/>
    </row>
    <row r="7004" spans="10:17" x14ac:dyDescent="0.25">
      <c r="J7004" t="s">
        <v>1609</v>
      </c>
      <c r="K7004" s="22" t="s">
        <v>24</v>
      </c>
      <c r="L7004">
        <v>1</v>
      </c>
      <c r="O7004" s="30"/>
      <c r="P7004" s="26"/>
      <c r="Q7004" s="26"/>
    </row>
    <row r="7005" spans="10:17" x14ac:dyDescent="0.25">
      <c r="J7005" t="s">
        <v>2745</v>
      </c>
      <c r="K7005" s="22" t="s">
        <v>30</v>
      </c>
      <c r="L7005">
        <v>2</v>
      </c>
      <c r="M7005">
        <v>1</v>
      </c>
      <c r="O7005" s="30"/>
      <c r="P7005" s="26"/>
      <c r="Q7005" s="26"/>
    </row>
    <row r="7006" spans="10:17" x14ac:dyDescent="0.25">
      <c r="J7006" t="s">
        <v>1220</v>
      </c>
      <c r="K7006" s="22" t="s">
        <v>22</v>
      </c>
      <c r="L7006">
        <v>1</v>
      </c>
      <c r="O7006" s="30"/>
      <c r="P7006" s="26"/>
      <c r="Q7006" s="26"/>
    </row>
    <row r="7007" spans="10:17" x14ac:dyDescent="0.25">
      <c r="J7007" t="s">
        <v>238</v>
      </c>
      <c r="K7007" s="22" t="s">
        <v>26</v>
      </c>
      <c r="L7007">
        <v>1</v>
      </c>
      <c r="O7007" s="30"/>
      <c r="P7007" s="26"/>
      <c r="Q7007" s="26"/>
    </row>
    <row r="7008" spans="10:17" x14ac:dyDescent="0.25">
      <c r="J7008" t="s">
        <v>2939</v>
      </c>
      <c r="K7008" s="22" t="s">
        <v>24</v>
      </c>
      <c r="L7008">
        <v>1</v>
      </c>
      <c r="M7008">
        <v>1</v>
      </c>
      <c r="O7008" s="31"/>
      <c r="P7008" s="26"/>
      <c r="Q7008" s="26"/>
    </row>
    <row r="7009" spans="10:17" x14ac:dyDescent="0.25">
      <c r="J7009" t="s">
        <v>371</v>
      </c>
      <c r="K7009" s="22" t="s">
        <v>26</v>
      </c>
      <c r="L7009">
        <v>1</v>
      </c>
      <c r="O7009" s="30"/>
      <c r="P7009" s="26"/>
      <c r="Q7009" s="26"/>
    </row>
    <row r="7010" spans="10:17" x14ac:dyDescent="0.25">
      <c r="J7010" t="s">
        <v>1149</v>
      </c>
      <c r="K7010" s="22" t="s">
        <v>28</v>
      </c>
      <c r="L7010">
        <v>1</v>
      </c>
      <c r="M7010">
        <v>1</v>
      </c>
      <c r="O7010" s="31"/>
      <c r="P7010" s="26"/>
      <c r="Q7010" s="26"/>
    </row>
    <row r="7011" spans="10:17" x14ac:dyDescent="0.25">
      <c r="J7011" t="s">
        <v>2250</v>
      </c>
      <c r="K7011" s="22" t="s">
        <v>29</v>
      </c>
      <c r="L7011">
        <v>1</v>
      </c>
      <c r="O7011" s="30"/>
      <c r="P7011" s="26"/>
      <c r="Q7011" s="26"/>
    </row>
    <row r="7012" spans="10:17" x14ac:dyDescent="0.25">
      <c r="J7012" t="s">
        <v>1251</v>
      </c>
      <c r="K7012" s="22" t="s">
        <v>31</v>
      </c>
      <c r="L7012">
        <v>1</v>
      </c>
      <c r="M7012">
        <v>1</v>
      </c>
      <c r="O7012" s="31"/>
      <c r="P7012" s="26"/>
      <c r="Q7012" s="26"/>
    </row>
    <row r="7013" spans="10:17" x14ac:dyDescent="0.25">
      <c r="J7013" t="s">
        <v>751</v>
      </c>
      <c r="K7013" s="22" t="s">
        <v>22</v>
      </c>
      <c r="L7013">
        <v>1</v>
      </c>
      <c r="O7013" s="30"/>
      <c r="P7013" s="26"/>
      <c r="Q7013" s="26"/>
    </row>
    <row r="7014" spans="10:17" x14ac:dyDescent="0.25">
      <c r="J7014" t="s">
        <v>3138</v>
      </c>
      <c r="K7014" s="22" t="s">
        <v>24</v>
      </c>
      <c r="L7014">
        <v>1</v>
      </c>
      <c r="M7014">
        <v>1</v>
      </c>
      <c r="O7014" s="31"/>
      <c r="P7014" s="26"/>
      <c r="Q7014" s="26"/>
    </row>
    <row r="7015" spans="10:17" x14ac:dyDescent="0.25">
      <c r="J7015" t="s">
        <v>1862</v>
      </c>
      <c r="K7015" s="22" t="s">
        <v>31</v>
      </c>
      <c r="L7015">
        <v>1</v>
      </c>
      <c r="O7015" s="30"/>
      <c r="P7015" s="26"/>
      <c r="Q7015" s="26"/>
    </row>
    <row r="7016" spans="10:17" x14ac:dyDescent="0.25">
      <c r="J7016" t="s">
        <v>3613</v>
      </c>
      <c r="K7016" s="22" t="s">
        <v>35</v>
      </c>
      <c r="L7016">
        <v>1</v>
      </c>
      <c r="M7016">
        <v>1</v>
      </c>
      <c r="O7016" s="31"/>
      <c r="P7016" s="26"/>
      <c r="Q7016" s="26"/>
    </row>
    <row r="7017" spans="10:17" x14ac:dyDescent="0.25">
      <c r="J7017" t="s">
        <v>86</v>
      </c>
      <c r="K7017" s="22" t="s">
        <v>26</v>
      </c>
      <c r="L7017">
        <v>7</v>
      </c>
      <c r="M7017">
        <v>7</v>
      </c>
      <c r="O7017" s="31"/>
      <c r="P7017" s="26"/>
      <c r="Q7017" s="26"/>
    </row>
    <row r="7018" spans="10:17" x14ac:dyDescent="0.25">
      <c r="J7018" t="s">
        <v>1022</v>
      </c>
      <c r="K7018" s="22" t="s">
        <v>24</v>
      </c>
      <c r="L7018">
        <v>1</v>
      </c>
      <c r="M7018">
        <v>1</v>
      </c>
      <c r="O7018" s="31"/>
      <c r="P7018" s="26"/>
      <c r="Q7018" s="26"/>
    </row>
    <row r="7019" spans="10:17" x14ac:dyDescent="0.25">
      <c r="J7019" t="s">
        <v>3614</v>
      </c>
      <c r="K7019" s="22" t="s">
        <v>35</v>
      </c>
      <c r="L7019">
        <v>1</v>
      </c>
      <c r="O7019" s="30"/>
      <c r="P7019" s="26"/>
      <c r="Q7019" s="26"/>
    </row>
    <row r="7020" spans="10:17" x14ac:dyDescent="0.25">
      <c r="J7020" t="s">
        <v>1441</v>
      </c>
      <c r="K7020" s="22" t="s">
        <v>20</v>
      </c>
      <c r="L7020">
        <v>1</v>
      </c>
      <c r="M7020">
        <v>1</v>
      </c>
      <c r="O7020" s="31"/>
      <c r="P7020" s="26"/>
      <c r="Q7020" s="26"/>
    </row>
    <row r="7021" spans="10:17" x14ac:dyDescent="0.25">
      <c r="J7021" t="s">
        <v>471</v>
      </c>
      <c r="K7021" s="22" t="s">
        <v>28</v>
      </c>
      <c r="L7021">
        <v>3</v>
      </c>
      <c r="M7021">
        <v>2</v>
      </c>
      <c r="O7021" s="30"/>
      <c r="P7021" s="26"/>
      <c r="Q7021" s="26"/>
    </row>
    <row r="7022" spans="10:17" x14ac:dyDescent="0.25">
      <c r="J7022" t="s">
        <v>3615</v>
      </c>
      <c r="K7022" s="22" t="s">
        <v>30</v>
      </c>
      <c r="L7022">
        <v>1</v>
      </c>
      <c r="O7022" s="30"/>
      <c r="P7022" s="26"/>
      <c r="Q7022" s="26"/>
    </row>
    <row r="7023" spans="10:17" x14ac:dyDescent="0.25">
      <c r="J7023" t="s">
        <v>1236</v>
      </c>
      <c r="K7023" s="22" t="s">
        <v>29</v>
      </c>
      <c r="L7023">
        <v>1</v>
      </c>
      <c r="M7023">
        <v>1</v>
      </c>
      <c r="O7023" s="31"/>
      <c r="P7023" s="26"/>
      <c r="Q7023" s="26"/>
    </row>
    <row r="7024" spans="10:17" x14ac:dyDescent="0.25">
      <c r="J7024" t="s">
        <v>3566</v>
      </c>
      <c r="K7024" s="22" t="s">
        <v>31</v>
      </c>
      <c r="L7024">
        <v>1</v>
      </c>
      <c r="O7024" s="30"/>
      <c r="P7024" s="26"/>
      <c r="Q7024" s="26"/>
    </row>
    <row r="7025" spans="10:17" x14ac:dyDescent="0.25">
      <c r="J7025" t="s">
        <v>1630</v>
      </c>
      <c r="K7025" s="22" t="s">
        <v>26</v>
      </c>
      <c r="L7025">
        <v>1</v>
      </c>
      <c r="M7025">
        <v>1</v>
      </c>
      <c r="O7025" s="31"/>
      <c r="P7025" s="26"/>
      <c r="Q7025" s="26"/>
    </row>
    <row r="7026" spans="10:17" x14ac:dyDescent="0.25">
      <c r="J7026" t="s">
        <v>1147</v>
      </c>
      <c r="K7026" s="22" t="s">
        <v>20</v>
      </c>
      <c r="L7026">
        <v>1</v>
      </c>
      <c r="O7026" s="30"/>
      <c r="P7026" s="26"/>
      <c r="Q7026" s="26"/>
    </row>
    <row r="7027" spans="10:17" x14ac:dyDescent="0.25">
      <c r="J7027" t="s">
        <v>466</v>
      </c>
      <c r="K7027" s="22" t="s">
        <v>26</v>
      </c>
      <c r="L7027">
        <v>2</v>
      </c>
      <c r="M7027">
        <v>1</v>
      </c>
      <c r="O7027" s="30"/>
      <c r="P7027" s="26"/>
      <c r="Q7027" s="26"/>
    </row>
    <row r="7028" spans="10:17" x14ac:dyDescent="0.25">
      <c r="J7028" t="s">
        <v>3616</v>
      </c>
      <c r="K7028" s="22" t="s">
        <v>22</v>
      </c>
      <c r="L7028">
        <v>1</v>
      </c>
      <c r="O7028" s="30"/>
      <c r="P7028" s="26"/>
      <c r="Q7028" s="26"/>
    </row>
    <row r="7029" spans="10:17" x14ac:dyDescent="0.25">
      <c r="J7029" t="s">
        <v>2783</v>
      </c>
      <c r="K7029" s="22" t="s">
        <v>31</v>
      </c>
      <c r="L7029">
        <v>1</v>
      </c>
      <c r="M7029">
        <v>1</v>
      </c>
      <c r="O7029" s="31"/>
      <c r="P7029" s="26"/>
      <c r="Q7029" s="26"/>
    </row>
    <row r="7030" spans="10:17" x14ac:dyDescent="0.25">
      <c r="J7030" t="s">
        <v>3617</v>
      </c>
      <c r="K7030" s="22" t="s">
        <v>30</v>
      </c>
      <c r="L7030">
        <v>1</v>
      </c>
      <c r="O7030" s="30"/>
      <c r="P7030" s="26"/>
      <c r="Q7030" s="26"/>
    </row>
    <row r="7031" spans="10:17" x14ac:dyDescent="0.25">
      <c r="J7031" t="s">
        <v>146</v>
      </c>
      <c r="K7031" s="22" t="s">
        <v>24</v>
      </c>
      <c r="L7031">
        <v>1</v>
      </c>
      <c r="M7031">
        <v>1</v>
      </c>
      <c r="O7031" s="31"/>
      <c r="P7031" s="26"/>
      <c r="Q7031" s="26"/>
    </row>
    <row r="7032" spans="10:17" x14ac:dyDescent="0.25">
      <c r="J7032" t="s">
        <v>1439</v>
      </c>
      <c r="K7032" s="22" t="s">
        <v>26</v>
      </c>
      <c r="L7032">
        <v>1</v>
      </c>
      <c r="O7032" s="30"/>
      <c r="P7032" s="26"/>
      <c r="Q7032" s="26"/>
    </row>
    <row r="7033" spans="10:17" x14ac:dyDescent="0.25">
      <c r="J7033" t="s">
        <v>808</v>
      </c>
      <c r="K7033" s="22" t="s">
        <v>26</v>
      </c>
      <c r="L7033">
        <v>1</v>
      </c>
      <c r="O7033" s="30"/>
      <c r="P7033" s="26"/>
      <c r="Q7033" s="26"/>
    </row>
    <row r="7034" spans="10:17" x14ac:dyDescent="0.25">
      <c r="J7034" t="s">
        <v>2900</v>
      </c>
      <c r="K7034" s="22" t="s">
        <v>30</v>
      </c>
      <c r="L7034">
        <v>2</v>
      </c>
      <c r="M7034">
        <v>1</v>
      </c>
      <c r="O7034" s="30"/>
      <c r="P7034" s="26"/>
      <c r="Q7034" s="26"/>
    </row>
    <row r="7035" spans="10:17" x14ac:dyDescent="0.25">
      <c r="J7035" t="s">
        <v>3151</v>
      </c>
      <c r="K7035" s="22" t="s">
        <v>35</v>
      </c>
      <c r="L7035">
        <v>1</v>
      </c>
      <c r="O7035" s="30"/>
      <c r="P7035" s="26"/>
      <c r="Q7035" s="26"/>
    </row>
    <row r="7036" spans="10:17" x14ac:dyDescent="0.25">
      <c r="J7036" t="s">
        <v>2865</v>
      </c>
      <c r="K7036" s="22" t="s">
        <v>28</v>
      </c>
      <c r="L7036">
        <v>1</v>
      </c>
      <c r="M7036">
        <v>1</v>
      </c>
      <c r="O7036" s="31"/>
      <c r="P7036" s="26"/>
      <c r="Q7036" s="26"/>
    </row>
    <row r="7037" spans="10:17" x14ac:dyDescent="0.25">
      <c r="J7037" t="s">
        <v>53</v>
      </c>
      <c r="K7037" s="22" t="s">
        <v>22</v>
      </c>
      <c r="L7037">
        <v>1</v>
      </c>
      <c r="O7037" s="30"/>
      <c r="P7037" s="26"/>
      <c r="Q7037" s="26"/>
    </row>
    <row r="7038" spans="10:17" x14ac:dyDescent="0.25">
      <c r="J7038" t="s">
        <v>43</v>
      </c>
      <c r="K7038" s="22" t="s">
        <v>20</v>
      </c>
      <c r="L7038">
        <v>1</v>
      </c>
      <c r="M7038">
        <v>1</v>
      </c>
      <c r="O7038" s="31"/>
      <c r="P7038" s="26"/>
      <c r="Q7038" s="26"/>
    </row>
    <row r="7039" spans="10:17" x14ac:dyDescent="0.25">
      <c r="J7039" t="s">
        <v>3229</v>
      </c>
      <c r="K7039" s="22" t="s">
        <v>28</v>
      </c>
      <c r="L7039">
        <v>1</v>
      </c>
      <c r="O7039" s="30"/>
      <c r="P7039" s="26"/>
      <c r="Q7039" s="26"/>
    </row>
    <row r="7040" spans="10:17" x14ac:dyDescent="0.25">
      <c r="J7040" t="s">
        <v>2399</v>
      </c>
      <c r="K7040" s="22" t="s">
        <v>31</v>
      </c>
      <c r="L7040">
        <v>1</v>
      </c>
      <c r="M7040">
        <v>1</v>
      </c>
      <c r="O7040" s="31"/>
      <c r="P7040" s="26"/>
      <c r="Q7040" s="26"/>
    </row>
    <row r="7041" spans="10:17" x14ac:dyDescent="0.25">
      <c r="J7041" t="s">
        <v>1520</v>
      </c>
      <c r="K7041" s="22" t="s">
        <v>26</v>
      </c>
      <c r="L7041">
        <v>1</v>
      </c>
      <c r="O7041" s="30"/>
      <c r="P7041" s="26"/>
      <c r="Q7041" s="26"/>
    </row>
    <row r="7042" spans="10:17" x14ac:dyDescent="0.25">
      <c r="J7042" t="s">
        <v>1718</v>
      </c>
      <c r="K7042" s="22" t="s">
        <v>26</v>
      </c>
      <c r="L7042">
        <v>1</v>
      </c>
      <c r="M7042">
        <v>1</v>
      </c>
      <c r="O7042" s="31"/>
      <c r="P7042" s="26"/>
      <c r="Q7042" s="26"/>
    </row>
    <row r="7043" spans="10:17" x14ac:dyDescent="0.25">
      <c r="J7043" t="s">
        <v>478</v>
      </c>
      <c r="K7043" s="22" t="s">
        <v>22</v>
      </c>
      <c r="L7043">
        <v>1</v>
      </c>
      <c r="O7043" s="30"/>
      <c r="P7043" s="26"/>
      <c r="Q7043" s="26"/>
    </row>
    <row r="7044" spans="10:17" x14ac:dyDescent="0.25">
      <c r="J7044" t="s">
        <v>1453</v>
      </c>
      <c r="K7044" s="22" t="s">
        <v>31</v>
      </c>
      <c r="L7044">
        <v>1</v>
      </c>
      <c r="M7044">
        <v>1</v>
      </c>
      <c r="O7044" s="31"/>
      <c r="P7044" s="26"/>
      <c r="Q7044" s="26"/>
    </row>
    <row r="7045" spans="10:17" x14ac:dyDescent="0.25">
      <c r="J7045" t="s">
        <v>664</v>
      </c>
      <c r="K7045" s="22" t="s">
        <v>30</v>
      </c>
      <c r="L7045">
        <v>1</v>
      </c>
      <c r="O7045" s="30"/>
      <c r="P7045" s="26"/>
      <c r="Q7045" s="26"/>
    </row>
    <row r="7046" spans="10:17" x14ac:dyDescent="0.25">
      <c r="J7046" t="s">
        <v>3619</v>
      </c>
      <c r="K7046" s="22" t="s">
        <v>29</v>
      </c>
      <c r="L7046">
        <v>1</v>
      </c>
      <c r="M7046">
        <v>1</v>
      </c>
      <c r="O7046" s="31"/>
      <c r="P7046" s="26"/>
      <c r="Q7046" s="26"/>
    </row>
    <row r="7047" spans="10:17" x14ac:dyDescent="0.25">
      <c r="J7047" t="s">
        <v>3308</v>
      </c>
      <c r="K7047" s="22" t="s">
        <v>26</v>
      </c>
      <c r="L7047">
        <v>1</v>
      </c>
      <c r="O7047" s="30"/>
      <c r="P7047" s="26"/>
      <c r="Q7047" s="26"/>
    </row>
    <row r="7048" spans="10:17" x14ac:dyDescent="0.25">
      <c r="J7048" t="s">
        <v>1067</v>
      </c>
      <c r="K7048" s="22" t="s">
        <v>20</v>
      </c>
      <c r="L7048">
        <v>1</v>
      </c>
      <c r="M7048">
        <v>1</v>
      </c>
      <c r="O7048" s="31"/>
      <c r="P7048" s="26"/>
      <c r="Q7048" s="26"/>
    </row>
    <row r="7049" spans="10:17" x14ac:dyDescent="0.25">
      <c r="J7049" t="s">
        <v>2306</v>
      </c>
      <c r="K7049" s="22" t="s">
        <v>24</v>
      </c>
      <c r="L7049">
        <v>2</v>
      </c>
      <c r="M7049">
        <v>2</v>
      </c>
      <c r="O7049" s="31"/>
      <c r="P7049" s="26"/>
      <c r="Q7049" s="26"/>
    </row>
    <row r="7050" spans="10:17" x14ac:dyDescent="0.25">
      <c r="J7050" t="s">
        <v>1527</v>
      </c>
      <c r="K7050" s="22" t="s">
        <v>31</v>
      </c>
      <c r="L7050">
        <v>1</v>
      </c>
      <c r="O7050" s="30"/>
      <c r="P7050" s="26"/>
      <c r="Q7050" s="26"/>
    </row>
    <row r="7051" spans="10:17" x14ac:dyDescent="0.25">
      <c r="J7051" t="s">
        <v>3620</v>
      </c>
      <c r="K7051" s="22" t="s">
        <v>30</v>
      </c>
      <c r="L7051">
        <v>1</v>
      </c>
      <c r="M7051">
        <v>1</v>
      </c>
      <c r="O7051" s="31"/>
      <c r="P7051" s="26"/>
      <c r="Q7051" s="26"/>
    </row>
    <row r="7052" spans="10:17" x14ac:dyDescent="0.25">
      <c r="J7052" t="s">
        <v>1362</v>
      </c>
      <c r="K7052" s="22" t="s">
        <v>28</v>
      </c>
      <c r="L7052">
        <v>1</v>
      </c>
      <c r="O7052" s="30"/>
      <c r="P7052" s="26"/>
      <c r="Q7052" s="26"/>
    </row>
    <row r="7053" spans="10:17" x14ac:dyDescent="0.25">
      <c r="J7053" t="s">
        <v>3621</v>
      </c>
      <c r="K7053" s="22" t="s">
        <v>20</v>
      </c>
      <c r="L7053">
        <v>1</v>
      </c>
      <c r="M7053">
        <v>1</v>
      </c>
      <c r="O7053" s="31"/>
      <c r="P7053" s="26"/>
      <c r="Q7053" s="26"/>
    </row>
    <row r="7054" spans="10:17" x14ac:dyDescent="0.25">
      <c r="J7054" t="s">
        <v>3199</v>
      </c>
      <c r="K7054" s="22" t="s">
        <v>35</v>
      </c>
      <c r="L7054">
        <v>1</v>
      </c>
      <c r="O7054" s="30"/>
      <c r="P7054" s="26"/>
      <c r="Q7054" s="26"/>
    </row>
    <row r="7055" spans="10:17" x14ac:dyDescent="0.25">
      <c r="J7055" t="s">
        <v>2249</v>
      </c>
      <c r="K7055" s="22" t="s">
        <v>31</v>
      </c>
      <c r="L7055">
        <v>1</v>
      </c>
      <c r="M7055">
        <v>1</v>
      </c>
      <c r="O7055" s="31"/>
      <c r="P7055" s="26"/>
      <c r="Q7055" s="26"/>
    </row>
    <row r="7056" spans="10:17" x14ac:dyDescent="0.25">
      <c r="J7056" t="s">
        <v>2584</v>
      </c>
      <c r="K7056" s="22" t="s">
        <v>30</v>
      </c>
      <c r="L7056">
        <v>1</v>
      </c>
      <c r="M7056">
        <v>1</v>
      </c>
      <c r="O7056" s="31"/>
      <c r="P7056" s="26"/>
      <c r="Q7056" s="26"/>
    </row>
    <row r="7057" spans="10:17" x14ac:dyDescent="0.25">
      <c r="J7057" t="s">
        <v>1426</v>
      </c>
      <c r="K7057" s="22" t="s">
        <v>24</v>
      </c>
      <c r="L7057">
        <v>1</v>
      </c>
      <c r="O7057" s="30"/>
      <c r="P7057" s="26"/>
      <c r="Q7057" s="26"/>
    </row>
    <row r="7058" spans="10:17" x14ac:dyDescent="0.25">
      <c r="J7058" t="s">
        <v>1758</v>
      </c>
      <c r="K7058" s="22" t="s">
        <v>35</v>
      </c>
      <c r="L7058">
        <v>1</v>
      </c>
      <c r="M7058">
        <v>1</v>
      </c>
      <c r="O7058" s="31"/>
      <c r="P7058" s="26"/>
      <c r="Q7058" s="26"/>
    </row>
    <row r="7059" spans="10:17" x14ac:dyDescent="0.25">
      <c r="J7059" t="s">
        <v>3615</v>
      </c>
      <c r="K7059" s="22" t="s">
        <v>31</v>
      </c>
      <c r="L7059">
        <v>1</v>
      </c>
      <c r="O7059" s="30"/>
      <c r="P7059" s="26"/>
      <c r="Q7059" s="26"/>
    </row>
    <row r="7060" spans="10:17" x14ac:dyDescent="0.25">
      <c r="J7060" t="s">
        <v>593</v>
      </c>
      <c r="K7060" s="22" t="s">
        <v>20</v>
      </c>
      <c r="L7060">
        <v>1</v>
      </c>
      <c r="M7060">
        <v>1</v>
      </c>
      <c r="O7060" s="31"/>
      <c r="P7060" s="26"/>
      <c r="Q7060" s="26"/>
    </row>
    <row r="7061" spans="10:17" x14ac:dyDescent="0.25">
      <c r="J7061" t="s">
        <v>3622</v>
      </c>
      <c r="K7061" s="22" t="s">
        <v>26</v>
      </c>
      <c r="L7061">
        <v>1</v>
      </c>
      <c r="O7061" s="30"/>
      <c r="P7061" s="26"/>
      <c r="Q7061" s="26"/>
    </row>
    <row r="7062" spans="10:17" x14ac:dyDescent="0.25">
      <c r="J7062" t="s">
        <v>3623</v>
      </c>
      <c r="K7062" s="22" t="s">
        <v>29</v>
      </c>
      <c r="L7062">
        <v>1</v>
      </c>
      <c r="M7062">
        <v>1</v>
      </c>
      <c r="O7062" s="31"/>
      <c r="P7062" s="26"/>
      <c r="Q7062" s="26"/>
    </row>
    <row r="7063" spans="10:17" x14ac:dyDescent="0.25">
      <c r="J7063" t="s">
        <v>2985</v>
      </c>
      <c r="K7063" s="22" t="s">
        <v>29</v>
      </c>
      <c r="L7063">
        <v>1</v>
      </c>
      <c r="M7063">
        <v>1</v>
      </c>
      <c r="O7063" s="31"/>
      <c r="P7063" s="26"/>
      <c r="Q7063" s="26"/>
    </row>
    <row r="7064" spans="10:17" x14ac:dyDescent="0.25">
      <c r="J7064" t="s">
        <v>3625</v>
      </c>
      <c r="K7064" s="22" t="s">
        <v>26</v>
      </c>
      <c r="L7064">
        <v>1</v>
      </c>
      <c r="O7064" s="30"/>
      <c r="P7064" s="26"/>
      <c r="Q7064" s="26"/>
    </row>
    <row r="7065" spans="10:17" x14ac:dyDescent="0.25">
      <c r="J7065" t="s">
        <v>1980</v>
      </c>
      <c r="K7065" s="22" t="s">
        <v>31</v>
      </c>
      <c r="L7065">
        <v>1</v>
      </c>
      <c r="M7065">
        <v>1</v>
      </c>
      <c r="O7065" s="31"/>
      <c r="P7065" s="26"/>
      <c r="Q7065" s="26"/>
    </row>
    <row r="7066" spans="10:17" x14ac:dyDescent="0.25">
      <c r="J7066" t="s">
        <v>199</v>
      </c>
      <c r="K7066" s="22" t="s">
        <v>31</v>
      </c>
      <c r="L7066">
        <v>10</v>
      </c>
      <c r="M7066">
        <v>10</v>
      </c>
      <c r="O7066" s="31"/>
      <c r="P7066" s="26"/>
      <c r="Q7066" s="26"/>
    </row>
    <row r="7067" spans="10:17" x14ac:dyDescent="0.25">
      <c r="J7067" t="s">
        <v>3559</v>
      </c>
      <c r="K7067" s="22" t="s">
        <v>29</v>
      </c>
      <c r="L7067">
        <v>1</v>
      </c>
      <c r="O7067" s="30"/>
      <c r="P7067" s="26"/>
      <c r="Q7067" s="26"/>
    </row>
    <row r="7068" spans="10:17" x14ac:dyDescent="0.25">
      <c r="J7068" t="s">
        <v>2003</v>
      </c>
      <c r="K7068" s="22" t="s">
        <v>26</v>
      </c>
      <c r="L7068">
        <v>2</v>
      </c>
      <c r="M7068">
        <v>1</v>
      </c>
      <c r="O7068" s="30"/>
      <c r="P7068" s="26"/>
      <c r="Q7068" s="26"/>
    </row>
    <row r="7069" spans="10:17" x14ac:dyDescent="0.25">
      <c r="J7069" t="s">
        <v>3626</v>
      </c>
      <c r="K7069" s="22" t="s">
        <v>22</v>
      </c>
      <c r="L7069">
        <v>1</v>
      </c>
      <c r="O7069" s="30"/>
      <c r="P7069" s="26"/>
      <c r="Q7069" s="26"/>
    </row>
    <row r="7070" spans="10:17" x14ac:dyDescent="0.25">
      <c r="J7070" t="s">
        <v>2498</v>
      </c>
      <c r="K7070" s="22" t="s">
        <v>20</v>
      </c>
      <c r="L7070">
        <v>3</v>
      </c>
      <c r="M7070">
        <v>3</v>
      </c>
      <c r="O7070" s="31"/>
      <c r="P7070" s="26"/>
      <c r="Q7070" s="26"/>
    </row>
    <row r="7071" spans="10:17" x14ac:dyDescent="0.25">
      <c r="J7071" t="s">
        <v>1802</v>
      </c>
      <c r="K7071" s="22" t="s">
        <v>22</v>
      </c>
      <c r="L7071">
        <v>3</v>
      </c>
      <c r="M7071">
        <v>2</v>
      </c>
      <c r="O7071" s="30"/>
      <c r="P7071" s="26"/>
      <c r="Q7071" s="26"/>
    </row>
    <row r="7072" spans="10:17" x14ac:dyDescent="0.25">
      <c r="J7072" t="s">
        <v>3627</v>
      </c>
      <c r="K7072" s="22" t="s">
        <v>30</v>
      </c>
      <c r="L7072">
        <v>1</v>
      </c>
      <c r="O7072" s="30"/>
      <c r="P7072" s="26"/>
      <c r="Q7072" s="26"/>
    </row>
    <row r="7073" spans="10:17" x14ac:dyDescent="0.25">
      <c r="J7073" t="s">
        <v>3628</v>
      </c>
      <c r="K7073" s="22" t="s">
        <v>35</v>
      </c>
      <c r="L7073">
        <v>1</v>
      </c>
      <c r="M7073">
        <v>1</v>
      </c>
      <c r="O7073" s="31"/>
      <c r="P7073" s="26"/>
      <c r="Q7073" s="26"/>
    </row>
    <row r="7074" spans="10:17" x14ac:dyDescent="0.25">
      <c r="J7074" t="s">
        <v>2308</v>
      </c>
      <c r="K7074" s="22" t="s">
        <v>26</v>
      </c>
      <c r="L7074">
        <v>1</v>
      </c>
      <c r="O7074" s="30"/>
      <c r="P7074" s="26"/>
      <c r="Q7074" s="26"/>
    </row>
    <row r="7075" spans="10:17" x14ac:dyDescent="0.25">
      <c r="J7075" t="s">
        <v>1246</v>
      </c>
      <c r="K7075" s="22" t="s">
        <v>28</v>
      </c>
      <c r="L7075">
        <v>1</v>
      </c>
      <c r="M7075">
        <v>1</v>
      </c>
      <c r="O7075" s="31"/>
      <c r="P7075" s="26"/>
      <c r="Q7075" s="26"/>
    </row>
    <row r="7076" spans="10:17" x14ac:dyDescent="0.25">
      <c r="J7076" t="s">
        <v>2072</v>
      </c>
      <c r="K7076" s="22" t="s">
        <v>30</v>
      </c>
      <c r="L7076">
        <v>1</v>
      </c>
      <c r="M7076">
        <v>1</v>
      </c>
      <c r="O7076" s="31"/>
      <c r="P7076" s="26"/>
      <c r="Q7076" s="26"/>
    </row>
    <row r="7077" spans="10:17" x14ac:dyDescent="0.25">
      <c r="J7077" t="s">
        <v>1347</v>
      </c>
      <c r="K7077" s="22" t="s">
        <v>28</v>
      </c>
      <c r="L7077">
        <v>1</v>
      </c>
      <c r="O7077" s="30"/>
      <c r="P7077" s="26"/>
      <c r="Q7077" s="26"/>
    </row>
    <row r="7078" spans="10:17" x14ac:dyDescent="0.25">
      <c r="J7078" t="s">
        <v>3629</v>
      </c>
      <c r="K7078" s="22" t="s">
        <v>30</v>
      </c>
      <c r="L7078">
        <v>1</v>
      </c>
      <c r="M7078">
        <v>1</v>
      </c>
      <c r="O7078" s="31"/>
      <c r="P7078" s="26"/>
      <c r="Q7078" s="26"/>
    </row>
    <row r="7079" spans="10:17" x14ac:dyDescent="0.25">
      <c r="J7079" t="s">
        <v>3630</v>
      </c>
      <c r="K7079" s="22" t="s">
        <v>24</v>
      </c>
      <c r="L7079">
        <v>1</v>
      </c>
      <c r="O7079" s="30"/>
      <c r="P7079" s="26"/>
      <c r="Q7079" s="26"/>
    </row>
    <row r="7080" spans="10:17" x14ac:dyDescent="0.25">
      <c r="J7080" t="s">
        <v>2735</v>
      </c>
      <c r="K7080" s="22" t="s">
        <v>22</v>
      </c>
      <c r="L7080">
        <v>1</v>
      </c>
      <c r="M7080">
        <v>1</v>
      </c>
      <c r="O7080" s="31"/>
      <c r="P7080" s="26"/>
      <c r="Q7080" s="26"/>
    </row>
    <row r="7081" spans="10:17" x14ac:dyDescent="0.25">
      <c r="J7081" t="s">
        <v>3631</v>
      </c>
      <c r="K7081" s="22" t="s">
        <v>26</v>
      </c>
      <c r="L7081">
        <v>1</v>
      </c>
      <c r="O7081" s="30"/>
      <c r="P7081" s="26"/>
      <c r="Q7081" s="26"/>
    </row>
    <row r="7082" spans="10:17" x14ac:dyDescent="0.25">
      <c r="J7082" t="s">
        <v>382</v>
      </c>
      <c r="K7082" s="22" t="s">
        <v>29</v>
      </c>
      <c r="L7082">
        <v>1</v>
      </c>
      <c r="M7082">
        <v>1</v>
      </c>
      <c r="O7082" s="31"/>
      <c r="P7082" s="26"/>
      <c r="Q7082" s="26"/>
    </row>
    <row r="7083" spans="10:17" x14ac:dyDescent="0.25">
      <c r="J7083" t="s">
        <v>1358</v>
      </c>
      <c r="K7083" s="22" t="s">
        <v>28</v>
      </c>
      <c r="L7083">
        <v>1</v>
      </c>
      <c r="M7083">
        <v>1</v>
      </c>
      <c r="O7083" s="31"/>
      <c r="P7083" s="26"/>
      <c r="Q7083" s="26"/>
    </row>
    <row r="7084" spans="10:17" x14ac:dyDescent="0.25">
      <c r="J7084" t="s">
        <v>1638</v>
      </c>
      <c r="K7084" s="22" t="s">
        <v>30</v>
      </c>
      <c r="L7084">
        <v>2</v>
      </c>
      <c r="O7084" s="30"/>
      <c r="P7084" s="26"/>
      <c r="Q7084" s="26"/>
    </row>
    <row r="7085" spans="10:17" x14ac:dyDescent="0.25">
      <c r="J7085" t="s">
        <v>2462</v>
      </c>
      <c r="K7085" s="22" t="s">
        <v>24</v>
      </c>
      <c r="L7085">
        <v>1</v>
      </c>
      <c r="M7085">
        <v>1</v>
      </c>
      <c r="O7085" s="31"/>
      <c r="P7085" s="26"/>
      <c r="Q7085" s="26"/>
    </row>
    <row r="7086" spans="10:17" x14ac:dyDescent="0.25">
      <c r="J7086" t="s">
        <v>588</v>
      </c>
      <c r="K7086" s="22" t="s">
        <v>31</v>
      </c>
      <c r="L7086">
        <v>2</v>
      </c>
      <c r="M7086">
        <v>2</v>
      </c>
      <c r="O7086" s="31"/>
      <c r="P7086" s="26"/>
      <c r="Q7086" s="26"/>
    </row>
    <row r="7087" spans="10:17" x14ac:dyDescent="0.25">
      <c r="J7087" t="s">
        <v>3439</v>
      </c>
      <c r="K7087" s="22" t="s">
        <v>28</v>
      </c>
      <c r="L7087">
        <v>1</v>
      </c>
      <c r="O7087" s="30"/>
      <c r="P7087" s="26"/>
      <c r="Q7087" s="26"/>
    </row>
    <row r="7088" spans="10:17" x14ac:dyDescent="0.25">
      <c r="J7088" t="s">
        <v>3420</v>
      </c>
      <c r="K7088" s="22" t="s">
        <v>22</v>
      </c>
      <c r="L7088">
        <v>1</v>
      </c>
      <c r="M7088">
        <v>1</v>
      </c>
      <c r="O7088" s="31"/>
      <c r="P7088" s="26"/>
      <c r="Q7088" s="26"/>
    </row>
    <row r="7089" spans="10:17" x14ac:dyDescent="0.25">
      <c r="J7089" t="s">
        <v>1869</v>
      </c>
      <c r="K7089" s="22" t="s">
        <v>31</v>
      </c>
      <c r="L7089">
        <v>1</v>
      </c>
      <c r="M7089">
        <v>1</v>
      </c>
      <c r="O7089" s="31"/>
      <c r="P7089" s="26"/>
      <c r="Q7089" s="26"/>
    </row>
    <row r="7090" spans="10:17" x14ac:dyDescent="0.25">
      <c r="J7090" t="s">
        <v>1864</v>
      </c>
      <c r="K7090" s="22" t="s">
        <v>30</v>
      </c>
      <c r="L7090">
        <v>2</v>
      </c>
      <c r="M7090">
        <v>2</v>
      </c>
      <c r="O7090" s="31"/>
      <c r="P7090" s="26"/>
      <c r="Q7090" s="26"/>
    </row>
    <row r="7091" spans="10:17" x14ac:dyDescent="0.25">
      <c r="J7091" t="s">
        <v>3632</v>
      </c>
      <c r="K7091" s="22" t="s">
        <v>26</v>
      </c>
      <c r="L7091">
        <v>1</v>
      </c>
      <c r="O7091" s="30"/>
      <c r="P7091" s="26"/>
      <c r="Q7091" s="26"/>
    </row>
    <row r="7092" spans="10:17" x14ac:dyDescent="0.25">
      <c r="J7092" t="s">
        <v>1785</v>
      </c>
      <c r="K7092" s="22" t="s">
        <v>35</v>
      </c>
      <c r="L7092">
        <v>1</v>
      </c>
      <c r="M7092">
        <v>1</v>
      </c>
      <c r="O7092" s="31"/>
      <c r="P7092" s="26"/>
      <c r="Q7092" s="26"/>
    </row>
    <row r="7093" spans="10:17" x14ac:dyDescent="0.25">
      <c r="J7093" t="s">
        <v>3451</v>
      </c>
      <c r="K7093" s="22" t="s">
        <v>20</v>
      </c>
      <c r="L7093">
        <v>1</v>
      </c>
      <c r="O7093" s="30"/>
      <c r="P7093" s="26"/>
      <c r="Q7093" s="26"/>
    </row>
    <row r="7094" spans="10:17" x14ac:dyDescent="0.25">
      <c r="J7094" t="s">
        <v>1124</v>
      </c>
      <c r="K7094" s="22" t="s">
        <v>29</v>
      </c>
      <c r="L7094">
        <v>1</v>
      </c>
      <c r="M7094">
        <v>1</v>
      </c>
      <c r="O7094" s="31"/>
      <c r="P7094" s="26"/>
      <c r="Q7094" s="26"/>
    </row>
    <row r="7095" spans="10:17" x14ac:dyDescent="0.25">
      <c r="J7095" t="s">
        <v>2847</v>
      </c>
      <c r="K7095" s="22" t="s">
        <v>22</v>
      </c>
      <c r="L7095">
        <v>1</v>
      </c>
      <c r="O7095" s="30"/>
      <c r="P7095" s="26"/>
      <c r="Q7095" s="26"/>
    </row>
    <row r="7096" spans="10:17" x14ac:dyDescent="0.25">
      <c r="J7096" t="s">
        <v>2731</v>
      </c>
      <c r="K7096" s="22" t="s">
        <v>26</v>
      </c>
      <c r="L7096">
        <v>1</v>
      </c>
      <c r="M7096">
        <v>1</v>
      </c>
      <c r="O7096" s="31"/>
      <c r="P7096" s="26"/>
      <c r="Q7096" s="26"/>
    </row>
    <row r="7097" spans="10:17" x14ac:dyDescent="0.25">
      <c r="J7097" t="s">
        <v>3633</v>
      </c>
      <c r="K7097" s="22" t="s">
        <v>28</v>
      </c>
      <c r="L7097">
        <v>1</v>
      </c>
      <c r="O7097" s="30"/>
      <c r="P7097" s="26"/>
      <c r="Q7097" s="26"/>
    </row>
    <row r="7098" spans="10:17" x14ac:dyDescent="0.25">
      <c r="J7098" t="s">
        <v>127</v>
      </c>
      <c r="K7098" s="22" t="s">
        <v>24</v>
      </c>
      <c r="L7098">
        <v>9</v>
      </c>
      <c r="M7098">
        <v>9</v>
      </c>
      <c r="O7098" s="31"/>
      <c r="P7098" s="26"/>
      <c r="Q7098" s="26"/>
    </row>
    <row r="7099" spans="10:17" x14ac:dyDescent="0.25">
      <c r="J7099" t="s">
        <v>1029</v>
      </c>
      <c r="K7099" s="22" t="s">
        <v>35</v>
      </c>
      <c r="L7099">
        <v>2</v>
      </c>
      <c r="M7099">
        <v>2</v>
      </c>
      <c r="O7099" s="31"/>
      <c r="P7099" s="26"/>
      <c r="Q7099" s="26"/>
    </row>
    <row r="7100" spans="10:17" x14ac:dyDescent="0.25">
      <c r="J7100" t="s">
        <v>1442</v>
      </c>
      <c r="K7100" s="22" t="s">
        <v>20</v>
      </c>
      <c r="L7100">
        <v>1</v>
      </c>
      <c r="O7100" s="30"/>
      <c r="P7100" s="26"/>
      <c r="Q7100" s="26"/>
    </row>
    <row r="7101" spans="10:17" x14ac:dyDescent="0.25">
      <c r="J7101" t="s">
        <v>2129</v>
      </c>
      <c r="K7101" s="22" t="s">
        <v>31</v>
      </c>
      <c r="L7101">
        <v>2</v>
      </c>
      <c r="M7101">
        <v>1</v>
      </c>
      <c r="O7101" s="30"/>
      <c r="P7101" s="26"/>
      <c r="Q7101" s="26"/>
    </row>
    <row r="7102" spans="10:17" x14ac:dyDescent="0.25">
      <c r="J7102" t="s">
        <v>482</v>
      </c>
      <c r="K7102" s="22" t="s">
        <v>28</v>
      </c>
      <c r="L7102">
        <v>1</v>
      </c>
      <c r="O7102" s="30"/>
      <c r="P7102" s="26"/>
      <c r="Q7102" s="26"/>
    </row>
    <row r="7103" spans="10:17" x14ac:dyDescent="0.25">
      <c r="J7103" t="s">
        <v>2850</v>
      </c>
      <c r="K7103" s="22" t="s">
        <v>24</v>
      </c>
      <c r="L7103">
        <v>1</v>
      </c>
      <c r="M7103">
        <v>1</v>
      </c>
      <c r="O7103" s="31"/>
      <c r="P7103" s="26"/>
      <c r="Q7103" s="26"/>
    </row>
    <row r="7104" spans="10:17" x14ac:dyDescent="0.25">
      <c r="J7104" t="s">
        <v>3285</v>
      </c>
      <c r="K7104" s="22" t="s">
        <v>22</v>
      </c>
      <c r="L7104">
        <v>1</v>
      </c>
      <c r="O7104" s="30"/>
      <c r="P7104" s="26"/>
      <c r="Q7104" s="26"/>
    </row>
    <row r="7105" spans="10:17" x14ac:dyDescent="0.25">
      <c r="J7105" t="s">
        <v>3430</v>
      </c>
      <c r="K7105" s="22" t="s">
        <v>28</v>
      </c>
      <c r="L7105">
        <v>1</v>
      </c>
      <c r="O7105" s="30"/>
      <c r="P7105" s="26"/>
      <c r="Q7105" s="26"/>
    </row>
    <row r="7106" spans="10:17" x14ac:dyDescent="0.25">
      <c r="J7106" t="s">
        <v>2803</v>
      </c>
      <c r="K7106" s="22" t="s">
        <v>29</v>
      </c>
      <c r="L7106">
        <v>1</v>
      </c>
      <c r="M7106">
        <v>1</v>
      </c>
      <c r="O7106" s="31"/>
      <c r="P7106" s="26"/>
      <c r="Q7106" s="26"/>
    </row>
    <row r="7107" spans="10:17" x14ac:dyDescent="0.25">
      <c r="J7107" t="s">
        <v>1437</v>
      </c>
      <c r="K7107" s="22" t="s">
        <v>22</v>
      </c>
      <c r="L7107">
        <v>1</v>
      </c>
      <c r="O7107" s="30"/>
      <c r="P7107" s="26"/>
      <c r="Q7107" s="26"/>
    </row>
    <row r="7108" spans="10:17" x14ac:dyDescent="0.25">
      <c r="J7108" t="s">
        <v>2550</v>
      </c>
      <c r="K7108" s="22" t="s">
        <v>31</v>
      </c>
      <c r="L7108">
        <v>1</v>
      </c>
      <c r="M7108">
        <v>1</v>
      </c>
      <c r="O7108" s="31"/>
      <c r="P7108" s="26"/>
      <c r="Q7108" s="26"/>
    </row>
    <row r="7109" spans="10:17" x14ac:dyDescent="0.25">
      <c r="J7109" t="s">
        <v>2014</v>
      </c>
      <c r="K7109" s="22" t="s">
        <v>30</v>
      </c>
      <c r="L7109">
        <v>1</v>
      </c>
      <c r="O7109" s="30"/>
      <c r="P7109" s="26"/>
      <c r="Q7109" s="26"/>
    </row>
    <row r="7110" spans="10:17" x14ac:dyDescent="0.25">
      <c r="J7110" t="s">
        <v>256</v>
      </c>
      <c r="K7110" s="22" t="s">
        <v>28</v>
      </c>
      <c r="L7110">
        <v>1</v>
      </c>
      <c r="M7110">
        <v>1</v>
      </c>
      <c r="O7110" s="31"/>
      <c r="P7110" s="26"/>
      <c r="Q7110" s="26"/>
    </row>
    <row r="7111" spans="10:17" x14ac:dyDescent="0.25">
      <c r="J7111" t="s">
        <v>3330</v>
      </c>
      <c r="K7111" s="22" t="s">
        <v>29</v>
      </c>
      <c r="L7111">
        <v>1</v>
      </c>
      <c r="O7111" s="30"/>
      <c r="P7111" s="26"/>
      <c r="Q7111" s="26"/>
    </row>
    <row r="7112" spans="10:17" x14ac:dyDescent="0.25">
      <c r="J7112" t="s">
        <v>3634</v>
      </c>
      <c r="K7112" s="22" t="s">
        <v>26</v>
      </c>
      <c r="L7112">
        <v>1</v>
      </c>
      <c r="M7112">
        <v>1</v>
      </c>
      <c r="O7112" s="31"/>
      <c r="P7112" s="26"/>
      <c r="Q7112" s="26"/>
    </row>
    <row r="7113" spans="10:17" x14ac:dyDescent="0.25">
      <c r="J7113" t="s">
        <v>3635</v>
      </c>
      <c r="K7113" s="22" t="s">
        <v>24</v>
      </c>
      <c r="L7113">
        <v>1</v>
      </c>
      <c r="O7113" s="30"/>
      <c r="P7113" s="26"/>
      <c r="Q7113" s="26"/>
    </row>
    <row r="7114" spans="10:17" x14ac:dyDescent="0.25">
      <c r="J7114" t="s">
        <v>3636</v>
      </c>
      <c r="K7114" s="22" t="s">
        <v>35</v>
      </c>
      <c r="L7114">
        <v>2</v>
      </c>
      <c r="M7114">
        <v>2</v>
      </c>
      <c r="O7114" s="31"/>
      <c r="P7114" s="26"/>
      <c r="Q7114" s="26"/>
    </row>
    <row r="7115" spans="10:17" x14ac:dyDescent="0.25">
      <c r="J7115" t="s">
        <v>46</v>
      </c>
      <c r="K7115" s="22" t="s">
        <v>35</v>
      </c>
      <c r="L7115">
        <v>2</v>
      </c>
      <c r="M7115">
        <v>2</v>
      </c>
      <c r="O7115" s="31"/>
      <c r="P7115" s="26"/>
      <c r="Q7115" s="26"/>
    </row>
    <row r="7116" spans="10:17" x14ac:dyDescent="0.25">
      <c r="J7116" t="s">
        <v>3615</v>
      </c>
      <c r="K7116" s="22" t="s">
        <v>26</v>
      </c>
      <c r="L7116">
        <v>1</v>
      </c>
      <c r="O7116" s="30"/>
      <c r="P7116" s="26"/>
      <c r="Q7116" s="26"/>
    </row>
    <row r="7117" spans="10:17" x14ac:dyDescent="0.25">
      <c r="J7117" t="s">
        <v>3637</v>
      </c>
      <c r="K7117" s="22" t="s">
        <v>30</v>
      </c>
      <c r="L7117">
        <v>1</v>
      </c>
      <c r="M7117">
        <v>1</v>
      </c>
      <c r="O7117" s="31"/>
      <c r="P7117" s="26"/>
      <c r="Q7117" s="26"/>
    </row>
    <row r="7118" spans="10:17" x14ac:dyDescent="0.25">
      <c r="J7118" t="s">
        <v>1113</v>
      </c>
      <c r="K7118" s="22" t="s">
        <v>31</v>
      </c>
      <c r="L7118">
        <v>1</v>
      </c>
      <c r="O7118" s="30"/>
      <c r="P7118" s="26"/>
      <c r="Q7118" s="26"/>
    </row>
    <row r="7119" spans="10:17" x14ac:dyDescent="0.25">
      <c r="J7119" t="s">
        <v>1973</v>
      </c>
      <c r="K7119" s="22" t="s">
        <v>29</v>
      </c>
      <c r="L7119">
        <v>1</v>
      </c>
      <c r="M7119">
        <v>1</v>
      </c>
      <c r="O7119" s="31"/>
      <c r="P7119" s="26"/>
      <c r="Q7119" s="26"/>
    </row>
    <row r="7120" spans="10:17" x14ac:dyDescent="0.25">
      <c r="J7120" t="s">
        <v>1896</v>
      </c>
      <c r="K7120" s="22" t="s">
        <v>31</v>
      </c>
      <c r="L7120">
        <v>1</v>
      </c>
      <c r="O7120" s="30"/>
      <c r="P7120" s="26"/>
      <c r="Q7120" s="26"/>
    </row>
    <row r="7121" spans="10:17" x14ac:dyDescent="0.25">
      <c r="J7121" t="s">
        <v>2519</v>
      </c>
      <c r="K7121" s="22" t="s">
        <v>26</v>
      </c>
      <c r="L7121">
        <v>1</v>
      </c>
      <c r="M7121">
        <v>1</v>
      </c>
      <c r="O7121" s="31"/>
      <c r="P7121" s="26"/>
      <c r="Q7121" s="26"/>
    </row>
    <row r="7122" spans="10:17" x14ac:dyDescent="0.25">
      <c r="J7122" t="s">
        <v>1511</v>
      </c>
      <c r="K7122" s="22" t="s">
        <v>30</v>
      </c>
      <c r="L7122">
        <v>1</v>
      </c>
      <c r="O7122" s="30"/>
      <c r="P7122" s="26"/>
      <c r="Q7122" s="26"/>
    </row>
    <row r="7123" spans="10:17" x14ac:dyDescent="0.25">
      <c r="J7123" t="s">
        <v>3638</v>
      </c>
      <c r="K7123" s="22" t="s">
        <v>20</v>
      </c>
      <c r="L7123">
        <v>2</v>
      </c>
      <c r="M7123">
        <v>2</v>
      </c>
      <c r="O7123" s="31"/>
      <c r="P7123" s="26"/>
      <c r="Q7123" s="26"/>
    </row>
    <row r="7124" spans="10:17" x14ac:dyDescent="0.25">
      <c r="J7124" t="s">
        <v>1797</v>
      </c>
      <c r="K7124" s="22" t="s">
        <v>24</v>
      </c>
      <c r="L7124">
        <v>1</v>
      </c>
      <c r="O7124" s="30"/>
      <c r="P7124" s="26"/>
      <c r="Q7124" s="26"/>
    </row>
    <row r="7125" spans="10:17" x14ac:dyDescent="0.25">
      <c r="J7125" t="s">
        <v>623</v>
      </c>
      <c r="K7125" s="22" t="s">
        <v>31</v>
      </c>
      <c r="L7125">
        <v>1</v>
      </c>
      <c r="M7125">
        <v>1</v>
      </c>
      <c r="O7125" s="31"/>
      <c r="P7125" s="26"/>
      <c r="Q7125" s="26"/>
    </row>
    <row r="7126" spans="10:17" x14ac:dyDescent="0.25">
      <c r="J7126" t="s">
        <v>1338</v>
      </c>
      <c r="K7126" s="22" t="s">
        <v>30</v>
      </c>
      <c r="L7126">
        <v>1</v>
      </c>
      <c r="O7126" s="30"/>
      <c r="P7126" s="26"/>
      <c r="Q7126" s="26"/>
    </row>
    <row r="7127" spans="10:17" x14ac:dyDescent="0.25">
      <c r="J7127" t="s">
        <v>401</v>
      </c>
      <c r="K7127" s="22" t="s">
        <v>26</v>
      </c>
      <c r="L7127">
        <v>1</v>
      </c>
      <c r="M7127">
        <v>1</v>
      </c>
      <c r="O7127" s="31"/>
      <c r="P7127" s="26"/>
      <c r="Q7127" s="26"/>
    </row>
    <row r="7128" spans="10:17" x14ac:dyDescent="0.25">
      <c r="J7128" t="s">
        <v>402</v>
      </c>
      <c r="K7128" s="22" t="s">
        <v>31</v>
      </c>
      <c r="L7128">
        <v>1</v>
      </c>
      <c r="O7128" s="30"/>
      <c r="P7128" s="26"/>
      <c r="Q7128" s="26"/>
    </row>
    <row r="7129" spans="10:17" x14ac:dyDescent="0.25">
      <c r="J7129" t="s">
        <v>3522</v>
      </c>
      <c r="K7129" s="22" t="s">
        <v>24</v>
      </c>
      <c r="L7129">
        <v>1</v>
      </c>
      <c r="M7129">
        <v>1</v>
      </c>
      <c r="O7129" s="31"/>
      <c r="P7129" s="26"/>
      <c r="Q7129" s="26"/>
    </row>
    <row r="7130" spans="10:17" x14ac:dyDescent="0.25">
      <c r="J7130" t="s">
        <v>466</v>
      </c>
      <c r="K7130" s="22" t="s">
        <v>30</v>
      </c>
      <c r="L7130">
        <v>1</v>
      </c>
      <c r="O7130" s="30"/>
      <c r="P7130" s="26"/>
      <c r="Q7130" s="26"/>
    </row>
    <row r="7131" spans="10:17" x14ac:dyDescent="0.25">
      <c r="J7131" t="s">
        <v>2236</v>
      </c>
      <c r="K7131" s="22" t="s">
        <v>28</v>
      </c>
      <c r="L7131">
        <v>1</v>
      </c>
      <c r="M7131">
        <v>1</v>
      </c>
      <c r="O7131" s="31"/>
      <c r="P7131" s="26"/>
      <c r="Q7131" s="26"/>
    </row>
    <row r="7132" spans="10:17" x14ac:dyDescent="0.25">
      <c r="J7132" t="s">
        <v>675</v>
      </c>
      <c r="K7132" s="22" t="s">
        <v>24</v>
      </c>
      <c r="L7132">
        <v>1</v>
      </c>
      <c r="O7132" s="30"/>
      <c r="P7132" s="26"/>
      <c r="Q7132" s="26"/>
    </row>
    <row r="7133" spans="10:17" x14ac:dyDescent="0.25">
      <c r="J7133" t="s">
        <v>1722</v>
      </c>
      <c r="K7133" s="22" t="s">
        <v>22</v>
      </c>
      <c r="L7133">
        <v>1</v>
      </c>
      <c r="M7133">
        <v>1</v>
      </c>
      <c r="O7133" s="31"/>
      <c r="P7133" s="26"/>
      <c r="Q7133" s="26"/>
    </row>
    <row r="7134" spans="10:17" x14ac:dyDescent="0.25">
      <c r="J7134" t="s">
        <v>2142</v>
      </c>
      <c r="K7134" s="22" t="s">
        <v>31</v>
      </c>
      <c r="L7134">
        <v>1</v>
      </c>
      <c r="O7134" s="30"/>
      <c r="P7134" s="26"/>
      <c r="Q7134" s="26"/>
    </row>
    <row r="7135" spans="10:17" x14ac:dyDescent="0.25">
      <c r="J7135" t="s">
        <v>2495</v>
      </c>
      <c r="K7135" s="22" t="s">
        <v>22</v>
      </c>
      <c r="L7135">
        <v>1</v>
      </c>
      <c r="M7135">
        <v>1</v>
      </c>
      <c r="O7135" s="31"/>
      <c r="P7135" s="26"/>
      <c r="Q7135" s="26"/>
    </row>
    <row r="7136" spans="10:17" x14ac:dyDescent="0.25">
      <c r="J7136" t="s">
        <v>3639</v>
      </c>
      <c r="K7136" s="22" t="s">
        <v>28</v>
      </c>
      <c r="L7136">
        <v>1</v>
      </c>
      <c r="O7136" s="30"/>
      <c r="P7136" s="26"/>
      <c r="Q7136" s="26"/>
    </row>
    <row r="7137" spans="10:17" x14ac:dyDescent="0.25">
      <c r="J7137" t="s">
        <v>1240</v>
      </c>
      <c r="K7137" s="22" t="s">
        <v>20</v>
      </c>
      <c r="L7137">
        <v>1</v>
      </c>
      <c r="M7137">
        <v>1</v>
      </c>
      <c r="O7137" s="31"/>
      <c r="P7137" s="26"/>
      <c r="Q7137" s="26"/>
    </row>
    <row r="7138" spans="10:17" x14ac:dyDescent="0.25">
      <c r="J7138" t="s">
        <v>2802</v>
      </c>
      <c r="K7138" s="22" t="s">
        <v>31</v>
      </c>
      <c r="L7138">
        <v>1</v>
      </c>
      <c r="O7138" s="30"/>
      <c r="P7138" s="26"/>
      <c r="Q7138" s="26"/>
    </row>
    <row r="7139" spans="10:17" x14ac:dyDescent="0.25">
      <c r="J7139" t="s">
        <v>3640</v>
      </c>
      <c r="K7139" s="22" t="s">
        <v>29</v>
      </c>
      <c r="L7139">
        <v>1</v>
      </c>
      <c r="M7139">
        <v>1</v>
      </c>
      <c r="O7139" s="31"/>
      <c r="P7139" s="26"/>
      <c r="Q7139" s="26"/>
    </row>
    <row r="7140" spans="10:17" x14ac:dyDescent="0.25">
      <c r="J7140" t="s">
        <v>638</v>
      </c>
      <c r="K7140" s="22" t="s">
        <v>22</v>
      </c>
      <c r="L7140">
        <v>1</v>
      </c>
      <c r="M7140">
        <v>1</v>
      </c>
      <c r="O7140" s="31"/>
      <c r="P7140" s="26"/>
      <c r="Q7140" s="26"/>
    </row>
    <row r="7141" spans="10:17" x14ac:dyDescent="0.25">
      <c r="J7141" t="s">
        <v>3103</v>
      </c>
      <c r="K7141" s="22" t="s">
        <v>28</v>
      </c>
      <c r="L7141">
        <v>2</v>
      </c>
      <c r="M7141">
        <v>1</v>
      </c>
      <c r="O7141" s="30"/>
      <c r="P7141" s="26"/>
      <c r="Q7141" s="26"/>
    </row>
    <row r="7142" spans="10:17" x14ac:dyDescent="0.25">
      <c r="J7142" t="s">
        <v>3641</v>
      </c>
      <c r="K7142" s="22" t="s">
        <v>20</v>
      </c>
      <c r="L7142">
        <v>1</v>
      </c>
      <c r="O7142" s="30"/>
      <c r="P7142" s="26"/>
      <c r="Q7142" s="26"/>
    </row>
    <row r="7143" spans="10:17" x14ac:dyDescent="0.25">
      <c r="J7143" t="s">
        <v>3642</v>
      </c>
      <c r="K7143" s="22" t="s">
        <v>30</v>
      </c>
      <c r="L7143">
        <v>2</v>
      </c>
      <c r="M7143">
        <v>2</v>
      </c>
      <c r="O7143" s="31"/>
      <c r="P7143" s="26"/>
      <c r="Q7143" s="26"/>
    </row>
    <row r="7144" spans="10:17" x14ac:dyDescent="0.25">
      <c r="J7144" t="s">
        <v>177</v>
      </c>
      <c r="K7144" s="22" t="s">
        <v>35</v>
      </c>
      <c r="L7144">
        <v>1</v>
      </c>
      <c r="M7144">
        <v>1</v>
      </c>
      <c r="O7144" s="31"/>
      <c r="P7144" s="26"/>
      <c r="Q7144" s="26"/>
    </row>
    <row r="7145" spans="10:17" x14ac:dyDescent="0.25">
      <c r="J7145" t="s">
        <v>3643</v>
      </c>
      <c r="K7145" s="22" t="s">
        <v>24</v>
      </c>
      <c r="L7145">
        <v>1</v>
      </c>
      <c r="O7145" s="30"/>
      <c r="P7145" s="26"/>
      <c r="Q7145" s="26"/>
    </row>
    <row r="7146" spans="10:17" x14ac:dyDescent="0.25">
      <c r="J7146" t="s">
        <v>1966</v>
      </c>
      <c r="K7146" s="22" t="s">
        <v>28</v>
      </c>
      <c r="L7146">
        <v>1</v>
      </c>
      <c r="M7146">
        <v>1</v>
      </c>
      <c r="O7146" s="31"/>
      <c r="P7146" s="26"/>
      <c r="Q7146" s="26"/>
    </row>
    <row r="7147" spans="10:17" x14ac:dyDescent="0.25">
      <c r="J7147" t="s">
        <v>3644</v>
      </c>
      <c r="K7147" s="22" t="s">
        <v>30</v>
      </c>
      <c r="L7147">
        <v>1</v>
      </c>
      <c r="O7147" s="30"/>
      <c r="P7147" s="26"/>
      <c r="Q7147" s="26"/>
    </row>
    <row r="7148" spans="10:17" x14ac:dyDescent="0.25">
      <c r="J7148" t="s">
        <v>2343</v>
      </c>
      <c r="K7148" s="22" t="s">
        <v>20</v>
      </c>
      <c r="L7148">
        <v>1</v>
      </c>
      <c r="M7148">
        <v>1</v>
      </c>
      <c r="O7148" s="31"/>
      <c r="P7148" s="26"/>
      <c r="Q7148" s="26"/>
    </row>
    <row r="7149" spans="10:17" x14ac:dyDescent="0.25">
      <c r="J7149" t="s">
        <v>541</v>
      </c>
      <c r="K7149" s="22" t="s">
        <v>30</v>
      </c>
      <c r="L7149">
        <v>1</v>
      </c>
      <c r="M7149">
        <v>1</v>
      </c>
      <c r="O7149" s="31"/>
      <c r="P7149" s="26"/>
      <c r="Q7149" s="26"/>
    </row>
    <row r="7150" spans="10:17" x14ac:dyDescent="0.25">
      <c r="J7150" t="s">
        <v>190</v>
      </c>
      <c r="K7150" s="22" t="s">
        <v>31</v>
      </c>
      <c r="L7150">
        <v>3</v>
      </c>
      <c r="M7150">
        <v>2</v>
      </c>
      <c r="O7150" s="30"/>
      <c r="P7150" s="26"/>
      <c r="Q7150" s="26"/>
    </row>
    <row r="7151" spans="10:17" x14ac:dyDescent="0.25">
      <c r="J7151" t="s">
        <v>3417</v>
      </c>
      <c r="K7151" s="22" t="s">
        <v>26</v>
      </c>
      <c r="L7151">
        <v>1</v>
      </c>
      <c r="O7151" s="30"/>
      <c r="P7151" s="26"/>
      <c r="Q7151" s="26"/>
    </row>
    <row r="7152" spans="10:17" x14ac:dyDescent="0.25">
      <c r="J7152" t="s">
        <v>1655</v>
      </c>
      <c r="K7152" s="22" t="s">
        <v>22</v>
      </c>
      <c r="L7152">
        <v>1</v>
      </c>
      <c r="M7152">
        <v>1</v>
      </c>
      <c r="O7152" s="31"/>
      <c r="P7152" s="26"/>
      <c r="Q7152" s="26"/>
    </row>
    <row r="7153" spans="10:17" x14ac:dyDescent="0.25">
      <c r="J7153" t="s">
        <v>3645</v>
      </c>
      <c r="K7153" s="22" t="s">
        <v>30</v>
      </c>
      <c r="L7153">
        <v>1</v>
      </c>
      <c r="O7153" s="30"/>
      <c r="P7153" s="26"/>
      <c r="Q7153" s="26"/>
    </row>
    <row r="7154" spans="10:17" x14ac:dyDescent="0.25">
      <c r="J7154" t="s">
        <v>645</v>
      </c>
      <c r="K7154" s="22" t="s">
        <v>35</v>
      </c>
      <c r="L7154">
        <v>1</v>
      </c>
      <c r="M7154">
        <v>1</v>
      </c>
      <c r="O7154" s="31"/>
      <c r="P7154" s="26"/>
      <c r="Q7154" s="26"/>
    </row>
    <row r="7155" spans="10:17" x14ac:dyDescent="0.25">
      <c r="J7155" t="s">
        <v>1804</v>
      </c>
      <c r="K7155" s="22" t="s">
        <v>30</v>
      </c>
      <c r="L7155">
        <v>1</v>
      </c>
      <c r="M7155">
        <v>1</v>
      </c>
      <c r="O7155" s="31"/>
      <c r="P7155" s="26"/>
      <c r="Q7155" s="26"/>
    </row>
    <row r="7156" spans="10:17" x14ac:dyDescent="0.25">
      <c r="J7156" t="s">
        <v>2392</v>
      </c>
      <c r="K7156" s="22" t="s">
        <v>35</v>
      </c>
      <c r="L7156">
        <v>1</v>
      </c>
      <c r="O7156" s="30"/>
      <c r="P7156" s="26"/>
      <c r="Q7156" s="26"/>
    </row>
    <row r="7157" spans="10:17" x14ac:dyDescent="0.25">
      <c r="J7157" t="s">
        <v>3646</v>
      </c>
      <c r="K7157" s="22" t="s">
        <v>20</v>
      </c>
      <c r="L7157">
        <v>1</v>
      </c>
      <c r="M7157">
        <v>1</v>
      </c>
      <c r="O7157" s="31"/>
      <c r="P7157" s="26"/>
      <c r="Q7157" s="26"/>
    </row>
    <row r="7158" spans="10:17" x14ac:dyDescent="0.25">
      <c r="J7158" t="s">
        <v>2106</v>
      </c>
      <c r="K7158" s="22" t="s">
        <v>24</v>
      </c>
      <c r="L7158">
        <v>1</v>
      </c>
      <c r="O7158" s="30"/>
      <c r="P7158" s="26"/>
      <c r="Q7158" s="26"/>
    </row>
    <row r="7159" spans="10:17" x14ac:dyDescent="0.25">
      <c r="J7159" t="s">
        <v>3647</v>
      </c>
      <c r="K7159" s="22" t="s">
        <v>31</v>
      </c>
      <c r="L7159">
        <v>1</v>
      </c>
      <c r="M7159">
        <v>1</v>
      </c>
      <c r="O7159" s="31"/>
      <c r="P7159" s="26"/>
      <c r="Q7159" s="26"/>
    </row>
    <row r="7160" spans="10:17" x14ac:dyDescent="0.25">
      <c r="J7160" t="s">
        <v>452</v>
      </c>
      <c r="K7160" s="22" t="s">
        <v>26</v>
      </c>
      <c r="L7160">
        <v>1</v>
      </c>
      <c r="O7160" s="30"/>
      <c r="P7160" s="26"/>
      <c r="Q7160" s="26"/>
    </row>
    <row r="7161" spans="10:17" x14ac:dyDescent="0.25">
      <c r="J7161" t="s">
        <v>3648</v>
      </c>
      <c r="K7161" s="22" t="s">
        <v>28</v>
      </c>
      <c r="L7161">
        <v>1</v>
      </c>
      <c r="M7161">
        <v>1</v>
      </c>
      <c r="O7161" s="31"/>
      <c r="P7161" s="26"/>
      <c r="Q7161" s="26"/>
    </row>
    <row r="7162" spans="10:17" x14ac:dyDescent="0.25">
      <c r="J7162" t="s">
        <v>1987</v>
      </c>
      <c r="K7162" s="22" t="s">
        <v>30</v>
      </c>
      <c r="L7162">
        <v>1</v>
      </c>
      <c r="O7162" s="30"/>
      <c r="P7162" s="26"/>
      <c r="Q7162" s="26"/>
    </row>
    <row r="7163" spans="10:17" x14ac:dyDescent="0.25">
      <c r="J7163" t="s">
        <v>3649</v>
      </c>
      <c r="K7163" s="22" t="s">
        <v>35</v>
      </c>
      <c r="L7163">
        <v>1</v>
      </c>
      <c r="M7163">
        <v>1</v>
      </c>
      <c r="O7163" s="31"/>
      <c r="P7163" s="26"/>
      <c r="Q7163" s="26"/>
    </row>
    <row r="7164" spans="10:17" x14ac:dyDescent="0.25">
      <c r="J7164" t="s">
        <v>3616</v>
      </c>
      <c r="K7164" s="22" t="s">
        <v>24</v>
      </c>
      <c r="L7164">
        <v>2</v>
      </c>
      <c r="M7164">
        <v>1</v>
      </c>
      <c r="O7164" s="30"/>
      <c r="P7164" s="26"/>
      <c r="Q7164" s="26"/>
    </row>
    <row r="7165" spans="10:17" x14ac:dyDescent="0.25">
      <c r="J7165" t="s">
        <v>3650</v>
      </c>
      <c r="K7165" s="22" t="s">
        <v>30</v>
      </c>
      <c r="L7165">
        <v>1</v>
      </c>
      <c r="O7165" s="30"/>
      <c r="P7165" s="26"/>
      <c r="Q7165" s="26"/>
    </row>
    <row r="7166" spans="10:17" x14ac:dyDescent="0.25">
      <c r="J7166" t="s">
        <v>2238</v>
      </c>
      <c r="K7166" s="22" t="s">
        <v>31</v>
      </c>
      <c r="L7166">
        <v>1</v>
      </c>
      <c r="M7166">
        <v>1</v>
      </c>
      <c r="O7166" s="31"/>
      <c r="P7166" s="26"/>
      <c r="Q7166" s="26"/>
    </row>
    <row r="7167" spans="10:17" x14ac:dyDescent="0.25">
      <c r="J7167" t="s">
        <v>1116</v>
      </c>
      <c r="K7167" s="22" t="s">
        <v>30</v>
      </c>
      <c r="L7167">
        <v>1</v>
      </c>
      <c r="O7167" s="30"/>
      <c r="P7167" s="26"/>
      <c r="Q7167" s="26"/>
    </row>
    <row r="7168" spans="10:17" x14ac:dyDescent="0.25">
      <c r="J7168" t="s">
        <v>285</v>
      </c>
      <c r="K7168" s="22" t="s">
        <v>24</v>
      </c>
      <c r="L7168">
        <v>1</v>
      </c>
      <c r="M7168">
        <v>1</v>
      </c>
      <c r="O7168" s="31"/>
      <c r="P7168" s="26"/>
      <c r="Q7168" s="26"/>
    </row>
    <row r="7169" spans="10:17" x14ac:dyDescent="0.25">
      <c r="J7169" t="s">
        <v>3203</v>
      </c>
      <c r="K7169" s="22" t="s">
        <v>28</v>
      </c>
      <c r="L7169">
        <v>1</v>
      </c>
      <c r="O7169" s="30"/>
      <c r="P7169" s="26"/>
      <c r="Q7169" s="26"/>
    </row>
    <row r="7170" spans="10:17" x14ac:dyDescent="0.25">
      <c r="J7170" t="s">
        <v>3651</v>
      </c>
      <c r="K7170" s="22" t="s">
        <v>30</v>
      </c>
      <c r="L7170">
        <v>1</v>
      </c>
      <c r="M7170">
        <v>1</v>
      </c>
      <c r="O7170" s="31"/>
      <c r="P7170" s="26"/>
      <c r="Q7170" s="26"/>
    </row>
    <row r="7171" spans="10:17" x14ac:dyDescent="0.25">
      <c r="J7171" t="s">
        <v>2610</v>
      </c>
      <c r="K7171" s="22" t="s">
        <v>30</v>
      </c>
      <c r="L7171">
        <v>1</v>
      </c>
      <c r="M7171">
        <v>1</v>
      </c>
      <c r="O7171" s="31"/>
      <c r="P7171" s="26"/>
      <c r="Q7171" s="26"/>
    </row>
    <row r="7172" spans="10:17" x14ac:dyDescent="0.25">
      <c r="J7172" t="s">
        <v>3608</v>
      </c>
      <c r="K7172" s="22" t="s">
        <v>20</v>
      </c>
      <c r="L7172">
        <v>1</v>
      </c>
      <c r="M7172">
        <v>1</v>
      </c>
      <c r="O7172" s="31"/>
      <c r="P7172" s="26"/>
      <c r="Q7172" s="26"/>
    </row>
    <row r="7173" spans="10:17" x14ac:dyDescent="0.25">
      <c r="J7173" t="s">
        <v>1918</v>
      </c>
      <c r="K7173" s="22" t="s">
        <v>26</v>
      </c>
      <c r="L7173">
        <v>1</v>
      </c>
      <c r="O7173" s="30"/>
      <c r="P7173" s="26"/>
      <c r="Q7173" s="26"/>
    </row>
    <row r="7174" spans="10:17" x14ac:dyDescent="0.25">
      <c r="J7174" t="s">
        <v>3098</v>
      </c>
      <c r="K7174" s="22" t="s">
        <v>28</v>
      </c>
      <c r="L7174">
        <v>1</v>
      </c>
      <c r="M7174">
        <v>1</v>
      </c>
      <c r="O7174" s="31"/>
      <c r="P7174" s="26"/>
      <c r="Q7174" s="26"/>
    </row>
    <row r="7175" spans="10:17" x14ac:dyDescent="0.25">
      <c r="J7175" t="s">
        <v>3283</v>
      </c>
      <c r="K7175" s="22" t="s">
        <v>20</v>
      </c>
      <c r="L7175">
        <v>2</v>
      </c>
      <c r="M7175">
        <v>2</v>
      </c>
      <c r="O7175" s="31"/>
      <c r="P7175" s="26"/>
      <c r="Q7175" s="26"/>
    </row>
    <row r="7176" spans="10:17" x14ac:dyDescent="0.25">
      <c r="J7176" t="s">
        <v>1116</v>
      </c>
      <c r="K7176" s="22" t="s">
        <v>22</v>
      </c>
      <c r="L7176">
        <v>1</v>
      </c>
      <c r="O7176" s="30"/>
      <c r="P7176" s="26"/>
      <c r="Q7176" s="26"/>
    </row>
    <row r="7177" spans="10:17" x14ac:dyDescent="0.25">
      <c r="J7177" t="s">
        <v>1398</v>
      </c>
      <c r="K7177" s="22" t="s">
        <v>22</v>
      </c>
      <c r="L7177">
        <v>1</v>
      </c>
      <c r="O7177" s="30"/>
      <c r="P7177" s="26"/>
      <c r="Q7177" s="26"/>
    </row>
    <row r="7178" spans="10:17" x14ac:dyDescent="0.25">
      <c r="J7178" t="s">
        <v>1196</v>
      </c>
      <c r="K7178" s="22" t="s">
        <v>28</v>
      </c>
      <c r="L7178">
        <v>1</v>
      </c>
      <c r="M7178">
        <v>1</v>
      </c>
      <c r="O7178" s="31"/>
      <c r="P7178" s="26"/>
      <c r="Q7178" s="26"/>
    </row>
    <row r="7179" spans="10:17" x14ac:dyDescent="0.25">
      <c r="J7179" t="s">
        <v>3652</v>
      </c>
      <c r="K7179" s="22" t="s">
        <v>30</v>
      </c>
      <c r="L7179">
        <v>1</v>
      </c>
      <c r="O7179" s="30"/>
      <c r="P7179" s="26"/>
      <c r="Q7179" s="26"/>
    </row>
    <row r="7180" spans="10:17" x14ac:dyDescent="0.25">
      <c r="J7180" t="s">
        <v>2795</v>
      </c>
      <c r="K7180" s="22" t="s">
        <v>24</v>
      </c>
      <c r="L7180">
        <v>2</v>
      </c>
      <c r="O7180" s="30"/>
      <c r="P7180" s="26"/>
      <c r="Q7180" s="26"/>
    </row>
    <row r="7181" spans="10:17" x14ac:dyDescent="0.25">
      <c r="J7181" t="s">
        <v>3595</v>
      </c>
      <c r="K7181" s="22" t="s">
        <v>28</v>
      </c>
      <c r="L7181">
        <v>1</v>
      </c>
      <c r="O7181" s="30"/>
      <c r="P7181" s="26"/>
      <c r="Q7181" s="26"/>
    </row>
    <row r="7182" spans="10:17" x14ac:dyDescent="0.25">
      <c r="J7182" t="s">
        <v>3653</v>
      </c>
      <c r="K7182" s="22" t="s">
        <v>31</v>
      </c>
      <c r="L7182">
        <v>1</v>
      </c>
      <c r="M7182">
        <v>1</v>
      </c>
      <c r="O7182" s="31"/>
      <c r="P7182" s="26"/>
      <c r="Q7182" s="26"/>
    </row>
    <row r="7183" spans="10:17" x14ac:dyDescent="0.25">
      <c r="J7183" t="s">
        <v>155</v>
      </c>
      <c r="K7183" s="22" t="s">
        <v>28</v>
      </c>
      <c r="L7183">
        <v>2</v>
      </c>
      <c r="M7183">
        <v>2</v>
      </c>
      <c r="O7183" s="31"/>
      <c r="P7183" s="26"/>
      <c r="Q7183" s="26"/>
    </row>
    <row r="7184" spans="10:17" x14ac:dyDescent="0.25">
      <c r="J7184" t="s">
        <v>710</v>
      </c>
      <c r="K7184" s="22" t="s">
        <v>35</v>
      </c>
      <c r="L7184">
        <v>2</v>
      </c>
      <c r="M7184">
        <v>2</v>
      </c>
      <c r="O7184" s="31"/>
      <c r="P7184" s="26"/>
      <c r="Q7184" s="26"/>
    </row>
    <row r="7185" spans="10:17" x14ac:dyDescent="0.25">
      <c r="J7185" t="s">
        <v>462</v>
      </c>
      <c r="K7185" s="22" t="s">
        <v>20</v>
      </c>
      <c r="L7185">
        <v>1</v>
      </c>
      <c r="O7185" s="30"/>
      <c r="P7185" s="26"/>
      <c r="Q7185" s="26"/>
    </row>
    <row r="7186" spans="10:17" x14ac:dyDescent="0.25">
      <c r="J7186" t="s">
        <v>1701</v>
      </c>
      <c r="K7186" s="22" t="s">
        <v>26</v>
      </c>
      <c r="L7186">
        <v>1</v>
      </c>
      <c r="M7186">
        <v>1</v>
      </c>
      <c r="O7186" s="31"/>
      <c r="P7186" s="26"/>
      <c r="Q7186" s="26"/>
    </row>
    <row r="7187" spans="10:17" x14ac:dyDescent="0.25">
      <c r="J7187" t="s">
        <v>1846</v>
      </c>
      <c r="K7187" s="22" t="s">
        <v>35</v>
      </c>
      <c r="L7187">
        <v>2</v>
      </c>
      <c r="O7187" s="30"/>
      <c r="P7187" s="26"/>
      <c r="Q7187" s="26"/>
    </row>
    <row r="7188" spans="10:17" x14ac:dyDescent="0.25">
      <c r="J7188" t="s">
        <v>2036</v>
      </c>
      <c r="K7188" s="22" t="s">
        <v>28</v>
      </c>
      <c r="L7188">
        <v>1</v>
      </c>
      <c r="M7188">
        <v>1</v>
      </c>
      <c r="O7188" s="31"/>
      <c r="P7188" s="26"/>
      <c r="Q7188" s="26"/>
    </row>
    <row r="7189" spans="10:17" x14ac:dyDescent="0.25">
      <c r="J7189" t="s">
        <v>1532</v>
      </c>
      <c r="K7189" s="22" t="s">
        <v>30</v>
      </c>
      <c r="L7189">
        <v>4</v>
      </c>
      <c r="O7189" s="30"/>
      <c r="P7189" s="26"/>
      <c r="Q7189" s="26"/>
    </row>
    <row r="7190" spans="10:17" x14ac:dyDescent="0.25">
      <c r="J7190" t="s">
        <v>186</v>
      </c>
      <c r="K7190" s="22" t="s">
        <v>20</v>
      </c>
      <c r="L7190">
        <v>1</v>
      </c>
      <c r="O7190" s="30"/>
      <c r="P7190" s="26"/>
      <c r="Q7190" s="26"/>
    </row>
    <row r="7191" spans="10:17" x14ac:dyDescent="0.25">
      <c r="J7191" t="s">
        <v>1347</v>
      </c>
      <c r="K7191" s="22" t="s">
        <v>22</v>
      </c>
      <c r="L7191">
        <v>1</v>
      </c>
      <c r="O7191" s="30"/>
      <c r="P7191" s="26"/>
      <c r="Q7191" s="26"/>
    </row>
    <row r="7192" spans="10:17" x14ac:dyDescent="0.25">
      <c r="J7192" t="s">
        <v>2728</v>
      </c>
      <c r="K7192" s="22" t="s">
        <v>28</v>
      </c>
      <c r="L7192">
        <v>2</v>
      </c>
      <c r="M7192">
        <v>2</v>
      </c>
      <c r="O7192" s="31"/>
      <c r="P7192" s="26"/>
      <c r="Q7192" s="26"/>
    </row>
    <row r="7193" spans="10:17" x14ac:dyDescent="0.25">
      <c r="J7193" t="s">
        <v>572</v>
      </c>
      <c r="K7193" s="22" t="s">
        <v>20</v>
      </c>
      <c r="L7193">
        <v>1</v>
      </c>
      <c r="O7193" s="30"/>
      <c r="P7193" s="26"/>
      <c r="Q7193" s="26"/>
    </row>
    <row r="7194" spans="10:17" x14ac:dyDescent="0.25">
      <c r="J7194" t="s">
        <v>2430</v>
      </c>
      <c r="K7194" s="22" t="s">
        <v>31</v>
      </c>
      <c r="L7194">
        <v>1</v>
      </c>
      <c r="O7194" s="30"/>
      <c r="P7194" s="26"/>
      <c r="Q7194" s="26"/>
    </row>
    <row r="7195" spans="10:17" x14ac:dyDescent="0.25">
      <c r="J7195" t="s">
        <v>3654</v>
      </c>
      <c r="K7195" s="22" t="s">
        <v>24</v>
      </c>
      <c r="L7195">
        <v>1</v>
      </c>
      <c r="M7195">
        <v>1</v>
      </c>
      <c r="O7195" s="31"/>
      <c r="P7195" s="26"/>
      <c r="Q7195" s="26"/>
    </row>
    <row r="7196" spans="10:17" x14ac:dyDescent="0.25">
      <c r="J7196" t="s">
        <v>1662</v>
      </c>
      <c r="K7196" s="22" t="s">
        <v>30</v>
      </c>
      <c r="L7196">
        <v>1</v>
      </c>
      <c r="O7196" s="30"/>
      <c r="P7196" s="26"/>
      <c r="Q7196" s="26"/>
    </row>
    <row r="7197" spans="10:17" x14ac:dyDescent="0.25">
      <c r="J7197" t="s">
        <v>3655</v>
      </c>
      <c r="K7197" s="22" t="s">
        <v>28</v>
      </c>
      <c r="L7197">
        <v>1</v>
      </c>
      <c r="M7197">
        <v>1</v>
      </c>
      <c r="O7197" s="31"/>
      <c r="P7197" s="26"/>
      <c r="Q7197" s="26"/>
    </row>
    <row r="7198" spans="10:17" x14ac:dyDescent="0.25">
      <c r="J7198" t="s">
        <v>3656</v>
      </c>
      <c r="K7198" s="22" t="s">
        <v>35</v>
      </c>
      <c r="L7198">
        <v>1</v>
      </c>
      <c r="O7198" s="30"/>
      <c r="P7198" s="26"/>
      <c r="Q7198" s="26"/>
    </row>
    <row r="7199" spans="10:17" x14ac:dyDescent="0.25">
      <c r="J7199" t="s">
        <v>2294</v>
      </c>
      <c r="K7199" s="22" t="s">
        <v>31</v>
      </c>
      <c r="L7199">
        <v>8</v>
      </c>
      <c r="M7199">
        <v>8</v>
      </c>
      <c r="O7199" s="31"/>
      <c r="P7199" s="26"/>
      <c r="Q7199" s="26"/>
    </row>
    <row r="7200" spans="10:17" x14ac:dyDescent="0.25">
      <c r="J7200" t="s">
        <v>1068</v>
      </c>
      <c r="K7200" s="22" t="s">
        <v>24</v>
      </c>
      <c r="L7200">
        <v>2</v>
      </c>
      <c r="M7200">
        <v>2</v>
      </c>
      <c r="O7200" s="31"/>
      <c r="P7200" s="26"/>
      <c r="Q7200" s="26"/>
    </row>
    <row r="7201" spans="10:17" x14ac:dyDescent="0.25">
      <c r="J7201" t="s">
        <v>793</v>
      </c>
      <c r="K7201" s="22" t="s">
        <v>30</v>
      </c>
      <c r="L7201">
        <v>1</v>
      </c>
      <c r="O7201" s="30"/>
      <c r="P7201" s="26"/>
      <c r="Q7201" s="26"/>
    </row>
    <row r="7202" spans="10:17" x14ac:dyDescent="0.25">
      <c r="J7202" t="s">
        <v>3612</v>
      </c>
      <c r="K7202" s="22" t="s">
        <v>24</v>
      </c>
      <c r="L7202">
        <v>1</v>
      </c>
      <c r="M7202">
        <v>1</v>
      </c>
      <c r="O7202" s="31"/>
      <c r="P7202" s="26"/>
      <c r="Q7202" s="26"/>
    </row>
    <row r="7203" spans="10:17" x14ac:dyDescent="0.25">
      <c r="J7203" t="s">
        <v>220</v>
      </c>
      <c r="K7203" s="22" t="s">
        <v>35</v>
      </c>
      <c r="L7203">
        <v>1</v>
      </c>
      <c r="O7203" s="30"/>
      <c r="P7203" s="26"/>
      <c r="Q7203" s="26"/>
    </row>
    <row r="7204" spans="10:17" x14ac:dyDescent="0.25">
      <c r="J7204" t="s">
        <v>3127</v>
      </c>
      <c r="K7204" s="22" t="s">
        <v>29</v>
      </c>
      <c r="L7204">
        <v>4</v>
      </c>
      <c r="M7204">
        <v>4</v>
      </c>
      <c r="O7204" s="31"/>
      <c r="P7204" s="26"/>
      <c r="Q7204" s="26"/>
    </row>
    <row r="7205" spans="10:17" x14ac:dyDescent="0.25">
      <c r="J7205" t="s">
        <v>1593</v>
      </c>
      <c r="K7205" s="22" t="s">
        <v>22</v>
      </c>
      <c r="L7205">
        <v>2</v>
      </c>
      <c r="M7205">
        <v>2</v>
      </c>
      <c r="O7205" s="31"/>
      <c r="P7205" s="26"/>
      <c r="Q7205" s="26"/>
    </row>
    <row r="7206" spans="10:17" x14ac:dyDescent="0.25">
      <c r="J7206" t="s">
        <v>2634</v>
      </c>
      <c r="K7206" s="22" t="s">
        <v>28</v>
      </c>
      <c r="L7206">
        <v>5</v>
      </c>
      <c r="M7206">
        <v>4</v>
      </c>
      <c r="O7206" s="31"/>
      <c r="P7206" s="26"/>
      <c r="Q7206" s="26"/>
    </row>
    <row r="7207" spans="10:17" x14ac:dyDescent="0.25">
      <c r="J7207" t="s">
        <v>3657</v>
      </c>
      <c r="K7207" s="22" t="s">
        <v>30</v>
      </c>
      <c r="L7207">
        <v>1</v>
      </c>
      <c r="O7207" s="30"/>
      <c r="P7207" s="26"/>
      <c r="Q7207" s="26"/>
    </row>
    <row r="7208" spans="10:17" x14ac:dyDescent="0.25">
      <c r="J7208" t="s">
        <v>3658</v>
      </c>
      <c r="K7208" s="22" t="s">
        <v>24</v>
      </c>
      <c r="L7208">
        <v>1</v>
      </c>
      <c r="M7208">
        <v>1</v>
      </c>
      <c r="O7208" s="31"/>
      <c r="P7208" s="26"/>
      <c r="Q7208" s="26"/>
    </row>
    <row r="7209" spans="10:17" x14ac:dyDescent="0.25">
      <c r="J7209" t="s">
        <v>3659</v>
      </c>
      <c r="K7209" s="22" t="s">
        <v>35</v>
      </c>
      <c r="L7209">
        <v>1</v>
      </c>
      <c r="O7209" s="30"/>
      <c r="P7209" s="26"/>
      <c r="Q7209" s="26"/>
    </row>
    <row r="7210" spans="10:17" x14ac:dyDescent="0.25">
      <c r="J7210" t="s">
        <v>2377</v>
      </c>
      <c r="K7210" s="22" t="s">
        <v>31</v>
      </c>
      <c r="L7210">
        <v>8</v>
      </c>
      <c r="O7210" s="30"/>
      <c r="P7210" s="26"/>
      <c r="Q7210" s="26"/>
    </row>
    <row r="7211" spans="10:17" x14ac:dyDescent="0.25">
      <c r="J7211" t="s">
        <v>3660</v>
      </c>
      <c r="K7211" s="22" t="s">
        <v>22</v>
      </c>
      <c r="L7211">
        <v>8</v>
      </c>
      <c r="M7211">
        <v>8</v>
      </c>
      <c r="O7211" s="31"/>
      <c r="P7211" s="26"/>
      <c r="Q7211" s="26"/>
    </row>
    <row r="7212" spans="10:17" x14ac:dyDescent="0.25">
      <c r="J7212" t="s">
        <v>3408</v>
      </c>
      <c r="K7212" s="22" t="s">
        <v>22</v>
      </c>
      <c r="L7212">
        <v>3</v>
      </c>
      <c r="O7212" s="30"/>
      <c r="P7212" s="26"/>
      <c r="Q7212" s="26"/>
    </row>
    <row r="7213" spans="10:17" x14ac:dyDescent="0.25">
      <c r="J7213" t="s">
        <v>3657</v>
      </c>
      <c r="K7213" s="22" t="s">
        <v>35</v>
      </c>
      <c r="L7213">
        <v>1</v>
      </c>
      <c r="O7213" s="30"/>
      <c r="P7213" s="26"/>
      <c r="Q7213" s="26"/>
    </row>
    <row r="7214" spans="10:17" x14ac:dyDescent="0.25">
      <c r="J7214" t="s">
        <v>3657</v>
      </c>
      <c r="K7214" s="22" t="s">
        <v>31</v>
      </c>
      <c r="L7214">
        <v>2</v>
      </c>
      <c r="M7214">
        <v>1</v>
      </c>
      <c r="O7214" s="30"/>
      <c r="P7214" s="26"/>
      <c r="Q7214" s="26"/>
    </row>
    <row r="7215" spans="10:17" x14ac:dyDescent="0.25">
      <c r="J7215" t="s">
        <v>3661</v>
      </c>
      <c r="K7215" s="22" t="s">
        <v>24</v>
      </c>
      <c r="L7215">
        <v>1</v>
      </c>
      <c r="O7215" s="30"/>
      <c r="P7215" s="26"/>
      <c r="Q7215" s="26"/>
    </row>
    <row r="7216" spans="10:17" x14ac:dyDescent="0.25">
      <c r="J7216" t="s">
        <v>3044</v>
      </c>
      <c r="K7216" s="22" t="s">
        <v>35</v>
      </c>
      <c r="L7216">
        <v>3</v>
      </c>
      <c r="M7216">
        <v>1</v>
      </c>
      <c r="O7216" s="30"/>
      <c r="P7216" s="26"/>
      <c r="Q7216" s="26"/>
    </row>
    <row r="7217" spans="10:17" x14ac:dyDescent="0.25">
      <c r="J7217" t="s">
        <v>3662</v>
      </c>
      <c r="K7217" s="22" t="s">
        <v>31</v>
      </c>
      <c r="L7217">
        <v>1</v>
      </c>
      <c r="O7217" s="30"/>
      <c r="P7217" s="26"/>
      <c r="Q7217" s="26"/>
    </row>
    <row r="7218" spans="10:17" x14ac:dyDescent="0.25">
      <c r="J7218" t="s">
        <v>3661</v>
      </c>
      <c r="K7218" s="22" t="s">
        <v>30</v>
      </c>
      <c r="L7218">
        <v>1</v>
      </c>
      <c r="M7218">
        <v>1</v>
      </c>
      <c r="O7218" s="31"/>
      <c r="P7218" s="26"/>
      <c r="Q7218" s="26"/>
    </row>
    <row r="7219" spans="10:17" x14ac:dyDescent="0.25">
      <c r="J7219" t="s">
        <v>2493</v>
      </c>
      <c r="K7219" s="22" t="s">
        <v>22</v>
      </c>
      <c r="L7219">
        <v>1</v>
      </c>
      <c r="O7219" s="30"/>
      <c r="P7219" s="26"/>
      <c r="Q7219" s="26"/>
    </row>
    <row r="7220" spans="10:17" x14ac:dyDescent="0.25">
      <c r="J7220" t="s">
        <v>3600</v>
      </c>
      <c r="K7220" s="22" t="s">
        <v>30</v>
      </c>
      <c r="L7220">
        <v>1</v>
      </c>
      <c r="O7220" s="30"/>
      <c r="P7220" s="26"/>
      <c r="Q7220" s="26"/>
    </row>
    <row r="7221" spans="10:17" x14ac:dyDescent="0.25">
      <c r="J7221" t="s">
        <v>2195</v>
      </c>
      <c r="K7221" s="22" t="s">
        <v>29</v>
      </c>
      <c r="L7221">
        <v>2</v>
      </c>
      <c r="O7221" s="30"/>
      <c r="P7221" s="26"/>
      <c r="Q7221" s="26"/>
    </row>
    <row r="7222" spans="10:17" x14ac:dyDescent="0.25">
      <c r="J7222" t="s">
        <v>1400</v>
      </c>
      <c r="K7222" s="22" t="s">
        <v>20</v>
      </c>
      <c r="L7222">
        <v>1</v>
      </c>
      <c r="M7222">
        <v>1</v>
      </c>
      <c r="O7222" s="31"/>
      <c r="P7222" s="26"/>
      <c r="Q7222" s="26"/>
    </row>
    <row r="7223" spans="10:17" x14ac:dyDescent="0.25">
      <c r="J7223" t="s">
        <v>2897</v>
      </c>
      <c r="K7223" s="22" t="s">
        <v>28</v>
      </c>
      <c r="L7223">
        <v>1</v>
      </c>
      <c r="M7223">
        <v>1</v>
      </c>
      <c r="O7223" s="31"/>
      <c r="P7223" s="26"/>
      <c r="Q7223" s="26"/>
    </row>
    <row r="7224" spans="10:17" x14ac:dyDescent="0.25">
      <c r="J7224" t="s">
        <v>3663</v>
      </c>
      <c r="K7224" s="22" t="s">
        <v>24</v>
      </c>
      <c r="L7224">
        <v>1</v>
      </c>
      <c r="O7224" s="30"/>
      <c r="P7224" s="26"/>
      <c r="Q7224" s="26"/>
    </row>
    <row r="7225" spans="10:17" x14ac:dyDescent="0.25">
      <c r="J7225" t="s">
        <v>1918</v>
      </c>
      <c r="K7225" s="22" t="s">
        <v>28</v>
      </c>
      <c r="L7225">
        <v>9</v>
      </c>
      <c r="M7225">
        <v>1</v>
      </c>
      <c r="O7225" s="30"/>
      <c r="P7225" s="26"/>
      <c r="Q7225" s="26"/>
    </row>
    <row r="7226" spans="10:17" x14ac:dyDescent="0.25">
      <c r="J7226" t="s">
        <v>3664</v>
      </c>
      <c r="K7226" s="22" t="s">
        <v>24</v>
      </c>
      <c r="L7226">
        <v>1</v>
      </c>
      <c r="O7226" s="30"/>
      <c r="P7226" s="26"/>
      <c r="Q7226" s="26"/>
    </row>
    <row r="7227" spans="10:17" x14ac:dyDescent="0.25">
      <c r="J7227" t="s">
        <v>1765</v>
      </c>
      <c r="K7227" s="22" t="s">
        <v>28</v>
      </c>
      <c r="L7227">
        <v>1</v>
      </c>
      <c r="O7227" s="30"/>
      <c r="P7227" s="26"/>
      <c r="Q7227" s="26"/>
    </row>
    <row r="7228" spans="10:17" x14ac:dyDescent="0.25">
      <c r="J7228" t="s">
        <v>516</v>
      </c>
      <c r="K7228" s="22" t="s">
        <v>20</v>
      </c>
      <c r="L7228">
        <v>1</v>
      </c>
      <c r="M7228">
        <v>1</v>
      </c>
      <c r="O7228" s="31"/>
      <c r="P7228" s="26"/>
      <c r="Q7228" s="26"/>
    </row>
    <row r="7229" spans="10:17" x14ac:dyDescent="0.25">
      <c r="J7229" t="s">
        <v>3665</v>
      </c>
      <c r="K7229" s="22" t="s">
        <v>24</v>
      </c>
      <c r="L7229">
        <v>1</v>
      </c>
      <c r="O7229" s="30"/>
      <c r="P7229" s="26"/>
      <c r="Q7229" s="26"/>
    </row>
    <row r="7230" spans="10:17" x14ac:dyDescent="0.25">
      <c r="J7230" t="s">
        <v>1365</v>
      </c>
      <c r="K7230" s="22" t="s">
        <v>20</v>
      </c>
      <c r="L7230">
        <v>1</v>
      </c>
      <c r="O7230" s="30"/>
      <c r="P7230" s="26"/>
      <c r="Q7230" s="26"/>
    </row>
    <row r="7231" spans="10:17" x14ac:dyDescent="0.25">
      <c r="J7231" t="s">
        <v>3627</v>
      </c>
      <c r="K7231" s="22" t="s">
        <v>29</v>
      </c>
      <c r="L7231">
        <v>1</v>
      </c>
      <c r="O7231" s="30"/>
      <c r="P7231" s="26"/>
      <c r="Q7231" s="26"/>
    </row>
    <row r="7232" spans="10:17" x14ac:dyDescent="0.25">
      <c r="J7232" t="s">
        <v>3666</v>
      </c>
      <c r="K7232" s="22" t="s">
        <v>28</v>
      </c>
      <c r="L7232">
        <v>1</v>
      </c>
      <c r="M7232">
        <v>1</v>
      </c>
      <c r="O7232" s="31"/>
      <c r="P7232" s="26"/>
      <c r="Q7232" s="26"/>
    </row>
    <row r="7233" spans="10:17" x14ac:dyDescent="0.25">
      <c r="J7233" t="s">
        <v>3667</v>
      </c>
      <c r="K7233" s="22" t="s">
        <v>30</v>
      </c>
      <c r="L7233">
        <v>1</v>
      </c>
      <c r="O7233" s="30"/>
      <c r="P7233" s="26"/>
      <c r="Q7233" s="26"/>
    </row>
    <row r="7234" spans="10:17" x14ac:dyDescent="0.25">
      <c r="J7234" t="s">
        <v>897</v>
      </c>
      <c r="K7234" s="22" t="s">
        <v>28</v>
      </c>
      <c r="L7234">
        <v>1</v>
      </c>
      <c r="O7234" s="30"/>
      <c r="P7234" s="26"/>
      <c r="Q7234" s="26"/>
    </row>
    <row r="7235" spans="10:17" x14ac:dyDescent="0.25">
      <c r="J7235" t="s">
        <v>3668</v>
      </c>
      <c r="K7235" s="22" t="s">
        <v>31</v>
      </c>
      <c r="L7235">
        <v>1</v>
      </c>
      <c r="M7235">
        <v>1</v>
      </c>
      <c r="O7235" s="31"/>
      <c r="P7235" s="26"/>
      <c r="Q7235" s="26"/>
    </row>
    <row r="7236" spans="10:17" x14ac:dyDescent="0.25">
      <c r="J7236" t="s">
        <v>3669</v>
      </c>
      <c r="K7236" s="22" t="s">
        <v>30</v>
      </c>
      <c r="L7236">
        <v>1</v>
      </c>
      <c r="O7236" s="30"/>
      <c r="P7236" s="26"/>
      <c r="Q7236" s="26"/>
    </row>
    <row r="7237" spans="10:17" x14ac:dyDescent="0.25">
      <c r="J7237" t="s">
        <v>3670</v>
      </c>
      <c r="K7237" s="22" t="s">
        <v>29</v>
      </c>
      <c r="L7237">
        <v>1</v>
      </c>
      <c r="M7237">
        <v>1</v>
      </c>
      <c r="O7237" s="31"/>
      <c r="P7237" s="26"/>
      <c r="Q7237" s="26"/>
    </row>
    <row r="7238" spans="10:17" x14ac:dyDescent="0.25">
      <c r="J7238" t="s">
        <v>3615</v>
      </c>
      <c r="K7238" s="22" t="s">
        <v>22</v>
      </c>
      <c r="L7238">
        <v>1</v>
      </c>
      <c r="O7238" s="30"/>
      <c r="P7238" s="26"/>
      <c r="Q7238" s="26"/>
    </row>
    <row r="7239" spans="10:17" x14ac:dyDescent="0.25">
      <c r="J7239" t="s">
        <v>2906</v>
      </c>
      <c r="K7239" s="22" t="s">
        <v>29</v>
      </c>
      <c r="L7239">
        <v>1</v>
      </c>
      <c r="M7239">
        <v>1</v>
      </c>
      <c r="O7239" s="31"/>
      <c r="P7239" s="26"/>
      <c r="Q7239" s="26"/>
    </row>
    <row r="7240" spans="10:17" x14ac:dyDescent="0.25">
      <c r="J7240" t="s">
        <v>3671</v>
      </c>
      <c r="K7240" s="22" t="s">
        <v>31</v>
      </c>
      <c r="L7240">
        <v>1</v>
      </c>
      <c r="O7240" s="30"/>
      <c r="P7240" s="26"/>
      <c r="Q7240" s="26"/>
    </row>
    <row r="7241" spans="10:17" x14ac:dyDescent="0.25">
      <c r="J7241" t="s">
        <v>3164</v>
      </c>
      <c r="K7241" s="22" t="s">
        <v>24</v>
      </c>
      <c r="L7241">
        <v>1</v>
      </c>
      <c r="O7241" s="30"/>
      <c r="P7241" s="26"/>
      <c r="Q7241" s="26"/>
    </row>
    <row r="7242" spans="10:17" x14ac:dyDescent="0.25">
      <c r="J7242" t="s">
        <v>3672</v>
      </c>
      <c r="K7242" s="22" t="s">
        <v>20</v>
      </c>
      <c r="L7242">
        <v>3</v>
      </c>
      <c r="M7242">
        <v>3</v>
      </c>
      <c r="O7242" s="31"/>
      <c r="P7242" s="26"/>
      <c r="Q7242" s="26"/>
    </row>
    <row r="7243" spans="10:17" x14ac:dyDescent="0.25">
      <c r="J7243" t="s">
        <v>3673</v>
      </c>
      <c r="K7243" s="22" t="s">
        <v>26</v>
      </c>
      <c r="L7243">
        <v>1</v>
      </c>
      <c r="O7243" s="30"/>
      <c r="P7243" s="26"/>
      <c r="Q7243" s="26"/>
    </row>
    <row r="7244" spans="10:17" x14ac:dyDescent="0.25">
      <c r="J7244" t="s">
        <v>2555</v>
      </c>
      <c r="K7244" s="22" t="s">
        <v>28</v>
      </c>
      <c r="L7244">
        <v>1</v>
      </c>
      <c r="M7244">
        <v>1</v>
      </c>
      <c r="O7244" s="31"/>
      <c r="P7244" s="26"/>
      <c r="Q7244" s="26"/>
    </row>
    <row r="7245" spans="10:17" x14ac:dyDescent="0.25">
      <c r="J7245" t="s">
        <v>2618</v>
      </c>
      <c r="K7245" s="22" t="s">
        <v>31</v>
      </c>
      <c r="L7245">
        <v>1</v>
      </c>
      <c r="O7245" s="30"/>
      <c r="P7245" s="26"/>
      <c r="Q7245" s="26"/>
    </row>
    <row r="7246" spans="10:17" x14ac:dyDescent="0.25">
      <c r="J7246" t="s">
        <v>876</v>
      </c>
      <c r="K7246" s="22" t="s">
        <v>22</v>
      </c>
      <c r="L7246">
        <v>1</v>
      </c>
      <c r="O7246" s="30"/>
      <c r="P7246" s="26"/>
      <c r="Q7246" s="26"/>
    </row>
    <row r="7247" spans="10:17" x14ac:dyDescent="0.25">
      <c r="J7247" t="s">
        <v>3674</v>
      </c>
      <c r="K7247" s="22" t="s">
        <v>29</v>
      </c>
      <c r="L7247">
        <v>1</v>
      </c>
      <c r="M7247">
        <v>1</v>
      </c>
      <c r="O7247" s="31"/>
      <c r="P7247" s="26"/>
      <c r="Q7247" s="26"/>
    </row>
    <row r="7248" spans="10:17" x14ac:dyDescent="0.25">
      <c r="J7248" t="s">
        <v>3675</v>
      </c>
      <c r="K7248" s="22" t="s">
        <v>30</v>
      </c>
      <c r="L7248">
        <v>1</v>
      </c>
      <c r="O7248" s="30"/>
      <c r="P7248" s="26"/>
      <c r="Q7248" s="26"/>
    </row>
    <row r="7249" spans="10:17" x14ac:dyDescent="0.25">
      <c r="J7249" t="s">
        <v>3238</v>
      </c>
      <c r="K7249" s="22" t="s">
        <v>22</v>
      </c>
      <c r="L7249">
        <v>2</v>
      </c>
      <c r="O7249" s="30"/>
      <c r="P7249" s="26"/>
      <c r="Q7249" s="26"/>
    </row>
    <row r="7250" spans="10:17" x14ac:dyDescent="0.25">
      <c r="J7250" t="s">
        <v>3673</v>
      </c>
      <c r="K7250" s="22" t="s">
        <v>29</v>
      </c>
      <c r="L7250">
        <v>1</v>
      </c>
      <c r="O7250" s="30"/>
      <c r="P7250" s="26"/>
      <c r="Q7250" s="26"/>
    </row>
    <row r="7251" spans="10:17" x14ac:dyDescent="0.25">
      <c r="J7251" t="s">
        <v>3664</v>
      </c>
      <c r="K7251" s="22" t="s">
        <v>26</v>
      </c>
      <c r="L7251">
        <v>8</v>
      </c>
      <c r="M7251">
        <v>8</v>
      </c>
      <c r="O7251" s="31"/>
      <c r="P7251" s="26"/>
      <c r="Q7251" s="26"/>
    </row>
    <row r="7252" spans="10:17" x14ac:dyDescent="0.25">
      <c r="J7252" t="s">
        <v>3422</v>
      </c>
      <c r="K7252" s="22" t="s">
        <v>31</v>
      </c>
      <c r="L7252">
        <v>1</v>
      </c>
      <c r="O7252" s="30"/>
      <c r="P7252" s="26"/>
      <c r="Q7252" s="26"/>
    </row>
    <row r="7253" spans="10:17" x14ac:dyDescent="0.25">
      <c r="J7253" t="s">
        <v>2829</v>
      </c>
      <c r="K7253" s="22" t="s">
        <v>20</v>
      </c>
      <c r="L7253">
        <v>1</v>
      </c>
      <c r="O7253" s="30"/>
      <c r="P7253" s="26"/>
      <c r="Q7253" s="26"/>
    </row>
    <row r="7254" spans="10:17" x14ac:dyDescent="0.25">
      <c r="J7254" t="s">
        <v>3662</v>
      </c>
      <c r="K7254" s="22" t="s">
        <v>22</v>
      </c>
      <c r="L7254">
        <v>2</v>
      </c>
      <c r="M7254">
        <v>2</v>
      </c>
      <c r="O7254" s="31"/>
      <c r="P7254" s="26"/>
      <c r="Q7254" s="26"/>
    </row>
    <row r="7255" spans="10:17" x14ac:dyDescent="0.25">
      <c r="J7255" t="s">
        <v>1944</v>
      </c>
      <c r="K7255" s="22" t="s">
        <v>28</v>
      </c>
      <c r="L7255">
        <v>1</v>
      </c>
      <c r="O7255" s="30"/>
      <c r="P7255" s="26"/>
      <c r="Q7255" s="26"/>
    </row>
    <row r="7256" spans="10:17" x14ac:dyDescent="0.25">
      <c r="J7256" t="s">
        <v>1945</v>
      </c>
      <c r="K7256" s="22" t="s">
        <v>20</v>
      </c>
      <c r="L7256">
        <v>1</v>
      </c>
      <c r="M7256">
        <v>1</v>
      </c>
      <c r="O7256" s="31"/>
      <c r="P7256" s="26"/>
      <c r="Q7256" s="26"/>
    </row>
    <row r="7257" spans="10:17" x14ac:dyDescent="0.25">
      <c r="J7257" t="s">
        <v>3255</v>
      </c>
      <c r="K7257" s="22" t="s">
        <v>35</v>
      </c>
      <c r="L7257">
        <v>1</v>
      </c>
      <c r="M7257">
        <v>1</v>
      </c>
      <c r="O7257" s="31"/>
      <c r="P7257" s="26"/>
      <c r="Q7257" s="26"/>
    </row>
    <row r="7258" spans="10:17" x14ac:dyDescent="0.25">
      <c r="J7258" t="s">
        <v>2232</v>
      </c>
      <c r="K7258" s="22" t="s">
        <v>26</v>
      </c>
      <c r="L7258">
        <v>4</v>
      </c>
      <c r="M7258">
        <v>1</v>
      </c>
      <c r="O7258" s="30"/>
      <c r="P7258" s="26"/>
      <c r="Q7258" s="26"/>
    </row>
    <row r="7259" spans="10:17" x14ac:dyDescent="0.25">
      <c r="J7259" t="s">
        <v>2839</v>
      </c>
      <c r="K7259" s="22" t="s">
        <v>22</v>
      </c>
      <c r="L7259">
        <v>1</v>
      </c>
      <c r="M7259">
        <v>1</v>
      </c>
      <c r="O7259" s="31"/>
      <c r="P7259" s="26"/>
      <c r="Q7259" s="26"/>
    </row>
    <row r="7260" spans="10:17" x14ac:dyDescent="0.25">
      <c r="J7260" t="s">
        <v>3678</v>
      </c>
      <c r="K7260" s="22" t="s">
        <v>35</v>
      </c>
      <c r="L7260">
        <v>1</v>
      </c>
      <c r="O7260" s="30"/>
      <c r="P7260" s="26"/>
      <c r="Q7260" s="26"/>
    </row>
    <row r="7261" spans="10:17" x14ac:dyDescent="0.25">
      <c r="J7261" t="s">
        <v>3632</v>
      </c>
      <c r="K7261" s="22" t="s">
        <v>31</v>
      </c>
      <c r="L7261">
        <v>1</v>
      </c>
      <c r="O7261" s="30"/>
      <c r="P7261" s="26"/>
      <c r="Q7261" s="26"/>
    </row>
    <row r="7262" spans="10:17" x14ac:dyDescent="0.25">
      <c r="J7262" t="s">
        <v>3402</v>
      </c>
      <c r="K7262" s="22" t="s">
        <v>24</v>
      </c>
      <c r="L7262">
        <v>1</v>
      </c>
      <c r="M7262">
        <v>1</v>
      </c>
      <c r="O7262" s="31"/>
      <c r="P7262" s="26"/>
      <c r="Q7262" s="26"/>
    </row>
    <row r="7263" spans="10:17" x14ac:dyDescent="0.25">
      <c r="J7263" t="s">
        <v>3679</v>
      </c>
      <c r="K7263" s="22" t="s">
        <v>35</v>
      </c>
      <c r="L7263">
        <v>1</v>
      </c>
      <c r="O7263" s="30"/>
      <c r="P7263" s="26"/>
      <c r="Q7263" s="26"/>
    </row>
    <row r="7264" spans="10:17" x14ac:dyDescent="0.25">
      <c r="J7264" t="s">
        <v>1399</v>
      </c>
      <c r="K7264" s="22" t="s">
        <v>28</v>
      </c>
      <c r="L7264">
        <v>5</v>
      </c>
      <c r="M7264">
        <v>2</v>
      </c>
      <c r="O7264" s="30"/>
      <c r="P7264" s="26"/>
      <c r="Q7264" s="26"/>
    </row>
    <row r="7265" spans="10:17" x14ac:dyDescent="0.25">
      <c r="J7265" t="s">
        <v>3247</v>
      </c>
      <c r="K7265" s="22" t="s">
        <v>20</v>
      </c>
      <c r="L7265">
        <v>1</v>
      </c>
      <c r="M7265">
        <v>1</v>
      </c>
      <c r="O7265" s="31"/>
      <c r="P7265" s="26"/>
      <c r="Q7265" s="26"/>
    </row>
    <row r="7266" spans="10:17" x14ac:dyDescent="0.25">
      <c r="J7266" t="s">
        <v>204</v>
      </c>
      <c r="K7266" s="22" t="s">
        <v>22</v>
      </c>
      <c r="L7266">
        <v>3</v>
      </c>
      <c r="M7266">
        <v>3</v>
      </c>
      <c r="O7266" s="31"/>
      <c r="P7266" s="26"/>
      <c r="Q7266" s="26"/>
    </row>
    <row r="7267" spans="10:17" x14ac:dyDescent="0.25">
      <c r="J7267" t="s">
        <v>3680</v>
      </c>
      <c r="K7267" s="22" t="s">
        <v>35</v>
      </c>
      <c r="L7267">
        <v>1</v>
      </c>
      <c r="O7267" s="30"/>
      <c r="P7267" s="26"/>
      <c r="Q7267" s="26"/>
    </row>
    <row r="7268" spans="10:17" x14ac:dyDescent="0.25">
      <c r="J7268" t="s">
        <v>3118</v>
      </c>
      <c r="K7268" s="22" t="s">
        <v>30</v>
      </c>
      <c r="L7268">
        <v>1</v>
      </c>
      <c r="O7268" s="30"/>
      <c r="P7268" s="26"/>
      <c r="Q7268" s="26"/>
    </row>
    <row r="7269" spans="10:17" x14ac:dyDescent="0.25">
      <c r="J7269" t="s">
        <v>3680</v>
      </c>
      <c r="K7269" s="22" t="s">
        <v>20</v>
      </c>
      <c r="L7269">
        <v>1</v>
      </c>
      <c r="O7269" s="30"/>
      <c r="P7269" s="26"/>
      <c r="Q7269" s="26"/>
    </row>
    <row r="7270" spans="10:17" x14ac:dyDescent="0.25">
      <c r="J7270" t="s">
        <v>697</v>
      </c>
      <c r="K7270" s="22" t="s">
        <v>28</v>
      </c>
      <c r="L7270">
        <v>1</v>
      </c>
      <c r="O7270" s="30"/>
      <c r="P7270" s="26"/>
      <c r="Q7270" s="26"/>
    </row>
    <row r="7271" spans="10:17" x14ac:dyDescent="0.25">
      <c r="J7271" t="s">
        <v>2551</v>
      </c>
      <c r="K7271" s="22" t="s">
        <v>30</v>
      </c>
      <c r="L7271">
        <v>3</v>
      </c>
      <c r="M7271">
        <v>3</v>
      </c>
      <c r="O7271" s="31"/>
      <c r="P7271" s="26"/>
      <c r="Q7271" s="26"/>
    </row>
    <row r="7272" spans="10:17" x14ac:dyDescent="0.25">
      <c r="J7272" t="s">
        <v>2493</v>
      </c>
      <c r="K7272" s="22" t="s">
        <v>26</v>
      </c>
      <c r="L7272">
        <v>2</v>
      </c>
      <c r="O7272" s="30"/>
      <c r="P7272" s="26"/>
      <c r="Q7272" s="26"/>
    </row>
    <row r="7273" spans="10:17" x14ac:dyDescent="0.25">
      <c r="J7273" t="s">
        <v>2430</v>
      </c>
      <c r="K7273" s="22" t="s">
        <v>26</v>
      </c>
      <c r="L7273">
        <v>1</v>
      </c>
      <c r="M7273">
        <v>1</v>
      </c>
      <c r="O7273" s="31"/>
      <c r="P7273" s="26"/>
      <c r="Q7273" s="26"/>
    </row>
    <row r="7274" spans="10:17" x14ac:dyDescent="0.25">
      <c r="J7274" t="s">
        <v>3681</v>
      </c>
      <c r="K7274" s="22" t="s">
        <v>22</v>
      </c>
      <c r="L7274">
        <v>1</v>
      </c>
      <c r="O7274" s="30"/>
      <c r="P7274" s="26"/>
      <c r="Q7274" s="26"/>
    </row>
    <row r="7275" spans="10:17" x14ac:dyDescent="0.25">
      <c r="J7275" t="s">
        <v>3682</v>
      </c>
      <c r="K7275" s="22" t="s">
        <v>24</v>
      </c>
      <c r="L7275">
        <v>1</v>
      </c>
      <c r="M7275">
        <v>1</v>
      </c>
      <c r="O7275" s="31"/>
      <c r="P7275" s="26"/>
      <c r="Q7275" s="26"/>
    </row>
    <row r="7276" spans="10:17" x14ac:dyDescent="0.25">
      <c r="J7276" t="s">
        <v>3463</v>
      </c>
      <c r="K7276" s="22" t="s">
        <v>31</v>
      </c>
      <c r="L7276">
        <v>1</v>
      </c>
      <c r="O7276" s="30"/>
      <c r="P7276" s="26"/>
      <c r="Q7276" s="26"/>
    </row>
    <row r="7277" spans="10:17" x14ac:dyDescent="0.25">
      <c r="J7277" t="s">
        <v>1944</v>
      </c>
      <c r="K7277" s="22" t="s">
        <v>26</v>
      </c>
      <c r="L7277">
        <v>12</v>
      </c>
      <c r="M7277">
        <v>1</v>
      </c>
      <c r="O7277" s="30"/>
      <c r="P7277" s="26"/>
      <c r="Q7277" s="26"/>
    </row>
    <row r="7278" spans="10:17" x14ac:dyDescent="0.25">
      <c r="J7278" t="s">
        <v>3441</v>
      </c>
      <c r="K7278" s="22" t="s">
        <v>31</v>
      </c>
      <c r="L7278">
        <v>1</v>
      </c>
      <c r="O7278" s="30"/>
      <c r="P7278" s="26"/>
      <c r="Q7278" s="26"/>
    </row>
    <row r="7279" spans="10:17" x14ac:dyDescent="0.25">
      <c r="J7279" t="s">
        <v>3422</v>
      </c>
      <c r="K7279" s="22" t="s">
        <v>28</v>
      </c>
      <c r="L7279">
        <v>2</v>
      </c>
      <c r="O7279" s="30"/>
      <c r="P7279" s="26"/>
      <c r="Q7279" s="26"/>
    </row>
    <row r="7280" spans="10:17" x14ac:dyDescent="0.25">
      <c r="J7280" t="s">
        <v>3044</v>
      </c>
      <c r="K7280" s="22" t="s">
        <v>30</v>
      </c>
      <c r="L7280">
        <v>1</v>
      </c>
      <c r="O7280" s="30"/>
      <c r="P7280" s="26"/>
      <c r="Q7280" s="26"/>
    </row>
    <row r="7281" spans="10:17" x14ac:dyDescent="0.25">
      <c r="J7281" t="s">
        <v>3683</v>
      </c>
      <c r="K7281" s="22" t="s">
        <v>22</v>
      </c>
      <c r="L7281">
        <v>1</v>
      </c>
      <c r="M7281">
        <v>1</v>
      </c>
      <c r="O7281" s="31"/>
      <c r="P7281" s="26"/>
      <c r="Q7281" s="26"/>
    </row>
    <row r="7282" spans="10:17" x14ac:dyDescent="0.25">
      <c r="J7282" t="s">
        <v>3390</v>
      </c>
      <c r="K7282" s="22" t="s">
        <v>30</v>
      </c>
      <c r="L7282">
        <v>2</v>
      </c>
      <c r="O7282" s="30"/>
      <c r="P7282" s="26"/>
      <c r="Q7282" s="26"/>
    </row>
    <row r="7283" spans="10:17" x14ac:dyDescent="0.25">
      <c r="J7283" t="s">
        <v>373</v>
      </c>
      <c r="K7283" s="22" t="s">
        <v>24</v>
      </c>
      <c r="L7283">
        <v>4</v>
      </c>
      <c r="M7283">
        <v>4</v>
      </c>
      <c r="O7283" s="31"/>
      <c r="P7283" s="26"/>
      <c r="Q7283" s="26"/>
    </row>
    <row r="7284" spans="10:17" x14ac:dyDescent="0.25">
      <c r="J7284" t="s">
        <v>652</v>
      </c>
      <c r="K7284" s="22" t="s">
        <v>28</v>
      </c>
      <c r="L7284">
        <v>1</v>
      </c>
      <c r="M7284">
        <v>1</v>
      </c>
      <c r="O7284" s="31"/>
      <c r="P7284" s="26"/>
      <c r="Q7284" s="26"/>
    </row>
    <row r="7285" spans="10:17" x14ac:dyDescent="0.25">
      <c r="J7285" t="s">
        <v>3684</v>
      </c>
      <c r="K7285" s="22" t="s">
        <v>26</v>
      </c>
      <c r="L7285">
        <v>1</v>
      </c>
      <c r="O7285" s="30"/>
      <c r="P7285" s="26"/>
      <c r="Q7285" s="26"/>
    </row>
    <row r="7286" spans="10:17" x14ac:dyDescent="0.25">
      <c r="J7286" t="s">
        <v>814</v>
      </c>
      <c r="K7286" s="22" t="s">
        <v>24</v>
      </c>
      <c r="L7286">
        <v>1</v>
      </c>
      <c r="O7286" s="30"/>
      <c r="P7286" s="26"/>
      <c r="Q7286" s="26"/>
    </row>
    <row r="7287" spans="10:17" x14ac:dyDescent="0.25">
      <c r="J7287" t="s">
        <v>3284</v>
      </c>
      <c r="K7287" s="22" t="s">
        <v>35</v>
      </c>
      <c r="L7287">
        <v>1</v>
      </c>
      <c r="O7287" s="30"/>
      <c r="P7287" s="26"/>
      <c r="Q7287" s="26"/>
    </row>
    <row r="7288" spans="10:17" x14ac:dyDescent="0.25">
      <c r="J7288" t="s">
        <v>3685</v>
      </c>
      <c r="K7288" s="22" t="s">
        <v>30</v>
      </c>
      <c r="L7288">
        <v>1</v>
      </c>
      <c r="M7288">
        <v>1</v>
      </c>
      <c r="O7288" s="31"/>
      <c r="P7288" s="26"/>
      <c r="Q7288" s="26"/>
    </row>
    <row r="7289" spans="10:17" x14ac:dyDescent="0.25">
      <c r="J7289" t="s">
        <v>2977</v>
      </c>
      <c r="K7289" s="22" t="s">
        <v>29</v>
      </c>
      <c r="L7289">
        <v>2</v>
      </c>
      <c r="O7289" s="30"/>
      <c r="P7289" s="26"/>
      <c r="Q7289" s="26"/>
    </row>
    <row r="7290" spans="10:17" x14ac:dyDescent="0.25">
      <c r="J7290" t="s">
        <v>758</v>
      </c>
      <c r="K7290" s="22" t="s">
        <v>26</v>
      </c>
      <c r="L7290">
        <v>1</v>
      </c>
      <c r="M7290">
        <v>1</v>
      </c>
      <c r="O7290" s="31"/>
      <c r="P7290" s="26"/>
      <c r="Q7290" s="26"/>
    </row>
    <row r="7291" spans="10:17" x14ac:dyDescent="0.25">
      <c r="J7291" t="s">
        <v>1184</v>
      </c>
      <c r="K7291" s="22" t="s">
        <v>24</v>
      </c>
      <c r="L7291">
        <v>1</v>
      </c>
      <c r="M7291">
        <v>1</v>
      </c>
      <c r="O7291" s="31"/>
      <c r="P7291" s="26"/>
      <c r="Q7291" s="26"/>
    </row>
    <row r="7292" spans="10:17" x14ac:dyDescent="0.25">
      <c r="J7292" t="s">
        <v>1566</v>
      </c>
      <c r="K7292" s="22" t="s">
        <v>20</v>
      </c>
      <c r="L7292">
        <v>1</v>
      </c>
      <c r="O7292" s="30"/>
      <c r="P7292" s="26"/>
      <c r="Q7292" s="26"/>
    </row>
    <row r="7293" spans="10:17" x14ac:dyDescent="0.25">
      <c r="J7293" t="s">
        <v>1712</v>
      </c>
      <c r="K7293" s="22" t="s">
        <v>30</v>
      </c>
      <c r="L7293">
        <v>2</v>
      </c>
      <c r="M7293">
        <v>2</v>
      </c>
      <c r="O7293" s="31"/>
      <c r="P7293" s="26"/>
      <c r="Q7293" s="26"/>
    </row>
    <row r="7294" spans="10:17" x14ac:dyDescent="0.25">
      <c r="J7294" t="s">
        <v>3676</v>
      </c>
      <c r="K7294" s="22" t="s">
        <v>20</v>
      </c>
      <c r="L7294">
        <v>1</v>
      </c>
      <c r="O7294" s="30"/>
      <c r="P7294" s="26"/>
      <c r="Q7294" s="26"/>
    </row>
    <row r="7295" spans="10:17" x14ac:dyDescent="0.25">
      <c r="J7295" t="s">
        <v>2851</v>
      </c>
      <c r="K7295" s="22" t="s">
        <v>24</v>
      </c>
      <c r="L7295">
        <v>1</v>
      </c>
      <c r="O7295" s="30"/>
      <c r="P7295" s="26"/>
      <c r="Q7295" s="26"/>
    </row>
    <row r="7296" spans="10:17" x14ac:dyDescent="0.25">
      <c r="J7296" t="s">
        <v>2353</v>
      </c>
      <c r="K7296" s="22" t="s">
        <v>31</v>
      </c>
      <c r="L7296">
        <v>1</v>
      </c>
      <c r="O7296" s="30"/>
      <c r="P7296" s="26"/>
      <c r="Q7296" s="26"/>
    </row>
    <row r="7297" spans="10:17" x14ac:dyDescent="0.25">
      <c r="J7297" t="s">
        <v>1566</v>
      </c>
      <c r="K7297" s="22" t="s">
        <v>24</v>
      </c>
      <c r="L7297">
        <v>10</v>
      </c>
      <c r="M7297">
        <v>10</v>
      </c>
      <c r="O7297" s="31"/>
      <c r="P7297" s="26"/>
      <c r="Q7297" s="26"/>
    </row>
    <row r="7298" spans="10:17" x14ac:dyDescent="0.25">
      <c r="J7298" t="s">
        <v>3284</v>
      </c>
      <c r="K7298" s="22" t="s">
        <v>22</v>
      </c>
      <c r="L7298">
        <v>1</v>
      </c>
      <c r="O7298" s="30"/>
      <c r="P7298" s="26"/>
      <c r="Q7298" s="26"/>
    </row>
    <row r="7299" spans="10:17" x14ac:dyDescent="0.25">
      <c r="J7299" t="s">
        <v>2860</v>
      </c>
      <c r="K7299" s="22" t="s">
        <v>35</v>
      </c>
      <c r="L7299">
        <v>1</v>
      </c>
      <c r="M7299">
        <v>1</v>
      </c>
      <c r="O7299" s="31"/>
      <c r="P7299" s="26"/>
      <c r="Q7299" s="26"/>
    </row>
    <row r="7300" spans="10:17" x14ac:dyDescent="0.25">
      <c r="J7300" t="s">
        <v>619</v>
      </c>
      <c r="K7300" s="22" t="s">
        <v>30</v>
      </c>
      <c r="L7300">
        <v>1</v>
      </c>
      <c r="O7300" s="30"/>
      <c r="P7300" s="26"/>
      <c r="Q7300" s="26"/>
    </row>
    <row r="7301" spans="10:17" x14ac:dyDescent="0.25">
      <c r="J7301" t="s">
        <v>2877</v>
      </c>
      <c r="K7301" s="22" t="s">
        <v>35</v>
      </c>
      <c r="L7301">
        <v>1</v>
      </c>
      <c r="M7301">
        <v>1</v>
      </c>
      <c r="O7301" s="31"/>
      <c r="P7301" s="26"/>
      <c r="Q7301" s="26"/>
    </row>
    <row r="7302" spans="10:17" x14ac:dyDescent="0.25">
      <c r="J7302" t="s">
        <v>3687</v>
      </c>
      <c r="K7302" s="22" t="s">
        <v>22</v>
      </c>
      <c r="L7302">
        <v>1</v>
      </c>
      <c r="O7302" s="30"/>
      <c r="P7302" s="26"/>
      <c r="Q7302" s="26"/>
    </row>
    <row r="7303" spans="10:17" x14ac:dyDescent="0.25">
      <c r="J7303" t="s">
        <v>1896</v>
      </c>
      <c r="K7303" s="22" t="s">
        <v>26</v>
      </c>
      <c r="L7303">
        <v>1</v>
      </c>
      <c r="O7303" s="30"/>
      <c r="P7303" s="26"/>
      <c r="Q7303" s="26"/>
    </row>
    <row r="7304" spans="10:17" x14ac:dyDescent="0.25">
      <c r="J7304" t="s">
        <v>3688</v>
      </c>
      <c r="K7304" s="22" t="s">
        <v>31</v>
      </c>
      <c r="L7304">
        <v>1</v>
      </c>
      <c r="M7304">
        <v>1</v>
      </c>
      <c r="O7304" s="31"/>
      <c r="P7304" s="26"/>
      <c r="Q7304" s="26"/>
    </row>
    <row r="7305" spans="10:17" x14ac:dyDescent="0.25">
      <c r="J7305" t="s">
        <v>1987</v>
      </c>
      <c r="K7305" s="22" t="s">
        <v>28</v>
      </c>
      <c r="L7305">
        <v>1</v>
      </c>
      <c r="O7305" s="30"/>
      <c r="P7305" s="26"/>
      <c r="Q7305" s="26"/>
    </row>
    <row r="7306" spans="10:17" x14ac:dyDescent="0.25">
      <c r="J7306" t="s">
        <v>833</v>
      </c>
      <c r="K7306" s="22" t="s">
        <v>35</v>
      </c>
      <c r="L7306">
        <v>1</v>
      </c>
      <c r="O7306" s="30"/>
      <c r="P7306" s="26"/>
      <c r="Q7306" s="26"/>
    </row>
    <row r="7307" spans="10:17" x14ac:dyDescent="0.25">
      <c r="J7307" t="s">
        <v>3278</v>
      </c>
      <c r="K7307" s="22" t="s">
        <v>31</v>
      </c>
      <c r="L7307">
        <v>1</v>
      </c>
      <c r="O7307" s="30"/>
      <c r="P7307" s="26"/>
      <c r="Q7307" s="26"/>
    </row>
    <row r="7308" spans="10:17" x14ac:dyDescent="0.25">
      <c r="J7308" t="s">
        <v>3470</v>
      </c>
      <c r="K7308" s="22" t="s">
        <v>24</v>
      </c>
      <c r="L7308">
        <v>1</v>
      </c>
      <c r="M7308">
        <v>1</v>
      </c>
      <c r="O7308" s="31"/>
      <c r="P7308" s="26"/>
      <c r="Q7308" s="26"/>
    </row>
    <row r="7309" spans="10:17" x14ac:dyDescent="0.25">
      <c r="J7309" t="s">
        <v>3600</v>
      </c>
      <c r="K7309" s="22" t="s">
        <v>20</v>
      </c>
      <c r="L7309">
        <v>1</v>
      </c>
      <c r="M7309">
        <v>1</v>
      </c>
      <c r="O7309" s="31"/>
      <c r="P7309" s="26"/>
      <c r="Q7309" s="26"/>
    </row>
    <row r="7310" spans="10:17" x14ac:dyDescent="0.25">
      <c r="J7310" t="s">
        <v>3689</v>
      </c>
      <c r="K7310" s="22" t="s">
        <v>30</v>
      </c>
      <c r="L7310">
        <v>1</v>
      </c>
      <c r="O7310" s="30"/>
      <c r="P7310" s="26"/>
      <c r="Q7310" s="26"/>
    </row>
    <row r="7311" spans="10:17" x14ac:dyDescent="0.25">
      <c r="J7311" t="s">
        <v>3690</v>
      </c>
      <c r="K7311" s="22" t="s">
        <v>22</v>
      </c>
      <c r="L7311">
        <v>1</v>
      </c>
      <c r="M7311">
        <v>1</v>
      </c>
      <c r="O7311" s="31"/>
      <c r="P7311" s="26"/>
      <c r="Q7311" s="26"/>
    </row>
    <row r="7312" spans="10:17" x14ac:dyDescent="0.25">
      <c r="J7312" t="s">
        <v>3676</v>
      </c>
      <c r="K7312" s="22" t="s">
        <v>22</v>
      </c>
      <c r="L7312">
        <v>1</v>
      </c>
      <c r="O7312" s="30"/>
      <c r="P7312" s="26"/>
      <c r="Q7312" s="26"/>
    </row>
    <row r="7313" spans="10:17" x14ac:dyDescent="0.25">
      <c r="J7313" t="s">
        <v>3677</v>
      </c>
      <c r="K7313" s="22" t="s">
        <v>24</v>
      </c>
      <c r="L7313">
        <v>1</v>
      </c>
      <c r="M7313">
        <v>1</v>
      </c>
      <c r="O7313" s="31"/>
      <c r="P7313" s="26"/>
      <c r="Q7313" s="26"/>
    </row>
    <row r="7314" spans="10:17" x14ac:dyDescent="0.25">
      <c r="J7314" t="s">
        <v>2151</v>
      </c>
      <c r="K7314" s="22" t="s">
        <v>20</v>
      </c>
      <c r="L7314">
        <v>1</v>
      </c>
      <c r="M7314">
        <v>1</v>
      </c>
      <c r="O7314" s="31"/>
      <c r="P7314" s="26"/>
      <c r="Q7314" s="26"/>
    </row>
    <row r="7315" spans="10:17" x14ac:dyDescent="0.25">
      <c r="J7315" t="s">
        <v>3691</v>
      </c>
      <c r="K7315" s="22" t="s">
        <v>30</v>
      </c>
      <c r="L7315">
        <v>1</v>
      </c>
      <c r="O7315" s="30"/>
      <c r="P7315" s="26"/>
      <c r="Q7315" s="26"/>
    </row>
    <row r="7316" spans="10:17" x14ac:dyDescent="0.25">
      <c r="J7316" t="s">
        <v>2390</v>
      </c>
      <c r="K7316" s="22" t="s">
        <v>28</v>
      </c>
      <c r="L7316">
        <v>1</v>
      </c>
      <c r="O7316" s="30"/>
      <c r="P7316" s="26"/>
      <c r="Q7316" s="26"/>
    </row>
    <row r="7317" spans="10:17" x14ac:dyDescent="0.25">
      <c r="J7317" t="s">
        <v>3692</v>
      </c>
      <c r="K7317" s="22" t="s">
        <v>29</v>
      </c>
      <c r="L7317">
        <v>1</v>
      </c>
      <c r="M7317">
        <v>1</v>
      </c>
      <c r="O7317" s="31"/>
      <c r="P7317" s="26"/>
      <c r="Q7317" s="26"/>
    </row>
    <row r="7318" spans="10:17" x14ac:dyDescent="0.25">
      <c r="J7318" t="s">
        <v>1838</v>
      </c>
      <c r="K7318" s="22" t="s">
        <v>29</v>
      </c>
      <c r="L7318">
        <v>1</v>
      </c>
      <c r="M7318">
        <v>1</v>
      </c>
      <c r="O7318" s="31"/>
      <c r="P7318" s="26"/>
      <c r="Q7318" s="26"/>
    </row>
    <row r="7319" spans="10:17" x14ac:dyDescent="0.25">
      <c r="J7319" t="s">
        <v>3207</v>
      </c>
      <c r="K7319" s="22" t="s">
        <v>20</v>
      </c>
      <c r="L7319">
        <v>4</v>
      </c>
      <c r="M7319">
        <v>4</v>
      </c>
      <c r="O7319" s="31"/>
      <c r="P7319" s="26"/>
      <c r="Q7319" s="26"/>
    </row>
    <row r="7320" spans="10:17" x14ac:dyDescent="0.25">
      <c r="J7320" t="s">
        <v>3627</v>
      </c>
      <c r="K7320" s="22" t="s">
        <v>35</v>
      </c>
      <c r="L7320">
        <v>1</v>
      </c>
      <c r="M7320">
        <v>1</v>
      </c>
      <c r="O7320" s="31"/>
      <c r="P7320" s="26"/>
      <c r="Q7320" s="26"/>
    </row>
    <row r="7321" spans="10:17" x14ac:dyDescent="0.25">
      <c r="J7321" t="s">
        <v>3693</v>
      </c>
      <c r="K7321" s="22" t="s">
        <v>30</v>
      </c>
      <c r="L7321">
        <v>1</v>
      </c>
      <c r="O7321" s="30"/>
      <c r="P7321" s="26"/>
      <c r="Q7321" s="26"/>
    </row>
    <row r="7322" spans="10:17" x14ac:dyDescent="0.25">
      <c r="J7322" t="s">
        <v>619</v>
      </c>
      <c r="K7322" s="22" t="s">
        <v>20</v>
      </c>
      <c r="L7322">
        <v>3</v>
      </c>
      <c r="M7322">
        <v>3</v>
      </c>
      <c r="O7322" s="31"/>
      <c r="P7322" s="26"/>
      <c r="Q7322" s="26"/>
    </row>
    <row r="7323" spans="10:17" x14ac:dyDescent="0.25">
      <c r="J7323" t="s">
        <v>2838</v>
      </c>
      <c r="K7323" s="22" t="s">
        <v>29</v>
      </c>
      <c r="L7323">
        <v>3</v>
      </c>
      <c r="M7323">
        <v>3</v>
      </c>
      <c r="O7323" s="31"/>
      <c r="P7323" s="26"/>
      <c r="Q7323" s="26"/>
    </row>
    <row r="7324" spans="10:17" x14ac:dyDescent="0.25">
      <c r="J7324" t="s">
        <v>3694</v>
      </c>
      <c r="K7324" s="22" t="s">
        <v>22</v>
      </c>
      <c r="L7324">
        <v>1</v>
      </c>
      <c r="O7324" s="30"/>
      <c r="P7324" s="26"/>
      <c r="Q7324" s="26"/>
    </row>
    <row r="7325" spans="10:17" x14ac:dyDescent="0.25">
      <c r="J7325" t="s">
        <v>1399</v>
      </c>
      <c r="K7325" s="22" t="s">
        <v>24</v>
      </c>
      <c r="L7325">
        <v>1</v>
      </c>
      <c r="O7325" s="30"/>
      <c r="P7325" s="26"/>
      <c r="Q7325" s="26"/>
    </row>
    <row r="7326" spans="10:17" x14ac:dyDescent="0.25">
      <c r="J7326" t="s">
        <v>3626</v>
      </c>
      <c r="K7326" s="22" t="s">
        <v>20</v>
      </c>
      <c r="L7326">
        <v>2</v>
      </c>
      <c r="M7326">
        <v>2</v>
      </c>
      <c r="O7326" s="31"/>
      <c r="P7326" s="26"/>
      <c r="Q7326" s="26"/>
    </row>
    <row r="7327" spans="10:17" x14ac:dyDescent="0.25">
      <c r="J7327" t="s">
        <v>220</v>
      </c>
      <c r="K7327" s="22" t="s">
        <v>30</v>
      </c>
      <c r="L7327">
        <v>2</v>
      </c>
      <c r="M7327">
        <v>1</v>
      </c>
      <c r="O7327" s="30"/>
      <c r="P7327" s="26"/>
      <c r="Q7327" s="26"/>
    </row>
    <row r="7328" spans="10:17" x14ac:dyDescent="0.25">
      <c r="J7328" t="s">
        <v>3221</v>
      </c>
      <c r="K7328" s="22" t="s">
        <v>20</v>
      </c>
      <c r="L7328">
        <v>2</v>
      </c>
      <c r="M7328">
        <v>2</v>
      </c>
      <c r="O7328" s="31"/>
      <c r="P7328" s="26"/>
      <c r="Q7328" s="26"/>
    </row>
    <row r="7329" spans="10:17" x14ac:dyDescent="0.25">
      <c r="J7329" t="s">
        <v>3695</v>
      </c>
      <c r="K7329" s="22" t="s">
        <v>35</v>
      </c>
      <c r="L7329">
        <v>1</v>
      </c>
      <c r="O7329" s="30"/>
      <c r="P7329" s="26"/>
      <c r="Q7329" s="26"/>
    </row>
    <row r="7330" spans="10:17" x14ac:dyDescent="0.25">
      <c r="J7330" t="s">
        <v>3696</v>
      </c>
      <c r="K7330" s="22" t="s">
        <v>28</v>
      </c>
      <c r="L7330">
        <v>1</v>
      </c>
      <c r="M7330">
        <v>1</v>
      </c>
      <c r="O7330" s="31"/>
      <c r="P7330" s="26"/>
      <c r="Q7330" s="26"/>
    </row>
    <row r="7331" spans="10:17" x14ac:dyDescent="0.25">
      <c r="J7331" t="s">
        <v>2601</v>
      </c>
      <c r="K7331" s="22" t="s">
        <v>22</v>
      </c>
      <c r="L7331">
        <v>2</v>
      </c>
      <c r="M7331">
        <v>1</v>
      </c>
      <c r="O7331" s="30"/>
      <c r="P7331" s="26"/>
      <c r="Q7331" s="26"/>
    </row>
    <row r="7332" spans="10:17" x14ac:dyDescent="0.25">
      <c r="J7332" t="s">
        <v>3359</v>
      </c>
      <c r="K7332" s="22" t="s">
        <v>26</v>
      </c>
      <c r="L7332">
        <v>1</v>
      </c>
      <c r="M7332">
        <v>1</v>
      </c>
      <c r="O7332" s="31"/>
      <c r="P7332" s="26"/>
      <c r="Q7332" s="26"/>
    </row>
    <row r="7333" spans="10:17" x14ac:dyDescent="0.25">
      <c r="J7333" t="s">
        <v>3698</v>
      </c>
      <c r="K7333" s="22" t="s">
        <v>29</v>
      </c>
      <c r="L7333">
        <v>1</v>
      </c>
      <c r="O7333" s="30"/>
      <c r="P7333" s="26"/>
      <c r="Q7333" s="26"/>
    </row>
    <row r="7334" spans="10:17" x14ac:dyDescent="0.25">
      <c r="J7334" t="s">
        <v>3699</v>
      </c>
      <c r="K7334" s="22" t="s">
        <v>20</v>
      </c>
      <c r="L7334">
        <v>1</v>
      </c>
      <c r="M7334">
        <v>1</v>
      </c>
      <c r="O7334" s="31"/>
      <c r="P7334" s="26"/>
      <c r="Q7334" s="26"/>
    </row>
    <row r="7335" spans="10:17" x14ac:dyDescent="0.25">
      <c r="J7335" t="s">
        <v>1399</v>
      </c>
      <c r="K7335" s="22" t="s">
        <v>22</v>
      </c>
      <c r="L7335">
        <v>1</v>
      </c>
      <c r="O7335" s="30"/>
      <c r="P7335" s="26"/>
      <c r="Q7335" s="26"/>
    </row>
    <row r="7336" spans="10:17" x14ac:dyDescent="0.25">
      <c r="J7336" t="s">
        <v>3475</v>
      </c>
      <c r="K7336" s="22" t="s">
        <v>22</v>
      </c>
      <c r="L7336">
        <v>1</v>
      </c>
      <c r="O7336" s="30"/>
      <c r="P7336" s="26"/>
      <c r="Q7336" s="26"/>
    </row>
    <row r="7337" spans="10:17" x14ac:dyDescent="0.25">
      <c r="J7337" t="s">
        <v>3700</v>
      </c>
      <c r="K7337" s="22" t="s">
        <v>28</v>
      </c>
      <c r="L7337">
        <v>1</v>
      </c>
      <c r="M7337">
        <v>1</v>
      </c>
      <c r="O7337" s="31"/>
      <c r="P7337" s="26"/>
      <c r="Q7337" s="26"/>
    </row>
    <row r="7338" spans="10:17" x14ac:dyDescent="0.25">
      <c r="J7338" t="s">
        <v>2933</v>
      </c>
      <c r="K7338" s="22" t="s">
        <v>26</v>
      </c>
      <c r="L7338">
        <v>1</v>
      </c>
      <c r="O7338" s="30"/>
      <c r="P7338" s="26"/>
      <c r="Q7338" s="26"/>
    </row>
    <row r="7339" spans="10:17" x14ac:dyDescent="0.25">
      <c r="J7339" t="s">
        <v>1896</v>
      </c>
      <c r="K7339" s="22" t="s">
        <v>35</v>
      </c>
      <c r="L7339">
        <v>1</v>
      </c>
      <c r="O7339" s="30"/>
      <c r="P7339" s="26"/>
      <c r="Q7339" s="26"/>
    </row>
    <row r="7340" spans="10:17" x14ac:dyDescent="0.25">
      <c r="J7340" t="s">
        <v>1623</v>
      </c>
      <c r="K7340" s="22" t="s">
        <v>20</v>
      </c>
      <c r="L7340">
        <v>1</v>
      </c>
      <c r="M7340">
        <v>1</v>
      </c>
      <c r="O7340" s="31"/>
      <c r="P7340" s="26"/>
      <c r="Q7340" s="26"/>
    </row>
    <row r="7341" spans="10:17" x14ac:dyDescent="0.25">
      <c r="J7341" t="s">
        <v>1095</v>
      </c>
      <c r="K7341" s="22" t="s">
        <v>31</v>
      </c>
      <c r="L7341">
        <v>1</v>
      </c>
      <c r="O7341" s="30"/>
      <c r="P7341" s="26"/>
      <c r="Q7341" s="26"/>
    </row>
    <row r="7342" spans="10:17" x14ac:dyDescent="0.25">
      <c r="J7342" t="s">
        <v>3686</v>
      </c>
      <c r="K7342" s="22" t="s">
        <v>26</v>
      </c>
      <c r="L7342">
        <v>1</v>
      </c>
      <c r="M7342">
        <v>1</v>
      </c>
      <c r="O7342" s="31"/>
      <c r="P7342" s="26"/>
      <c r="Q7342" s="26"/>
    </row>
    <row r="7343" spans="10:17" x14ac:dyDescent="0.25">
      <c r="J7343" t="s">
        <v>3390</v>
      </c>
      <c r="K7343" s="22" t="s">
        <v>24</v>
      </c>
      <c r="L7343">
        <v>1</v>
      </c>
      <c r="O7343" s="30"/>
      <c r="P7343" s="26"/>
      <c r="Q7343" s="26"/>
    </row>
    <row r="7344" spans="10:17" x14ac:dyDescent="0.25">
      <c r="J7344" t="s">
        <v>2308</v>
      </c>
      <c r="K7344" s="22" t="s">
        <v>24</v>
      </c>
      <c r="L7344">
        <v>1</v>
      </c>
      <c r="O7344" s="30"/>
      <c r="P7344" s="26"/>
      <c r="Q7344" s="26"/>
    </row>
    <row r="7345" spans="10:17" x14ac:dyDescent="0.25">
      <c r="J7345" t="s">
        <v>1508</v>
      </c>
      <c r="K7345" s="22" t="s">
        <v>24</v>
      </c>
      <c r="L7345">
        <v>1</v>
      </c>
      <c r="O7345" s="30"/>
      <c r="P7345" s="26"/>
      <c r="Q7345" s="26"/>
    </row>
    <row r="7346" spans="10:17" x14ac:dyDescent="0.25">
      <c r="J7346" t="s">
        <v>3697</v>
      </c>
      <c r="K7346" s="22" t="s">
        <v>22</v>
      </c>
      <c r="L7346">
        <v>1</v>
      </c>
      <c r="M7346">
        <v>1</v>
      </c>
      <c r="O7346" s="31"/>
      <c r="P7346" s="26"/>
      <c r="Q7346" s="26"/>
    </row>
    <row r="7347" spans="10:17" x14ac:dyDescent="0.25">
      <c r="J7347" t="s">
        <v>3441</v>
      </c>
      <c r="K7347" s="22" t="s">
        <v>20</v>
      </c>
      <c r="L7347">
        <v>11</v>
      </c>
      <c r="M7347">
        <v>11</v>
      </c>
      <c r="O7347" s="31"/>
      <c r="P7347" s="26"/>
      <c r="Q7347" s="26"/>
    </row>
    <row r="7348" spans="10:17" x14ac:dyDescent="0.25">
      <c r="J7348" t="s">
        <v>3618</v>
      </c>
      <c r="K7348" s="22" t="s">
        <v>31</v>
      </c>
      <c r="L7348">
        <v>5</v>
      </c>
      <c r="O7348" s="30"/>
      <c r="P7348" s="26"/>
      <c r="Q7348" s="26"/>
    </row>
    <row r="7349" spans="10:17" x14ac:dyDescent="0.25">
      <c r="J7349" t="s">
        <v>348</v>
      </c>
      <c r="K7349" s="22" t="s">
        <v>22</v>
      </c>
      <c r="L7349">
        <v>1</v>
      </c>
      <c r="M7349">
        <v>1</v>
      </c>
      <c r="O7349" s="31"/>
      <c r="P7349" s="26"/>
      <c r="Q7349" s="26"/>
    </row>
    <row r="7350" spans="10:17" x14ac:dyDescent="0.25">
      <c r="J7350" t="s">
        <v>2308</v>
      </c>
      <c r="K7350" s="22" t="s">
        <v>30</v>
      </c>
      <c r="L7350">
        <v>1</v>
      </c>
      <c r="O7350" s="30"/>
      <c r="P7350" s="26"/>
      <c r="Q7350" s="26"/>
    </row>
    <row r="7351" spans="10:17" x14ac:dyDescent="0.25">
      <c r="J7351" t="s">
        <v>3618</v>
      </c>
      <c r="K7351" s="22" t="s">
        <v>28</v>
      </c>
      <c r="L7351">
        <v>4</v>
      </c>
      <c r="O7351" s="30"/>
      <c r="P7351" s="26"/>
      <c r="Q7351" s="26"/>
    </row>
    <row r="7352" spans="10:17" x14ac:dyDescent="0.25">
      <c r="J7352" t="s">
        <v>1647</v>
      </c>
      <c r="K7352" s="22" t="s">
        <v>22</v>
      </c>
      <c r="L7352">
        <v>1</v>
      </c>
      <c r="M7352">
        <v>1</v>
      </c>
      <c r="O7352" s="31"/>
      <c r="P7352" s="26"/>
      <c r="Q7352" s="26"/>
    </row>
    <row r="7353" spans="10:17" x14ac:dyDescent="0.25">
      <c r="J7353" t="s">
        <v>2232</v>
      </c>
      <c r="K7353" s="22" t="s">
        <v>29</v>
      </c>
      <c r="L7353">
        <v>1</v>
      </c>
      <c r="O7353" s="30"/>
      <c r="P7353" s="26"/>
      <c r="Q7353" s="26"/>
    </row>
    <row r="7354" spans="10:17" x14ac:dyDescent="0.25">
      <c r="J7354" t="s">
        <v>3680</v>
      </c>
      <c r="K7354" s="22" t="s">
        <v>28</v>
      </c>
      <c r="L7354">
        <v>1</v>
      </c>
      <c r="O7354" s="30"/>
      <c r="P7354" s="26"/>
      <c r="Q7354" s="26"/>
    </row>
    <row r="7355" spans="10:17" x14ac:dyDescent="0.25">
      <c r="J7355" t="s">
        <v>2308</v>
      </c>
      <c r="K7355" s="22" t="s">
        <v>20</v>
      </c>
      <c r="L7355">
        <v>6</v>
      </c>
      <c r="M7355">
        <v>2</v>
      </c>
      <c r="O7355" s="30"/>
      <c r="P7355" s="26"/>
      <c r="Q7355" s="26"/>
    </row>
    <row r="7356" spans="10:17" x14ac:dyDescent="0.25">
      <c r="J7356" t="s">
        <v>3540</v>
      </c>
      <c r="K7356" s="22" t="s">
        <v>24</v>
      </c>
      <c r="L7356">
        <v>1</v>
      </c>
      <c r="O7356" s="30"/>
      <c r="P7356" s="26"/>
      <c r="Q7356" s="26"/>
    </row>
    <row r="7357" spans="10:17" x14ac:dyDescent="0.25">
      <c r="J7357" t="s">
        <v>3618</v>
      </c>
      <c r="K7357" s="22" t="s">
        <v>35</v>
      </c>
      <c r="L7357">
        <v>2</v>
      </c>
      <c r="O7357" s="30"/>
      <c r="P7357" s="26"/>
      <c r="Q7357" s="26"/>
    </row>
    <row r="7358" spans="10:17" x14ac:dyDescent="0.25">
      <c r="J7358" t="s">
        <v>1302</v>
      </c>
      <c r="K7358" s="22" t="s">
        <v>26</v>
      </c>
      <c r="L7358">
        <v>1</v>
      </c>
      <c r="O7358" s="30"/>
      <c r="P7358" s="26"/>
      <c r="Q7358" s="26"/>
    </row>
    <row r="7359" spans="10:17" x14ac:dyDescent="0.25">
      <c r="J7359" t="s">
        <v>3695</v>
      </c>
      <c r="K7359" s="22" t="s">
        <v>28</v>
      </c>
      <c r="L7359">
        <v>1</v>
      </c>
      <c r="O7359" s="30"/>
      <c r="P7359" s="26"/>
      <c r="Q7359" s="26"/>
    </row>
    <row r="7360" spans="10:17" x14ac:dyDescent="0.25">
      <c r="J7360" t="s">
        <v>2947</v>
      </c>
      <c r="K7360" s="22" t="s">
        <v>22</v>
      </c>
      <c r="L7360">
        <v>1</v>
      </c>
      <c r="O7360" s="30"/>
      <c r="P7360" s="26"/>
      <c r="Q7360" s="26"/>
    </row>
    <row r="7361" spans="10:17" x14ac:dyDescent="0.25">
      <c r="J7361" t="s">
        <v>2796</v>
      </c>
      <c r="K7361" s="22" t="s">
        <v>24</v>
      </c>
      <c r="L7361">
        <v>1</v>
      </c>
      <c r="M7361">
        <v>1</v>
      </c>
      <c r="O7361" s="31"/>
      <c r="P7361" s="26"/>
      <c r="Q7361" s="26"/>
    </row>
    <row r="7362" spans="10:17" x14ac:dyDescent="0.25">
      <c r="J7362" t="s">
        <v>3549</v>
      </c>
      <c r="K7362" s="22" t="s">
        <v>35</v>
      </c>
      <c r="L7362">
        <v>1</v>
      </c>
      <c r="O7362" s="30"/>
      <c r="P7362" s="26"/>
      <c r="Q7362" s="26"/>
    </row>
    <row r="7363" spans="10:17" x14ac:dyDescent="0.25">
      <c r="J7363" t="s">
        <v>2440</v>
      </c>
      <c r="K7363" s="22" t="s">
        <v>28</v>
      </c>
      <c r="L7363">
        <v>1</v>
      </c>
      <c r="M7363">
        <v>1</v>
      </c>
      <c r="O7363" s="31"/>
      <c r="P7363" s="26"/>
      <c r="Q7363" s="26"/>
    </row>
    <row r="7364" spans="10:17" x14ac:dyDescent="0.25">
      <c r="J7364" t="s">
        <v>3615</v>
      </c>
      <c r="K7364" s="22" t="s">
        <v>20</v>
      </c>
      <c r="L7364">
        <v>1</v>
      </c>
      <c r="M7364">
        <v>1</v>
      </c>
      <c r="O7364" s="31"/>
      <c r="P7364" s="26"/>
      <c r="Q7364" s="26"/>
    </row>
    <row r="7365" spans="10:17" x14ac:dyDescent="0.25">
      <c r="J7365" t="s">
        <v>1720</v>
      </c>
      <c r="K7365" s="22" t="s">
        <v>22</v>
      </c>
      <c r="L7365">
        <v>1</v>
      </c>
      <c r="O7365" s="30"/>
      <c r="P7365" s="26"/>
      <c r="Q7365" s="26"/>
    </row>
    <row r="7366" spans="10:17" x14ac:dyDescent="0.25">
      <c r="J7366" t="s">
        <v>2108</v>
      </c>
      <c r="K7366" s="22" t="s">
        <v>26</v>
      </c>
      <c r="L7366">
        <v>1</v>
      </c>
      <c r="M7366">
        <v>1</v>
      </c>
      <c r="O7366" s="31"/>
      <c r="P7366" s="26"/>
      <c r="Q7366" s="26"/>
    </row>
    <row r="7367" spans="10:17" x14ac:dyDescent="0.25">
      <c r="J7367" t="s">
        <v>1130</v>
      </c>
      <c r="K7367" s="22" t="s">
        <v>31</v>
      </c>
      <c r="L7367">
        <v>1</v>
      </c>
      <c r="M7367">
        <v>1</v>
      </c>
      <c r="O7367" s="31"/>
      <c r="P7367" s="26"/>
      <c r="Q7367" s="26"/>
    </row>
    <row r="7368" spans="10:17" x14ac:dyDescent="0.25">
      <c r="J7368" t="s">
        <v>3627</v>
      </c>
      <c r="K7368" s="22" t="s">
        <v>28</v>
      </c>
      <c r="L7368">
        <v>1</v>
      </c>
      <c r="O7368" s="30"/>
      <c r="P7368" s="26"/>
      <c r="Q7368" s="26"/>
    </row>
    <row r="7369" spans="10:17" x14ac:dyDescent="0.25">
      <c r="J7369" t="s">
        <v>782</v>
      </c>
      <c r="K7369" s="22" t="s">
        <v>30</v>
      </c>
      <c r="L7369">
        <v>1</v>
      </c>
      <c r="M7369">
        <v>1</v>
      </c>
      <c r="O7369" s="31"/>
      <c r="P7369" s="26"/>
      <c r="Q7369" s="26"/>
    </row>
    <row r="7370" spans="10:17" x14ac:dyDescent="0.25">
      <c r="J7370" t="s">
        <v>1502</v>
      </c>
      <c r="K7370" s="22" t="s">
        <v>31</v>
      </c>
      <c r="L7370">
        <v>1</v>
      </c>
      <c r="M7370">
        <v>1</v>
      </c>
      <c r="O7370" s="31"/>
      <c r="P7370" s="26"/>
      <c r="Q7370" s="26"/>
    </row>
    <row r="7371" spans="10:17" x14ac:dyDescent="0.25">
      <c r="J7371" t="s">
        <v>3624</v>
      </c>
      <c r="K7371" s="22" t="s">
        <v>29</v>
      </c>
      <c r="L7371">
        <v>1</v>
      </c>
      <c r="O7371" s="30"/>
      <c r="P7371" s="26"/>
      <c r="Q7371" s="26"/>
    </row>
    <row r="7372" spans="10:17" x14ac:dyDescent="0.25">
      <c r="J7372" t="s">
        <v>3701</v>
      </c>
      <c r="K7372" s="22" t="s">
        <v>24</v>
      </c>
      <c r="L7372">
        <v>2</v>
      </c>
      <c r="M7372">
        <v>2</v>
      </c>
      <c r="O7372" s="31"/>
      <c r="P7372" s="26"/>
      <c r="Q7372" s="26"/>
    </row>
    <row r="7373" spans="10:17" x14ac:dyDescent="0.25">
      <c r="J7373" t="s">
        <v>1320</v>
      </c>
      <c r="K7373" s="22" t="s">
        <v>22</v>
      </c>
      <c r="L7373">
        <v>1</v>
      </c>
      <c r="M7373">
        <v>1</v>
      </c>
      <c r="O7373" s="31"/>
      <c r="P7373" s="26"/>
      <c r="Q7373" s="26"/>
    </row>
    <row r="7374" spans="10:17" x14ac:dyDescent="0.25">
      <c r="J7374" t="s">
        <v>1636</v>
      </c>
      <c r="K7374" s="22" t="s">
        <v>30</v>
      </c>
      <c r="L7374">
        <v>1</v>
      </c>
      <c r="O7374" s="30"/>
      <c r="P7374" s="26"/>
      <c r="Q7374" s="26"/>
    </row>
    <row r="7375" spans="10:17" x14ac:dyDescent="0.25">
      <c r="J7375" t="s">
        <v>3067</v>
      </c>
      <c r="K7375" s="22" t="s">
        <v>35</v>
      </c>
      <c r="L7375">
        <v>1</v>
      </c>
      <c r="M7375">
        <v>1</v>
      </c>
      <c r="O7375" s="31"/>
      <c r="P7375" s="26"/>
      <c r="Q7375" s="26"/>
    </row>
    <row r="7376" spans="10:17" x14ac:dyDescent="0.25">
      <c r="J7376" t="s">
        <v>3647</v>
      </c>
      <c r="K7376" s="22" t="s">
        <v>26</v>
      </c>
      <c r="L7376">
        <v>1</v>
      </c>
      <c r="O7376" s="30"/>
      <c r="P7376" s="26"/>
      <c r="Q7376" s="26"/>
    </row>
    <row r="7377" spans="10:17" x14ac:dyDescent="0.25">
      <c r="J7377" t="s">
        <v>1755</v>
      </c>
      <c r="K7377" s="22" t="s">
        <v>26</v>
      </c>
      <c r="L7377">
        <v>1</v>
      </c>
      <c r="O7377" s="30"/>
      <c r="P7377" s="26"/>
      <c r="Q7377" s="26"/>
    </row>
    <row r="7378" spans="10:17" x14ac:dyDescent="0.25">
      <c r="J7378" t="s">
        <v>3324</v>
      </c>
      <c r="K7378" s="22" t="s">
        <v>29</v>
      </c>
      <c r="L7378">
        <v>1</v>
      </c>
      <c r="M7378">
        <v>1</v>
      </c>
      <c r="O7378" s="31"/>
      <c r="P7378" s="26"/>
      <c r="Q7378" s="26"/>
    </row>
    <row r="7379" spans="10:17" x14ac:dyDescent="0.25">
      <c r="J7379" t="s">
        <v>3702</v>
      </c>
      <c r="K7379" s="22" t="s">
        <v>31</v>
      </c>
      <c r="L7379">
        <v>1</v>
      </c>
      <c r="O7379" s="30"/>
      <c r="P7379" s="26"/>
      <c r="Q7379" s="26"/>
    </row>
    <row r="7380" spans="10:17" x14ac:dyDescent="0.25">
      <c r="J7380" t="s">
        <v>3598</v>
      </c>
      <c r="K7380" s="22" t="s">
        <v>28</v>
      </c>
      <c r="L7380">
        <v>1</v>
      </c>
      <c r="M7380">
        <v>1</v>
      </c>
      <c r="O7380" s="31"/>
      <c r="P7380" s="26"/>
      <c r="Q7380" s="26"/>
    </row>
    <row r="7381" spans="10:17" x14ac:dyDescent="0.25">
      <c r="J7381" t="s">
        <v>485</v>
      </c>
      <c r="K7381" s="22" t="s">
        <v>22</v>
      </c>
      <c r="L7381">
        <v>1</v>
      </c>
      <c r="O7381" s="30"/>
      <c r="P7381" s="26"/>
      <c r="Q7381" s="26"/>
    </row>
    <row r="7382" spans="10:17" x14ac:dyDescent="0.25">
      <c r="J7382" t="s">
        <v>1789</v>
      </c>
      <c r="K7382" s="22" t="s">
        <v>24</v>
      </c>
      <c r="L7382">
        <v>1</v>
      </c>
      <c r="M7382">
        <v>1</v>
      </c>
      <c r="O7382" s="31"/>
      <c r="P7382" s="26"/>
      <c r="Q7382" s="26"/>
    </row>
    <row r="7383" spans="10:17" x14ac:dyDescent="0.25">
      <c r="J7383" t="s">
        <v>3703</v>
      </c>
      <c r="K7383" s="22" t="s">
        <v>31</v>
      </c>
      <c r="L7383">
        <v>1</v>
      </c>
      <c r="O7383" s="30"/>
      <c r="P7383" s="26"/>
      <c r="Q7383" s="26"/>
    </row>
    <row r="7384" spans="10:17" x14ac:dyDescent="0.25">
      <c r="J7384" t="s">
        <v>3704</v>
      </c>
      <c r="K7384" s="22" t="s">
        <v>35</v>
      </c>
      <c r="L7384">
        <v>1</v>
      </c>
      <c r="M7384">
        <v>1</v>
      </c>
      <c r="O7384" s="31"/>
      <c r="P7384" s="26"/>
      <c r="Q7384" s="26"/>
    </row>
    <row r="7385" spans="10:17" x14ac:dyDescent="0.25">
      <c r="J7385" t="s">
        <v>382</v>
      </c>
      <c r="K7385" s="22" t="s">
        <v>30</v>
      </c>
      <c r="L7385">
        <v>1</v>
      </c>
      <c r="O7385" s="30"/>
      <c r="P7385" s="26"/>
      <c r="Q7385" s="26"/>
    </row>
    <row r="7386" spans="10:17" x14ac:dyDescent="0.25">
      <c r="J7386" t="s">
        <v>2536</v>
      </c>
      <c r="K7386" s="22" t="s">
        <v>28</v>
      </c>
      <c r="L7386">
        <v>1</v>
      </c>
      <c r="M7386">
        <v>1</v>
      </c>
      <c r="O7386" s="31"/>
      <c r="P7386" s="26"/>
      <c r="Q7386" s="26"/>
    </row>
    <row r="7387" spans="10:17" x14ac:dyDescent="0.25">
      <c r="J7387" t="s">
        <v>3705</v>
      </c>
      <c r="K7387" s="22" t="s">
        <v>24</v>
      </c>
      <c r="L7387">
        <v>1</v>
      </c>
      <c r="O7387" s="30"/>
      <c r="P7387" s="26"/>
      <c r="Q7387" s="26"/>
    </row>
    <row r="7388" spans="10:17" x14ac:dyDescent="0.25">
      <c r="J7388" t="s">
        <v>1146</v>
      </c>
      <c r="K7388" s="22" t="s">
        <v>20</v>
      </c>
      <c r="L7388">
        <v>1</v>
      </c>
      <c r="M7388">
        <v>1</v>
      </c>
      <c r="O7388" s="31"/>
      <c r="P7388" s="26"/>
      <c r="Q7388" s="26"/>
    </row>
    <row r="7389" spans="10:17" x14ac:dyDescent="0.25">
      <c r="J7389" t="s">
        <v>2805</v>
      </c>
      <c r="K7389" s="22" t="s">
        <v>22</v>
      </c>
      <c r="L7389">
        <v>1</v>
      </c>
      <c r="O7389" s="30"/>
      <c r="P7389" s="26"/>
      <c r="Q7389" s="26"/>
    </row>
    <row r="7390" spans="10:17" x14ac:dyDescent="0.25">
      <c r="J7390" t="s">
        <v>1883</v>
      </c>
      <c r="K7390" s="22" t="s">
        <v>31</v>
      </c>
      <c r="L7390">
        <v>1</v>
      </c>
      <c r="O7390" s="30"/>
      <c r="P7390" s="26"/>
      <c r="Q7390" s="26"/>
    </row>
    <row r="7391" spans="10:17" x14ac:dyDescent="0.25">
      <c r="J7391" t="s">
        <v>892</v>
      </c>
      <c r="K7391" s="22" t="s">
        <v>20</v>
      </c>
      <c r="L7391">
        <v>1</v>
      </c>
      <c r="M7391">
        <v>1</v>
      </c>
      <c r="O7391" s="31"/>
      <c r="P7391" s="26"/>
      <c r="Q7391" s="26"/>
    </row>
    <row r="7392" spans="10:17" x14ac:dyDescent="0.25">
      <c r="J7392" t="s">
        <v>3706</v>
      </c>
      <c r="K7392" s="22" t="s">
        <v>30</v>
      </c>
      <c r="L7392">
        <v>1</v>
      </c>
      <c r="O7392" s="30"/>
      <c r="P7392" s="26"/>
      <c r="Q7392" s="26"/>
    </row>
    <row r="7393" spans="10:17" x14ac:dyDescent="0.25">
      <c r="J7393" t="s">
        <v>3189</v>
      </c>
      <c r="K7393" s="22" t="s">
        <v>29</v>
      </c>
      <c r="L7393">
        <v>1</v>
      </c>
      <c r="M7393">
        <v>1</v>
      </c>
      <c r="O7393" s="31"/>
      <c r="P7393" s="26"/>
      <c r="Q7393" s="26"/>
    </row>
    <row r="7394" spans="10:17" x14ac:dyDescent="0.25">
      <c r="J7394" t="s">
        <v>46</v>
      </c>
      <c r="K7394" s="22" t="s">
        <v>29</v>
      </c>
      <c r="L7394">
        <v>3</v>
      </c>
      <c r="M7394">
        <v>2</v>
      </c>
      <c r="O7394" s="30"/>
      <c r="P7394" s="26"/>
      <c r="Q7394" s="26"/>
    </row>
    <row r="7395" spans="10:17" x14ac:dyDescent="0.25">
      <c r="J7395" t="s">
        <v>1644</v>
      </c>
      <c r="K7395" s="22" t="s">
        <v>31</v>
      </c>
      <c r="L7395">
        <v>1</v>
      </c>
      <c r="O7395" s="30"/>
      <c r="P7395" s="26"/>
      <c r="Q7395" s="26"/>
    </row>
    <row r="7396" spans="10:17" x14ac:dyDescent="0.25">
      <c r="J7396" t="s">
        <v>1472</v>
      </c>
      <c r="K7396" s="22" t="s">
        <v>20</v>
      </c>
      <c r="L7396">
        <v>1</v>
      </c>
      <c r="M7396">
        <v>1</v>
      </c>
      <c r="O7396" s="31"/>
      <c r="P7396" s="26"/>
      <c r="Q7396" s="26"/>
    </row>
    <row r="7397" spans="10:17" x14ac:dyDescent="0.25">
      <c r="J7397" t="s">
        <v>3707</v>
      </c>
      <c r="K7397" s="22" t="s">
        <v>30</v>
      </c>
      <c r="L7397">
        <v>1</v>
      </c>
      <c r="O7397" s="30"/>
      <c r="P7397" s="26"/>
      <c r="Q7397" s="26"/>
    </row>
    <row r="7398" spans="10:17" x14ac:dyDescent="0.25">
      <c r="J7398" t="s">
        <v>2655</v>
      </c>
      <c r="K7398" s="22" t="s">
        <v>26</v>
      </c>
      <c r="L7398">
        <v>1</v>
      </c>
      <c r="M7398">
        <v>1</v>
      </c>
      <c r="O7398" s="31"/>
      <c r="P7398" s="26"/>
      <c r="Q7398" s="26"/>
    </row>
    <row r="7399" spans="10:17" x14ac:dyDescent="0.25">
      <c r="J7399" t="s">
        <v>3436</v>
      </c>
      <c r="K7399" s="22" t="s">
        <v>22</v>
      </c>
      <c r="L7399">
        <v>1</v>
      </c>
      <c r="O7399" s="30"/>
      <c r="P7399" s="26"/>
      <c r="Q7399" s="26"/>
    </row>
    <row r="7400" spans="10:17" x14ac:dyDescent="0.25">
      <c r="J7400" t="s">
        <v>1253</v>
      </c>
      <c r="K7400" s="22" t="s">
        <v>31</v>
      </c>
      <c r="L7400">
        <v>1</v>
      </c>
      <c r="M7400">
        <v>1</v>
      </c>
      <c r="O7400" s="31"/>
      <c r="P7400" s="26"/>
      <c r="Q7400" s="26"/>
    </row>
    <row r="7401" spans="10:17" x14ac:dyDescent="0.25">
      <c r="J7401" t="s">
        <v>1424</v>
      </c>
      <c r="K7401" s="22" t="s">
        <v>29</v>
      </c>
      <c r="L7401">
        <v>1</v>
      </c>
      <c r="O7401" s="30"/>
      <c r="P7401" s="26"/>
      <c r="Q7401" s="26"/>
    </row>
    <row r="7402" spans="10:17" x14ac:dyDescent="0.25">
      <c r="J7402" t="s">
        <v>1668</v>
      </c>
      <c r="K7402" s="22" t="s">
        <v>35</v>
      </c>
      <c r="L7402">
        <v>2</v>
      </c>
      <c r="M7402">
        <v>1</v>
      </c>
      <c r="O7402" s="30"/>
      <c r="P7402" s="26"/>
      <c r="Q7402" s="26"/>
    </row>
    <row r="7403" spans="10:17" x14ac:dyDescent="0.25">
      <c r="J7403" t="s">
        <v>3708</v>
      </c>
      <c r="K7403" s="22" t="s">
        <v>26</v>
      </c>
      <c r="L7403">
        <v>1</v>
      </c>
      <c r="O7403" s="30"/>
      <c r="P7403" s="26"/>
      <c r="Q7403" s="26"/>
    </row>
    <row r="7404" spans="10:17" x14ac:dyDescent="0.25">
      <c r="J7404" t="s">
        <v>1827</v>
      </c>
      <c r="K7404" s="22" t="s">
        <v>24</v>
      </c>
      <c r="L7404">
        <v>1</v>
      </c>
      <c r="M7404">
        <v>1</v>
      </c>
      <c r="O7404" s="31"/>
      <c r="P7404" s="26"/>
      <c r="Q7404" s="26"/>
    </row>
    <row r="7405" spans="10:17" x14ac:dyDescent="0.25">
      <c r="J7405" t="s">
        <v>3344</v>
      </c>
      <c r="K7405" s="22" t="s">
        <v>29</v>
      </c>
      <c r="L7405">
        <v>1</v>
      </c>
      <c r="O7405" s="30"/>
      <c r="P7405" s="26"/>
      <c r="Q7405" s="26"/>
    </row>
    <row r="7406" spans="10:17" x14ac:dyDescent="0.25">
      <c r="J7406" t="s">
        <v>2424</v>
      </c>
      <c r="K7406" s="22" t="s">
        <v>22</v>
      </c>
      <c r="L7406">
        <v>1</v>
      </c>
      <c r="M7406">
        <v>1</v>
      </c>
      <c r="O7406" s="31"/>
      <c r="P7406" s="26"/>
      <c r="Q7406" s="26"/>
    </row>
    <row r="7407" spans="10:17" x14ac:dyDescent="0.25">
      <c r="J7407" t="s">
        <v>914</v>
      </c>
      <c r="K7407" s="22" t="s">
        <v>30</v>
      </c>
      <c r="L7407">
        <v>1</v>
      </c>
      <c r="O7407" s="30"/>
      <c r="P7407" s="26"/>
      <c r="Q7407" s="26"/>
    </row>
    <row r="7408" spans="10:17" x14ac:dyDescent="0.25">
      <c r="J7408" t="s">
        <v>3265</v>
      </c>
      <c r="K7408" s="22" t="s">
        <v>20</v>
      </c>
      <c r="L7408">
        <v>1</v>
      </c>
      <c r="M7408">
        <v>1</v>
      </c>
      <c r="O7408" s="31"/>
      <c r="P7408" s="26"/>
      <c r="Q7408" s="26"/>
    </row>
    <row r="7409" spans="10:17" x14ac:dyDescent="0.25">
      <c r="J7409" t="s">
        <v>3709</v>
      </c>
      <c r="K7409" s="22" t="s">
        <v>35</v>
      </c>
      <c r="L7409">
        <v>1</v>
      </c>
      <c r="O7409" s="30"/>
      <c r="P7409" s="26"/>
      <c r="Q7409" s="26"/>
    </row>
    <row r="7410" spans="10:17" x14ac:dyDescent="0.25">
      <c r="J7410" t="s">
        <v>3710</v>
      </c>
      <c r="K7410" s="22" t="s">
        <v>28</v>
      </c>
      <c r="L7410">
        <v>1</v>
      </c>
      <c r="M7410">
        <v>1</v>
      </c>
      <c r="O7410" s="31"/>
      <c r="P7410" s="26"/>
      <c r="Q7410" s="26"/>
    </row>
    <row r="7411" spans="10:17" x14ac:dyDescent="0.25">
      <c r="J7411" t="s">
        <v>1389</v>
      </c>
      <c r="K7411" s="22" t="s">
        <v>35</v>
      </c>
      <c r="L7411">
        <v>1</v>
      </c>
      <c r="M7411">
        <v>1</v>
      </c>
      <c r="O7411" s="31"/>
      <c r="P7411" s="26"/>
      <c r="Q7411" s="26"/>
    </row>
    <row r="7412" spans="10:17" x14ac:dyDescent="0.25">
      <c r="J7412" t="s">
        <v>657</v>
      </c>
      <c r="K7412" s="22" t="s">
        <v>30</v>
      </c>
      <c r="L7412">
        <v>1</v>
      </c>
      <c r="M7412">
        <v>1</v>
      </c>
      <c r="O7412" s="31"/>
      <c r="P7412" s="26"/>
      <c r="Q7412" s="26"/>
    </row>
    <row r="7413" spans="10:17" x14ac:dyDescent="0.25">
      <c r="J7413" t="s">
        <v>3711</v>
      </c>
      <c r="K7413" s="22" t="s">
        <v>22</v>
      </c>
      <c r="L7413">
        <v>1</v>
      </c>
      <c r="O7413" s="30"/>
      <c r="P7413" s="26"/>
      <c r="Q7413" s="26"/>
    </row>
    <row r="7414" spans="10:17" x14ac:dyDescent="0.25">
      <c r="J7414" t="s">
        <v>1079</v>
      </c>
      <c r="K7414" s="22" t="s">
        <v>24</v>
      </c>
      <c r="L7414">
        <v>1</v>
      </c>
      <c r="M7414">
        <v>1</v>
      </c>
      <c r="O7414" s="31"/>
      <c r="P7414" s="26"/>
      <c r="Q7414" s="26"/>
    </row>
    <row r="7415" spans="10:17" x14ac:dyDescent="0.25">
      <c r="J7415" t="s">
        <v>3488</v>
      </c>
      <c r="K7415" s="22" t="s">
        <v>22</v>
      </c>
      <c r="L7415">
        <v>1</v>
      </c>
      <c r="M7415">
        <v>1</v>
      </c>
      <c r="O7415" s="31"/>
      <c r="P7415" s="26"/>
      <c r="Q7415" s="26"/>
    </row>
    <row r="7416" spans="10:17" x14ac:dyDescent="0.25">
      <c r="J7416" t="s">
        <v>2618</v>
      </c>
      <c r="K7416" s="22" t="s">
        <v>29</v>
      </c>
      <c r="L7416">
        <v>1</v>
      </c>
      <c r="M7416">
        <v>1</v>
      </c>
      <c r="O7416" s="31"/>
      <c r="P7416" s="26"/>
      <c r="Q7416" s="26"/>
    </row>
    <row r="7417" spans="10:17" x14ac:dyDescent="0.25">
      <c r="J7417" t="s">
        <v>3044</v>
      </c>
      <c r="K7417" s="22" t="s">
        <v>22</v>
      </c>
      <c r="L7417">
        <v>1</v>
      </c>
      <c r="O7417" s="30"/>
      <c r="P7417" s="26"/>
      <c r="Q7417" s="26"/>
    </row>
    <row r="7418" spans="10:17" x14ac:dyDescent="0.25">
      <c r="J7418" t="s">
        <v>3425</v>
      </c>
      <c r="K7418" s="22" t="s">
        <v>31</v>
      </c>
      <c r="L7418">
        <v>1</v>
      </c>
      <c r="O7418" s="30"/>
      <c r="P7418" s="26"/>
      <c r="Q7418" s="26"/>
    </row>
    <row r="7419" spans="10:17" x14ac:dyDescent="0.25">
      <c r="J7419" t="s">
        <v>399</v>
      </c>
      <c r="K7419" s="22" t="s">
        <v>35</v>
      </c>
      <c r="L7419">
        <v>1</v>
      </c>
      <c r="M7419">
        <v>1</v>
      </c>
      <c r="O7419" s="31"/>
      <c r="P7419" s="26"/>
      <c r="Q7419" s="26"/>
    </row>
    <row r="7420" spans="10:17" x14ac:dyDescent="0.25">
      <c r="J7420" t="s">
        <v>484</v>
      </c>
      <c r="K7420" s="22" t="s">
        <v>35</v>
      </c>
      <c r="L7420">
        <v>1</v>
      </c>
      <c r="O7420" s="30"/>
      <c r="P7420" s="26"/>
      <c r="Q7420" s="26"/>
    </row>
    <row r="7421" spans="10:17" x14ac:dyDescent="0.25">
      <c r="J7421" t="s">
        <v>1327</v>
      </c>
      <c r="K7421" s="22" t="s">
        <v>31</v>
      </c>
      <c r="L7421">
        <v>1</v>
      </c>
      <c r="O7421" s="30"/>
      <c r="P7421" s="26"/>
      <c r="Q7421" s="26"/>
    </row>
    <row r="7422" spans="10:17" x14ac:dyDescent="0.25">
      <c r="J7422" t="s">
        <v>3641</v>
      </c>
      <c r="K7422" s="22" t="s">
        <v>30</v>
      </c>
      <c r="L7422">
        <v>1</v>
      </c>
      <c r="M7422">
        <v>1</v>
      </c>
      <c r="O7422" s="31"/>
      <c r="P7422" s="26"/>
      <c r="Q7422" s="26"/>
    </row>
    <row r="7423" spans="10:17" x14ac:dyDescent="0.25">
      <c r="J7423" t="s">
        <v>493</v>
      </c>
      <c r="K7423" s="22" t="s">
        <v>26</v>
      </c>
      <c r="L7423">
        <v>1</v>
      </c>
      <c r="O7423" s="30"/>
      <c r="P7423" s="26"/>
      <c r="Q7423" s="26"/>
    </row>
    <row r="7424" spans="10:17" x14ac:dyDescent="0.25">
      <c r="J7424" t="s">
        <v>1644</v>
      </c>
      <c r="K7424" s="22" t="s">
        <v>35</v>
      </c>
      <c r="L7424">
        <v>1</v>
      </c>
      <c r="O7424" s="30"/>
      <c r="P7424" s="26"/>
      <c r="Q7424" s="26"/>
    </row>
    <row r="7425" spans="10:17" x14ac:dyDescent="0.25">
      <c r="J7425" t="s">
        <v>490</v>
      </c>
      <c r="K7425" s="22" t="s">
        <v>30</v>
      </c>
      <c r="L7425">
        <v>1</v>
      </c>
      <c r="M7425">
        <v>1</v>
      </c>
      <c r="O7425" s="31"/>
      <c r="P7425" s="26"/>
      <c r="Q7425" s="26"/>
    </row>
    <row r="7426" spans="10:17" x14ac:dyDescent="0.25">
      <c r="J7426" t="s">
        <v>159</v>
      </c>
      <c r="K7426" s="22" t="s">
        <v>28</v>
      </c>
      <c r="L7426">
        <v>1</v>
      </c>
      <c r="M7426">
        <v>1</v>
      </c>
      <c r="O7426" s="31"/>
      <c r="P7426" s="26"/>
      <c r="Q7426" s="26"/>
    </row>
    <row r="7427" spans="10:17" x14ac:dyDescent="0.25">
      <c r="J7427" t="s">
        <v>1315</v>
      </c>
      <c r="K7427" s="22" t="s">
        <v>35</v>
      </c>
      <c r="L7427">
        <v>1</v>
      </c>
      <c r="O7427" s="30"/>
      <c r="P7427" s="26"/>
      <c r="Q7427" s="26"/>
    </row>
    <row r="7428" spans="10:17" x14ac:dyDescent="0.25">
      <c r="J7428" t="s">
        <v>3584</v>
      </c>
      <c r="K7428" s="22" t="s">
        <v>24</v>
      </c>
      <c r="L7428">
        <v>1</v>
      </c>
      <c r="O7428" s="30"/>
      <c r="P7428" s="26"/>
      <c r="Q7428" s="26"/>
    </row>
    <row r="7429" spans="10:17" x14ac:dyDescent="0.25">
      <c r="J7429" t="s">
        <v>3712</v>
      </c>
      <c r="K7429" s="22" t="s">
        <v>29</v>
      </c>
      <c r="L7429">
        <v>2</v>
      </c>
      <c r="M7429">
        <v>2</v>
      </c>
      <c r="O7429" s="31"/>
      <c r="P7429" s="26"/>
      <c r="Q7429" s="26"/>
    </row>
    <row r="7430" spans="10:17" x14ac:dyDescent="0.25">
      <c r="J7430" t="s">
        <v>3540</v>
      </c>
      <c r="K7430" s="22" t="s">
        <v>30</v>
      </c>
      <c r="L7430">
        <v>3</v>
      </c>
      <c r="M7430">
        <v>2</v>
      </c>
      <c r="O7430" s="30"/>
      <c r="P7430" s="26"/>
      <c r="Q7430" s="26"/>
    </row>
    <row r="7431" spans="10:17" x14ac:dyDescent="0.25">
      <c r="J7431" t="s">
        <v>3713</v>
      </c>
      <c r="K7431" s="22" t="s">
        <v>26</v>
      </c>
      <c r="L7431">
        <v>1</v>
      </c>
      <c r="O7431" s="30"/>
      <c r="P7431" s="26"/>
      <c r="Q7431" s="26"/>
    </row>
    <row r="7432" spans="10:17" x14ac:dyDescent="0.25">
      <c r="J7432" t="s">
        <v>3226</v>
      </c>
      <c r="K7432" s="22" t="s">
        <v>26</v>
      </c>
      <c r="L7432">
        <v>1</v>
      </c>
      <c r="O7432" s="30"/>
      <c r="P7432" s="26"/>
      <c r="Q7432" s="26"/>
    </row>
    <row r="7433" spans="10:17" x14ac:dyDescent="0.25">
      <c r="J7433" t="s">
        <v>3219</v>
      </c>
      <c r="K7433" s="22" t="s">
        <v>24</v>
      </c>
      <c r="L7433">
        <v>1</v>
      </c>
      <c r="O7433" s="30"/>
      <c r="P7433" s="26"/>
      <c r="Q7433" s="26"/>
    </row>
    <row r="7434" spans="10:17" x14ac:dyDescent="0.25">
      <c r="J7434" t="s">
        <v>3315</v>
      </c>
      <c r="K7434" s="22" t="s">
        <v>20</v>
      </c>
      <c r="L7434">
        <v>1</v>
      </c>
      <c r="M7434">
        <v>1</v>
      </c>
      <c r="O7434" s="31"/>
      <c r="P7434" s="26"/>
      <c r="Q7434" s="26"/>
    </row>
    <row r="7435" spans="10:17" x14ac:dyDescent="0.25">
      <c r="J7435" t="s">
        <v>3451</v>
      </c>
      <c r="K7435" s="22" t="s">
        <v>22</v>
      </c>
      <c r="L7435">
        <v>2</v>
      </c>
      <c r="M7435">
        <v>2</v>
      </c>
      <c r="O7435" s="31"/>
      <c r="P7435" s="26"/>
      <c r="Q7435" s="26"/>
    </row>
    <row r="7436" spans="10:17" x14ac:dyDescent="0.25">
      <c r="J7436" t="s">
        <v>3714</v>
      </c>
      <c r="K7436" s="22" t="s">
        <v>28</v>
      </c>
      <c r="L7436">
        <v>1</v>
      </c>
      <c r="O7436" s="30"/>
      <c r="P7436" s="26"/>
      <c r="Q7436" s="26"/>
    </row>
    <row r="7437" spans="10:17" x14ac:dyDescent="0.25">
      <c r="J7437" t="s">
        <v>3011</v>
      </c>
      <c r="K7437" s="22" t="s">
        <v>29</v>
      </c>
      <c r="L7437">
        <v>1</v>
      </c>
      <c r="M7437">
        <v>1</v>
      </c>
      <c r="O7437" s="31"/>
      <c r="P7437" s="26"/>
      <c r="Q7437" s="26"/>
    </row>
    <row r="7438" spans="10:17" x14ac:dyDescent="0.25">
      <c r="J7438" t="s">
        <v>3715</v>
      </c>
      <c r="K7438" s="22" t="s">
        <v>26</v>
      </c>
      <c r="L7438">
        <v>1</v>
      </c>
      <c r="O7438" s="30"/>
      <c r="P7438" s="26"/>
      <c r="Q7438" s="26"/>
    </row>
    <row r="7439" spans="10:17" x14ac:dyDescent="0.25">
      <c r="J7439" t="s">
        <v>2309</v>
      </c>
      <c r="K7439" s="22" t="s">
        <v>20</v>
      </c>
      <c r="L7439">
        <v>4</v>
      </c>
      <c r="M7439">
        <v>4</v>
      </c>
      <c r="O7439" s="31"/>
      <c r="P7439" s="26"/>
      <c r="Q7439" s="26"/>
    </row>
    <row r="7440" spans="10:17" x14ac:dyDescent="0.25">
      <c r="J7440" t="s">
        <v>3226</v>
      </c>
      <c r="K7440" s="22" t="s">
        <v>35</v>
      </c>
      <c r="L7440">
        <v>5</v>
      </c>
      <c r="M7440">
        <v>3</v>
      </c>
      <c r="O7440" s="30"/>
      <c r="P7440" s="26"/>
      <c r="Q7440" s="26"/>
    </row>
    <row r="7441" spans="10:17" x14ac:dyDescent="0.25">
      <c r="J7441" t="s">
        <v>3571</v>
      </c>
      <c r="K7441" s="22" t="s">
        <v>30</v>
      </c>
      <c r="L7441">
        <v>1</v>
      </c>
      <c r="O7441" s="30"/>
      <c r="P7441" s="26"/>
      <c r="Q7441" s="26"/>
    </row>
    <row r="7442" spans="10:17" x14ac:dyDescent="0.25">
      <c r="J7442" t="s">
        <v>3571</v>
      </c>
      <c r="K7442" s="22" t="s">
        <v>24</v>
      </c>
      <c r="L7442">
        <v>1</v>
      </c>
      <c r="O7442" s="30"/>
      <c r="P7442" s="26"/>
      <c r="Q7442" s="26"/>
    </row>
    <row r="7443" spans="10:17" x14ac:dyDescent="0.25">
      <c r="J7443" t="s">
        <v>2971</v>
      </c>
      <c r="K7443" s="22" t="s">
        <v>24</v>
      </c>
      <c r="L7443">
        <v>1</v>
      </c>
      <c r="M7443">
        <v>1</v>
      </c>
      <c r="O7443" s="31"/>
      <c r="P7443" s="26"/>
      <c r="Q7443" s="26"/>
    </row>
    <row r="7444" spans="10:17" x14ac:dyDescent="0.25">
      <c r="J7444" t="s">
        <v>3713</v>
      </c>
      <c r="K7444" s="22" t="s">
        <v>24</v>
      </c>
      <c r="L7444">
        <v>1</v>
      </c>
      <c r="O7444" s="30"/>
      <c r="P7444" s="26"/>
      <c r="Q7444" s="26"/>
    </row>
    <row r="7445" spans="10:17" x14ac:dyDescent="0.25">
      <c r="J7445" t="s">
        <v>3571</v>
      </c>
      <c r="K7445" s="22" t="s">
        <v>26</v>
      </c>
      <c r="L7445">
        <v>1</v>
      </c>
      <c r="O7445" s="30"/>
      <c r="P7445" s="26"/>
      <c r="Q7445" s="26"/>
    </row>
    <row r="7446" spans="10:17" x14ac:dyDescent="0.25">
      <c r="J7446" t="s">
        <v>3689</v>
      </c>
      <c r="K7446" s="22" t="s">
        <v>24</v>
      </c>
      <c r="L7446">
        <v>1</v>
      </c>
      <c r="M7446">
        <v>1</v>
      </c>
      <c r="O7446" s="31"/>
      <c r="P7446" s="26"/>
      <c r="Q7446" s="26"/>
    </row>
    <row r="7447" spans="10:17" x14ac:dyDescent="0.25">
      <c r="J7447" t="s">
        <v>3716</v>
      </c>
      <c r="K7447" s="22" t="s">
        <v>30</v>
      </c>
      <c r="L7447">
        <v>1</v>
      </c>
      <c r="O7447" s="30"/>
      <c r="P7447" s="26"/>
      <c r="Q7447" s="26"/>
    </row>
    <row r="7448" spans="10:17" x14ac:dyDescent="0.25">
      <c r="J7448" t="s">
        <v>3714</v>
      </c>
      <c r="K7448" s="22" t="s">
        <v>24</v>
      </c>
      <c r="L7448">
        <v>1</v>
      </c>
      <c r="O7448" s="30"/>
      <c r="P7448" s="26"/>
      <c r="Q7448" s="26"/>
    </row>
    <row r="7449" spans="10:17" x14ac:dyDescent="0.25">
      <c r="J7449" t="s">
        <v>3560</v>
      </c>
      <c r="K7449" s="22" t="s">
        <v>26</v>
      </c>
      <c r="L7449">
        <v>1</v>
      </c>
      <c r="O7449" s="30"/>
      <c r="P7449" s="26"/>
      <c r="Q7449" s="26"/>
    </row>
    <row r="7450" spans="10:17" x14ac:dyDescent="0.25">
      <c r="J7450" t="s">
        <v>3559</v>
      </c>
      <c r="K7450" s="22" t="s">
        <v>20</v>
      </c>
      <c r="L7450">
        <v>1</v>
      </c>
      <c r="O7450" s="30"/>
      <c r="P7450" s="26"/>
      <c r="Q7450" s="26"/>
    </row>
    <row r="7451" spans="10:17" x14ac:dyDescent="0.25">
      <c r="J7451" t="s">
        <v>3053</v>
      </c>
      <c r="K7451" s="22" t="s">
        <v>29</v>
      </c>
      <c r="L7451">
        <v>1</v>
      </c>
      <c r="M7451">
        <v>1</v>
      </c>
      <c r="O7451" s="31"/>
      <c r="P7451" s="26"/>
      <c r="Q7451" s="26"/>
    </row>
    <row r="7452" spans="10:17" x14ac:dyDescent="0.25">
      <c r="J7452" t="s">
        <v>2543</v>
      </c>
      <c r="K7452" s="22" t="s">
        <v>24</v>
      </c>
      <c r="L7452">
        <v>4</v>
      </c>
      <c r="M7452">
        <v>4</v>
      </c>
      <c r="O7452" s="31"/>
      <c r="P7452" s="26"/>
      <c r="Q7452" s="26"/>
    </row>
    <row r="7453" spans="10:17" x14ac:dyDescent="0.25">
      <c r="J7453" t="s">
        <v>3549</v>
      </c>
      <c r="K7453" s="22" t="s">
        <v>26</v>
      </c>
      <c r="L7453">
        <v>1</v>
      </c>
      <c r="M7453">
        <v>1</v>
      </c>
      <c r="O7453" s="31"/>
      <c r="P7453" s="26"/>
      <c r="Q7453" s="26"/>
    </row>
    <row r="7454" spans="10:17" x14ac:dyDescent="0.25">
      <c r="J7454" t="s">
        <v>2289</v>
      </c>
      <c r="K7454" s="22" t="s">
        <v>28</v>
      </c>
      <c r="L7454">
        <v>1</v>
      </c>
      <c r="O7454" s="30"/>
      <c r="P7454" s="26"/>
      <c r="Q7454" s="26"/>
    </row>
    <row r="7455" spans="10:17" x14ac:dyDescent="0.25">
      <c r="J7455" t="s">
        <v>2847</v>
      </c>
      <c r="K7455" s="22" t="s">
        <v>24</v>
      </c>
      <c r="L7455">
        <v>1</v>
      </c>
      <c r="O7455" s="30"/>
      <c r="P7455" s="26"/>
      <c r="Q7455" s="26"/>
    </row>
    <row r="7456" spans="10:17" x14ac:dyDescent="0.25">
      <c r="J7456" t="s">
        <v>1139</v>
      </c>
      <c r="K7456" s="22" t="s">
        <v>29</v>
      </c>
      <c r="L7456">
        <v>4</v>
      </c>
      <c r="M7456">
        <v>4</v>
      </c>
      <c r="O7456" s="31"/>
      <c r="P7456" s="26"/>
      <c r="Q7456" s="26"/>
    </row>
    <row r="7457" spans="10:17" x14ac:dyDescent="0.25">
      <c r="J7457" t="s">
        <v>482</v>
      </c>
      <c r="K7457" s="22" t="s">
        <v>35</v>
      </c>
      <c r="L7457">
        <v>2</v>
      </c>
      <c r="M7457">
        <v>2</v>
      </c>
      <c r="O7457" s="31"/>
      <c r="P7457" s="26"/>
      <c r="Q7457" s="26"/>
    </row>
    <row r="7458" spans="10:17" x14ac:dyDescent="0.25">
      <c r="J7458" t="s">
        <v>3172</v>
      </c>
      <c r="K7458" s="22" t="s">
        <v>20</v>
      </c>
      <c r="L7458">
        <v>6</v>
      </c>
      <c r="M7458">
        <v>6</v>
      </c>
      <c r="O7458" s="31"/>
      <c r="P7458" s="26"/>
      <c r="Q7458" s="26"/>
    </row>
    <row r="7459" spans="10:17" x14ac:dyDescent="0.25">
      <c r="J7459" t="s">
        <v>3717</v>
      </c>
      <c r="K7459" s="22" t="s">
        <v>24</v>
      </c>
      <c r="L7459">
        <v>1</v>
      </c>
      <c r="O7459" s="30"/>
      <c r="P7459" s="26"/>
      <c r="Q7459" s="26"/>
    </row>
    <row r="7460" spans="10:17" x14ac:dyDescent="0.25">
      <c r="J7460" t="s">
        <v>3164</v>
      </c>
      <c r="K7460" s="22" t="s">
        <v>29</v>
      </c>
      <c r="L7460">
        <v>3</v>
      </c>
      <c r="M7460">
        <v>3</v>
      </c>
      <c r="O7460" s="31"/>
      <c r="P7460" s="26"/>
      <c r="Q7460" s="26"/>
    </row>
    <row r="7461" spans="10:17" x14ac:dyDescent="0.25">
      <c r="J7461" t="s">
        <v>3713</v>
      </c>
      <c r="K7461" s="22" t="s">
        <v>28</v>
      </c>
      <c r="L7461">
        <v>1</v>
      </c>
      <c r="M7461">
        <v>1</v>
      </c>
      <c r="O7461" s="31"/>
      <c r="P7461" s="26"/>
      <c r="Q7461" s="26"/>
    </row>
    <row r="7462" spans="10:17" x14ac:dyDescent="0.25">
      <c r="J7462" t="s">
        <v>2712</v>
      </c>
      <c r="K7462" s="22" t="s">
        <v>31</v>
      </c>
      <c r="L7462">
        <v>2</v>
      </c>
      <c r="O7462" s="30"/>
      <c r="P7462" s="26"/>
      <c r="Q7462" s="26"/>
    </row>
    <row r="7463" spans="10:17" x14ac:dyDescent="0.25">
      <c r="J7463" t="s">
        <v>2289</v>
      </c>
      <c r="K7463" s="22" t="s">
        <v>22</v>
      </c>
      <c r="L7463">
        <v>1</v>
      </c>
      <c r="O7463" s="30"/>
      <c r="P7463" s="26"/>
      <c r="Q7463" s="26"/>
    </row>
    <row r="7464" spans="10:17" x14ac:dyDescent="0.25">
      <c r="J7464" t="s">
        <v>3718</v>
      </c>
      <c r="K7464" s="22" t="s">
        <v>30</v>
      </c>
      <c r="L7464">
        <v>1</v>
      </c>
      <c r="M7464">
        <v>1</v>
      </c>
      <c r="O7464" s="31"/>
      <c r="P7464" s="26"/>
      <c r="Q7464" s="26"/>
    </row>
    <row r="7465" spans="10:17" x14ac:dyDescent="0.25">
      <c r="J7465" t="s">
        <v>3540</v>
      </c>
      <c r="K7465" s="22" t="s">
        <v>28</v>
      </c>
      <c r="L7465">
        <v>2</v>
      </c>
      <c r="M7465">
        <v>2</v>
      </c>
      <c r="O7465" s="31"/>
      <c r="P7465" s="26"/>
      <c r="Q7465" s="26"/>
    </row>
    <row r="7466" spans="10:17" x14ac:dyDescent="0.25">
      <c r="J7466" t="s">
        <v>3541</v>
      </c>
      <c r="K7466" s="22" t="s">
        <v>24</v>
      </c>
      <c r="L7466">
        <v>1</v>
      </c>
      <c r="O7466" s="30"/>
      <c r="P7466" s="26"/>
      <c r="Q7466" s="26"/>
    </row>
    <row r="7467" spans="10:17" x14ac:dyDescent="0.25">
      <c r="J7467" t="s">
        <v>2491</v>
      </c>
      <c r="K7467" s="22" t="s">
        <v>22</v>
      </c>
      <c r="L7467">
        <v>1</v>
      </c>
      <c r="M7467">
        <v>1</v>
      </c>
      <c r="O7467" s="31"/>
      <c r="P7467" s="26"/>
      <c r="Q7467" s="26"/>
    </row>
    <row r="7468" spans="10:17" x14ac:dyDescent="0.25">
      <c r="J7468" t="s">
        <v>2402</v>
      </c>
      <c r="K7468" s="22" t="s">
        <v>26</v>
      </c>
      <c r="L7468">
        <v>1</v>
      </c>
      <c r="O7468" s="30"/>
      <c r="P7468" s="26"/>
      <c r="Q7468" s="26"/>
    </row>
    <row r="7469" spans="10:17" x14ac:dyDescent="0.25">
      <c r="J7469" t="s">
        <v>3541</v>
      </c>
      <c r="K7469" s="22" t="s">
        <v>26</v>
      </c>
      <c r="L7469">
        <v>1</v>
      </c>
      <c r="O7469" s="30"/>
      <c r="P7469" s="26"/>
      <c r="Q7469" s="26"/>
    </row>
    <row r="7470" spans="10:17" x14ac:dyDescent="0.25">
      <c r="J7470" t="s">
        <v>3411</v>
      </c>
      <c r="K7470" s="22" t="s">
        <v>26</v>
      </c>
      <c r="L7470">
        <v>1</v>
      </c>
      <c r="O7470" s="30"/>
      <c r="P7470" s="26"/>
      <c r="Q7470" s="26"/>
    </row>
    <row r="7471" spans="10:17" x14ac:dyDescent="0.25">
      <c r="J7471" t="s">
        <v>1883</v>
      </c>
      <c r="K7471" s="22" t="s">
        <v>30</v>
      </c>
      <c r="L7471">
        <v>1</v>
      </c>
      <c r="O7471" s="30"/>
      <c r="P7471" s="26"/>
      <c r="Q7471" s="26"/>
    </row>
    <row r="7472" spans="10:17" x14ac:dyDescent="0.25">
      <c r="J7472" t="s">
        <v>3473</v>
      </c>
      <c r="K7472" s="22" t="s">
        <v>31</v>
      </c>
      <c r="L7472">
        <v>1</v>
      </c>
      <c r="O7472" s="30"/>
      <c r="P7472" s="26"/>
      <c r="Q7472" s="26"/>
    </row>
    <row r="7473" spans="10:17" x14ac:dyDescent="0.25">
      <c r="J7473" t="s">
        <v>3559</v>
      </c>
      <c r="K7473" s="22" t="s">
        <v>30</v>
      </c>
      <c r="L7473">
        <v>1</v>
      </c>
      <c r="O7473" s="30"/>
      <c r="P7473" s="26"/>
      <c r="Q7473" s="26"/>
    </row>
    <row r="7474" spans="10:17" x14ac:dyDescent="0.25">
      <c r="J7474" t="s">
        <v>3610</v>
      </c>
      <c r="K7474" s="22" t="s">
        <v>22</v>
      </c>
      <c r="L7474">
        <v>1</v>
      </c>
      <c r="O7474" s="30"/>
      <c r="P7474" s="26"/>
      <c r="Q7474" s="26"/>
    </row>
    <row r="7475" spans="10:17" x14ac:dyDescent="0.25">
      <c r="J7475" t="s">
        <v>27</v>
      </c>
      <c r="K7475" s="22" t="s">
        <v>22</v>
      </c>
      <c r="L7475">
        <v>2</v>
      </c>
      <c r="M7475">
        <v>2</v>
      </c>
      <c r="O7475" s="31"/>
      <c r="P7475" s="26"/>
      <c r="Q7475" s="26"/>
    </row>
    <row r="7476" spans="10:17" x14ac:dyDescent="0.25">
      <c r="J7476" t="s">
        <v>2375</v>
      </c>
      <c r="K7476" s="22" t="s">
        <v>29</v>
      </c>
      <c r="L7476">
        <v>1</v>
      </c>
      <c r="O7476" s="30"/>
      <c r="P7476" s="26"/>
      <c r="Q7476" s="26"/>
    </row>
    <row r="7477" spans="10:17" x14ac:dyDescent="0.25">
      <c r="J7477" t="s">
        <v>3282</v>
      </c>
      <c r="K7477" s="22" t="s">
        <v>30</v>
      </c>
      <c r="L7477">
        <v>1</v>
      </c>
      <c r="M7477">
        <v>1</v>
      </c>
      <c r="O7477" s="31"/>
      <c r="P7477" s="26"/>
      <c r="Q7477" s="26"/>
    </row>
    <row r="7478" spans="10:17" x14ac:dyDescent="0.25">
      <c r="J7478" t="s">
        <v>3719</v>
      </c>
      <c r="K7478" s="22" t="s">
        <v>31</v>
      </c>
      <c r="L7478">
        <v>1</v>
      </c>
      <c r="O7478" s="30"/>
      <c r="P7478" s="26"/>
      <c r="Q7478" s="26"/>
    </row>
    <row r="7479" spans="10:17" x14ac:dyDescent="0.25">
      <c r="J7479" t="s">
        <v>3226</v>
      </c>
      <c r="K7479" s="22" t="s">
        <v>30</v>
      </c>
      <c r="L7479">
        <v>1</v>
      </c>
      <c r="O7479" s="30"/>
      <c r="P7479" s="26"/>
      <c r="Q7479" s="26"/>
    </row>
    <row r="7480" spans="10:17" x14ac:dyDescent="0.25">
      <c r="J7480" t="s">
        <v>1416</v>
      </c>
      <c r="K7480" s="22" t="s">
        <v>22</v>
      </c>
      <c r="L7480">
        <v>1</v>
      </c>
      <c r="O7480" s="30"/>
      <c r="P7480" s="26"/>
      <c r="Q7480" s="26"/>
    </row>
    <row r="7481" spans="10:17" x14ac:dyDescent="0.25">
      <c r="J7481" t="s">
        <v>1911</v>
      </c>
      <c r="K7481" s="22" t="s">
        <v>29</v>
      </c>
      <c r="L7481">
        <v>1</v>
      </c>
      <c r="O7481" s="30"/>
      <c r="P7481" s="26"/>
      <c r="Q7481" s="26"/>
    </row>
    <row r="7482" spans="10:17" x14ac:dyDescent="0.25">
      <c r="J7482" t="s">
        <v>1493</v>
      </c>
      <c r="K7482" s="22" t="s">
        <v>30</v>
      </c>
      <c r="L7482">
        <v>1</v>
      </c>
      <c r="O7482" s="30"/>
      <c r="P7482" s="26"/>
      <c r="Q7482" s="26"/>
    </row>
    <row r="7483" spans="10:17" x14ac:dyDescent="0.25">
      <c r="J7483" t="s">
        <v>3226</v>
      </c>
      <c r="K7483" s="22" t="s">
        <v>22</v>
      </c>
      <c r="L7483">
        <v>1</v>
      </c>
      <c r="O7483" s="30"/>
      <c r="P7483" s="26"/>
      <c r="Q7483" s="26"/>
    </row>
    <row r="7484" spans="10:17" x14ac:dyDescent="0.25">
      <c r="J7484" t="s">
        <v>3571</v>
      </c>
      <c r="K7484" s="22" t="s">
        <v>22</v>
      </c>
      <c r="L7484">
        <v>1</v>
      </c>
      <c r="M7484">
        <v>1</v>
      </c>
      <c r="O7484" s="31"/>
      <c r="P7484" s="26"/>
      <c r="Q7484" s="26"/>
    </row>
    <row r="7485" spans="10:17" x14ac:dyDescent="0.25">
      <c r="J7485" t="s">
        <v>2226</v>
      </c>
      <c r="K7485" s="22" t="s">
        <v>24</v>
      </c>
      <c r="L7485">
        <v>1</v>
      </c>
      <c r="O7485" s="30"/>
      <c r="P7485" s="26"/>
      <c r="Q7485" s="26"/>
    </row>
    <row r="7486" spans="10:17" x14ac:dyDescent="0.25">
      <c r="J7486" t="s">
        <v>3720</v>
      </c>
      <c r="K7486" s="22" t="s">
        <v>26</v>
      </c>
      <c r="L7486">
        <v>1</v>
      </c>
      <c r="M7486">
        <v>1</v>
      </c>
      <c r="O7486" s="31"/>
      <c r="P7486" s="26"/>
      <c r="Q7486" s="26"/>
    </row>
    <row r="7487" spans="10:17" x14ac:dyDescent="0.25">
      <c r="J7487" t="s">
        <v>1662</v>
      </c>
      <c r="K7487" s="22" t="s">
        <v>24</v>
      </c>
      <c r="L7487">
        <v>1</v>
      </c>
      <c r="M7487">
        <v>1</v>
      </c>
      <c r="O7487" s="31"/>
      <c r="P7487" s="26"/>
      <c r="Q7487" s="26"/>
    </row>
    <row r="7488" spans="10:17" x14ac:dyDescent="0.25">
      <c r="J7488" t="s">
        <v>3721</v>
      </c>
      <c r="K7488" s="22" t="s">
        <v>20</v>
      </c>
      <c r="L7488">
        <v>1</v>
      </c>
      <c r="O7488" s="30"/>
      <c r="P7488" s="26"/>
      <c r="Q7488" s="26"/>
    </row>
    <row r="7489" spans="10:17" x14ac:dyDescent="0.25">
      <c r="J7489" t="s">
        <v>3722</v>
      </c>
      <c r="K7489" s="22" t="s">
        <v>30</v>
      </c>
      <c r="L7489">
        <v>1</v>
      </c>
      <c r="M7489">
        <v>1</v>
      </c>
      <c r="O7489" s="31"/>
      <c r="P7489" s="26"/>
      <c r="Q7489" s="26"/>
    </row>
    <row r="7490" spans="10:17" x14ac:dyDescent="0.25">
      <c r="J7490" t="s">
        <v>3723</v>
      </c>
      <c r="K7490" s="22" t="s">
        <v>35</v>
      </c>
      <c r="L7490">
        <v>1</v>
      </c>
      <c r="O7490" s="30"/>
      <c r="P7490" s="26"/>
      <c r="Q7490" s="26"/>
    </row>
    <row r="7491" spans="10:17" x14ac:dyDescent="0.25">
      <c r="J7491" t="s">
        <v>3335</v>
      </c>
      <c r="K7491" s="22" t="s">
        <v>35</v>
      </c>
      <c r="L7491">
        <v>1</v>
      </c>
      <c r="M7491">
        <v>1</v>
      </c>
      <c r="O7491" s="31"/>
      <c r="P7491" s="26"/>
      <c r="Q7491" s="26"/>
    </row>
    <row r="7492" spans="10:17" x14ac:dyDescent="0.25">
      <c r="J7492" t="s">
        <v>2871</v>
      </c>
      <c r="K7492" s="22" t="s">
        <v>29</v>
      </c>
      <c r="L7492">
        <v>2</v>
      </c>
      <c r="M7492">
        <v>2</v>
      </c>
      <c r="O7492" s="31"/>
      <c r="P7492" s="26"/>
      <c r="Q7492" s="26"/>
    </row>
    <row r="7493" spans="10:17" x14ac:dyDescent="0.25">
      <c r="J7493" t="s">
        <v>3419</v>
      </c>
      <c r="K7493" s="22" t="s">
        <v>22</v>
      </c>
      <c r="L7493">
        <v>1</v>
      </c>
      <c r="O7493" s="30"/>
      <c r="P7493" s="26"/>
      <c r="Q7493" s="26"/>
    </row>
    <row r="7494" spans="10:17" x14ac:dyDescent="0.25">
      <c r="J7494" t="s">
        <v>3725</v>
      </c>
      <c r="K7494" s="22" t="s">
        <v>29</v>
      </c>
      <c r="L7494">
        <v>1</v>
      </c>
      <c r="M7494">
        <v>1</v>
      </c>
      <c r="O7494" s="31"/>
      <c r="P7494" s="26"/>
      <c r="Q7494" s="26"/>
    </row>
    <row r="7495" spans="10:17" x14ac:dyDescent="0.25">
      <c r="J7495" t="s">
        <v>1327</v>
      </c>
      <c r="K7495" s="22" t="s">
        <v>28</v>
      </c>
      <c r="L7495">
        <v>3</v>
      </c>
      <c r="M7495">
        <v>2</v>
      </c>
      <c r="O7495" s="30"/>
      <c r="P7495" s="26"/>
      <c r="Q7495" s="26"/>
    </row>
    <row r="7496" spans="10:17" x14ac:dyDescent="0.25">
      <c r="J7496" t="s">
        <v>3281</v>
      </c>
      <c r="K7496" s="22" t="s">
        <v>24</v>
      </c>
      <c r="L7496">
        <v>1</v>
      </c>
      <c r="O7496" s="30"/>
      <c r="P7496" s="26"/>
      <c r="Q7496" s="26"/>
    </row>
    <row r="7497" spans="10:17" x14ac:dyDescent="0.25">
      <c r="J7497" t="s">
        <v>3467</v>
      </c>
      <c r="K7497" s="22" t="s">
        <v>20</v>
      </c>
      <c r="L7497">
        <v>1</v>
      </c>
      <c r="O7497" s="30"/>
      <c r="P7497" s="26"/>
      <c r="Q7497" s="26"/>
    </row>
    <row r="7498" spans="10:17" x14ac:dyDescent="0.25">
      <c r="J7498" t="s">
        <v>3726</v>
      </c>
      <c r="K7498" s="22" t="s">
        <v>35</v>
      </c>
      <c r="L7498">
        <v>1</v>
      </c>
      <c r="M7498">
        <v>1</v>
      </c>
      <c r="O7498" s="31"/>
      <c r="P7498" s="26"/>
      <c r="Q7498" s="26"/>
    </row>
    <row r="7499" spans="10:17" x14ac:dyDescent="0.25">
      <c r="J7499" t="s">
        <v>3727</v>
      </c>
      <c r="K7499" s="22" t="s">
        <v>22</v>
      </c>
      <c r="L7499">
        <v>1</v>
      </c>
      <c r="O7499" s="30"/>
      <c r="P7499" s="26"/>
      <c r="Q7499" s="26"/>
    </row>
    <row r="7500" spans="10:17" x14ac:dyDescent="0.25">
      <c r="J7500" t="s">
        <v>3358</v>
      </c>
      <c r="K7500" s="22" t="s">
        <v>20</v>
      </c>
      <c r="L7500">
        <v>1</v>
      </c>
      <c r="M7500">
        <v>1</v>
      </c>
      <c r="O7500" s="31"/>
      <c r="P7500" s="26"/>
      <c r="Q7500" s="26"/>
    </row>
    <row r="7501" spans="10:17" x14ac:dyDescent="0.25">
      <c r="J7501" t="s">
        <v>3728</v>
      </c>
      <c r="K7501" s="22" t="s">
        <v>28</v>
      </c>
      <c r="L7501">
        <v>1</v>
      </c>
      <c r="O7501" s="30"/>
      <c r="P7501" s="26"/>
      <c r="Q7501" s="26"/>
    </row>
    <row r="7502" spans="10:17" x14ac:dyDescent="0.25">
      <c r="J7502" t="s">
        <v>3509</v>
      </c>
      <c r="K7502" s="22" t="s">
        <v>29</v>
      </c>
      <c r="L7502">
        <v>1</v>
      </c>
      <c r="M7502">
        <v>1</v>
      </c>
      <c r="O7502" s="31"/>
      <c r="P7502" s="26"/>
      <c r="Q7502" s="26"/>
    </row>
    <row r="7503" spans="10:17" x14ac:dyDescent="0.25">
      <c r="J7503" t="s">
        <v>1797</v>
      </c>
      <c r="K7503" s="22" t="s">
        <v>29</v>
      </c>
      <c r="L7503">
        <v>1</v>
      </c>
      <c r="O7503" s="30"/>
      <c r="P7503" s="26"/>
      <c r="Q7503" s="26"/>
    </row>
    <row r="7504" spans="10:17" x14ac:dyDescent="0.25">
      <c r="J7504" t="s">
        <v>3729</v>
      </c>
      <c r="K7504" s="22" t="s">
        <v>26</v>
      </c>
      <c r="L7504">
        <v>2</v>
      </c>
      <c r="M7504">
        <v>2</v>
      </c>
      <c r="O7504" s="31"/>
      <c r="P7504" s="26"/>
      <c r="Q7504" s="26"/>
    </row>
    <row r="7505" spans="10:17" x14ac:dyDescent="0.25">
      <c r="J7505" t="s">
        <v>3730</v>
      </c>
      <c r="K7505" s="22" t="s">
        <v>24</v>
      </c>
      <c r="L7505">
        <v>1</v>
      </c>
      <c r="O7505" s="30"/>
      <c r="P7505" s="26"/>
      <c r="Q7505" s="26"/>
    </row>
    <row r="7506" spans="10:17" x14ac:dyDescent="0.25">
      <c r="J7506" t="s">
        <v>343</v>
      </c>
      <c r="K7506" s="22" t="s">
        <v>30</v>
      </c>
      <c r="L7506">
        <v>1</v>
      </c>
      <c r="O7506" s="30"/>
      <c r="P7506" s="26"/>
      <c r="Q7506" s="26"/>
    </row>
    <row r="7507" spans="10:17" x14ac:dyDescent="0.25">
      <c r="J7507" t="s">
        <v>3088</v>
      </c>
      <c r="K7507" s="22" t="s">
        <v>35</v>
      </c>
      <c r="L7507">
        <v>2</v>
      </c>
      <c r="M7507">
        <v>2</v>
      </c>
      <c r="O7507" s="31"/>
      <c r="P7507" s="26"/>
      <c r="Q7507" s="26"/>
    </row>
    <row r="7508" spans="10:17" x14ac:dyDescent="0.25">
      <c r="J7508" t="s">
        <v>3714</v>
      </c>
      <c r="K7508" s="22" t="s">
        <v>26</v>
      </c>
      <c r="L7508">
        <v>1</v>
      </c>
      <c r="O7508" s="30"/>
      <c r="P7508" s="26"/>
      <c r="Q7508" s="26"/>
    </row>
    <row r="7509" spans="10:17" x14ac:dyDescent="0.25">
      <c r="J7509" t="s">
        <v>3078</v>
      </c>
      <c r="K7509" s="22" t="s">
        <v>29</v>
      </c>
      <c r="L7509">
        <v>1</v>
      </c>
      <c r="M7509">
        <v>1</v>
      </c>
      <c r="O7509" s="31"/>
      <c r="P7509" s="26"/>
      <c r="Q7509" s="26"/>
    </row>
    <row r="7510" spans="10:17" x14ac:dyDescent="0.25">
      <c r="J7510" t="s">
        <v>3731</v>
      </c>
      <c r="K7510" s="22" t="s">
        <v>28</v>
      </c>
      <c r="L7510">
        <v>1</v>
      </c>
      <c r="O7510" s="30"/>
      <c r="P7510" s="26"/>
      <c r="Q7510" s="26"/>
    </row>
    <row r="7511" spans="10:17" x14ac:dyDescent="0.25">
      <c r="J7511" t="s">
        <v>651</v>
      </c>
      <c r="K7511" s="22" t="s">
        <v>26</v>
      </c>
      <c r="L7511">
        <v>1</v>
      </c>
      <c r="O7511" s="30"/>
      <c r="P7511" s="26"/>
      <c r="Q7511" s="26"/>
    </row>
    <row r="7512" spans="10:17" x14ac:dyDescent="0.25">
      <c r="J7512" t="s">
        <v>3350</v>
      </c>
      <c r="K7512" s="22" t="s">
        <v>29</v>
      </c>
      <c r="L7512">
        <v>1</v>
      </c>
      <c r="O7512" s="30"/>
      <c r="P7512" s="26"/>
      <c r="Q7512" s="26"/>
    </row>
    <row r="7513" spans="10:17" x14ac:dyDescent="0.25">
      <c r="J7513" t="s">
        <v>3732</v>
      </c>
      <c r="K7513" s="22" t="s">
        <v>28</v>
      </c>
      <c r="L7513">
        <v>1</v>
      </c>
      <c r="M7513">
        <v>1</v>
      </c>
      <c r="O7513" s="31"/>
      <c r="P7513" s="26"/>
      <c r="Q7513" s="26"/>
    </row>
    <row r="7514" spans="10:17" x14ac:dyDescent="0.25">
      <c r="J7514" t="s">
        <v>3733</v>
      </c>
      <c r="K7514" s="22" t="s">
        <v>35</v>
      </c>
      <c r="L7514">
        <v>1</v>
      </c>
      <c r="O7514" s="30"/>
      <c r="P7514" s="26"/>
      <c r="Q7514" s="26"/>
    </row>
    <row r="7515" spans="10:17" x14ac:dyDescent="0.25">
      <c r="J7515" t="s">
        <v>3734</v>
      </c>
      <c r="K7515" s="22" t="s">
        <v>20</v>
      </c>
      <c r="L7515">
        <v>1</v>
      </c>
      <c r="M7515">
        <v>1</v>
      </c>
      <c r="O7515" s="31"/>
      <c r="P7515" s="26"/>
      <c r="Q7515" s="26"/>
    </row>
    <row r="7516" spans="10:17" x14ac:dyDescent="0.25">
      <c r="J7516" t="s">
        <v>3456</v>
      </c>
      <c r="K7516" s="22" t="s">
        <v>35</v>
      </c>
      <c r="L7516">
        <v>1</v>
      </c>
      <c r="M7516">
        <v>1</v>
      </c>
      <c r="O7516" s="31"/>
      <c r="P7516" s="26"/>
      <c r="Q7516" s="26"/>
    </row>
    <row r="7517" spans="10:17" x14ac:dyDescent="0.25">
      <c r="J7517" t="s">
        <v>1493</v>
      </c>
      <c r="K7517" s="22" t="s">
        <v>24</v>
      </c>
      <c r="L7517">
        <v>1</v>
      </c>
      <c r="O7517" s="30"/>
      <c r="P7517" s="26"/>
      <c r="Q7517" s="26"/>
    </row>
    <row r="7518" spans="10:17" x14ac:dyDescent="0.25">
      <c r="J7518" t="s">
        <v>2943</v>
      </c>
      <c r="K7518" s="22" t="s">
        <v>31</v>
      </c>
      <c r="L7518">
        <v>1</v>
      </c>
      <c r="O7518" s="30"/>
      <c r="P7518" s="26"/>
      <c r="Q7518" s="26"/>
    </row>
    <row r="7519" spans="10:17" x14ac:dyDescent="0.25">
      <c r="J7519" t="s">
        <v>1768</v>
      </c>
      <c r="K7519" s="22" t="s">
        <v>29</v>
      </c>
      <c r="L7519">
        <v>2</v>
      </c>
      <c r="M7519">
        <v>2</v>
      </c>
      <c r="O7519" s="31"/>
      <c r="P7519" s="26"/>
      <c r="Q7519" s="26"/>
    </row>
    <row r="7520" spans="10:17" x14ac:dyDescent="0.25">
      <c r="J7520" t="s">
        <v>1829</v>
      </c>
      <c r="K7520" s="22" t="s">
        <v>31</v>
      </c>
      <c r="L7520">
        <v>1</v>
      </c>
      <c r="O7520" s="30"/>
      <c r="P7520" s="26"/>
      <c r="Q7520" s="26"/>
    </row>
    <row r="7521" spans="10:17" x14ac:dyDescent="0.25">
      <c r="J7521" t="s">
        <v>2682</v>
      </c>
      <c r="K7521" s="22" t="s">
        <v>22</v>
      </c>
      <c r="L7521">
        <v>1</v>
      </c>
      <c r="O7521" s="30"/>
      <c r="P7521" s="26"/>
      <c r="Q7521" s="26"/>
    </row>
    <row r="7522" spans="10:17" x14ac:dyDescent="0.25">
      <c r="J7522" t="s">
        <v>3485</v>
      </c>
      <c r="K7522" s="22" t="s">
        <v>29</v>
      </c>
      <c r="L7522">
        <v>1</v>
      </c>
      <c r="M7522">
        <v>1</v>
      </c>
      <c r="O7522" s="31"/>
      <c r="P7522" s="26"/>
      <c r="Q7522" s="26"/>
    </row>
    <row r="7523" spans="10:17" x14ac:dyDescent="0.25">
      <c r="J7523" t="s">
        <v>1797</v>
      </c>
      <c r="K7523" s="22" t="s">
        <v>30</v>
      </c>
      <c r="L7523">
        <v>1</v>
      </c>
      <c r="O7523" s="30"/>
      <c r="P7523" s="26"/>
      <c r="Q7523" s="26"/>
    </row>
    <row r="7524" spans="10:17" x14ac:dyDescent="0.25">
      <c r="J7524" t="s">
        <v>2964</v>
      </c>
      <c r="K7524" s="22" t="s">
        <v>31</v>
      </c>
      <c r="L7524">
        <v>1</v>
      </c>
      <c r="M7524">
        <v>1</v>
      </c>
      <c r="O7524" s="31"/>
      <c r="P7524" s="26"/>
      <c r="Q7524" s="26"/>
    </row>
    <row r="7525" spans="10:17" x14ac:dyDescent="0.25">
      <c r="J7525" t="s">
        <v>1449</v>
      </c>
      <c r="K7525" s="22" t="s">
        <v>20</v>
      </c>
      <c r="L7525">
        <v>1</v>
      </c>
      <c r="O7525" s="30"/>
      <c r="P7525" s="26"/>
      <c r="Q7525" s="26"/>
    </row>
    <row r="7526" spans="10:17" x14ac:dyDescent="0.25">
      <c r="J7526" t="s">
        <v>3735</v>
      </c>
      <c r="K7526" s="22" t="s">
        <v>30</v>
      </c>
      <c r="L7526">
        <v>2</v>
      </c>
      <c r="M7526">
        <v>2</v>
      </c>
      <c r="O7526" s="31"/>
      <c r="P7526" s="26"/>
      <c r="Q7526" s="26"/>
    </row>
    <row r="7527" spans="10:17" x14ac:dyDescent="0.25">
      <c r="J7527" t="s">
        <v>2403</v>
      </c>
      <c r="K7527" s="22" t="s">
        <v>29</v>
      </c>
      <c r="L7527">
        <v>1</v>
      </c>
      <c r="M7527">
        <v>1</v>
      </c>
      <c r="O7527" s="31"/>
      <c r="P7527" s="26"/>
      <c r="Q7527" s="26"/>
    </row>
    <row r="7528" spans="10:17" x14ac:dyDescent="0.25">
      <c r="J7528" t="s">
        <v>580</v>
      </c>
      <c r="K7528" s="22" t="s">
        <v>28</v>
      </c>
      <c r="L7528">
        <v>1</v>
      </c>
      <c r="O7528" s="30"/>
      <c r="P7528" s="26"/>
      <c r="Q7528" s="26"/>
    </row>
    <row r="7529" spans="10:17" x14ac:dyDescent="0.25">
      <c r="J7529" t="s">
        <v>3736</v>
      </c>
      <c r="K7529" s="22" t="s">
        <v>22</v>
      </c>
      <c r="L7529">
        <v>2</v>
      </c>
      <c r="M7529">
        <v>1</v>
      </c>
      <c r="O7529" s="30"/>
      <c r="P7529" s="26"/>
      <c r="Q7529" s="26"/>
    </row>
    <row r="7530" spans="10:17" x14ac:dyDescent="0.25">
      <c r="J7530" t="s">
        <v>3737</v>
      </c>
      <c r="K7530" s="22" t="s">
        <v>26</v>
      </c>
      <c r="L7530">
        <v>1</v>
      </c>
      <c r="O7530" s="30"/>
      <c r="P7530" s="26"/>
      <c r="Q7530" s="26"/>
    </row>
    <row r="7531" spans="10:17" x14ac:dyDescent="0.25">
      <c r="J7531" t="s">
        <v>2832</v>
      </c>
      <c r="K7531" s="22" t="s">
        <v>31</v>
      </c>
      <c r="L7531">
        <v>1</v>
      </c>
      <c r="O7531" s="30"/>
      <c r="P7531" s="26"/>
      <c r="Q7531" s="26"/>
    </row>
    <row r="7532" spans="10:17" x14ac:dyDescent="0.25">
      <c r="J7532" t="s">
        <v>2187</v>
      </c>
      <c r="K7532" s="22" t="s">
        <v>29</v>
      </c>
      <c r="L7532">
        <v>1</v>
      </c>
      <c r="M7532">
        <v>1</v>
      </c>
      <c r="O7532" s="31"/>
      <c r="P7532" s="26"/>
      <c r="Q7532" s="26"/>
    </row>
    <row r="7533" spans="10:17" x14ac:dyDescent="0.25">
      <c r="J7533" t="s">
        <v>3738</v>
      </c>
      <c r="K7533" s="22" t="s">
        <v>35</v>
      </c>
      <c r="L7533">
        <v>1</v>
      </c>
      <c r="O7533" s="30"/>
      <c r="P7533" s="26"/>
      <c r="Q7533" s="26"/>
    </row>
    <row r="7534" spans="10:17" x14ac:dyDescent="0.25">
      <c r="J7534" t="s">
        <v>793</v>
      </c>
      <c r="K7534" s="22" t="s">
        <v>22</v>
      </c>
      <c r="L7534">
        <v>1</v>
      </c>
      <c r="O7534" s="30"/>
      <c r="P7534" s="26"/>
      <c r="Q7534" s="26"/>
    </row>
    <row r="7535" spans="10:17" x14ac:dyDescent="0.25">
      <c r="J7535" t="s">
        <v>1435</v>
      </c>
      <c r="K7535" s="22" t="s">
        <v>28</v>
      </c>
      <c r="L7535">
        <v>1</v>
      </c>
      <c r="M7535">
        <v>1</v>
      </c>
      <c r="O7535" s="31"/>
      <c r="P7535" s="26"/>
      <c r="Q7535" s="26"/>
    </row>
    <row r="7536" spans="10:17" x14ac:dyDescent="0.25">
      <c r="J7536" t="s">
        <v>3185</v>
      </c>
      <c r="K7536" s="22" t="s">
        <v>22</v>
      </c>
      <c r="L7536">
        <v>1</v>
      </c>
      <c r="M7536">
        <v>1</v>
      </c>
      <c r="O7536" s="31"/>
      <c r="P7536" s="26"/>
      <c r="Q7536" s="26"/>
    </row>
    <row r="7537" spans="10:17" x14ac:dyDescent="0.25">
      <c r="J7537" t="s">
        <v>2847</v>
      </c>
      <c r="K7537" s="22" t="s">
        <v>26</v>
      </c>
      <c r="L7537">
        <v>1</v>
      </c>
      <c r="O7537" s="30"/>
      <c r="P7537" s="26"/>
      <c r="Q7537" s="26"/>
    </row>
    <row r="7538" spans="10:17" x14ac:dyDescent="0.25">
      <c r="J7538" t="s">
        <v>2915</v>
      </c>
      <c r="K7538" s="22" t="s">
        <v>30</v>
      </c>
      <c r="L7538">
        <v>1</v>
      </c>
      <c r="M7538">
        <v>1</v>
      </c>
      <c r="O7538" s="31"/>
      <c r="P7538" s="26"/>
      <c r="Q7538" s="26"/>
    </row>
    <row r="7539" spans="10:17" x14ac:dyDescent="0.25">
      <c r="J7539" t="s">
        <v>3507</v>
      </c>
      <c r="K7539" s="22" t="s">
        <v>26</v>
      </c>
      <c r="L7539">
        <v>1</v>
      </c>
      <c r="O7539" s="30"/>
      <c r="P7539" s="26"/>
      <c r="Q7539" s="26"/>
    </row>
    <row r="7540" spans="10:17" x14ac:dyDescent="0.25">
      <c r="J7540" t="s">
        <v>2709</v>
      </c>
      <c r="K7540" s="22" t="s">
        <v>29</v>
      </c>
      <c r="L7540">
        <v>2</v>
      </c>
      <c r="M7540">
        <v>2</v>
      </c>
      <c r="O7540" s="31"/>
      <c r="P7540" s="26"/>
      <c r="Q7540" s="26"/>
    </row>
    <row r="7541" spans="10:17" x14ac:dyDescent="0.25">
      <c r="J7541" t="s">
        <v>3467</v>
      </c>
      <c r="K7541" s="22" t="s">
        <v>22</v>
      </c>
      <c r="L7541">
        <v>3</v>
      </c>
      <c r="M7541">
        <v>1</v>
      </c>
      <c r="O7541" s="30"/>
      <c r="P7541" s="26"/>
      <c r="Q7541" s="26"/>
    </row>
    <row r="7542" spans="10:17" x14ac:dyDescent="0.25">
      <c r="J7542" t="s">
        <v>1230</v>
      </c>
      <c r="K7542" s="22" t="s">
        <v>29</v>
      </c>
      <c r="L7542">
        <v>1</v>
      </c>
      <c r="O7542" s="30"/>
      <c r="P7542" s="26"/>
      <c r="Q7542" s="26"/>
    </row>
    <row r="7543" spans="10:17" x14ac:dyDescent="0.25">
      <c r="J7543" t="s">
        <v>3603</v>
      </c>
      <c r="K7543" s="22" t="s">
        <v>24</v>
      </c>
      <c r="L7543">
        <v>1</v>
      </c>
      <c r="M7543">
        <v>1</v>
      </c>
      <c r="O7543" s="31"/>
      <c r="P7543" s="26"/>
      <c r="Q7543" s="26"/>
    </row>
    <row r="7544" spans="10:17" x14ac:dyDescent="0.25">
      <c r="J7544" t="s">
        <v>3739</v>
      </c>
      <c r="K7544" s="22" t="s">
        <v>28</v>
      </c>
      <c r="L7544">
        <v>1</v>
      </c>
      <c r="O7544" s="30"/>
      <c r="P7544" s="26"/>
      <c r="Q7544" s="26"/>
    </row>
    <row r="7545" spans="10:17" x14ac:dyDescent="0.25">
      <c r="J7545" t="s">
        <v>3740</v>
      </c>
      <c r="K7545" s="22" t="s">
        <v>29</v>
      </c>
      <c r="L7545">
        <v>1</v>
      </c>
      <c r="M7545">
        <v>1</v>
      </c>
      <c r="O7545" s="31"/>
      <c r="P7545" s="26"/>
      <c r="Q7545" s="26"/>
    </row>
    <row r="7546" spans="10:17" x14ac:dyDescent="0.25">
      <c r="J7546" t="s">
        <v>809</v>
      </c>
      <c r="K7546" s="22" t="s">
        <v>26</v>
      </c>
      <c r="L7546">
        <v>1</v>
      </c>
      <c r="M7546">
        <v>1</v>
      </c>
      <c r="O7546" s="31"/>
    </row>
    <row r="7547" spans="10:17" x14ac:dyDescent="0.25">
      <c r="J7547" t="s">
        <v>3705</v>
      </c>
      <c r="K7547" s="22" t="s">
        <v>22</v>
      </c>
      <c r="L7547">
        <v>1</v>
      </c>
      <c r="O7547" s="30"/>
    </row>
    <row r="7548" spans="10:17" x14ac:dyDescent="0.25">
      <c r="J7548" t="s">
        <v>1772</v>
      </c>
      <c r="K7548" s="22" t="s">
        <v>31</v>
      </c>
      <c r="L7548">
        <v>3</v>
      </c>
      <c r="O7548" s="30"/>
    </row>
    <row r="7549" spans="10:17" x14ac:dyDescent="0.25">
      <c r="J7549" t="s">
        <v>3148</v>
      </c>
      <c r="K7549" s="22" t="s">
        <v>24</v>
      </c>
      <c r="L7549">
        <v>1</v>
      </c>
      <c r="O7549" s="30"/>
    </row>
    <row r="7550" spans="10:17" x14ac:dyDescent="0.25">
      <c r="J7550" t="s">
        <v>2573</v>
      </c>
      <c r="K7550" s="22" t="s">
        <v>20</v>
      </c>
      <c r="L7550">
        <v>1</v>
      </c>
      <c r="O7550" s="30"/>
    </row>
    <row r="7551" spans="10:17" x14ac:dyDescent="0.25">
      <c r="J7551" t="s">
        <v>967</v>
      </c>
      <c r="K7551" s="22" t="s">
        <v>22</v>
      </c>
      <c r="L7551">
        <v>1</v>
      </c>
      <c r="O7551" s="30"/>
    </row>
    <row r="7552" spans="10:17" x14ac:dyDescent="0.25">
      <c r="J7552" t="s">
        <v>3741</v>
      </c>
      <c r="K7552" s="22" t="s">
        <v>28</v>
      </c>
      <c r="L7552">
        <v>1</v>
      </c>
      <c r="M7552">
        <v>1</v>
      </c>
      <c r="O7552" s="31"/>
    </row>
    <row r="7553" spans="10:15" x14ac:dyDescent="0.25">
      <c r="J7553" t="s">
        <v>1416</v>
      </c>
      <c r="K7553" s="22" t="s">
        <v>26</v>
      </c>
      <c r="L7553">
        <v>1</v>
      </c>
      <c r="O7553" s="30"/>
    </row>
    <row r="7554" spans="10:15" x14ac:dyDescent="0.25">
      <c r="J7554" t="s">
        <v>2832</v>
      </c>
      <c r="K7554" s="22" t="s">
        <v>20</v>
      </c>
      <c r="L7554">
        <v>1</v>
      </c>
      <c r="O7554" s="30"/>
    </row>
    <row r="7555" spans="10:15" x14ac:dyDescent="0.25">
      <c r="J7555" t="s">
        <v>1996</v>
      </c>
      <c r="K7555" s="22" t="s">
        <v>29</v>
      </c>
      <c r="L7555">
        <v>1</v>
      </c>
      <c r="O7555" s="30"/>
    </row>
    <row r="7556" spans="10:15" x14ac:dyDescent="0.25">
      <c r="J7556" t="s">
        <v>572</v>
      </c>
      <c r="K7556" s="22" t="s">
        <v>26</v>
      </c>
      <c r="L7556">
        <v>2</v>
      </c>
      <c r="M7556">
        <v>2</v>
      </c>
      <c r="O7556" s="31"/>
    </row>
    <row r="7557" spans="10:15" x14ac:dyDescent="0.25">
      <c r="J7557" t="s">
        <v>3742</v>
      </c>
      <c r="K7557" s="22" t="s">
        <v>20</v>
      </c>
      <c r="L7557">
        <v>1</v>
      </c>
      <c r="O7557" s="30"/>
    </row>
    <row r="7558" spans="10:15" x14ac:dyDescent="0.25">
      <c r="J7558" t="s">
        <v>3743</v>
      </c>
      <c r="K7558" s="22" t="s">
        <v>24</v>
      </c>
      <c r="L7558">
        <v>1</v>
      </c>
      <c r="M7558">
        <v>1</v>
      </c>
      <c r="O7558" s="31"/>
    </row>
    <row r="7559" spans="10:15" x14ac:dyDescent="0.25">
      <c r="J7559" t="s">
        <v>1612</v>
      </c>
      <c r="K7559" s="22" t="s">
        <v>29</v>
      </c>
      <c r="L7559">
        <v>1</v>
      </c>
      <c r="M7559">
        <v>1</v>
      </c>
      <c r="O7559" s="31"/>
    </row>
    <row r="7560" spans="10:15" x14ac:dyDescent="0.25">
      <c r="J7560" t="s">
        <v>3744</v>
      </c>
      <c r="K7560" s="22" t="s">
        <v>35</v>
      </c>
      <c r="L7560">
        <v>1</v>
      </c>
      <c r="O7560" s="30"/>
    </row>
    <row r="7561" spans="10:15" x14ac:dyDescent="0.25">
      <c r="J7561" t="s">
        <v>2774</v>
      </c>
      <c r="K7561" s="22" t="s">
        <v>20</v>
      </c>
      <c r="L7561">
        <v>1</v>
      </c>
      <c r="O7561" s="30"/>
    </row>
    <row r="7562" spans="10:15" x14ac:dyDescent="0.25">
      <c r="J7562" t="s">
        <v>2068</v>
      </c>
      <c r="K7562" s="22" t="s">
        <v>30</v>
      </c>
      <c r="L7562">
        <v>1</v>
      </c>
      <c r="O7562" s="30"/>
    </row>
    <row r="7563" spans="10:15" x14ac:dyDescent="0.25">
      <c r="J7563" t="s">
        <v>3560</v>
      </c>
      <c r="K7563" s="22" t="s">
        <v>29</v>
      </c>
      <c r="L7563">
        <v>1</v>
      </c>
      <c r="M7563">
        <v>1</v>
      </c>
      <c r="O7563" s="31"/>
    </row>
    <row r="7564" spans="10:15" x14ac:dyDescent="0.25">
      <c r="J7564" t="s">
        <v>1249</v>
      </c>
      <c r="K7564" s="22" t="s">
        <v>31</v>
      </c>
      <c r="L7564">
        <v>1</v>
      </c>
      <c r="M7564">
        <v>1</v>
      </c>
      <c r="O7564" s="31"/>
    </row>
    <row r="7565" spans="10:15" x14ac:dyDescent="0.25">
      <c r="J7565" t="s">
        <v>3209</v>
      </c>
      <c r="K7565" s="22" t="s">
        <v>35</v>
      </c>
      <c r="L7565">
        <v>1</v>
      </c>
      <c r="M7565">
        <v>1</v>
      </c>
      <c r="O7565" s="31"/>
    </row>
    <row r="7566" spans="10:15" x14ac:dyDescent="0.25">
      <c r="J7566" t="s">
        <v>1315</v>
      </c>
      <c r="K7566" s="22" t="s">
        <v>28</v>
      </c>
      <c r="L7566">
        <v>1</v>
      </c>
      <c r="O7566" s="30"/>
    </row>
    <row r="7567" spans="10:15" x14ac:dyDescent="0.25">
      <c r="J7567" t="s">
        <v>3745</v>
      </c>
      <c r="K7567" s="22" t="s">
        <v>20</v>
      </c>
      <c r="L7567">
        <v>1</v>
      </c>
      <c r="M7567">
        <v>1</v>
      </c>
      <c r="O7567" s="31"/>
    </row>
    <row r="7568" spans="10:15" x14ac:dyDescent="0.25">
      <c r="J7568" t="s">
        <v>1517</v>
      </c>
      <c r="K7568" s="22" t="s">
        <v>29</v>
      </c>
      <c r="L7568">
        <v>3</v>
      </c>
      <c r="M7568">
        <v>3</v>
      </c>
      <c r="O7568" s="31"/>
    </row>
    <row r="7569" spans="10:15" x14ac:dyDescent="0.25">
      <c r="J7569" t="s">
        <v>702</v>
      </c>
      <c r="K7569" s="22" t="s">
        <v>26</v>
      </c>
      <c r="L7569">
        <v>2</v>
      </c>
      <c r="O7569" s="30"/>
    </row>
    <row r="7570" spans="10:15" x14ac:dyDescent="0.25">
      <c r="J7570" t="s">
        <v>2859</v>
      </c>
      <c r="K7570" s="22" t="s">
        <v>30</v>
      </c>
      <c r="L7570">
        <v>1</v>
      </c>
      <c r="O7570" s="30"/>
    </row>
    <row r="7571" spans="10:15" x14ac:dyDescent="0.25">
      <c r="J7571" t="s">
        <v>643</v>
      </c>
      <c r="K7571" s="22" t="s">
        <v>24</v>
      </c>
      <c r="L7571">
        <v>1</v>
      </c>
      <c r="M7571">
        <v>1</v>
      </c>
      <c r="O7571" s="31"/>
    </row>
    <row r="7572" spans="10:15" x14ac:dyDescent="0.25">
      <c r="J7572" t="s">
        <v>3389</v>
      </c>
      <c r="K7572" s="22" t="s">
        <v>30</v>
      </c>
      <c r="L7572">
        <v>1</v>
      </c>
      <c r="O7572" s="30"/>
    </row>
    <row r="7573" spans="10:15" x14ac:dyDescent="0.25">
      <c r="J7573" t="s">
        <v>1016</v>
      </c>
      <c r="K7573" s="22" t="s">
        <v>30</v>
      </c>
      <c r="L7573">
        <v>1</v>
      </c>
      <c r="M7573">
        <v>1</v>
      </c>
      <c r="O7573" s="31"/>
    </row>
    <row r="7574" spans="10:15" x14ac:dyDescent="0.25">
      <c r="J7574" t="s">
        <v>1429</v>
      </c>
      <c r="K7574" s="22" t="s">
        <v>35</v>
      </c>
      <c r="L7574">
        <v>1</v>
      </c>
      <c r="O7574" s="30"/>
    </row>
    <row r="7575" spans="10:15" x14ac:dyDescent="0.25">
      <c r="J7575" t="s">
        <v>1017</v>
      </c>
      <c r="K7575" s="22" t="s">
        <v>24</v>
      </c>
      <c r="L7575">
        <v>1</v>
      </c>
      <c r="M7575">
        <v>1</v>
      </c>
      <c r="O7575" s="31"/>
    </row>
    <row r="7576" spans="10:15" x14ac:dyDescent="0.25">
      <c r="J7576" t="s">
        <v>2900</v>
      </c>
      <c r="K7576" s="22" t="s">
        <v>28</v>
      </c>
      <c r="L7576">
        <v>2</v>
      </c>
      <c r="M7576">
        <v>2</v>
      </c>
      <c r="O7576" s="31"/>
    </row>
    <row r="7577" spans="10:15" x14ac:dyDescent="0.25">
      <c r="J7577" t="s">
        <v>3746</v>
      </c>
      <c r="K7577" s="22" t="s">
        <v>22</v>
      </c>
      <c r="L7577">
        <v>1</v>
      </c>
      <c r="O7577" s="30"/>
    </row>
    <row r="7578" spans="10:15" x14ac:dyDescent="0.25">
      <c r="J7578" t="s">
        <v>3714</v>
      </c>
      <c r="K7578" s="22" t="s">
        <v>20</v>
      </c>
      <c r="L7578">
        <v>1</v>
      </c>
      <c r="O7578" s="30"/>
    </row>
    <row r="7579" spans="10:15" x14ac:dyDescent="0.25">
      <c r="J7579" t="s">
        <v>3747</v>
      </c>
      <c r="K7579" s="22" t="s">
        <v>26</v>
      </c>
      <c r="L7579">
        <v>2</v>
      </c>
      <c r="M7579">
        <v>1</v>
      </c>
      <c r="O7579" s="30"/>
    </row>
    <row r="7580" spans="10:15" x14ac:dyDescent="0.25">
      <c r="J7580" t="s">
        <v>3748</v>
      </c>
      <c r="K7580" s="22" t="s">
        <v>24</v>
      </c>
      <c r="L7580">
        <v>1</v>
      </c>
      <c r="O7580" s="30"/>
    </row>
    <row r="7581" spans="10:15" x14ac:dyDescent="0.25">
      <c r="J7581" t="s">
        <v>3483</v>
      </c>
      <c r="K7581" s="22" t="s">
        <v>24</v>
      </c>
      <c r="L7581">
        <v>1</v>
      </c>
      <c r="O7581" s="30"/>
    </row>
    <row r="7582" spans="10:15" x14ac:dyDescent="0.25">
      <c r="J7582" t="s">
        <v>3746</v>
      </c>
      <c r="K7582" s="22" t="s">
        <v>35</v>
      </c>
      <c r="L7582">
        <v>1</v>
      </c>
      <c r="O7582" s="30"/>
    </row>
    <row r="7583" spans="10:15" x14ac:dyDescent="0.25">
      <c r="J7583" t="s">
        <v>1802</v>
      </c>
      <c r="K7583" s="22" t="s">
        <v>28</v>
      </c>
      <c r="L7583">
        <v>1</v>
      </c>
      <c r="O7583" s="30"/>
    </row>
    <row r="7584" spans="10:15" x14ac:dyDescent="0.25">
      <c r="J7584" t="s">
        <v>663</v>
      </c>
      <c r="K7584" s="22" t="s">
        <v>29</v>
      </c>
      <c r="L7584">
        <v>1</v>
      </c>
      <c r="M7584">
        <v>1</v>
      </c>
      <c r="O7584" s="31"/>
    </row>
    <row r="7585" spans="10:15" x14ac:dyDescent="0.25">
      <c r="J7585" t="s">
        <v>1065</v>
      </c>
      <c r="K7585" s="22" t="s">
        <v>20</v>
      </c>
      <c r="L7585">
        <v>1</v>
      </c>
      <c r="M7585">
        <v>1</v>
      </c>
      <c r="O7585" s="31"/>
    </row>
    <row r="7586" spans="10:15" x14ac:dyDescent="0.25">
      <c r="J7586" t="s">
        <v>3749</v>
      </c>
      <c r="K7586" s="22" t="s">
        <v>30</v>
      </c>
      <c r="L7586">
        <v>1</v>
      </c>
      <c r="O7586" s="30"/>
    </row>
    <row r="7587" spans="10:15" x14ac:dyDescent="0.25">
      <c r="J7587" t="s">
        <v>2008</v>
      </c>
      <c r="K7587" s="22" t="s">
        <v>31</v>
      </c>
      <c r="L7587">
        <v>1</v>
      </c>
      <c r="O7587" s="30"/>
    </row>
    <row r="7588" spans="10:15" x14ac:dyDescent="0.25">
      <c r="J7588" t="s">
        <v>1493</v>
      </c>
      <c r="K7588" s="22" t="s">
        <v>35</v>
      </c>
      <c r="L7588">
        <v>2</v>
      </c>
      <c r="M7588">
        <v>2</v>
      </c>
      <c r="O7588" s="31"/>
    </row>
    <row r="7589" spans="10:15" x14ac:dyDescent="0.25">
      <c r="J7589" t="s">
        <v>3724</v>
      </c>
      <c r="K7589" s="22" t="s">
        <v>24</v>
      </c>
      <c r="L7589">
        <v>1</v>
      </c>
      <c r="O7589" s="30"/>
    </row>
    <row r="7590" spans="10:15" x14ac:dyDescent="0.25">
      <c r="J7590" t="s">
        <v>3742</v>
      </c>
      <c r="K7590" s="22" t="s">
        <v>35</v>
      </c>
      <c r="L7590">
        <v>1</v>
      </c>
      <c r="O7590" s="30"/>
    </row>
    <row r="7591" spans="10:15" x14ac:dyDescent="0.25">
      <c r="J7591" t="s">
        <v>3545</v>
      </c>
      <c r="K7591" s="22" t="s">
        <v>29</v>
      </c>
      <c r="L7591">
        <v>1</v>
      </c>
      <c r="M7591">
        <v>1</v>
      </c>
      <c r="O7591" s="31"/>
    </row>
    <row r="7592" spans="10:15" x14ac:dyDescent="0.25">
      <c r="J7592" t="s">
        <v>2875</v>
      </c>
      <c r="K7592" s="22" t="s">
        <v>35</v>
      </c>
      <c r="L7592">
        <v>1</v>
      </c>
      <c r="O7592" s="30"/>
    </row>
    <row r="7593" spans="10:15" x14ac:dyDescent="0.25">
      <c r="J7593" t="s">
        <v>2730</v>
      </c>
      <c r="K7593" s="22" t="s">
        <v>26</v>
      </c>
      <c r="L7593">
        <v>1</v>
      </c>
      <c r="O7593" s="30"/>
    </row>
    <row r="7594" spans="10:15" x14ac:dyDescent="0.25">
      <c r="J7594" t="s">
        <v>541</v>
      </c>
      <c r="K7594" s="22" t="s">
        <v>20</v>
      </c>
      <c r="L7594">
        <v>1</v>
      </c>
      <c r="M7594">
        <v>1</v>
      </c>
      <c r="O7594" s="31"/>
    </row>
    <row r="7595" spans="10:15" x14ac:dyDescent="0.25">
      <c r="J7595" t="s">
        <v>3217</v>
      </c>
      <c r="K7595" s="22" t="s">
        <v>26</v>
      </c>
      <c r="L7595">
        <v>1</v>
      </c>
      <c r="O7595" s="30"/>
    </row>
    <row r="7596" spans="10:15" x14ac:dyDescent="0.25">
      <c r="J7596" t="s">
        <v>3334</v>
      </c>
      <c r="K7596" s="22" t="s">
        <v>24</v>
      </c>
      <c r="L7596">
        <v>1</v>
      </c>
      <c r="M7596">
        <v>1</v>
      </c>
      <c r="O7596" s="31"/>
    </row>
    <row r="7597" spans="10:15" x14ac:dyDescent="0.25">
      <c r="J7597" t="s">
        <v>3277</v>
      </c>
      <c r="K7597" s="22" t="s">
        <v>30</v>
      </c>
      <c r="L7597">
        <v>1</v>
      </c>
      <c r="O7597" s="30"/>
    </row>
    <row r="7598" spans="10:15" x14ac:dyDescent="0.25">
      <c r="J7598" t="s">
        <v>2660</v>
      </c>
      <c r="K7598" s="22" t="s">
        <v>28</v>
      </c>
      <c r="L7598">
        <v>1</v>
      </c>
      <c r="O7598" s="30"/>
    </row>
    <row r="7599" spans="10:15" x14ac:dyDescent="0.25">
      <c r="J7599" t="s">
        <v>2115</v>
      </c>
      <c r="K7599" s="22" t="s">
        <v>31</v>
      </c>
      <c r="L7599">
        <v>1</v>
      </c>
      <c r="M7599">
        <v>1</v>
      </c>
      <c r="O7599" s="31"/>
    </row>
    <row r="7600" spans="10:15" x14ac:dyDescent="0.25">
      <c r="J7600" t="s">
        <v>3475</v>
      </c>
      <c r="K7600" s="22" t="s">
        <v>28</v>
      </c>
      <c r="L7600">
        <v>6</v>
      </c>
      <c r="M7600">
        <v>6</v>
      </c>
      <c r="O7600" s="31"/>
    </row>
    <row r="7601" spans="10:15" x14ac:dyDescent="0.25">
      <c r="J7601" t="s">
        <v>1522</v>
      </c>
      <c r="K7601" s="22" t="s">
        <v>20</v>
      </c>
      <c r="L7601">
        <v>1</v>
      </c>
      <c r="O7601" s="30"/>
    </row>
    <row r="7602" spans="10:15" x14ac:dyDescent="0.25">
      <c r="J7602" t="s">
        <v>3751</v>
      </c>
      <c r="K7602" s="22" t="s">
        <v>29</v>
      </c>
      <c r="L7602">
        <v>1</v>
      </c>
      <c r="M7602">
        <v>1</v>
      </c>
      <c r="O7602" s="31"/>
    </row>
    <row r="7603" spans="10:15" x14ac:dyDescent="0.25">
      <c r="J7603" t="s">
        <v>1080</v>
      </c>
      <c r="K7603" s="22" t="s">
        <v>31</v>
      </c>
      <c r="L7603">
        <v>1</v>
      </c>
      <c r="O7603" s="30"/>
    </row>
    <row r="7604" spans="10:15" x14ac:dyDescent="0.25">
      <c r="J7604" t="s">
        <v>729</v>
      </c>
      <c r="K7604" s="22" t="s">
        <v>35</v>
      </c>
      <c r="L7604">
        <v>1</v>
      </c>
      <c r="M7604">
        <v>1</v>
      </c>
      <c r="O7604" s="31"/>
    </row>
    <row r="7605" spans="10:15" x14ac:dyDescent="0.25">
      <c r="J7605" t="s">
        <v>556</v>
      </c>
      <c r="K7605" s="22" t="s">
        <v>24</v>
      </c>
      <c r="L7605">
        <v>1</v>
      </c>
      <c r="O7605" s="30"/>
    </row>
    <row r="7606" spans="10:15" x14ac:dyDescent="0.25">
      <c r="J7606" t="s">
        <v>3475</v>
      </c>
      <c r="K7606" s="22" t="s">
        <v>26</v>
      </c>
      <c r="L7606">
        <v>1</v>
      </c>
      <c r="O7606" s="30"/>
    </row>
    <row r="7607" spans="10:15" x14ac:dyDescent="0.25">
      <c r="J7607" t="s">
        <v>3752</v>
      </c>
      <c r="K7607" s="22" t="s">
        <v>24</v>
      </c>
      <c r="L7607">
        <v>1</v>
      </c>
      <c r="M7607">
        <v>1</v>
      </c>
      <c r="O7607" s="31"/>
    </row>
    <row r="7608" spans="10:15" x14ac:dyDescent="0.25">
      <c r="J7608" t="s">
        <v>3151</v>
      </c>
      <c r="K7608" s="22" t="s">
        <v>22</v>
      </c>
      <c r="L7608">
        <v>1</v>
      </c>
      <c r="O7608" s="30"/>
    </row>
    <row r="7609" spans="10:15" x14ac:dyDescent="0.25">
      <c r="J7609" t="s">
        <v>1218</v>
      </c>
      <c r="K7609" s="22" t="s">
        <v>35</v>
      </c>
      <c r="L7609">
        <v>1</v>
      </c>
      <c r="M7609">
        <v>1</v>
      </c>
      <c r="O7609" s="31"/>
    </row>
    <row r="7610" spans="10:15" x14ac:dyDescent="0.25">
      <c r="J7610" t="s">
        <v>2405</v>
      </c>
      <c r="K7610" s="22" t="s">
        <v>22</v>
      </c>
      <c r="L7610">
        <v>1</v>
      </c>
      <c r="M7610">
        <v>1</v>
      </c>
      <c r="O7610" s="31"/>
    </row>
    <row r="7611" spans="10:15" x14ac:dyDescent="0.25">
      <c r="J7611" t="s">
        <v>2275</v>
      </c>
      <c r="K7611" s="22" t="s">
        <v>24</v>
      </c>
      <c r="L7611">
        <v>1</v>
      </c>
      <c r="O7611" s="30"/>
    </row>
    <row r="7612" spans="10:15" x14ac:dyDescent="0.25">
      <c r="J7612" t="s">
        <v>2835</v>
      </c>
      <c r="K7612" s="22" t="s">
        <v>31</v>
      </c>
      <c r="L7612">
        <v>1</v>
      </c>
      <c r="M7612">
        <v>1</v>
      </c>
      <c r="O7612" s="31"/>
    </row>
    <row r="7613" spans="10:15" x14ac:dyDescent="0.25">
      <c r="J7613" t="s">
        <v>3750</v>
      </c>
      <c r="K7613" s="22" t="s">
        <v>26</v>
      </c>
      <c r="L7613">
        <v>1</v>
      </c>
      <c r="O7613" s="30"/>
    </row>
    <row r="7614" spans="10:15" x14ac:dyDescent="0.25">
      <c r="J7614" t="s">
        <v>448</v>
      </c>
      <c r="K7614" s="22" t="s">
        <v>22</v>
      </c>
      <c r="L7614">
        <v>1</v>
      </c>
      <c r="O7614" s="30"/>
    </row>
    <row r="7615" spans="10:15" x14ac:dyDescent="0.25">
      <c r="J7615" t="s">
        <v>3753</v>
      </c>
      <c r="K7615" s="22" t="s">
        <v>24</v>
      </c>
      <c r="L7615">
        <v>2</v>
      </c>
      <c r="M7615">
        <v>1</v>
      </c>
      <c r="O7615" s="30"/>
    </row>
    <row r="7616" spans="10:15" x14ac:dyDescent="0.25">
      <c r="J7616" t="s">
        <v>3754</v>
      </c>
      <c r="K7616" s="22" t="s">
        <v>26</v>
      </c>
      <c r="L7616">
        <v>1</v>
      </c>
      <c r="O7616" s="30"/>
    </row>
    <row r="7617" spans="10:15" x14ac:dyDescent="0.25">
      <c r="J7617" t="s">
        <v>3755</v>
      </c>
      <c r="K7617" s="22" t="s">
        <v>20</v>
      </c>
      <c r="L7617">
        <v>1</v>
      </c>
      <c r="M7617">
        <v>1</v>
      </c>
      <c r="O7617" s="31"/>
    </row>
    <row r="7618" spans="10:15" x14ac:dyDescent="0.25">
      <c r="J7618" t="s">
        <v>1742</v>
      </c>
      <c r="K7618" s="22" t="s">
        <v>28</v>
      </c>
      <c r="L7618">
        <v>1</v>
      </c>
      <c r="O7618" s="30"/>
    </row>
    <row r="7619" spans="10:15" x14ac:dyDescent="0.25">
      <c r="J7619" t="s">
        <v>2287</v>
      </c>
      <c r="K7619" s="22" t="s">
        <v>22</v>
      </c>
      <c r="L7619">
        <v>2</v>
      </c>
      <c r="M7619">
        <v>2</v>
      </c>
      <c r="O7619" s="31"/>
    </row>
    <row r="7620" spans="10:15" x14ac:dyDescent="0.25">
      <c r="J7620" t="s">
        <v>3210</v>
      </c>
      <c r="K7620" s="22" t="s">
        <v>24</v>
      </c>
      <c r="L7620">
        <v>2</v>
      </c>
      <c r="M7620">
        <v>2</v>
      </c>
      <c r="O7620" s="31"/>
    </row>
    <row r="7621" spans="10:15" x14ac:dyDescent="0.25">
      <c r="J7621" t="s">
        <v>368</v>
      </c>
      <c r="K7621" s="22" t="s">
        <v>30</v>
      </c>
      <c r="L7621">
        <v>1</v>
      </c>
      <c r="O7621" s="30"/>
    </row>
    <row r="7622" spans="10:15" x14ac:dyDescent="0.25">
      <c r="J7622" t="s">
        <v>2539</v>
      </c>
      <c r="K7622" s="22" t="s">
        <v>29</v>
      </c>
      <c r="L7622">
        <v>1</v>
      </c>
      <c r="M7622">
        <v>1</v>
      </c>
      <c r="O7622" s="31"/>
    </row>
    <row r="7623" spans="10:15" x14ac:dyDescent="0.25">
      <c r="J7623" t="s">
        <v>3756</v>
      </c>
      <c r="K7623" s="22" t="s">
        <v>28</v>
      </c>
      <c r="L7623">
        <v>1</v>
      </c>
      <c r="O7623" s="30"/>
    </row>
    <row r="7624" spans="10:15" x14ac:dyDescent="0.25">
      <c r="J7624" t="s">
        <v>3252</v>
      </c>
      <c r="K7624" s="22" t="s">
        <v>26</v>
      </c>
      <c r="L7624">
        <v>1</v>
      </c>
      <c r="M7624">
        <v>1</v>
      </c>
      <c r="O7624" s="31"/>
    </row>
    <row r="7625" spans="10:15" x14ac:dyDescent="0.25">
      <c r="J7625" t="s">
        <v>3475</v>
      </c>
      <c r="K7625" s="22" t="s">
        <v>35</v>
      </c>
      <c r="L7625">
        <v>1</v>
      </c>
      <c r="O7625" s="30"/>
    </row>
    <row r="7626" spans="10:15" x14ac:dyDescent="0.25">
      <c r="J7626" t="s">
        <v>2035</v>
      </c>
      <c r="K7626" s="22" t="s">
        <v>28</v>
      </c>
      <c r="L7626">
        <v>1</v>
      </c>
      <c r="M7626">
        <v>1</v>
      </c>
      <c r="O7626" s="31"/>
    </row>
    <row r="7627" spans="10:15" x14ac:dyDescent="0.25">
      <c r="J7627" t="s">
        <v>3290</v>
      </c>
      <c r="K7627" s="22" t="s">
        <v>22</v>
      </c>
      <c r="L7627">
        <v>1</v>
      </c>
      <c r="M7627">
        <v>1</v>
      </c>
      <c r="O7627" s="31"/>
    </row>
    <row r="7628" spans="10:15" x14ac:dyDescent="0.25">
      <c r="J7628" t="s">
        <v>1233</v>
      </c>
      <c r="K7628" s="22" t="s">
        <v>26</v>
      </c>
      <c r="L7628">
        <v>1</v>
      </c>
      <c r="O7628" s="30"/>
    </row>
    <row r="7629" spans="10:15" x14ac:dyDescent="0.25">
      <c r="J7629" t="s">
        <v>3757</v>
      </c>
      <c r="K7629" s="22" t="s">
        <v>35</v>
      </c>
      <c r="L7629">
        <v>1</v>
      </c>
      <c r="M7629">
        <v>1</v>
      </c>
      <c r="O7629" s="31"/>
    </row>
    <row r="7630" spans="10:15" x14ac:dyDescent="0.25">
      <c r="J7630" t="s">
        <v>315</v>
      </c>
      <c r="K7630" s="22" t="s">
        <v>31</v>
      </c>
      <c r="L7630">
        <v>1</v>
      </c>
      <c r="M7630">
        <v>1</v>
      </c>
      <c r="O7630" s="31"/>
    </row>
    <row r="7631" spans="10:15" x14ac:dyDescent="0.25">
      <c r="J7631" t="s">
        <v>3194</v>
      </c>
      <c r="K7631" s="22" t="s">
        <v>35</v>
      </c>
      <c r="L7631">
        <v>1</v>
      </c>
      <c r="O7631" s="30"/>
    </row>
    <row r="7632" spans="10:15" x14ac:dyDescent="0.25">
      <c r="J7632" t="s">
        <v>2849</v>
      </c>
      <c r="K7632" s="22" t="s">
        <v>26</v>
      </c>
      <c r="L7632">
        <v>1</v>
      </c>
      <c r="M7632">
        <v>1</v>
      </c>
      <c r="O7632" s="31"/>
    </row>
    <row r="7633" spans="10:15" x14ac:dyDescent="0.25">
      <c r="J7633" t="s">
        <v>1610</v>
      </c>
      <c r="K7633" s="22" t="s">
        <v>22</v>
      </c>
      <c r="L7633">
        <v>1</v>
      </c>
      <c r="O7633" s="30"/>
    </row>
    <row r="7634" spans="10:15" x14ac:dyDescent="0.25">
      <c r="J7634" t="s">
        <v>2265</v>
      </c>
      <c r="K7634" s="22" t="s">
        <v>26</v>
      </c>
      <c r="L7634">
        <v>1</v>
      </c>
      <c r="M7634">
        <v>1</v>
      </c>
      <c r="O7634" s="31"/>
    </row>
    <row r="7635" spans="10:15" x14ac:dyDescent="0.25">
      <c r="J7635" t="s">
        <v>3758</v>
      </c>
      <c r="K7635" s="22" t="s">
        <v>28</v>
      </c>
      <c r="L7635">
        <v>1</v>
      </c>
      <c r="O7635" s="30"/>
    </row>
    <row r="7636" spans="10:15" x14ac:dyDescent="0.25">
      <c r="J7636" t="s">
        <v>3273</v>
      </c>
      <c r="K7636" s="22" t="s">
        <v>31</v>
      </c>
      <c r="L7636">
        <v>1</v>
      </c>
      <c r="M7636">
        <v>1</v>
      </c>
      <c r="O7636" s="31"/>
    </row>
    <row r="7637" spans="10:15" x14ac:dyDescent="0.25">
      <c r="J7637" t="s">
        <v>414</v>
      </c>
      <c r="K7637" s="22" t="s">
        <v>28</v>
      </c>
      <c r="L7637">
        <v>1</v>
      </c>
      <c r="M7637">
        <v>1</v>
      </c>
      <c r="O7637" s="31"/>
    </row>
    <row r="7638" spans="10:15" x14ac:dyDescent="0.25">
      <c r="J7638" t="s">
        <v>388</v>
      </c>
      <c r="K7638" s="22" t="s">
        <v>24</v>
      </c>
      <c r="L7638">
        <v>1</v>
      </c>
      <c r="O7638" s="30"/>
    </row>
    <row r="7639" spans="10:15" x14ac:dyDescent="0.25">
      <c r="J7639" t="s">
        <v>1046</v>
      </c>
      <c r="K7639" s="22" t="s">
        <v>29</v>
      </c>
      <c r="L7639">
        <v>1</v>
      </c>
      <c r="M7639">
        <v>1</v>
      </c>
      <c r="O7639" s="31"/>
    </row>
    <row r="7640" spans="10:15" x14ac:dyDescent="0.25">
      <c r="J7640" t="s">
        <v>252</v>
      </c>
      <c r="K7640" s="22" t="s">
        <v>30</v>
      </c>
      <c r="L7640">
        <v>1</v>
      </c>
      <c r="M7640">
        <v>1</v>
      </c>
      <c r="O7640" s="31"/>
    </row>
    <row r="7641" spans="10:15" x14ac:dyDescent="0.25">
      <c r="J7641" t="s">
        <v>580</v>
      </c>
      <c r="K7641" s="22" t="s">
        <v>22</v>
      </c>
      <c r="L7641">
        <v>1</v>
      </c>
      <c r="O7641" s="30"/>
    </row>
    <row r="7642" spans="10:15" x14ac:dyDescent="0.25">
      <c r="J7642" t="s">
        <v>3089</v>
      </c>
      <c r="K7642" s="22" t="s">
        <v>26</v>
      </c>
      <c r="L7642">
        <v>1</v>
      </c>
      <c r="M7642">
        <v>1</v>
      </c>
      <c r="O7642" s="31"/>
    </row>
    <row r="7643" spans="10:15" x14ac:dyDescent="0.25">
      <c r="J7643" t="s">
        <v>1476</v>
      </c>
      <c r="K7643" s="22" t="s">
        <v>28</v>
      </c>
      <c r="L7643">
        <v>1</v>
      </c>
      <c r="M7643">
        <v>1</v>
      </c>
      <c r="O7643" s="31"/>
    </row>
    <row r="7644" spans="10:15" x14ac:dyDescent="0.25">
      <c r="J7644" t="s">
        <v>3759</v>
      </c>
      <c r="K7644" s="22" t="s">
        <v>35</v>
      </c>
      <c r="L7644">
        <v>1</v>
      </c>
      <c r="O7644" s="30"/>
    </row>
    <row r="7645" spans="10:15" x14ac:dyDescent="0.25">
      <c r="J7645" t="s">
        <v>1121</v>
      </c>
      <c r="K7645" s="22" t="s">
        <v>24</v>
      </c>
      <c r="L7645">
        <v>1</v>
      </c>
      <c r="M7645">
        <v>1</v>
      </c>
      <c r="O7645" s="31"/>
    </row>
    <row r="7646" spans="10:15" x14ac:dyDescent="0.25">
      <c r="J7646" t="s">
        <v>2372</v>
      </c>
      <c r="K7646" s="22" t="s">
        <v>26</v>
      </c>
      <c r="L7646">
        <v>1</v>
      </c>
      <c r="O7646" s="30"/>
    </row>
    <row r="7647" spans="10:15" x14ac:dyDescent="0.25">
      <c r="J7647" t="s">
        <v>2331</v>
      </c>
      <c r="K7647" s="22" t="s">
        <v>22</v>
      </c>
      <c r="L7647">
        <v>1</v>
      </c>
      <c r="M7647">
        <v>1</v>
      </c>
      <c r="O7647" s="31"/>
    </row>
    <row r="7648" spans="10:15" x14ac:dyDescent="0.25">
      <c r="J7648" t="s">
        <v>2710</v>
      </c>
      <c r="K7648" s="22" t="s">
        <v>31</v>
      </c>
      <c r="L7648">
        <v>1</v>
      </c>
      <c r="O7648" s="30"/>
    </row>
    <row r="7649" spans="10:15" x14ac:dyDescent="0.25">
      <c r="J7649" t="s">
        <v>3390</v>
      </c>
      <c r="K7649" s="22" t="s">
        <v>26</v>
      </c>
      <c r="L7649">
        <v>3</v>
      </c>
      <c r="O7649" s="30"/>
    </row>
    <row r="7650" spans="10:15" x14ac:dyDescent="0.25">
      <c r="J7650" t="s">
        <v>3760</v>
      </c>
      <c r="K7650" s="22" t="s">
        <v>22</v>
      </c>
      <c r="L7650">
        <v>4</v>
      </c>
      <c r="M7650">
        <v>4</v>
      </c>
      <c r="O7650" s="31"/>
    </row>
    <row r="7651" spans="10:15" x14ac:dyDescent="0.25">
      <c r="J7651" t="s">
        <v>3761</v>
      </c>
      <c r="K7651" s="22" t="s">
        <v>30</v>
      </c>
      <c r="L7651">
        <v>1</v>
      </c>
      <c r="O7651" s="30"/>
    </row>
    <row r="7652" spans="10:15" x14ac:dyDescent="0.25">
      <c r="J7652" t="s">
        <v>1706</v>
      </c>
      <c r="K7652" s="22" t="s">
        <v>20</v>
      </c>
      <c r="L7652">
        <v>1</v>
      </c>
      <c r="M7652">
        <v>1</v>
      </c>
      <c r="O7652" s="31"/>
    </row>
    <row r="7653" spans="10:15" x14ac:dyDescent="0.25">
      <c r="J7653" t="s">
        <v>201</v>
      </c>
      <c r="K7653" s="22" t="s">
        <v>26</v>
      </c>
      <c r="L7653">
        <v>1</v>
      </c>
      <c r="O7653" s="30"/>
    </row>
    <row r="7654" spans="10:15" x14ac:dyDescent="0.25">
      <c r="J7654" t="s">
        <v>2635</v>
      </c>
      <c r="K7654" s="22" t="s">
        <v>28</v>
      </c>
      <c r="L7654">
        <v>1</v>
      </c>
      <c r="M7654">
        <v>1</v>
      </c>
      <c r="O7654" s="31"/>
    </row>
    <row r="7655" spans="10:15" x14ac:dyDescent="0.25">
      <c r="J7655" t="s">
        <v>3762</v>
      </c>
      <c r="K7655" s="22" t="s">
        <v>30</v>
      </c>
      <c r="L7655">
        <v>1</v>
      </c>
      <c r="O7655" s="30"/>
    </row>
    <row r="7656" spans="10:15" x14ac:dyDescent="0.25">
      <c r="J7656" t="s">
        <v>1280</v>
      </c>
      <c r="K7656" s="22" t="s">
        <v>28</v>
      </c>
      <c r="L7656">
        <v>1</v>
      </c>
      <c r="M7656">
        <v>1</v>
      </c>
      <c r="O7656" s="31"/>
    </row>
    <row r="7657" spans="10:15" x14ac:dyDescent="0.25">
      <c r="J7657" t="s">
        <v>1170</v>
      </c>
      <c r="K7657" s="22" t="s">
        <v>29</v>
      </c>
      <c r="L7657">
        <v>1</v>
      </c>
      <c r="O7657" s="30"/>
    </row>
    <row r="7658" spans="10:15" x14ac:dyDescent="0.25">
      <c r="J7658" t="s">
        <v>1637</v>
      </c>
      <c r="K7658" s="22" t="s">
        <v>31</v>
      </c>
      <c r="L7658">
        <v>1</v>
      </c>
      <c r="M7658">
        <v>1</v>
      </c>
      <c r="O7658" s="31"/>
    </row>
    <row r="7659" spans="10:15" x14ac:dyDescent="0.25">
      <c r="J7659" t="s">
        <v>2499</v>
      </c>
      <c r="K7659" s="22" t="s">
        <v>30</v>
      </c>
      <c r="L7659">
        <v>1</v>
      </c>
      <c r="O7659" s="30"/>
    </row>
    <row r="7660" spans="10:15" x14ac:dyDescent="0.25">
      <c r="J7660" t="s">
        <v>789</v>
      </c>
      <c r="K7660" s="22" t="s">
        <v>26</v>
      </c>
      <c r="L7660">
        <v>1</v>
      </c>
      <c r="M7660">
        <v>1</v>
      </c>
      <c r="O7660" s="31"/>
    </row>
    <row r="7661" spans="10:15" x14ac:dyDescent="0.25">
      <c r="J7661" t="s">
        <v>3763</v>
      </c>
      <c r="K7661" s="22" t="s">
        <v>22</v>
      </c>
      <c r="L7661">
        <v>1</v>
      </c>
      <c r="O7661" s="30"/>
    </row>
    <row r="7662" spans="10:15" x14ac:dyDescent="0.25">
      <c r="J7662" t="s">
        <v>3704</v>
      </c>
      <c r="K7662" s="22" t="s">
        <v>20</v>
      </c>
      <c r="L7662">
        <v>1</v>
      </c>
      <c r="M7662">
        <v>1</v>
      </c>
      <c r="O7662" s="31"/>
    </row>
    <row r="7663" spans="10:15" x14ac:dyDescent="0.25">
      <c r="J7663" t="s">
        <v>1348</v>
      </c>
      <c r="K7663" s="22" t="s">
        <v>30</v>
      </c>
      <c r="L7663">
        <v>1</v>
      </c>
      <c r="O7663" s="30"/>
    </row>
    <row r="7664" spans="10:15" x14ac:dyDescent="0.25">
      <c r="J7664" t="s">
        <v>3764</v>
      </c>
      <c r="K7664" s="22" t="s">
        <v>24</v>
      </c>
      <c r="L7664">
        <v>1</v>
      </c>
      <c r="M7664">
        <v>1</v>
      </c>
      <c r="O7664" s="31"/>
    </row>
    <row r="7665" spans="10:15" x14ac:dyDescent="0.25">
      <c r="J7665" t="s">
        <v>127</v>
      </c>
      <c r="K7665" s="22" t="s">
        <v>22</v>
      </c>
      <c r="L7665">
        <v>1</v>
      </c>
      <c r="M7665">
        <v>1</v>
      </c>
      <c r="O7665" s="31"/>
    </row>
    <row r="7666" spans="10:15" x14ac:dyDescent="0.25">
      <c r="J7666" t="s">
        <v>3040</v>
      </c>
      <c r="K7666" s="22" t="s">
        <v>31</v>
      </c>
      <c r="L7666">
        <v>1</v>
      </c>
      <c r="O7666" s="30"/>
    </row>
    <row r="7667" spans="10:15" x14ac:dyDescent="0.25">
      <c r="J7667" t="s">
        <v>2524</v>
      </c>
      <c r="K7667" s="22" t="s">
        <v>29</v>
      </c>
      <c r="L7667">
        <v>1</v>
      </c>
      <c r="M7667">
        <v>1</v>
      </c>
      <c r="O7667" s="31"/>
    </row>
    <row r="7668" spans="10:15" x14ac:dyDescent="0.25">
      <c r="J7668" t="s">
        <v>3655</v>
      </c>
      <c r="K7668" s="22" t="s">
        <v>35</v>
      </c>
      <c r="L7668">
        <v>1</v>
      </c>
      <c r="O7668" s="30"/>
    </row>
    <row r="7669" spans="10:15" x14ac:dyDescent="0.25">
      <c r="J7669" t="s">
        <v>3765</v>
      </c>
      <c r="K7669" s="22" t="s">
        <v>28</v>
      </c>
      <c r="L7669">
        <v>1</v>
      </c>
      <c r="M7669">
        <v>1</v>
      </c>
      <c r="O7669" s="31"/>
    </row>
    <row r="7670" spans="10:15" x14ac:dyDescent="0.25">
      <c r="J7670" t="s">
        <v>573</v>
      </c>
      <c r="K7670" s="22" t="s">
        <v>22</v>
      </c>
      <c r="L7670">
        <v>2</v>
      </c>
      <c r="M7670">
        <v>1</v>
      </c>
      <c r="O7670" s="30"/>
    </row>
    <row r="7671" spans="10:15" x14ac:dyDescent="0.25">
      <c r="J7671" t="s">
        <v>1841</v>
      </c>
      <c r="K7671" s="22" t="s">
        <v>35</v>
      </c>
      <c r="L7671">
        <v>1</v>
      </c>
      <c r="O7671" s="30"/>
    </row>
    <row r="7672" spans="10:15" x14ac:dyDescent="0.25">
      <c r="J7672" t="s">
        <v>3766</v>
      </c>
      <c r="K7672" s="22" t="s">
        <v>29</v>
      </c>
      <c r="L7672">
        <v>1</v>
      </c>
      <c r="M7672">
        <v>1</v>
      </c>
      <c r="O7672" s="31"/>
    </row>
    <row r="7673" spans="10:15" x14ac:dyDescent="0.25">
      <c r="J7673" t="s">
        <v>3767</v>
      </c>
      <c r="K7673" s="22" t="s">
        <v>31</v>
      </c>
      <c r="L7673">
        <v>1</v>
      </c>
      <c r="O7673" s="30"/>
    </row>
    <row r="7674" spans="10:15" x14ac:dyDescent="0.25">
      <c r="J7674" t="s">
        <v>3539</v>
      </c>
      <c r="K7674" s="22" t="s">
        <v>30</v>
      </c>
      <c r="L7674">
        <v>1</v>
      </c>
      <c r="M7674">
        <v>1</v>
      </c>
      <c r="O7674" s="31"/>
    </row>
    <row r="7675" spans="10:15" x14ac:dyDescent="0.25">
      <c r="J7675" t="s">
        <v>1997</v>
      </c>
      <c r="K7675" s="22" t="s">
        <v>28</v>
      </c>
      <c r="L7675">
        <v>1</v>
      </c>
      <c r="O7675" s="30"/>
    </row>
    <row r="7676" spans="10:15" x14ac:dyDescent="0.25">
      <c r="J7676" t="s">
        <v>3768</v>
      </c>
      <c r="K7676" s="22" t="s">
        <v>31</v>
      </c>
      <c r="L7676">
        <v>1</v>
      </c>
      <c r="M7676">
        <v>1</v>
      </c>
      <c r="O7676" s="31"/>
    </row>
    <row r="7677" spans="10:15" x14ac:dyDescent="0.25">
      <c r="J7677" t="s">
        <v>252</v>
      </c>
      <c r="K7677" s="22" t="s">
        <v>29</v>
      </c>
      <c r="L7677">
        <v>1</v>
      </c>
      <c r="M7677">
        <v>1</v>
      </c>
      <c r="O7677" s="31"/>
    </row>
    <row r="7678" spans="10:15" x14ac:dyDescent="0.25">
      <c r="J7678" t="s">
        <v>1117</v>
      </c>
      <c r="K7678" s="22" t="s">
        <v>30</v>
      </c>
      <c r="L7678">
        <v>1</v>
      </c>
      <c r="M7678">
        <v>1</v>
      </c>
      <c r="O7678" s="31"/>
    </row>
    <row r="7679" spans="10:15" x14ac:dyDescent="0.25">
      <c r="J7679" t="s">
        <v>796</v>
      </c>
      <c r="K7679" s="22" t="s">
        <v>22</v>
      </c>
      <c r="L7679">
        <v>1</v>
      </c>
      <c r="O7679" s="30"/>
    </row>
    <row r="7680" spans="10:15" x14ac:dyDescent="0.25">
      <c r="J7680" t="s">
        <v>2314</v>
      </c>
      <c r="K7680" s="22" t="s">
        <v>28</v>
      </c>
      <c r="L7680">
        <v>1</v>
      </c>
      <c r="M7680">
        <v>1</v>
      </c>
      <c r="O7680" s="31"/>
    </row>
    <row r="7681" spans="10:15" x14ac:dyDescent="0.25">
      <c r="J7681" t="s">
        <v>121</v>
      </c>
      <c r="K7681" s="22" t="s">
        <v>22</v>
      </c>
      <c r="L7681">
        <v>1</v>
      </c>
      <c r="O7681" s="30"/>
    </row>
    <row r="7682" spans="10:15" x14ac:dyDescent="0.25">
      <c r="J7682" t="s">
        <v>2683</v>
      </c>
      <c r="K7682" s="22" t="s">
        <v>35</v>
      </c>
      <c r="L7682">
        <v>2</v>
      </c>
      <c r="M7682">
        <v>2</v>
      </c>
      <c r="O7682" s="31"/>
    </row>
    <row r="7683" spans="10:15" x14ac:dyDescent="0.25">
      <c r="J7683" t="s">
        <v>954</v>
      </c>
      <c r="K7683" s="22" t="s">
        <v>26</v>
      </c>
      <c r="L7683">
        <v>1</v>
      </c>
      <c r="O7683" s="30"/>
    </row>
    <row r="7684" spans="10:15" x14ac:dyDescent="0.25">
      <c r="J7684" t="s">
        <v>3769</v>
      </c>
      <c r="K7684" s="22" t="s">
        <v>30</v>
      </c>
      <c r="L7684">
        <v>1</v>
      </c>
      <c r="M7684">
        <v>1</v>
      </c>
      <c r="O7684" s="31"/>
    </row>
    <row r="7685" spans="10:15" x14ac:dyDescent="0.25">
      <c r="J7685" t="s">
        <v>990</v>
      </c>
      <c r="K7685" s="22" t="s">
        <v>28</v>
      </c>
      <c r="L7685">
        <v>1</v>
      </c>
      <c r="O7685" s="30"/>
    </row>
    <row r="7686" spans="10:15" x14ac:dyDescent="0.25">
      <c r="J7686" t="s">
        <v>2696</v>
      </c>
      <c r="K7686" s="22" t="s">
        <v>29</v>
      </c>
      <c r="L7686">
        <v>1</v>
      </c>
      <c r="M7686">
        <v>1</v>
      </c>
      <c r="O7686" s="31"/>
    </row>
    <row r="7687" spans="10:15" x14ac:dyDescent="0.25">
      <c r="J7687" t="s">
        <v>329</v>
      </c>
      <c r="K7687" s="22" t="s">
        <v>28</v>
      </c>
      <c r="L7687">
        <v>2</v>
      </c>
      <c r="M7687">
        <v>1</v>
      </c>
      <c r="O7687" s="30"/>
    </row>
    <row r="7688" spans="10:15" x14ac:dyDescent="0.25">
      <c r="J7688" t="s">
        <v>3528</v>
      </c>
      <c r="K7688" s="22" t="s">
        <v>30</v>
      </c>
      <c r="L7688">
        <v>2</v>
      </c>
      <c r="M7688">
        <v>1</v>
      </c>
      <c r="O7688" s="30"/>
    </row>
    <row r="7689" spans="10:15" x14ac:dyDescent="0.25">
      <c r="J7689" t="s">
        <v>3499</v>
      </c>
      <c r="K7689" s="22" t="s">
        <v>24</v>
      </c>
      <c r="L7689">
        <v>1</v>
      </c>
      <c r="O7689" s="30"/>
    </row>
    <row r="7690" spans="10:15" x14ac:dyDescent="0.25">
      <c r="J7690" t="s">
        <v>3770</v>
      </c>
      <c r="K7690" s="22" t="s">
        <v>29</v>
      </c>
      <c r="L7690">
        <v>1</v>
      </c>
      <c r="M7690">
        <v>1</v>
      </c>
      <c r="O7690" s="31"/>
    </row>
    <row r="7691" spans="10:15" x14ac:dyDescent="0.25">
      <c r="J7691" t="s">
        <v>1799</v>
      </c>
      <c r="K7691" s="22" t="s">
        <v>29</v>
      </c>
      <c r="L7691">
        <v>1</v>
      </c>
      <c r="O7691" s="30"/>
    </row>
    <row r="7692" spans="10:15" x14ac:dyDescent="0.25">
      <c r="J7692" t="s">
        <v>1674</v>
      </c>
      <c r="K7692" s="22" t="s">
        <v>28</v>
      </c>
      <c r="L7692">
        <v>1</v>
      </c>
      <c r="M7692">
        <v>1</v>
      </c>
      <c r="O7692" s="31"/>
    </row>
    <row r="7693" spans="10:15" x14ac:dyDescent="0.25">
      <c r="J7693" t="s">
        <v>2843</v>
      </c>
      <c r="K7693" s="22" t="s">
        <v>20</v>
      </c>
      <c r="L7693">
        <v>1</v>
      </c>
      <c r="O7693" s="30"/>
    </row>
    <row r="7694" spans="10:15" x14ac:dyDescent="0.25">
      <c r="J7694" t="s">
        <v>3771</v>
      </c>
      <c r="K7694" s="22" t="s">
        <v>26</v>
      </c>
      <c r="L7694">
        <v>1</v>
      </c>
      <c r="M7694">
        <v>1</v>
      </c>
      <c r="O7694" s="31"/>
    </row>
    <row r="7695" spans="10:15" x14ac:dyDescent="0.25">
      <c r="J7695" t="s">
        <v>2819</v>
      </c>
      <c r="K7695" s="22" t="s">
        <v>31</v>
      </c>
      <c r="L7695">
        <v>1</v>
      </c>
      <c r="O7695" s="30"/>
    </row>
    <row r="7696" spans="10:15" x14ac:dyDescent="0.25">
      <c r="J7696" t="s">
        <v>465</v>
      </c>
      <c r="K7696" s="22" t="s">
        <v>30</v>
      </c>
      <c r="L7696">
        <v>2</v>
      </c>
      <c r="M7696">
        <v>1</v>
      </c>
      <c r="O7696" s="31"/>
    </row>
    <row r="7697" spans="10:15" x14ac:dyDescent="0.25">
      <c r="J7697" t="s">
        <v>2143</v>
      </c>
      <c r="K7697" s="22" t="s">
        <v>26</v>
      </c>
      <c r="L7697">
        <v>1</v>
      </c>
      <c r="M7697">
        <v>1</v>
      </c>
      <c r="O7697" s="31"/>
    </row>
    <row r="7698" spans="10:15" x14ac:dyDescent="0.25">
      <c r="J7698" t="s">
        <v>3772</v>
      </c>
      <c r="K7698" s="22" t="s">
        <v>29</v>
      </c>
      <c r="L7698">
        <v>1</v>
      </c>
      <c r="O7698" s="30"/>
    </row>
    <row r="7699" spans="10:15" x14ac:dyDescent="0.25">
      <c r="J7699" t="s">
        <v>3773</v>
      </c>
      <c r="K7699" s="22" t="s">
        <v>28</v>
      </c>
      <c r="L7699">
        <v>1</v>
      </c>
      <c r="M7699">
        <v>1</v>
      </c>
      <c r="O7699" s="31"/>
    </row>
    <row r="7700" spans="10:15" x14ac:dyDescent="0.25">
      <c r="J7700" t="s">
        <v>3774</v>
      </c>
      <c r="K7700" s="22" t="s">
        <v>22</v>
      </c>
      <c r="L7700">
        <v>1</v>
      </c>
      <c r="O7700" s="30"/>
    </row>
    <row r="7701" spans="10:15" x14ac:dyDescent="0.25">
      <c r="J7701" t="s">
        <v>3775</v>
      </c>
      <c r="K7701" s="22" t="s">
        <v>31</v>
      </c>
      <c r="L7701">
        <v>2</v>
      </c>
      <c r="M7701">
        <v>2</v>
      </c>
      <c r="O7701" s="31"/>
    </row>
    <row r="7702" spans="10:15" x14ac:dyDescent="0.25">
      <c r="J7702" t="s">
        <v>371</v>
      </c>
      <c r="K7702" s="22" t="s">
        <v>28</v>
      </c>
      <c r="L7702">
        <v>1</v>
      </c>
      <c r="O7702" s="30"/>
    </row>
    <row r="7703" spans="10:15" x14ac:dyDescent="0.25">
      <c r="J7703" t="s">
        <v>825</v>
      </c>
      <c r="K7703" s="22" t="s">
        <v>26</v>
      </c>
      <c r="L7703">
        <v>1</v>
      </c>
      <c r="M7703">
        <v>1</v>
      </c>
      <c r="O7703" s="31"/>
    </row>
    <row r="7704" spans="10:15" x14ac:dyDescent="0.25">
      <c r="J7704" t="s">
        <v>2112</v>
      </c>
      <c r="K7704" s="22" t="s">
        <v>31</v>
      </c>
      <c r="L7704">
        <v>1</v>
      </c>
      <c r="O7704" s="30"/>
    </row>
    <row r="7705" spans="10:15" x14ac:dyDescent="0.25">
      <c r="J7705" t="s">
        <v>2724</v>
      </c>
      <c r="K7705" s="22" t="s">
        <v>29</v>
      </c>
      <c r="L7705">
        <v>1</v>
      </c>
      <c r="M7705">
        <v>1</v>
      </c>
      <c r="O7705" s="31"/>
    </row>
    <row r="7706" spans="10:15" x14ac:dyDescent="0.25">
      <c r="J7706" t="s">
        <v>485</v>
      </c>
      <c r="K7706" s="22" t="s">
        <v>31</v>
      </c>
      <c r="L7706">
        <v>1</v>
      </c>
      <c r="O7706" s="30"/>
    </row>
    <row r="7707" spans="10:15" x14ac:dyDescent="0.25">
      <c r="J7707" t="s">
        <v>3776</v>
      </c>
      <c r="K7707" s="22" t="s">
        <v>20</v>
      </c>
      <c r="L7707">
        <v>1</v>
      </c>
      <c r="M7707">
        <v>1</v>
      </c>
      <c r="O7707" s="31"/>
    </row>
    <row r="7708" spans="10:15" x14ac:dyDescent="0.25">
      <c r="J7708" t="s">
        <v>2615</v>
      </c>
      <c r="K7708" s="22" t="s">
        <v>30</v>
      </c>
      <c r="L7708">
        <v>1</v>
      </c>
      <c r="O7708" s="30"/>
    </row>
    <row r="7709" spans="10:15" x14ac:dyDescent="0.25">
      <c r="J7709" t="s">
        <v>3522</v>
      </c>
      <c r="K7709" s="22" t="s">
        <v>35</v>
      </c>
      <c r="L7709">
        <v>1</v>
      </c>
      <c r="M7709">
        <v>1</v>
      </c>
      <c r="O7709" s="31"/>
    </row>
    <row r="7710" spans="10:15" x14ac:dyDescent="0.25">
      <c r="J7710" t="s">
        <v>3562</v>
      </c>
      <c r="K7710" s="22" t="s">
        <v>22</v>
      </c>
      <c r="L7710">
        <v>1</v>
      </c>
      <c r="O7710" s="30"/>
    </row>
    <row r="7711" spans="10:15" x14ac:dyDescent="0.25">
      <c r="J7711" t="s">
        <v>2883</v>
      </c>
      <c r="K7711" s="22" t="s">
        <v>26</v>
      </c>
      <c r="L7711">
        <v>1</v>
      </c>
      <c r="O7711" s="30"/>
    </row>
    <row r="7712" spans="10:15" x14ac:dyDescent="0.25">
      <c r="J7712" t="s">
        <v>986</v>
      </c>
      <c r="K7712" s="22" t="s">
        <v>29</v>
      </c>
      <c r="L7712">
        <v>1</v>
      </c>
      <c r="M7712">
        <v>1</v>
      </c>
      <c r="O7712" s="31"/>
    </row>
    <row r="7713" spans="10:15" x14ac:dyDescent="0.25">
      <c r="J7713" t="s">
        <v>3695</v>
      </c>
      <c r="K7713" s="22" t="s">
        <v>22</v>
      </c>
      <c r="L7713">
        <v>1</v>
      </c>
      <c r="O7713" s="30"/>
    </row>
    <row r="7714" spans="10:15" x14ac:dyDescent="0.25">
      <c r="J7714" t="s">
        <v>901</v>
      </c>
      <c r="K7714" s="22" t="s">
        <v>28</v>
      </c>
      <c r="L7714">
        <v>1</v>
      </c>
      <c r="M7714">
        <v>1</v>
      </c>
      <c r="O7714" s="31"/>
    </row>
    <row r="7715" spans="10:15" x14ac:dyDescent="0.25">
      <c r="J7715" t="s">
        <v>2982</v>
      </c>
      <c r="K7715" s="22" t="s">
        <v>20</v>
      </c>
      <c r="L7715">
        <v>1</v>
      </c>
      <c r="O7715" s="30"/>
    </row>
    <row r="7716" spans="10:15" x14ac:dyDescent="0.25">
      <c r="J7716" t="s">
        <v>3543</v>
      </c>
      <c r="K7716" s="22" t="s">
        <v>31</v>
      </c>
      <c r="L7716">
        <v>1</v>
      </c>
      <c r="M7716">
        <v>1</v>
      </c>
      <c r="O7716" s="31"/>
    </row>
    <row r="7717" spans="10:15" x14ac:dyDescent="0.25">
      <c r="J7717" t="s">
        <v>1300</v>
      </c>
      <c r="K7717" s="22" t="s">
        <v>30</v>
      </c>
      <c r="L7717">
        <v>1</v>
      </c>
      <c r="M7717">
        <v>1</v>
      </c>
      <c r="O7717" s="31"/>
    </row>
    <row r="7718" spans="10:15" x14ac:dyDescent="0.25">
      <c r="J7718" t="s">
        <v>827</v>
      </c>
      <c r="K7718" s="22" t="s">
        <v>29</v>
      </c>
      <c r="L7718">
        <v>1</v>
      </c>
      <c r="M7718">
        <v>1</v>
      </c>
      <c r="O7718" s="31"/>
    </row>
    <row r="7719" spans="10:15" x14ac:dyDescent="0.25">
      <c r="J7719" t="s">
        <v>1644</v>
      </c>
      <c r="K7719" s="22" t="s">
        <v>22</v>
      </c>
      <c r="L7719">
        <v>1</v>
      </c>
      <c r="O7719" s="30"/>
    </row>
    <row r="7720" spans="10:15" x14ac:dyDescent="0.25">
      <c r="J7720" t="s">
        <v>1289</v>
      </c>
      <c r="K7720" s="22" t="s">
        <v>35</v>
      </c>
      <c r="L7720">
        <v>2</v>
      </c>
      <c r="M7720">
        <v>2</v>
      </c>
      <c r="O7720" s="31"/>
    </row>
    <row r="7721" spans="10:15" x14ac:dyDescent="0.25">
      <c r="J7721" t="s">
        <v>3671</v>
      </c>
      <c r="K7721" s="22" t="s">
        <v>26</v>
      </c>
      <c r="L7721">
        <v>1</v>
      </c>
      <c r="O7721" s="30"/>
    </row>
    <row r="7722" spans="10:15" x14ac:dyDescent="0.25">
      <c r="J7722" t="s">
        <v>3777</v>
      </c>
      <c r="K7722" s="22" t="s">
        <v>20</v>
      </c>
      <c r="L7722">
        <v>1</v>
      </c>
      <c r="M7722">
        <v>1</v>
      </c>
      <c r="O7722" s="31"/>
    </row>
    <row r="7723" spans="10:15" x14ac:dyDescent="0.25">
      <c r="J7723" t="s">
        <v>351</v>
      </c>
      <c r="K7723" s="22" t="s">
        <v>30</v>
      </c>
      <c r="L7723">
        <v>1</v>
      </c>
      <c r="O7723" s="30"/>
    </row>
    <row r="7724" spans="10:15" x14ac:dyDescent="0.25">
      <c r="J7724" t="s">
        <v>971</v>
      </c>
      <c r="K7724" s="22" t="s">
        <v>20</v>
      </c>
      <c r="L7724">
        <v>1</v>
      </c>
      <c r="M7724">
        <v>1</v>
      </c>
      <c r="O7724" s="31"/>
    </row>
    <row r="7725" spans="10:15" x14ac:dyDescent="0.25">
      <c r="J7725" t="s">
        <v>3778</v>
      </c>
      <c r="K7725" s="22" t="s">
        <v>22</v>
      </c>
      <c r="L7725">
        <v>1</v>
      </c>
      <c r="O7725" s="30"/>
    </row>
    <row r="7726" spans="10:15" x14ac:dyDescent="0.25">
      <c r="J7726" t="s">
        <v>3575</v>
      </c>
      <c r="K7726" s="22" t="s">
        <v>26</v>
      </c>
      <c r="L7726">
        <v>1</v>
      </c>
      <c r="M7726">
        <v>1</v>
      </c>
      <c r="O7726" s="31"/>
    </row>
    <row r="7727" spans="10:15" x14ac:dyDescent="0.25">
      <c r="J7727" t="s">
        <v>1662</v>
      </c>
      <c r="K7727" s="22" t="s">
        <v>28</v>
      </c>
      <c r="L7727">
        <v>1</v>
      </c>
      <c r="O7727" s="30"/>
    </row>
    <row r="7728" spans="10:15" x14ac:dyDescent="0.25">
      <c r="J7728" t="s">
        <v>3779</v>
      </c>
      <c r="K7728" s="22" t="s">
        <v>24</v>
      </c>
      <c r="L7728">
        <v>1</v>
      </c>
      <c r="M7728">
        <v>1</v>
      </c>
      <c r="O7728" s="31"/>
    </row>
    <row r="7729" spans="10:15" x14ac:dyDescent="0.25">
      <c r="J7729" t="s">
        <v>1831</v>
      </c>
      <c r="K7729" s="22" t="s">
        <v>35</v>
      </c>
      <c r="L7729">
        <v>1</v>
      </c>
      <c r="O7729" s="30"/>
    </row>
    <row r="7730" spans="10:15" x14ac:dyDescent="0.25">
      <c r="J7730" t="s">
        <v>3780</v>
      </c>
      <c r="K7730" s="22" t="s">
        <v>20</v>
      </c>
      <c r="L7730">
        <v>1</v>
      </c>
      <c r="M7730">
        <v>1</v>
      </c>
      <c r="O7730" s="31"/>
    </row>
    <row r="7731" spans="10:15" x14ac:dyDescent="0.25">
      <c r="J7731" t="s">
        <v>3179</v>
      </c>
      <c r="K7731" s="22" t="s">
        <v>30</v>
      </c>
      <c r="L7731">
        <v>1</v>
      </c>
      <c r="O7731" s="30"/>
    </row>
    <row r="7732" spans="10:15" x14ac:dyDescent="0.25">
      <c r="J7732" t="s">
        <v>2324</v>
      </c>
      <c r="K7732" s="22" t="s">
        <v>29</v>
      </c>
      <c r="L7732">
        <v>1</v>
      </c>
      <c r="M7732">
        <v>1</v>
      </c>
      <c r="O7732" s="31"/>
    </row>
    <row r="7733" spans="10:15" x14ac:dyDescent="0.25">
      <c r="J7733" t="s">
        <v>2282</v>
      </c>
      <c r="K7733" s="22" t="s">
        <v>31</v>
      </c>
      <c r="L7733">
        <v>1</v>
      </c>
      <c r="O7733" s="30"/>
    </row>
    <row r="7734" spans="10:15" x14ac:dyDescent="0.25">
      <c r="J7734" t="s">
        <v>936</v>
      </c>
      <c r="K7734" s="22" t="s">
        <v>24</v>
      </c>
      <c r="L7734">
        <v>1</v>
      </c>
      <c r="M7734">
        <v>1</v>
      </c>
      <c r="O7734" s="31"/>
    </row>
    <row r="7735" spans="10:15" x14ac:dyDescent="0.25">
      <c r="J7735" t="s">
        <v>3781</v>
      </c>
      <c r="K7735" s="22" t="s">
        <v>22</v>
      </c>
      <c r="L7735">
        <v>1</v>
      </c>
      <c r="O7735" s="30"/>
    </row>
    <row r="7736" spans="10:15" x14ac:dyDescent="0.25">
      <c r="J7736" t="s">
        <v>256</v>
      </c>
      <c r="K7736" s="22" t="s">
        <v>26</v>
      </c>
      <c r="L7736">
        <v>1</v>
      </c>
      <c r="M7736">
        <v>1</v>
      </c>
      <c r="O7736" s="31"/>
    </row>
    <row r="7737" spans="10:15" x14ac:dyDescent="0.25">
      <c r="J7737" t="s">
        <v>3602</v>
      </c>
      <c r="K7737" s="22" t="s">
        <v>24</v>
      </c>
      <c r="L7737">
        <v>1</v>
      </c>
      <c r="O7737" s="30"/>
    </row>
    <row r="7738" spans="10:15" x14ac:dyDescent="0.25">
      <c r="J7738" t="s">
        <v>3628</v>
      </c>
      <c r="K7738" s="22" t="s">
        <v>29</v>
      </c>
      <c r="L7738">
        <v>1</v>
      </c>
      <c r="M7738">
        <v>1</v>
      </c>
      <c r="O7738" s="31"/>
    </row>
    <row r="7739" spans="10:15" x14ac:dyDescent="0.25">
      <c r="J7739" t="s">
        <v>2016</v>
      </c>
      <c r="K7739" s="22" t="s">
        <v>24</v>
      </c>
      <c r="L7739">
        <v>1</v>
      </c>
      <c r="M7739">
        <v>1</v>
      </c>
      <c r="O7739" s="31"/>
    </row>
    <row r="7740" spans="10:15" x14ac:dyDescent="0.25">
      <c r="J7740" t="s">
        <v>2513</v>
      </c>
      <c r="K7740" s="22" t="s">
        <v>22</v>
      </c>
      <c r="L7740">
        <v>1</v>
      </c>
      <c r="O7740" s="30"/>
    </row>
    <row r="7741" spans="10:15" x14ac:dyDescent="0.25">
      <c r="J7741" t="s">
        <v>683</v>
      </c>
      <c r="K7741" s="22" t="s">
        <v>30</v>
      </c>
      <c r="L7741">
        <v>1</v>
      </c>
      <c r="M7741">
        <v>1</v>
      </c>
      <c r="O7741" s="31"/>
    </row>
    <row r="7742" spans="10:15" x14ac:dyDescent="0.25">
      <c r="J7742" t="s">
        <v>3782</v>
      </c>
      <c r="K7742" s="22" t="s">
        <v>26</v>
      </c>
      <c r="L7742">
        <v>1</v>
      </c>
      <c r="O7742" s="30"/>
    </row>
    <row r="7743" spans="10:15" x14ac:dyDescent="0.25">
      <c r="J7743" t="s">
        <v>1160</v>
      </c>
      <c r="K7743" s="22" t="s">
        <v>35</v>
      </c>
      <c r="L7743">
        <v>1</v>
      </c>
      <c r="M7743">
        <v>1</v>
      </c>
      <c r="O7743" s="31"/>
    </row>
    <row r="7744" spans="10:15" x14ac:dyDescent="0.25">
      <c r="J7744" t="s">
        <v>3006</v>
      </c>
      <c r="K7744" s="22" t="s">
        <v>35</v>
      </c>
      <c r="L7744">
        <v>1</v>
      </c>
      <c r="M7744">
        <v>1</v>
      </c>
      <c r="O7744" s="31"/>
    </row>
    <row r="7745" spans="10:15" x14ac:dyDescent="0.25">
      <c r="J7745" t="s">
        <v>3783</v>
      </c>
      <c r="K7745" s="22" t="s">
        <v>22</v>
      </c>
      <c r="L7745">
        <v>1</v>
      </c>
      <c r="O7745" s="30"/>
    </row>
    <row r="7746" spans="10:15" x14ac:dyDescent="0.25">
      <c r="J7746" t="s">
        <v>498</v>
      </c>
      <c r="K7746" s="22" t="s">
        <v>20</v>
      </c>
      <c r="L7746">
        <v>1</v>
      </c>
      <c r="M7746">
        <v>1</v>
      </c>
      <c r="O7746" s="31"/>
    </row>
    <row r="7747" spans="10:15" x14ac:dyDescent="0.25">
      <c r="J7747" t="s">
        <v>177</v>
      </c>
      <c r="K7747" s="22" t="s">
        <v>30</v>
      </c>
      <c r="L7747">
        <v>1</v>
      </c>
      <c r="O7747" s="30"/>
    </row>
    <row r="7748" spans="10:15" x14ac:dyDescent="0.25">
      <c r="J7748" t="s">
        <v>2369</v>
      </c>
      <c r="K7748" s="22" t="s">
        <v>28</v>
      </c>
      <c r="L7748">
        <v>1</v>
      </c>
      <c r="M7748">
        <v>1</v>
      </c>
      <c r="O7748" s="31"/>
    </row>
    <row r="7749" spans="10:15" x14ac:dyDescent="0.25">
      <c r="J7749" t="s">
        <v>178</v>
      </c>
      <c r="K7749" s="22" t="s">
        <v>24</v>
      </c>
      <c r="L7749">
        <v>1</v>
      </c>
      <c r="M7749">
        <v>1</v>
      </c>
      <c r="O7749" s="31"/>
    </row>
    <row r="7750" spans="10:15" x14ac:dyDescent="0.25">
      <c r="J7750" t="s">
        <v>3784</v>
      </c>
      <c r="K7750" s="22" t="s">
        <v>35</v>
      </c>
      <c r="L7750">
        <v>1</v>
      </c>
      <c r="O7750" s="30"/>
    </row>
    <row r="7751" spans="10:15" x14ac:dyDescent="0.25">
      <c r="J7751" t="s">
        <v>2896</v>
      </c>
      <c r="K7751" s="22" t="s">
        <v>24</v>
      </c>
      <c r="L7751">
        <v>1</v>
      </c>
      <c r="M7751">
        <v>1</v>
      </c>
      <c r="O7751" s="31"/>
    </row>
    <row r="7752" spans="10:15" x14ac:dyDescent="0.25">
      <c r="J7752" t="s">
        <v>418</v>
      </c>
      <c r="K7752" s="22" t="s">
        <v>26</v>
      </c>
      <c r="L7752">
        <v>1</v>
      </c>
      <c r="O7752" s="30"/>
    </row>
    <row r="7753" spans="10:15" x14ac:dyDescent="0.25">
      <c r="J7753" t="s">
        <v>2545</v>
      </c>
      <c r="K7753" s="22" t="s">
        <v>22</v>
      </c>
      <c r="L7753">
        <v>1</v>
      </c>
      <c r="M7753">
        <v>1</v>
      </c>
      <c r="O7753" s="31"/>
    </row>
    <row r="7754" spans="10:15" x14ac:dyDescent="0.25">
      <c r="J7754" t="s">
        <v>3785</v>
      </c>
      <c r="K7754" s="22" t="s">
        <v>20</v>
      </c>
      <c r="L7754">
        <v>1</v>
      </c>
      <c r="O7754" s="30"/>
    </row>
    <row r="7755" spans="10:15" x14ac:dyDescent="0.25">
      <c r="J7755" t="s">
        <v>3708</v>
      </c>
      <c r="K7755" s="22" t="s">
        <v>24</v>
      </c>
      <c r="L7755">
        <v>1</v>
      </c>
      <c r="M7755">
        <v>1</v>
      </c>
      <c r="O7755" s="31"/>
    </row>
    <row r="7756" spans="10:15" x14ac:dyDescent="0.25">
      <c r="J7756" t="s">
        <v>2437</v>
      </c>
      <c r="K7756" s="22" t="s">
        <v>31</v>
      </c>
      <c r="L7756">
        <v>1</v>
      </c>
      <c r="O7756" s="30"/>
    </row>
    <row r="7757" spans="10:15" x14ac:dyDescent="0.25">
      <c r="J7757" t="s">
        <v>3786</v>
      </c>
      <c r="K7757" s="22" t="s">
        <v>22</v>
      </c>
      <c r="L7757">
        <v>1</v>
      </c>
      <c r="M7757">
        <v>1</v>
      </c>
      <c r="O7757" s="31"/>
    </row>
    <row r="7758" spans="10:15" x14ac:dyDescent="0.25">
      <c r="J7758" t="s">
        <v>3787</v>
      </c>
      <c r="K7758" s="22" t="s">
        <v>29</v>
      </c>
      <c r="L7758">
        <v>1</v>
      </c>
      <c r="O7758" s="30"/>
    </row>
    <row r="7759" spans="10:15" x14ac:dyDescent="0.25">
      <c r="J7759" t="s">
        <v>2859</v>
      </c>
      <c r="K7759" s="22" t="s">
        <v>26</v>
      </c>
      <c r="L7759">
        <v>1</v>
      </c>
      <c r="O7759" s="30"/>
    </row>
    <row r="7760" spans="10:15" x14ac:dyDescent="0.25">
      <c r="J7760" t="s">
        <v>1628</v>
      </c>
      <c r="K7760" s="22" t="s">
        <v>35</v>
      </c>
      <c r="L7760">
        <v>1</v>
      </c>
      <c r="M7760">
        <v>1</v>
      </c>
      <c r="O7760" s="31"/>
    </row>
    <row r="7761" spans="10:15" x14ac:dyDescent="0.25">
      <c r="J7761" t="s">
        <v>735</v>
      </c>
      <c r="K7761" s="22" t="s">
        <v>22</v>
      </c>
      <c r="L7761">
        <v>3</v>
      </c>
      <c r="M7761">
        <v>3</v>
      </c>
      <c r="O7761" s="31"/>
    </row>
    <row r="7762" spans="10:15" x14ac:dyDescent="0.25">
      <c r="J7762" t="s">
        <v>364</v>
      </c>
      <c r="K7762" s="22" t="s">
        <v>20</v>
      </c>
      <c r="L7762">
        <v>2</v>
      </c>
      <c r="O7762" s="30"/>
    </row>
    <row r="7763" spans="10:15" x14ac:dyDescent="0.25">
      <c r="J7763" t="s">
        <v>3724</v>
      </c>
      <c r="K7763" s="22" t="s">
        <v>28</v>
      </c>
      <c r="L7763">
        <v>1</v>
      </c>
      <c r="O7763" s="30"/>
    </row>
    <row r="7764" spans="10:15" x14ac:dyDescent="0.25">
      <c r="J7764" t="s">
        <v>3278</v>
      </c>
      <c r="K7764" s="22" t="s">
        <v>24</v>
      </c>
      <c r="L7764">
        <v>1</v>
      </c>
      <c r="M7764">
        <v>1</v>
      </c>
      <c r="O7764" s="31"/>
    </row>
    <row r="7765" spans="10:15" x14ac:dyDescent="0.25">
      <c r="J7765" t="s">
        <v>3389</v>
      </c>
      <c r="K7765" s="22" t="s">
        <v>35</v>
      </c>
      <c r="L7765">
        <v>1</v>
      </c>
      <c r="O7765" s="30"/>
    </row>
    <row r="7766" spans="10:15" x14ac:dyDescent="0.25">
      <c r="J7766" t="s">
        <v>1704</v>
      </c>
      <c r="K7766" s="22" t="s">
        <v>30</v>
      </c>
      <c r="L7766">
        <v>1</v>
      </c>
      <c r="M7766">
        <v>1</v>
      </c>
      <c r="O7766" s="31"/>
    </row>
    <row r="7767" spans="10:15" x14ac:dyDescent="0.25">
      <c r="J7767" t="s">
        <v>1803</v>
      </c>
      <c r="K7767" s="22" t="s">
        <v>28</v>
      </c>
      <c r="L7767">
        <v>1</v>
      </c>
      <c r="O7767" s="30"/>
    </row>
    <row r="7768" spans="10:15" x14ac:dyDescent="0.25">
      <c r="J7768" t="s">
        <v>2565</v>
      </c>
      <c r="K7768" s="22" t="s">
        <v>22</v>
      </c>
      <c r="L7768">
        <v>1</v>
      </c>
      <c r="O7768" s="30"/>
    </row>
    <row r="7769" spans="10:15" x14ac:dyDescent="0.25">
      <c r="J7769" t="s">
        <v>1501</v>
      </c>
      <c r="K7769" s="22" t="s">
        <v>24</v>
      </c>
      <c r="L7769">
        <v>2</v>
      </c>
      <c r="M7769">
        <v>1</v>
      </c>
      <c r="O7769" s="30"/>
    </row>
    <row r="7770" spans="10:15" x14ac:dyDescent="0.25">
      <c r="J7770" t="s">
        <v>2650</v>
      </c>
      <c r="K7770" s="22" t="s">
        <v>26</v>
      </c>
      <c r="L7770">
        <v>1</v>
      </c>
      <c r="O7770" s="30"/>
    </row>
    <row r="7771" spans="10:15" x14ac:dyDescent="0.25">
      <c r="J7771" t="s">
        <v>3788</v>
      </c>
      <c r="K7771" s="22" t="s">
        <v>31</v>
      </c>
      <c r="L7771">
        <v>1</v>
      </c>
      <c r="M7771">
        <v>1</v>
      </c>
      <c r="O7771" s="31"/>
    </row>
    <row r="7772" spans="10:15" x14ac:dyDescent="0.25">
      <c r="J7772" t="s">
        <v>3400</v>
      </c>
      <c r="K7772" s="22" t="s">
        <v>31</v>
      </c>
      <c r="L7772">
        <v>1</v>
      </c>
      <c r="M7772">
        <v>1</v>
      </c>
      <c r="O7772" s="31"/>
    </row>
    <row r="7773" spans="10:15" x14ac:dyDescent="0.25">
      <c r="J7773" t="s">
        <v>3748</v>
      </c>
      <c r="K7773" s="22" t="s">
        <v>29</v>
      </c>
      <c r="L7773">
        <v>1</v>
      </c>
      <c r="M7773">
        <v>1</v>
      </c>
      <c r="O7773" s="31"/>
    </row>
    <row r="7774" spans="10:15" x14ac:dyDescent="0.25">
      <c r="J7774" t="s">
        <v>702</v>
      </c>
      <c r="K7774" s="22" t="s">
        <v>20</v>
      </c>
      <c r="L7774">
        <v>1</v>
      </c>
      <c r="O7774" s="30"/>
    </row>
    <row r="7775" spans="10:15" x14ac:dyDescent="0.25">
      <c r="J7775" t="s">
        <v>1394</v>
      </c>
      <c r="K7775" s="22" t="s">
        <v>30</v>
      </c>
      <c r="L7775">
        <v>3</v>
      </c>
      <c r="M7775">
        <v>1</v>
      </c>
      <c r="O7775" s="30"/>
    </row>
    <row r="7776" spans="10:15" x14ac:dyDescent="0.25">
      <c r="J7776" t="s">
        <v>3754</v>
      </c>
      <c r="K7776" s="22" t="s">
        <v>29</v>
      </c>
      <c r="L7776">
        <v>1</v>
      </c>
      <c r="M7776">
        <v>1</v>
      </c>
      <c r="O7776" s="31"/>
    </row>
    <row r="7777" spans="10:15" x14ac:dyDescent="0.25">
      <c r="J7777" t="s">
        <v>3789</v>
      </c>
      <c r="K7777" s="22" t="s">
        <v>35</v>
      </c>
      <c r="L7777">
        <v>1</v>
      </c>
      <c r="O7777" s="30"/>
    </row>
    <row r="7778" spans="10:15" x14ac:dyDescent="0.25">
      <c r="J7778" t="s">
        <v>3790</v>
      </c>
      <c r="K7778" s="22" t="s">
        <v>26</v>
      </c>
      <c r="L7778">
        <v>1</v>
      </c>
      <c r="M7778">
        <v>1</v>
      </c>
      <c r="O7778" s="31"/>
    </row>
    <row r="7779" spans="10:15" x14ac:dyDescent="0.25">
      <c r="J7779" t="s">
        <v>1532</v>
      </c>
      <c r="K7779" s="22" t="s">
        <v>28</v>
      </c>
      <c r="L7779">
        <v>5</v>
      </c>
      <c r="O7779" s="30"/>
    </row>
    <row r="7780" spans="10:15" x14ac:dyDescent="0.25">
      <c r="J7780" t="s">
        <v>3791</v>
      </c>
      <c r="K7780" s="22" t="s">
        <v>26</v>
      </c>
      <c r="L7780">
        <v>5</v>
      </c>
      <c r="M7780">
        <v>5</v>
      </c>
      <c r="O7780" s="31"/>
    </row>
    <row r="7781" spans="10:15" x14ac:dyDescent="0.25">
      <c r="J7781" t="s">
        <v>2285</v>
      </c>
      <c r="K7781" s="22" t="s">
        <v>22</v>
      </c>
      <c r="L7781">
        <v>2</v>
      </c>
      <c r="M7781">
        <v>1</v>
      </c>
      <c r="O7781" s="31"/>
    </row>
    <row r="7782" spans="10:15" x14ac:dyDescent="0.25">
      <c r="J7782" t="s">
        <v>3792</v>
      </c>
      <c r="K7782" s="22" t="s">
        <v>24</v>
      </c>
      <c r="L7782">
        <v>2</v>
      </c>
      <c r="M7782">
        <v>1</v>
      </c>
      <c r="O7782" s="30"/>
    </row>
    <row r="7783" spans="10:15" x14ac:dyDescent="0.25">
      <c r="J7783" t="s">
        <v>3793</v>
      </c>
      <c r="K7783" s="22" t="s">
        <v>35</v>
      </c>
      <c r="L7783">
        <v>1</v>
      </c>
      <c r="O7783" s="30"/>
    </row>
    <row r="7784" spans="10:15" x14ac:dyDescent="0.25">
      <c r="J7784" t="s">
        <v>3125</v>
      </c>
      <c r="K7784" s="22" t="s">
        <v>30</v>
      </c>
      <c r="L7784">
        <v>1</v>
      </c>
      <c r="O7784" s="30"/>
    </row>
    <row r="7785" spans="10:15" x14ac:dyDescent="0.25">
      <c r="J7785" t="s">
        <v>3794</v>
      </c>
      <c r="K7785" s="22" t="s">
        <v>24</v>
      </c>
      <c r="L7785">
        <v>1</v>
      </c>
      <c r="M7785">
        <v>1</v>
      </c>
      <c r="O7785" s="31"/>
    </row>
    <row r="7786" spans="10:15" x14ac:dyDescent="0.25">
      <c r="J7786" t="s">
        <v>2414</v>
      </c>
      <c r="K7786" s="22" t="s">
        <v>24</v>
      </c>
      <c r="L7786">
        <v>1</v>
      </c>
      <c r="M7786">
        <v>1</v>
      </c>
      <c r="O7786" s="31"/>
    </row>
    <row r="7787" spans="10:15" x14ac:dyDescent="0.25">
      <c r="J7787" t="s">
        <v>235</v>
      </c>
      <c r="K7787" s="22" t="s">
        <v>28</v>
      </c>
      <c r="L7787">
        <v>1</v>
      </c>
      <c r="O7787" s="30"/>
    </row>
    <row r="7788" spans="10:15" x14ac:dyDescent="0.25">
      <c r="J7788" t="s">
        <v>300</v>
      </c>
      <c r="K7788" s="22" t="s">
        <v>24</v>
      </c>
      <c r="L7788">
        <v>3</v>
      </c>
      <c r="M7788">
        <v>3</v>
      </c>
      <c r="O7788" s="31"/>
    </row>
    <row r="7789" spans="10:15" x14ac:dyDescent="0.25">
      <c r="J7789" t="s">
        <v>3795</v>
      </c>
      <c r="K7789" s="22" t="s">
        <v>20</v>
      </c>
      <c r="L7789">
        <v>1</v>
      </c>
      <c r="O7789" s="30"/>
    </row>
    <row r="7790" spans="10:15" x14ac:dyDescent="0.25">
      <c r="J7790" t="s">
        <v>3795</v>
      </c>
      <c r="K7790" s="22" t="s">
        <v>35</v>
      </c>
      <c r="L7790">
        <v>1</v>
      </c>
      <c r="O7790" s="30"/>
    </row>
    <row r="7791" spans="10:15" x14ac:dyDescent="0.25">
      <c r="J7791" t="s">
        <v>3438</v>
      </c>
      <c r="K7791" s="22" t="s">
        <v>29</v>
      </c>
      <c r="L7791">
        <v>4</v>
      </c>
      <c r="O7791" s="30"/>
    </row>
    <row r="7792" spans="10:15" x14ac:dyDescent="0.25">
      <c r="J7792" t="s">
        <v>3796</v>
      </c>
      <c r="K7792" s="22" t="s">
        <v>26</v>
      </c>
      <c r="L7792">
        <v>4</v>
      </c>
      <c r="M7792">
        <v>4</v>
      </c>
      <c r="O7792" s="31"/>
    </row>
    <row r="7793" spans="10:15" x14ac:dyDescent="0.25">
      <c r="J7793" t="s">
        <v>2167</v>
      </c>
      <c r="K7793" s="22" t="s">
        <v>30</v>
      </c>
      <c r="L7793">
        <v>2</v>
      </c>
      <c r="M7793">
        <v>2</v>
      </c>
      <c r="O7793" s="31"/>
    </row>
    <row r="7794" spans="10:15" x14ac:dyDescent="0.25">
      <c r="J7794" t="s">
        <v>84</v>
      </c>
      <c r="K7794" s="22" t="s">
        <v>35</v>
      </c>
      <c r="L7794">
        <v>4</v>
      </c>
      <c r="M7794">
        <v>4</v>
      </c>
      <c r="O7794" s="31"/>
    </row>
    <row r="7795" spans="10:15" x14ac:dyDescent="0.25">
      <c r="J7795" t="s">
        <v>3797</v>
      </c>
      <c r="K7795" s="22" t="s">
        <v>30</v>
      </c>
      <c r="L7795">
        <v>1</v>
      </c>
      <c r="O7795" s="30"/>
    </row>
    <row r="7796" spans="10:15" x14ac:dyDescent="0.25">
      <c r="J7796" t="s">
        <v>2281</v>
      </c>
      <c r="K7796" s="22" t="s">
        <v>20</v>
      </c>
      <c r="L7796">
        <v>1</v>
      </c>
      <c r="M7796">
        <v>1</v>
      </c>
      <c r="O7796" s="31"/>
    </row>
    <row r="7797" spans="10:15" x14ac:dyDescent="0.25">
      <c r="J7797" t="s">
        <v>3164</v>
      </c>
      <c r="K7797" s="22" t="s">
        <v>20</v>
      </c>
      <c r="L7797">
        <v>1</v>
      </c>
      <c r="O7797" s="30"/>
    </row>
    <row r="7798" spans="10:15" x14ac:dyDescent="0.25">
      <c r="J7798" t="s">
        <v>612</v>
      </c>
      <c r="K7798" s="22" t="s">
        <v>29</v>
      </c>
      <c r="L7798">
        <v>1</v>
      </c>
      <c r="M7798">
        <v>1</v>
      </c>
      <c r="O7798" s="31"/>
    </row>
    <row r="7799" spans="10:15" x14ac:dyDescent="0.25">
      <c r="J7799" t="s">
        <v>3798</v>
      </c>
      <c r="K7799" s="22" t="s">
        <v>30</v>
      </c>
      <c r="L7799">
        <v>1</v>
      </c>
      <c r="O7799" s="30"/>
    </row>
    <row r="7800" spans="10:15" x14ac:dyDescent="0.25">
      <c r="J7800" t="s">
        <v>3799</v>
      </c>
      <c r="K7800" s="22" t="s">
        <v>24</v>
      </c>
      <c r="L7800">
        <v>1</v>
      </c>
      <c r="M7800">
        <v>1</v>
      </c>
      <c r="O7800" s="31"/>
    </row>
    <row r="7801" spans="10:15" x14ac:dyDescent="0.25">
      <c r="J7801" t="s">
        <v>98</v>
      </c>
      <c r="K7801" s="22" t="s">
        <v>35</v>
      </c>
      <c r="L7801">
        <v>1</v>
      </c>
      <c r="O7801" s="30"/>
    </row>
    <row r="7802" spans="10:15" x14ac:dyDescent="0.25">
      <c r="J7802" t="s">
        <v>417</v>
      </c>
      <c r="K7802" s="22" t="s">
        <v>26</v>
      </c>
      <c r="L7802">
        <v>1</v>
      </c>
      <c r="M7802">
        <v>1</v>
      </c>
      <c r="O7802" s="31"/>
    </row>
    <row r="7803" spans="10:15" x14ac:dyDescent="0.25">
      <c r="J7803" t="s">
        <v>1966</v>
      </c>
      <c r="K7803" s="22" t="s">
        <v>30</v>
      </c>
      <c r="L7803">
        <v>1</v>
      </c>
      <c r="O7803" s="30"/>
    </row>
    <row r="7804" spans="10:15" x14ac:dyDescent="0.25">
      <c r="J7804" t="s">
        <v>787</v>
      </c>
      <c r="K7804" s="22" t="s">
        <v>20</v>
      </c>
      <c r="L7804">
        <v>1</v>
      </c>
      <c r="M7804">
        <v>1</v>
      </c>
      <c r="O7804" s="31"/>
    </row>
    <row r="7805" spans="10:15" x14ac:dyDescent="0.25">
      <c r="J7805" t="s">
        <v>1694</v>
      </c>
      <c r="K7805" s="22" t="s">
        <v>30</v>
      </c>
      <c r="L7805">
        <v>1</v>
      </c>
      <c r="M7805">
        <v>1</v>
      </c>
      <c r="O7805" s="31"/>
    </row>
    <row r="7806" spans="10:15" x14ac:dyDescent="0.25">
      <c r="J7806" t="s">
        <v>3800</v>
      </c>
      <c r="K7806" s="22" t="s">
        <v>24</v>
      </c>
      <c r="L7806">
        <v>1</v>
      </c>
      <c r="O7806" s="30"/>
    </row>
    <row r="7807" spans="10:15" x14ac:dyDescent="0.25">
      <c r="J7807" t="s">
        <v>3101</v>
      </c>
      <c r="K7807" s="22" t="s">
        <v>28</v>
      </c>
      <c r="L7807">
        <v>1</v>
      </c>
      <c r="M7807">
        <v>1</v>
      </c>
      <c r="O7807" s="31"/>
    </row>
    <row r="7808" spans="10:15" x14ac:dyDescent="0.25">
      <c r="J7808" t="s">
        <v>1556</v>
      </c>
      <c r="K7808" s="22" t="s">
        <v>22</v>
      </c>
      <c r="L7808">
        <v>1</v>
      </c>
      <c r="M7808">
        <v>1</v>
      </c>
      <c r="O7808" s="31"/>
    </row>
    <row r="7809" spans="10:15" x14ac:dyDescent="0.25">
      <c r="J7809" t="s">
        <v>1717</v>
      </c>
      <c r="K7809" s="22" t="s">
        <v>20</v>
      </c>
      <c r="L7809">
        <v>1</v>
      </c>
      <c r="O7809" s="30"/>
    </row>
    <row r="7810" spans="10:15" x14ac:dyDescent="0.25">
      <c r="J7810" t="s">
        <v>3570</v>
      </c>
      <c r="K7810" s="22" t="s">
        <v>24</v>
      </c>
      <c r="L7810">
        <v>1</v>
      </c>
      <c r="M7810">
        <v>1</v>
      </c>
      <c r="O7810" s="31"/>
    </row>
    <row r="7811" spans="10:15" x14ac:dyDescent="0.25">
      <c r="J7811" t="s">
        <v>2857</v>
      </c>
      <c r="K7811" s="22" t="s">
        <v>28</v>
      </c>
      <c r="L7811">
        <v>1</v>
      </c>
      <c r="O7811" s="30"/>
    </row>
    <row r="7812" spans="10:15" x14ac:dyDescent="0.25">
      <c r="J7812" t="s">
        <v>2196</v>
      </c>
      <c r="K7812" s="22" t="s">
        <v>26</v>
      </c>
      <c r="L7812">
        <v>1</v>
      </c>
      <c r="O7812" s="30"/>
    </row>
    <row r="7813" spans="10:15" x14ac:dyDescent="0.25">
      <c r="J7813" t="s">
        <v>3801</v>
      </c>
      <c r="K7813" s="22" t="s">
        <v>35</v>
      </c>
      <c r="L7813">
        <v>1</v>
      </c>
      <c r="M7813">
        <v>1</v>
      </c>
      <c r="O7813" s="31"/>
    </row>
    <row r="7814" spans="10:15" x14ac:dyDescent="0.25">
      <c r="J7814" t="s">
        <v>2618</v>
      </c>
      <c r="K7814" s="22" t="s">
        <v>30</v>
      </c>
      <c r="L7814">
        <v>1</v>
      </c>
      <c r="O7814" s="30"/>
    </row>
    <row r="7815" spans="10:15" x14ac:dyDescent="0.25">
      <c r="J7815" t="s">
        <v>3802</v>
      </c>
      <c r="K7815" s="22" t="s">
        <v>22</v>
      </c>
      <c r="L7815">
        <v>1</v>
      </c>
      <c r="M7815">
        <v>1</v>
      </c>
      <c r="O7815" s="31"/>
    </row>
    <row r="7816" spans="10:15" x14ac:dyDescent="0.25">
      <c r="J7816" t="s">
        <v>3803</v>
      </c>
      <c r="K7816" s="22" t="s">
        <v>35</v>
      </c>
      <c r="L7816">
        <v>1</v>
      </c>
      <c r="O7816" s="30"/>
    </row>
    <row r="7817" spans="10:15" x14ac:dyDescent="0.25">
      <c r="J7817" t="s">
        <v>3804</v>
      </c>
      <c r="K7817" s="22" t="s">
        <v>31</v>
      </c>
      <c r="L7817">
        <v>1</v>
      </c>
      <c r="M7817">
        <v>1</v>
      </c>
      <c r="O7817" s="31"/>
    </row>
    <row r="7818" spans="10:15" x14ac:dyDescent="0.25">
      <c r="J7818" t="s">
        <v>3805</v>
      </c>
      <c r="K7818" s="22" t="s">
        <v>20</v>
      </c>
      <c r="L7818">
        <v>1</v>
      </c>
      <c r="O7818" s="30"/>
    </row>
    <row r="7819" spans="10:15" x14ac:dyDescent="0.25">
      <c r="J7819" t="s">
        <v>329</v>
      </c>
      <c r="K7819" s="22" t="s">
        <v>29</v>
      </c>
      <c r="L7819">
        <v>1</v>
      </c>
      <c r="M7819">
        <v>1</v>
      </c>
      <c r="O7819" s="31"/>
    </row>
    <row r="7820" spans="10:15" x14ac:dyDescent="0.25">
      <c r="J7820" t="s">
        <v>496</v>
      </c>
      <c r="K7820" s="22" t="s">
        <v>28</v>
      </c>
      <c r="L7820">
        <v>1</v>
      </c>
      <c r="O7820" s="30"/>
    </row>
    <row r="7821" spans="10:15" x14ac:dyDescent="0.25">
      <c r="J7821" t="s">
        <v>701</v>
      </c>
      <c r="K7821" s="22" t="s">
        <v>22</v>
      </c>
      <c r="L7821">
        <v>1</v>
      </c>
      <c r="M7821">
        <v>1</v>
      </c>
      <c r="O7821" s="31"/>
    </row>
    <row r="7822" spans="10:15" x14ac:dyDescent="0.25">
      <c r="J7822" t="s">
        <v>3806</v>
      </c>
      <c r="K7822" s="22" t="s">
        <v>31</v>
      </c>
      <c r="L7822">
        <v>1</v>
      </c>
      <c r="O7822" s="30"/>
    </row>
    <row r="7823" spans="10:15" x14ac:dyDescent="0.25">
      <c r="J7823" t="s">
        <v>3807</v>
      </c>
      <c r="K7823" s="22" t="s">
        <v>30</v>
      </c>
      <c r="L7823">
        <v>1</v>
      </c>
      <c r="M7823">
        <v>1</v>
      </c>
      <c r="O7823" s="31"/>
    </row>
    <row r="7824" spans="10:15" x14ac:dyDescent="0.25">
      <c r="J7824" t="s">
        <v>3808</v>
      </c>
      <c r="K7824" s="22" t="s">
        <v>24</v>
      </c>
      <c r="L7824">
        <v>1</v>
      </c>
      <c r="O7824" s="30"/>
    </row>
    <row r="7825" spans="10:15" x14ac:dyDescent="0.25">
      <c r="J7825" t="s">
        <v>330</v>
      </c>
      <c r="K7825" s="22" t="s">
        <v>28</v>
      </c>
      <c r="L7825">
        <v>1</v>
      </c>
      <c r="M7825">
        <v>1</v>
      </c>
      <c r="O7825" s="31"/>
    </row>
    <row r="7826" spans="10:15" x14ac:dyDescent="0.25">
      <c r="J7826" t="s">
        <v>3534</v>
      </c>
      <c r="K7826" s="22" t="s">
        <v>35</v>
      </c>
      <c r="L7826">
        <v>1</v>
      </c>
      <c r="O7826" s="30"/>
    </row>
    <row r="7827" spans="10:15" x14ac:dyDescent="0.25">
      <c r="J7827" t="s">
        <v>3809</v>
      </c>
      <c r="K7827" s="22" t="s">
        <v>29</v>
      </c>
      <c r="L7827">
        <v>1</v>
      </c>
      <c r="M7827">
        <v>1</v>
      </c>
      <c r="O7827" s="31"/>
    </row>
    <row r="7828" spans="10:15" x14ac:dyDescent="0.25">
      <c r="J7828" t="s">
        <v>3810</v>
      </c>
      <c r="K7828" s="22" t="s">
        <v>31</v>
      </c>
      <c r="L7828">
        <v>1</v>
      </c>
      <c r="O7828" s="30"/>
    </row>
    <row r="7829" spans="10:15" x14ac:dyDescent="0.25">
      <c r="J7829" t="s">
        <v>2952</v>
      </c>
      <c r="K7829" s="22" t="s">
        <v>30</v>
      </c>
      <c r="L7829">
        <v>1</v>
      </c>
      <c r="M7829">
        <v>1</v>
      </c>
      <c r="O7829" s="31"/>
    </row>
    <row r="7830" spans="10:15" x14ac:dyDescent="0.25">
      <c r="J7830" t="s">
        <v>204</v>
      </c>
      <c r="K7830" s="22" t="s">
        <v>24</v>
      </c>
      <c r="L7830">
        <v>1</v>
      </c>
      <c r="M7830">
        <v>1</v>
      </c>
      <c r="O7830" s="31"/>
    </row>
    <row r="7831" spans="10:15" x14ac:dyDescent="0.25">
      <c r="J7831" t="s">
        <v>3424</v>
      </c>
      <c r="K7831" s="22" t="s">
        <v>28</v>
      </c>
      <c r="L7831">
        <v>1</v>
      </c>
      <c r="O7831" s="30"/>
    </row>
    <row r="7832" spans="10:15" x14ac:dyDescent="0.25">
      <c r="J7832" t="s">
        <v>670</v>
      </c>
      <c r="K7832" s="22" t="s">
        <v>26</v>
      </c>
      <c r="L7832">
        <v>1</v>
      </c>
      <c r="M7832">
        <v>1</v>
      </c>
      <c r="O7832" s="31"/>
    </row>
    <row r="7833" spans="10:15" x14ac:dyDescent="0.25">
      <c r="J7833" t="s">
        <v>3811</v>
      </c>
      <c r="K7833" s="22" t="s">
        <v>22</v>
      </c>
      <c r="L7833">
        <v>1</v>
      </c>
      <c r="O7833" s="30"/>
    </row>
    <row r="7834" spans="10:15" x14ac:dyDescent="0.25">
      <c r="J7834" t="s">
        <v>3733</v>
      </c>
      <c r="K7834" s="22" t="s">
        <v>20</v>
      </c>
      <c r="L7834">
        <v>1</v>
      </c>
      <c r="M7834">
        <v>1</v>
      </c>
      <c r="O7834" s="31"/>
    </row>
    <row r="7835" spans="10:15" x14ac:dyDescent="0.25">
      <c r="J7835" t="s">
        <v>351</v>
      </c>
      <c r="K7835" s="22" t="s">
        <v>20</v>
      </c>
      <c r="L7835">
        <v>1</v>
      </c>
      <c r="O7835" s="30"/>
    </row>
    <row r="7836" spans="10:15" x14ac:dyDescent="0.25">
      <c r="J7836" t="s">
        <v>958</v>
      </c>
      <c r="K7836" s="22" t="s">
        <v>29</v>
      </c>
      <c r="L7836">
        <v>1</v>
      </c>
      <c r="M7836">
        <v>1</v>
      </c>
      <c r="O7836" s="31"/>
    </row>
    <row r="7837" spans="10:15" x14ac:dyDescent="0.25">
      <c r="J7837" t="s">
        <v>500</v>
      </c>
      <c r="K7837" s="22" t="s">
        <v>22</v>
      </c>
      <c r="L7837">
        <v>1</v>
      </c>
      <c r="O7837" s="30"/>
    </row>
    <row r="7838" spans="10:15" x14ac:dyDescent="0.25">
      <c r="J7838" t="s">
        <v>3397</v>
      </c>
      <c r="K7838" s="22" t="s">
        <v>28</v>
      </c>
      <c r="L7838">
        <v>1</v>
      </c>
      <c r="M7838">
        <v>1</v>
      </c>
      <c r="O7838" s="31"/>
    </row>
    <row r="7839" spans="10:15" x14ac:dyDescent="0.25">
      <c r="J7839" t="s">
        <v>3812</v>
      </c>
      <c r="K7839" s="22" t="s">
        <v>26</v>
      </c>
      <c r="L7839">
        <v>1</v>
      </c>
      <c r="O7839" s="30"/>
    </row>
    <row r="7840" spans="10:15" x14ac:dyDescent="0.25">
      <c r="J7840" t="s">
        <v>3813</v>
      </c>
      <c r="K7840" s="22" t="s">
        <v>30</v>
      </c>
      <c r="L7840">
        <v>1</v>
      </c>
      <c r="M7840">
        <v>1</v>
      </c>
      <c r="O7840" s="31"/>
    </row>
    <row r="7841" spans="10:15" x14ac:dyDescent="0.25">
      <c r="J7841" t="s">
        <v>1029</v>
      </c>
      <c r="K7841" s="22" t="s">
        <v>22</v>
      </c>
      <c r="L7841">
        <v>1</v>
      </c>
      <c r="M7841">
        <v>1</v>
      </c>
      <c r="O7841" s="31"/>
    </row>
    <row r="7842" spans="10:15" x14ac:dyDescent="0.25">
      <c r="J7842" t="s">
        <v>3814</v>
      </c>
      <c r="K7842" s="22" t="s">
        <v>20</v>
      </c>
      <c r="L7842">
        <v>1</v>
      </c>
      <c r="O7842" s="30"/>
    </row>
    <row r="7843" spans="10:15" x14ac:dyDescent="0.25">
      <c r="J7843" t="s">
        <v>3815</v>
      </c>
      <c r="K7843" s="22" t="s">
        <v>35</v>
      </c>
      <c r="L7843">
        <v>1</v>
      </c>
      <c r="M7843">
        <v>1</v>
      </c>
      <c r="O7843" s="31"/>
    </row>
    <row r="7844" spans="10:15" x14ac:dyDescent="0.25">
      <c r="J7844" t="s">
        <v>2232</v>
      </c>
      <c r="K7844" s="22" t="s">
        <v>28</v>
      </c>
      <c r="L7844">
        <v>1</v>
      </c>
      <c r="O7844" s="30"/>
    </row>
    <row r="7845" spans="10:15" x14ac:dyDescent="0.25">
      <c r="J7845" t="s">
        <v>1737</v>
      </c>
      <c r="K7845" s="22" t="s">
        <v>29</v>
      </c>
      <c r="L7845">
        <v>1</v>
      </c>
      <c r="M7845">
        <v>1</v>
      </c>
      <c r="O7845" s="31"/>
    </row>
    <row r="7846" spans="10:15" x14ac:dyDescent="0.25">
      <c r="J7846" t="s">
        <v>2667</v>
      </c>
      <c r="K7846" s="22" t="s">
        <v>22</v>
      </c>
      <c r="L7846">
        <v>1</v>
      </c>
      <c r="M7846">
        <v>1</v>
      </c>
      <c r="O7846" s="31"/>
    </row>
    <row r="7847" spans="10:15" x14ac:dyDescent="0.25">
      <c r="J7847" t="s">
        <v>1144</v>
      </c>
      <c r="K7847" s="22" t="s">
        <v>20</v>
      </c>
      <c r="L7847">
        <v>1</v>
      </c>
      <c r="O7847" s="30"/>
    </row>
    <row r="7848" spans="10:15" x14ac:dyDescent="0.25">
      <c r="J7848" t="s">
        <v>3816</v>
      </c>
      <c r="K7848" s="22" t="s">
        <v>31</v>
      </c>
      <c r="L7848">
        <v>1</v>
      </c>
      <c r="M7848">
        <v>1</v>
      </c>
      <c r="O7848" s="31"/>
    </row>
    <row r="7849" spans="10:15" x14ac:dyDescent="0.25">
      <c r="J7849" t="s">
        <v>1018</v>
      </c>
      <c r="K7849" s="22" t="s">
        <v>22</v>
      </c>
      <c r="L7849">
        <v>1</v>
      </c>
      <c r="O7849" s="30"/>
    </row>
    <row r="7850" spans="10:15" x14ac:dyDescent="0.25">
      <c r="J7850" t="s">
        <v>3817</v>
      </c>
      <c r="K7850" s="22" t="s">
        <v>28</v>
      </c>
      <c r="L7850">
        <v>1</v>
      </c>
      <c r="M7850">
        <v>1</v>
      </c>
      <c r="O7850" s="31"/>
    </row>
    <row r="7851" spans="10:15" x14ac:dyDescent="0.25">
      <c r="J7851" t="s">
        <v>2299</v>
      </c>
      <c r="K7851" s="22" t="s">
        <v>22</v>
      </c>
      <c r="L7851">
        <v>1</v>
      </c>
      <c r="M7851">
        <v>1</v>
      </c>
      <c r="O7851" s="31"/>
    </row>
    <row r="7852" spans="10:15" x14ac:dyDescent="0.25">
      <c r="J7852" t="s">
        <v>3818</v>
      </c>
      <c r="K7852" s="22" t="s">
        <v>24</v>
      </c>
      <c r="L7852">
        <v>1</v>
      </c>
      <c r="O7852" s="30"/>
    </row>
    <row r="7853" spans="10:15" x14ac:dyDescent="0.25">
      <c r="J7853" t="s">
        <v>1634</v>
      </c>
      <c r="K7853" s="22" t="s">
        <v>26</v>
      </c>
      <c r="L7853">
        <v>1</v>
      </c>
      <c r="O7853" s="30"/>
    </row>
    <row r="7854" spans="10:15" x14ac:dyDescent="0.25">
      <c r="J7854" t="s">
        <v>2374</v>
      </c>
      <c r="K7854" s="22" t="s">
        <v>31</v>
      </c>
      <c r="L7854">
        <v>1</v>
      </c>
      <c r="M7854">
        <v>1</v>
      </c>
      <c r="O7854" s="31"/>
    </row>
    <row r="7855" spans="10:15" x14ac:dyDescent="0.25">
      <c r="J7855" t="s">
        <v>2606</v>
      </c>
      <c r="K7855" s="22" t="s">
        <v>29</v>
      </c>
      <c r="L7855">
        <v>2</v>
      </c>
      <c r="M7855">
        <v>2</v>
      </c>
      <c r="O7855" s="31"/>
    </row>
    <row r="7856" spans="10:15" x14ac:dyDescent="0.25">
      <c r="J7856" t="s">
        <v>2148</v>
      </c>
      <c r="K7856" s="22" t="s">
        <v>24</v>
      </c>
      <c r="L7856">
        <v>1</v>
      </c>
      <c r="M7856">
        <v>1</v>
      </c>
      <c r="O7856" s="31"/>
    </row>
    <row r="7857" spans="10:15" x14ac:dyDescent="0.25">
      <c r="J7857" t="s">
        <v>3819</v>
      </c>
      <c r="K7857" s="22" t="s">
        <v>28</v>
      </c>
      <c r="L7857">
        <v>1</v>
      </c>
      <c r="O7857" s="30"/>
    </row>
    <row r="7858" spans="10:15" x14ac:dyDescent="0.25">
      <c r="J7858" t="s">
        <v>979</v>
      </c>
      <c r="K7858" s="22" t="s">
        <v>22</v>
      </c>
      <c r="L7858">
        <v>1</v>
      </c>
      <c r="M7858">
        <v>1</v>
      </c>
      <c r="O7858" s="31"/>
    </row>
    <row r="7859" spans="10:15" x14ac:dyDescent="0.25">
      <c r="J7859" t="s">
        <v>3694</v>
      </c>
      <c r="K7859" s="22" t="s">
        <v>31</v>
      </c>
      <c r="L7859">
        <v>1</v>
      </c>
      <c r="O7859" s="30"/>
    </row>
    <row r="7860" spans="10:15" x14ac:dyDescent="0.25">
      <c r="J7860" t="s">
        <v>1532</v>
      </c>
      <c r="K7860" s="22" t="s">
        <v>24</v>
      </c>
      <c r="L7860">
        <v>2</v>
      </c>
      <c r="O7860" s="30"/>
    </row>
    <row r="7861" spans="10:15" x14ac:dyDescent="0.25">
      <c r="J7861" t="s">
        <v>448</v>
      </c>
      <c r="K7861" s="22" t="s">
        <v>26</v>
      </c>
      <c r="L7861">
        <v>1</v>
      </c>
      <c r="O7861" s="30"/>
    </row>
    <row r="7862" spans="10:15" x14ac:dyDescent="0.25">
      <c r="J7862" t="s">
        <v>2379</v>
      </c>
      <c r="K7862" s="22" t="s">
        <v>20</v>
      </c>
      <c r="L7862">
        <v>1</v>
      </c>
      <c r="M7862">
        <v>1</v>
      </c>
      <c r="O7862" s="31"/>
    </row>
    <row r="7863" spans="10:15" x14ac:dyDescent="0.25">
      <c r="J7863" t="s">
        <v>1576</v>
      </c>
      <c r="K7863" s="22" t="s">
        <v>24</v>
      </c>
      <c r="L7863">
        <v>1</v>
      </c>
      <c r="M7863">
        <v>1</v>
      </c>
      <c r="O7863" s="31"/>
    </row>
    <row r="7864" spans="10:15" x14ac:dyDescent="0.25">
      <c r="J7864" t="s">
        <v>1440</v>
      </c>
      <c r="K7864" s="22" t="s">
        <v>28</v>
      </c>
      <c r="L7864">
        <v>1</v>
      </c>
      <c r="O7864" s="30"/>
    </row>
    <row r="7865" spans="10:15" x14ac:dyDescent="0.25">
      <c r="J7865" t="s">
        <v>1698</v>
      </c>
      <c r="K7865" s="22" t="s">
        <v>26</v>
      </c>
      <c r="L7865">
        <v>1</v>
      </c>
      <c r="M7865">
        <v>1</v>
      </c>
      <c r="O7865" s="31"/>
    </row>
    <row r="7866" spans="10:15" x14ac:dyDescent="0.25">
      <c r="J7866" t="s">
        <v>2172</v>
      </c>
      <c r="K7866" s="22" t="s">
        <v>24</v>
      </c>
      <c r="L7866">
        <v>2</v>
      </c>
      <c r="M7866">
        <v>2</v>
      </c>
      <c r="O7866" s="31"/>
    </row>
    <row r="7867" spans="10:15" x14ac:dyDescent="0.25">
      <c r="J7867" t="s">
        <v>331</v>
      </c>
      <c r="K7867" s="22" t="s">
        <v>31</v>
      </c>
      <c r="L7867">
        <v>1</v>
      </c>
      <c r="M7867">
        <v>1</v>
      </c>
      <c r="O7867" s="31"/>
    </row>
    <row r="7868" spans="10:15" x14ac:dyDescent="0.25">
      <c r="J7868" t="s">
        <v>3820</v>
      </c>
      <c r="K7868" s="22" t="s">
        <v>29</v>
      </c>
      <c r="L7868">
        <v>1</v>
      </c>
      <c r="O7868" s="30"/>
    </row>
    <row r="7869" spans="10:15" x14ac:dyDescent="0.25">
      <c r="J7869" t="s">
        <v>3821</v>
      </c>
      <c r="K7869" s="22" t="s">
        <v>28</v>
      </c>
      <c r="L7869">
        <v>1</v>
      </c>
      <c r="M7869">
        <v>1</v>
      </c>
      <c r="O7869" s="31"/>
    </row>
    <row r="7870" spans="10:15" x14ac:dyDescent="0.25">
      <c r="J7870" t="s">
        <v>1545</v>
      </c>
      <c r="K7870" s="22" t="s">
        <v>26</v>
      </c>
      <c r="L7870">
        <v>1</v>
      </c>
      <c r="O7870" s="30"/>
    </row>
    <row r="7871" spans="10:15" x14ac:dyDescent="0.25">
      <c r="J7871" t="s">
        <v>1560</v>
      </c>
      <c r="K7871" s="22" t="s">
        <v>35</v>
      </c>
      <c r="L7871">
        <v>1</v>
      </c>
      <c r="M7871">
        <v>1</v>
      </c>
      <c r="O7871" s="31"/>
    </row>
    <row r="7872" spans="10:15" x14ac:dyDescent="0.25">
      <c r="J7872" t="s">
        <v>2164</v>
      </c>
      <c r="K7872" s="22" t="s">
        <v>24</v>
      </c>
      <c r="L7872">
        <v>1</v>
      </c>
      <c r="O7872" s="30"/>
    </row>
    <row r="7873" spans="10:15" x14ac:dyDescent="0.25">
      <c r="J7873" t="s">
        <v>3698</v>
      </c>
      <c r="K7873" s="22" t="s">
        <v>20</v>
      </c>
      <c r="L7873">
        <v>1</v>
      </c>
      <c r="M7873">
        <v>1</v>
      </c>
      <c r="O7873" s="31"/>
    </row>
    <row r="7874" spans="10:15" x14ac:dyDescent="0.25">
      <c r="J7874" t="s">
        <v>276</v>
      </c>
      <c r="K7874" s="22" t="s">
        <v>35</v>
      </c>
      <c r="L7874">
        <v>1</v>
      </c>
      <c r="O7874" s="30"/>
    </row>
    <row r="7875" spans="10:15" x14ac:dyDescent="0.25">
      <c r="J7875" t="s">
        <v>1689</v>
      </c>
      <c r="K7875" s="22" t="s">
        <v>28</v>
      </c>
      <c r="L7875">
        <v>1</v>
      </c>
      <c r="O7875" s="30"/>
    </row>
    <row r="7876" spans="10:15" x14ac:dyDescent="0.25">
      <c r="J7876" t="s">
        <v>1556</v>
      </c>
      <c r="K7876" s="22" t="s">
        <v>20</v>
      </c>
      <c r="L7876">
        <v>1</v>
      </c>
      <c r="O7876" s="30"/>
    </row>
    <row r="7877" spans="10:15" x14ac:dyDescent="0.25">
      <c r="J7877" t="s">
        <v>3822</v>
      </c>
      <c r="K7877" s="22" t="s">
        <v>22</v>
      </c>
      <c r="L7877">
        <v>1</v>
      </c>
      <c r="M7877">
        <v>1</v>
      </c>
      <c r="O7877" s="31"/>
    </row>
    <row r="7878" spans="10:15" x14ac:dyDescent="0.25">
      <c r="J7878" t="s">
        <v>1388</v>
      </c>
      <c r="K7878" s="22" t="s">
        <v>24</v>
      </c>
      <c r="L7878">
        <v>1</v>
      </c>
      <c r="O7878" s="30"/>
    </row>
    <row r="7879" spans="10:15" x14ac:dyDescent="0.25">
      <c r="J7879" t="s">
        <v>3497</v>
      </c>
      <c r="K7879" s="22" t="s">
        <v>31</v>
      </c>
      <c r="L7879">
        <v>1</v>
      </c>
      <c r="M7879">
        <v>1</v>
      </c>
      <c r="O7879" s="31"/>
    </row>
    <row r="7880" spans="10:15" x14ac:dyDescent="0.25">
      <c r="J7880" t="s">
        <v>3182</v>
      </c>
      <c r="K7880" s="22" t="s">
        <v>28</v>
      </c>
      <c r="L7880">
        <v>1</v>
      </c>
      <c r="O7880" s="30"/>
    </row>
    <row r="7881" spans="10:15" x14ac:dyDescent="0.25">
      <c r="J7881" t="s">
        <v>1195</v>
      </c>
      <c r="K7881" s="22" t="s">
        <v>24</v>
      </c>
      <c r="L7881">
        <v>1</v>
      </c>
      <c r="M7881">
        <v>1</v>
      </c>
      <c r="O7881" s="31"/>
    </row>
    <row r="7882" spans="10:15" x14ac:dyDescent="0.25">
      <c r="J7882" t="s">
        <v>1954</v>
      </c>
      <c r="K7882" s="22" t="s">
        <v>30</v>
      </c>
      <c r="L7882">
        <v>1</v>
      </c>
      <c r="O7882" s="30"/>
    </row>
    <row r="7883" spans="10:15" x14ac:dyDescent="0.25">
      <c r="J7883" t="s">
        <v>2740</v>
      </c>
      <c r="K7883" s="22" t="s">
        <v>22</v>
      </c>
      <c r="L7883">
        <v>1</v>
      </c>
      <c r="M7883">
        <v>1</v>
      </c>
      <c r="O7883" s="31"/>
    </row>
    <row r="7884" spans="10:15" x14ac:dyDescent="0.25">
      <c r="J7884" t="s">
        <v>2896</v>
      </c>
      <c r="K7884" s="22" t="s">
        <v>28</v>
      </c>
      <c r="L7884">
        <v>1</v>
      </c>
      <c r="M7884">
        <v>1</v>
      </c>
      <c r="O7884" s="31"/>
    </row>
    <row r="7885" spans="10:15" x14ac:dyDescent="0.25">
      <c r="J7885" t="s">
        <v>3717</v>
      </c>
      <c r="K7885" s="22" t="s">
        <v>31</v>
      </c>
      <c r="L7885">
        <v>1</v>
      </c>
      <c r="O7885" s="30"/>
    </row>
    <row r="7886" spans="10:15" x14ac:dyDescent="0.25">
      <c r="J7886" t="s">
        <v>3584</v>
      </c>
      <c r="K7886" s="22" t="s">
        <v>26</v>
      </c>
      <c r="L7886">
        <v>1</v>
      </c>
      <c r="O7886" s="30"/>
    </row>
    <row r="7887" spans="10:15" x14ac:dyDescent="0.25">
      <c r="J7887" t="s">
        <v>3281</v>
      </c>
      <c r="K7887" s="22" t="s">
        <v>35</v>
      </c>
      <c r="L7887">
        <v>1</v>
      </c>
      <c r="O7887" s="30"/>
    </row>
    <row r="7888" spans="10:15" x14ac:dyDescent="0.25">
      <c r="J7888" t="s">
        <v>3730</v>
      </c>
      <c r="K7888" s="22" t="s">
        <v>30</v>
      </c>
      <c r="L7888">
        <v>1</v>
      </c>
      <c r="O7888" s="30"/>
    </row>
    <row r="7889" spans="10:15" x14ac:dyDescent="0.25">
      <c r="J7889" t="s">
        <v>1911</v>
      </c>
      <c r="K7889" s="22" t="s">
        <v>22</v>
      </c>
      <c r="L7889">
        <v>1</v>
      </c>
      <c r="O7889" s="30"/>
    </row>
    <row r="7890" spans="10:15" x14ac:dyDescent="0.25">
      <c r="J7890" t="s">
        <v>3238</v>
      </c>
      <c r="K7890" s="22" t="s">
        <v>26</v>
      </c>
      <c r="L7890">
        <v>4</v>
      </c>
      <c r="O7890" s="30"/>
    </row>
    <row r="7891" spans="10:15" x14ac:dyDescent="0.25">
      <c r="J7891" t="s">
        <v>1996</v>
      </c>
      <c r="K7891" s="22" t="s">
        <v>24</v>
      </c>
      <c r="L7891">
        <v>4</v>
      </c>
      <c r="M7891">
        <v>3</v>
      </c>
      <c r="O7891" s="31"/>
    </row>
    <row r="7892" spans="10:15" x14ac:dyDescent="0.25">
      <c r="J7892" t="s">
        <v>3354</v>
      </c>
      <c r="K7892" s="22" t="s">
        <v>28</v>
      </c>
      <c r="L7892">
        <v>1</v>
      </c>
      <c r="O7892" s="30"/>
    </row>
    <row r="7893" spans="10:15" x14ac:dyDescent="0.25">
      <c r="J7893" t="s">
        <v>3338</v>
      </c>
      <c r="K7893" s="22" t="s">
        <v>30</v>
      </c>
      <c r="L7893">
        <v>1</v>
      </c>
      <c r="O7893" s="30"/>
    </row>
    <row r="7894" spans="10:15" x14ac:dyDescent="0.25">
      <c r="J7894" t="s">
        <v>3027</v>
      </c>
      <c r="K7894" s="22" t="s">
        <v>22</v>
      </c>
      <c r="L7894">
        <v>1</v>
      </c>
      <c r="O7894" s="30"/>
    </row>
    <row r="7895" spans="10:15" x14ac:dyDescent="0.25">
      <c r="J7895" t="s">
        <v>3824</v>
      </c>
      <c r="K7895" s="22" t="s">
        <v>30</v>
      </c>
      <c r="L7895">
        <v>1</v>
      </c>
      <c r="M7895">
        <v>1</v>
      </c>
      <c r="O7895" s="31"/>
    </row>
    <row r="7896" spans="10:15" x14ac:dyDescent="0.25">
      <c r="J7896" t="s">
        <v>3739</v>
      </c>
      <c r="K7896" s="22" t="s">
        <v>35</v>
      </c>
      <c r="L7896">
        <v>1</v>
      </c>
      <c r="O7896" s="30"/>
    </row>
    <row r="7897" spans="10:15" x14ac:dyDescent="0.25">
      <c r="J7897" t="s">
        <v>2806</v>
      </c>
      <c r="K7897" s="22" t="s">
        <v>35</v>
      </c>
      <c r="L7897">
        <v>3</v>
      </c>
      <c r="M7897">
        <v>3</v>
      </c>
      <c r="O7897" s="31"/>
    </row>
    <row r="7898" spans="10:15" x14ac:dyDescent="0.25">
      <c r="J7898" t="s">
        <v>3057</v>
      </c>
      <c r="K7898" s="22" t="s">
        <v>30</v>
      </c>
      <c r="L7898">
        <v>2</v>
      </c>
      <c r="M7898">
        <v>2</v>
      </c>
      <c r="O7898" s="31"/>
    </row>
    <row r="7899" spans="10:15" x14ac:dyDescent="0.25">
      <c r="J7899" t="s">
        <v>1911</v>
      </c>
      <c r="K7899" s="22" t="s">
        <v>35</v>
      </c>
      <c r="L7899">
        <v>1</v>
      </c>
      <c r="O7899" s="30"/>
    </row>
    <row r="7900" spans="10:15" x14ac:dyDescent="0.25">
      <c r="J7900" t="s">
        <v>3313</v>
      </c>
      <c r="K7900" s="22" t="s">
        <v>31</v>
      </c>
      <c r="L7900">
        <v>1</v>
      </c>
      <c r="M7900">
        <v>1</v>
      </c>
      <c r="O7900" s="31"/>
    </row>
    <row r="7901" spans="10:15" x14ac:dyDescent="0.25">
      <c r="J7901" t="s">
        <v>2014</v>
      </c>
      <c r="K7901" s="22" t="s">
        <v>28</v>
      </c>
      <c r="L7901">
        <v>1</v>
      </c>
      <c r="O7901" s="30"/>
    </row>
    <row r="7902" spans="10:15" x14ac:dyDescent="0.25">
      <c r="J7902" t="s">
        <v>2700</v>
      </c>
      <c r="K7902" s="22" t="s">
        <v>29</v>
      </c>
      <c r="L7902">
        <v>1</v>
      </c>
      <c r="O7902" s="30"/>
    </row>
    <row r="7903" spans="10:15" x14ac:dyDescent="0.25">
      <c r="J7903" t="s">
        <v>3825</v>
      </c>
      <c r="K7903" s="22" t="s">
        <v>35</v>
      </c>
      <c r="L7903">
        <v>1</v>
      </c>
      <c r="M7903">
        <v>1</v>
      </c>
      <c r="O7903" s="31"/>
    </row>
    <row r="7904" spans="10:15" x14ac:dyDescent="0.25">
      <c r="J7904" t="s">
        <v>3826</v>
      </c>
      <c r="K7904" s="22" t="s">
        <v>22</v>
      </c>
      <c r="L7904">
        <v>1</v>
      </c>
      <c r="O7904" s="30"/>
    </row>
    <row r="7905" spans="10:15" x14ac:dyDescent="0.25">
      <c r="J7905" t="s">
        <v>3418</v>
      </c>
      <c r="K7905" s="22" t="s">
        <v>20</v>
      </c>
      <c r="L7905">
        <v>2</v>
      </c>
      <c r="M7905">
        <v>2</v>
      </c>
      <c r="O7905" s="31"/>
    </row>
    <row r="7906" spans="10:15" x14ac:dyDescent="0.25">
      <c r="J7906" t="s">
        <v>3181</v>
      </c>
      <c r="K7906" s="22" t="s">
        <v>26</v>
      </c>
      <c r="L7906">
        <v>1</v>
      </c>
      <c r="O7906" s="30"/>
    </row>
    <row r="7907" spans="10:15" x14ac:dyDescent="0.25">
      <c r="J7907" t="s">
        <v>1682</v>
      </c>
      <c r="K7907" s="22" t="s">
        <v>22</v>
      </c>
      <c r="L7907">
        <v>1</v>
      </c>
      <c r="O7907" s="30"/>
    </row>
    <row r="7908" spans="10:15" x14ac:dyDescent="0.25">
      <c r="J7908" t="s">
        <v>536</v>
      </c>
      <c r="K7908" s="22" t="s">
        <v>20</v>
      </c>
      <c r="L7908">
        <v>1</v>
      </c>
      <c r="O7908" s="30"/>
    </row>
    <row r="7909" spans="10:15" x14ac:dyDescent="0.25">
      <c r="J7909" t="s">
        <v>3479</v>
      </c>
      <c r="K7909" s="22" t="s">
        <v>29</v>
      </c>
      <c r="L7909">
        <v>1</v>
      </c>
      <c r="M7909">
        <v>1</v>
      </c>
      <c r="O7909" s="31"/>
    </row>
    <row r="7910" spans="10:15" x14ac:dyDescent="0.25">
      <c r="J7910" t="s">
        <v>536</v>
      </c>
      <c r="K7910" s="22" t="s">
        <v>29</v>
      </c>
      <c r="L7910">
        <v>3</v>
      </c>
      <c r="M7910">
        <v>2</v>
      </c>
      <c r="O7910" s="30"/>
    </row>
    <row r="7911" spans="10:15" x14ac:dyDescent="0.25">
      <c r="J7911" t="s">
        <v>3797</v>
      </c>
      <c r="K7911" s="22" t="s">
        <v>24</v>
      </c>
      <c r="L7911">
        <v>1</v>
      </c>
      <c r="O7911" s="30"/>
    </row>
    <row r="7912" spans="10:15" x14ac:dyDescent="0.25">
      <c r="J7912" t="s">
        <v>3438</v>
      </c>
      <c r="K7912" s="22" t="s">
        <v>26</v>
      </c>
      <c r="L7912">
        <v>2</v>
      </c>
      <c r="O7912" s="30"/>
    </row>
    <row r="7913" spans="10:15" x14ac:dyDescent="0.25">
      <c r="J7913" t="s">
        <v>3694</v>
      </c>
      <c r="K7913" s="22" t="s">
        <v>35</v>
      </c>
      <c r="L7913">
        <v>1</v>
      </c>
      <c r="O7913" s="30"/>
    </row>
    <row r="7914" spans="10:15" x14ac:dyDescent="0.25">
      <c r="J7914" t="s">
        <v>3828</v>
      </c>
      <c r="K7914" s="22" t="s">
        <v>28</v>
      </c>
      <c r="L7914">
        <v>1</v>
      </c>
      <c r="M7914">
        <v>1</v>
      </c>
      <c r="O7914" s="31"/>
    </row>
    <row r="7915" spans="10:15" x14ac:dyDescent="0.25">
      <c r="J7915" t="s">
        <v>2658</v>
      </c>
      <c r="K7915" s="22" t="s">
        <v>26</v>
      </c>
      <c r="L7915">
        <v>1</v>
      </c>
      <c r="O7915" s="30"/>
    </row>
    <row r="7916" spans="10:15" x14ac:dyDescent="0.25">
      <c r="J7916" t="s">
        <v>3467</v>
      </c>
      <c r="K7916" s="22" t="s">
        <v>35</v>
      </c>
      <c r="L7916">
        <v>1</v>
      </c>
      <c r="O7916" s="30"/>
    </row>
    <row r="7917" spans="10:15" x14ac:dyDescent="0.25">
      <c r="J7917" t="s">
        <v>3753</v>
      </c>
      <c r="K7917" s="22" t="s">
        <v>20</v>
      </c>
      <c r="L7917">
        <v>2</v>
      </c>
      <c r="M7917">
        <v>2</v>
      </c>
      <c r="O7917" s="31"/>
    </row>
    <row r="7918" spans="10:15" x14ac:dyDescent="0.25">
      <c r="J7918" t="s">
        <v>3795</v>
      </c>
      <c r="K7918" s="22" t="s">
        <v>28</v>
      </c>
      <c r="L7918">
        <v>1</v>
      </c>
      <c r="O7918" s="30"/>
    </row>
    <row r="7919" spans="10:15" x14ac:dyDescent="0.25">
      <c r="J7919" t="s">
        <v>3584</v>
      </c>
      <c r="K7919" s="22" t="s">
        <v>29</v>
      </c>
      <c r="L7919">
        <v>1</v>
      </c>
      <c r="M7919">
        <v>1</v>
      </c>
      <c r="O7919" s="31"/>
    </row>
    <row r="7920" spans="10:15" x14ac:dyDescent="0.25">
      <c r="J7920" t="s">
        <v>3538</v>
      </c>
      <c r="K7920" s="22" t="s">
        <v>30</v>
      </c>
      <c r="L7920">
        <v>1</v>
      </c>
      <c r="O7920" s="30"/>
    </row>
    <row r="7921" spans="10:15" x14ac:dyDescent="0.25">
      <c r="J7921" t="s">
        <v>3829</v>
      </c>
      <c r="K7921" s="22" t="s">
        <v>26</v>
      </c>
      <c r="L7921">
        <v>1</v>
      </c>
      <c r="M7921">
        <v>1</v>
      </c>
      <c r="O7921" s="31"/>
    </row>
    <row r="7922" spans="10:15" x14ac:dyDescent="0.25">
      <c r="J7922" t="s">
        <v>3438</v>
      </c>
      <c r="K7922" s="22" t="s">
        <v>28</v>
      </c>
      <c r="L7922">
        <v>3</v>
      </c>
      <c r="O7922" s="30"/>
    </row>
    <row r="7923" spans="10:15" x14ac:dyDescent="0.25">
      <c r="J7923" t="s">
        <v>798</v>
      </c>
      <c r="K7923" s="22" t="s">
        <v>29</v>
      </c>
      <c r="L7923">
        <v>3</v>
      </c>
      <c r="M7923">
        <v>3</v>
      </c>
      <c r="O7923" s="31"/>
    </row>
    <row r="7924" spans="10:15" x14ac:dyDescent="0.25">
      <c r="J7924" t="s">
        <v>1455</v>
      </c>
      <c r="K7924" s="22" t="s">
        <v>31</v>
      </c>
      <c r="L7924">
        <v>2</v>
      </c>
      <c r="O7924" s="30"/>
    </row>
    <row r="7925" spans="10:15" x14ac:dyDescent="0.25">
      <c r="J7925" t="s">
        <v>3830</v>
      </c>
      <c r="K7925" s="22" t="s">
        <v>30</v>
      </c>
      <c r="L7925">
        <v>3</v>
      </c>
      <c r="M7925">
        <v>3</v>
      </c>
      <c r="O7925" s="31"/>
    </row>
    <row r="7926" spans="10:15" x14ac:dyDescent="0.25">
      <c r="J7926" t="s">
        <v>2969</v>
      </c>
      <c r="K7926" s="22" t="s">
        <v>26</v>
      </c>
      <c r="L7926">
        <v>1</v>
      </c>
      <c r="O7926" s="30"/>
    </row>
    <row r="7927" spans="10:15" x14ac:dyDescent="0.25">
      <c r="J7927" t="s">
        <v>1638</v>
      </c>
      <c r="K7927" s="22" t="s">
        <v>24</v>
      </c>
      <c r="L7927">
        <v>1</v>
      </c>
      <c r="O7927" s="30"/>
    </row>
    <row r="7928" spans="10:15" x14ac:dyDescent="0.25">
      <c r="J7928" t="s">
        <v>3831</v>
      </c>
      <c r="K7928" s="22" t="s">
        <v>30</v>
      </c>
      <c r="L7928">
        <v>1</v>
      </c>
      <c r="M7928">
        <v>1</v>
      </c>
      <c r="O7928" s="31"/>
    </row>
    <row r="7929" spans="10:15" x14ac:dyDescent="0.25">
      <c r="J7929" t="s">
        <v>364</v>
      </c>
      <c r="K7929" s="22" t="s">
        <v>26</v>
      </c>
      <c r="L7929">
        <v>1</v>
      </c>
      <c r="O7929" s="30"/>
    </row>
    <row r="7930" spans="10:15" x14ac:dyDescent="0.25">
      <c r="J7930" t="s">
        <v>3827</v>
      </c>
      <c r="K7930" s="22" t="s">
        <v>30</v>
      </c>
      <c r="L7930">
        <v>1</v>
      </c>
      <c r="M7930">
        <v>1</v>
      </c>
      <c r="O7930" s="31"/>
    </row>
    <row r="7931" spans="10:15" x14ac:dyDescent="0.25">
      <c r="J7931" t="s">
        <v>3832</v>
      </c>
      <c r="K7931" s="22" t="s">
        <v>20</v>
      </c>
      <c r="L7931">
        <v>1</v>
      </c>
      <c r="O7931" s="30"/>
    </row>
    <row r="7932" spans="10:15" x14ac:dyDescent="0.25">
      <c r="J7932" t="s">
        <v>1693</v>
      </c>
      <c r="K7932" s="22" t="s">
        <v>24</v>
      </c>
      <c r="L7932">
        <v>1</v>
      </c>
      <c r="O7932" s="30"/>
    </row>
    <row r="7933" spans="10:15" x14ac:dyDescent="0.25">
      <c r="J7933" t="s">
        <v>3833</v>
      </c>
      <c r="K7933" s="22" t="s">
        <v>26</v>
      </c>
      <c r="L7933">
        <v>1</v>
      </c>
      <c r="M7933">
        <v>1</v>
      </c>
      <c r="O7933" s="31"/>
    </row>
    <row r="7934" spans="10:15" x14ac:dyDescent="0.25">
      <c r="J7934" t="s">
        <v>3834</v>
      </c>
      <c r="K7934" s="22" t="s">
        <v>35</v>
      </c>
      <c r="L7934">
        <v>1</v>
      </c>
      <c r="O7934" s="30"/>
    </row>
    <row r="7935" spans="10:15" x14ac:dyDescent="0.25">
      <c r="J7935" t="s">
        <v>3411</v>
      </c>
      <c r="K7935" s="22" t="s">
        <v>22</v>
      </c>
      <c r="L7935">
        <v>1</v>
      </c>
      <c r="O7935" s="30"/>
    </row>
    <row r="7936" spans="10:15" x14ac:dyDescent="0.25">
      <c r="J7936" t="s">
        <v>3835</v>
      </c>
      <c r="K7936" s="22" t="s">
        <v>31</v>
      </c>
      <c r="L7936">
        <v>1</v>
      </c>
      <c r="M7936">
        <v>1</v>
      </c>
      <c r="O7936" s="31"/>
    </row>
    <row r="7937" spans="10:15" x14ac:dyDescent="0.25">
      <c r="J7937" t="s">
        <v>3559</v>
      </c>
      <c r="K7937" s="22" t="s">
        <v>28</v>
      </c>
      <c r="L7937">
        <v>1</v>
      </c>
      <c r="O7937" s="30"/>
    </row>
    <row r="7938" spans="10:15" x14ac:dyDescent="0.25">
      <c r="J7938" t="s">
        <v>3836</v>
      </c>
      <c r="K7938" s="22" t="s">
        <v>20</v>
      </c>
      <c r="L7938">
        <v>1</v>
      </c>
      <c r="M7938">
        <v>1</v>
      </c>
      <c r="O7938" s="31"/>
    </row>
    <row r="7939" spans="10:15" x14ac:dyDescent="0.25">
      <c r="J7939" t="s">
        <v>3837</v>
      </c>
      <c r="K7939" s="22" t="s">
        <v>26</v>
      </c>
      <c r="L7939">
        <v>1</v>
      </c>
      <c r="O7939" s="30"/>
    </row>
    <row r="7940" spans="10:15" x14ac:dyDescent="0.25">
      <c r="J7940" t="s">
        <v>3838</v>
      </c>
      <c r="K7940" s="22" t="s">
        <v>30</v>
      </c>
      <c r="L7940">
        <v>1</v>
      </c>
      <c r="M7940">
        <v>1</v>
      </c>
      <c r="O7940" s="31"/>
    </row>
    <row r="7941" spans="10:15" x14ac:dyDescent="0.25">
      <c r="J7941" t="s">
        <v>3839</v>
      </c>
      <c r="K7941" s="22" t="s">
        <v>22</v>
      </c>
      <c r="L7941">
        <v>1</v>
      </c>
      <c r="O7941" s="30"/>
    </row>
    <row r="7942" spans="10:15" x14ac:dyDescent="0.25">
      <c r="J7942" t="s">
        <v>3500</v>
      </c>
      <c r="K7942" s="22" t="s">
        <v>35</v>
      </c>
      <c r="L7942">
        <v>1</v>
      </c>
      <c r="O7942" s="30"/>
    </row>
    <row r="7943" spans="10:15" x14ac:dyDescent="0.25">
      <c r="J7943" t="s">
        <v>3841</v>
      </c>
      <c r="K7943" s="22" t="s">
        <v>29</v>
      </c>
      <c r="L7943">
        <v>1</v>
      </c>
      <c r="M7943">
        <v>1</v>
      </c>
      <c r="O7943" s="31"/>
    </row>
    <row r="7944" spans="10:15" x14ac:dyDescent="0.25">
      <c r="J7944" t="s">
        <v>3354</v>
      </c>
      <c r="K7944" s="22" t="s">
        <v>31</v>
      </c>
      <c r="L7944">
        <v>2</v>
      </c>
      <c r="M7944">
        <v>1</v>
      </c>
      <c r="O7944" s="30"/>
    </row>
    <row r="7945" spans="10:15" x14ac:dyDescent="0.25">
      <c r="J7945" t="s">
        <v>3823</v>
      </c>
      <c r="K7945" s="22" t="s">
        <v>29</v>
      </c>
      <c r="L7945">
        <v>1</v>
      </c>
      <c r="O7945" s="30"/>
    </row>
    <row r="7946" spans="10:15" x14ac:dyDescent="0.25">
      <c r="J7946" t="s">
        <v>3559</v>
      </c>
      <c r="K7946" s="22" t="s">
        <v>26</v>
      </c>
      <c r="L7946">
        <v>1</v>
      </c>
      <c r="O7946" s="30"/>
    </row>
    <row r="7947" spans="10:15" x14ac:dyDescent="0.25">
      <c r="J7947" t="s">
        <v>3797</v>
      </c>
      <c r="K7947" s="22" t="s">
        <v>28</v>
      </c>
      <c r="L7947">
        <v>2</v>
      </c>
      <c r="O7947" s="30"/>
    </row>
    <row r="7948" spans="10:15" x14ac:dyDescent="0.25">
      <c r="J7948" t="s">
        <v>3761</v>
      </c>
      <c r="K7948" s="22" t="s">
        <v>24</v>
      </c>
      <c r="L7948">
        <v>1</v>
      </c>
      <c r="O7948" s="30"/>
    </row>
    <row r="7949" spans="10:15" x14ac:dyDescent="0.25">
      <c r="J7949" t="s">
        <v>1646</v>
      </c>
      <c r="K7949" s="22" t="s">
        <v>22</v>
      </c>
      <c r="L7949">
        <v>6</v>
      </c>
      <c r="M7949">
        <v>6</v>
      </c>
      <c r="O7949" s="31"/>
    </row>
    <row r="7950" spans="10:15" x14ac:dyDescent="0.25">
      <c r="J7950" t="s">
        <v>3717</v>
      </c>
      <c r="K7950" s="22" t="s">
        <v>30</v>
      </c>
      <c r="L7950">
        <v>1</v>
      </c>
      <c r="O7950" s="30"/>
    </row>
    <row r="7951" spans="10:15" x14ac:dyDescent="0.25">
      <c r="J7951" t="s">
        <v>3843</v>
      </c>
      <c r="K7951" s="22" t="s">
        <v>24</v>
      </c>
      <c r="L7951">
        <v>1</v>
      </c>
      <c r="M7951">
        <v>1</v>
      </c>
      <c r="O7951" s="31"/>
    </row>
    <row r="7952" spans="10:15" x14ac:dyDescent="0.25">
      <c r="J7952" t="s">
        <v>3281</v>
      </c>
      <c r="K7952" s="22" t="s">
        <v>26</v>
      </c>
      <c r="L7952">
        <v>2</v>
      </c>
      <c r="M7952">
        <v>2</v>
      </c>
      <c r="O7952" s="31"/>
    </row>
    <row r="7953" spans="10:15" x14ac:dyDescent="0.25">
      <c r="J7953" t="s">
        <v>1230</v>
      </c>
      <c r="K7953" s="22" t="s">
        <v>31</v>
      </c>
      <c r="L7953">
        <v>1</v>
      </c>
      <c r="O7953" s="30"/>
    </row>
    <row r="7954" spans="10:15" x14ac:dyDescent="0.25">
      <c r="J7954" t="s">
        <v>3737</v>
      </c>
      <c r="K7954" s="22" t="s">
        <v>35</v>
      </c>
      <c r="L7954">
        <v>2</v>
      </c>
      <c r="M7954">
        <v>2</v>
      </c>
      <c r="O7954" s="31"/>
    </row>
    <row r="7955" spans="10:15" x14ac:dyDescent="0.25">
      <c r="J7955" t="s">
        <v>3844</v>
      </c>
      <c r="K7955" s="22" t="s">
        <v>26</v>
      </c>
      <c r="L7955">
        <v>1</v>
      </c>
      <c r="O7955" s="30"/>
    </row>
    <row r="7956" spans="10:15" x14ac:dyDescent="0.25">
      <c r="J7956" t="s">
        <v>113</v>
      </c>
      <c r="K7956" s="22" t="s">
        <v>35</v>
      </c>
      <c r="L7956">
        <v>2</v>
      </c>
      <c r="M7956">
        <v>2</v>
      </c>
      <c r="O7956" s="31"/>
    </row>
    <row r="7957" spans="10:15" x14ac:dyDescent="0.25">
      <c r="J7957" t="s">
        <v>3390</v>
      </c>
      <c r="K7957" s="22" t="s">
        <v>20</v>
      </c>
      <c r="L7957">
        <v>1</v>
      </c>
      <c r="O7957" s="30"/>
    </row>
    <row r="7958" spans="10:15" x14ac:dyDescent="0.25">
      <c r="J7958" t="s">
        <v>2601</v>
      </c>
      <c r="K7958" s="22" t="s">
        <v>29</v>
      </c>
      <c r="L7958">
        <v>2</v>
      </c>
      <c r="M7958">
        <v>1</v>
      </c>
      <c r="O7958" s="30"/>
    </row>
    <row r="7959" spans="10:15" x14ac:dyDescent="0.25">
      <c r="J7959" t="s">
        <v>2977</v>
      </c>
      <c r="K7959" s="22" t="s">
        <v>30</v>
      </c>
      <c r="L7959">
        <v>2</v>
      </c>
      <c r="O7959" s="30"/>
    </row>
    <row r="7960" spans="10:15" x14ac:dyDescent="0.25">
      <c r="J7960" t="s">
        <v>3845</v>
      </c>
      <c r="K7960" s="22" t="s">
        <v>29</v>
      </c>
      <c r="L7960">
        <v>2</v>
      </c>
      <c r="M7960">
        <v>2</v>
      </c>
      <c r="O7960" s="31"/>
    </row>
    <row r="7961" spans="10:15" x14ac:dyDescent="0.25">
      <c r="J7961" t="s">
        <v>3413</v>
      </c>
      <c r="K7961" s="22" t="s">
        <v>26</v>
      </c>
      <c r="L7961">
        <v>1</v>
      </c>
      <c r="O7961" s="30"/>
    </row>
    <row r="7962" spans="10:15" x14ac:dyDescent="0.25">
      <c r="J7962" t="s">
        <v>3846</v>
      </c>
      <c r="K7962" s="22" t="s">
        <v>30</v>
      </c>
      <c r="L7962">
        <v>1</v>
      </c>
      <c r="M7962">
        <v>1</v>
      </c>
      <c r="O7962" s="31"/>
    </row>
    <row r="7963" spans="10:15" x14ac:dyDescent="0.25">
      <c r="J7963" t="s">
        <v>3847</v>
      </c>
      <c r="K7963" s="22" t="s">
        <v>20</v>
      </c>
      <c r="L7963">
        <v>1</v>
      </c>
      <c r="O7963" s="30"/>
    </row>
    <row r="7964" spans="10:15" x14ac:dyDescent="0.25">
      <c r="J7964" t="s">
        <v>3848</v>
      </c>
      <c r="K7964" s="22" t="s">
        <v>29</v>
      </c>
      <c r="L7964">
        <v>2</v>
      </c>
      <c r="M7964">
        <v>2</v>
      </c>
      <c r="O7964" s="31"/>
    </row>
    <row r="7965" spans="10:15" x14ac:dyDescent="0.25">
      <c r="J7965" t="s">
        <v>55</v>
      </c>
      <c r="K7965" s="22" t="s">
        <v>31</v>
      </c>
      <c r="L7965">
        <v>3</v>
      </c>
      <c r="M7965">
        <v>2</v>
      </c>
      <c r="O7965" s="30"/>
    </row>
    <row r="7966" spans="10:15" x14ac:dyDescent="0.25">
      <c r="J7966" t="s">
        <v>2700</v>
      </c>
      <c r="K7966" s="22" t="s">
        <v>22</v>
      </c>
      <c r="L7966">
        <v>1</v>
      </c>
      <c r="O7966" s="30"/>
    </row>
    <row r="7967" spans="10:15" x14ac:dyDescent="0.25">
      <c r="J7967" t="s">
        <v>3842</v>
      </c>
      <c r="K7967" s="22" t="s">
        <v>24</v>
      </c>
      <c r="L7967">
        <v>1</v>
      </c>
      <c r="M7967">
        <v>1</v>
      </c>
      <c r="O7967" s="31"/>
    </row>
    <row r="7968" spans="10:15" x14ac:dyDescent="0.25">
      <c r="J7968" t="s">
        <v>3849</v>
      </c>
      <c r="K7968" s="22" t="s">
        <v>35</v>
      </c>
      <c r="L7968">
        <v>1</v>
      </c>
      <c r="O7968" s="30"/>
    </row>
    <row r="7969" spans="10:15" x14ac:dyDescent="0.25">
      <c r="J7969" t="s">
        <v>3850</v>
      </c>
      <c r="K7969" s="22" t="s">
        <v>29</v>
      </c>
      <c r="L7969">
        <v>1</v>
      </c>
      <c r="M7969">
        <v>1</v>
      </c>
      <c r="O7969" s="31"/>
    </row>
    <row r="7970" spans="10:15" x14ac:dyDescent="0.25">
      <c r="J7970" t="s">
        <v>2747</v>
      </c>
      <c r="K7970" s="22" t="s">
        <v>35</v>
      </c>
      <c r="L7970">
        <v>1</v>
      </c>
      <c r="M7970">
        <v>1</v>
      </c>
      <c r="O7970" s="31"/>
    </row>
    <row r="7971" spans="10:15" x14ac:dyDescent="0.25">
      <c r="J7971" t="s">
        <v>3851</v>
      </c>
      <c r="K7971" s="22" t="s">
        <v>30</v>
      </c>
      <c r="L7971">
        <v>1</v>
      </c>
      <c r="O7971" s="30"/>
    </row>
    <row r="7972" spans="10:15" x14ac:dyDescent="0.25">
      <c r="J7972" t="s">
        <v>1455</v>
      </c>
      <c r="K7972" s="22" t="s">
        <v>26</v>
      </c>
      <c r="L7972">
        <v>1</v>
      </c>
      <c r="O7972" s="30"/>
    </row>
    <row r="7973" spans="10:15" x14ac:dyDescent="0.25">
      <c r="J7973" t="s">
        <v>3852</v>
      </c>
      <c r="K7973" s="22" t="s">
        <v>30</v>
      </c>
      <c r="L7973">
        <v>1</v>
      </c>
      <c r="M7973">
        <v>1</v>
      </c>
      <c r="O7973" s="31"/>
    </row>
    <row r="7974" spans="10:15" x14ac:dyDescent="0.25">
      <c r="J7974" t="s">
        <v>544</v>
      </c>
      <c r="K7974" s="22" t="s">
        <v>31</v>
      </c>
      <c r="L7974">
        <v>1</v>
      </c>
      <c r="O7974" s="30"/>
    </row>
    <row r="7975" spans="10:15" x14ac:dyDescent="0.25">
      <c r="J7975" t="s">
        <v>3853</v>
      </c>
      <c r="K7975" s="22" t="s">
        <v>30</v>
      </c>
      <c r="L7975">
        <v>1</v>
      </c>
      <c r="M7975">
        <v>1</v>
      </c>
      <c r="O7975" s="31"/>
    </row>
    <row r="7976" spans="10:15" x14ac:dyDescent="0.25">
      <c r="J7976" t="s">
        <v>1336</v>
      </c>
      <c r="K7976" s="22" t="s">
        <v>24</v>
      </c>
      <c r="L7976">
        <v>1</v>
      </c>
      <c r="O7976" s="30"/>
    </row>
    <row r="7977" spans="10:15" x14ac:dyDescent="0.25">
      <c r="J7977" t="s">
        <v>2325</v>
      </c>
      <c r="K7977" s="22" t="s">
        <v>29</v>
      </c>
      <c r="L7977">
        <v>1</v>
      </c>
      <c r="O7977" s="30"/>
    </row>
    <row r="7978" spans="10:15" x14ac:dyDescent="0.25">
      <c r="J7978" t="s">
        <v>1336</v>
      </c>
      <c r="K7978" s="22" t="s">
        <v>26</v>
      </c>
      <c r="L7978">
        <v>2</v>
      </c>
      <c r="M7978">
        <v>1</v>
      </c>
      <c r="O7978" s="30"/>
    </row>
    <row r="7979" spans="10:15" x14ac:dyDescent="0.25">
      <c r="J7979" t="s">
        <v>535</v>
      </c>
      <c r="K7979" s="22" t="s">
        <v>24</v>
      </c>
      <c r="L7979">
        <v>1</v>
      </c>
      <c r="O7979" s="30"/>
    </row>
    <row r="7980" spans="10:15" x14ac:dyDescent="0.25">
      <c r="J7980" t="s">
        <v>2649</v>
      </c>
      <c r="K7980" s="22" t="s">
        <v>20</v>
      </c>
      <c r="L7980">
        <v>1</v>
      </c>
      <c r="M7980">
        <v>1</v>
      </c>
      <c r="O7980" s="31"/>
    </row>
    <row r="7981" spans="10:15" x14ac:dyDescent="0.25">
      <c r="J7981" t="s">
        <v>3236</v>
      </c>
      <c r="K7981" s="22" t="s">
        <v>30</v>
      </c>
      <c r="L7981">
        <v>1</v>
      </c>
      <c r="O7981" s="30"/>
    </row>
    <row r="7982" spans="10:15" x14ac:dyDescent="0.25">
      <c r="J7982" t="s">
        <v>3238</v>
      </c>
      <c r="K7982" s="22" t="s">
        <v>28</v>
      </c>
      <c r="L7982">
        <v>1</v>
      </c>
      <c r="O7982" s="30"/>
    </row>
    <row r="7983" spans="10:15" x14ac:dyDescent="0.25">
      <c r="J7983" t="s">
        <v>3213</v>
      </c>
      <c r="K7983" s="22" t="s">
        <v>26</v>
      </c>
      <c r="L7983">
        <v>1</v>
      </c>
      <c r="O7983" s="30"/>
    </row>
    <row r="7984" spans="10:15" x14ac:dyDescent="0.25">
      <c r="J7984" t="s">
        <v>3854</v>
      </c>
      <c r="K7984" s="22" t="s">
        <v>29</v>
      </c>
      <c r="L7984">
        <v>1</v>
      </c>
      <c r="M7984">
        <v>1</v>
      </c>
      <c r="O7984" s="31"/>
    </row>
    <row r="7985" spans="10:15" x14ac:dyDescent="0.25">
      <c r="J7985" t="s">
        <v>234</v>
      </c>
      <c r="K7985" s="22" t="s">
        <v>22</v>
      </c>
      <c r="L7985">
        <v>1</v>
      </c>
      <c r="O7985" s="30"/>
    </row>
    <row r="7986" spans="10:15" x14ac:dyDescent="0.25">
      <c r="J7986" t="s">
        <v>942</v>
      </c>
      <c r="K7986" s="22" t="s">
        <v>29</v>
      </c>
      <c r="L7986">
        <v>1</v>
      </c>
      <c r="M7986">
        <v>1</v>
      </c>
      <c r="O7986" s="31"/>
    </row>
    <row r="7987" spans="10:15" x14ac:dyDescent="0.25">
      <c r="J7987" t="s">
        <v>3595</v>
      </c>
      <c r="K7987" s="22" t="s">
        <v>30</v>
      </c>
      <c r="L7987">
        <v>1</v>
      </c>
      <c r="O7987" s="30"/>
    </row>
    <row r="7988" spans="10:15" x14ac:dyDescent="0.25">
      <c r="J7988" t="s">
        <v>1616</v>
      </c>
      <c r="K7988" s="22" t="s">
        <v>31</v>
      </c>
      <c r="L7988">
        <v>3</v>
      </c>
      <c r="M7988">
        <v>3</v>
      </c>
      <c r="O7988" s="31"/>
    </row>
    <row r="7989" spans="10:15" x14ac:dyDescent="0.25">
      <c r="J7989" t="s">
        <v>3119</v>
      </c>
      <c r="K7989" s="22" t="s">
        <v>20</v>
      </c>
      <c r="L7989">
        <v>1</v>
      </c>
      <c r="O7989" s="30"/>
    </row>
    <row r="7990" spans="10:15" x14ac:dyDescent="0.25">
      <c r="J7990" t="s">
        <v>3855</v>
      </c>
      <c r="K7990" s="22" t="s">
        <v>29</v>
      </c>
      <c r="L7990">
        <v>1</v>
      </c>
      <c r="M7990">
        <v>1</v>
      </c>
      <c r="O7990" s="31"/>
    </row>
    <row r="7991" spans="10:15" x14ac:dyDescent="0.25">
      <c r="J7991" t="s">
        <v>3856</v>
      </c>
      <c r="K7991" s="22" t="s">
        <v>28</v>
      </c>
      <c r="L7991">
        <v>1</v>
      </c>
      <c r="O7991" s="30"/>
    </row>
    <row r="7992" spans="10:15" x14ac:dyDescent="0.25">
      <c r="J7992" t="s">
        <v>3797</v>
      </c>
      <c r="K7992" s="22" t="s">
        <v>22</v>
      </c>
      <c r="L7992">
        <v>1</v>
      </c>
      <c r="O7992" s="30"/>
    </row>
    <row r="7993" spans="10:15" x14ac:dyDescent="0.25">
      <c r="J7993" t="s">
        <v>3467</v>
      </c>
      <c r="K7993" s="22" t="s">
        <v>31</v>
      </c>
      <c r="L7993">
        <v>1</v>
      </c>
      <c r="M7993">
        <v>1</v>
      </c>
      <c r="O7993" s="31"/>
    </row>
    <row r="7994" spans="10:15" x14ac:dyDescent="0.25">
      <c r="J7994" t="s">
        <v>3501</v>
      </c>
      <c r="K7994" s="22" t="s">
        <v>35</v>
      </c>
      <c r="L7994">
        <v>1</v>
      </c>
      <c r="O7994" s="30"/>
    </row>
    <row r="7995" spans="10:15" x14ac:dyDescent="0.25">
      <c r="J7995" t="s">
        <v>897</v>
      </c>
      <c r="K7995" s="22" t="s">
        <v>29</v>
      </c>
      <c r="L7995">
        <v>1</v>
      </c>
      <c r="M7995">
        <v>1</v>
      </c>
      <c r="O7995" s="31"/>
    </row>
    <row r="7996" spans="10:15" x14ac:dyDescent="0.25">
      <c r="J7996" t="s">
        <v>2807</v>
      </c>
      <c r="K7996" s="22" t="s">
        <v>31</v>
      </c>
      <c r="L7996">
        <v>1</v>
      </c>
      <c r="O7996" s="30"/>
    </row>
    <row r="7997" spans="10:15" x14ac:dyDescent="0.25">
      <c r="J7997" t="s">
        <v>3717</v>
      </c>
      <c r="K7997" s="22" t="s">
        <v>35</v>
      </c>
      <c r="L7997">
        <v>3</v>
      </c>
      <c r="O7997" s="30"/>
    </row>
    <row r="7998" spans="10:15" x14ac:dyDescent="0.25">
      <c r="J7998" t="s">
        <v>544</v>
      </c>
      <c r="K7998" s="22" t="s">
        <v>20</v>
      </c>
      <c r="L7998">
        <v>1</v>
      </c>
      <c r="O7998" s="30"/>
    </row>
    <row r="7999" spans="10:15" x14ac:dyDescent="0.25">
      <c r="J7999" t="s">
        <v>535</v>
      </c>
      <c r="K7999" s="22" t="s">
        <v>20</v>
      </c>
      <c r="L7999">
        <v>1</v>
      </c>
      <c r="M7999">
        <v>1</v>
      </c>
      <c r="O7999" s="31"/>
    </row>
    <row r="8000" spans="10:15" x14ac:dyDescent="0.25">
      <c r="J8000" t="s">
        <v>3390</v>
      </c>
      <c r="K8000" s="22" t="s">
        <v>22</v>
      </c>
      <c r="L8000">
        <v>2</v>
      </c>
      <c r="O8000" s="30"/>
    </row>
    <row r="8001" spans="10:15" x14ac:dyDescent="0.25">
      <c r="J8001" t="s">
        <v>1455</v>
      </c>
      <c r="K8001" s="22" t="s">
        <v>20</v>
      </c>
      <c r="L8001">
        <v>1</v>
      </c>
      <c r="O8001" s="30"/>
    </row>
    <row r="8002" spans="10:15" x14ac:dyDescent="0.25">
      <c r="J8002" t="s">
        <v>3857</v>
      </c>
      <c r="K8002" s="22" t="s">
        <v>31</v>
      </c>
      <c r="L8002">
        <v>1</v>
      </c>
      <c r="M8002">
        <v>1</v>
      </c>
      <c r="O8002" s="31"/>
    </row>
    <row r="8003" spans="10:15" x14ac:dyDescent="0.25">
      <c r="J8003" t="s">
        <v>2700</v>
      </c>
      <c r="K8003" s="22" t="s">
        <v>24</v>
      </c>
      <c r="L8003">
        <v>1</v>
      </c>
      <c r="O8003" s="30"/>
    </row>
    <row r="8004" spans="10:15" x14ac:dyDescent="0.25">
      <c r="J8004" t="s">
        <v>3840</v>
      </c>
      <c r="K8004" s="22" t="s">
        <v>22</v>
      </c>
      <c r="L8004">
        <v>1</v>
      </c>
      <c r="M8004">
        <v>1</v>
      </c>
      <c r="O8004" s="31"/>
    </row>
    <row r="8005" spans="10:15" x14ac:dyDescent="0.25">
      <c r="J8005" t="s">
        <v>3858</v>
      </c>
      <c r="K8005" s="22" t="s">
        <v>26</v>
      </c>
      <c r="L8005">
        <v>1</v>
      </c>
      <c r="O8005" s="30"/>
    </row>
    <row r="8006" spans="10:15" x14ac:dyDescent="0.25">
      <c r="J8006" t="s">
        <v>2464</v>
      </c>
      <c r="K8006" s="22" t="s">
        <v>35</v>
      </c>
      <c r="L8006">
        <v>1</v>
      </c>
      <c r="O8006" s="30"/>
    </row>
    <row r="8007" spans="10:15" x14ac:dyDescent="0.25">
      <c r="J8007" t="s">
        <v>818</v>
      </c>
      <c r="K8007" s="22" t="s">
        <v>31</v>
      </c>
      <c r="L8007">
        <v>1</v>
      </c>
      <c r="M8007">
        <v>1</v>
      </c>
      <c r="O8007" s="31"/>
    </row>
    <row r="8008" spans="10:15" x14ac:dyDescent="0.25">
      <c r="J8008" t="s">
        <v>3859</v>
      </c>
      <c r="K8008" s="22" t="s">
        <v>20</v>
      </c>
      <c r="L8008">
        <v>1</v>
      </c>
      <c r="O8008" s="30"/>
    </row>
    <row r="8009" spans="10:15" x14ac:dyDescent="0.25">
      <c r="J8009" t="s">
        <v>3844</v>
      </c>
      <c r="K8009" s="22" t="s">
        <v>24</v>
      </c>
      <c r="L8009">
        <v>2</v>
      </c>
      <c r="M8009">
        <v>1</v>
      </c>
      <c r="O8009" s="30"/>
    </row>
    <row r="8010" spans="10:15" x14ac:dyDescent="0.25">
      <c r="J8010" t="s">
        <v>3386</v>
      </c>
      <c r="K8010" s="22" t="s">
        <v>26</v>
      </c>
      <c r="L8010">
        <v>1</v>
      </c>
      <c r="O8010" s="30"/>
    </row>
    <row r="8011" spans="10:15" x14ac:dyDescent="0.25">
      <c r="J8011" t="s">
        <v>3671</v>
      </c>
      <c r="K8011" s="22" t="s">
        <v>20</v>
      </c>
      <c r="L8011">
        <v>1</v>
      </c>
      <c r="O8011" s="30"/>
    </row>
    <row r="8012" spans="10:15" x14ac:dyDescent="0.25">
      <c r="J8012" t="s">
        <v>3181</v>
      </c>
      <c r="K8012" s="22" t="s">
        <v>35</v>
      </c>
      <c r="L8012">
        <v>1</v>
      </c>
      <c r="O8012" s="30"/>
    </row>
    <row r="8013" spans="10:15" x14ac:dyDescent="0.25">
      <c r="J8013" t="s">
        <v>2658</v>
      </c>
      <c r="K8013" s="22" t="s">
        <v>30</v>
      </c>
      <c r="L8013">
        <v>1</v>
      </c>
      <c r="O8013" s="30"/>
    </row>
    <row r="8014" spans="10:15" x14ac:dyDescent="0.25">
      <c r="J8014" t="s">
        <v>324</v>
      </c>
      <c r="K8014" s="22" t="s">
        <v>31</v>
      </c>
      <c r="L8014">
        <v>1</v>
      </c>
      <c r="M8014">
        <v>1</v>
      </c>
      <c r="O8014" s="31"/>
    </row>
    <row r="8015" spans="10:15" x14ac:dyDescent="0.25">
      <c r="J8015" t="s">
        <v>3761</v>
      </c>
      <c r="K8015" s="22" t="s">
        <v>31</v>
      </c>
      <c r="L8015">
        <v>1</v>
      </c>
      <c r="O8015" s="30"/>
    </row>
    <row r="8016" spans="10:15" x14ac:dyDescent="0.25">
      <c r="J8016" t="s">
        <v>3374</v>
      </c>
      <c r="K8016" s="22" t="s">
        <v>20</v>
      </c>
      <c r="L8016">
        <v>1</v>
      </c>
      <c r="M8016">
        <v>1</v>
      </c>
      <c r="O8016" s="31"/>
    </row>
    <row r="8017" spans="10:15" x14ac:dyDescent="0.25">
      <c r="J8017" t="s">
        <v>2807</v>
      </c>
      <c r="K8017" s="22" t="s">
        <v>26</v>
      </c>
      <c r="L8017">
        <v>1</v>
      </c>
      <c r="O8017" s="30"/>
    </row>
    <row r="8018" spans="10:15" x14ac:dyDescent="0.25">
      <c r="J8018" t="s">
        <v>2700</v>
      </c>
      <c r="K8018" s="22" t="s">
        <v>20</v>
      </c>
      <c r="L8018">
        <v>1</v>
      </c>
      <c r="M8018">
        <v>1</v>
      </c>
      <c r="O8018" s="31"/>
    </row>
    <row r="8019" spans="10:15" x14ac:dyDescent="0.25">
      <c r="J8019" t="s">
        <v>3797</v>
      </c>
      <c r="K8019" s="22" t="s">
        <v>31</v>
      </c>
      <c r="L8019">
        <v>1</v>
      </c>
      <c r="O8019" s="30"/>
    </row>
    <row r="8020" spans="10:15" x14ac:dyDescent="0.25">
      <c r="J8020" t="s">
        <v>3823</v>
      </c>
      <c r="K8020" s="22" t="s">
        <v>30</v>
      </c>
      <c r="L8020">
        <v>1</v>
      </c>
      <c r="M8020">
        <v>1</v>
      </c>
      <c r="O8020" s="31"/>
    </row>
    <row r="8021" spans="10:15" x14ac:dyDescent="0.25">
      <c r="J8021" t="s">
        <v>418</v>
      </c>
      <c r="K8021" s="22" t="s">
        <v>22</v>
      </c>
      <c r="L8021">
        <v>1</v>
      </c>
      <c r="M8021">
        <v>1</v>
      </c>
      <c r="O8021" s="31"/>
    </row>
    <row r="8022" spans="10:15" x14ac:dyDescent="0.25">
      <c r="J8022" t="s">
        <v>2601</v>
      </c>
      <c r="K8022" s="22" t="s">
        <v>20</v>
      </c>
      <c r="L8022">
        <v>1</v>
      </c>
      <c r="O8022" s="30"/>
    </row>
    <row r="8023" spans="10:15" x14ac:dyDescent="0.25">
      <c r="J8023" t="s">
        <v>590</v>
      </c>
      <c r="K8023" s="22" t="s">
        <v>26</v>
      </c>
      <c r="L8023">
        <v>1</v>
      </c>
      <c r="O8023" s="30"/>
    </row>
    <row r="8024" spans="10:15" x14ac:dyDescent="0.25">
      <c r="J8024" t="s">
        <v>3860</v>
      </c>
      <c r="K8024" s="22" t="s">
        <v>28</v>
      </c>
      <c r="L8024">
        <v>1</v>
      </c>
      <c r="M8024">
        <v>1</v>
      </c>
      <c r="O8024" s="31"/>
    </row>
    <row r="8025" spans="10:15" x14ac:dyDescent="0.25">
      <c r="J8025" t="s">
        <v>1813</v>
      </c>
      <c r="K8025" s="22" t="s">
        <v>35</v>
      </c>
      <c r="L8025">
        <v>1</v>
      </c>
      <c r="M8025">
        <v>1</v>
      </c>
      <c r="O8025" s="31"/>
    </row>
    <row r="8026" spans="10:15" x14ac:dyDescent="0.25">
      <c r="J8026" t="s">
        <v>3861</v>
      </c>
      <c r="K8026" s="22" t="s">
        <v>29</v>
      </c>
      <c r="L8026">
        <v>1</v>
      </c>
      <c r="O8026" s="30"/>
    </row>
    <row r="8027" spans="10:15" x14ac:dyDescent="0.25">
      <c r="J8027" t="s">
        <v>3862</v>
      </c>
      <c r="K8027" s="22" t="s">
        <v>26</v>
      </c>
      <c r="L8027">
        <v>1</v>
      </c>
      <c r="M8027">
        <v>1</v>
      </c>
      <c r="O8027" s="31"/>
    </row>
    <row r="8028" spans="10:15" x14ac:dyDescent="0.25">
      <c r="J8028" t="s">
        <v>3863</v>
      </c>
      <c r="K8028" s="22" t="s">
        <v>31</v>
      </c>
      <c r="L8028">
        <v>1</v>
      </c>
      <c r="O8028" s="30"/>
    </row>
    <row r="8029" spans="10:15" x14ac:dyDescent="0.25">
      <c r="J8029" t="s">
        <v>3083</v>
      </c>
      <c r="K8029" s="22" t="s">
        <v>30</v>
      </c>
      <c r="L8029">
        <v>1</v>
      </c>
      <c r="O8029" s="30"/>
    </row>
    <row r="8030" spans="10:15" x14ac:dyDescent="0.25">
      <c r="J8030" t="s">
        <v>3439</v>
      </c>
      <c r="K8030" s="22" t="s">
        <v>35</v>
      </c>
      <c r="L8030">
        <v>2</v>
      </c>
      <c r="M8030">
        <v>1</v>
      </c>
      <c r="O8030" s="30"/>
    </row>
    <row r="8031" spans="10:15" x14ac:dyDescent="0.25">
      <c r="J8031" t="s">
        <v>3797</v>
      </c>
      <c r="K8031" s="22" t="s">
        <v>20</v>
      </c>
      <c r="L8031">
        <v>1</v>
      </c>
      <c r="M8031">
        <v>1</v>
      </c>
      <c r="O8031" s="31"/>
    </row>
    <row r="8032" spans="10:15" x14ac:dyDescent="0.25">
      <c r="J8032" t="s">
        <v>3650</v>
      </c>
      <c r="K8032" s="22" t="s">
        <v>31</v>
      </c>
      <c r="L8032">
        <v>1</v>
      </c>
      <c r="M8032">
        <v>1</v>
      </c>
      <c r="O8032" s="31"/>
    </row>
    <row r="8033" spans="10:15" x14ac:dyDescent="0.25">
      <c r="J8033" t="s">
        <v>3864</v>
      </c>
      <c r="K8033" s="22" t="s">
        <v>22</v>
      </c>
      <c r="L8033">
        <v>1</v>
      </c>
      <c r="O8033" s="30"/>
    </row>
    <row r="8034" spans="10:15" x14ac:dyDescent="0.25">
      <c r="J8034" t="s">
        <v>3865</v>
      </c>
      <c r="K8034" s="22" t="s">
        <v>28</v>
      </c>
      <c r="L8034">
        <v>1</v>
      </c>
      <c r="M8034">
        <v>1</v>
      </c>
      <c r="O8034" s="31"/>
    </row>
    <row r="8035" spans="10:15" x14ac:dyDescent="0.25">
      <c r="J8035" t="s">
        <v>2342</v>
      </c>
      <c r="K8035" s="22" t="s">
        <v>29</v>
      </c>
      <c r="L8035">
        <v>1</v>
      </c>
      <c r="M8035">
        <v>1</v>
      </c>
      <c r="O8035" s="31"/>
    </row>
    <row r="8036" spans="10:15" x14ac:dyDescent="0.25">
      <c r="J8036" t="s">
        <v>1559</v>
      </c>
      <c r="K8036" s="22" t="s">
        <v>24</v>
      </c>
      <c r="L8036">
        <v>1</v>
      </c>
      <c r="O8036" s="30"/>
    </row>
    <row r="8037" spans="10:15" x14ac:dyDescent="0.25">
      <c r="J8037" t="s">
        <v>2507</v>
      </c>
      <c r="K8037" s="22" t="s">
        <v>31</v>
      </c>
      <c r="L8037">
        <v>1</v>
      </c>
      <c r="O8037" s="30"/>
    </row>
    <row r="8038" spans="10:15" x14ac:dyDescent="0.25">
      <c r="J8038" t="s">
        <v>1380</v>
      </c>
      <c r="K8038" s="22" t="s">
        <v>22</v>
      </c>
      <c r="L8038">
        <v>1</v>
      </c>
      <c r="M8038">
        <v>1</v>
      </c>
      <c r="O8038" s="31"/>
    </row>
    <row r="8039" spans="10:15" x14ac:dyDescent="0.25">
      <c r="J8039" t="s">
        <v>3220</v>
      </c>
      <c r="K8039" s="22" t="s">
        <v>20</v>
      </c>
      <c r="L8039">
        <v>1</v>
      </c>
      <c r="M8039">
        <v>1</v>
      </c>
      <c r="O8039" s="31"/>
    </row>
    <row r="8040" spans="10:15" x14ac:dyDescent="0.25">
      <c r="J8040" t="s">
        <v>3501</v>
      </c>
      <c r="K8040" s="22" t="s">
        <v>20</v>
      </c>
      <c r="L8040">
        <v>1</v>
      </c>
      <c r="M8040">
        <v>1</v>
      </c>
      <c r="O8040" s="31"/>
    </row>
    <row r="8041" spans="10:15" x14ac:dyDescent="0.25">
      <c r="J8041" t="s">
        <v>1543</v>
      </c>
      <c r="K8041" s="22" t="s">
        <v>22</v>
      </c>
      <c r="L8041">
        <v>1</v>
      </c>
      <c r="O8041" s="30"/>
    </row>
    <row r="8042" spans="10:15" x14ac:dyDescent="0.25">
      <c r="J8042" t="s">
        <v>3535</v>
      </c>
      <c r="K8042" s="22" t="s">
        <v>35</v>
      </c>
      <c r="L8042">
        <v>1</v>
      </c>
      <c r="O8042" s="30"/>
    </row>
    <row r="8043" spans="10:15" x14ac:dyDescent="0.25">
      <c r="J8043" t="s">
        <v>1368</v>
      </c>
      <c r="K8043" s="22" t="s">
        <v>20</v>
      </c>
      <c r="L8043">
        <v>1</v>
      </c>
      <c r="O8043" s="30"/>
    </row>
    <row r="8044" spans="10:15" x14ac:dyDescent="0.25">
      <c r="J8044" t="s">
        <v>180</v>
      </c>
      <c r="K8044" s="22" t="s">
        <v>26</v>
      </c>
      <c r="L8044">
        <v>1</v>
      </c>
      <c r="M8044">
        <v>1</v>
      </c>
      <c r="O8044" s="31"/>
    </row>
    <row r="8045" spans="10:15" x14ac:dyDescent="0.25">
      <c r="J8045" t="s">
        <v>3333</v>
      </c>
      <c r="K8045" s="22" t="s">
        <v>22</v>
      </c>
      <c r="L8045">
        <v>1</v>
      </c>
      <c r="M8045">
        <v>1</v>
      </c>
      <c r="O8045" s="31"/>
    </row>
    <row r="8046" spans="10:15" x14ac:dyDescent="0.25">
      <c r="J8046" t="s">
        <v>1487</v>
      </c>
      <c r="K8046" s="22" t="s">
        <v>30</v>
      </c>
      <c r="L8046">
        <v>1</v>
      </c>
      <c r="O8046" s="30"/>
    </row>
    <row r="8047" spans="10:15" x14ac:dyDescent="0.25">
      <c r="J8047" t="s">
        <v>3866</v>
      </c>
      <c r="K8047" s="22" t="s">
        <v>35</v>
      </c>
      <c r="L8047">
        <v>1</v>
      </c>
      <c r="M8047">
        <v>1</v>
      </c>
      <c r="O8047" s="31"/>
    </row>
    <row r="8048" spans="10:15" x14ac:dyDescent="0.25">
      <c r="J8048" t="s">
        <v>3867</v>
      </c>
      <c r="K8048" s="22" t="s">
        <v>28</v>
      </c>
      <c r="L8048">
        <v>1</v>
      </c>
      <c r="O8048" s="30"/>
    </row>
    <row r="8049" spans="10:15" x14ac:dyDescent="0.25">
      <c r="J8049" t="s">
        <v>3793</v>
      </c>
      <c r="K8049" s="22" t="s">
        <v>26</v>
      </c>
      <c r="L8049">
        <v>1</v>
      </c>
      <c r="M8049">
        <v>1</v>
      </c>
      <c r="O8049" s="31"/>
    </row>
    <row r="8050" spans="10:15" x14ac:dyDescent="0.25">
      <c r="J8050" t="s">
        <v>1318</v>
      </c>
      <c r="K8050" s="22" t="s">
        <v>30</v>
      </c>
      <c r="L8050">
        <v>1</v>
      </c>
      <c r="O8050" s="30"/>
    </row>
    <row r="8051" spans="10:15" x14ac:dyDescent="0.25">
      <c r="J8051" t="s">
        <v>2734</v>
      </c>
      <c r="K8051" s="22" t="s">
        <v>31</v>
      </c>
      <c r="L8051">
        <v>2</v>
      </c>
      <c r="M8051">
        <v>2</v>
      </c>
      <c r="O8051" s="31"/>
    </row>
    <row r="8052" spans="10:15" x14ac:dyDescent="0.25">
      <c r="J8052" t="s">
        <v>3417</v>
      </c>
      <c r="K8052" s="22" t="s">
        <v>20</v>
      </c>
      <c r="L8052">
        <v>1</v>
      </c>
      <c r="M8052">
        <v>1</v>
      </c>
      <c r="O8052" s="31"/>
    </row>
    <row r="8053" spans="10:15" x14ac:dyDescent="0.25">
      <c r="J8053" t="s">
        <v>3275</v>
      </c>
      <c r="K8053" s="22" t="s">
        <v>30</v>
      </c>
      <c r="L8053">
        <v>1</v>
      </c>
      <c r="O8053" s="30"/>
    </row>
    <row r="8054" spans="10:15" x14ac:dyDescent="0.25">
      <c r="J8054" t="s">
        <v>1041</v>
      </c>
      <c r="K8054" s="22" t="s">
        <v>26</v>
      </c>
      <c r="L8054">
        <v>1</v>
      </c>
      <c r="M8054">
        <v>1</v>
      </c>
      <c r="O8054" s="31"/>
    </row>
    <row r="8055" spans="10:15" x14ac:dyDescent="0.25">
      <c r="J8055" t="s">
        <v>3657</v>
      </c>
      <c r="K8055" s="22" t="s">
        <v>24</v>
      </c>
      <c r="L8055">
        <v>1</v>
      </c>
      <c r="O8055" s="30"/>
    </row>
    <row r="8056" spans="10:15" x14ac:dyDescent="0.25">
      <c r="J8056" t="s">
        <v>3868</v>
      </c>
      <c r="K8056" s="22" t="s">
        <v>30</v>
      </c>
      <c r="L8056">
        <v>1</v>
      </c>
      <c r="M8056">
        <v>1</v>
      </c>
      <c r="O8056" s="31"/>
    </row>
    <row r="8057" spans="10:15" x14ac:dyDescent="0.25">
      <c r="J8057" t="s">
        <v>3396</v>
      </c>
      <c r="K8057" s="22" t="s">
        <v>30</v>
      </c>
      <c r="L8057">
        <v>1</v>
      </c>
      <c r="O8057" s="30"/>
    </row>
    <row r="8058" spans="10:15" x14ac:dyDescent="0.25">
      <c r="J8058" t="s">
        <v>3869</v>
      </c>
      <c r="K8058" s="22" t="s">
        <v>20</v>
      </c>
      <c r="L8058">
        <v>1</v>
      </c>
      <c r="M8058">
        <v>1</v>
      </c>
      <c r="O8058" s="31"/>
    </row>
    <row r="8059" spans="10:15" x14ac:dyDescent="0.25">
      <c r="J8059" t="s">
        <v>1421</v>
      </c>
      <c r="K8059" s="22" t="s">
        <v>22</v>
      </c>
      <c r="L8059">
        <v>1</v>
      </c>
      <c r="O8059" s="30"/>
    </row>
    <row r="8060" spans="10:15" x14ac:dyDescent="0.25">
      <c r="J8060" t="s">
        <v>3872</v>
      </c>
      <c r="K8060" s="22" t="s">
        <v>20</v>
      </c>
      <c r="L8060">
        <v>1</v>
      </c>
      <c r="M8060">
        <v>1</v>
      </c>
      <c r="O8060" s="31"/>
    </row>
    <row r="8061" spans="10:15" x14ac:dyDescent="0.25">
      <c r="J8061" t="s">
        <v>55</v>
      </c>
      <c r="K8061" s="22" t="s">
        <v>29</v>
      </c>
      <c r="L8061">
        <v>1</v>
      </c>
      <c r="O8061" s="30"/>
    </row>
    <row r="8062" spans="10:15" x14ac:dyDescent="0.25">
      <c r="J8062" t="s">
        <v>3873</v>
      </c>
      <c r="K8062" s="22" t="s">
        <v>35</v>
      </c>
      <c r="L8062">
        <v>1</v>
      </c>
      <c r="M8062">
        <v>1</v>
      </c>
      <c r="O8062" s="31"/>
    </row>
    <row r="8063" spans="10:15" x14ac:dyDescent="0.25">
      <c r="J8063" t="s">
        <v>2348</v>
      </c>
      <c r="K8063" s="22" t="s">
        <v>26</v>
      </c>
      <c r="L8063">
        <v>1</v>
      </c>
      <c r="O8063" s="30"/>
    </row>
    <row r="8064" spans="10:15" x14ac:dyDescent="0.25">
      <c r="J8064" t="s">
        <v>3874</v>
      </c>
      <c r="K8064" s="22" t="s">
        <v>22</v>
      </c>
      <c r="L8064">
        <v>1</v>
      </c>
      <c r="M8064">
        <v>1</v>
      </c>
      <c r="O8064" s="31"/>
    </row>
    <row r="8065" spans="10:15" x14ac:dyDescent="0.25">
      <c r="J8065" t="s">
        <v>3875</v>
      </c>
      <c r="K8065" s="22" t="s">
        <v>20</v>
      </c>
      <c r="L8065">
        <v>1</v>
      </c>
      <c r="O8065" s="30"/>
    </row>
    <row r="8066" spans="10:15" x14ac:dyDescent="0.25">
      <c r="J8066" t="s">
        <v>3876</v>
      </c>
      <c r="K8066" s="22" t="s">
        <v>31</v>
      </c>
      <c r="L8066">
        <v>1</v>
      </c>
      <c r="M8066">
        <v>1</v>
      </c>
      <c r="O8066" s="31"/>
    </row>
    <row r="8067" spans="10:15" x14ac:dyDescent="0.25">
      <c r="J8067" t="s">
        <v>1425</v>
      </c>
      <c r="K8067" s="22" t="s">
        <v>35</v>
      </c>
      <c r="L8067">
        <v>1</v>
      </c>
      <c r="O8067" s="30"/>
    </row>
    <row r="8068" spans="10:15" x14ac:dyDescent="0.25">
      <c r="J8068" t="s">
        <v>3877</v>
      </c>
      <c r="K8068" s="22" t="s">
        <v>29</v>
      </c>
      <c r="L8068">
        <v>1</v>
      </c>
      <c r="M8068">
        <v>1</v>
      </c>
      <c r="O8068" s="31"/>
    </row>
    <row r="8069" spans="10:15" x14ac:dyDescent="0.25">
      <c r="J8069" t="s">
        <v>1385</v>
      </c>
      <c r="K8069" s="22" t="s">
        <v>28</v>
      </c>
      <c r="L8069">
        <v>1</v>
      </c>
      <c r="O8069" s="30"/>
    </row>
    <row r="8070" spans="10:15" x14ac:dyDescent="0.25">
      <c r="J8070" t="s">
        <v>1912</v>
      </c>
      <c r="K8070" s="22" t="s">
        <v>24</v>
      </c>
      <c r="L8070">
        <v>1</v>
      </c>
      <c r="M8070">
        <v>1</v>
      </c>
      <c r="O8070" s="31"/>
    </row>
    <row r="8071" spans="10:15" x14ac:dyDescent="0.25">
      <c r="J8071" t="s">
        <v>529</v>
      </c>
      <c r="K8071" s="22" t="s">
        <v>22</v>
      </c>
      <c r="L8071">
        <v>1</v>
      </c>
      <c r="O8071" s="30"/>
    </row>
    <row r="8072" spans="10:15" x14ac:dyDescent="0.25">
      <c r="J8072" t="s">
        <v>1317</v>
      </c>
      <c r="K8072" s="22" t="s">
        <v>26</v>
      </c>
      <c r="L8072">
        <v>1</v>
      </c>
      <c r="M8072">
        <v>1</v>
      </c>
      <c r="O8072" s="31"/>
    </row>
    <row r="8073" spans="10:15" x14ac:dyDescent="0.25">
      <c r="J8073" t="s">
        <v>2653</v>
      </c>
      <c r="K8073" s="22" t="s">
        <v>28</v>
      </c>
      <c r="L8073">
        <v>1</v>
      </c>
      <c r="O8073" s="30"/>
    </row>
    <row r="8074" spans="10:15" x14ac:dyDescent="0.25">
      <c r="J8074" t="s">
        <v>3236</v>
      </c>
      <c r="K8074" s="22" t="s">
        <v>22</v>
      </c>
      <c r="L8074">
        <v>1</v>
      </c>
      <c r="O8074" s="30"/>
    </row>
    <row r="8075" spans="10:15" x14ac:dyDescent="0.25">
      <c r="J8075" t="s">
        <v>3878</v>
      </c>
      <c r="K8075" s="22" t="s">
        <v>29</v>
      </c>
      <c r="L8075">
        <v>1</v>
      </c>
      <c r="M8075">
        <v>1</v>
      </c>
      <c r="O8075" s="31"/>
    </row>
    <row r="8076" spans="10:15" x14ac:dyDescent="0.25">
      <c r="J8076" t="s">
        <v>2209</v>
      </c>
      <c r="K8076" s="22" t="s">
        <v>35</v>
      </c>
      <c r="L8076">
        <v>1</v>
      </c>
      <c r="O8076" s="30"/>
    </row>
    <row r="8077" spans="10:15" x14ac:dyDescent="0.25">
      <c r="J8077" t="s">
        <v>2947</v>
      </c>
      <c r="K8077" s="22" t="s">
        <v>24</v>
      </c>
      <c r="L8077">
        <v>1</v>
      </c>
      <c r="M8077">
        <v>1</v>
      </c>
      <c r="O8077" s="31"/>
    </row>
    <row r="8078" spans="10:15" x14ac:dyDescent="0.25">
      <c r="J8078" t="s">
        <v>3396</v>
      </c>
      <c r="K8078" s="22" t="s">
        <v>28</v>
      </c>
      <c r="L8078">
        <v>1</v>
      </c>
      <c r="O8078" s="30"/>
    </row>
    <row r="8079" spans="10:15" x14ac:dyDescent="0.25">
      <c r="J8079" t="s">
        <v>3761</v>
      </c>
      <c r="K8079" s="22" t="s">
        <v>20</v>
      </c>
      <c r="L8079">
        <v>1</v>
      </c>
      <c r="O8079" s="30"/>
    </row>
    <row r="8080" spans="10:15" x14ac:dyDescent="0.25">
      <c r="J8080" t="s">
        <v>3730</v>
      </c>
      <c r="K8080" s="22" t="s">
        <v>31</v>
      </c>
      <c r="L8080">
        <v>1</v>
      </c>
      <c r="M8080">
        <v>1</v>
      </c>
      <c r="O8080" s="31"/>
    </row>
    <row r="8081" spans="10:15" x14ac:dyDescent="0.25">
      <c r="J8081" t="s">
        <v>3673</v>
      </c>
      <c r="K8081" s="22" t="s">
        <v>28</v>
      </c>
      <c r="L8081">
        <v>1</v>
      </c>
      <c r="O8081" s="30"/>
    </row>
    <row r="8082" spans="10:15" x14ac:dyDescent="0.25">
      <c r="J8082" t="s">
        <v>1124</v>
      </c>
      <c r="K8082" s="22" t="s">
        <v>24</v>
      </c>
      <c r="L8082">
        <v>1</v>
      </c>
      <c r="O8082" s="30"/>
    </row>
    <row r="8083" spans="10:15" x14ac:dyDescent="0.25">
      <c r="J8083" t="s">
        <v>3881</v>
      </c>
      <c r="K8083" s="22" t="s">
        <v>29</v>
      </c>
      <c r="L8083">
        <v>1</v>
      </c>
      <c r="M8083">
        <v>1</v>
      </c>
      <c r="O8083" s="31"/>
    </row>
    <row r="8084" spans="10:15" x14ac:dyDescent="0.25">
      <c r="J8084" t="s">
        <v>1873</v>
      </c>
      <c r="K8084" s="22" t="s">
        <v>30</v>
      </c>
      <c r="L8084">
        <v>1</v>
      </c>
      <c r="M8084">
        <v>1</v>
      </c>
      <c r="O8084" s="31"/>
    </row>
    <row r="8085" spans="10:15" x14ac:dyDescent="0.25">
      <c r="J8085" t="s">
        <v>1682</v>
      </c>
      <c r="K8085" s="22" t="s">
        <v>35</v>
      </c>
      <c r="L8085">
        <v>1</v>
      </c>
      <c r="O8085" s="30"/>
    </row>
    <row r="8086" spans="10:15" x14ac:dyDescent="0.25">
      <c r="J8086" t="s">
        <v>2332</v>
      </c>
      <c r="K8086" s="22" t="s">
        <v>22</v>
      </c>
      <c r="L8086">
        <v>1</v>
      </c>
      <c r="O8086" s="30"/>
    </row>
    <row r="8087" spans="10:15" x14ac:dyDescent="0.25">
      <c r="J8087" t="s">
        <v>1315</v>
      </c>
      <c r="K8087" s="22" t="s">
        <v>31</v>
      </c>
      <c r="L8087">
        <v>1</v>
      </c>
      <c r="O8087" s="30"/>
    </row>
    <row r="8088" spans="10:15" x14ac:dyDescent="0.25">
      <c r="J8088" t="s">
        <v>1343</v>
      </c>
      <c r="K8088" s="22" t="s">
        <v>20</v>
      </c>
      <c r="L8088">
        <v>1</v>
      </c>
      <c r="M8088">
        <v>1</v>
      </c>
      <c r="O8088" s="31"/>
    </row>
    <row r="8089" spans="10:15" x14ac:dyDescent="0.25">
      <c r="J8089" t="s">
        <v>2361</v>
      </c>
      <c r="K8089" s="22" t="s">
        <v>26</v>
      </c>
      <c r="L8089">
        <v>1</v>
      </c>
      <c r="M8089">
        <v>1</v>
      </c>
      <c r="O8089" s="31"/>
    </row>
    <row r="8090" spans="10:15" x14ac:dyDescent="0.25">
      <c r="J8090" t="s">
        <v>1327</v>
      </c>
      <c r="K8090" s="22" t="s">
        <v>30</v>
      </c>
      <c r="L8090">
        <v>1</v>
      </c>
      <c r="O8090" s="30"/>
    </row>
    <row r="8091" spans="10:15" x14ac:dyDescent="0.25">
      <c r="J8091" t="s">
        <v>1176</v>
      </c>
      <c r="K8091" s="22" t="s">
        <v>26</v>
      </c>
      <c r="L8091">
        <v>1</v>
      </c>
      <c r="M8091">
        <v>1</v>
      </c>
      <c r="O8091" s="31"/>
    </row>
    <row r="8092" spans="10:15" x14ac:dyDescent="0.25">
      <c r="J8092" t="s">
        <v>2536</v>
      </c>
      <c r="K8092" s="22" t="s">
        <v>29</v>
      </c>
      <c r="L8092">
        <v>1</v>
      </c>
      <c r="M8092">
        <v>1</v>
      </c>
      <c r="O8092" s="31"/>
    </row>
    <row r="8093" spans="10:15" x14ac:dyDescent="0.25">
      <c r="J8093" t="s">
        <v>3882</v>
      </c>
      <c r="K8093" s="22" t="s">
        <v>24</v>
      </c>
      <c r="L8093">
        <v>1</v>
      </c>
      <c r="O8093" s="30"/>
    </row>
    <row r="8094" spans="10:15" x14ac:dyDescent="0.25">
      <c r="J8094" t="s">
        <v>3660</v>
      </c>
      <c r="K8094" s="22" t="s">
        <v>28</v>
      </c>
      <c r="L8094">
        <v>1</v>
      </c>
      <c r="M8094">
        <v>1</v>
      </c>
      <c r="O8094" s="31"/>
    </row>
    <row r="8095" spans="10:15" x14ac:dyDescent="0.25">
      <c r="J8095" t="s">
        <v>536</v>
      </c>
      <c r="K8095" s="22" t="s">
        <v>28</v>
      </c>
      <c r="L8095">
        <v>1</v>
      </c>
      <c r="O8095" s="30"/>
    </row>
    <row r="8096" spans="10:15" x14ac:dyDescent="0.25">
      <c r="J8096" t="s">
        <v>3179</v>
      </c>
      <c r="K8096" s="22" t="s">
        <v>29</v>
      </c>
      <c r="L8096">
        <v>1</v>
      </c>
      <c r="M8096">
        <v>1</v>
      </c>
      <c r="O8096" s="31"/>
    </row>
    <row r="8097" spans="10:15" x14ac:dyDescent="0.25">
      <c r="J8097" t="s">
        <v>2151</v>
      </c>
      <c r="K8097" s="22" t="s">
        <v>31</v>
      </c>
      <c r="L8097">
        <v>1</v>
      </c>
      <c r="O8097" s="30"/>
    </row>
    <row r="8098" spans="10:15" x14ac:dyDescent="0.25">
      <c r="J8098" t="s">
        <v>3600</v>
      </c>
      <c r="K8098" s="22" t="s">
        <v>22</v>
      </c>
      <c r="L8098">
        <v>1</v>
      </c>
      <c r="M8098">
        <v>1</v>
      </c>
      <c r="O8098" s="31"/>
    </row>
    <row r="8099" spans="10:15" x14ac:dyDescent="0.25">
      <c r="J8099" t="s">
        <v>3216</v>
      </c>
      <c r="K8099" s="22" t="s">
        <v>35</v>
      </c>
      <c r="L8099">
        <v>1</v>
      </c>
      <c r="M8099">
        <v>1</v>
      </c>
      <c r="O8099" s="31"/>
    </row>
    <row r="8100" spans="10:15" x14ac:dyDescent="0.25">
      <c r="J8100" t="s">
        <v>3883</v>
      </c>
      <c r="K8100" s="22" t="s">
        <v>30</v>
      </c>
      <c r="L8100">
        <v>1</v>
      </c>
      <c r="O8100" s="30"/>
    </row>
    <row r="8101" spans="10:15" x14ac:dyDescent="0.25">
      <c r="J8101" t="s">
        <v>1618</v>
      </c>
      <c r="K8101" s="22" t="s">
        <v>31</v>
      </c>
      <c r="L8101">
        <v>1</v>
      </c>
      <c r="M8101">
        <v>1</v>
      </c>
      <c r="O8101" s="31"/>
    </row>
    <row r="8102" spans="10:15" x14ac:dyDescent="0.25">
      <c r="J8102" t="s">
        <v>570</v>
      </c>
      <c r="K8102" s="22" t="s">
        <v>26</v>
      </c>
      <c r="L8102">
        <v>2</v>
      </c>
      <c r="M8102">
        <v>2</v>
      </c>
      <c r="O8102" s="31"/>
    </row>
    <row r="8103" spans="10:15" x14ac:dyDescent="0.25">
      <c r="J8103" t="s">
        <v>950</v>
      </c>
      <c r="K8103" s="22" t="s">
        <v>31</v>
      </c>
      <c r="L8103">
        <v>1</v>
      </c>
      <c r="O8103" s="30"/>
    </row>
    <row r="8104" spans="10:15" x14ac:dyDescent="0.25">
      <c r="J8104" t="s">
        <v>1894</v>
      </c>
      <c r="K8104" s="22" t="s">
        <v>24</v>
      </c>
      <c r="L8104">
        <v>1</v>
      </c>
      <c r="M8104">
        <v>1</v>
      </c>
      <c r="O8104" s="31"/>
    </row>
    <row r="8105" spans="10:15" x14ac:dyDescent="0.25">
      <c r="J8105" t="s">
        <v>3884</v>
      </c>
      <c r="K8105" s="22" t="s">
        <v>35</v>
      </c>
      <c r="L8105">
        <v>1</v>
      </c>
      <c r="O8105" s="30"/>
    </row>
    <row r="8106" spans="10:15" x14ac:dyDescent="0.25">
      <c r="J8106" t="s">
        <v>2492</v>
      </c>
      <c r="K8106" s="22" t="s">
        <v>29</v>
      </c>
      <c r="L8106">
        <v>1</v>
      </c>
      <c r="M8106">
        <v>1</v>
      </c>
      <c r="O8106" s="31"/>
    </row>
    <row r="8107" spans="10:15" x14ac:dyDescent="0.25">
      <c r="J8107" t="s">
        <v>788</v>
      </c>
      <c r="K8107" s="22" t="s">
        <v>20</v>
      </c>
      <c r="L8107">
        <v>1</v>
      </c>
      <c r="O8107" s="30"/>
    </row>
    <row r="8108" spans="10:15" x14ac:dyDescent="0.25">
      <c r="J8108" t="s">
        <v>518</v>
      </c>
      <c r="K8108" s="22" t="s">
        <v>31</v>
      </c>
      <c r="L8108">
        <v>1</v>
      </c>
      <c r="O8108" s="30"/>
    </row>
    <row r="8109" spans="10:15" x14ac:dyDescent="0.25">
      <c r="J8109" t="s">
        <v>3643</v>
      </c>
      <c r="K8109" s="22" t="s">
        <v>28</v>
      </c>
      <c r="L8109">
        <v>1</v>
      </c>
      <c r="M8109">
        <v>1</v>
      </c>
      <c r="O8109" s="31"/>
    </row>
    <row r="8110" spans="10:15" x14ac:dyDescent="0.25">
      <c r="J8110" t="s">
        <v>2424</v>
      </c>
      <c r="K8110" s="22" t="s">
        <v>20</v>
      </c>
      <c r="L8110">
        <v>1</v>
      </c>
      <c r="O8110" s="30"/>
    </row>
    <row r="8111" spans="10:15" x14ac:dyDescent="0.25">
      <c r="J8111" t="s">
        <v>3466</v>
      </c>
      <c r="K8111" s="22" t="s">
        <v>24</v>
      </c>
      <c r="L8111">
        <v>1</v>
      </c>
      <c r="M8111">
        <v>1</v>
      </c>
      <c r="O8111" s="31"/>
    </row>
    <row r="8112" spans="10:15" x14ac:dyDescent="0.25">
      <c r="J8112" t="s">
        <v>2852</v>
      </c>
      <c r="K8112" s="22" t="s">
        <v>30</v>
      </c>
      <c r="L8112">
        <v>1</v>
      </c>
      <c r="O8112" s="30"/>
    </row>
    <row r="8113" spans="10:15" x14ac:dyDescent="0.25">
      <c r="J8113" t="s">
        <v>1963</v>
      </c>
      <c r="K8113" s="22" t="s">
        <v>30</v>
      </c>
      <c r="L8113">
        <v>1</v>
      </c>
      <c r="O8113" s="30"/>
    </row>
    <row r="8114" spans="10:15" x14ac:dyDescent="0.25">
      <c r="J8114" t="s">
        <v>2485</v>
      </c>
      <c r="K8114" s="22" t="s">
        <v>24</v>
      </c>
      <c r="L8114">
        <v>1</v>
      </c>
      <c r="M8114">
        <v>1</v>
      </c>
      <c r="O8114" s="31"/>
    </row>
    <row r="8115" spans="10:15" x14ac:dyDescent="0.25">
      <c r="J8115" t="s">
        <v>881</v>
      </c>
      <c r="K8115" s="22" t="s">
        <v>35</v>
      </c>
      <c r="L8115">
        <v>1</v>
      </c>
      <c r="M8115">
        <v>1</v>
      </c>
      <c r="O8115" s="31"/>
    </row>
    <row r="8116" spans="10:15" x14ac:dyDescent="0.25">
      <c r="J8116" t="s">
        <v>3885</v>
      </c>
      <c r="K8116" s="22" t="s">
        <v>29</v>
      </c>
      <c r="L8116">
        <v>1</v>
      </c>
      <c r="O8116" s="30"/>
    </row>
    <row r="8117" spans="10:15" x14ac:dyDescent="0.25">
      <c r="J8117" t="s">
        <v>2167</v>
      </c>
      <c r="K8117" s="22" t="s">
        <v>20</v>
      </c>
      <c r="L8117">
        <v>1</v>
      </c>
      <c r="M8117">
        <v>1</v>
      </c>
      <c r="O8117" s="31"/>
    </row>
    <row r="8118" spans="10:15" x14ac:dyDescent="0.25">
      <c r="J8118" t="s">
        <v>3612</v>
      </c>
      <c r="K8118" s="22" t="s">
        <v>35</v>
      </c>
      <c r="L8118">
        <v>1</v>
      </c>
      <c r="M8118">
        <v>1</v>
      </c>
      <c r="O8118" s="31"/>
    </row>
    <row r="8119" spans="10:15" x14ac:dyDescent="0.25">
      <c r="J8119" t="s">
        <v>3816</v>
      </c>
      <c r="K8119" s="22" t="s">
        <v>22</v>
      </c>
      <c r="L8119">
        <v>1</v>
      </c>
      <c r="O8119" s="30"/>
    </row>
    <row r="8120" spans="10:15" x14ac:dyDescent="0.25">
      <c r="J8120" t="s">
        <v>3886</v>
      </c>
      <c r="K8120" s="22" t="s">
        <v>24</v>
      </c>
      <c r="L8120">
        <v>1</v>
      </c>
      <c r="M8120">
        <v>1</v>
      </c>
      <c r="O8120" s="31"/>
    </row>
    <row r="8121" spans="10:15" x14ac:dyDescent="0.25">
      <c r="J8121" t="s">
        <v>2296</v>
      </c>
      <c r="K8121" s="22" t="s">
        <v>24</v>
      </c>
      <c r="L8121">
        <v>1</v>
      </c>
      <c r="O8121" s="30"/>
    </row>
    <row r="8122" spans="10:15" x14ac:dyDescent="0.25">
      <c r="J8122" t="s">
        <v>3887</v>
      </c>
      <c r="K8122" s="22" t="s">
        <v>28</v>
      </c>
      <c r="L8122">
        <v>1</v>
      </c>
      <c r="M8122">
        <v>1</v>
      </c>
      <c r="O8122" s="31"/>
    </row>
    <row r="8123" spans="10:15" x14ac:dyDescent="0.25">
      <c r="J8123" t="s">
        <v>531</v>
      </c>
      <c r="K8123" s="22" t="s">
        <v>26</v>
      </c>
      <c r="L8123">
        <v>1</v>
      </c>
      <c r="M8123">
        <v>1</v>
      </c>
      <c r="O8123" s="31"/>
    </row>
    <row r="8124" spans="10:15" x14ac:dyDescent="0.25">
      <c r="J8124" t="s">
        <v>602</v>
      </c>
      <c r="K8124" s="22" t="s">
        <v>30</v>
      </c>
      <c r="L8124">
        <v>1</v>
      </c>
      <c r="O8124" s="30"/>
    </row>
    <row r="8125" spans="10:15" x14ac:dyDescent="0.25">
      <c r="J8125" t="s">
        <v>3168</v>
      </c>
      <c r="K8125" s="22" t="s">
        <v>29</v>
      </c>
      <c r="L8125">
        <v>1</v>
      </c>
      <c r="M8125">
        <v>1</v>
      </c>
      <c r="O8125" s="31"/>
    </row>
    <row r="8126" spans="10:15" x14ac:dyDescent="0.25">
      <c r="J8126" t="s">
        <v>3888</v>
      </c>
      <c r="K8126" s="22" t="s">
        <v>31</v>
      </c>
      <c r="L8126">
        <v>1</v>
      </c>
      <c r="O8126" s="30"/>
    </row>
    <row r="8127" spans="10:15" x14ac:dyDescent="0.25">
      <c r="J8127" t="s">
        <v>3889</v>
      </c>
      <c r="K8127" s="22" t="s">
        <v>20</v>
      </c>
      <c r="L8127">
        <v>1</v>
      </c>
      <c r="M8127">
        <v>1</v>
      </c>
      <c r="O8127" s="31"/>
    </row>
    <row r="8128" spans="10:15" x14ac:dyDescent="0.25">
      <c r="J8128" t="s">
        <v>3207</v>
      </c>
      <c r="K8128" s="22" t="s">
        <v>24</v>
      </c>
      <c r="L8128">
        <v>1</v>
      </c>
      <c r="O8128" s="30"/>
    </row>
    <row r="8129" spans="10:15" x14ac:dyDescent="0.25">
      <c r="J8129" t="s">
        <v>3045</v>
      </c>
      <c r="K8129" s="22" t="s">
        <v>20</v>
      </c>
      <c r="L8129">
        <v>1</v>
      </c>
      <c r="M8129">
        <v>1</v>
      </c>
      <c r="O8129" s="31"/>
    </row>
    <row r="8130" spans="10:15" x14ac:dyDescent="0.25">
      <c r="J8130" t="s">
        <v>3890</v>
      </c>
      <c r="K8130" s="22" t="s">
        <v>35</v>
      </c>
      <c r="L8130">
        <v>1</v>
      </c>
      <c r="O8130" s="30"/>
    </row>
    <row r="8131" spans="10:15" x14ac:dyDescent="0.25">
      <c r="J8131" t="s">
        <v>3716</v>
      </c>
      <c r="K8131" s="22" t="s">
        <v>22</v>
      </c>
      <c r="L8131">
        <v>1</v>
      </c>
      <c r="M8131">
        <v>1</v>
      </c>
      <c r="O8131" s="31"/>
    </row>
    <row r="8132" spans="10:15" x14ac:dyDescent="0.25">
      <c r="J8132" t="s">
        <v>2714</v>
      </c>
      <c r="K8132" s="22" t="s">
        <v>24</v>
      </c>
      <c r="L8132">
        <v>1</v>
      </c>
      <c r="M8132">
        <v>1</v>
      </c>
      <c r="O8132" s="31"/>
    </row>
    <row r="8133" spans="10:15" x14ac:dyDescent="0.25">
      <c r="J8133" t="s">
        <v>2790</v>
      </c>
      <c r="K8133" s="22" t="s">
        <v>28</v>
      </c>
      <c r="L8133">
        <v>1</v>
      </c>
      <c r="M8133">
        <v>1</v>
      </c>
      <c r="O8133" s="31"/>
    </row>
    <row r="8134" spans="10:15" x14ac:dyDescent="0.25">
      <c r="J8134" t="s">
        <v>1816</v>
      </c>
      <c r="K8134" s="22" t="s">
        <v>26</v>
      </c>
      <c r="L8134">
        <v>1</v>
      </c>
      <c r="O8134" s="30"/>
    </row>
    <row r="8135" spans="10:15" x14ac:dyDescent="0.25">
      <c r="J8135" t="s">
        <v>1448</v>
      </c>
      <c r="K8135" s="22" t="s">
        <v>26</v>
      </c>
      <c r="L8135">
        <v>1</v>
      </c>
      <c r="O8135" s="30"/>
    </row>
    <row r="8136" spans="10:15" x14ac:dyDescent="0.25">
      <c r="J8136" t="s">
        <v>2190</v>
      </c>
      <c r="K8136" s="22" t="s">
        <v>24</v>
      </c>
      <c r="L8136">
        <v>1</v>
      </c>
      <c r="M8136">
        <v>1</v>
      </c>
      <c r="O8136" s="31"/>
    </row>
    <row r="8137" spans="10:15" x14ac:dyDescent="0.25">
      <c r="J8137" t="s">
        <v>3340</v>
      </c>
      <c r="K8137" s="22" t="s">
        <v>30</v>
      </c>
      <c r="L8137">
        <v>1</v>
      </c>
      <c r="O8137" s="30"/>
    </row>
    <row r="8138" spans="10:15" x14ac:dyDescent="0.25">
      <c r="J8138" t="s">
        <v>3447</v>
      </c>
      <c r="K8138" s="22" t="s">
        <v>20</v>
      </c>
      <c r="L8138">
        <v>1</v>
      </c>
      <c r="M8138">
        <v>1</v>
      </c>
      <c r="O8138" s="31"/>
    </row>
    <row r="8139" spans="10:15" x14ac:dyDescent="0.25">
      <c r="J8139" t="s">
        <v>113</v>
      </c>
      <c r="K8139" s="22" t="s">
        <v>30</v>
      </c>
      <c r="L8139">
        <v>1</v>
      </c>
      <c r="O8139" s="30"/>
    </row>
    <row r="8140" spans="10:15" x14ac:dyDescent="0.25">
      <c r="J8140" t="s">
        <v>3873</v>
      </c>
      <c r="K8140" s="22" t="s">
        <v>20</v>
      </c>
      <c r="L8140">
        <v>1</v>
      </c>
      <c r="M8140">
        <v>1</v>
      </c>
      <c r="O8140" s="31"/>
    </row>
    <row r="8141" spans="10:15" x14ac:dyDescent="0.25">
      <c r="J8141" t="s">
        <v>1675</v>
      </c>
      <c r="K8141" s="22" t="s">
        <v>26</v>
      </c>
      <c r="L8141">
        <v>1</v>
      </c>
      <c r="O8141" s="30"/>
    </row>
    <row r="8142" spans="10:15" x14ac:dyDescent="0.25">
      <c r="J8142" t="s">
        <v>3527</v>
      </c>
      <c r="K8142" s="22" t="s">
        <v>35</v>
      </c>
      <c r="L8142">
        <v>1</v>
      </c>
      <c r="M8142">
        <v>1</v>
      </c>
      <c r="O8142" s="31"/>
    </row>
    <row r="8143" spans="10:15" x14ac:dyDescent="0.25">
      <c r="J8143" t="s">
        <v>3311</v>
      </c>
      <c r="K8143" s="22" t="s">
        <v>24</v>
      </c>
      <c r="L8143">
        <v>1</v>
      </c>
      <c r="O8143" s="30"/>
    </row>
    <row r="8144" spans="10:15" x14ac:dyDescent="0.25">
      <c r="J8144" t="s">
        <v>3891</v>
      </c>
      <c r="K8144" s="22" t="s">
        <v>31</v>
      </c>
      <c r="L8144">
        <v>1</v>
      </c>
      <c r="M8144">
        <v>1</v>
      </c>
      <c r="O8144" s="31"/>
    </row>
    <row r="8145" spans="10:15" x14ac:dyDescent="0.25">
      <c r="J8145" t="s">
        <v>3528</v>
      </c>
      <c r="K8145" s="22" t="s">
        <v>24</v>
      </c>
      <c r="L8145">
        <v>1</v>
      </c>
      <c r="O8145" s="30"/>
    </row>
    <row r="8146" spans="10:15" x14ac:dyDescent="0.25">
      <c r="J8146" t="s">
        <v>3892</v>
      </c>
      <c r="K8146" s="22" t="s">
        <v>22</v>
      </c>
      <c r="L8146">
        <v>1</v>
      </c>
      <c r="M8146">
        <v>1</v>
      </c>
      <c r="O8146" s="31"/>
    </row>
    <row r="8147" spans="10:15" x14ac:dyDescent="0.25">
      <c r="J8147" t="s">
        <v>3276</v>
      </c>
      <c r="K8147" s="22" t="s">
        <v>30</v>
      </c>
      <c r="L8147">
        <v>1</v>
      </c>
      <c r="O8147" s="30"/>
    </row>
    <row r="8148" spans="10:15" x14ac:dyDescent="0.25">
      <c r="J8148" t="s">
        <v>278</v>
      </c>
      <c r="K8148" s="22" t="s">
        <v>29</v>
      </c>
      <c r="L8148">
        <v>1</v>
      </c>
      <c r="M8148">
        <v>1</v>
      </c>
      <c r="O8148" s="31"/>
    </row>
    <row r="8149" spans="10:15" x14ac:dyDescent="0.25">
      <c r="J8149" t="s">
        <v>1493</v>
      </c>
      <c r="K8149" s="22" t="s">
        <v>28</v>
      </c>
      <c r="L8149">
        <v>1</v>
      </c>
      <c r="O8149" s="30"/>
    </row>
    <row r="8150" spans="10:15" x14ac:dyDescent="0.25">
      <c r="J8150" t="s">
        <v>3218</v>
      </c>
      <c r="K8150" s="22" t="s">
        <v>24</v>
      </c>
      <c r="L8150">
        <v>1</v>
      </c>
      <c r="M8150">
        <v>1</v>
      </c>
      <c r="O8150" s="31"/>
    </row>
    <row r="8151" spans="10:15" x14ac:dyDescent="0.25">
      <c r="J8151" t="s">
        <v>3893</v>
      </c>
      <c r="K8151" s="22" t="s">
        <v>22</v>
      </c>
      <c r="L8151">
        <v>1</v>
      </c>
      <c r="O8151" s="30"/>
    </row>
    <row r="8152" spans="10:15" x14ac:dyDescent="0.25">
      <c r="J8152" t="s">
        <v>3667</v>
      </c>
      <c r="K8152" s="22" t="s">
        <v>35</v>
      </c>
      <c r="L8152">
        <v>1</v>
      </c>
      <c r="M8152">
        <v>1</v>
      </c>
      <c r="O8152" s="31"/>
    </row>
    <row r="8153" spans="10:15" x14ac:dyDescent="0.25">
      <c r="J8153" t="s">
        <v>1897</v>
      </c>
      <c r="K8153" s="22" t="s">
        <v>26</v>
      </c>
      <c r="L8153">
        <v>1</v>
      </c>
      <c r="O8153" s="30"/>
    </row>
    <row r="8154" spans="10:15" x14ac:dyDescent="0.25">
      <c r="J8154" t="s">
        <v>2419</v>
      </c>
      <c r="K8154" s="22" t="s">
        <v>20</v>
      </c>
      <c r="L8154">
        <v>1</v>
      </c>
      <c r="M8154">
        <v>1</v>
      </c>
      <c r="O8154" s="31"/>
    </row>
    <row r="8155" spans="10:15" x14ac:dyDescent="0.25">
      <c r="J8155" t="s">
        <v>2781</v>
      </c>
      <c r="K8155" s="22" t="s">
        <v>30</v>
      </c>
      <c r="L8155">
        <v>1</v>
      </c>
      <c r="O8155" s="30"/>
    </row>
    <row r="8156" spans="10:15" x14ac:dyDescent="0.25">
      <c r="J8156" t="s">
        <v>3894</v>
      </c>
      <c r="K8156" s="22" t="s">
        <v>31</v>
      </c>
      <c r="L8156">
        <v>1</v>
      </c>
      <c r="M8156">
        <v>1</v>
      </c>
      <c r="O8156" s="31"/>
    </row>
    <row r="8157" spans="10:15" x14ac:dyDescent="0.25">
      <c r="J8157" t="s">
        <v>3400</v>
      </c>
      <c r="K8157" s="22" t="s">
        <v>29</v>
      </c>
      <c r="L8157">
        <v>1</v>
      </c>
      <c r="M8157">
        <v>1</v>
      </c>
      <c r="O8157" s="31"/>
    </row>
    <row r="8158" spans="10:15" x14ac:dyDescent="0.25">
      <c r="J8158" t="s">
        <v>1917</v>
      </c>
      <c r="K8158" s="22" t="s">
        <v>24</v>
      </c>
      <c r="L8158">
        <v>1</v>
      </c>
      <c r="O8158" s="30"/>
    </row>
    <row r="8159" spans="10:15" x14ac:dyDescent="0.25">
      <c r="J8159" t="s">
        <v>3163</v>
      </c>
      <c r="K8159" s="22" t="s">
        <v>28</v>
      </c>
      <c r="L8159">
        <v>1</v>
      </c>
      <c r="M8159">
        <v>1</v>
      </c>
      <c r="O8159" s="31"/>
    </row>
    <row r="8160" spans="10:15" x14ac:dyDescent="0.25">
      <c r="J8160" t="s">
        <v>1664</v>
      </c>
      <c r="K8160" s="22" t="s">
        <v>28</v>
      </c>
      <c r="L8160">
        <v>1</v>
      </c>
      <c r="O8160" s="30"/>
    </row>
    <row r="8161" spans="10:15" x14ac:dyDescent="0.25">
      <c r="J8161" t="s">
        <v>2504</v>
      </c>
      <c r="K8161" s="22" t="s">
        <v>20</v>
      </c>
      <c r="L8161">
        <v>1</v>
      </c>
      <c r="M8161">
        <v>1</v>
      </c>
      <c r="O8161" s="31"/>
    </row>
    <row r="8162" spans="10:15" x14ac:dyDescent="0.25">
      <c r="J8162" t="s">
        <v>3895</v>
      </c>
      <c r="K8162" s="22" t="s">
        <v>31</v>
      </c>
      <c r="L8162">
        <v>1</v>
      </c>
      <c r="O8162" s="30"/>
    </row>
    <row r="8163" spans="10:15" x14ac:dyDescent="0.25">
      <c r="J8163" t="s">
        <v>3651</v>
      </c>
      <c r="K8163" s="22" t="s">
        <v>22</v>
      </c>
      <c r="L8163">
        <v>1</v>
      </c>
      <c r="M8163">
        <v>1</v>
      </c>
      <c r="O8163" s="31"/>
    </row>
    <row r="8164" spans="10:15" x14ac:dyDescent="0.25">
      <c r="J8164" t="s">
        <v>1373</v>
      </c>
      <c r="K8164" s="22" t="s">
        <v>26</v>
      </c>
      <c r="L8164">
        <v>1</v>
      </c>
      <c r="O8164" s="30"/>
    </row>
    <row r="8165" spans="10:15" x14ac:dyDescent="0.25">
      <c r="J8165" t="s">
        <v>3760</v>
      </c>
      <c r="K8165" s="22" t="s">
        <v>31</v>
      </c>
      <c r="L8165">
        <v>1</v>
      </c>
      <c r="M8165">
        <v>1</v>
      </c>
      <c r="O8165" s="31"/>
    </row>
    <row r="8166" spans="10:15" x14ac:dyDescent="0.25">
      <c r="J8166" t="s">
        <v>85</v>
      </c>
      <c r="K8166" s="22" t="s">
        <v>20</v>
      </c>
      <c r="L8166">
        <v>1</v>
      </c>
      <c r="M8166">
        <v>1</v>
      </c>
      <c r="O8166" s="31"/>
    </row>
    <row r="8167" spans="10:15" x14ac:dyDescent="0.25">
      <c r="J8167" t="s">
        <v>1797</v>
      </c>
      <c r="K8167" s="22" t="s">
        <v>31</v>
      </c>
      <c r="L8167">
        <v>1</v>
      </c>
      <c r="M8167">
        <v>1</v>
      </c>
      <c r="O8167" s="31"/>
    </row>
    <row r="8168" spans="10:15" x14ac:dyDescent="0.25">
      <c r="J8168" t="s">
        <v>2111</v>
      </c>
      <c r="K8168" s="22" t="s">
        <v>31</v>
      </c>
      <c r="L8168">
        <v>1</v>
      </c>
      <c r="O8168" s="30"/>
    </row>
    <row r="8169" spans="10:15" x14ac:dyDescent="0.25">
      <c r="J8169" t="s">
        <v>659</v>
      </c>
      <c r="K8169" s="22" t="s">
        <v>30</v>
      </c>
      <c r="L8169">
        <v>1</v>
      </c>
      <c r="M8169">
        <v>1</v>
      </c>
      <c r="O8169" s="31"/>
    </row>
    <row r="8170" spans="10:15" x14ac:dyDescent="0.25">
      <c r="J8170" t="s">
        <v>3896</v>
      </c>
      <c r="K8170" s="22" t="s">
        <v>20</v>
      </c>
      <c r="L8170">
        <v>1</v>
      </c>
      <c r="O8170" s="30"/>
    </row>
    <row r="8171" spans="10:15" x14ac:dyDescent="0.25">
      <c r="J8171" t="s">
        <v>2535</v>
      </c>
      <c r="K8171" s="22" t="s">
        <v>24</v>
      </c>
      <c r="L8171">
        <v>1</v>
      </c>
      <c r="M8171">
        <v>1</v>
      </c>
      <c r="O8171" s="31"/>
    </row>
    <row r="8172" spans="10:15" x14ac:dyDescent="0.25">
      <c r="J8172" t="s">
        <v>798</v>
      </c>
      <c r="K8172" s="22" t="s">
        <v>30</v>
      </c>
      <c r="L8172">
        <v>1</v>
      </c>
      <c r="M8172">
        <v>1</v>
      </c>
      <c r="O8172" s="31"/>
    </row>
    <row r="8173" spans="10:15" x14ac:dyDescent="0.25">
      <c r="J8173" t="s">
        <v>2008</v>
      </c>
      <c r="K8173" s="22" t="s">
        <v>29</v>
      </c>
      <c r="L8173">
        <v>1</v>
      </c>
      <c r="O8173" s="30"/>
    </row>
    <row r="8174" spans="10:15" x14ac:dyDescent="0.25">
      <c r="J8174" t="s">
        <v>3897</v>
      </c>
      <c r="K8174" s="22" t="s">
        <v>30</v>
      </c>
      <c r="L8174">
        <v>1</v>
      </c>
      <c r="M8174">
        <v>1</v>
      </c>
      <c r="O8174" s="31"/>
    </row>
    <row r="8175" spans="10:15" x14ac:dyDescent="0.25">
      <c r="J8175" t="s">
        <v>536</v>
      </c>
      <c r="K8175" s="22" t="s">
        <v>24</v>
      </c>
      <c r="L8175">
        <v>1</v>
      </c>
      <c r="O8175" s="30"/>
    </row>
    <row r="8176" spans="10:15" x14ac:dyDescent="0.25">
      <c r="J8176" t="s">
        <v>3446</v>
      </c>
      <c r="K8176" s="22" t="s">
        <v>20</v>
      </c>
      <c r="L8176">
        <v>1</v>
      </c>
      <c r="O8176" s="30"/>
    </row>
    <row r="8177" spans="10:15" x14ac:dyDescent="0.25">
      <c r="J8177" t="s">
        <v>3073</v>
      </c>
      <c r="K8177" s="22" t="s">
        <v>35</v>
      </c>
      <c r="L8177">
        <v>1</v>
      </c>
      <c r="M8177">
        <v>1</v>
      </c>
      <c r="O8177" s="31"/>
    </row>
    <row r="8178" spans="10:15" x14ac:dyDescent="0.25">
      <c r="J8178" t="s">
        <v>2892</v>
      </c>
      <c r="K8178" s="22" t="s">
        <v>31</v>
      </c>
      <c r="L8178">
        <v>1</v>
      </c>
      <c r="O8178" s="30"/>
    </row>
    <row r="8179" spans="10:15" x14ac:dyDescent="0.25">
      <c r="J8179" t="s">
        <v>3354</v>
      </c>
      <c r="K8179" s="22" t="s">
        <v>22</v>
      </c>
      <c r="L8179">
        <v>1</v>
      </c>
      <c r="O8179" s="30"/>
    </row>
    <row r="8180" spans="10:15" x14ac:dyDescent="0.25">
      <c r="J8180" t="s">
        <v>3898</v>
      </c>
      <c r="K8180" s="22" t="s">
        <v>29</v>
      </c>
      <c r="L8180">
        <v>1</v>
      </c>
      <c r="M8180">
        <v>1</v>
      </c>
      <c r="O8180" s="31"/>
    </row>
    <row r="8181" spans="10:15" x14ac:dyDescent="0.25">
      <c r="J8181" t="s">
        <v>3366</v>
      </c>
      <c r="K8181" s="22" t="s">
        <v>28</v>
      </c>
      <c r="L8181">
        <v>1</v>
      </c>
      <c r="O8181" s="30"/>
    </row>
    <row r="8182" spans="10:15" x14ac:dyDescent="0.25">
      <c r="J8182" t="s">
        <v>263</v>
      </c>
      <c r="K8182" s="22" t="s">
        <v>31</v>
      </c>
      <c r="L8182">
        <v>1</v>
      </c>
      <c r="M8182">
        <v>1</v>
      </c>
      <c r="O8182" s="31"/>
    </row>
    <row r="8183" spans="10:15" x14ac:dyDescent="0.25">
      <c r="J8183" t="s">
        <v>55</v>
      </c>
      <c r="K8183" s="22" t="s">
        <v>35</v>
      </c>
      <c r="L8183">
        <v>1</v>
      </c>
      <c r="M8183">
        <v>1</v>
      </c>
      <c r="O8183" s="31"/>
    </row>
    <row r="8184" spans="10:15" x14ac:dyDescent="0.25">
      <c r="J8184" t="s">
        <v>2619</v>
      </c>
      <c r="K8184" s="22" t="s">
        <v>31</v>
      </c>
      <c r="L8184">
        <v>1</v>
      </c>
      <c r="O8184" s="30"/>
    </row>
  </sheetData>
  <mergeCells count="1">
    <mergeCell ref="J4:L4"/>
  </mergeCells>
  <conditionalFormatting sqref="Q1:Q5 Q7521:Q1048576">
    <cfRule type="duplicateValues" dxfId="2" priority="2"/>
  </conditionalFormatting>
  <conditionalFormatting sqref="Q6:Q7520">
    <cfRule type="duplicateValues" dxfId="1" priority="1"/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Play">
          <controlPr defaultSize="0" autoLine="0" r:id="rId5">
            <anchor moveWithCells="1">
              <from>
                <xdr:col>7</xdr:col>
                <xdr:colOff>304800</xdr:colOff>
                <xdr:row>1</xdr:row>
                <xdr:rowOff>85725</xdr:rowOff>
              </from>
              <to>
                <xdr:col>8</xdr:col>
                <xdr:colOff>428625</xdr:colOff>
                <xdr:row>1</xdr:row>
                <xdr:rowOff>476250</xdr:rowOff>
              </to>
            </anchor>
          </controlPr>
        </control>
      </mc:Choice>
      <mc:Fallback>
        <control shapeId="1025" r:id="rId4" name="cmdPlay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515"/>
  <sheetViews>
    <sheetView topLeftCell="A6992" workbookViewId="0">
      <selection activeCell="A7524" sqref="A7524"/>
    </sheetView>
  </sheetViews>
  <sheetFormatPr defaultColWidth="9.140625" defaultRowHeight="15" x14ac:dyDescent="0.25"/>
  <cols>
    <col min="9" max="9" width="17.140625" bestFit="1" customWidth="1"/>
  </cols>
  <sheetData>
    <row r="1" spans="1:9" x14ac:dyDescent="0.25">
      <c r="A1" t="s">
        <v>1</v>
      </c>
      <c r="B1" t="s">
        <v>4</v>
      </c>
      <c r="C1" s="22" t="s">
        <v>0</v>
      </c>
      <c r="D1" t="s">
        <v>2</v>
      </c>
      <c r="E1" t="s">
        <v>3</v>
      </c>
      <c r="F1" t="s">
        <v>322</v>
      </c>
      <c r="G1" s="25" t="s">
        <v>2995</v>
      </c>
      <c r="H1" t="s">
        <v>3516</v>
      </c>
      <c r="I1" t="s">
        <v>3517</v>
      </c>
    </row>
    <row r="2" spans="1:9" x14ac:dyDescent="0.25">
      <c r="B2" t="s">
        <v>19</v>
      </c>
      <c r="C2" s="22" t="s">
        <v>24</v>
      </c>
      <c r="D2">
        <v>436</v>
      </c>
      <c r="E2">
        <v>303</v>
      </c>
      <c r="G2" s="31">
        <f>Table132[[#This Row],[nb win]]/Table132[[#This Row],[nb play]]</f>
        <v>0.69495412844036697</v>
      </c>
      <c r="H2" t="str">
        <f>MID(Table132[[#This Row],[ÉTAT]],VALUE(RIGHT(Table132[[#This Row],[next move]],1))+1+VALUE(LEFT(Table132[[#This Row],[next move]],1))*3,1)</f>
        <v>V</v>
      </c>
      <c r="I2" t="str">
        <f>Table132[[#This Row],[ÉTAT]]&amp;Table132[[#This Row],[next move]]</f>
        <v>VVVVVVVVV00</v>
      </c>
    </row>
    <row r="3" spans="1:9" x14ac:dyDescent="0.25">
      <c r="B3" t="s">
        <v>19</v>
      </c>
      <c r="C3" s="22" t="s">
        <v>26</v>
      </c>
      <c r="D3">
        <v>381</v>
      </c>
      <c r="E3">
        <v>216</v>
      </c>
      <c r="G3" s="30">
        <f>Table132[[#This Row],[nb win]]/Table132[[#This Row],[nb play]]</f>
        <v>0.56692913385826771</v>
      </c>
      <c r="H3" t="str">
        <f>MID(Table132[[#This Row],[ÉTAT]],VALUE(RIGHT(Table132[[#This Row],[next move]],1))+1+VALUE(LEFT(Table132[[#This Row],[next move]],1))*3,1)</f>
        <v>V</v>
      </c>
      <c r="I3" t="str">
        <f>Table132[[#This Row],[ÉTAT]]&amp;Table132[[#This Row],[next move]]</f>
        <v>VVVVVVVVV01</v>
      </c>
    </row>
    <row r="4" spans="1:9" x14ac:dyDescent="0.25">
      <c r="B4" t="s">
        <v>19</v>
      </c>
      <c r="C4" s="22" t="s">
        <v>20</v>
      </c>
      <c r="D4">
        <v>404</v>
      </c>
      <c r="E4">
        <v>265</v>
      </c>
      <c r="G4" s="31">
        <f>Table132[[#This Row],[nb win]]/Table132[[#This Row],[nb play]]</f>
        <v>0.65594059405940597</v>
      </c>
      <c r="H4" t="str">
        <f>MID(Table132[[#This Row],[ÉTAT]],VALUE(RIGHT(Table132[[#This Row],[next move]],1))+1+VALUE(LEFT(Table132[[#This Row],[next move]],1))*3,1)</f>
        <v>V</v>
      </c>
      <c r="I4" t="str">
        <f>Table132[[#This Row],[ÉTAT]]&amp;Table132[[#This Row],[next move]]</f>
        <v>VVVVVVVVV02</v>
      </c>
    </row>
    <row r="5" spans="1:9" x14ac:dyDescent="0.25">
      <c r="B5" t="s">
        <v>19</v>
      </c>
      <c r="C5" s="22" t="s">
        <v>30</v>
      </c>
      <c r="D5">
        <v>393</v>
      </c>
      <c r="E5">
        <v>245</v>
      </c>
      <c r="G5" s="30">
        <f>Table132[[#This Row],[nb win]]/Table132[[#This Row],[nb play]]</f>
        <v>0.62340966921119589</v>
      </c>
      <c r="H5" t="str">
        <f>MID(Table132[[#This Row],[ÉTAT]],VALUE(RIGHT(Table132[[#This Row],[next move]],1))+1+VALUE(LEFT(Table132[[#This Row],[next move]],1))*3,1)</f>
        <v>V</v>
      </c>
      <c r="I5" t="str">
        <f>Table132[[#This Row],[ÉTAT]]&amp;Table132[[#This Row],[next move]]</f>
        <v>VVVVVVVVV10</v>
      </c>
    </row>
    <row r="6" spans="1:9" x14ac:dyDescent="0.25">
      <c r="B6" t="s">
        <v>19</v>
      </c>
      <c r="C6" s="22" t="s">
        <v>29</v>
      </c>
      <c r="D6">
        <v>550</v>
      </c>
      <c r="E6">
        <v>426</v>
      </c>
      <c r="G6" s="29">
        <f>Table132[[#This Row],[nb win]]/Table132[[#This Row],[nb play]]</f>
        <v>0.77454545454545454</v>
      </c>
      <c r="H6" t="str">
        <f>MID(Table132[[#This Row],[ÉTAT]],VALUE(RIGHT(Table132[[#This Row],[next move]],1))+1+VALUE(LEFT(Table132[[#This Row],[next move]],1))*3,1)</f>
        <v>V</v>
      </c>
      <c r="I6" t="str">
        <f>Table132[[#This Row],[ÉTAT]]&amp;Table132[[#This Row],[next move]]</f>
        <v>VVVVVVVVV11</v>
      </c>
    </row>
    <row r="7" spans="1:9" x14ac:dyDescent="0.25">
      <c r="B7" t="s">
        <v>19</v>
      </c>
      <c r="C7" s="22" t="s">
        <v>28</v>
      </c>
      <c r="D7">
        <v>410</v>
      </c>
      <c r="E7">
        <v>253</v>
      </c>
      <c r="G7" s="30">
        <f>Table132[[#This Row],[nb win]]/Table132[[#This Row],[nb play]]</f>
        <v>0.61707317073170731</v>
      </c>
      <c r="H7" t="str">
        <f>MID(Table132[[#This Row],[ÉTAT]],VALUE(RIGHT(Table132[[#This Row],[next move]],1))+1+VALUE(LEFT(Table132[[#This Row],[next move]],1))*3,1)</f>
        <v>V</v>
      </c>
      <c r="I7" t="str">
        <f>Table132[[#This Row],[ÉTAT]]&amp;Table132[[#This Row],[next move]]</f>
        <v>VVVVVVVVV12</v>
      </c>
    </row>
    <row r="8" spans="1:9" x14ac:dyDescent="0.25">
      <c r="B8" t="s">
        <v>19</v>
      </c>
      <c r="C8" s="22" t="s">
        <v>22</v>
      </c>
      <c r="D8">
        <v>449</v>
      </c>
      <c r="E8">
        <v>252</v>
      </c>
      <c r="G8" s="30">
        <f>Table132[[#This Row],[nb win]]/Table132[[#This Row],[nb play]]</f>
        <v>0.56124721603563477</v>
      </c>
      <c r="H8" t="str">
        <f>MID(Table132[[#This Row],[ÉTAT]],VALUE(RIGHT(Table132[[#This Row],[next move]],1))+1+VALUE(LEFT(Table132[[#This Row],[next move]],1))*3,1)</f>
        <v>V</v>
      </c>
      <c r="I8" t="str">
        <f>Table132[[#This Row],[ÉTAT]]&amp;Table132[[#This Row],[next move]]</f>
        <v>VVVVVVVVV21</v>
      </c>
    </row>
    <row r="9" spans="1:9" x14ac:dyDescent="0.25">
      <c r="B9" t="s">
        <v>19</v>
      </c>
      <c r="C9" s="22" t="s">
        <v>31</v>
      </c>
      <c r="D9">
        <v>437</v>
      </c>
      <c r="E9">
        <v>291</v>
      </c>
      <c r="G9" s="30">
        <f>Table132[[#This Row],[nb win]]/Table132[[#This Row],[nb play]]</f>
        <v>0.66590389016018303</v>
      </c>
      <c r="H9" t="str">
        <f>MID(Table132[[#This Row],[ÉTAT]],VALUE(RIGHT(Table132[[#This Row],[next move]],1))+1+VALUE(LEFT(Table132[[#This Row],[next move]],1))*3,1)</f>
        <v>V</v>
      </c>
      <c r="I9" t="str">
        <f>Table132[[#This Row],[ÉTAT]]&amp;Table132[[#This Row],[next move]]</f>
        <v>VVVVVVVVV22</v>
      </c>
    </row>
    <row r="10" spans="1:9" x14ac:dyDescent="0.25">
      <c r="B10" t="s">
        <v>19</v>
      </c>
      <c r="C10" s="22" t="s">
        <v>35</v>
      </c>
      <c r="D10">
        <v>58</v>
      </c>
      <c r="E10">
        <v>37</v>
      </c>
      <c r="G10" s="31">
        <f>Table132[[#This Row],[nb win]]/Table132[[#This Row],[nb play]]</f>
        <v>0.63793103448275867</v>
      </c>
      <c r="H10" t="str">
        <f>MID(Table132[[#This Row],[ÉTAT]],VALUE(RIGHT(Table132[[#This Row],[next move]],1))+1+VALUE(LEFT(Table132[[#This Row],[next move]],1))*3,1)</f>
        <v>V</v>
      </c>
      <c r="I10" t="str">
        <f>Table132[[#This Row],[ÉTAT]]&amp;Table132[[#This Row],[next move]]</f>
        <v>VVVVVVVVV20</v>
      </c>
    </row>
    <row r="11" spans="1:9" x14ac:dyDescent="0.25">
      <c r="B11" t="s">
        <v>66</v>
      </c>
      <c r="C11" s="22" t="s">
        <v>24</v>
      </c>
      <c r="D11">
        <v>56</v>
      </c>
      <c r="E11">
        <v>21</v>
      </c>
      <c r="G11" s="30">
        <f>Table132[[#This Row],[nb win]]/Table132[[#This Row],[nb play]]</f>
        <v>0.375</v>
      </c>
      <c r="H11" t="str">
        <f>MID(Table132[[#This Row],[ÉTAT]],VALUE(RIGHT(Table132[[#This Row],[next move]],1))+1+VALUE(LEFT(Table132[[#This Row],[next move]],1))*3,1)</f>
        <v>V</v>
      </c>
      <c r="I11" t="str">
        <f>Table132[[#This Row],[ÉTAT]]&amp;Table132[[#This Row],[next move]]</f>
        <v>VVVVVVVVE00</v>
      </c>
    </row>
    <row r="12" spans="1:9" x14ac:dyDescent="0.25">
      <c r="B12" t="s">
        <v>66</v>
      </c>
      <c r="C12" s="22" t="s">
        <v>26</v>
      </c>
      <c r="D12">
        <v>63</v>
      </c>
      <c r="E12">
        <v>16</v>
      </c>
      <c r="G12" s="30">
        <f>Table132[[#This Row],[nb win]]/Table132[[#This Row],[nb play]]</f>
        <v>0.25396825396825395</v>
      </c>
      <c r="H12" t="str">
        <f>MID(Table132[[#This Row],[ÉTAT]],VALUE(RIGHT(Table132[[#This Row],[next move]],1))+1+VALUE(LEFT(Table132[[#This Row],[next move]],1))*3,1)</f>
        <v>V</v>
      </c>
      <c r="I12" t="str">
        <f>Table132[[#This Row],[ÉTAT]]&amp;Table132[[#This Row],[next move]]</f>
        <v>VVVVVVVVE01</v>
      </c>
    </row>
    <row r="13" spans="1:9" x14ac:dyDescent="0.25">
      <c r="B13" t="s">
        <v>66</v>
      </c>
      <c r="C13" s="22" t="s">
        <v>20</v>
      </c>
      <c r="D13">
        <v>41</v>
      </c>
      <c r="E13">
        <v>12</v>
      </c>
      <c r="G13" s="30">
        <f>Table132[[#This Row],[nb win]]/Table132[[#This Row],[nb play]]</f>
        <v>0.29268292682926828</v>
      </c>
      <c r="H13" t="str">
        <f>MID(Table132[[#This Row],[ÉTAT]],VALUE(RIGHT(Table132[[#This Row],[next move]],1))+1+VALUE(LEFT(Table132[[#This Row],[next move]],1))*3,1)</f>
        <v>V</v>
      </c>
      <c r="I13" t="str">
        <f>Table132[[#This Row],[ÉTAT]]&amp;Table132[[#This Row],[next move]]</f>
        <v>VVVVVVVVE02</v>
      </c>
    </row>
    <row r="14" spans="1:9" x14ac:dyDescent="0.25">
      <c r="B14" t="s">
        <v>66</v>
      </c>
      <c r="C14" s="22" t="s">
        <v>30</v>
      </c>
      <c r="D14">
        <v>73</v>
      </c>
      <c r="E14">
        <v>20</v>
      </c>
      <c r="G14" s="30">
        <f>Table132[[#This Row],[nb win]]/Table132[[#This Row],[nb play]]</f>
        <v>0.27397260273972601</v>
      </c>
      <c r="H14" t="str">
        <f>MID(Table132[[#This Row],[ÉTAT]],VALUE(RIGHT(Table132[[#This Row],[next move]],1))+1+VALUE(LEFT(Table132[[#This Row],[next move]],1))*3,1)</f>
        <v>V</v>
      </c>
      <c r="I14" t="str">
        <f>Table132[[#This Row],[ÉTAT]]&amp;Table132[[#This Row],[next move]]</f>
        <v>VVVVVVVVE10</v>
      </c>
    </row>
    <row r="15" spans="1:9" x14ac:dyDescent="0.25">
      <c r="B15" t="s">
        <v>66</v>
      </c>
      <c r="C15" s="22" t="s">
        <v>29</v>
      </c>
      <c r="D15">
        <v>82</v>
      </c>
      <c r="E15">
        <v>44</v>
      </c>
      <c r="G15" s="31">
        <f>Table132[[#This Row],[nb win]]/Table132[[#This Row],[nb play]]</f>
        <v>0.53658536585365857</v>
      </c>
      <c r="H15" t="str">
        <f>MID(Table132[[#This Row],[ÉTAT]],VALUE(RIGHT(Table132[[#This Row],[next move]],1))+1+VALUE(LEFT(Table132[[#This Row],[next move]],1))*3,1)</f>
        <v>V</v>
      </c>
      <c r="I15" t="str">
        <f>Table132[[#This Row],[ÉTAT]]&amp;Table132[[#This Row],[next move]]</f>
        <v>VVVVVVVVE11</v>
      </c>
    </row>
    <row r="16" spans="1:9" x14ac:dyDescent="0.25">
      <c r="B16" t="s">
        <v>66</v>
      </c>
      <c r="C16" s="22" t="s">
        <v>28</v>
      </c>
      <c r="D16">
        <v>35</v>
      </c>
      <c r="E16">
        <v>10</v>
      </c>
      <c r="G16" s="30">
        <f>Table132[[#This Row],[nb win]]/Table132[[#This Row],[nb play]]</f>
        <v>0.2857142857142857</v>
      </c>
      <c r="H16" t="str">
        <f>MID(Table132[[#This Row],[ÉTAT]],VALUE(RIGHT(Table132[[#This Row],[next move]],1))+1+VALUE(LEFT(Table132[[#This Row],[next move]],1))*3,1)</f>
        <v>V</v>
      </c>
      <c r="I16" t="str">
        <f>Table132[[#This Row],[ÉTAT]]&amp;Table132[[#This Row],[next move]]</f>
        <v>VVVVVVVVE12</v>
      </c>
    </row>
    <row r="17" spans="2:9" x14ac:dyDescent="0.25">
      <c r="B17" t="s">
        <v>66</v>
      </c>
      <c r="C17" s="22" t="s">
        <v>35</v>
      </c>
      <c r="D17">
        <v>42</v>
      </c>
      <c r="E17">
        <v>12</v>
      </c>
      <c r="G17" s="31">
        <f>Table132[[#This Row],[nb win]]/Table132[[#This Row],[nb play]]</f>
        <v>0.2857142857142857</v>
      </c>
      <c r="H17" t="str">
        <f>MID(Table132[[#This Row],[ÉTAT]],VALUE(RIGHT(Table132[[#This Row],[next move]],1))+1+VALUE(LEFT(Table132[[#This Row],[next move]],1))*3,1)</f>
        <v>V</v>
      </c>
      <c r="I17" t="str">
        <f>Table132[[#This Row],[ÉTAT]]&amp;Table132[[#This Row],[next move]]</f>
        <v>VVVVVVVVE20</v>
      </c>
    </row>
    <row r="18" spans="2:9" x14ac:dyDescent="0.25">
      <c r="B18" t="s">
        <v>66</v>
      </c>
      <c r="C18" s="22" t="s">
        <v>22</v>
      </c>
      <c r="D18">
        <v>45</v>
      </c>
      <c r="E18">
        <v>11</v>
      </c>
      <c r="G18" s="31">
        <f>Table132[[#This Row],[nb win]]/Table132[[#This Row],[nb play]]</f>
        <v>0.24444444444444444</v>
      </c>
      <c r="H18" t="str">
        <f>MID(Table132[[#This Row],[ÉTAT]],VALUE(RIGHT(Table132[[#This Row],[next move]],1))+1+VALUE(LEFT(Table132[[#This Row],[next move]],1))*3,1)</f>
        <v>V</v>
      </c>
      <c r="I18" t="str">
        <f>Table132[[#This Row],[ÉTAT]]&amp;Table132[[#This Row],[next move]]</f>
        <v>VVVVVVVVE21</v>
      </c>
    </row>
    <row r="19" spans="2:9" x14ac:dyDescent="0.25">
      <c r="B19" t="s">
        <v>367</v>
      </c>
      <c r="C19" s="22" t="s">
        <v>24</v>
      </c>
      <c r="D19">
        <v>8</v>
      </c>
      <c r="E19">
        <v>8</v>
      </c>
      <c r="G19" s="31">
        <f>Table132[[#This Row],[nb win]]/Table132[[#This Row],[nb play]]</f>
        <v>1</v>
      </c>
      <c r="H19" t="str">
        <f>MID(Table132[[#This Row],[ÉTAT]],VALUE(RIGHT(Table132[[#This Row],[next move]],1))+1+VALUE(LEFT(Table132[[#This Row],[next move]],1))*3,1)</f>
        <v>V</v>
      </c>
      <c r="I19" t="str">
        <f>Table132[[#This Row],[ÉTAT]]&amp;Table132[[#This Row],[next move]]</f>
        <v>VVVVVVVME00</v>
      </c>
    </row>
    <row r="20" spans="2:9" x14ac:dyDescent="0.25">
      <c r="B20" t="s">
        <v>367</v>
      </c>
      <c r="C20" s="22" t="s">
        <v>20</v>
      </c>
      <c r="D20">
        <v>15</v>
      </c>
      <c r="E20">
        <v>10</v>
      </c>
      <c r="G20" s="31">
        <f>Table132[[#This Row],[nb win]]/Table132[[#This Row],[nb play]]</f>
        <v>0.66666666666666663</v>
      </c>
      <c r="H20" t="str">
        <f>MID(Table132[[#This Row],[ÉTAT]],VALUE(RIGHT(Table132[[#This Row],[next move]],1))+1+VALUE(LEFT(Table132[[#This Row],[next move]],1))*3,1)</f>
        <v>V</v>
      </c>
      <c r="I20" t="str">
        <f>Table132[[#This Row],[ÉTAT]]&amp;Table132[[#This Row],[next move]]</f>
        <v>VVVVVVVME02</v>
      </c>
    </row>
    <row r="21" spans="2:9" x14ac:dyDescent="0.25">
      <c r="B21" t="s">
        <v>367</v>
      </c>
      <c r="C21" s="22" t="s">
        <v>30</v>
      </c>
      <c r="D21">
        <v>18</v>
      </c>
      <c r="E21">
        <v>8</v>
      </c>
      <c r="G21" s="30">
        <f>Table132[[#This Row],[nb win]]/Table132[[#This Row],[nb play]]</f>
        <v>0.44444444444444442</v>
      </c>
      <c r="H21" t="str">
        <f>MID(Table132[[#This Row],[ÉTAT]],VALUE(RIGHT(Table132[[#This Row],[next move]],1))+1+VALUE(LEFT(Table132[[#This Row],[next move]],1))*3,1)</f>
        <v>V</v>
      </c>
      <c r="I21" t="str">
        <f>Table132[[#This Row],[ÉTAT]]&amp;Table132[[#This Row],[next move]]</f>
        <v>VVVVVVVME10</v>
      </c>
    </row>
    <row r="22" spans="2:9" x14ac:dyDescent="0.25">
      <c r="B22" t="s">
        <v>367</v>
      </c>
      <c r="C22" s="22" t="s">
        <v>29</v>
      </c>
      <c r="D22">
        <v>11</v>
      </c>
      <c r="E22">
        <v>9</v>
      </c>
      <c r="G22" s="31">
        <f>Table132[[#This Row],[nb win]]/Table132[[#This Row],[nb play]]</f>
        <v>0.81818181818181823</v>
      </c>
      <c r="H22" t="str">
        <f>MID(Table132[[#This Row],[ÉTAT]],VALUE(RIGHT(Table132[[#This Row],[next move]],1))+1+VALUE(LEFT(Table132[[#This Row],[next move]],1))*3,1)</f>
        <v>V</v>
      </c>
      <c r="I22" t="str">
        <f>Table132[[#This Row],[ÉTAT]]&amp;Table132[[#This Row],[next move]]</f>
        <v>VVVVVVVME11</v>
      </c>
    </row>
    <row r="23" spans="2:9" x14ac:dyDescent="0.25">
      <c r="B23" t="s">
        <v>38</v>
      </c>
      <c r="C23" s="22" t="s">
        <v>24</v>
      </c>
      <c r="D23">
        <v>64</v>
      </c>
      <c r="E23">
        <v>30</v>
      </c>
      <c r="G23" s="31">
        <f>Table132[[#This Row],[nb win]]/Table132[[#This Row],[nb play]]</f>
        <v>0.46875</v>
      </c>
      <c r="H23" t="str">
        <f>MID(Table132[[#This Row],[ÉTAT]],VALUE(RIGHT(Table132[[#This Row],[next move]],1))+1+VALUE(LEFT(Table132[[#This Row],[next move]],1))*3,1)</f>
        <v>V</v>
      </c>
      <c r="I23" t="str">
        <f>Table132[[#This Row],[ÉTAT]]&amp;Table132[[#This Row],[next move]]</f>
        <v>VVVVVVVEV00</v>
      </c>
    </row>
    <row r="24" spans="2:9" x14ac:dyDescent="0.25">
      <c r="B24" t="s">
        <v>38</v>
      </c>
      <c r="C24" s="22" t="s">
        <v>26</v>
      </c>
      <c r="D24">
        <v>34</v>
      </c>
      <c r="E24">
        <v>16</v>
      </c>
      <c r="G24" s="30">
        <f>Table132[[#This Row],[nb win]]/Table132[[#This Row],[nb play]]</f>
        <v>0.47058823529411764</v>
      </c>
      <c r="H24" t="str">
        <f>MID(Table132[[#This Row],[ÉTAT]],VALUE(RIGHT(Table132[[#This Row],[next move]],1))+1+VALUE(LEFT(Table132[[#This Row],[next move]],1))*3,1)</f>
        <v>V</v>
      </c>
      <c r="I24" t="str">
        <f>Table132[[#This Row],[ÉTAT]]&amp;Table132[[#This Row],[next move]]</f>
        <v>VVVVVVVEV01</v>
      </c>
    </row>
    <row r="25" spans="2:9" x14ac:dyDescent="0.25">
      <c r="B25" t="s">
        <v>38</v>
      </c>
      <c r="C25" s="22" t="s">
        <v>20</v>
      </c>
      <c r="D25">
        <v>52</v>
      </c>
      <c r="E25">
        <v>24</v>
      </c>
      <c r="G25" s="31">
        <f>Table132[[#This Row],[nb win]]/Table132[[#This Row],[nb play]]</f>
        <v>0.46153846153846156</v>
      </c>
      <c r="H25" t="str">
        <f>MID(Table132[[#This Row],[ÉTAT]],VALUE(RIGHT(Table132[[#This Row],[next move]],1))+1+VALUE(LEFT(Table132[[#This Row],[next move]],1))*3,1)</f>
        <v>V</v>
      </c>
      <c r="I25" t="str">
        <f>Table132[[#This Row],[ÉTAT]]&amp;Table132[[#This Row],[next move]]</f>
        <v>VVVVVVVEV02</v>
      </c>
    </row>
    <row r="26" spans="2:9" x14ac:dyDescent="0.25">
      <c r="B26" t="s">
        <v>38</v>
      </c>
      <c r="C26" s="22" t="s">
        <v>30</v>
      </c>
      <c r="D26">
        <v>52</v>
      </c>
      <c r="E26">
        <v>15</v>
      </c>
      <c r="G26" s="30">
        <f>Table132[[#This Row],[nb win]]/Table132[[#This Row],[nb play]]</f>
        <v>0.28846153846153844</v>
      </c>
      <c r="H26" t="str">
        <f>MID(Table132[[#This Row],[ÉTAT]],VALUE(RIGHT(Table132[[#This Row],[next move]],1))+1+VALUE(LEFT(Table132[[#This Row],[next move]],1))*3,1)</f>
        <v>V</v>
      </c>
      <c r="I26" t="str">
        <f>Table132[[#This Row],[ÉTAT]]&amp;Table132[[#This Row],[next move]]</f>
        <v>VVVVVVVEV10</v>
      </c>
    </row>
    <row r="27" spans="2:9" x14ac:dyDescent="0.25">
      <c r="B27" t="s">
        <v>38</v>
      </c>
      <c r="C27" s="22" t="s">
        <v>29</v>
      </c>
      <c r="D27">
        <v>69</v>
      </c>
      <c r="E27">
        <v>46</v>
      </c>
      <c r="G27" s="31">
        <f>Table132[[#This Row],[nb win]]/Table132[[#This Row],[nb play]]</f>
        <v>0.66666666666666663</v>
      </c>
      <c r="H27" t="str">
        <f>MID(Table132[[#This Row],[ÉTAT]],VALUE(RIGHT(Table132[[#This Row],[next move]],1))+1+VALUE(LEFT(Table132[[#This Row],[next move]],1))*3,1)</f>
        <v>V</v>
      </c>
      <c r="I27" t="str">
        <f>Table132[[#This Row],[ÉTAT]]&amp;Table132[[#This Row],[next move]]</f>
        <v>VVVVVVVEV11</v>
      </c>
    </row>
    <row r="28" spans="2:9" x14ac:dyDescent="0.25">
      <c r="B28" t="s">
        <v>38</v>
      </c>
      <c r="C28" s="22" t="s">
        <v>28</v>
      </c>
      <c r="D28">
        <v>74</v>
      </c>
      <c r="E28">
        <v>29</v>
      </c>
      <c r="G28" s="31">
        <f>Table132[[#This Row],[nb win]]/Table132[[#This Row],[nb play]]</f>
        <v>0.39189189189189189</v>
      </c>
      <c r="H28" t="str">
        <f>MID(Table132[[#This Row],[ÉTAT]],VALUE(RIGHT(Table132[[#This Row],[next move]],1))+1+VALUE(LEFT(Table132[[#This Row],[next move]],1))*3,1)</f>
        <v>V</v>
      </c>
      <c r="I28" t="str">
        <f>Table132[[#This Row],[ÉTAT]]&amp;Table132[[#This Row],[next move]]</f>
        <v>VVVVVVVEV12</v>
      </c>
    </row>
    <row r="29" spans="2:9" x14ac:dyDescent="0.25">
      <c r="B29" t="s">
        <v>38</v>
      </c>
      <c r="C29" s="22" t="s">
        <v>35</v>
      </c>
      <c r="D29">
        <v>47</v>
      </c>
      <c r="E29">
        <v>20</v>
      </c>
      <c r="G29" s="30">
        <f>Table132[[#This Row],[nb win]]/Table132[[#This Row],[nb play]]</f>
        <v>0.42553191489361702</v>
      </c>
      <c r="H29" t="str">
        <f>MID(Table132[[#This Row],[ÉTAT]],VALUE(RIGHT(Table132[[#This Row],[next move]],1))+1+VALUE(LEFT(Table132[[#This Row],[next move]],1))*3,1)</f>
        <v>V</v>
      </c>
      <c r="I29" t="str">
        <f>Table132[[#This Row],[ÉTAT]]&amp;Table132[[#This Row],[next move]]</f>
        <v>VVVVVVVEV20</v>
      </c>
    </row>
    <row r="30" spans="2:9" x14ac:dyDescent="0.25">
      <c r="B30" t="s">
        <v>38</v>
      </c>
      <c r="C30" s="22" t="s">
        <v>31</v>
      </c>
      <c r="D30">
        <v>57</v>
      </c>
      <c r="E30">
        <v>17</v>
      </c>
      <c r="G30" s="30">
        <f>Table132[[#This Row],[nb win]]/Table132[[#This Row],[nb play]]</f>
        <v>0.2982456140350877</v>
      </c>
      <c r="H30" t="str">
        <f>MID(Table132[[#This Row],[ÉTAT]],VALUE(RIGHT(Table132[[#This Row],[next move]],1))+1+VALUE(LEFT(Table132[[#This Row],[next move]],1))*3,1)</f>
        <v>V</v>
      </c>
      <c r="I30" t="str">
        <f>Table132[[#This Row],[ÉTAT]]&amp;Table132[[#This Row],[next move]]</f>
        <v>VVVVVVVEV22</v>
      </c>
    </row>
    <row r="31" spans="2:9" x14ac:dyDescent="0.25">
      <c r="B31" t="s">
        <v>343</v>
      </c>
      <c r="C31" s="22" t="s">
        <v>24</v>
      </c>
      <c r="D31">
        <v>3</v>
      </c>
      <c r="E31">
        <v>2</v>
      </c>
      <c r="G31" s="30">
        <f>Table132[[#This Row],[nb win]]/Table132[[#This Row],[nb play]]</f>
        <v>0.66666666666666663</v>
      </c>
      <c r="H31" t="str">
        <f>MID(Table132[[#This Row],[ÉTAT]],VALUE(RIGHT(Table132[[#This Row],[next move]],1))+1+VALUE(LEFT(Table132[[#This Row],[next move]],1))*3,1)</f>
        <v>V</v>
      </c>
      <c r="I31" t="str">
        <f>Table132[[#This Row],[ÉTAT]]&amp;Table132[[#This Row],[next move]]</f>
        <v>VVVVVVVEM00</v>
      </c>
    </row>
    <row r="32" spans="2:9" x14ac:dyDescent="0.25">
      <c r="B32" t="s">
        <v>343</v>
      </c>
      <c r="C32" s="22" t="s">
        <v>26</v>
      </c>
      <c r="D32">
        <v>13</v>
      </c>
      <c r="E32">
        <v>10</v>
      </c>
      <c r="G32" s="31">
        <f>Table132[[#This Row],[nb win]]/Table132[[#This Row],[nb play]]</f>
        <v>0.76923076923076927</v>
      </c>
      <c r="H32" t="str">
        <f>MID(Table132[[#This Row],[ÉTAT]],VALUE(RIGHT(Table132[[#This Row],[next move]],1))+1+VALUE(LEFT(Table132[[#This Row],[next move]],1))*3,1)</f>
        <v>V</v>
      </c>
      <c r="I32" t="str">
        <f>Table132[[#This Row],[ÉTAT]]&amp;Table132[[#This Row],[next move]]</f>
        <v>VVVVVVVEM01</v>
      </c>
    </row>
    <row r="33" spans="2:9" x14ac:dyDescent="0.25">
      <c r="B33" t="s">
        <v>343</v>
      </c>
      <c r="C33" s="22" t="s">
        <v>20</v>
      </c>
      <c r="D33">
        <v>11</v>
      </c>
      <c r="E33">
        <v>8</v>
      </c>
      <c r="G33" s="30">
        <f>Table132[[#This Row],[nb win]]/Table132[[#This Row],[nb play]]</f>
        <v>0.72727272727272729</v>
      </c>
      <c r="H33" t="str">
        <f>MID(Table132[[#This Row],[ÉTAT]],VALUE(RIGHT(Table132[[#This Row],[next move]],1))+1+VALUE(LEFT(Table132[[#This Row],[next move]],1))*3,1)</f>
        <v>V</v>
      </c>
      <c r="I33" t="str">
        <f>Table132[[#This Row],[ÉTAT]]&amp;Table132[[#This Row],[next move]]</f>
        <v>VVVVVVVEM02</v>
      </c>
    </row>
    <row r="34" spans="2:9" x14ac:dyDescent="0.25">
      <c r="B34" t="s">
        <v>343</v>
      </c>
      <c r="C34" s="22" t="s">
        <v>29</v>
      </c>
      <c r="D34">
        <v>4</v>
      </c>
      <c r="E34">
        <v>3</v>
      </c>
      <c r="G34" s="31">
        <f>Table132[[#This Row],[nb win]]/Table132[[#This Row],[nb play]]</f>
        <v>0.75</v>
      </c>
      <c r="H34" t="str">
        <f>MID(Table132[[#This Row],[ÉTAT]],VALUE(RIGHT(Table132[[#This Row],[next move]],1))+1+VALUE(LEFT(Table132[[#This Row],[next move]],1))*3,1)</f>
        <v>V</v>
      </c>
      <c r="I34" t="str">
        <f>Table132[[#This Row],[ÉTAT]]&amp;Table132[[#This Row],[next move]]</f>
        <v>VVVVVVVEM11</v>
      </c>
    </row>
    <row r="35" spans="2:9" x14ac:dyDescent="0.25">
      <c r="B35" t="s">
        <v>343</v>
      </c>
      <c r="C35" s="22" t="s">
        <v>28</v>
      </c>
      <c r="D35">
        <v>10</v>
      </c>
      <c r="E35">
        <v>9</v>
      </c>
      <c r="G35" s="31">
        <f>Table132[[#This Row],[nb win]]/Table132[[#This Row],[nb play]]</f>
        <v>0.9</v>
      </c>
      <c r="H35" t="str">
        <f>MID(Table132[[#This Row],[ÉTAT]],VALUE(RIGHT(Table132[[#This Row],[next move]],1))+1+VALUE(LEFT(Table132[[#This Row],[next move]],1))*3,1)</f>
        <v>V</v>
      </c>
      <c r="I35" t="str">
        <f>Table132[[#This Row],[ÉTAT]]&amp;Table132[[#This Row],[next move]]</f>
        <v>VVVVVVVEM12</v>
      </c>
    </row>
    <row r="36" spans="2:9" x14ac:dyDescent="0.25">
      <c r="B36" t="s">
        <v>343</v>
      </c>
      <c r="C36" s="22" t="s">
        <v>35</v>
      </c>
      <c r="D36">
        <v>3</v>
      </c>
      <c r="E36">
        <v>2</v>
      </c>
      <c r="G36" s="30">
        <f>Table132[[#This Row],[nb win]]/Table132[[#This Row],[nb play]]</f>
        <v>0.66666666666666663</v>
      </c>
      <c r="H36" t="str">
        <f>MID(Table132[[#This Row],[ÉTAT]],VALUE(RIGHT(Table132[[#This Row],[next move]],1))+1+VALUE(LEFT(Table132[[#This Row],[next move]],1))*3,1)</f>
        <v>V</v>
      </c>
      <c r="I36" t="str">
        <f>Table132[[#This Row],[ÉTAT]]&amp;Table132[[#This Row],[next move]]</f>
        <v>VVVVVVVEM20</v>
      </c>
    </row>
    <row r="37" spans="2:9" x14ac:dyDescent="0.25">
      <c r="B37" t="s">
        <v>527</v>
      </c>
      <c r="C37" s="22" t="s">
        <v>24</v>
      </c>
      <c r="D37">
        <v>8</v>
      </c>
      <c r="E37">
        <v>7</v>
      </c>
      <c r="G37" s="31">
        <f>Table132[[#This Row],[nb win]]/Table132[[#This Row],[nb play]]</f>
        <v>0.875</v>
      </c>
      <c r="H37" t="str">
        <f>MID(Table132[[#This Row],[ÉTAT]],VALUE(RIGHT(Table132[[#This Row],[next move]],1))+1+VALUE(LEFT(Table132[[#This Row],[next move]],1))*3,1)</f>
        <v>V</v>
      </c>
      <c r="I37" t="str">
        <f>Table132[[#This Row],[ÉTAT]]&amp;Table132[[#This Row],[next move]]</f>
        <v>VVVVVVMVE00</v>
      </c>
    </row>
    <row r="38" spans="2:9" x14ac:dyDescent="0.25">
      <c r="B38" t="s">
        <v>527</v>
      </c>
      <c r="C38" s="22" t="s">
        <v>26</v>
      </c>
      <c r="D38">
        <v>5</v>
      </c>
      <c r="E38">
        <v>1</v>
      </c>
      <c r="G38" s="30">
        <f>Table132[[#This Row],[nb win]]/Table132[[#This Row],[nb play]]</f>
        <v>0.2</v>
      </c>
      <c r="H38" t="str">
        <f>MID(Table132[[#This Row],[ÉTAT]],VALUE(RIGHT(Table132[[#This Row],[next move]],1))+1+VALUE(LEFT(Table132[[#This Row],[next move]],1))*3,1)</f>
        <v>V</v>
      </c>
      <c r="I38" t="str">
        <f>Table132[[#This Row],[ÉTAT]]&amp;Table132[[#This Row],[next move]]</f>
        <v>VVVVVVMVE01</v>
      </c>
    </row>
    <row r="39" spans="2:9" x14ac:dyDescent="0.25">
      <c r="B39" t="s">
        <v>527</v>
      </c>
      <c r="C39" s="22" t="s">
        <v>20</v>
      </c>
      <c r="D39">
        <v>8</v>
      </c>
      <c r="E39">
        <v>6</v>
      </c>
      <c r="G39" s="30">
        <f>Table132[[#This Row],[nb win]]/Table132[[#This Row],[nb play]]</f>
        <v>0.75</v>
      </c>
      <c r="H39" t="str">
        <f>MID(Table132[[#This Row],[ÉTAT]],VALUE(RIGHT(Table132[[#This Row],[next move]],1))+1+VALUE(LEFT(Table132[[#This Row],[next move]],1))*3,1)</f>
        <v>V</v>
      </c>
      <c r="I39" t="str">
        <f>Table132[[#This Row],[ÉTAT]]&amp;Table132[[#This Row],[next move]]</f>
        <v>VVVVVVMVE02</v>
      </c>
    </row>
    <row r="40" spans="2:9" x14ac:dyDescent="0.25">
      <c r="B40" t="s">
        <v>527</v>
      </c>
      <c r="C40" s="22" t="s">
        <v>30</v>
      </c>
      <c r="D40">
        <v>10</v>
      </c>
      <c r="E40">
        <v>5</v>
      </c>
      <c r="G40" s="31">
        <f>Table132[[#This Row],[nb win]]/Table132[[#This Row],[nb play]]</f>
        <v>0.5</v>
      </c>
      <c r="H40" t="str">
        <f>MID(Table132[[#This Row],[ÉTAT]],VALUE(RIGHT(Table132[[#This Row],[next move]],1))+1+VALUE(LEFT(Table132[[#This Row],[next move]],1))*3,1)</f>
        <v>V</v>
      </c>
      <c r="I40" t="str">
        <f>Table132[[#This Row],[ÉTAT]]&amp;Table132[[#This Row],[next move]]</f>
        <v>VVVVVVMVE10</v>
      </c>
    </row>
    <row r="41" spans="2:9" x14ac:dyDescent="0.25">
      <c r="B41" t="s">
        <v>527</v>
      </c>
      <c r="C41" s="22" t="s">
        <v>29</v>
      </c>
      <c r="D41">
        <v>10</v>
      </c>
      <c r="E41">
        <v>7</v>
      </c>
      <c r="G41" s="31">
        <f>Table132[[#This Row],[nb win]]/Table132[[#This Row],[nb play]]</f>
        <v>0.7</v>
      </c>
      <c r="H41" t="str">
        <f>MID(Table132[[#This Row],[ÉTAT]],VALUE(RIGHT(Table132[[#This Row],[next move]],1))+1+VALUE(LEFT(Table132[[#This Row],[next move]],1))*3,1)</f>
        <v>V</v>
      </c>
      <c r="I41" t="str">
        <f>Table132[[#This Row],[ÉTAT]]&amp;Table132[[#This Row],[next move]]</f>
        <v>VVVVVVMVE11</v>
      </c>
    </row>
    <row r="42" spans="2:9" x14ac:dyDescent="0.25">
      <c r="B42" t="s">
        <v>527</v>
      </c>
      <c r="C42" s="22" t="s">
        <v>28</v>
      </c>
      <c r="D42">
        <v>10</v>
      </c>
      <c r="E42">
        <v>6</v>
      </c>
      <c r="G42" s="31">
        <f>Table132[[#This Row],[nb win]]/Table132[[#This Row],[nb play]]</f>
        <v>0.6</v>
      </c>
      <c r="H42" t="str">
        <f>MID(Table132[[#This Row],[ÉTAT]],VALUE(RIGHT(Table132[[#This Row],[next move]],1))+1+VALUE(LEFT(Table132[[#This Row],[next move]],1))*3,1)</f>
        <v>V</v>
      </c>
      <c r="I42" t="str">
        <f>Table132[[#This Row],[ÉTAT]]&amp;Table132[[#This Row],[next move]]</f>
        <v>VVVVVVMVE12</v>
      </c>
    </row>
    <row r="43" spans="2:9" x14ac:dyDescent="0.25">
      <c r="B43" t="s">
        <v>527</v>
      </c>
      <c r="C43" s="22" t="s">
        <v>22</v>
      </c>
      <c r="D43">
        <v>8</v>
      </c>
      <c r="E43">
        <v>4</v>
      </c>
      <c r="G43" s="31">
        <f>Table132[[#This Row],[nb win]]/Table132[[#This Row],[nb play]]</f>
        <v>0.5</v>
      </c>
      <c r="H43" t="str">
        <f>MID(Table132[[#This Row],[ÉTAT]],VALUE(RIGHT(Table132[[#This Row],[next move]],1))+1+VALUE(LEFT(Table132[[#This Row],[next move]],1))*3,1)</f>
        <v>V</v>
      </c>
      <c r="I43" t="str">
        <f>Table132[[#This Row],[ÉTAT]]&amp;Table132[[#This Row],[next move]]</f>
        <v>VVVVVVMVE21</v>
      </c>
    </row>
    <row r="44" spans="2:9" x14ac:dyDescent="0.25">
      <c r="B44" t="s">
        <v>531</v>
      </c>
      <c r="C44" s="22" t="s">
        <v>24</v>
      </c>
      <c r="D44">
        <v>1</v>
      </c>
      <c r="E44">
        <v>1</v>
      </c>
      <c r="G44" s="31">
        <f>Table132[[#This Row],[nb win]]/Table132[[#This Row],[nb play]]</f>
        <v>1</v>
      </c>
      <c r="H44" t="str">
        <f>MID(Table132[[#This Row],[ÉTAT]],VALUE(RIGHT(Table132[[#This Row],[next move]],1))+1+VALUE(LEFT(Table132[[#This Row],[next move]],1))*3,1)</f>
        <v>V</v>
      </c>
      <c r="I44" t="str">
        <f>Table132[[#This Row],[ÉTAT]]&amp;Table132[[#This Row],[next move]]</f>
        <v>VVVVVVMEV00</v>
      </c>
    </row>
    <row r="45" spans="2:9" x14ac:dyDescent="0.25">
      <c r="B45" t="s">
        <v>531</v>
      </c>
      <c r="C45" s="22" t="s">
        <v>30</v>
      </c>
      <c r="D45">
        <v>21</v>
      </c>
      <c r="E45">
        <v>18</v>
      </c>
      <c r="G45" s="31">
        <f>Table132[[#This Row],[nb win]]/Table132[[#This Row],[nb play]]</f>
        <v>0.8571428571428571</v>
      </c>
      <c r="H45" t="str">
        <f>MID(Table132[[#This Row],[ÉTAT]],VALUE(RIGHT(Table132[[#This Row],[next move]],1))+1+VALUE(LEFT(Table132[[#This Row],[next move]],1))*3,1)</f>
        <v>V</v>
      </c>
      <c r="I45" t="str">
        <f>Table132[[#This Row],[ÉTAT]]&amp;Table132[[#This Row],[next move]]</f>
        <v>VVVVVVMEV10</v>
      </c>
    </row>
    <row r="46" spans="2:9" x14ac:dyDescent="0.25">
      <c r="B46" t="s">
        <v>531</v>
      </c>
      <c r="C46" s="22" t="s">
        <v>29</v>
      </c>
      <c r="D46">
        <v>12</v>
      </c>
      <c r="E46">
        <v>11</v>
      </c>
      <c r="G46" s="30">
        <f>Table132[[#This Row],[nb win]]/Table132[[#This Row],[nb play]]</f>
        <v>0.91666666666666663</v>
      </c>
      <c r="H46" t="str">
        <f>MID(Table132[[#This Row],[ÉTAT]],VALUE(RIGHT(Table132[[#This Row],[next move]],1))+1+VALUE(LEFT(Table132[[#This Row],[next move]],1))*3,1)</f>
        <v>V</v>
      </c>
      <c r="I46" t="str">
        <f>Table132[[#This Row],[ÉTAT]]&amp;Table132[[#This Row],[next move]]</f>
        <v>VVVVVVMEV11</v>
      </c>
    </row>
    <row r="47" spans="2:9" x14ac:dyDescent="0.25">
      <c r="B47" t="s">
        <v>531</v>
      </c>
      <c r="C47" s="22" t="s">
        <v>28</v>
      </c>
      <c r="D47">
        <v>12</v>
      </c>
      <c r="E47">
        <v>5</v>
      </c>
      <c r="G47" s="31">
        <f>Table132[[#This Row],[nb win]]/Table132[[#This Row],[nb play]]</f>
        <v>0.41666666666666669</v>
      </c>
      <c r="H47" t="str">
        <f>MID(Table132[[#This Row],[ÉTAT]],VALUE(RIGHT(Table132[[#This Row],[next move]],1))+1+VALUE(LEFT(Table132[[#This Row],[next move]],1))*3,1)</f>
        <v>V</v>
      </c>
      <c r="I47" t="str">
        <f>Table132[[#This Row],[ÉTAT]]&amp;Table132[[#This Row],[next move]]</f>
        <v>VVVVVVMEV12</v>
      </c>
    </row>
    <row r="48" spans="2:9" x14ac:dyDescent="0.25">
      <c r="B48" t="s">
        <v>1448</v>
      </c>
      <c r="C48" s="22" t="s">
        <v>24</v>
      </c>
      <c r="D48">
        <v>3</v>
      </c>
      <c r="E48">
        <v>2</v>
      </c>
      <c r="G48" s="25">
        <f>Table132[[#This Row],[nb win]]/Table132[[#This Row],[nb play]]</f>
        <v>0.66666666666666663</v>
      </c>
      <c r="H48" t="str">
        <f>MID(Table132[[#This Row],[ÉTAT]],VALUE(RIGHT(Table132[[#This Row],[next move]],1))+1+VALUE(LEFT(Table132[[#This Row],[next move]],1))*3,1)</f>
        <v>V</v>
      </c>
      <c r="I48" t="str">
        <f>Table132[[#This Row],[ÉTAT]]&amp;Table132[[#This Row],[next move]]</f>
        <v>VVVVVVMEE00</v>
      </c>
    </row>
    <row r="49" spans="2:9" x14ac:dyDescent="0.25">
      <c r="B49" t="s">
        <v>1448</v>
      </c>
      <c r="C49" s="22" t="s">
        <v>20</v>
      </c>
      <c r="D49">
        <v>5</v>
      </c>
      <c r="E49">
        <v>5</v>
      </c>
      <c r="G49" s="31">
        <f>Table132[[#This Row],[nb win]]/Table132[[#This Row],[nb play]]</f>
        <v>1</v>
      </c>
      <c r="H49" t="str">
        <f>MID(Table132[[#This Row],[ÉTAT]],VALUE(RIGHT(Table132[[#This Row],[next move]],1))+1+VALUE(LEFT(Table132[[#This Row],[next move]],1))*3,1)</f>
        <v>V</v>
      </c>
      <c r="I49" t="str">
        <f>Table132[[#This Row],[ÉTAT]]&amp;Table132[[#This Row],[next move]]</f>
        <v>VVVVVVMEE02</v>
      </c>
    </row>
    <row r="50" spans="2:9" x14ac:dyDescent="0.25">
      <c r="B50" t="s">
        <v>70</v>
      </c>
      <c r="C50" s="22" t="s">
        <v>24</v>
      </c>
      <c r="D50">
        <v>43</v>
      </c>
      <c r="E50">
        <v>20</v>
      </c>
      <c r="G50" s="31">
        <f>Table132[[#This Row],[nb win]]/Table132[[#This Row],[nb play]]</f>
        <v>0.46511627906976744</v>
      </c>
      <c r="H50" t="str">
        <f>MID(Table132[[#This Row],[ÉTAT]],VALUE(RIGHT(Table132[[#This Row],[next move]],1))+1+VALUE(LEFT(Table132[[#This Row],[next move]],1))*3,1)</f>
        <v>V</v>
      </c>
      <c r="I50" t="str">
        <f>Table132[[#This Row],[ÉTAT]]&amp;Table132[[#This Row],[next move]]</f>
        <v>VVVVVVEVV00</v>
      </c>
    </row>
    <row r="51" spans="2:9" x14ac:dyDescent="0.25">
      <c r="B51" t="s">
        <v>70</v>
      </c>
      <c r="C51" s="22" t="s">
        <v>26</v>
      </c>
      <c r="D51">
        <v>46</v>
      </c>
      <c r="E51">
        <v>10</v>
      </c>
      <c r="G51" s="30">
        <f>Table132[[#This Row],[nb win]]/Table132[[#This Row],[nb play]]</f>
        <v>0.21739130434782608</v>
      </c>
      <c r="H51" t="str">
        <f>MID(Table132[[#This Row],[ÉTAT]],VALUE(RIGHT(Table132[[#This Row],[next move]],1))+1+VALUE(LEFT(Table132[[#This Row],[next move]],1))*3,1)</f>
        <v>V</v>
      </c>
      <c r="I51" t="str">
        <f>Table132[[#This Row],[ÉTAT]]&amp;Table132[[#This Row],[next move]]</f>
        <v>VVVVVVEVV01</v>
      </c>
    </row>
    <row r="52" spans="2:9" x14ac:dyDescent="0.25">
      <c r="B52" t="s">
        <v>70</v>
      </c>
      <c r="C52" s="22" t="s">
        <v>20</v>
      </c>
      <c r="D52">
        <v>34</v>
      </c>
      <c r="E52">
        <v>8</v>
      </c>
      <c r="G52" s="30">
        <f>Table132[[#This Row],[nb win]]/Table132[[#This Row],[nb play]]</f>
        <v>0.23529411764705882</v>
      </c>
      <c r="H52" t="str">
        <f>MID(Table132[[#This Row],[ÉTAT]],VALUE(RIGHT(Table132[[#This Row],[next move]],1))+1+VALUE(LEFT(Table132[[#This Row],[next move]],1))*3,1)</f>
        <v>V</v>
      </c>
      <c r="I52" t="str">
        <f>Table132[[#This Row],[ÉTAT]]&amp;Table132[[#This Row],[next move]]</f>
        <v>VVVVVVEVV02</v>
      </c>
    </row>
    <row r="53" spans="2:9" x14ac:dyDescent="0.25">
      <c r="B53" t="s">
        <v>70</v>
      </c>
      <c r="C53" s="22" t="s">
        <v>30</v>
      </c>
      <c r="D53">
        <v>37</v>
      </c>
      <c r="E53">
        <v>12</v>
      </c>
      <c r="G53" s="30">
        <f>Table132[[#This Row],[nb win]]/Table132[[#This Row],[nb play]]</f>
        <v>0.32432432432432434</v>
      </c>
      <c r="H53" t="str">
        <f>MID(Table132[[#This Row],[ÉTAT]],VALUE(RIGHT(Table132[[#This Row],[next move]],1))+1+VALUE(LEFT(Table132[[#This Row],[next move]],1))*3,1)</f>
        <v>V</v>
      </c>
      <c r="I53" t="str">
        <f>Table132[[#This Row],[ÉTAT]]&amp;Table132[[#This Row],[next move]]</f>
        <v>VVVVVVEVV10</v>
      </c>
    </row>
    <row r="54" spans="2:9" x14ac:dyDescent="0.25">
      <c r="B54" t="s">
        <v>70</v>
      </c>
      <c r="C54" s="22" t="s">
        <v>29</v>
      </c>
      <c r="D54">
        <v>60</v>
      </c>
      <c r="E54">
        <v>30</v>
      </c>
      <c r="G54" s="30">
        <f>Table132[[#This Row],[nb win]]/Table132[[#This Row],[nb play]]</f>
        <v>0.5</v>
      </c>
      <c r="H54" t="str">
        <f>MID(Table132[[#This Row],[ÉTAT]],VALUE(RIGHT(Table132[[#This Row],[next move]],1))+1+VALUE(LEFT(Table132[[#This Row],[next move]],1))*3,1)</f>
        <v>V</v>
      </c>
      <c r="I54" t="str">
        <f>Table132[[#This Row],[ÉTAT]]&amp;Table132[[#This Row],[next move]]</f>
        <v>VVVVVVEVV11</v>
      </c>
    </row>
    <row r="55" spans="2:9" x14ac:dyDescent="0.25">
      <c r="B55" t="s">
        <v>70</v>
      </c>
      <c r="C55" s="22" t="s">
        <v>28</v>
      </c>
      <c r="D55">
        <v>48</v>
      </c>
      <c r="E55">
        <v>11</v>
      </c>
      <c r="G55" s="30">
        <f>Table132[[#This Row],[nb win]]/Table132[[#This Row],[nb play]]</f>
        <v>0.22916666666666666</v>
      </c>
      <c r="H55" t="str">
        <f>MID(Table132[[#This Row],[ÉTAT]],VALUE(RIGHT(Table132[[#This Row],[next move]],1))+1+VALUE(LEFT(Table132[[#This Row],[next move]],1))*3,1)</f>
        <v>V</v>
      </c>
      <c r="I55" t="str">
        <f>Table132[[#This Row],[ÉTAT]]&amp;Table132[[#This Row],[next move]]</f>
        <v>VVVVVVEVV12</v>
      </c>
    </row>
    <row r="56" spans="2:9" x14ac:dyDescent="0.25">
      <c r="B56" t="s">
        <v>70</v>
      </c>
      <c r="C56" s="22" t="s">
        <v>22</v>
      </c>
      <c r="D56">
        <v>49</v>
      </c>
      <c r="E56">
        <v>13</v>
      </c>
      <c r="G56" s="31">
        <f>Table132[[#This Row],[nb win]]/Table132[[#This Row],[nb play]]</f>
        <v>0.26530612244897961</v>
      </c>
      <c r="H56" t="str">
        <f>MID(Table132[[#This Row],[ÉTAT]],VALUE(RIGHT(Table132[[#This Row],[next move]],1))+1+VALUE(LEFT(Table132[[#This Row],[next move]],1))*3,1)</f>
        <v>V</v>
      </c>
      <c r="I56" t="str">
        <f>Table132[[#This Row],[ÉTAT]]&amp;Table132[[#This Row],[next move]]</f>
        <v>VVVVVVEVV21</v>
      </c>
    </row>
    <row r="57" spans="2:9" x14ac:dyDescent="0.25">
      <c r="B57" t="s">
        <v>70</v>
      </c>
      <c r="C57" s="22" t="s">
        <v>31</v>
      </c>
      <c r="D57">
        <v>59</v>
      </c>
      <c r="E57">
        <v>23</v>
      </c>
      <c r="G57" s="30">
        <f>Table132[[#This Row],[nb win]]/Table132[[#This Row],[nb play]]</f>
        <v>0.38983050847457629</v>
      </c>
      <c r="H57" t="str">
        <f>MID(Table132[[#This Row],[ÉTAT]],VALUE(RIGHT(Table132[[#This Row],[next move]],1))+1+VALUE(LEFT(Table132[[#This Row],[next move]],1))*3,1)</f>
        <v>V</v>
      </c>
      <c r="I57" t="str">
        <f>Table132[[#This Row],[ÉTAT]]&amp;Table132[[#This Row],[next move]]</f>
        <v>VVVVVVEVV22</v>
      </c>
    </row>
    <row r="58" spans="2:9" x14ac:dyDescent="0.25">
      <c r="B58" t="s">
        <v>281</v>
      </c>
      <c r="C58" s="22" t="s">
        <v>26</v>
      </c>
      <c r="D58">
        <v>7</v>
      </c>
      <c r="E58">
        <v>3</v>
      </c>
      <c r="G58" s="31">
        <f>Table132[[#This Row],[nb win]]/Table132[[#This Row],[nb play]]</f>
        <v>0.42857142857142855</v>
      </c>
      <c r="H58" t="str">
        <f>MID(Table132[[#This Row],[ÉTAT]],VALUE(RIGHT(Table132[[#This Row],[next move]],1))+1+VALUE(LEFT(Table132[[#This Row],[next move]],1))*3,1)</f>
        <v>V</v>
      </c>
      <c r="I58" t="str">
        <f>Table132[[#This Row],[ÉTAT]]&amp;Table132[[#This Row],[next move]]</f>
        <v>VVVVVVEVM01</v>
      </c>
    </row>
    <row r="59" spans="2:9" x14ac:dyDescent="0.25">
      <c r="B59" t="s">
        <v>281</v>
      </c>
      <c r="C59" s="22" t="s">
        <v>20</v>
      </c>
      <c r="D59">
        <v>11</v>
      </c>
      <c r="E59">
        <v>11</v>
      </c>
      <c r="G59" s="31">
        <f>Table132[[#This Row],[nb win]]/Table132[[#This Row],[nb play]]</f>
        <v>1</v>
      </c>
      <c r="H59" t="str">
        <f>MID(Table132[[#This Row],[ÉTAT]],VALUE(RIGHT(Table132[[#This Row],[next move]],1))+1+VALUE(LEFT(Table132[[#This Row],[next move]],1))*3,1)</f>
        <v>V</v>
      </c>
      <c r="I59" t="str">
        <f>Table132[[#This Row],[ÉTAT]]&amp;Table132[[#This Row],[next move]]</f>
        <v>VVVVVVEVM02</v>
      </c>
    </row>
    <row r="60" spans="2:9" x14ac:dyDescent="0.25">
      <c r="B60" t="s">
        <v>281</v>
      </c>
      <c r="C60" s="22" t="s">
        <v>29</v>
      </c>
      <c r="D60">
        <v>10</v>
      </c>
      <c r="E60">
        <v>7</v>
      </c>
      <c r="G60" s="31">
        <f>Table132[[#This Row],[nb win]]/Table132[[#This Row],[nb play]]</f>
        <v>0.7</v>
      </c>
      <c r="H60" t="str">
        <f>MID(Table132[[#This Row],[ÉTAT]],VALUE(RIGHT(Table132[[#This Row],[next move]],1))+1+VALUE(LEFT(Table132[[#This Row],[next move]],1))*3,1)</f>
        <v>V</v>
      </c>
      <c r="I60" t="str">
        <f>Table132[[#This Row],[ÉTAT]]&amp;Table132[[#This Row],[next move]]</f>
        <v>VVVVVVEVM11</v>
      </c>
    </row>
    <row r="61" spans="2:9" x14ac:dyDescent="0.25">
      <c r="B61" t="s">
        <v>281</v>
      </c>
      <c r="C61" s="22" t="s">
        <v>28</v>
      </c>
      <c r="D61">
        <v>11</v>
      </c>
      <c r="E61">
        <v>8</v>
      </c>
      <c r="G61" s="31">
        <f>Table132[[#This Row],[nb win]]/Table132[[#This Row],[nb play]]</f>
        <v>0.72727272727272729</v>
      </c>
      <c r="H61" t="str">
        <f>MID(Table132[[#This Row],[ÉTAT]],VALUE(RIGHT(Table132[[#This Row],[next move]],1))+1+VALUE(LEFT(Table132[[#This Row],[next move]],1))*3,1)</f>
        <v>V</v>
      </c>
      <c r="I61" t="str">
        <f>Table132[[#This Row],[ÉTAT]]&amp;Table132[[#This Row],[next move]]</f>
        <v>VVVVVVEVM12</v>
      </c>
    </row>
    <row r="62" spans="2:9" x14ac:dyDescent="0.25">
      <c r="B62" t="s">
        <v>363</v>
      </c>
      <c r="C62" s="22" t="s">
        <v>24</v>
      </c>
      <c r="D62">
        <v>9</v>
      </c>
      <c r="E62">
        <v>6</v>
      </c>
      <c r="G62" s="31">
        <f>Table132[[#This Row],[nb win]]/Table132[[#This Row],[nb play]]</f>
        <v>0.66666666666666663</v>
      </c>
      <c r="H62" t="str">
        <f>MID(Table132[[#This Row],[ÉTAT]],VALUE(RIGHT(Table132[[#This Row],[next move]],1))+1+VALUE(LEFT(Table132[[#This Row],[next move]],1))*3,1)</f>
        <v>V</v>
      </c>
      <c r="I62" t="str">
        <f>Table132[[#This Row],[ÉTAT]]&amp;Table132[[#This Row],[next move]]</f>
        <v>VVVVVVEMV00</v>
      </c>
    </row>
    <row r="63" spans="2:9" x14ac:dyDescent="0.25">
      <c r="B63" t="s">
        <v>363</v>
      </c>
      <c r="C63" s="22" t="s">
        <v>26</v>
      </c>
      <c r="D63">
        <v>9</v>
      </c>
      <c r="E63">
        <v>5</v>
      </c>
      <c r="G63" s="31">
        <f>Table132[[#This Row],[nb win]]/Table132[[#This Row],[nb play]]</f>
        <v>0.55555555555555558</v>
      </c>
      <c r="H63" t="str">
        <f>MID(Table132[[#This Row],[ÉTAT]],VALUE(RIGHT(Table132[[#This Row],[next move]],1))+1+VALUE(LEFT(Table132[[#This Row],[next move]],1))*3,1)</f>
        <v>V</v>
      </c>
      <c r="I63" t="str">
        <f>Table132[[#This Row],[ÉTAT]]&amp;Table132[[#This Row],[next move]]</f>
        <v>VVVVVVEMV01</v>
      </c>
    </row>
    <row r="64" spans="2:9" x14ac:dyDescent="0.25">
      <c r="B64" t="s">
        <v>363</v>
      </c>
      <c r="C64" s="22" t="s">
        <v>20</v>
      </c>
      <c r="D64">
        <v>7</v>
      </c>
      <c r="E64">
        <v>3</v>
      </c>
      <c r="G64" s="31">
        <f>Table132[[#This Row],[nb win]]/Table132[[#This Row],[nb play]]</f>
        <v>0.42857142857142855</v>
      </c>
      <c r="H64" t="str">
        <f>MID(Table132[[#This Row],[ÉTAT]],VALUE(RIGHT(Table132[[#This Row],[next move]],1))+1+VALUE(LEFT(Table132[[#This Row],[next move]],1))*3,1)</f>
        <v>V</v>
      </c>
      <c r="I64" t="str">
        <f>Table132[[#This Row],[ÉTAT]]&amp;Table132[[#This Row],[next move]]</f>
        <v>VVVVVVEMV02</v>
      </c>
    </row>
    <row r="65" spans="2:9" x14ac:dyDescent="0.25">
      <c r="B65" t="s">
        <v>363</v>
      </c>
      <c r="C65" s="22" t="s">
        <v>30</v>
      </c>
      <c r="D65">
        <v>3</v>
      </c>
      <c r="E65">
        <v>2</v>
      </c>
      <c r="G65" s="25">
        <f>Table132[[#This Row],[nb win]]/Table132[[#This Row],[nb play]]</f>
        <v>0.66666666666666663</v>
      </c>
      <c r="H65" t="str">
        <f>MID(Table132[[#This Row],[ÉTAT]],VALUE(RIGHT(Table132[[#This Row],[next move]],1))+1+VALUE(LEFT(Table132[[#This Row],[next move]],1))*3,1)</f>
        <v>V</v>
      </c>
      <c r="I65" t="str">
        <f>Table132[[#This Row],[ÉTAT]]&amp;Table132[[#This Row],[next move]]</f>
        <v>VVVVVVEMV10</v>
      </c>
    </row>
    <row r="66" spans="2:9" x14ac:dyDescent="0.25">
      <c r="B66" t="s">
        <v>363</v>
      </c>
      <c r="C66" s="22" t="s">
        <v>29</v>
      </c>
      <c r="D66">
        <v>6</v>
      </c>
      <c r="E66">
        <v>6</v>
      </c>
      <c r="G66" s="31">
        <f>Table132[[#This Row],[nb win]]/Table132[[#This Row],[nb play]]</f>
        <v>1</v>
      </c>
      <c r="H66" t="str">
        <f>MID(Table132[[#This Row],[ÉTAT]],VALUE(RIGHT(Table132[[#This Row],[next move]],1))+1+VALUE(LEFT(Table132[[#This Row],[next move]],1))*3,1)</f>
        <v>V</v>
      </c>
      <c r="I66" t="str">
        <f>Table132[[#This Row],[ÉTAT]]&amp;Table132[[#This Row],[next move]]</f>
        <v>VVVVVVEMV11</v>
      </c>
    </row>
    <row r="67" spans="2:9" x14ac:dyDescent="0.25">
      <c r="B67" t="s">
        <v>363</v>
      </c>
      <c r="C67" s="22" t="s">
        <v>28</v>
      </c>
      <c r="D67">
        <v>5</v>
      </c>
      <c r="E67">
        <v>4</v>
      </c>
      <c r="G67" s="31">
        <f>Table132[[#This Row],[nb win]]/Table132[[#This Row],[nb play]]</f>
        <v>0.8</v>
      </c>
      <c r="H67" t="str">
        <f>MID(Table132[[#This Row],[ÉTAT]],VALUE(RIGHT(Table132[[#This Row],[next move]],1))+1+VALUE(LEFT(Table132[[#This Row],[next move]],1))*3,1)</f>
        <v>V</v>
      </c>
      <c r="I67" t="str">
        <f>Table132[[#This Row],[ÉTAT]]&amp;Table132[[#This Row],[next move]]</f>
        <v>VVVVVVEMV12</v>
      </c>
    </row>
    <row r="68" spans="2:9" x14ac:dyDescent="0.25">
      <c r="B68" t="s">
        <v>363</v>
      </c>
      <c r="C68" s="22" t="s">
        <v>31</v>
      </c>
      <c r="D68">
        <v>8</v>
      </c>
      <c r="E68">
        <v>1</v>
      </c>
      <c r="G68" s="30">
        <f>Table132[[#This Row],[nb win]]/Table132[[#This Row],[nb play]]</f>
        <v>0.125</v>
      </c>
      <c r="H68" t="str">
        <f>MID(Table132[[#This Row],[ÉTAT]],VALUE(RIGHT(Table132[[#This Row],[next move]],1))+1+VALUE(LEFT(Table132[[#This Row],[next move]],1))*3,1)</f>
        <v>V</v>
      </c>
      <c r="I68" t="str">
        <f>Table132[[#This Row],[ÉTAT]]&amp;Table132[[#This Row],[next move]]</f>
        <v>VVVVVVEMV22</v>
      </c>
    </row>
    <row r="69" spans="2:9" x14ac:dyDescent="0.25">
      <c r="B69" t="s">
        <v>3164</v>
      </c>
      <c r="C69" s="22" t="s">
        <v>30</v>
      </c>
      <c r="D69">
        <v>1</v>
      </c>
      <c r="G69" s="30">
        <f>Table132[[#This Row],[nb win]]/Table132[[#This Row],[nb play]]</f>
        <v>0</v>
      </c>
      <c r="H69" t="str">
        <f>MID(Table132[[#This Row],[ÉTAT]],VALUE(RIGHT(Table132[[#This Row],[next move]],1))+1+VALUE(LEFT(Table132[[#This Row],[next move]],1))*3,1)</f>
        <v>V</v>
      </c>
      <c r="I69" t="str">
        <f>Table132[[#This Row],[ÉTAT]]&amp;Table132[[#This Row],[next move]]</f>
        <v>VVVVVVEME10</v>
      </c>
    </row>
    <row r="70" spans="2:9" x14ac:dyDescent="0.25">
      <c r="B70" t="s">
        <v>1536</v>
      </c>
      <c r="C70" s="22" t="s">
        <v>26</v>
      </c>
      <c r="D70">
        <v>2</v>
      </c>
      <c r="E70">
        <v>1</v>
      </c>
      <c r="G70" s="25">
        <f>Table132[[#This Row],[nb win]]/Table132[[#This Row],[nb play]]</f>
        <v>0.5</v>
      </c>
      <c r="H70" t="str">
        <f>MID(Table132[[#This Row],[ÉTAT]],VALUE(RIGHT(Table132[[#This Row],[next move]],1))+1+VALUE(LEFT(Table132[[#This Row],[next move]],1))*3,1)</f>
        <v>V</v>
      </c>
      <c r="I70" t="str">
        <f>Table132[[#This Row],[ÉTAT]]&amp;Table132[[#This Row],[next move]]</f>
        <v>VVVVVVEEM01</v>
      </c>
    </row>
    <row r="71" spans="2:9" x14ac:dyDescent="0.25">
      <c r="B71" t="s">
        <v>1536</v>
      </c>
      <c r="C71" s="22" t="s">
        <v>30</v>
      </c>
      <c r="D71">
        <v>3</v>
      </c>
      <c r="G71" s="30">
        <f>Table132[[#This Row],[nb win]]/Table132[[#This Row],[nb play]]</f>
        <v>0</v>
      </c>
      <c r="H71" t="str">
        <f>MID(Table132[[#This Row],[ÉTAT]],VALUE(RIGHT(Table132[[#This Row],[next move]],1))+1+VALUE(LEFT(Table132[[#This Row],[next move]],1))*3,1)</f>
        <v>V</v>
      </c>
      <c r="I71" t="str">
        <f>Table132[[#This Row],[ÉTAT]]&amp;Table132[[#This Row],[next move]]</f>
        <v>VVVVVVEEM10</v>
      </c>
    </row>
    <row r="72" spans="2:9" x14ac:dyDescent="0.25">
      <c r="B72" t="s">
        <v>1536</v>
      </c>
      <c r="C72" s="22" t="s">
        <v>28</v>
      </c>
      <c r="D72">
        <v>3</v>
      </c>
      <c r="E72">
        <v>3</v>
      </c>
      <c r="G72" s="31">
        <f>Table132[[#This Row],[nb win]]/Table132[[#This Row],[nb play]]</f>
        <v>1</v>
      </c>
      <c r="H72" t="str">
        <f>MID(Table132[[#This Row],[ÉTAT]],VALUE(RIGHT(Table132[[#This Row],[next move]],1))+1+VALUE(LEFT(Table132[[#This Row],[next move]],1))*3,1)</f>
        <v>V</v>
      </c>
      <c r="I72" t="str">
        <f>Table132[[#This Row],[ÉTAT]]&amp;Table132[[#This Row],[next move]]</f>
        <v>VVVVVVEEM12</v>
      </c>
    </row>
    <row r="73" spans="2:9" x14ac:dyDescent="0.25">
      <c r="B73" t="s">
        <v>662</v>
      </c>
      <c r="C73" s="22" t="s">
        <v>24</v>
      </c>
      <c r="D73">
        <v>1</v>
      </c>
      <c r="E73">
        <v>1</v>
      </c>
      <c r="G73" s="25">
        <f>Table132[[#This Row],[nb win]]/Table132[[#This Row],[nb play]]</f>
        <v>1</v>
      </c>
      <c r="H73" t="str">
        <f>MID(Table132[[#This Row],[ÉTAT]],VALUE(RIGHT(Table132[[#This Row],[next move]],1))+1+VALUE(LEFT(Table132[[#This Row],[next move]],1))*3,1)</f>
        <v>V</v>
      </c>
      <c r="I73" t="str">
        <f>Table132[[#This Row],[ÉTAT]]&amp;Table132[[#This Row],[next move]]</f>
        <v>VVVVVMVVE00</v>
      </c>
    </row>
    <row r="74" spans="2:9" x14ac:dyDescent="0.25">
      <c r="B74" t="s">
        <v>662</v>
      </c>
      <c r="C74" s="22" t="s">
        <v>26</v>
      </c>
      <c r="D74">
        <v>5</v>
      </c>
      <c r="E74">
        <v>2</v>
      </c>
      <c r="G74" s="30">
        <f>Table132[[#This Row],[nb win]]/Table132[[#This Row],[nb play]]</f>
        <v>0.4</v>
      </c>
      <c r="H74" t="str">
        <f>MID(Table132[[#This Row],[ÉTAT]],VALUE(RIGHT(Table132[[#This Row],[next move]],1))+1+VALUE(LEFT(Table132[[#This Row],[next move]],1))*3,1)</f>
        <v>V</v>
      </c>
      <c r="I74" t="str">
        <f>Table132[[#This Row],[ÉTAT]]&amp;Table132[[#This Row],[next move]]</f>
        <v>VVVVVMVVE01</v>
      </c>
    </row>
    <row r="75" spans="2:9" x14ac:dyDescent="0.25">
      <c r="B75" t="s">
        <v>662</v>
      </c>
      <c r="C75" s="22" t="s">
        <v>20</v>
      </c>
      <c r="D75">
        <v>8</v>
      </c>
      <c r="E75">
        <v>1</v>
      </c>
      <c r="G75" s="30">
        <f>Table132[[#This Row],[nb win]]/Table132[[#This Row],[nb play]]</f>
        <v>0.125</v>
      </c>
      <c r="H75" t="str">
        <f>MID(Table132[[#This Row],[ÉTAT]],VALUE(RIGHT(Table132[[#This Row],[next move]],1))+1+VALUE(LEFT(Table132[[#This Row],[next move]],1))*3,1)</f>
        <v>V</v>
      </c>
      <c r="I75" t="str">
        <f>Table132[[#This Row],[ÉTAT]]&amp;Table132[[#This Row],[next move]]</f>
        <v>VVVVVMVVE02</v>
      </c>
    </row>
    <row r="76" spans="2:9" x14ac:dyDescent="0.25">
      <c r="B76" t="s">
        <v>662</v>
      </c>
      <c r="C76" s="22" t="s">
        <v>29</v>
      </c>
      <c r="D76">
        <v>12</v>
      </c>
      <c r="E76">
        <v>11</v>
      </c>
      <c r="G76" s="31">
        <f>Table132[[#This Row],[nb win]]/Table132[[#This Row],[nb play]]</f>
        <v>0.91666666666666663</v>
      </c>
      <c r="H76" t="str">
        <f>MID(Table132[[#This Row],[ÉTAT]],VALUE(RIGHT(Table132[[#This Row],[next move]],1))+1+VALUE(LEFT(Table132[[#This Row],[next move]],1))*3,1)</f>
        <v>V</v>
      </c>
      <c r="I76" t="str">
        <f>Table132[[#This Row],[ÉTAT]]&amp;Table132[[#This Row],[next move]]</f>
        <v>VVVVVMVVE11</v>
      </c>
    </row>
    <row r="77" spans="2:9" x14ac:dyDescent="0.25">
      <c r="B77" t="s">
        <v>662</v>
      </c>
      <c r="C77" s="22" t="s">
        <v>35</v>
      </c>
      <c r="D77">
        <v>5</v>
      </c>
      <c r="E77">
        <v>3</v>
      </c>
      <c r="G77" s="31">
        <f>Table132[[#This Row],[nb win]]/Table132[[#This Row],[nb play]]</f>
        <v>0.6</v>
      </c>
      <c r="H77" t="str">
        <f>MID(Table132[[#This Row],[ÉTAT]],VALUE(RIGHT(Table132[[#This Row],[next move]],1))+1+VALUE(LEFT(Table132[[#This Row],[next move]],1))*3,1)</f>
        <v>V</v>
      </c>
      <c r="I77" t="str">
        <f>Table132[[#This Row],[ÉTAT]]&amp;Table132[[#This Row],[next move]]</f>
        <v>VVVVVMVVE20</v>
      </c>
    </row>
    <row r="78" spans="2:9" x14ac:dyDescent="0.25">
      <c r="B78" t="s">
        <v>662</v>
      </c>
      <c r="C78" s="22" t="s">
        <v>22</v>
      </c>
      <c r="D78">
        <v>8</v>
      </c>
      <c r="E78">
        <v>5</v>
      </c>
      <c r="G78" s="31">
        <f>Table132[[#This Row],[nb win]]/Table132[[#This Row],[nb play]]</f>
        <v>0.625</v>
      </c>
      <c r="H78" t="str">
        <f>MID(Table132[[#This Row],[ÉTAT]],VALUE(RIGHT(Table132[[#This Row],[next move]],1))+1+VALUE(LEFT(Table132[[#This Row],[next move]],1))*3,1)</f>
        <v>V</v>
      </c>
      <c r="I78" t="str">
        <f>Table132[[#This Row],[ÉTAT]]&amp;Table132[[#This Row],[next move]]</f>
        <v>VVVVVMVVE21</v>
      </c>
    </row>
    <row r="79" spans="2:9" x14ac:dyDescent="0.25">
      <c r="B79" t="s">
        <v>479</v>
      </c>
      <c r="C79" s="22" t="s">
        <v>24</v>
      </c>
      <c r="D79">
        <v>4</v>
      </c>
      <c r="E79">
        <v>1</v>
      </c>
      <c r="G79" s="30">
        <f>Table132[[#This Row],[nb win]]/Table132[[#This Row],[nb play]]</f>
        <v>0.25</v>
      </c>
      <c r="H79" t="str">
        <f>MID(Table132[[#This Row],[ÉTAT]],VALUE(RIGHT(Table132[[#This Row],[next move]],1))+1+VALUE(LEFT(Table132[[#This Row],[next move]],1))*3,1)</f>
        <v>V</v>
      </c>
      <c r="I79" t="str">
        <f>Table132[[#This Row],[ÉTAT]]&amp;Table132[[#This Row],[next move]]</f>
        <v>VVVVVMVEV00</v>
      </c>
    </row>
    <row r="80" spans="2:9" x14ac:dyDescent="0.25">
      <c r="B80" t="s">
        <v>479</v>
      </c>
      <c r="C80" s="22" t="s">
        <v>26</v>
      </c>
      <c r="D80">
        <v>5</v>
      </c>
      <c r="E80">
        <v>4</v>
      </c>
      <c r="G80" s="31">
        <f>Table132[[#This Row],[nb win]]/Table132[[#This Row],[nb play]]</f>
        <v>0.8</v>
      </c>
      <c r="H80" t="str">
        <f>MID(Table132[[#This Row],[ÉTAT]],VALUE(RIGHT(Table132[[#This Row],[next move]],1))+1+VALUE(LEFT(Table132[[#This Row],[next move]],1))*3,1)</f>
        <v>V</v>
      </c>
      <c r="I80" t="str">
        <f>Table132[[#This Row],[ÉTAT]]&amp;Table132[[#This Row],[next move]]</f>
        <v>VVVVVMVEV01</v>
      </c>
    </row>
    <row r="81" spans="2:9" x14ac:dyDescent="0.25">
      <c r="B81" t="s">
        <v>479</v>
      </c>
      <c r="C81" s="22" t="s">
        <v>20</v>
      </c>
      <c r="D81">
        <v>9</v>
      </c>
      <c r="E81">
        <v>7</v>
      </c>
      <c r="G81" s="31">
        <f>Table132[[#This Row],[nb win]]/Table132[[#This Row],[nb play]]</f>
        <v>0.77777777777777779</v>
      </c>
      <c r="H81" t="str">
        <f>MID(Table132[[#This Row],[ÉTAT]],VALUE(RIGHT(Table132[[#This Row],[next move]],1))+1+VALUE(LEFT(Table132[[#This Row],[next move]],1))*3,1)</f>
        <v>V</v>
      </c>
      <c r="I81" t="str">
        <f>Table132[[#This Row],[ÉTAT]]&amp;Table132[[#This Row],[next move]]</f>
        <v>VVVVVMVEV02</v>
      </c>
    </row>
    <row r="82" spans="2:9" x14ac:dyDescent="0.25">
      <c r="B82" t="s">
        <v>479</v>
      </c>
      <c r="C82" s="22" t="s">
        <v>30</v>
      </c>
      <c r="D82">
        <v>13</v>
      </c>
      <c r="E82">
        <v>7</v>
      </c>
      <c r="G82" s="30">
        <f>Table132[[#This Row],[nb win]]/Table132[[#This Row],[nb play]]</f>
        <v>0.53846153846153844</v>
      </c>
      <c r="H82" t="str">
        <f>MID(Table132[[#This Row],[ÉTAT]],VALUE(RIGHT(Table132[[#This Row],[next move]],1))+1+VALUE(LEFT(Table132[[#This Row],[next move]],1))*3,1)</f>
        <v>V</v>
      </c>
      <c r="I82" t="str">
        <f>Table132[[#This Row],[ÉTAT]]&amp;Table132[[#This Row],[next move]]</f>
        <v>VVVVVMVEV10</v>
      </c>
    </row>
    <row r="83" spans="2:9" x14ac:dyDescent="0.25">
      <c r="B83" t="s">
        <v>479</v>
      </c>
      <c r="C83" s="22" t="s">
        <v>29</v>
      </c>
      <c r="D83">
        <v>10</v>
      </c>
      <c r="E83">
        <v>7</v>
      </c>
      <c r="G83" s="30">
        <f>Table132[[#This Row],[nb win]]/Table132[[#This Row],[nb play]]</f>
        <v>0.7</v>
      </c>
      <c r="H83" t="str">
        <f>MID(Table132[[#This Row],[ÉTAT]],VALUE(RIGHT(Table132[[#This Row],[next move]],1))+1+VALUE(LEFT(Table132[[#This Row],[next move]],1))*3,1)</f>
        <v>V</v>
      </c>
      <c r="I83" t="str">
        <f>Table132[[#This Row],[ÉTAT]]&amp;Table132[[#This Row],[next move]]</f>
        <v>VVVVVMVEV11</v>
      </c>
    </row>
    <row r="84" spans="2:9" x14ac:dyDescent="0.25">
      <c r="B84" t="s">
        <v>479</v>
      </c>
      <c r="C84" s="22" t="s">
        <v>35</v>
      </c>
      <c r="D84">
        <v>7</v>
      </c>
      <c r="E84">
        <v>4</v>
      </c>
      <c r="G84" s="31">
        <f>Table132[[#This Row],[nb win]]/Table132[[#This Row],[nb play]]</f>
        <v>0.5714285714285714</v>
      </c>
      <c r="H84" t="str">
        <f>MID(Table132[[#This Row],[ÉTAT]],VALUE(RIGHT(Table132[[#This Row],[next move]],1))+1+VALUE(LEFT(Table132[[#This Row],[next move]],1))*3,1)</f>
        <v>V</v>
      </c>
      <c r="I84" t="str">
        <f>Table132[[#This Row],[ÉTAT]]&amp;Table132[[#This Row],[next move]]</f>
        <v>VVVVVMVEV20</v>
      </c>
    </row>
    <row r="85" spans="2:9" x14ac:dyDescent="0.25">
      <c r="B85" t="s">
        <v>479</v>
      </c>
      <c r="C85" s="22" t="s">
        <v>31</v>
      </c>
      <c r="D85">
        <v>8</v>
      </c>
      <c r="E85">
        <v>5</v>
      </c>
      <c r="G85" s="30">
        <f>Table132[[#This Row],[nb win]]/Table132[[#This Row],[nb play]]</f>
        <v>0.625</v>
      </c>
      <c r="H85" t="str">
        <f>MID(Table132[[#This Row],[ÉTAT]],VALUE(RIGHT(Table132[[#This Row],[next move]],1))+1+VALUE(LEFT(Table132[[#This Row],[next move]],1))*3,1)</f>
        <v>V</v>
      </c>
      <c r="I85" t="str">
        <f>Table132[[#This Row],[ÉTAT]]&amp;Table132[[#This Row],[next move]]</f>
        <v>VVVVVMVEV22</v>
      </c>
    </row>
    <row r="86" spans="2:9" x14ac:dyDescent="0.25">
      <c r="B86" t="s">
        <v>440</v>
      </c>
      <c r="C86" s="22" t="s">
        <v>24</v>
      </c>
      <c r="D86">
        <v>4</v>
      </c>
      <c r="E86">
        <v>2</v>
      </c>
      <c r="G86" s="30">
        <f>Table132[[#This Row],[nb win]]/Table132[[#This Row],[nb play]]</f>
        <v>0.5</v>
      </c>
      <c r="H86" t="str">
        <f>MID(Table132[[#This Row],[ÉTAT]],VALUE(RIGHT(Table132[[#This Row],[next move]],1))+1+VALUE(LEFT(Table132[[#This Row],[next move]],1))*3,1)</f>
        <v>V</v>
      </c>
      <c r="I86" t="str">
        <f>Table132[[#This Row],[ÉTAT]]&amp;Table132[[#This Row],[next move]]</f>
        <v>VVVVVMVEE00</v>
      </c>
    </row>
    <row r="87" spans="2:9" x14ac:dyDescent="0.25">
      <c r="B87" t="s">
        <v>440</v>
      </c>
      <c r="C87" s="22" t="s">
        <v>26</v>
      </c>
      <c r="D87">
        <v>2</v>
      </c>
      <c r="G87" s="25">
        <f>Table132[[#This Row],[nb win]]/Table132[[#This Row],[nb play]]</f>
        <v>0</v>
      </c>
      <c r="H87" t="str">
        <f>MID(Table132[[#This Row],[ÉTAT]],VALUE(RIGHT(Table132[[#This Row],[next move]],1))+1+VALUE(LEFT(Table132[[#This Row],[next move]],1))*3,1)</f>
        <v>V</v>
      </c>
      <c r="I87" t="str">
        <f>Table132[[#This Row],[ÉTAT]]&amp;Table132[[#This Row],[next move]]</f>
        <v>VVVVVMVEE01</v>
      </c>
    </row>
    <row r="88" spans="2:9" x14ac:dyDescent="0.25">
      <c r="B88" t="s">
        <v>440</v>
      </c>
      <c r="C88" s="22" t="s">
        <v>20</v>
      </c>
      <c r="D88">
        <v>4</v>
      </c>
      <c r="G88" s="30">
        <f>Table132[[#This Row],[nb win]]/Table132[[#This Row],[nb play]]</f>
        <v>0</v>
      </c>
      <c r="H88" t="str">
        <f>MID(Table132[[#This Row],[ÉTAT]],VALUE(RIGHT(Table132[[#This Row],[next move]],1))+1+VALUE(LEFT(Table132[[#This Row],[next move]],1))*3,1)</f>
        <v>V</v>
      </c>
      <c r="I88" t="str">
        <f>Table132[[#This Row],[ÉTAT]]&amp;Table132[[#This Row],[next move]]</f>
        <v>VVVVVMVEE02</v>
      </c>
    </row>
    <row r="89" spans="2:9" x14ac:dyDescent="0.25">
      <c r="B89" t="s">
        <v>440</v>
      </c>
      <c r="C89" s="22" t="s">
        <v>30</v>
      </c>
      <c r="D89">
        <v>8</v>
      </c>
      <c r="E89">
        <v>2</v>
      </c>
      <c r="G89" s="30">
        <f>Table132[[#This Row],[nb win]]/Table132[[#This Row],[nb play]]</f>
        <v>0.25</v>
      </c>
      <c r="H89" t="str">
        <f>MID(Table132[[#This Row],[ÉTAT]],VALUE(RIGHT(Table132[[#This Row],[next move]],1))+1+VALUE(LEFT(Table132[[#This Row],[next move]],1))*3,1)</f>
        <v>V</v>
      </c>
      <c r="I89" t="str">
        <f>Table132[[#This Row],[ÉTAT]]&amp;Table132[[#This Row],[next move]]</f>
        <v>VVVVVMVEE10</v>
      </c>
    </row>
    <row r="90" spans="2:9" x14ac:dyDescent="0.25">
      <c r="B90" t="s">
        <v>440</v>
      </c>
      <c r="C90" s="22" t="s">
        <v>29</v>
      </c>
      <c r="D90">
        <v>3</v>
      </c>
      <c r="G90" s="25">
        <f>Table132[[#This Row],[nb win]]/Table132[[#This Row],[nb play]]</f>
        <v>0</v>
      </c>
      <c r="H90" t="str">
        <f>MID(Table132[[#This Row],[ÉTAT]],VALUE(RIGHT(Table132[[#This Row],[next move]],1))+1+VALUE(LEFT(Table132[[#This Row],[next move]],1))*3,1)</f>
        <v>V</v>
      </c>
      <c r="I90" t="str">
        <f>Table132[[#This Row],[ÉTAT]]&amp;Table132[[#This Row],[next move]]</f>
        <v>VVVVVMVEE11</v>
      </c>
    </row>
    <row r="91" spans="2:9" x14ac:dyDescent="0.25">
      <c r="B91" t="s">
        <v>440</v>
      </c>
      <c r="C91" s="22" t="s">
        <v>35</v>
      </c>
      <c r="D91">
        <v>3</v>
      </c>
      <c r="E91">
        <v>2</v>
      </c>
      <c r="G91" s="31">
        <f>Table132[[#This Row],[nb win]]/Table132[[#This Row],[nb play]]</f>
        <v>0.66666666666666663</v>
      </c>
      <c r="H91" t="str">
        <f>MID(Table132[[#This Row],[ÉTAT]],VALUE(RIGHT(Table132[[#This Row],[next move]],1))+1+VALUE(LEFT(Table132[[#This Row],[next move]],1))*3,1)</f>
        <v>V</v>
      </c>
      <c r="I91" t="str">
        <f>Table132[[#This Row],[ÉTAT]]&amp;Table132[[#This Row],[next move]]</f>
        <v>VVVVVMVEE20</v>
      </c>
    </row>
    <row r="92" spans="2:9" x14ac:dyDescent="0.25">
      <c r="B92" t="s">
        <v>2903</v>
      </c>
      <c r="C92" s="22" t="s">
        <v>20</v>
      </c>
      <c r="D92">
        <v>3</v>
      </c>
      <c r="G92" s="30">
        <f>Table132[[#This Row],[nb win]]/Table132[[#This Row],[nb play]]</f>
        <v>0</v>
      </c>
      <c r="H92" t="str">
        <f>MID(Table132[[#This Row],[ÉTAT]],VALUE(RIGHT(Table132[[#This Row],[next move]],1))+1+VALUE(LEFT(Table132[[#This Row],[next move]],1))*3,1)</f>
        <v>V</v>
      </c>
      <c r="I92" t="str">
        <f>Table132[[#This Row],[ÉTAT]]&amp;Table132[[#This Row],[next move]]</f>
        <v>VVVVVMMEE02</v>
      </c>
    </row>
    <row r="93" spans="2:9" x14ac:dyDescent="0.25">
      <c r="B93" t="s">
        <v>2903</v>
      </c>
      <c r="C93" s="22" t="s">
        <v>30</v>
      </c>
      <c r="D93">
        <v>2</v>
      </c>
      <c r="E93">
        <v>2</v>
      </c>
      <c r="G93" s="31">
        <f>Table132[[#This Row],[nb win]]/Table132[[#This Row],[nb play]]</f>
        <v>1</v>
      </c>
      <c r="H93" t="str">
        <f>MID(Table132[[#This Row],[ÉTAT]],VALUE(RIGHT(Table132[[#This Row],[next move]],1))+1+VALUE(LEFT(Table132[[#This Row],[next move]],1))*3,1)</f>
        <v>V</v>
      </c>
      <c r="I93" t="str">
        <f>Table132[[#This Row],[ÉTAT]]&amp;Table132[[#This Row],[next move]]</f>
        <v>VVVVVMMEE10</v>
      </c>
    </row>
    <row r="94" spans="2:9" x14ac:dyDescent="0.25">
      <c r="B94" t="s">
        <v>478</v>
      </c>
      <c r="C94" s="22" t="s">
        <v>24</v>
      </c>
      <c r="D94">
        <v>4</v>
      </c>
      <c r="E94">
        <v>4</v>
      </c>
      <c r="G94" s="31">
        <f>Table132[[#This Row],[nb win]]/Table132[[#This Row],[nb play]]</f>
        <v>1</v>
      </c>
      <c r="H94" t="str">
        <f>MID(Table132[[#This Row],[ÉTAT]],VALUE(RIGHT(Table132[[#This Row],[next move]],1))+1+VALUE(LEFT(Table132[[#This Row],[next move]],1))*3,1)</f>
        <v>V</v>
      </c>
      <c r="I94" t="str">
        <f>Table132[[#This Row],[ÉTAT]]&amp;Table132[[#This Row],[next move]]</f>
        <v>VVVVVMEVV00</v>
      </c>
    </row>
    <row r="95" spans="2:9" x14ac:dyDescent="0.25">
      <c r="B95" t="s">
        <v>478</v>
      </c>
      <c r="C95" s="22" t="s">
        <v>26</v>
      </c>
      <c r="D95">
        <v>6</v>
      </c>
      <c r="E95">
        <v>1</v>
      </c>
      <c r="G95" s="30">
        <f>Table132[[#This Row],[nb win]]/Table132[[#This Row],[nb play]]</f>
        <v>0.16666666666666666</v>
      </c>
      <c r="H95" t="str">
        <f>MID(Table132[[#This Row],[ÉTAT]],VALUE(RIGHT(Table132[[#This Row],[next move]],1))+1+VALUE(LEFT(Table132[[#This Row],[next move]],1))*3,1)</f>
        <v>V</v>
      </c>
      <c r="I95" t="str">
        <f>Table132[[#This Row],[ÉTAT]]&amp;Table132[[#This Row],[next move]]</f>
        <v>VVVVVMEVV01</v>
      </c>
    </row>
    <row r="96" spans="2:9" x14ac:dyDescent="0.25">
      <c r="B96" t="s">
        <v>478</v>
      </c>
      <c r="C96" s="22" t="s">
        <v>20</v>
      </c>
      <c r="D96">
        <v>10</v>
      </c>
      <c r="E96">
        <v>4</v>
      </c>
      <c r="G96" s="30">
        <f>Table132[[#This Row],[nb win]]/Table132[[#This Row],[nb play]]</f>
        <v>0.4</v>
      </c>
      <c r="H96" t="str">
        <f>MID(Table132[[#This Row],[ÉTAT]],VALUE(RIGHT(Table132[[#This Row],[next move]],1))+1+VALUE(LEFT(Table132[[#This Row],[next move]],1))*3,1)</f>
        <v>V</v>
      </c>
      <c r="I96" t="str">
        <f>Table132[[#This Row],[ÉTAT]]&amp;Table132[[#This Row],[next move]]</f>
        <v>VVVVVMEVV02</v>
      </c>
    </row>
    <row r="97" spans="2:9" x14ac:dyDescent="0.25">
      <c r="B97" t="s">
        <v>478</v>
      </c>
      <c r="C97" s="22" t="s">
        <v>30</v>
      </c>
      <c r="D97">
        <v>7</v>
      </c>
      <c r="E97">
        <v>3</v>
      </c>
      <c r="G97" s="30">
        <f>Table132[[#This Row],[nb win]]/Table132[[#This Row],[nb play]]</f>
        <v>0.42857142857142855</v>
      </c>
      <c r="H97" t="str">
        <f>MID(Table132[[#This Row],[ÉTAT]],VALUE(RIGHT(Table132[[#This Row],[next move]],1))+1+VALUE(LEFT(Table132[[#This Row],[next move]],1))*3,1)</f>
        <v>V</v>
      </c>
      <c r="I97" t="str">
        <f>Table132[[#This Row],[ÉTAT]]&amp;Table132[[#This Row],[next move]]</f>
        <v>VVVVVMEVV10</v>
      </c>
    </row>
    <row r="98" spans="2:9" x14ac:dyDescent="0.25">
      <c r="B98" t="s">
        <v>478</v>
      </c>
      <c r="C98" s="22" t="s">
        <v>29</v>
      </c>
      <c r="D98">
        <v>13</v>
      </c>
      <c r="E98">
        <v>11</v>
      </c>
      <c r="G98" s="31">
        <f>Table132[[#This Row],[nb win]]/Table132[[#This Row],[nb play]]</f>
        <v>0.84615384615384615</v>
      </c>
      <c r="H98" t="str">
        <f>MID(Table132[[#This Row],[ÉTAT]],VALUE(RIGHT(Table132[[#This Row],[next move]],1))+1+VALUE(LEFT(Table132[[#This Row],[next move]],1))*3,1)</f>
        <v>V</v>
      </c>
      <c r="I98" t="str">
        <f>Table132[[#This Row],[ÉTAT]]&amp;Table132[[#This Row],[next move]]</f>
        <v>VVVVVMEVV11</v>
      </c>
    </row>
    <row r="99" spans="2:9" x14ac:dyDescent="0.25">
      <c r="B99" t="s">
        <v>436</v>
      </c>
      <c r="C99" s="22" t="s">
        <v>24</v>
      </c>
      <c r="D99">
        <v>1</v>
      </c>
      <c r="G99" s="30">
        <f>Table132[[#This Row],[nb win]]/Table132[[#This Row],[nb play]]</f>
        <v>0</v>
      </c>
      <c r="H99" t="str">
        <f>MID(Table132[[#This Row],[ÉTAT]],VALUE(RIGHT(Table132[[#This Row],[next move]],1))+1+VALUE(LEFT(Table132[[#This Row],[next move]],1))*3,1)</f>
        <v>V</v>
      </c>
      <c r="I99" t="str">
        <f>Table132[[#This Row],[ÉTAT]]&amp;Table132[[#This Row],[next move]]</f>
        <v>VVVVVMEVE00</v>
      </c>
    </row>
    <row r="100" spans="2:9" x14ac:dyDescent="0.25">
      <c r="B100" t="s">
        <v>436</v>
      </c>
      <c r="C100" s="22" t="s">
        <v>26</v>
      </c>
      <c r="D100">
        <v>1</v>
      </c>
      <c r="G100" s="30">
        <f>Table132[[#This Row],[nb win]]/Table132[[#This Row],[nb play]]</f>
        <v>0</v>
      </c>
      <c r="H100" t="str">
        <f>MID(Table132[[#This Row],[ÉTAT]],VALUE(RIGHT(Table132[[#This Row],[next move]],1))+1+VALUE(LEFT(Table132[[#This Row],[next move]],1))*3,1)</f>
        <v>V</v>
      </c>
      <c r="I100" t="str">
        <f>Table132[[#This Row],[ÉTAT]]&amp;Table132[[#This Row],[next move]]</f>
        <v>VVVVVMEVE01</v>
      </c>
    </row>
    <row r="101" spans="2:9" x14ac:dyDescent="0.25">
      <c r="B101" t="s">
        <v>436</v>
      </c>
      <c r="C101" s="22" t="s">
        <v>20</v>
      </c>
      <c r="D101">
        <v>2</v>
      </c>
      <c r="G101" s="30">
        <f>Table132[[#This Row],[nb win]]/Table132[[#This Row],[nb play]]</f>
        <v>0</v>
      </c>
      <c r="H101" t="str">
        <f>MID(Table132[[#This Row],[ÉTAT]],VALUE(RIGHT(Table132[[#This Row],[next move]],1))+1+VALUE(LEFT(Table132[[#This Row],[next move]],1))*3,1)</f>
        <v>V</v>
      </c>
      <c r="I101" t="str">
        <f>Table132[[#This Row],[ÉTAT]]&amp;Table132[[#This Row],[next move]]</f>
        <v>VVVVVMEVE02</v>
      </c>
    </row>
    <row r="102" spans="2:9" x14ac:dyDescent="0.25">
      <c r="B102" t="s">
        <v>436</v>
      </c>
      <c r="C102" s="22" t="s">
        <v>30</v>
      </c>
      <c r="D102">
        <v>4</v>
      </c>
      <c r="G102" s="30">
        <f>Table132[[#This Row],[nb win]]/Table132[[#This Row],[nb play]]</f>
        <v>0</v>
      </c>
      <c r="H102" t="str">
        <f>MID(Table132[[#This Row],[ÉTAT]],VALUE(RIGHT(Table132[[#This Row],[next move]],1))+1+VALUE(LEFT(Table132[[#This Row],[next move]],1))*3,1)</f>
        <v>V</v>
      </c>
      <c r="I102" t="str">
        <f>Table132[[#This Row],[ÉTAT]]&amp;Table132[[#This Row],[next move]]</f>
        <v>VVVVVMEVE10</v>
      </c>
    </row>
    <row r="103" spans="2:9" x14ac:dyDescent="0.25">
      <c r="B103" t="s">
        <v>436</v>
      </c>
      <c r="C103" s="22" t="s">
        <v>29</v>
      </c>
      <c r="D103">
        <v>3</v>
      </c>
      <c r="G103" s="30">
        <f>Table132[[#This Row],[nb win]]/Table132[[#This Row],[nb play]]</f>
        <v>0</v>
      </c>
      <c r="H103" t="str">
        <f>MID(Table132[[#This Row],[ÉTAT]],VALUE(RIGHT(Table132[[#This Row],[next move]],1))+1+VALUE(LEFT(Table132[[#This Row],[next move]],1))*3,1)</f>
        <v>V</v>
      </c>
      <c r="I103" t="str">
        <f>Table132[[#This Row],[ÉTAT]]&amp;Table132[[#This Row],[next move]]</f>
        <v>VVVVVMEVE11</v>
      </c>
    </row>
    <row r="104" spans="2:9" x14ac:dyDescent="0.25">
      <c r="B104" t="s">
        <v>436</v>
      </c>
      <c r="C104" s="22" t="s">
        <v>22</v>
      </c>
      <c r="D104">
        <v>4</v>
      </c>
      <c r="E104">
        <v>1</v>
      </c>
      <c r="G104" s="30">
        <f>Table132[[#This Row],[nb win]]/Table132[[#This Row],[nb play]]</f>
        <v>0.25</v>
      </c>
      <c r="H104" t="str">
        <f>MID(Table132[[#This Row],[ÉTAT]],VALUE(RIGHT(Table132[[#This Row],[next move]],1))+1+VALUE(LEFT(Table132[[#This Row],[next move]],1))*3,1)</f>
        <v>V</v>
      </c>
      <c r="I104" t="str">
        <f>Table132[[#This Row],[ÉTAT]]&amp;Table132[[#This Row],[next move]]</f>
        <v>VVVVVMEVE21</v>
      </c>
    </row>
    <row r="105" spans="2:9" x14ac:dyDescent="0.25">
      <c r="B105" t="s">
        <v>664</v>
      </c>
      <c r="C105" s="22" t="s">
        <v>24</v>
      </c>
      <c r="D105">
        <v>2</v>
      </c>
      <c r="E105">
        <v>2</v>
      </c>
      <c r="G105" s="31">
        <f>Table132[[#This Row],[nb win]]/Table132[[#This Row],[nb play]]</f>
        <v>1</v>
      </c>
      <c r="H105" t="str">
        <f>MID(Table132[[#This Row],[ÉTAT]],VALUE(RIGHT(Table132[[#This Row],[next move]],1))+1+VALUE(LEFT(Table132[[#This Row],[next move]],1))*3,1)</f>
        <v>V</v>
      </c>
      <c r="I105" t="str">
        <f>Table132[[#This Row],[ÉTAT]]&amp;Table132[[#This Row],[next move]]</f>
        <v>VVVVVMEME00</v>
      </c>
    </row>
    <row r="106" spans="2:9" x14ac:dyDescent="0.25">
      <c r="B106" t="s">
        <v>1836</v>
      </c>
      <c r="C106" s="22" t="s">
        <v>24</v>
      </c>
      <c r="D106">
        <v>8</v>
      </c>
      <c r="E106">
        <v>4</v>
      </c>
      <c r="G106" s="30">
        <f>Table132[[#This Row],[nb win]]/Table132[[#This Row],[nb play]]</f>
        <v>0.5</v>
      </c>
      <c r="H106" t="str">
        <f>MID(Table132[[#This Row],[ÉTAT]],VALUE(RIGHT(Table132[[#This Row],[next move]],1))+1+VALUE(LEFT(Table132[[#This Row],[next move]],1))*3,1)</f>
        <v>V</v>
      </c>
      <c r="I106" t="str">
        <f>Table132[[#This Row],[ÉTAT]]&amp;Table132[[#This Row],[next move]]</f>
        <v>VVVVVMEEV00</v>
      </c>
    </row>
    <row r="107" spans="2:9" x14ac:dyDescent="0.25">
      <c r="B107" t="s">
        <v>1836</v>
      </c>
      <c r="C107" s="22" t="s">
        <v>26</v>
      </c>
      <c r="D107">
        <v>4</v>
      </c>
      <c r="G107" s="30">
        <f>Table132[[#This Row],[nb win]]/Table132[[#This Row],[nb play]]</f>
        <v>0</v>
      </c>
      <c r="H107" t="str">
        <f>MID(Table132[[#This Row],[ÉTAT]],VALUE(RIGHT(Table132[[#This Row],[next move]],1))+1+VALUE(LEFT(Table132[[#This Row],[next move]],1))*3,1)</f>
        <v>V</v>
      </c>
      <c r="I107" t="str">
        <f>Table132[[#This Row],[ÉTAT]]&amp;Table132[[#This Row],[next move]]</f>
        <v>VVVVVMEEV01</v>
      </c>
    </row>
    <row r="108" spans="2:9" x14ac:dyDescent="0.25">
      <c r="B108" t="s">
        <v>1836</v>
      </c>
      <c r="C108" s="22" t="s">
        <v>20</v>
      </c>
      <c r="D108">
        <v>3</v>
      </c>
      <c r="E108">
        <v>2</v>
      </c>
      <c r="G108" s="31">
        <f>Table132[[#This Row],[nb win]]/Table132[[#This Row],[nb play]]</f>
        <v>0.66666666666666663</v>
      </c>
      <c r="H108" t="str">
        <f>MID(Table132[[#This Row],[ÉTAT]],VALUE(RIGHT(Table132[[#This Row],[next move]],1))+1+VALUE(LEFT(Table132[[#This Row],[next move]],1))*3,1)</f>
        <v>V</v>
      </c>
      <c r="I108" t="str">
        <f>Table132[[#This Row],[ÉTAT]]&amp;Table132[[#This Row],[next move]]</f>
        <v>VVVVVMEEV02</v>
      </c>
    </row>
    <row r="109" spans="2:9" x14ac:dyDescent="0.25">
      <c r="B109" t="s">
        <v>1836</v>
      </c>
      <c r="C109" s="22" t="s">
        <v>30</v>
      </c>
      <c r="D109">
        <v>1</v>
      </c>
      <c r="G109" s="30">
        <f>Table132[[#This Row],[nb win]]/Table132[[#This Row],[nb play]]</f>
        <v>0</v>
      </c>
      <c r="H109" t="str">
        <f>MID(Table132[[#This Row],[ÉTAT]],VALUE(RIGHT(Table132[[#This Row],[next move]],1))+1+VALUE(LEFT(Table132[[#This Row],[next move]],1))*3,1)</f>
        <v>V</v>
      </c>
      <c r="I109" t="str">
        <f>Table132[[#This Row],[ÉTAT]]&amp;Table132[[#This Row],[next move]]</f>
        <v>VVVVVMEEV10</v>
      </c>
    </row>
    <row r="110" spans="2:9" x14ac:dyDescent="0.25">
      <c r="B110" t="s">
        <v>1836</v>
      </c>
      <c r="C110" s="22" t="s">
        <v>29</v>
      </c>
      <c r="D110">
        <v>1</v>
      </c>
      <c r="G110" s="30">
        <f>Table132[[#This Row],[nb win]]/Table132[[#This Row],[nb play]]</f>
        <v>0</v>
      </c>
      <c r="H110" t="str">
        <f>MID(Table132[[#This Row],[ÉTAT]],VALUE(RIGHT(Table132[[#This Row],[next move]],1))+1+VALUE(LEFT(Table132[[#This Row],[next move]],1))*3,1)</f>
        <v>V</v>
      </c>
      <c r="I110" t="str">
        <f>Table132[[#This Row],[ÉTAT]]&amp;Table132[[#This Row],[next move]]</f>
        <v>VVVVVMEEV11</v>
      </c>
    </row>
    <row r="111" spans="2:9" x14ac:dyDescent="0.25">
      <c r="B111" t="s">
        <v>1836</v>
      </c>
      <c r="C111" s="22" t="s">
        <v>31</v>
      </c>
      <c r="D111">
        <v>2</v>
      </c>
      <c r="E111">
        <v>1</v>
      </c>
      <c r="G111" s="31">
        <f>Table132[[#This Row],[nb win]]/Table132[[#This Row],[nb play]]</f>
        <v>0.5</v>
      </c>
      <c r="H111" t="str">
        <f>MID(Table132[[#This Row],[ÉTAT]],VALUE(RIGHT(Table132[[#This Row],[next move]],1))+1+VALUE(LEFT(Table132[[#This Row],[next move]],1))*3,1)</f>
        <v>V</v>
      </c>
      <c r="I111" t="str">
        <f>Table132[[#This Row],[ÉTAT]]&amp;Table132[[#This Row],[next move]]</f>
        <v>VVVVVMEEV22</v>
      </c>
    </row>
    <row r="112" spans="2:9" x14ac:dyDescent="0.25">
      <c r="B112" t="s">
        <v>1529</v>
      </c>
      <c r="C112" s="22" t="s">
        <v>29</v>
      </c>
      <c r="D112">
        <v>8</v>
      </c>
      <c r="E112">
        <v>8</v>
      </c>
      <c r="G112" s="31">
        <f>Table132[[#This Row],[nb win]]/Table132[[#This Row],[nb play]]</f>
        <v>1</v>
      </c>
      <c r="H112" t="str">
        <f>MID(Table132[[#This Row],[ÉTAT]],VALUE(RIGHT(Table132[[#This Row],[next move]],1))+1+VALUE(LEFT(Table132[[#This Row],[next move]],1))*3,1)</f>
        <v>V</v>
      </c>
      <c r="I112" t="str">
        <f>Table132[[#This Row],[ÉTAT]]&amp;Table132[[#This Row],[next move]]</f>
        <v>VVVVVMEEM11</v>
      </c>
    </row>
    <row r="113" spans="2:9" x14ac:dyDescent="0.25">
      <c r="B113" t="s">
        <v>45</v>
      </c>
      <c r="C113" s="22" t="s">
        <v>24</v>
      </c>
      <c r="D113">
        <v>57</v>
      </c>
      <c r="E113">
        <v>10</v>
      </c>
      <c r="G113" s="30">
        <f>Table132[[#This Row],[nb win]]/Table132[[#This Row],[nb play]]</f>
        <v>0.17543859649122806</v>
      </c>
      <c r="H113" t="str">
        <f>MID(Table132[[#This Row],[ÉTAT]],VALUE(RIGHT(Table132[[#This Row],[next move]],1))+1+VALUE(LEFT(Table132[[#This Row],[next move]],1))*3,1)</f>
        <v>V</v>
      </c>
      <c r="I113" t="str">
        <f>Table132[[#This Row],[ÉTAT]]&amp;Table132[[#This Row],[next move]]</f>
        <v>VVVVVEVVV00</v>
      </c>
    </row>
    <row r="114" spans="2:9" x14ac:dyDescent="0.25">
      <c r="B114" t="s">
        <v>45</v>
      </c>
      <c r="C114" s="22" t="s">
        <v>26</v>
      </c>
      <c r="D114">
        <v>54</v>
      </c>
      <c r="E114">
        <v>21</v>
      </c>
      <c r="G114" s="30">
        <f>Table132[[#This Row],[nb win]]/Table132[[#This Row],[nb play]]</f>
        <v>0.3888888888888889</v>
      </c>
      <c r="H114" t="str">
        <f>MID(Table132[[#This Row],[ÉTAT]],VALUE(RIGHT(Table132[[#This Row],[next move]],1))+1+VALUE(LEFT(Table132[[#This Row],[next move]],1))*3,1)</f>
        <v>V</v>
      </c>
      <c r="I114" t="str">
        <f>Table132[[#This Row],[ÉTAT]]&amp;Table132[[#This Row],[next move]]</f>
        <v>VVVVVEVVV01</v>
      </c>
    </row>
    <row r="115" spans="2:9" x14ac:dyDescent="0.25">
      <c r="B115" t="s">
        <v>45</v>
      </c>
      <c r="C115" s="22" t="s">
        <v>20</v>
      </c>
      <c r="D115">
        <v>52</v>
      </c>
      <c r="E115">
        <v>25</v>
      </c>
      <c r="G115" s="30">
        <f>Table132[[#This Row],[nb win]]/Table132[[#This Row],[nb play]]</f>
        <v>0.48076923076923078</v>
      </c>
      <c r="H115" t="str">
        <f>MID(Table132[[#This Row],[ÉTAT]],VALUE(RIGHT(Table132[[#This Row],[next move]],1))+1+VALUE(LEFT(Table132[[#This Row],[next move]],1))*3,1)</f>
        <v>V</v>
      </c>
      <c r="I115" t="str">
        <f>Table132[[#This Row],[ÉTAT]]&amp;Table132[[#This Row],[next move]]</f>
        <v>VVVVVEVVV02</v>
      </c>
    </row>
    <row r="116" spans="2:9" x14ac:dyDescent="0.25">
      <c r="B116" t="s">
        <v>45</v>
      </c>
      <c r="C116" s="22" t="s">
        <v>30</v>
      </c>
      <c r="D116">
        <v>47</v>
      </c>
      <c r="E116">
        <v>14</v>
      </c>
      <c r="G116" s="31">
        <f>Table132[[#This Row],[nb win]]/Table132[[#This Row],[nb play]]</f>
        <v>0.2978723404255319</v>
      </c>
      <c r="H116" t="str">
        <f>MID(Table132[[#This Row],[ÉTAT]],VALUE(RIGHT(Table132[[#This Row],[next move]],1))+1+VALUE(LEFT(Table132[[#This Row],[next move]],1))*3,1)</f>
        <v>V</v>
      </c>
      <c r="I116" t="str">
        <f>Table132[[#This Row],[ÉTAT]]&amp;Table132[[#This Row],[next move]]</f>
        <v>VVVVVEVVV10</v>
      </c>
    </row>
    <row r="117" spans="2:9" x14ac:dyDescent="0.25">
      <c r="B117" t="s">
        <v>45</v>
      </c>
      <c r="C117" s="22" t="s">
        <v>29</v>
      </c>
      <c r="D117">
        <v>62</v>
      </c>
      <c r="E117">
        <v>32</v>
      </c>
      <c r="G117" s="31">
        <f>Table132[[#This Row],[nb win]]/Table132[[#This Row],[nb play]]</f>
        <v>0.5161290322580645</v>
      </c>
      <c r="H117" t="str">
        <f>MID(Table132[[#This Row],[ÉTAT]],VALUE(RIGHT(Table132[[#This Row],[next move]],1))+1+VALUE(LEFT(Table132[[#This Row],[next move]],1))*3,1)</f>
        <v>V</v>
      </c>
      <c r="I117" t="str">
        <f>Table132[[#This Row],[ÉTAT]]&amp;Table132[[#This Row],[next move]]</f>
        <v>VVVVVEVVV11</v>
      </c>
    </row>
    <row r="118" spans="2:9" x14ac:dyDescent="0.25">
      <c r="B118" t="s">
        <v>45</v>
      </c>
      <c r="C118" s="22" t="s">
        <v>35</v>
      </c>
      <c r="D118">
        <v>42</v>
      </c>
      <c r="E118">
        <v>18</v>
      </c>
      <c r="G118" s="30">
        <f>Table132[[#This Row],[nb win]]/Table132[[#This Row],[nb play]]</f>
        <v>0.42857142857142855</v>
      </c>
      <c r="H118" t="str">
        <f>MID(Table132[[#This Row],[ÉTAT]],VALUE(RIGHT(Table132[[#This Row],[next move]],1))+1+VALUE(LEFT(Table132[[#This Row],[next move]],1))*3,1)</f>
        <v>V</v>
      </c>
      <c r="I118" t="str">
        <f>Table132[[#This Row],[ÉTAT]]&amp;Table132[[#This Row],[next move]]</f>
        <v>VVVVVEVVV20</v>
      </c>
    </row>
    <row r="119" spans="2:9" x14ac:dyDescent="0.25">
      <c r="B119" t="s">
        <v>45</v>
      </c>
      <c r="C119" s="22" t="s">
        <v>22</v>
      </c>
      <c r="D119">
        <v>56</v>
      </c>
      <c r="E119">
        <v>21</v>
      </c>
      <c r="G119" s="30">
        <f>Table132[[#This Row],[nb win]]/Table132[[#This Row],[nb play]]</f>
        <v>0.375</v>
      </c>
      <c r="H119" t="str">
        <f>MID(Table132[[#This Row],[ÉTAT]],VALUE(RIGHT(Table132[[#This Row],[next move]],1))+1+VALUE(LEFT(Table132[[#This Row],[next move]],1))*3,1)</f>
        <v>V</v>
      </c>
      <c r="I119" t="str">
        <f>Table132[[#This Row],[ÉTAT]]&amp;Table132[[#This Row],[next move]]</f>
        <v>VVVVVEVVV21</v>
      </c>
    </row>
    <row r="120" spans="2:9" x14ac:dyDescent="0.25">
      <c r="B120" t="s">
        <v>45</v>
      </c>
      <c r="C120" s="22" t="s">
        <v>31</v>
      </c>
      <c r="D120">
        <v>40</v>
      </c>
      <c r="E120">
        <v>16</v>
      </c>
      <c r="G120" s="30">
        <f>Table132[[#This Row],[nb win]]/Table132[[#This Row],[nb play]]</f>
        <v>0.4</v>
      </c>
      <c r="H120" t="str">
        <f>MID(Table132[[#This Row],[ÉTAT]],VALUE(RIGHT(Table132[[#This Row],[next move]],1))+1+VALUE(LEFT(Table132[[#This Row],[next move]],1))*3,1)</f>
        <v>V</v>
      </c>
      <c r="I120" t="str">
        <f>Table132[[#This Row],[ÉTAT]]&amp;Table132[[#This Row],[next move]]</f>
        <v>VVVVVEVVV22</v>
      </c>
    </row>
    <row r="121" spans="2:9" x14ac:dyDescent="0.25">
      <c r="B121" t="s">
        <v>261</v>
      </c>
      <c r="C121" s="22" t="s">
        <v>24</v>
      </c>
      <c r="D121">
        <v>7</v>
      </c>
      <c r="E121">
        <v>5</v>
      </c>
      <c r="G121" s="31">
        <f>Table132[[#This Row],[nb win]]/Table132[[#This Row],[nb play]]</f>
        <v>0.7142857142857143</v>
      </c>
      <c r="H121" t="str">
        <f>MID(Table132[[#This Row],[ÉTAT]],VALUE(RIGHT(Table132[[#This Row],[next move]],1))+1+VALUE(LEFT(Table132[[#This Row],[next move]],1))*3,1)</f>
        <v>V</v>
      </c>
      <c r="I121" t="str">
        <f>Table132[[#This Row],[ÉTAT]]&amp;Table132[[#This Row],[next move]]</f>
        <v>VVVVVEVVM00</v>
      </c>
    </row>
    <row r="122" spans="2:9" x14ac:dyDescent="0.25">
      <c r="B122" t="s">
        <v>261</v>
      </c>
      <c r="C122" s="22" t="s">
        <v>26</v>
      </c>
      <c r="D122">
        <v>3</v>
      </c>
      <c r="G122" s="25">
        <f>Table132[[#This Row],[nb win]]/Table132[[#This Row],[nb play]]</f>
        <v>0</v>
      </c>
      <c r="H122" t="str">
        <f>MID(Table132[[#This Row],[ÉTAT]],VALUE(RIGHT(Table132[[#This Row],[next move]],1))+1+VALUE(LEFT(Table132[[#This Row],[next move]],1))*3,1)</f>
        <v>V</v>
      </c>
      <c r="I122" t="str">
        <f>Table132[[#This Row],[ÉTAT]]&amp;Table132[[#This Row],[next move]]</f>
        <v>VVVVVEVVM01</v>
      </c>
    </row>
    <row r="123" spans="2:9" x14ac:dyDescent="0.25">
      <c r="B123" t="s">
        <v>261</v>
      </c>
      <c r="C123" s="22" t="s">
        <v>20</v>
      </c>
      <c r="D123">
        <v>2</v>
      </c>
      <c r="G123" s="30">
        <f>Table132[[#This Row],[nb win]]/Table132[[#This Row],[nb play]]</f>
        <v>0</v>
      </c>
      <c r="H123" t="str">
        <f>MID(Table132[[#This Row],[ÉTAT]],VALUE(RIGHT(Table132[[#This Row],[next move]],1))+1+VALUE(LEFT(Table132[[#This Row],[next move]],1))*3,1)</f>
        <v>V</v>
      </c>
      <c r="I123" t="str">
        <f>Table132[[#This Row],[ÉTAT]]&amp;Table132[[#This Row],[next move]]</f>
        <v>VVVVVEVVM02</v>
      </c>
    </row>
    <row r="124" spans="2:9" x14ac:dyDescent="0.25">
      <c r="B124" t="s">
        <v>261</v>
      </c>
      <c r="C124" s="22" t="s">
        <v>30</v>
      </c>
      <c r="D124">
        <v>2</v>
      </c>
      <c r="E124">
        <v>2</v>
      </c>
      <c r="G124" s="31">
        <f>Table132[[#This Row],[nb win]]/Table132[[#This Row],[nb play]]</f>
        <v>1</v>
      </c>
      <c r="H124" t="str">
        <f>MID(Table132[[#This Row],[ÉTAT]],VALUE(RIGHT(Table132[[#This Row],[next move]],1))+1+VALUE(LEFT(Table132[[#This Row],[next move]],1))*3,1)</f>
        <v>V</v>
      </c>
      <c r="I124" t="str">
        <f>Table132[[#This Row],[ÉTAT]]&amp;Table132[[#This Row],[next move]]</f>
        <v>VVVVVEVVM10</v>
      </c>
    </row>
    <row r="125" spans="2:9" x14ac:dyDescent="0.25">
      <c r="B125" t="s">
        <v>261</v>
      </c>
      <c r="C125" s="22" t="s">
        <v>29</v>
      </c>
      <c r="D125">
        <v>7</v>
      </c>
      <c r="E125">
        <v>6</v>
      </c>
      <c r="G125" s="31">
        <f>Table132[[#This Row],[nb win]]/Table132[[#This Row],[nb play]]</f>
        <v>0.8571428571428571</v>
      </c>
      <c r="H125" t="str">
        <f>MID(Table132[[#This Row],[ÉTAT]],VALUE(RIGHT(Table132[[#This Row],[next move]],1))+1+VALUE(LEFT(Table132[[#This Row],[next move]],1))*3,1)</f>
        <v>V</v>
      </c>
      <c r="I125" t="str">
        <f>Table132[[#This Row],[ÉTAT]]&amp;Table132[[#This Row],[next move]]</f>
        <v>VVVVVEVVM11</v>
      </c>
    </row>
    <row r="126" spans="2:9" x14ac:dyDescent="0.25">
      <c r="B126" t="s">
        <v>261</v>
      </c>
      <c r="C126" s="22" t="s">
        <v>22</v>
      </c>
      <c r="D126">
        <v>11</v>
      </c>
      <c r="E126">
        <v>9</v>
      </c>
      <c r="G126" s="31">
        <f>Table132[[#This Row],[nb win]]/Table132[[#This Row],[nb play]]</f>
        <v>0.81818181818181823</v>
      </c>
      <c r="H126" t="str">
        <f>MID(Table132[[#This Row],[ÉTAT]],VALUE(RIGHT(Table132[[#This Row],[next move]],1))+1+VALUE(LEFT(Table132[[#This Row],[next move]],1))*3,1)</f>
        <v>V</v>
      </c>
      <c r="I126" t="str">
        <f>Table132[[#This Row],[ÉTAT]]&amp;Table132[[#This Row],[next move]]</f>
        <v>VVVVVEVVM21</v>
      </c>
    </row>
    <row r="127" spans="2:9" x14ac:dyDescent="0.25">
      <c r="B127" t="s">
        <v>357</v>
      </c>
      <c r="C127" s="22" t="s">
        <v>24</v>
      </c>
      <c r="D127">
        <v>8</v>
      </c>
      <c r="E127">
        <v>2</v>
      </c>
      <c r="G127" s="30">
        <f>Table132[[#This Row],[nb win]]/Table132[[#This Row],[nb play]]</f>
        <v>0.25</v>
      </c>
      <c r="H127" t="str">
        <f>MID(Table132[[#This Row],[ÉTAT]],VALUE(RIGHT(Table132[[#This Row],[next move]],1))+1+VALUE(LEFT(Table132[[#This Row],[next move]],1))*3,1)</f>
        <v>V</v>
      </c>
      <c r="I127" t="str">
        <f>Table132[[#This Row],[ÉTAT]]&amp;Table132[[#This Row],[next move]]</f>
        <v>VVVVVEVMV00</v>
      </c>
    </row>
    <row r="128" spans="2:9" x14ac:dyDescent="0.25">
      <c r="B128" t="s">
        <v>357</v>
      </c>
      <c r="C128" s="22" t="s">
        <v>26</v>
      </c>
      <c r="D128">
        <v>12</v>
      </c>
      <c r="E128">
        <v>8</v>
      </c>
      <c r="G128" s="31">
        <f>Table132[[#This Row],[nb win]]/Table132[[#This Row],[nb play]]</f>
        <v>0.66666666666666663</v>
      </c>
      <c r="H128" t="str">
        <f>MID(Table132[[#This Row],[ÉTAT]],VALUE(RIGHT(Table132[[#This Row],[next move]],1))+1+VALUE(LEFT(Table132[[#This Row],[next move]],1))*3,1)</f>
        <v>V</v>
      </c>
      <c r="I128" t="str">
        <f>Table132[[#This Row],[ÉTAT]]&amp;Table132[[#This Row],[next move]]</f>
        <v>VVVVVEVMV01</v>
      </c>
    </row>
    <row r="129" spans="2:9" x14ac:dyDescent="0.25">
      <c r="B129" t="s">
        <v>357</v>
      </c>
      <c r="C129" s="22" t="s">
        <v>20</v>
      </c>
      <c r="D129">
        <v>23</v>
      </c>
      <c r="E129">
        <v>17</v>
      </c>
      <c r="G129" s="31">
        <f>Table132[[#This Row],[nb win]]/Table132[[#This Row],[nb play]]</f>
        <v>0.73913043478260865</v>
      </c>
      <c r="H129" t="str">
        <f>MID(Table132[[#This Row],[ÉTAT]],VALUE(RIGHT(Table132[[#This Row],[next move]],1))+1+VALUE(LEFT(Table132[[#This Row],[next move]],1))*3,1)</f>
        <v>V</v>
      </c>
      <c r="I129" t="str">
        <f>Table132[[#This Row],[ÉTAT]]&amp;Table132[[#This Row],[next move]]</f>
        <v>VVVVVEVMV02</v>
      </c>
    </row>
    <row r="130" spans="2:9" x14ac:dyDescent="0.25">
      <c r="B130" t="s">
        <v>357</v>
      </c>
      <c r="C130" s="22" t="s">
        <v>30</v>
      </c>
      <c r="D130">
        <v>4</v>
      </c>
      <c r="E130">
        <v>3</v>
      </c>
      <c r="G130" s="31">
        <f>Table132[[#This Row],[nb win]]/Table132[[#This Row],[nb play]]</f>
        <v>0.75</v>
      </c>
      <c r="H130" t="str">
        <f>MID(Table132[[#This Row],[ÉTAT]],VALUE(RIGHT(Table132[[#This Row],[next move]],1))+1+VALUE(LEFT(Table132[[#This Row],[next move]],1))*3,1)</f>
        <v>V</v>
      </c>
      <c r="I130" t="str">
        <f>Table132[[#This Row],[ÉTAT]]&amp;Table132[[#This Row],[next move]]</f>
        <v>VVVVVEVMV10</v>
      </c>
    </row>
    <row r="131" spans="2:9" x14ac:dyDescent="0.25">
      <c r="B131" t="s">
        <v>357</v>
      </c>
      <c r="C131" s="22" t="s">
        <v>29</v>
      </c>
      <c r="D131">
        <v>5</v>
      </c>
      <c r="E131">
        <v>1</v>
      </c>
      <c r="G131" s="30">
        <f>Table132[[#This Row],[nb win]]/Table132[[#This Row],[nb play]]</f>
        <v>0.2</v>
      </c>
      <c r="H131" t="str">
        <f>MID(Table132[[#This Row],[ÉTAT]],VALUE(RIGHT(Table132[[#This Row],[next move]],1))+1+VALUE(LEFT(Table132[[#This Row],[next move]],1))*3,1)</f>
        <v>V</v>
      </c>
      <c r="I131" t="str">
        <f>Table132[[#This Row],[ÉTAT]]&amp;Table132[[#This Row],[next move]]</f>
        <v>VVVVVEVMV11</v>
      </c>
    </row>
    <row r="132" spans="2:9" x14ac:dyDescent="0.25">
      <c r="B132" t="s">
        <v>357</v>
      </c>
      <c r="C132" s="22" t="s">
        <v>35</v>
      </c>
      <c r="D132">
        <v>9</v>
      </c>
      <c r="E132">
        <v>5</v>
      </c>
      <c r="G132" s="30">
        <f>Table132[[#This Row],[nb win]]/Table132[[#This Row],[nb play]]</f>
        <v>0.55555555555555558</v>
      </c>
      <c r="H132" t="str">
        <f>MID(Table132[[#This Row],[ÉTAT]],VALUE(RIGHT(Table132[[#This Row],[next move]],1))+1+VALUE(LEFT(Table132[[#This Row],[next move]],1))*3,1)</f>
        <v>V</v>
      </c>
      <c r="I132" t="str">
        <f>Table132[[#This Row],[ÉTAT]]&amp;Table132[[#This Row],[next move]]</f>
        <v>VVVVVEVMV20</v>
      </c>
    </row>
    <row r="133" spans="2:9" x14ac:dyDescent="0.25">
      <c r="B133" t="s">
        <v>357</v>
      </c>
      <c r="C133" s="22" t="s">
        <v>31</v>
      </c>
      <c r="D133">
        <v>13</v>
      </c>
      <c r="E133">
        <v>9</v>
      </c>
      <c r="G133" s="30">
        <f>Table132[[#This Row],[nb win]]/Table132[[#This Row],[nb play]]</f>
        <v>0.69230769230769229</v>
      </c>
      <c r="H133" t="str">
        <f>MID(Table132[[#This Row],[ÉTAT]],VALUE(RIGHT(Table132[[#This Row],[next move]],1))+1+VALUE(LEFT(Table132[[#This Row],[next move]],1))*3,1)</f>
        <v>V</v>
      </c>
      <c r="I133" t="str">
        <f>Table132[[#This Row],[ÉTAT]]&amp;Table132[[#This Row],[next move]]</f>
        <v>VVVVVEVMV22</v>
      </c>
    </row>
    <row r="134" spans="2:9" x14ac:dyDescent="0.25">
      <c r="B134" t="s">
        <v>1394</v>
      </c>
      <c r="C134" s="22" t="s">
        <v>24</v>
      </c>
      <c r="D134">
        <v>3</v>
      </c>
      <c r="G134" s="30">
        <f>Table132[[#This Row],[nb win]]/Table132[[#This Row],[nb play]]</f>
        <v>0</v>
      </c>
      <c r="H134" t="str">
        <f>MID(Table132[[#This Row],[ÉTAT]],VALUE(RIGHT(Table132[[#This Row],[next move]],1))+1+VALUE(LEFT(Table132[[#This Row],[next move]],1))*3,1)</f>
        <v>V</v>
      </c>
      <c r="I134" t="str">
        <f>Table132[[#This Row],[ÉTAT]]&amp;Table132[[#This Row],[next move]]</f>
        <v>VVVVVEVME00</v>
      </c>
    </row>
    <row r="135" spans="2:9" x14ac:dyDescent="0.25">
      <c r="B135" t="s">
        <v>1394</v>
      </c>
      <c r="C135" s="22" t="s">
        <v>26</v>
      </c>
      <c r="D135">
        <v>6</v>
      </c>
      <c r="E135">
        <v>2</v>
      </c>
      <c r="G135" s="30">
        <f>Table132[[#This Row],[nb win]]/Table132[[#This Row],[nb play]]</f>
        <v>0.33333333333333331</v>
      </c>
      <c r="H135" t="str">
        <f>MID(Table132[[#This Row],[ÉTAT]],VALUE(RIGHT(Table132[[#This Row],[next move]],1))+1+VALUE(LEFT(Table132[[#This Row],[next move]],1))*3,1)</f>
        <v>V</v>
      </c>
      <c r="I135" t="str">
        <f>Table132[[#This Row],[ÉTAT]]&amp;Table132[[#This Row],[next move]]</f>
        <v>VVVVVEVME01</v>
      </c>
    </row>
    <row r="136" spans="2:9" x14ac:dyDescent="0.25">
      <c r="B136" t="s">
        <v>1394</v>
      </c>
      <c r="C136" s="22" t="s">
        <v>20</v>
      </c>
      <c r="D136">
        <v>3</v>
      </c>
      <c r="G136" s="30">
        <f>Table132[[#This Row],[nb win]]/Table132[[#This Row],[nb play]]</f>
        <v>0</v>
      </c>
      <c r="H136" t="str">
        <f>MID(Table132[[#This Row],[ÉTAT]],VALUE(RIGHT(Table132[[#This Row],[next move]],1))+1+VALUE(LEFT(Table132[[#This Row],[next move]],1))*3,1)</f>
        <v>V</v>
      </c>
      <c r="I136" t="str">
        <f>Table132[[#This Row],[ÉTAT]]&amp;Table132[[#This Row],[next move]]</f>
        <v>VVVVVEVME02</v>
      </c>
    </row>
    <row r="137" spans="2:9" x14ac:dyDescent="0.25">
      <c r="B137" t="s">
        <v>1394</v>
      </c>
      <c r="C137" s="22" t="s">
        <v>29</v>
      </c>
      <c r="D137">
        <v>2</v>
      </c>
      <c r="E137">
        <v>2</v>
      </c>
      <c r="G137" s="31">
        <f>Table132[[#This Row],[nb win]]/Table132[[#This Row],[nb play]]</f>
        <v>1</v>
      </c>
      <c r="H137" t="str">
        <f>MID(Table132[[#This Row],[ÉTAT]],VALUE(RIGHT(Table132[[#This Row],[next move]],1))+1+VALUE(LEFT(Table132[[#This Row],[next move]],1))*3,1)</f>
        <v>V</v>
      </c>
      <c r="I137" t="str">
        <f>Table132[[#This Row],[ÉTAT]]&amp;Table132[[#This Row],[next move]]</f>
        <v>VVVVVEVME11</v>
      </c>
    </row>
    <row r="138" spans="2:9" x14ac:dyDescent="0.25">
      <c r="B138" t="s">
        <v>1394</v>
      </c>
      <c r="C138" s="22" t="s">
        <v>35</v>
      </c>
      <c r="D138">
        <v>4</v>
      </c>
      <c r="G138" s="30">
        <f>Table132[[#This Row],[nb win]]/Table132[[#This Row],[nb play]]</f>
        <v>0</v>
      </c>
      <c r="H138" t="str">
        <f>MID(Table132[[#This Row],[ÉTAT]],VALUE(RIGHT(Table132[[#This Row],[next move]],1))+1+VALUE(LEFT(Table132[[#This Row],[next move]],1))*3,1)</f>
        <v>V</v>
      </c>
      <c r="I138" t="str">
        <f>Table132[[#This Row],[ÉTAT]]&amp;Table132[[#This Row],[next move]]</f>
        <v>VVVVVEVME20</v>
      </c>
    </row>
    <row r="139" spans="2:9" x14ac:dyDescent="0.25">
      <c r="B139" t="s">
        <v>663</v>
      </c>
      <c r="C139" s="22" t="s">
        <v>24</v>
      </c>
      <c r="D139">
        <v>2</v>
      </c>
      <c r="E139">
        <v>1</v>
      </c>
      <c r="G139" s="30">
        <f>Table132[[#This Row],[nb win]]/Table132[[#This Row],[nb play]]</f>
        <v>0.5</v>
      </c>
      <c r="H139" t="str">
        <f>MID(Table132[[#This Row],[ÉTAT]],VALUE(RIGHT(Table132[[#This Row],[next move]],1))+1+VALUE(LEFT(Table132[[#This Row],[next move]],1))*3,1)</f>
        <v>V</v>
      </c>
      <c r="I139" t="str">
        <f>Table132[[#This Row],[ÉTAT]]&amp;Table132[[#This Row],[next move]]</f>
        <v>VVVVVEVEM00</v>
      </c>
    </row>
    <row r="140" spans="2:9" x14ac:dyDescent="0.25">
      <c r="B140" t="s">
        <v>663</v>
      </c>
      <c r="C140" s="22" t="s">
        <v>30</v>
      </c>
      <c r="D140">
        <v>5</v>
      </c>
      <c r="E140">
        <v>2</v>
      </c>
      <c r="G140" s="30">
        <f>Table132[[#This Row],[nb win]]/Table132[[#This Row],[nb play]]</f>
        <v>0.4</v>
      </c>
      <c r="H140" t="str">
        <f>MID(Table132[[#This Row],[ÉTAT]],VALUE(RIGHT(Table132[[#This Row],[next move]],1))+1+VALUE(LEFT(Table132[[#This Row],[next move]],1))*3,1)</f>
        <v>V</v>
      </c>
      <c r="I140" t="str">
        <f>Table132[[#This Row],[ÉTAT]]&amp;Table132[[#This Row],[next move]]</f>
        <v>VVVVVEVEM10</v>
      </c>
    </row>
    <row r="141" spans="2:9" x14ac:dyDescent="0.25">
      <c r="B141" t="s">
        <v>663</v>
      </c>
      <c r="C141" s="22" t="s">
        <v>35</v>
      </c>
      <c r="D141">
        <v>2</v>
      </c>
      <c r="G141" s="30">
        <f>Table132[[#This Row],[nb win]]/Table132[[#This Row],[nb play]]</f>
        <v>0</v>
      </c>
      <c r="H141" t="str">
        <f>MID(Table132[[#This Row],[ÉTAT]],VALUE(RIGHT(Table132[[#This Row],[next move]],1))+1+VALUE(LEFT(Table132[[#This Row],[next move]],1))*3,1)</f>
        <v>V</v>
      </c>
      <c r="I141" t="str">
        <f>Table132[[#This Row],[ÉTAT]]&amp;Table132[[#This Row],[next move]]</f>
        <v>VVVVVEVEM20</v>
      </c>
    </row>
    <row r="142" spans="2:9" x14ac:dyDescent="0.25">
      <c r="B142" t="s">
        <v>533</v>
      </c>
      <c r="C142" s="22" t="s">
        <v>24</v>
      </c>
      <c r="D142">
        <v>5</v>
      </c>
      <c r="E142">
        <v>4</v>
      </c>
      <c r="G142" s="31">
        <f>Table132[[#This Row],[nb win]]/Table132[[#This Row],[nb play]]</f>
        <v>0.8</v>
      </c>
      <c r="H142" t="str">
        <f>MID(Table132[[#This Row],[ÉTAT]],VALUE(RIGHT(Table132[[#This Row],[next move]],1))+1+VALUE(LEFT(Table132[[#This Row],[next move]],1))*3,1)</f>
        <v>V</v>
      </c>
      <c r="I142" t="str">
        <f>Table132[[#This Row],[ÉTAT]]&amp;Table132[[#This Row],[next move]]</f>
        <v>VVVVVEMVV00</v>
      </c>
    </row>
    <row r="143" spans="2:9" x14ac:dyDescent="0.25">
      <c r="B143" t="s">
        <v>533</v>
      </c>
      <c r="C143" s="22" t="s">
        <v>26</v>
      </c>
      <c r="D143">
        <v>4</v>
      </c>
      <c r="E143">
        <v>2</v>
      </c>
      <c r="G143" s="31">
        <f>Table132[[#This Row],[nb win]]/Table132[[#This Row],[nb play]]</f>
        <v>0.5</v>
      </c>
      <c r="H143" t="str">
        <f>MID(Table132[[#This Row],[ÉTAT]],VALUE(RIGHT(Table132[[#This Row],[next move]],1))+1+VALUE(LEFT(Table132[[#This Row],[next move]],1))*3,1)</f>
        <v>V</v>
      </c>
      <c r="I143" t="str">
        <f>Table132[[#This Row],[ÉTAT]]&amp;Table132[[#This Row],[next move]]</f>
        <v>VVVVVEMVV01</v>
      </c>
    </row>
    <row r="144" spans="2:9" x14ac:dyDescent="0.25">
      <c r="B144" t="s">
        <v>533</v>
      </c>
      <c r="C144" s="22" t="s">
        <v>20</v>
      </c>
      <c r="D144">
        <v>4</v>
      </c>
      <c r="E144">
        <v>3</v>
      </c>
      <c r="G144" s="31">
        <f>Table132[[#This Row],[nb win]]/Table132[[#This Row],[nb play]]</f>
        <v>0.75</v>
      </c>
      <c r="H144" t="str">
        <f>MID(Table132[[#This Row],[ÉTAT]],VALUE(RIGHT(Table132[[#This Row],[next move]],1))+1+VALUE(LEFT(Table132[[#This Row],[next move]],1))*3,1)</f>
        <v>V</v>
      </c>
      <c r="I144" t="str">
        <f>Table132[[#This Row],[ÉTAT]]&amp;Table132[[#This Row],[next move]]</f>
        <v>VVVVVEMVV02</v>
      </c>
    </row>
    <row r="145" spans="2:9" x14ac:dyDescent="0.25">
      <c r="B145" t="s">
        <v>533</v>
      </c>
      <c r="C145" s="22" t="s">
        <v>30</v>
      </c>
      <c r="D145">
        <v>10</v>
      </c>
      <c r="E145">
        <v>7</v>
      </c>
      <c r="G145" s="31">
        <f>Table132[[#This Row],[nb win]]/Table132[[#This Row],[nb play]]</f>
        <v>0.7</v>
      </c>
      <c r="H145" t="str">
        <f>MID(Table132[[#This Row],[ÉTAT]],VALUE(RIGHT(Table132[[#This Row],[next move]],1))+1+VALUE(LEFT(Table132[[#This Row],[next move]],1))*3,1)</f>
        <v>V</v>
      </c>
      <c r="I145" t="str">
        <f>Table132[[#This Row],[ÉTAT]]&amp;Table132[[#This Row],[next move]]</f>
        <v>VVVVVEMVV10</v>
      </c>
    </row>
    <row r="146" spans="2:9" x14ac:dyDescent="0.25">
      <c r="B146" t="s">
        <v>533</v>
      </c>
      <c r="C146" s="22" t="s">
        <v>29</v>
      </c>
      <c r="D146">
        <v>3</v>
      </c>
      <c r="E146">
        <v>3</v>
      </c>
      <c r="G146" s="31">
        <f>Table132[[#This Row],[nb win]]/Table132[[#This Row],[nb play]]</f>
        <v>1</v>
      </c>
      <c r="H146" t="str">
        <f>MID(Table132[[#This Row],[ÉTAT]],VALUE(RIGHT(Table132[[#This Row],[next move]],1))+1+VALUE(LEFT(Table132[[#This Row],[next move]],1))*3,1)</f>
        <v>V</v>
      </c>
      <c r="I146" t="str">
        <f>Table132[[#This Row],[ÉTAT]]&amp;Table132[[#This Row],[next move]]</f>
        <v>VVVVVEMVV11</v>
      </c>
    </row>
    <row r="147" spans="2:9" x14ac:dyDescent="0.25">
      <c r="B147" t="s">
        <v>533</v>
      </c>
      <c r="C147" s="22" t="s">
        <v>22</v>
      </c>
      <c r="D147">
        <v>10</v>
      </c>
      <c r="E147">
        <v>7</v>
      </c>
      <c r="G147" s="31">
        <f>Table132[[#This Row],[nb win]]/Table132[[#This Row],[nb play]]</f>
        <v>0.7</v>
      </c>
      <c r="H147" t="str">
        <f>MID(Table132[[#This Row],[ÉTAT]],VALUE(RIGHT(Table132[[#This Row],[next move]],1))+1+VALUE(LEFT(Table132[[#This Row],[next move]],1))*3,1)</f>
        <v>V</v>
      </c>
      <c r="I147" t="str">
        <f>Table132[[#This Row],[ÉTAT]]&amp;Table132[[#This Row],[next move]]</f>
        <v>VVVVVEMVV21</v>
      </c>
    </row>
    <row r="148" spans="2:9" x14ac:dyDescent="0.25">
      <c r="B148" t="s">
        <v>533</v>
      </c>
      <c r="C148" s="22" t="s">
        <v>31</v>
      </c>
      <c r="D148">
        <v>12</v>
      </c>
      <c r="E148">
        <v>11</v>
      </c>
      <c r="G148" s="31">
        <f>Table132[[#This Row],[nb win]]/Table132[[#This Row],[nb play]]</f>
        <v>0.91666666666666663</v>
      </c>
      <c r="H148" t="str">
        <f>MID(Table132[[#This Row],[ÉTAT]],VALUE(RIGHT(Table132[[#This Row],[next move]],1))+1+VALUE(LEFT(Table132[[#This Row],[next move]],1))*3,1)</f>
        <v>V</v>
      </c>
      <c r="I148" t="str">
        <f>Table132[[#This Row],[ÉTAT]]&amp;Table132[[#This Row],[next move]]</f>
        <v>VVVVVEMVV22</v>
      </c>
    </row>
    <row r="149" spans="2:9" x14ac:dyDescent="0.25">
      <c r="B149" t="s">
        <v>620</v>
      </c>
      <c r="C149" s="22" t="s">
        <v>20</v>
      </c>
      <c r="D149">
        <v>2</v>
      </c>
      <c r="E149">
        <v>2</v>
      </c>
      <c r="G149" s="31">
        <f>Table132[[#This Row],[nb win]]/Table132[[#This Row],[nb play]]</f>
        <v>1</v>
      </c>
      <c r="H149" t="str">
        <f>MID(Table132[[#This Row],[ÉTAT]],VALUE(RIGHT(Table132[[#This Row],[next move]],1))+1+VALUE(LEFT(Table132[[#This Row],[next move]],1))*3,1)</f>
        <v>V</v>
      </c>
      <c r="I149" t="str">
        <f>Table132[[#This Row],[ÉTAT]]&amp;Table132[[#This Row],[next move]]</f>
        <v>VVVVVEMVE02</v>
      </c>
    </row>
    <row r="150" spans="2:9" x14ac:dyDescent="0.25">
      <c r="B150" t="s">
        <v>620</v>
      </c>
      <c r="C150" s="22" t="s">
        <v>30</v>
      </c>
      <c r="D150">
        <v>3</v>
      </c>
      <c r="E150">
        <v>1</v>
      </c>
      <c r="G150" s="30">
        <f>Table132[[#This Row],[nb win]]/Table132[[#This Row],[nb play]]</f>
        <v>0.33333333333333331</v>
      </c>
      <c r="H150" t="str">
        <f>MID(Table132[[#This Row],[ÉTAT]],VALUE(RIGHT(Table132[[#This Row],[next move]],1))+1+VALUE(LEFT(Table132[[#This Row],[next move]],1))*3,1)</f>
        <v>V</v>
      </c>
      <c r="I150" t="str">
        <f>Table132[[#This Row],[ÉTAT]]&amp;Table132[[#This Row],[next move]]</f>
        <v>VVVVVEMVE10</v>
      </c>
    </row>
    <row r="151" spans="2:9" x14ac:dyDescent="0.25">
      <c r="B151" t="s">
        <v>620</v>
      </c>
      <c r="C151" s="22" t="s">
        <v>29</v>
      </c>
      <c r="D151">
        <v>2</v>
      </c>
      <c r="G151" s="25">
        <f>Table132[[#This Row],[nb win]]/Table132[[#This Row],[nb play]]</f>
        <v>0</v>
      </c>
      <c r="H151" t="str">
        <f>MID(Table132[[#This Row],[ÉTAT]],VALUE(RIGHT(Table132[[#This Row],[next move]],1))+1+VALUE(LEFT(Table132[[#This Row],[next move]],1))*3,1)</f>
        <v>V</v>
      </c>
      <c r="I151" t="str">
        <f>Table132[[#This Row],[ÉTAT]]&amp;Table132[[#This Row],[next move]]</f>
        <v>VVVVVEMVE11</v>
      </c>
    </row>
    <row r="152" spans="2:9" x14ac:dyDescent="0.25">
      <c r="B152" t="s">
        <v>620</v>
      </c>
      <c r="C152" s="22" t="s">
        <v>22</v>
      </c>
      <c r="D152">
        <v>4</v>
      </c>
      <c r="G152" s="30">
        <f>Table132[[#This Row],[nb win]]/Table132[[#This Row],[nb play]]</f>
        <v>0</v>
      </c>
      <c r="H152" t="str">
        <f>MID(Table132[[#This Row],[ÉTAT]],VALUE(RIGHT(Table132[[#This Row],[next move]],1))+1+VALUE(LEFT(Table132[[#This Row],[next move]],1))*3,1)</f>
        <v>V</v>
      </c>
      <c r="I152" t="str">
        <f>Table132[[#This Row],[ÉTAT]]&amp;Table132[[#This Row],[next move]]</f>
        <v>VVVVVEMVE21</v>
      </c>
    </row>
    <row r="153" spans="2:9" x14ac:dyDescent="0.25">
      <c r="B153" t="s">
        <v>2969</v>
      </c>
      <c r="C153" s="22" t="s">
        <v>24</v>
      </c>
      <c r="D153">
        <v>1</v>
      </c>
      <c r="G153" s="25">
        <f>Table132[[#This Row],[nb win]]/Table132[[#This Row],[nb play]]</f>
        <v>0</v>
      </c>
      <c r="H153" t="str">
        <f>MID(Table132[[#This Row],[ÉTAT]],VALUE(RIGHT(Table132[[#This Row],[next move]],1))+1+VALUE(LEFT(Table132[[#This Row],[next move]],1))*3,1)</f>
        <v>V</v>
      </c>
      <c r="I153" t="str">
        <f>Table132[[#This Row],[ÉTAT]]&amp;Table132[[#This Row],[next move]]</f>
        <v>VVVVVEMME00</v>
      </c>
    </row>
    <row r="154" spans="2:9" x14ac:dyDescent="0.25">
      <c r="B154" t="s">
        <v>2969</v>
      </c>
      <c r="C154" s="22" t="s">
        <v>20</v>
      </c>
      <c r="D154">
        <v>2</v>
      </c>
      <c r="G154" s="30">
        <f>Table132[[#This Row],[nb win]]/Table132[[#This Row],[nb play]]</f>
        <v>0</v>
      </c>
      <c r="H154" t="str">
        <f>MID(Table132[[#This Row],[ÉTAT]],VALUE(RIGHT(Table132[[#This Row],[next move]],1))+1+VALUE(LEFT(Table132[[#This Row],[next move]],1))*3,1)</f>
        <v>V</v>
      </c>
      <c r="I154" t="str">
        <f>Table132[[#This Row],[ÉTAT]]&amp;Table132[[#This Row],[next move]]</f>
        <v>VVVVVEMME02</v>
      </c>
    </row>
    <row r="155" spans="2:9" x14ac:dyDescent="0.25">
      <c r="B155" t="s">
        <v>2969</v>
      </c>
      <c r="C155" s="22" t="s">
        <v>30</v>
      </c>
      <c r="D155">
        <v>2</v>
      </c>
      <c r="E155">
        <v>1</v>
      </c>
      <c r="G155" s="30">
        <f>Table132[[#This Row],[nb win]]/Table132[[#This Row],[nb play]]</f>
        <v>0.5</v>
      </c>
      <c r="H155" t="str">
        <f>MID(Table132[[#This Row],[ÉTAT]],VALUE(RIGHT(Table132[[#This Row],[next move]],1))+1+VALUE(LEFT(Table132[[#This Row],[next move]],1))*3,1)</f>
        <v>V</v>
      </c>
      <c r="I155" t="str">
        <f>Table132[[#This Row],[ÉTAT]]&amp;Table132[[#This Row],[next move]]</f>
        <v>VVVVVEMME10</v>
      </c>
    </row>
    <row r="156" spans="2:9" x14ac:dyDescent="0.25">
      <c r="B156" t="s">
        <v>1453</v>
      </c>
      <c r="C156" s="22" t="s">
        <v>24</v>
      </c>
      <c r="D156">
        <v>1</v>
      </c>
      <c r="G156" s="25">
        <f>Table132[[#This Row],[nb win]]/Table132[[#This Row],[nb play]]</f>
        <v>0</v>
      </c>
      <c r="H156" t="str">
        <f>MID(Table132[[#This Row],[ÉTAT]],VALUE(RIGHT(Table132[[#This Row],[next move]],1))+1+VALUE(LEFT(Table132[[#This Row],[next move]],1))*3,1)</f>
        <v>V</v>
      </c>
      <c r="I156" t="str">
        <f>Table132[[#This Row],[ÉTAT]]&amp;Table132[[#This Row],[next move]]</f>
        <v>VVVVVEMEV00</v>
      </c>
    </row>
    <row r="157" spans="2:9" x14ac:dyDescent="0.25">
      <c r="B157" t="s">
        <v>1453</v>
      </c>
      <c r="C157" s="22" t="s">
        <v>26</v>
      </c>
      <c r="D157">
        <v>1</v>
      </c>
      <c r="E157">
        <v>1</v>
      </c>
      <c r="G157" s="25">
        <f>Table132[[#This Row],[nb win]]/Table132[[#This Row],[nb play]]</f>
        <v>1</v>
      </c>
      <c r="H157" t="str">
        <f>MID(Table132[[#This Row],[ÉTAT]],VALUE(RIGHT(Table132[[#This Row],[next move]],1))+1+VALUE(LEFT(Table132[[#This Row],[next move]],1))*3,1)</f>
        <v>V</v>
      </c>
      <c r="I157" t="str">
        <f>Table132[[#This Row],[ÉTAT]]&amp;Table132[[#This Row],[next move]]</f>
        <v>VVVVVEMEV01</v>
      </c>
    </row>
    <row r="158" spans="2:9" x14ac:dyDescent="0.25">
      <c r="B158" t="s">
        <v>1453</v>
      </c>
      <c r="C158" s="22" t="s">
        <v>20</v>
      </c>
      <c r="D158">
        <v>1</v>
      </c>
      <c r="G158" s="25">
        <f>Table132[[#This Row],[nb win]]/Table132[[#This Row],[nb play]]</f>
        <v>0</v>
      </c>
      <c r="H158" t="str">
        <f>MID(Table132[[#This Row],[ÉTAT]],VALUE(RIGHT(Table132[[#This Row],[next move]],1))+1+VALUE(LEFT(Table132[[#This Row],[next move]],1))*3,1)</f>
        <v>V</v>
      </c>
      <c r="I158" t="str">
        <f>Table132[[#This Row],[ÉTAT]]&amp;Table132[[#This Row],[next move]]</f>
        <v>VVVVVEMEV02</v>
      </c>
    </row>
    <row r="159" spans="2:9" x14ac:dyDescent="0.25">
      <c r="B159" t="s">
        <v>1453</v>
      </c>
      <c r="C159" s="22" t="s">
        <v>30</v>
      </c>
      <c r="D159">
        <v>2</v>
      </c>
      <c r="G159" s="30">
        <f>Table132[[#This Row],[nb win]]/Table132[[#This Row],[nb play]]</f>
        <v>0</v>
      </c>
      <c r="H159" t="str">
        <f>MID(Table132[[#This Row],[ÉTAT]],VALUE(RIGHT(Table132[[#This Row],[next move]],1))+1+VALUE(LEFT(Table132[[#This Row],[next move]],1))*3,1)</f>
        <v>V</v>
      </c>
      <c r="I159" t="str">
        <f>Table132[[#This Row],[ÉTAT]]&amp;Table132[[#This Row],[next move]]</f>
        <v>VVVVVEMEV10</v>
      </c>
    </row>
    <row r="160" spans="2:9" x14ac:dyDescent="0.25">
      <c r="B160" t="s">
        <v>437</v>
      </c>
      <c r="C160" s="22" t="s">
        <v>24</v>
      </c>
      <c r="D160">
        <v>1</v>
      </c>
      <c r="G160" s="25">
        <f>Table132[[#This Row],[nb win]]/Table132[[#This Row],[nb play]]</f>
        <v>0</v>
      </c>
      <c r="H160" t="str">
        <f>MID(Table132[[#This Row],[ÉTAT]],VALUE(RIGHT(Table132[[#This Row],[next move]],1))+1+VALUE(LEFT(Table132[[#This Row],[next move]],1))*3,1)</f>
        <v>V</v>
      </c>
      <c r="I160" t="str">
        <f>Table132[[#This Row],[ÉTAT]]&amp;Table132[[#This Row],[next move]]</f>
        <v>VVVVVEMEM00</v>
      </c>
    </row>
    <row r="161" spans="2:9" x14ac:dyDescent="0.25">
      <c r="B161" t="s">
        <v>437</v>
      </c>
      <c r="C161" s="22" t="s">
        <v>26</v>
      </c>
      <c r="D161">
        <v>1</v>
      </c>
      <c r="E161">
        <v>1</v>
      </c>
      <c r="G161" s="25">
        <f>Table132[[#This Row],[nb win]]/Table132[[#This Row],[nb play]]</f>
        <v>1</v>
      </c>
      <c r="H161" t="str">
        <f>MID(Table132[[#This Row],[ÉTAT]],VALUE(RIGHT(Table132[[#This Row],[next move]],1))+1+VALUE(LEFT(Table132[[#This Row],[next move]],1))*3,1)</f>
        <v>V</v>
      </c>
      <c r="I161" t="str">
        <f>Table132[[#This Row],[ÉTAT]]&amp;Table132[[#This Row],[next move]]</f>
        <v>VVVVVEMEM01</v>
      </c>
    </row>
    <row r="162" spans="2:9" x14ac:dyDescent="0.25">
      <c r="B162" t="s">
        <v>597</v>
      </c>
      <c r="C162" s="22" t="s">
        <v>24</v>
      </c>
      <c r="D162">
        <v>3</v>
      </c>
      <c r="E162">
        <v>1</v>
      </c>
      <c r="G162" s="30">
        <f>Table132[[#This Row],[nb win]]/Table132[[#This Row],[nb play]]</f>
        <v>0.33333333333333331</v>
      </c>
      <c r="H162" t="str">
        <f>MID(Table132[[#This Row],[ÉTAT]],VALUE(RIGHT(Table132[[#This Row],[next move]],1))+1+VALUE(LEFT(Table132[[#This Row],[next move]],1))*3,1)</f>
        <v>V</v>
      </c>
      <c r="I162" t="str">
        <f>Table132[[#This Row],[ÉTAT]]&amp;Table132[[#This Row],[next move]]</f>
        <v>VVVVVEEVM00</v>
      </c>
    </row>
    <row r="163" spans="2:9" x14ac:dyDescent="0.25">
      <c r="B163" t="s">
        <v>597</v>
      </c>
      <c r="C163" s="22" t="s">
        <v>20</v>
      </c>
      <c r="D163">
        <v>2</v>
      </c>
      <c r="G163" s="30">
        <f>Table132[[#This Row],[nb win]]/Table132[[#This Row],[nb play]]</f>
        <v>0</v>
      </c>
      <c r="H163" t="str">
        <f>MID(Table132[[#This Row],[ÉTAT]],VALUE(RIGHT(Table132[[#This Row],[next move]],1))+1+VALUE(LEFT(Table132[[#This Row],[next move]],1))*3,1)</f>
        <v>V</v>
      </c>
      <c r="I163" t="str">
        <f>Table132[[#This Row],[ÉTAT]]&amp;Table132[[#This Row],[next move]]</f>
        <v>VVVVVEEVM02</v>
      </c>
    </row>
    <row r="164" spans="2:9" x14ac:dyDescent="0.25">
      <c r="B164" t="s">
        <v>597</v>
      </c>
      <c r="C164" s="22" t="s">
        <v>30</v>
      </c>
      <c r="D164">
        <v>4</v>
      </c>
      <c r="E164">
        <v>1</v>
      </c>
      <c r="G164" s="31">
        <f>Table132[[#This Row],[nb win]]/Table132[[#This Row],[nb play]]</f>
        <v>0.25</v>
      </c>
      <c r="H164" t="str">
        <f>MID(Table132[[#This Row],[ÉTAT]],VALUE(RIGHT(Table132[[#This Row],[next move]],1))+1+VALUE(LEFT(Table132[[#This Row],[next move]],1))*3,1)</f>
        <v>V</v>
      </c>
      <c r="I164" t="str">
        <f>Table132[[#This Row],[ÉTAT]]&amp;Table132[[#This Row],[next move]]</f>
        <v>VVVVVEEVM10</v>
      </c>
    </row>
    <row r="165" spans="2:9" x14ac:dyDescent="0.25">
      <c r="B165" t="s">
        <v>597</v>
      </c>
      <c r="C165" s="22" t="s">
        <v>29</v>
      </c>
      <c r="D165">
        <v>2</v>
      </c>
      <c r="E165">
        <v>1</v>
      </c>
      <c r="G165" s="25">
        <f>Table132[[#This Row],[nb win]]/Table132[[#This Row],[nb play]]</f>
        <v>0.5</v>
      </c>
      <c r="H165" t="str">
        <f>MID(Table132[[#This Row],[ÉTAT]],VALUE(RIGHT(Table132[[#This Row],[next move]],1))+1+VALUE(LEFT(Table132[[#This Row],[next move]],1))*3,1)</f>
        <v>V</v>
      </c>
      <c r="I165" t="str">
        <f>Table132[[#This Row],[ÉTAT]]&amp;Table132[[#This Row],[next move]]</f>
        <v>VVVVVEEVM11</v>
      </c>
    </row>
    <row r="166" spans="2:9" x14ac:dyDescent="0.25">
      <c r="B166" t="s">
        <v>597</v>
      </c>
      <c r="C166" s="22" t="s">
        <v>22</v>
      </c>
      <c r="D166">
        <v>3</v>
      </c>
      <c r="E166">
        <v>3</v>
      </c>
      <c r="G166" s="31">
        <f>Table132[[#This Row],[nb win]]/Table132[[#This Row],[nb play]]</f>
        <v>1</v>
      </c>
      <c r="H166" t="str">
        <f>MID(Table132[[#This Row],[ÉTAT]],VALUE(RIGHT(Table132[[#This Row],[next move]],1))+1+VALUE(LEFT(Table132[[#This Row],[next move]],1))*3,1)</f>
        <v>V</v>
      </c>
      <c r="I166" t="str">
        <f>Table132[[#This Row],[ÉTAT]]&amp;Table132[[#This Row],[next move]]</f>
        <v>VVVVVEEVM21</v>
      </c>
    </row>
    <row r="167" spans="2:9" x14ac:dyDescent="0.25">
      <c r="B167" t="s">
        <v>577</v>
      </c>
      <c r="C167" s="22" t="s">
        <v>24</v>
      </c>
      <c r="D167">
        <v>4</v>
      </c>
      <c r="E167">
        <v>3</v>
      </c>
      <c r="G167" s="31">
        <f>Table132[[#This Row],[nb win]]/Table132[[#This Row],[nb play]]</f>
        <v>0.75</v>
      </c>
      <c r="H167" t="str">
        <f>MID(Table132[[#This Row],[ÉTAT]],VALUE(RIGHT(Table132[[#This Row],[next move]],1))+1+VALUE(LEFT(Table132[[#This Row],[next move]],1))*3,1)</f>
        <v>V</v>
      </c>
      <c r="I167" t="str">
        <f>Table132[[#This Row],[ÉTAT]]&amp;Table132[[#This Row],[next move]]</f>
        <v>VVVVVEEMV00</v>
      </c>
    </row>
    <row r="168" spans="2:9" x14ac:dyDescent="0.25">
      <c r="B168" t="s">
        <v>577</v>
      </c>
      <c r="C168" s="22" t="s">
        <v>26</v>
      </c>
      <c r="D168">
        <v>5</v>
      </c>
      <c r="E168">
        <v>3</v>
      </c>
      <c r="G168" s="31">
        <f>Table132[[#This Row],[nb win]]/Table132[[#This Row],[nb play]]</f>
        <v>0.6</v>
      </c>
      <c r="H168" t="str">
        <f>MID(Table132[[#This Row],[ÉTAT]],VALUE(RIGHT(Table132[[#This Row],[next move]],1))+1+VALUE(LEFT(Table132[[#This Row],[next move]],1))*3,1)</f>
        <v>V</v>
      </c>
      <c r="I168" t="str">
        <f>Table132[[#This Row],[ÉTAT]]&amp;Table132[[#This Row],[next move]]</f>
        <v>VVVVVEEMV01</v>
      </c>
    </row>
    <row r="169" spans="2:9" x14ac:dyDescent="0.25">
      <c r="B169" t="s">
        <v>577</v>
      </c>
      <c r="C169" s="22" t="s">
        <v>20</v>
      </c>
      <c r="D169">
        <v>2</v>
      </c>
      <c r="E169">
        <v>1</v>
      </c>
      <c r="G169" s="30">
        <f>Table132[[#This Row],[nb win]]/Table132[[#This Row],[nb play]]</f>
        <v>0.5</v>
      </c>
      <c r="H169" t="str">
        <f>MID(Table132[[#This Row],[ÉTAT]],VALUE(RIGHT(Table132[[#This Row],[next move]],1))+1+VALUE(LEFT(Table132[[#This Row],[next move]],1))*3,1)</f>
        <v>V</v>
      </c>
      <c r="I169" t="str">
        <f>Table132[[#This Row],[ÉTAT]]&amp;Table132[[#This Row],[next move]]</f>
        <v>VVVVVEEMV02</v>
      </c>
    </row>
    <row r="170" spans="2:9" x14ac:dyDescent="0.25">
      <c r="B170" t="s">
        <v>577</v>
      </c>
      <c r="C170" s="22" t="s">
        <v>30</v>
      </c>
      <c r="D170">
        <v>1</v>
      </c>
      <c r="G170" s="30">
        <f>Table132[[#This Row],[nb win]]/Table132[[#This Row],[nb play]]</f>
        <v>0</v>
      </c>
      <c r="H170" t="str">
        <f>MID(Table132[[#This Row],[ÉTAT]],VALUE(RIGHT(Table132[[#This Row],[next move]],1))+1+VALUE(LEFT(Table132[[#This Row],[next move]],1))*3,1)</f>
        <v>V</v>
      </c>
      <c r="I170" t="str">
        <f>Table132[[#This Row],[ÉTAT]]&amp;Table132[[#This Row],[next move]]</f>
        <v>VVVVVEEMV10</v>
      </c>
    </row>
    <row r="171" spans="2:9" x14ac:dyDescent="0.25">
      <c r="B171" t="s">
        <v>577</v>
      </c>
      <c r="C171" s="22" t="s">
        <v>29</v>
      </c>
      <c r="D171">
        <v>5</v>
      </c>
      <c r="E171">
        <v>3</v>
      </c>
      <c r="G171" s="30">
        <f>Table132[[#This Row],[nb win]]/Table132[[#This Row],[nb play]]</f>
        <v>0.6</v>
      </c>
      <c r="H171" t="str">
        <f>MID(Table132[[#This Row],[ÉTAT]],VALUE(RIGHT(Table132[[#This Row],[next move]],1))+1+VALUE(LEFT(Table132[[#This Row],[next move]],1))*3,1)</f>
        <v>V</v>
      </c>
      <c r="I171" t="str">
        <f>Table132[[#This Row],[ÉTAT]]&amp;Table132[[#This Row],[next move]]</f>
        <v>VVVVVEEMV11</v>
      </c>
    </row>
    <row r="172" spans="2:9" x14ac:dyDescent="0.25">
      <c r="B172" t="s">
        <v>577</v>
      </c>
      <c r="C172" s="22" t="s">
        <v>31</v>
      </c>
      <c r="D172">
        <v>2</v>
      </c>
      <c r="G172" s="30">
        <f>Table132[[#This Row],[nb win]]/Table132[[#This Row],[nb play]]</f>
        <v>0</v>
      </c>
      <c r="H172" t="str">
        <f>MID(Table132[[#This Row],[ÉTAT]],VALUE(RIGHT(Table132[[#This Row],[next move]],1))+1+VALUE(LEFT(Table132[[#This Row],[next move]],1))*3,1)</f>
        <v>V</v>
      </c>
      <c r="I172" t="str">
        <f>Table132[[#This Row],[ÉTAT]]&amp;Table132[[#This Row],[next move]]</f>
        <v>VVVVVEEMV22</v>
      </c>
    </row>
    <row r="173" spans="2:9" x14ac:dyDescent="0.25">
      <c r="B173" t="s">
        <v>616</v>
      </c>
      <c r="C173" s="22" t="s">
        <v>24</v>
      </c>
      <c r="D173">
        <v>1</v>
      </c>
      <c r="E173">
        <v>1</v>
      </c>
      <c r="G173" s="25">
        <f>Table132[[#This Row],[nb win]]/Table132[[#This Row],[nb play]]</f>
        <v>1</v>
      </c>
      <c r="H173" t="str">
        <f>MID(Table132[[#This Row],[ÉTAT]],VALUE(RIGHT(Table132[[#This Row],[next move]],1))+1+VALUE(LEFT(Table132[[#This Row],[next move]],1))*3,1)</f>
        <v>V</v>
      </c>
      <c r="I173" t="str">
        <f>Table132[[#This Row],[ÉTAT]]&amp;Table132[[#This Row],[next move]]</f>
        <v>VVVVVEEMM00</v>
      </c>
    </row>
    <row r="174" spans="2:9" x14ac:dyDescent="0.25">
      <c r="B174" t="s">
        <v>616</v>
      </c>
      <c r="C174" s="22" t="s">
        <v>26</v>
      </c>
      <c r="D174">
        <v>2</v>
      </c>
      <c r="G174" s="30">
        <f>Table132[[#This Row],[nb win]]/Table132[[#This Row],[nb play]]</f>
        <v>0</v>
      </c>
      <c r="H174" t="str">
        <f>MID(Table132[[#This Row],[ÉTAT]],VALUE(RIGHT(Table132[[#This Row],[next move]],1))+1+VALUE(LEFT(Table132[[#This Row],[next move]],1))*3,1)</f>
        <v>V</v>
      </c>
      <c r="I174" t="str">
        <f>Table132[[#This Row],[ÉTAT]]&amp;Table132[[#This Row],[next move]]</f>
        <v>VVVVVEEMM01</v>
      </c>
    </row>
    <row r="175" spans="2:9" x14ac:dyDescent="0.25">
      <c r="B175" t="s">
        <v>97</v>
      </c>
      <c r="C175" s="22" t="s">
        <v>24</v>
      </c>
      <c r="D175">
        <v>5</v>
      </c>
      <c r="E175">
        <v>2</v>
      </c>
      <c r="G175" s="30">
        <f>Table132[[#This Row],[nb win]]/Table132[[#This Row],[nb play]]</f>
        <v>0.4</v>
      </c>
      <c r="H175" t="str">
        <f>MID(Table132[[#This Row],[ÉTAT]],VALUE(RIGHT(Table132[[#This Row],[next move]],1))+1+VALUE(LEFT(Table132[[#This Row],[next move]],1))*3,1)</f>
        <v>V</v>
      </c>
      <c r="I175" t="str">
        <f>Table132[[#This Row],[ÉTAT]]&amp;Table132[[#This Row],[next move]]</f>
        <v>VVVVMVVVE00</v>
      </c>
    </row>
    <row r="176" spans="2:9" x14ac:dyDescent="0.25">
      <c r="B176" t="s">
        <v>97</v>
      </c>
      <c r="C176" s="22" t="s">
        <v>26</v>
      </c>
      <c r="D176">
        <v>4</v>
      </c>
      <c r="E176">
        <v>2</v>
      </c>
      <c r="G176" s="30">
        <f>Table132[[#This Row],[nb win]]/Table132[[#This Row],[nb play]]</f>
        <v>0.5</v>
      </c>
      <c r="H176" t="str">
        <f>MID(Table132[[#This Row],[ÉTAT]],VALUE(RIGHT(Table132[[#This Row],[next move]],1))+1+VALUE(LEFT(Table132[[#This Row],[next move]],1))*3,1)</f>
        <v>V</v>
      </c>
      <c r="I176" t="str">
        <f>Table132[[#This Row],[ÉTAT]]&amp;Table132[[#This Row],[next move]]</f>
        <v>VVVVMVVVE01</v>
      </c>
    </row>
    <row r="177" spans="2:9" x14ac:dyDescent="0.25">
      <c r="B177" t="s">
        <v>97</v>
      </c>
      <c r="C177" s="22" t="s">
        <v>20</v>
      </c>
      <c r="D177">
        <v>11</v>
      </c>
      <c r="E177">
        <v>9</v>
      </c>
      <c r="G177" s="31">
        <f>Table132[[#This Row],[nb win]]/Table132[[#This Row],[nb play]]</f>
        <v>0.81818181818181823</v>
      </c>
      <c r="H177" t="str">
        <f>MID(Table132[[#This Row],[ÉTAT]],VALUE(RIGHT(Table132[[#This Row],[next move]],1))+1+VALUE(LEFT(Table132[[#This Row],[next move]],1))*3,1)</f>
        <v>V</v>
      </c>
      <c r="I177" t="str">
        <f>Table132[[#This Row],[ÉTAT]]&amp;Table132[[#This Row],[next move]]</f>
        <v>VVVVMVVVE02</v>
      </c>
    </row>
    <row r="178" spans="2:9" x14ac:dyDescent="0.25">
      <c r="B178" t="s">
        <v>97</v>
      </c>
      <c r="C178" s="22" t="s">
        <v>30</v>
      </c>
      <c r="D178">
        <v>5</v>
      </c>
      <c r="E178">
        <v>3</v>
      </c>
      <c r="G178" s="30">
        <f>Table132[[#This Row],[nb win]]/Table132[[#This Row],[nb play]]</f>
        <v>0.6</v>
      </c>
      <c r="H178" t="str">
        <f>MID(Table132[[#This Row],[ÉTAT]],VALUE(RIGHT(Table132[[#This Row],[next move]],1))+1+VALUE(LEFT(Table132[[#This Row],[next move]],1))*3,1)</f>
        <v>V</v>
      </c>
      <c r="I178" t="str">
        <f>Table132[[#This Row],[ÉTAT]]&amp;Table132[[#This Row],[next move]]</f>
        <v>VVVVMVVVE10</v>
      </c>
    </row>
    <row r="179" spans="2:9" x14ac:dyDescent="0.25">
      <c r="B179" t="s">
        <v>97</v>
      </c>
      <c r="C179" s="22" t="s">
        <v>28</v>
      </c>
      <c r="D179">
        <v>4</v>
      </c>
      <c r="E179">
        <v>3</v>
      </c>
      <c r="G179" s="31">
        <f>Table132[[#This Row],[nb win]]/Table132[[#This Row],[nb play]]</f>
        <v>0.75</v>
      </c>
      <c r="H179" t="str">
        <f>MID(Table132[[#This Row],[ÉTAT]],VALUE(RIGHT(Table132[[#This Row],[next move]],1))+1+VALUE(LEFT(Table132[[#This Row],[next move]],1))*3,1)</f>
        <v>V</v>
      </c>
      <c r="I179" t="str">
        <f>Table132[[#This Row],[ÉTAT]]&amp;Table132[[#This Row],[next move]]</f>
        <v>VVVVMVVVE12</v>
      </c>
    </row>
    <row r="180" spans="2:9" x14ac:dyDescent="0.25">
      <c r="B180" t="s">
        <v>97</v>
      </c>
      <c r="C180" s="22" t="s">
        <v>35</v>
      </c>
      <c r="D180">
        <v>9</v>
      </c>
      <c r="E180">
        <v>7</v>
      </c>
      <c r="G180" s="30">
        <f>Table132[[#This Row],[nb win]]/Table132[[#This Row],[nb play]]</f>
        <v>0.77777777777777779</v>
      </c>
      <c r="H180" t="str">
        <f>MID(Table132[[#This Row],[ÉTAT]],VALUE(RIGHT(Table132[[#This Row],[next move]],1))+1+VALUE(LEFT(Table132[[#This Row],[next move]],1))*3,1)</f>
        <v>V</v>
      </c>
      <c r="I180" t="str">
        <f>Table132[[#This Row],[ÉTAT]]&amp;Table132[[#This Row],[next move]]</f>
        <v>VVVVMVVVE20</v>
      </c>
    </row>
    <row r="181" spans="2:9" x14ac:dyDescent="0.25">
      <c r="B181" t="s">
        <v>97</v>
      </c>
      <c r="C181" s="22" t="s">
        <v>22</v>
      </c>
      <c r="D181">
        <v>19</v>
      </c>
      <c r="E181">
        <v>16</v>
      </c>
      <c r="G181" s="31">
        <f>Table132[[#This Row],[nb win]]/Table132[[#This Row],[nb play]]</f>
        <v>0.84210526315789469</v>
      </c>
      <c r="H181" t="str">
        <f>MID(Table132[[#This Row],[ÉTAT]],VALUE(RIGHT(Table132[[#This Row],[next move]],1))+1+VALUE(LEFT(Table132[[#This Row],[next move]],1))*3,1)</f>
        <v>V</v>
      </c>
      <c r="I181" t="str">
        <f>Table132[[#This Row],[ÉTAT]]&amp;Table132[[#This Row],[next move]]</f>
        <v>VVVVMVVVE21</v>
      </c>
    </row>
    <row r="182" spans="2:9" x14ac:dyDescent="0.25">
      <c r="B182" t="s">
        <v>92</v>
      </c>
      <c r="C182" s="22" t="s">
        <v>24</v>
      </c>
      <c r="D182">
        <v>15</v>
      </c>
      <c r="E182">
        <v>13</v>
      </c>
      <c r="G182" s="30">
        <f>Table132[[#This Row],[nb win]]/Table132[[#This Row],[nb play]]</f>
        <v>0.8666666666666667</v>
      </c>
      <c r="H182" t="str">
        <f>MID(Table132[[#This Row],[ÉTAT]],VALUE(RIGHT(Table132[[#This Row],[next move]],1))+1+VALUE(LEFT(Table132[[#This Row],[next move]],1))*3,1)</f>
        <v>V</v>
      </c>
      <c r="I182" t="str">
        <f>Table132[[#This Row],[ÉTAT]]&amp;Table132[[#This Row],[next move]]</f>
        <v>VVVVMVVEV00</v>
      </c>
    </row>
    <row r="183" spans="2:9" x14ac:dyDescent="0.25">
      <c r="B183" t="s">
        <v>92</v>
      </c>
      <c r="C183" s="22" t="s">
        <v>26</v>
      </c>
      <c r="D183">
        <v>12</v>
      </c>
      <c r="E183">
        <v>5</v>
      </c>
      <c r="G183" s="30">
        <f>Table132[[#This Row],[nb win]]/Table132[[#This Row],[nb play]]</f>
        <v>0.41666666666666669</v>
      </c>
      <c r="H183" t="str">
        <f>MID(Table132[[#This Row],[ÉTAT]],VALUE(RIGHT(Table132[[#This Row],[next move]],1))+1+VALUE(LEFT(Table132[[#This Row],[next move]],1))*3,1)</f>
        <v>V</v>
      </c>
      <c r="I183" t="str">
        <f>Table132[[#This Row],[ÉTAT]]&amp;Table132[[#This Row],[next move]]</f>
        <v>VVVVMVVEV01</v>
      </c>
    </row>
    <row r="184" spans="2:9" x14ac:dyDescent="0.25">
      <c r="B184" t="s">
        <v>92</v>
      </c>
      <c r="C184" s="22" t="s">
        <v>20</v>
      </c>
      <c r="D184">
        <v>13</v>
      </c>
      <c r="E184">
        <v>11</v>
      </c>
      <c r="G184" s="31">
        <f>Table132[[#This Row],[nb win]]/Table132[[#This Row],[nb play]]</f>
        <v>0.84615384615384615</v>
      </c>
      <c r="H184" t="str">
        <f>MID(Table132[[#This Row],[ÉTAT]],VALUE(RIGHT(Table132[[#This Row],[next move]],1))+1+VALUE(LEFT(Table132[[#This Row],[next move]],1))*3,1)</f>
        <v>V</v>
      </c>
      <c r="I184" t="str">
        <f>Table132[[#This Row],[ÉTAT]]&amp;Table132[[#This Row],[next move]]</f>
        <v>VVVVMVVEV02</v>
      </c>
    </row>
    <row r="185" spans="2:9" x14ac:dyDescent="0.25">
      <c r="B185" t="s">
        <v>92</v>
      </c>
      <c r="C185" s="22" t="s">
        <v>28</v>
      </c>
      <c r="D185">
        <v>6</v>
      </c>
      <c r="E185">
        <v>5</v>
      </c>
      <c r="G185" s="25">
        <f>Table132[[#This Row],[nb win]]/Table132[[#This Row],[nb play]]</f>
        <v>0.83333333333333337</v>
      </c>
      <c r="H185" t="str">
        <f>MID(Table132[[#This Row],[ÉTAT]],VALUE(RIGHT(Table132[[#This Row],[next move]],1))+1+VALUE(LEFT(Table132[[#This Row],[next move]],1))*3,1)</f>
        <v>V</v>
      </c>
      <c r="I185" t="str">
        <f>Table132[[#This Row],[ÉTAT]]&amp;Table132[[#This Row],[next move]]</f>
        <v>VVVVMVVEV12</v>
      </c>
    </row>
    <row r="186" spans="2:9" x14ac:dyDescent="0.25">
      <c r="B186" t="s">
        <v>92</v>
      </c>
      <c r="C186" s="22" t="s">
        <v>35</v>
      </c>
      <c r="D186">
        <v>4</v>
      </c>
      <c r="E186">
        <v>2</v>
      </c>
      <c r="G186" s="30">
        <f>Table132[[#This Row],[nb win]]/Table132[[#This Row],[nb play]]</f>
        <v>0.5</v>
      </c>
      <c r="H186" t="str">
        <f>MID(Table132[[#This Row],[ÉTAT]],VALUE(RIGHT(Table132[[#This Row],[next move]],1))+1+VALUE(LEFT(Table132[[#This Row],[next move]],1))*3,1)</f>
        <v>V</v>
      </c>
      <c r="I186" t="str">
        <f>Table132[[#This Row],[ÉTAT]]&amp;Table132[[#This Row],[next move]]</f>
        <v>VVVVMVVEV20</v>
      </c>
    </row>
    <row r="187" spans="2:9" x14ac:dyDescent="0.25">
      <c r="B187" t="s">
        <v>92</v>
      </c>
      <c r="C187" s="22" t="s">
        <v>31</v>
      </c>
      <c r="D187">
        <v>8</v>
      </c>
      <c r="E187">
        <v>8</v>
      </c>
      <c r="G187" s="31">
        <f>Table132[[#This Row],[nb win]]/Table132[[#This Row],[nb play]]</f>
        <v>1</v>
      </c>
      <c r="H187" t="str">
        <f>MID(Table132[[#This Row],[ÉTAT]],VALUE(RIGHT(Table132[[#This Row],[next move]],1))+1+VALUE(LEFT(Table132[[#This Row],[next move]],1))*3,1)</f>
        <v>V</v>
      </c>
      <c r="I187" t="str">
        <f>Table132[[#This Row],[ÉTAT]]&amp;Table132[[#This Row],[next move]]</f>
        <v>VVVVMVVEV22</v>
      </c>
    </row>
    <row r="188" spans="2:9" x14ac:dyDescent="0.25">
      <c r="B188" t="s">
        <v>207</v>
      </c>
      <c r="C188" s="22" t="s">
        <v>24</v>
      </c>
      <c r="D188">
        <v>4</v>
      </c>
      <c r="E188">
        <v>1</v>
      </c>
      <c r="G188" s="30">
        <f>Table132[[#This Row],[nb win]]/Table132[[#This Row],[nb play]]</f>
        <v>0.25</v>
      </c>
      <c r="H188" t="str">
        <f>MID(Table132[[#This Row],[ÉTAT]],VALUE(RIGHT(Table132[[#This Row],[next move]],1))+1+VALUE(LEFT(Table132[[#This Row],[next move]],1))*3,1)</f>
        <v>V</v>
      </c>
      <c r="I188" t="str">
        <f>Table132[[#This Row],[ÉTAT]]&amp;Table132[[#This Row],[next move]]</f>
        <v>VVVVMVVEE00</v>
      </c>
    </row>
    <row r="189" spans="2:9" x14ac:dyDescent="0.25">
      <c r="B189" t="s">
        <v>207</v>
      </c>
      <c r="C189" s="22" t="s">
        <v>26</v>
      </c>
      <c r="D189">
        <v>2</v>
      </c>
      <c r="G189" s="25">
        <f>Table132[[#This Row],[nb win]]/Table132[[#This Row],[nb play]]</f>
        <v>0</v>
      </c>
      <c r="H189" t="str">
        <f>MID(Table132[[#This Row],[ÉTAT]],VALUE(RIGHT(Table132[[#This Row],[next move]],1))+1+VALUE(LEFT(Table132[[#This Row],[next move]],1))*3,1)</f>
        <v>V</v>
      </c>
      <c r="I189" t="str">
        <f>Table132[[#This Row],[ÉTAT]]&amp;Table132[[#This Row],[next move]]</f>
        <v>VVVVMVVEE01</v>
      </c>
    </row>
    <row r="190" spans="2:9" x14ac:dyDescent="0.25">
      <c r="B190" t="s">
        <v>207</v>
      </c>
      <c r="C190" s="22" t="s">
        <v>20</v>
      </c>
      <c r="D190">
        <v>5</v>
      </c>
      <c r="E190">
        <v>3</v>
      </c>
      <c r="G190" s="30">
        <f>Table132[[#This Row],[nb win]]/Table132[[#This Row],[nb play]]</f>
        <v>0.6</v>
      </c>
      <c r="H190" t="str">
        <f>MID(Table132[[#This Row],[ÉTAT]],VALUE(RIGHT(Table132[[#This Row],[next move]],1))+1+VALUE(LEFT(Table132[[#This Row],[next move]],1))*3,1)</f>
        <v>V</v>
      </c>
      <c r="I190" t="str">
        <f>Table132[[#This Row],[ÉTAT]]&amp;Table132[[#This Row],[next move]]</f>
        <v>VVVVMVVEE02</v>
      </c>
    </row>
    <row r="191" spans="2:9" x14ac:dyDescent="0.25">
      <c r="B191" t="s">
        <v>207</v>
      </c>
      <c r="C191" s="22" t="s">
        <v>30</v>
      </c>
      <c r="D191">
        <v>4</v>
      </c>
      <c r="E191">
        <v>1</v>
      </c>
      <c r="G191" s="30">
        <f>Table132[[#This Row],[nb win]]/Table132[[#This Row],[nb play]]</f>
        <v>0.25</v>
      </c>
      <c r="H191" t="str">
        <f>MID(Table132[[#This Row],[ÉTAT]],VALUE(RIGHT(Table132[[#This Row],[next move]],1))+1+VALUE(LEFT(Table132[[#This Row],[next move]],1))*3,1)</f>
        <v>V</v>
      </c>
      <c r="I191" t="str">
        <f>Table132[[#This Row],[ÉTAT]]&amp;Table132[[#This Row],[next move]]</f>
        <v>VVVVMVVEE10</v>
      </c>
    </row>
    <row r="192" spans="2:9" x14ac:dyDescent="0.25">
      <c r="B192" t="s">
        <v>207</v>
      </c>
      <c r="C192" s="22" t="s">
        <v>28</v>
      </c>
      <c r="D192">
        <v>5</v>
      </c>
      <c r="E192">
        <v>3</v>
      </c>
      <c r="G192" s="30">
        <f>Table132[[#This Row],[nb win]]/Table132[[#This Row],[nb play]]</f>
        <v>0.6</v>
      </c>
      <c r="H192" t="str">
        <f>MID(Table132[[#This Row],[ÉTAT]],VALUE(RIGHT(Table132[[#This Row],[next move]],1))+1+VALUE(LEFT(Table132[[#This Row],[next move]],1))*3,1)</f>
        <v>V</v>
      </c>
      <c r="I192" t="str">
        <f>Table132[[#This Row],[ÉTAT]]&amp;Table132[[#This Row],[next move]]</f>
        <v>VVVVMVVEE12</v>
      </c>
    </row>
    <row r="193" spans="2:9" x14ac:dyDescent="0.25">
      <c r="B193" t="s">
        <v>207</v>
      </c>
      <c r="C193" s="22" t="s">
        <v>35</v>
      </c>
      <c r="D193">
        <v>16</v>
      </c>
      <c r="E193">
        <v>12</v>
      </c>
      <c r="G193" s="31">
        <f>Table132[[#This Row],[nb win]]/Table132[[#This Row],[nb play]]</f>
        <v>0.75</v>
      </c>
      <c r="H193" t="str">
        <f>MID(Table132[[#This Row],[ÉTAT]],VALUE(RIGHT(Table132[[#This Row],[next move]],1))+1+VALUE(LEFT(Table132[[#This Row],[next move]],1))*3,1)</f>
        <v>V</v>
      </c>
      <c r="I193" t="str">
        <f>Table132[[#This Row],[ÉTAT]]&amp;Table132[[#This Row],[next move]]</f>
        <v>VVVVMVVEE20</v>
      </c>
    </row>
    <row r="194" spans="2:9" x14ac:dyDescent="0.25">
      <c r="B194" t="s">
        <v>494</v>
      </c>
      <c r="C194" s="22" t="s">
        <v>30</v>
      </c>
      <c r="D194">
        <v>4</v>
      </c>
      <c r="E194">
        <v>2</v>
      </c>
      <c r="G194" s="30">
        <f>Table132[[#This Row],[nb win]]/Table132[[#This Row],[nb play]]</f>
        <v>0.5</v>
      </c>
      <c r="H194" t="str">
        <f>MID(Table132[[#This Row],[ÉTAT]],VALUE(RIGHT(Table132[[#This Row],[next move]],1))+1+VALUE(LEFT(Table132[[#This Row],[next move]],1))*3,1)</f>
        <v>V</v>
      </c>
      <c r="I194" t="str">
        <f>Table132[[#This Row],[ÉTAT]]&amp;Table132[[#This Row],[next move]]</f>
        <v>VVVVMVMEE10</v>
      </c>
    </row>
    <row r="195" spans="2:9" x14ac:dyDescent="0.25">
      <c r="B195" t="s">
        <v>494</v>
      </c>
      <c r="C195" s="22" t="s">
        <v>28</v>
      </c>
      <c r="D195">
        <v>3</v>
      </c>
      <c r="E195">
        <v>3</v>
      </c>
      <c r="G195" s="31">
        <f>Table132[[#This Row],[nb win]]/Table132[[#This Row],[nb play]]</f>
        <v>1</v>
      </c>
      <c r="H195" t="str">
        <f>MID(Table132[[#This Row],[ÉTAT]],VALUE(RIGHT(Table132[[#This Row],[next move]],1))+1+VALUE(LEFT(Table132[[#This Row],[next move]],1))*3,1)</f>
        <v>V</v>
      </c>
      <c r="I195" t="str">
        <f>Table132[[#This Row],[ÉTAT]]&amp;Table132[[#This Row],[next move]]</f>
        <v>VVVVMVMEE12</v>
      </c>
    </row>
    <row r="196" spans="2:9" x14ac:dyDescent="0.25">
      <c r="B196" t="s">
        <v>90</v>
      </c>
      <c r="C196" s="22" t="s">
        <v>24</v>
      </c>
      <c r="D196">
        <v>14</v>
      </c>
      <c r="E196">
        <v>12</v>
      </c>
      <c r="G196" s="31">
        <f>Table132[[#This Row],[nb win]]/Table132[[#This Row],[nb play]]</f>
        <v>0.8571428571428571</v>
      </c>
      <c r="H196" t="str">
        <f>MID(Table132[[#This Row],[ÉTAT]],VALUE(RIGHT(Table132[[#This Row],[next move]],1))+1+VALUE(LEFT(Table132[[#This Row],[next move]],1))*3,1)</f>
        <v>V</v>
      </c>
      <c r="I196" t="str">
        <f>Table132[[#This Row],[ÉTAT]]&amp;Table132[[#This Row],[next move]]</f>
        <v>VVVVMVEVV00</v>
      </c>
    </row>
    <row r="197" spans="2:9" x14ac:dyDescent="0.25">
      <c r="B197" t="s">
        <v>90</v>
      </c>
      <c r="C197" s="22" t="s">
        <v>26</v>
      </c>
      <c r="D197">
        <v>6</v>
      </c>
      <c r="E197">
        <v>5</v>
      </c>
      <c r="G197" s="31">
        <f>Table132[[#This Row],[nb win]]/Table132[[#This Row],[nb play]]</f>
        <v>0.83333333333333337</v>
      </c>
      <c r="H197" t="str">
        <f>MID(Table132[[#This Row],[ÉTAT]],VALUE(RIGHT(Table132[[#This Row],[next move]],1))+1+VALUE(LEFT(Table132[[#This Row],[next move]],1))*3,1)</f>
        <v>V</v>
      </c>
      <c r="I197" t="str">
        <f>Table132[[#This Row],[ÉTAT]]&amp;Table132[[#This Row],[next move]]</f>
        <v>VVVVMVEVV01</v>
      </c>
    </row>
    <row r="198" spans="2:9" x14ac:dyDescent="0.25">
      <c r="B198" t="s">
        <v>90</v>
      </c>
      <c r="C198" s="22" t="s">
        <v>20</v>
      </c>
      <c r="D198">
        <v>7</v>
      </c>
      <c r="E198">
        <v>3</v>
      </c>
      <c r="G198" s="30">
        <f>Table132[[#This Row],[nb win]]/Table132[[#This Row],[nb play]]</f>
        <v>0.42857142857142855</v>
      </c>
      <c r="H198" t="str">
        <f>MID(Table132[[#This Row],[ÉTAT]],VALUE(RIGHT(Table132[[#This Row],[next move]],1))+1+VALUE(LEFT(Table132[[#This Row],[next move]],1))*3,1)</f>
        <v>V</v>
      </c>
      <c r="I198" t="str">
        <f>Table132[[#This Row],[ÉTAT]]&amp;Table132[[#This Row],[next move]]</f>
        <v>VVVVMVEVV02</v>
      </c>
    </row>
    <row r="199" spans="2:9" x14ac:dyDescent="0.25">
      <c r="B199" t="s">
        <v>90</v>
      </c>
      <c r="C199" s="22" t="s">
        <v>30</v>
      </c>
      <c r="D199">
        <v>6</v>
      </c>
      <c r="E199">
        <v>5</v>
      </c>
      <c r="G199" s="31">
        <f>Table132[[#This Row],[nb win]]/Table132[[#This Row],[nb play]]</f>
        <v>0.83333333333333337</v>
      </c>
      <c r="H199" t="str">
        <f>MID(Table132[[#This Row],[ÉTAT]],VALUE(RIGHT(Table132[[#This Row],[next move]],1))+1+VALUE(LEFT(Table132[[#This Row],[next move]],1))*3,1)</f>
        <v>V</v>
      </c>
      <c r="I199" t="str">
        <f>Table132[[#This Row],[ÉTAT]]&amp;Table132[[#This Row],[next move]]</f>
        <v>VVVVMVEVV10</v>
      </c>
    </row>
    <row r="200" spans="2:9" x14ac:dyDescent="0.25">
      <c r="B200" t="s">
        <v>90</v>
      </c>
      <c r="C200" s="22" t="s">
        <v>28</v>
      </c>
      <c r="D200">
        <v>10</v>
      </c>
      <c r="E200">
        <v>5</v>
      </c>
      <c r="G200" s="31">
        <f>Table132[[#This Row],[nb win]]/Table132[[#This Row],[nb play]]</f>
        <v>0.5</v>
      </c>
      <c r="H200" t="str">
        <f>MID(Table132[[#This Row],[ÉTAT]],VALUE(RIGHT(Table132[[#This Row],[next move]],1))+1+VALUE(LEFT(Table132[[#This Row],[next move]],1))*3,1)</f>
        <v>V</v>
      </c>
      <c r="I200" t="str">
        <f>Table132[[#This Row],[ÉTAT]]&amp;Table132[[#This Row],[next move]]</f>
        <v>VVVVMVEVV12</v>
      </c>
    </row>
    <row r="201" spans="2:9" x14ac:dyDescent="0.25">
      <c r="B201" t="s">
        <v>90</v>
      </c>
      <c r="C201" s="22" t="s">
        <v>22</v>
      </c>
      <c r="D201">
        <v>17</v>
      </c>
      <c r="E201">
        <v>16</v>
      </c>
      <c r="G201" s="31">
        <f>Table132[[#This Row],[nb win]]/Table132[[#This Row],[nb play]]</f>
        <v>0.94117647058823528</v>
      </c>
      <c r="H201" t="str">
        <f>MID(Table132[[#This Row],[ÉTAT]],VALUE(RIGHT(Table132[[#This Row],[next move]],1))+1+VALUE(LEFT(Table132[[#This Row],[next move]],1))*3,1)</f>
        <v>V</v>
      </c>
      <c r="I201" t="str">
        <f>Table132[[#This Row],[ÉTAT]]&amp;Table132[[#This Row],[next move]]</f>
        <v>VVVVMVEVV21</v>
      </c>
    </row>
    <row r="202" spans="2:9" x14ac:dyDescent="0.25">
      <c r="B202" t="s">
        <v>90</v>
      </c>
      <c r="C202" s="22" t="s">
        <v>31</v>
      </c>
      <c r="D202">
        <v>9</v>
      </c>
      <c r="E202">
        <v>8</v>
      </c>
      <c r="G202" s="31">
        <f>Table132[[#This Row],[nb win]]/Table132[[#This Row],[nb play]]</f>
        <v>0.88888888888888884</v>
      </c>
      <c r="H202" t="str">
        <f>MID(Table132[[#This Row],[ÉTAT]],VALUE(RIGHT(Table132[[#This Row],[next move]],1))+1+VALUE(LEFT(Table132[[#This Row],[next move]],1))*3,1)</f>
        <v>V</v>
      </c>
      <c r="I202" t="str">
        <f>Table132[[#This Row],[ÉTAT]]&amp;Table132[[#This Row],[next move]]</f>
        <v>VVVVMVEVV22</v>
      </c>
    </row>
    <row r="203" spans="2:9" x14ac:dyDescent="0.25">
      <c r="B203" t="s">
        <v>1365</v>
      </c>
      <c r="C203" s="22" t="s">
        <v>24</v>
      </c>
      <c r="D203">
        <v>2</v>
      </c>
      <c r="G203" s="30">
        <f>Table132[[#This Row],[nb win]]/Table132[[#This Row],[nb play]]</f>
        <v>0</v>
      </c>
      <c r="H203" t="str">
        <f>MID(Table132[[#This Row],[ÉTAT]],VALUE(RIGHT(Table132[[#This Row],[next move]],1))+1+VALUE(LEFT(Table132[[#This Row],[next move]],1))*3,1)</f>
        <v>V</v>
      </c>
      <c r="I203" t="str">
        <f>Table132[[#This Row],[ÉTAT]]&amp;Table132[[#This Row],[next move]]</f>
        <v>VVVVMVEVE00</v>
      </c>
    </row>
    <row r="204" spans="2:9" x14ac:dyDescent="0.25">
      <c r="B204" t="s">
        <v>1365</v>
      </c>
      <c r="C204" s="22" t="s">
        <v>26</v>
      </c>
      <c r="D204">
        <v>2</v>
      </c>
      <c r="G204" s="25">
        <f>Table132[[#This Row],[nb win]]/Table132[[#This Row],[nb play]]</f>
        <v>0</v>
      </c>
      <c r="H204" t="str">
        <f>MID(Table132[[#This Row],[ÉTAT]],VALUE(RIGHT(Table132[[#This Row],[next move]],1))+1+VALUE(LEFT(Table132[[#This Row],[next move]],1))*3,1)</f>
        <v>V</v>
      </c>
      <c r="I204" t="str">
        <f>Table132[[#This Row],[ÉTAT]]&amp;Table132[[#This Row],[next move]]</f>
        <v>VVVVMVEVE01</v>
      </c>
    </row>
    <row r="205" spans="2:9" x14ac:dyDescent="0.25">
      <c r="B205" t="s">
        <v>1365</v>
      </c>
      <c r="C205" s="22" t="s">
        <v>30</v>
      </c>
      <c r="D205">
        <v>1</v>
      </c>
      <c r="G205" s="25">
        <f>Table132[[#This Row],[nb win]]/Table132[[#This Row],[nb play]]</f>
        <v>0</v>
      </c>
      <c r="H205" t="str">
        <f>MID(Table132[[#This Row],[ÉTAT]],VALUE(RIGHT(Table132[[#This Row],[next move]],1))+1+VALUE(LEFT(Table132[[#This Row],[next move]],1))*3,1)</f>
        <v>V</v>
      </c>
      <c r="I205" t="str">
        <f>Table132[[#This Row],[ÉTAT]]&amp;Table132[[#This Row],[next move]]</f>
        <v>VVVVMVEVE10</v>
      </c>
    </row>
    <row r="206" spans="2:9" x14ac:dyDescent="0.25">
      <c r="B206" t="s">
        <v>1365</v>
      </c>
      <c r="C206" s="22" t="s">
        <v>28</v>
      </c>
      <c r="D206">
        <v>3</v>
      </c>
      <c r="G206" s="30">
        <f>Table132[[#This Row],[nb win]]/Table132[[#This Row],[nb play]]</f>
        <v>0</v>
      </c>
      <c r="H206" t="str">
        <f>MID(Table132[[#This Row],[ÉTAT]],VALUE(RIGHT(Table132[[#This Row],[next move]],1))+1+VALUE(LEFT(Table132[[#This Row],[next move]],1))*3,1)</f>
        <v>V</v>
      </c>
      <c r="I206" t="str">
        <f>Table132[[#This Row],[ÉTAT]]&amp;Table132[[#This Row],[next move]]</f>
        <v>VVVVMVEVE12</v>
      </c>
    </row>
    <row r="207" spans="2:9" x14ac:dyDescent="0.25">
      <c r="B207" t="s">
        <v>1365</v>
      </c>
      <c r="C207" s="22" t="s">
        <v>22</v>
      </c>
      <c r="D207">
        <v>11</v>
      </c>
      <c r="E207">
        <v>10</v>
      </c>
      <c r="G207" s="31">
        <f>Table132[[#This Row],[nb win]]/Table132[[#This Row],[nb play]]</f>
        <v>0.90909090909090906</v>
      </c>
      <c r="H207" t="str">
        <f>MID(Table132[[#This Row],[ÉTAT]],VALUE(RIGHT(Table132[[#This Row],[next move]],1))+1+VALUE(LEFT(Table132[[#This Row],[next move]],1))*3,1)</f>
        <v>V</v>
      </c>
      <c r="I207" t="str">
        <f>Table132[[#This Row],[ÉTAT]]&amp;Table132[[#This Row],[next move]]</f>
        <v>VVVVMVEVE21</v>
      </c>
    </row>
    <row r="208" spans="2:9" x14ac:dyDescent="0.25">
      <c r="B208" t="s">
        <v>1694</v>
      </c>
      <c r="C208" s="22" t="s">
        <v>26</v>
      </c>
      <c r="D208">
        <v>4</v>
      </c>
      <c r="E208">
        <v>4</v>
      </c>
      <c r="G208" s="31">
        <f>Table132[[#This Row],[nb win]]/Table132[[#This Row],[nb play]]</f>
        <v>1</v>
      </c>
      <c r="H208" t="str">
        <f>MID(Table132[[#This Row],[ÉTAT]],VALUE(RIGHT(Table132[[#This Row],[next move]],1))+1+VALUE(LEFT(Table132[[#This Row],[next move]],1))*3,1)</f>
        <v>V</v>
      </c>
      <c r="I208" t="str">
        <f>Table132[[#This Row],[ÉTAT]]&amp;Table132[[#This Row],[next move]]</f>
        <v>VVVVMVEME01</v>
      </c>
    </row>
    <row r="209" spans="2:9" x14ac:dyDescent="0.25">
      <c r="B209" t="s">
        <v>194</v>
      </c>
      <c r="C209" s="22" t="s">
        <v>24</v>
      </c>
      <c r="D209">
        <v>4</v>
      </c>
      <c r="E209">
        <v>1</v>
      </c>
      <c r="G209" s="30">
        <f>Table132[[#This Row],[nb win]]/Table132[[#This Row],[nb play]]</f>
        <v>0.25</v>
      </c>
      <c r="H209" t="str">
        <f>MID(Table132[[#This Row],[ÉTAT]],VALUE(RIGHT(Table132[[#This Row],[next move]],1))+1+VALUE(LEFT(Table132[[#This Row],[next move]],1))*3,1)</f>
        <v>V</v>
      </c>
      <c r="I209" t="str">
        <f>Table132[[#This Row],[ÉTAT]]&amp;Table132[[#This Row],[next move]]</f>
        <v>VVVVMVEEV00</v>
      </c>
    </row>
    <row r="210" spans="2:9" x14ac:dyDescent="0.25">
      <c r="B210" t="s">
        <v>194</v>
      </c>
      <c r="C210" s="22" t="s">
        <v>26</v>
      </c>
      <c r="D210">
        <v>3</v>
      </c>
      <c r="G210" s="25">
        <f>Table132[[#This Row],[nb win]]/Table132[[#This Row],[nb play]]</f>
        <v>0</v>
      </c>
      <c r="H210" t="str">
        <f>MID(Table132[[#This Row],[ÉTAT]],VALUE(RIGHT(Table132[[#This Row],[next move]],1))+1+VALUE(LEFT(Table132[[#This Row],[next move]],1))*3,1)</f>
        <v>V</v>
      </c>
      <c r="I210" t="str">
        <f>Table132[[#This Row],[ÉTAT]]&amp;Table132[[#This Row],[next move]]</f>
        <v>VVVVMVEEV01</v>
      </c>
    </row>
    <row r="211" spans="2:9" x14ac:dyDescent="0.25">
      <c r="B211" t="s">
        <v>194</v>
      </c>
      <c r="C211" s="22" t="s">
        <v>20</v>
      </c>
      <c r="D211">
        <v>2</v>
      </c>
      <c r="G211" s="25">
        <f>Table132[[#This Row],[nb win]]/Table132[[#This Row],[nb play]]</f>
        <v>0</v>
      </c>
      <c r="H211" t="str">
        <f>MID(Table132[[#This Row],[ÉTAT]],VALUE(RIGHT(Table132[[#This Row],[next move]],1))+1+VALUE(LEFT(Table132[[#This Row],[next move]],1))*3,1)</f>
        <v>V</v>
      </c>
      <c r="I211" t="str">
        <f>Table132[[#This Row],[ÉTAT]]&amp;Table132[[#This Row],[next move]]</f>
        <v>VVVVMVEEV02</v>
      </c>
    </row>
    <row r="212" spans="2:9" x14ac:dyDescent="0.25">
      <c r="B212" t="s">
        <v>194</v>
      </c>
      <c r="C212" s="22" t="s">
        <v>30</v>
      </c>
      <c r="D212">
        <v>3</v>
      </c>
      <c r="E212">
        <v>1</v>
      </c>
      <c r="G212" s="25">
        <f>Table132[[#This Row],[nb win]]/Table132[[#This Row],[nb play]]</f>
        <v>0.33333333333333331</v>
      </c>
      <c r="H212" t="str">
        <f>MID(Table132[[#This Row],[ÉTAT]],VALUE(RIGHT(Table132[[#This Row],[next move]],1))+1+VALUE(LEFT(Table132[[#This Row],[next move]],1))*3,1)</f>
        <v>V</v>
      </c>
      <c r="I212" t="str">
        <f>Table132[[#This Row],[ÉTAT]]&amp;Table132[[#This Row],[next move]]</f>
        <v>VVVVMVEEV10</v>
      </c>
    </row>
    <row r="213" spans="2:9" x14ac:dyDescent="0.25">
      <c r="B213" t="s">
        <v>194</v>
      </c>
      <c r="C213" s="22" t="s">
        <v>28</v>
      </c>
      <c r="D213">
        <v>3</v>
      </c>
      <c r="E213">
        <v>1</v>
      </c>
      <c r="G213" s="30">
        <f>Table132[[#This Row],[nb win]]/Table132[[#This Row],[nb play]]</f>
        <v>0.33333333333333331</v>
      </c>
      <c r="H213" t="str">
        <f>MID(Table132[[#This Row],[ÉTAT]],VALUE(RIGHT(Table132[[#This Row],[next move]],1))+1+VALUE(LEFT(Table132[[#This Row],[next move]],1))*3,1)</f>
        <v>V</v>
      </c>
      <c r="I213" t="str">
        <f>Table132[[#This Row],[ÉTAT]]&amp;Table132[[#This Row],[next move]]</f>
        <v>VVVVMVEEV12</v>
      </c>
    </row>
    <row r="214" spans="2:9" x14ac:dyDescent="0.25">
      <c r="B214" t="s">
        <v>194</v>
      </c>
      <c r="C214" s="22" t="s">
        <v>31</v>
      </c>
      <c r="D214">
        <v>16</v>
      </c>
      <c r="E214">
        <v>14</v>
      </c>
      <c r="G214" s="31">
        <f>Table132[[#This Row],[nb win]]/Table132[[#This Row],[nb play]]</f>
        <v>0.875</v>
      </c>
      <c r="H214" t="str">
        <f>MID(Table132[[#This Row],[ÉTAT]],VALUE(RIGHT(Table132[[#This Row],[next move]],1))+1+VALUE(LEFT(Table132[[#This Row],[next move]],1))*3,1)</f>
        <v>V</v>
      </c>
      <c r="I214" t="str">
        <f>Table132[[#This Row],[ÉTAT]]&amp;Table132[[#This Row],[next move]]</f>
        <v>VVVVMVEEV22</v>
      </c>
    </row>
    <row r="215" spans="2:9" x14ac:dyDescent="0.25">
      <c r="B215" t="s">
        <v>2610</v>
      </c>
      <c r="C215" s="22" t="s">
        <v>26</v>
      </c>
      <c r="D215">
        <v>5</v>
      </c>
      <c r="E215">
        <v>4</v>
      </c>
      <c r="G215" s="30">
        <f>Table132[[#This Row],[nb win]]/Table132[[#This Row],[nb play]]</f>
        <v>0.8</v>
      </c>
      <c r="H215" t="str">
        <f>MID(Table132[[#This Row],[ÉTAT]],VALUE(RIGHT(Table132[[#This Row],[next move]],1))+1+VALUE(LEFT(Table132[[#This Row],[next move]],1))*3,1)</f>
        <v>V</v>
      </c>
      <c r="I215" t="str">
        <f>Table132[[#This Row],[ÉTAT]]&amp;Table132[[#This Row],[next move]]</f>
        <v>VVVVMVEEM01</v>
      </c>
    </row>
    <row r="216" spans="2:9" x14ac:dyDescent="0.25">
      <c r="B216" t="s">
        <v>541</v>
      </c>
      <c r="C216" s="22" t="s">
        <v>26</v>
      </c>
      <c r="D216">
        <v>3</v>
      </c>
      <c r="E216">
        <v>1</v>
      </c>
      <c r="G216" s="25">
        <f>Table132[[#This Row],[nb win]]/Table132[[#This Row],[nb play]]</f>
        <v>0.33333333333333331</v>
      </c>
      <c r="H216" t="str">
        <f>MID(Table132[[#This Row],[ÉTAT]],VALUE(RIGHT(Table132[[#This Row],[next move]],1))+1+VALUE(LEFT(Table132[[#This Row],[next move]],1))*3,1)</f>
        <v>V</v>
      </c>
      <c r="I216" t="str">
        <f>Table132[[#This Row],[ÉTAT]]&amp;Table132[[#This Row],[next move]]</f>
        <v>VVVVMMVEE01</v>
      </c>
    </row>
    <row r="217" spans="2:9" x14ac:dyDescent="0.25">
      <c r="B217" t="s">
        <v>541</v>
      </c>
      <c r="C217" s="22" t="s">
        <v>35</v>
      </c>
      <c r="D217">
        <v>2</v>
      </c>
      <c r="E217">
        <v>2</v>
      </c>
      <c r="G217" s="31">
        <f>Table132[[#This Row],[nb win]]/Table132[[#This Row],[nb play]]</f>
        <v>1</v>
      </c>
      <c r="H217" t="str">
        <f>MID(Table132[[#This Row],[ÉTAT]],VALUE(RIGHT(Table132[[#This Row],[next move]],1))+1+VALUE(LEFT(Table132[[#This Row],[next move]],1))*3,1)</f>
        <v>V</v>
      </c>
      <c r="I217" t="str">
        <f>Table132[[#This Row],[ÉTAT]]&amp;Table132[[#This Row],[next move]]</f>
        <v>VVVVMMVEE20</v>
      </c>
    </row>
    <row r="218" spans="2:9" x14ac:dyDescent="0.25">
      <c r="B218" t="s">
        <v>152</v>
      </c>
      <c r="C218" s="22" t="s">
        <v>26</v>
      </c>
      <c r="D218">
        <v>2</v>
      </c>
      <c r="E218">
        <v>1</v>
      </c>
      <c r="G218" s="25">
        <f>Table132[[#This Row],[nb win]]/Table132[[#This Row],[nb play]]</f>
        <v>0.5</v>
      </c>
      <c r="H218" t="str">
        <f>MID(Table132[[#This Row],[ÉTAT]],VALUE(RIGHT(Table132[[#This Row],[next move]],1))+1+VALUE(LEFT(Table132[[#This Row],[next move]],1))*3,1)</f>
        <v>V</v>
      </c>
      <c r="I218" t="str">
        <f>Table132[[#This Row],[ÉTAT]]&amp;Table132[[#This Row],[next move]]</f>
        <v>VVVVMMEVE01</v>
      </c>
    </row>
    <row r="219" spans="2:9" x14ac:dyDescent="0.25">
      <c r="B219" t="s">
        <v>152</v>
      </c>
      <c r="C219" s="22" t="s">
        <v>20</v>
      </c>
      <c r="D219">
        <v>1</v>
      </c>
      <c r="G219" s="30">
        <f>Table132[[#This Row],[nb win]]/Table132[[#This Row],[nb play]]</f>
        <v>0</v>
      </c>
      <c r="H219" t="str">
        <f>MID(Table132[[#This Row],[ÉTAT]],VALUE(RIGHT(Table132[[#This Row],[next move]],1))+1+VALUE(LEFT(Table132[[#This Row],[next move]],1))*3,1)</f>
        <v>V</v>
      </c>
      <c r="I219" t="str">
        <f>Table132[[#This Row],[ÉTAT]]&amp;Table132[[#This Row],[next move]]</f>
        <v>VVVVMMEVE02</v>
      </c>
    </row>
    <row r="220" spans="2:9" x14ac:dyDescent="0.25">
      <c r="B220" t="s">
        <v>152</v>
      </c>
      <c r="C220" s="22" t="s">
        <v>22</v>
      </c>
      <c r="D220">
        <v>3</v>
      </c>
      <c r="E220">
        <v>2</v>
      </c>
      <c r="G220" s="25">
        <f>Table132[[#This Row],[nb win]]/Table132[[#This Row],[nb play]]</f>
        <v>0.66666666666666663</v>
      </c>
      <c r="H220" t="str">
        <f>MID(Table132[[#This Row],[ÉTAT]],VALUE(RIGHT(Table132[[#This Row],[next move]],1))+1+VALUE(LEFT(Table132[[#This Row],[next move]],1))*3,1)</f>
        <v>V</v>
      </c>
      <c r="I220" t="str">
        <f>Table132[[#This Row],[ÉTAT]]&amp;Table132[[#This Row],[next move]]</f>
        <v>VVVVMMEVE21</v>
      </c>
    </row>
    <row r="221" spans="2:9" x14ac:dyDescent="0.25">
      <c r="B221" t="s">
        <v>469</v>
      </c>
      <c r="C221" s="22" t="s">
        <v>30</v>
      </c>
      <c r="D221">
        <v>1</v>
      </c>
      <c r="E221">
        <v>1</v>
      </c>
      <c r="G221" s="25">
        <f>Table132[[#This Row],[nb win]]/Table132[[#This Row],[nb play]]</f>
        <v>1</v>
      </c>
      <c r="H221" t="str">
        <f>MID(Table132[[#This Row],[ÉTAT]],VALUE(RIGHT(Table132[[#This Row],[next move]],1))+1+VALUE(LEFT(Table132[[#This Row],[next move]],1))*3,1)</f>
        <v>V</v>
      </c>
      <c r="I221" t="str">
        <f>Table132[[#This Row],[ÉTAT]]&amp;Table132[[#This Row],[next move]]</f>
        <v>VVVVMMEEV10</v>
      </c>
    </row>
    <row r="222" spans="2:9" x14ac:dyDescent="0.25">
      <c r="B222" t="s">
        <v>469</v>
      </c>
      <c r="C222" s="22" t="s">
        <v>31</v>
      </c>
      <c r="D222">
        <v>4</v>
      </c>
      <c r="E222">
        <v>3</v>
      </c>
      <c r="G222" s="31">
        <f>Table132[[#This Row],[nb win]]/Table132[[#This Row],[nb play]]</f>
        <v>0.75</v>
      </c>
      <c r="H222" t="str">
        <f>MID(Table132[[#This Row],[ÉTAT]],VALUE(RIGHT(Table132[[#This Row],[next move]],1))+1+VALUE(LEFT(Table132[[#This Row],[next move]],1))*3,1)</f>
        <v>V</v>
      </c>
      <c r="I222" t="str">
        <f>Table132[[#This Row],[ÉTAT]]&amp;Table132[[#This Row],[next move]]</f>
        <v>VVVVMMEEV22</v>
      </c>
    </row>
    <row r="223" spans="2:9" x14ac:dyDescent="0.25">
      <c r="B223" t="s">
        <v>113</v>
      </c>
      <c r="C223" s="22" t="s">
        <v>20</v>
      </c>
      <c r="D223">
        <v>30</v>
      </c>
      <c r="E223">
        <v>30</v>
      </c>
      <c r="G223" s="31">
        <f>Table132[[#This Row],[nb win]]/Table132[[#This Row],[nb play]]</f>
        <v>1</v>
      </c>
      <c r="H223" t="str">
        <f>MID(Table132[[#This Row],[ÉTAT]],VALUE(RIGHT(Table132[[#This Row],[next move]],1))+1+VALUE(LEFT(Table132[[#This Row],[next move]],1))*3,1)</f>
        <v>V</v>
      </c>
      <c r="I223" t="str">
        <f>Table132[[#This Row],[ÉTAT]]&amp;Table132[[#This Row],[next move]]</f>
        <v>VVVVMEVVV02</v>
      </c>
    </row>
    <row r="224" spans="2:9" x14ac:dyDescent="0.25">
      <c r="B224" t="s">
        <v>113</v>
      </c>
      <c r="C224" s="22" t="s">
        <v>31</v>
      </c>
      <c r="D224">
        <v>21</v>
      </c>
      <c r="E224">
        <v>21</v>
      </c>
      <c r="G224" s="31">
        <f>Table132[[#This Row],[nb win]]/Table132[[#This Row],[nb play]]</f>
        <v>1</v>
      </c>
      <c r="H224" t="str">
        <f>MID(Table132[[#This Row],[ÉTAT]],VALUE(RIGHT(Table132[[#This Row],[next move]],1))+1+VALUE(LEFT(Table132[[#This Row],[next move]],1))*3,1)</f>
        <v>V</v>
      </c>
      <c r="I224" t="str">
        <f>Table132[[#This Row],[ÉTAT]]&amp;Table132[[#This Row],[next move]]</f>
        <v>VVVVMEVVV22</v>
      </c>
    </row>
    <row r="225" spans="2:9" x14ac:dyDescent="0.25">
      <c r="B225" t="s">
        <v>3118</v>
      </c>
      <c r="C225" s="22" t="s">
        <v>24</v>
      </c>
      <c r="D225">
        <v>4</v>
      </c>
      <c r="E225">
        <v>1</v>
      </c>
      <c r="G225" s="30">
        <f>Table132[[#This Row],[nb win]]/Table132[[#This Row],[nb play]]</f>
        <v>0.25</v>
      </c>
      <c r="H225" t="str">
        <f>MID(Table132[[#This Row],[ÉTAT]],VALUE(RIGHT(Table132[[#This Row],[next move]],1))+1+VALUE(LEFT(Table132[[#This Row],[next move]],1))*3,1)</f>
        <v>V</v>
      </c>
      <c r="I225" t="str">
        <f>Table132[[#This Row],[ÉTAT]]&amp;Table132[[#This Row],[next move]]</f>
        <v>VVVVMEVVE00</v>
      </c>
    </row>
    <row r="226" spans="2:9" x14ac:dyDescent="0.25">
      <c r="B226" t="s">
        <v>3118</v>
      </c>
      <c r="C226" s="22" t="s">
        <v>26</v>
      </c>
      <c r="D226">
        <v>7</v>
      </c>
      <c r="E226">
        <v>2</v>
      </c>
      <c r="G226" s="30">
        <f>Table132[[#This Row],[nb win]]/Table132[[#This Row],[nb play]]</f>
        <v>0.2857142857142857</v>
      </c>
      <c r="H226" t="str">
        <f>MID(Table132[[#This Row],[ÉTAT]],VALUE(RIGHT(Table132[[#This Row],[next move]],1))+1+VALUE(LEFT(Table132[[#This Row],[next move]],1))*3,1)</f>
        <v>V</v>
      </c>
      <c r="I226" t="str">
        <f>Table132[[#This Row],[ÉTAT]]&amp;Table132[[#This Row],[next move]]</f>
        <v>VVVVMEVVE01</v>
      </c>
    </row>
    <row r="227" spans="2:9" x14ac:dyDescent="0.25">
      <c r="B227" t="s">
        <v>3118</v>
      </c>
      <c r="C227" s="22" t="s">
        <v>20</v>
      </c>
      <c r="D227">
        <v>11</v>
      </c>
      <c r="E227">
        <v>7</v>
      </c>
      <c r="G227" s="31">
        <f>Table132[[#This Row],[nb win]]/Table132[[#This Row],[nb play]]</f>
        <v>0.63636363636363635</v>
      </c>
      <c r="H227" t="str">
        <f>MID(Table132[[#This Row],[ÉTAT]],VALUE(RIGHT(Table132[[#This Row],[next move]],1))+1+VALUE(LEFT(Table132[[#This Row],[next move]],1))*3,1)</f>
        <v>V</v>
      </c>
      <c r="I227" t="str">
        <f>Table132[[#This Row],[ÉTAT]]&amp;Table132[[#This Row],[next move]]</f>
        <v>VVVVMEVVE02</v>
      </c>
    </row>
    <row r="228" spans="2:9" x14ac:dyDescent="0.25">
      <c r="B228" t="s">
        <v>3118</v>
      </c>
      <c r="C228" s="22" t="s">
        <v>35</v>
      </c>
      <c r="D228">
        <v>1</v>
      </c>
      <c r="G228" s="30">
        <f>Table132[[#This Row],[nb win]]/Table132[[#This Row],[nb play]]</f>
        <v>0</v>
      </c>
      <c r="H228" t="str">
        <f>MID(Table132[[#This Row],[ÉTAT]],VALUE(RIGHT(Table132[[#This Row],[next move]],1))+1+VALUE(LEFT(Table132[[#This Row],[next move]],1))*3,1)</f>
        <v>V</v>
      </c>
      <c r="I228" t="str">
        <f>Table132[[#This Row],[ÉTAT]]&amp;Table132[[#This Row],[next move]]</f>
        <v>VVVVMEVVE20</v>
      </c>
    </row>
    <row r="229" spans="2:9" x14ac:dyDescent="0.25">
      <c r="B229" t="s">
        <v>3118</v>
      </c>
      <c r="C229" s="22" t="s">
        <v>22</v>
      </c>
      <c r="D229">
        <v>1</v>
      </c>
      <c r="G229" s="30">
        <f>Table132[[#This Row],[nb win]]/Table132[[#This Row],[nb play]]</f>
        <v>0</v>
      </c>
      <c r="H229" t="str">
        <f>MID(Table132[[#This Row],[ÉTAT]],VALUE(RIGHT(Table132[[#This Row],[next move]],1))+1+VALUE(LEFT(Table132[[#This Row],[next move]],1))*3,1)</f>
        <v>V</v>
      </c>
      <c r="I229" t="str">
        <f>Table132[[#This Row],[ÉTAT]]&amp;Table132[[#This Row],[next move]]</f>
        <v>VVVVMEVVE21</v>
      </c>
    </row>
    <row r="230" spans="2:9" x14ac:dyDescent="0.25">
      <c r="B230" t="s">
        <v>171</v>
      </c>
      <c r="C230" s="22" t="s">
        <v>24</v>
      </c>
      <c r="D230">
        <v>3</v>
      </c>
      <c r="G230" s="30">
        <f>Table132[[#This Row],[nb win]]/Table132[[#This Row],[nb play]]</f>
        <v>0</v>
      </c>
      <c r="H230" t="str">
        <f>MID(Table132[[#This Row],[ÉTAT]],VALUE(RIGHT(Table132[[#This Row],[next move]],1))+1+VALUE(LEFT(Table132[[#This Row],[next move]],1))*3,1)</f>
        <v>V</v>
      </c>
      <c r="I230" t="str">
        <f>Table132[[#This Row],[ÉTAT]]&amp;Table132[[#This Row],[next move]]</f>
        <v>VVVVMEVME00</v>
      </c>
    </row>
    <row r="231" spans="2:9" x14ac:dyDescent="0.25">
      <c r="B231" t="s">
        <v>171</v>
      </c>
      <c r="C231" s="22" t="s">
        <v>26</v>
      </c>
      <c r="D231">
        <v>10</v>
      </c>
      <c r="E231">
        <v>10</v>
      </c>
      <c r="G231" s="31">
        <f>Table132[[#This Row],[nb win]]/Table132[[#This Row],[nb play]]</f>
        <v>1</v>
      </c>
      <c r="H231" t="str">
        <f>MID(Table132[[#This Row],[ÉTAT]],VALUE(RIGHT(Table132[[#This Row],[next move]],1))+1+VALUE(LEFT(Table132[[#This Row],[next move]],1))*3,1)</f>
        <v>V</v>
      </c>
      <c r="I231" t="str">
        <f>Table132[[#This Row],[ÉTAT]]&amp;Table132[[#This Row],[next move]]</f>
        <v>VVVVMEVME01</v>
      </c>
    </row>
    <row r="232" spans="2:9" x14ac:dyDescent="0.25">
      <c r="B232" t="s">
        <v>229</v>
      </c>
      <c r="C232" s="22" t="s">
        <v>24</v>
      </c>
      <c r="D232">
        <v>1</v>
      </c>
      <c r="G232" s="30">
        <f>Table132[[#This Row],[nb win]]/Table132[[#This Row],[nb play]]</f>
        <v>0</v>
      </c>
      <c r="H232" t="str">
        <f>MID(Table132[[#This Row],[ÉTAT]],VALUE(RIGHT(Table132[[#This Row],[next move]],1))+1+VALUE(LEFT(Table132[[#This Row],[next move]],1))*3,1)</f>
        <v>V</v>
      </c>
      <c r="I232" t="str">
        <f>Table132[[#This Row],[ÉTAT]]&amp;Table132[[#This Row],[next move]]</f>
        <v>VVVVMEVEV00</v>
      </c>
    </row>
    <row r="233" spans="2:9" x14ac:dyDescent="0.25">
      <c r="B233" t="s">
        <v>229</v>
      </c>
      <c r="C233" s="22" t="s">
        <v>26</v>
      </c>
      <c r="D233">
        <v>1</v>
      </c>
      <c r="E233">
        <v>1</v>
      </c>
      <c r="G233" s="31">
        <f>Table132[[#This Row],[nb win]]/Table132[[#This Row],[nb play]]</f>
        <v>1</v>
      </c>
      <c r="H233" t="str">
        <f>MID(Table132[[#This Row],[ÉTAT]],VALUE(RIGHT(Table132[[#This Row],[next move]],1))+1+VALUE(LEFT(Table132[[#This Row],[next move]],1))*3,1)</f>
        <v>V</v>
      </c>
      <c r="I233" t="str">
        <f>Table132[[#This Row],[ÉTAT]]&amp;Table132[[#This Row],[next move]]</f>
        <v>VVVVMEVEV01</v>
      </c>
    </row>
    <row r="234" spans="2:9" x14ac:dyDescent="0.25">
      <c r="B234" t="s">
        <v>229</v>
      </c>
      <c r="C234" s="22" t="s">
        <v>31</v>
      </c>
      <c r="D234">
        <v>6</v>
      </c>
      <c r="E234">
        <v>5</v>
      </c>
      <c r="G234" s="30">
        <f>Table132[[#This Row],[nb win]]/Table132[[#This Row],[nb play]]</f>
        <v>0.83333333333333337</v>
      </c>
      <c r="H234" t="str">
        <f>MID(Table132[[#This Row],[ÉTAT]],VALUE(RIGHT(Table132[[#This Row],[next move]],1))+1+VALUE(LEFT(Table132[[#This Row],[next move]],1))*3,1)</f>
        <v>V</v>
      </c>
      <c r="I234" t="str">
        <f>Table132[[#This Row],[ÉTAT]]&amp;Table132[[#This Row],[next move]]</f>
        <v>VVVVMEVEV22</v>
      </c>
    </row>
    <row r="235" spans="2:9" x14ac:dyDescent="0.25">
      <c r="B235" t="s">
        <v>2243</v>
      </c>
      <c r="C235" s="22" t="s">
        <v>20</v>
      </c>
      <c r="D235">
        <v>4</v>
      </c>
      <c r="E235">
        <v>4</v>
      </c>
      <c r="G235" s="31">
        <f>Table132[[#This Row],[nb win]]/Table132[[#This Row],[nb play]]</f>
        <v>1</v>
      </c>
      <c r="H235" t="str">
        <f>MID(Table132[[#This Row],[ÉTAT]],VALUE(RIGHT(Table132[[#This Row],[next move]],1))+1+VALUE(LEFT(Table132[[#This Row],[next move]],1))*3,1)</f>
        <v>V</v>
      </c>
      <c r="I235" t="str">
        <f>Table132[[#This Row],[ÉTAT]]&amp;Table132[[#This Row],[next move]]</f>
        <v>VVVVMEVEM02</v>
      </c>
    </row>
    <row r="236" spans="2:9" x14ac:dyDescent="0.25">
      <c r="B236" t="s">
        <v>114</v>
      </c>
      <c r="C236" s="22" t="s">
        <v>26</v>
      </c>
      <c r="D236">
        <v>2</v>
      </c>
      <c r="E236">
        <v>2</v>
      </c>
      <c r="G236" s="31">
        <f>Table132[[#This Row],[nb win]]/Table132[[#This Row],[nb play]]</f>
        <v>1</v>
      </c>
      <c r="H236" t="str">
        <f>MID(Table132[[#This Row],[ÉTAT]],VALUE(RIGHT(Table132[[#This Row],[next move]],1))+1+VALUE(LEFT(Table132[[#This Row],[next move]],1))*3,1)</f>
        <v>V</v>
      </c>
      <c r="I236" t="str">
        <f>Table132[[#This Row],[ÉTAT]]&amp;Table132[[#This Row],[next move]]</f>
        <v>VVVVMEMVE01</v>
      </c>
    </row>
    <row r="237" spans="2:9" x14ac:dyDescent="0.25">
      <c r="B237" t="s">
        <v>114</v>
      </c>
      <c r="C237" s="22" t="s">
        <v>30</v>
      </c>
      <c r="D237">
        <v>2</v>
      </c>
      <c r="E237">
        <v>1</v>
      </c>
      <c r="G237" s="25">
        <f>Table132[[#This Row],[nb win]]/Table132[[#This Row],[nb play]]</f>
        <v>0.5</v>
      </c>
      <c r="H237" t="str">
        <f>MID(Table132[[#This Row],[ÉTAT]],VALUE(RIGHT(Table132[[#This Row],[next move]],1))+1+VALUE(LEFT(Table132[[#This Row],[next move]],1))*3,1)</f>
        <v>V</v>
      </c>
      <c r="I237" t="str">
        <f>Table132[[#This Row],[ÉTAT]]&amp;Table132[[#This Row],[next move]]</f>
        <v>VVVVMEMVE10</v>
      </c>
    </row>
    <row r="238" spans="2:9" x14ac:dyDescent="0.25">
      <c r="B238" t="s">
        <v>1454</v>
      </c>
      <c r="C238" s="22" t="s">
        <v>24</v>
      </c>
      <c r="D238">
        <v>1</v>
      </c>
      <c r="E238">
        <v>1</v>
      </c>
      <c r="G238" s="25">
        <f>Table132[[#This Row],[nb win]]/Table132[[#This Row],[nb play]]</f>
        <v>1</v>
      </c>
      <c r="H238" t="str">
        <f>MID(Table132[[#This Row],[ÉTAT]],VALUE(RIGHT(Table132[[#This Row],[next move]],1))+1+VALUE(LEFT(Table132[[#This Row],[next move]],1))*3,1)</f>
        <v>V</v>
      </c>
      <c r="I238" t="str">
        <f>Table132[[#This Row],[ÉTAT]]&amp;Table132[[#This Row],[next move]]</f>
        <v>VVVVMEMEV00</v>
      </c>
    </row>
    <row r="239" spans="2:9" x14ac:dyDescent="0.25">
      <c r="B239" t="s">
        <v>2309</v>
      </c>
      <c r="C239" s="22" t="s">
        <v>26</v>
      </c>
      <c r="D239">
        <v>2</v>
      </c>
      <c r="E239">
        <v>1</v>
      </c>
      <c r="G239" s="30">
        <f>Table132[[#This Row],[nb win]]/Table132[[#This Row],[nb play]]</f>
        <v>0.5</v>
      </c>
      <c r="H239" t="str">
        <f>MID(Table132[[#This Row],[ÉTAT]],VALUE(RIGHT(Table132[[#This Row],[next move]],1))+1+VALUE(LEFT(Table132[[#This Row],[next move]],1))*3,1)</f>
        <v>V</v>
      </c>
      <c r="I239" t="str">
        <f>Table132[[#This Row],[ÉTAT]]&amp;Table132[[#This Row],[next move]]</f>
        <v>VVVVMEMEE01</v>
      </c>
    </row>
    <row r="240" spans="2:9" x14ac:dyDescent="0.25">
      <c r="B240" t="s">
        <v>2309</v>
      </c>
      <c r="C240" s="22" t="s">
        <v>30</v>
      </c>
      <c r="D240">
        <v>1</v>
      </c>
      <c r="G240" s="25">
        <f>Table132[[#This Row],[nb win]]/Table132[[#This Row],[nb play]]</f>
        <v>0</v>
      </c>
      <c r="H240" t="str">
        <f>MID(Table132[[#This Row],[ÉTAT]],VALUE(RIGHT(Table132[[#This Row],[next move]],1))+1+VALUE(LEFT(Table132[[#This Row],[next move]],1))*3,1)</f>
        <v>V</v>
      </c>
      <c r="I240" t="str">
        <f>Table132[[#This Row],[ÉTAT]]&amp;Table132[[#This Row],[next move]]</f>
        <v>VVVVMEMEE10</v>
      </c>
    </row>
    <row r="241" spans="2:9" x14ac:dyDescent="0.25">
      <c r="B241" t="s">
        <v>237</v>
      </c>
      <c r="C241" s="22" t="s">
        <v>24</v>
      </c>
      <c r="D241">
        <v>5</v>
      </c>
      <c r="E241">
        <v>2</v>
      </c>
      <c r="G241" s="31">
        <f>Table132[[#This Row],[nb win]]/Table132[[#This Row],[nb play]]</f>
        <v>0.4</v>
      </c>
      <c r="H241" t="str">
        <f>MID(Table132[[#This Row],[ÉTAT]],VALUE(RIGHT(Table132[[#This Row],[next move]],1))+1+VALUE(LEFT(Table132[[#This Row],[next move]],1))*3,1)</f>
        <v>V</v>
      </c>
      <c r="I241" t="str">
        <f>Table132[[#This Row],[ÉTAT]]&amp;Table132[[#This Row],[next move]]</f>
        <v>VVVVMEEVV00</v>
      </c>
    </row>
    <row r="242" spans="2:9" x14ac:dyDescent="0.25">
      <c r="B242" t="s">
        <v>237</v>
      </c>
      <c r="C242" s="22" t="s">
        <v>26</v>
      </c>
      <c r="D242">
        <v>4</v>
      </c>
      <c r="E242">
        <v>2</v>
      </c>
      <c r="G242" s="30">
        <f>Table132[[#This Row],[nb win]]/Table132[[#This Row],[nb play]]</f>
        <v>0.5</v>
      </c>
      <c r="H242" t="str">
        <f>MID(Table132[[#This Row],[ÉTAT]],VALUE(RIGHT(Table132[[#This Row],[next move]],1))+1+VALUE(LEFT(Table132[[#This Row],[next move]],1))*3,1)</f>
        <v>V</v>
      </c>
      <c r="I242" t="str">
        <f>Table132[[#This Row],[ÉTAT]]&amp;Table132[[#This Row],[next move]]</f>
        <v>VVVVMEEVV01</v>
      </c>
    </row>
    <row r="243" spans="2:9" x14ac:dyDescent="0.25">
      <c r="B243" t="s">
        <v>237</v>
      </c>
      <c r="C243" s="22" t="s">
        <v>20</v>
      </c>
      <c r="D243">
        <v>1</v>
      </c>
      <c r="G243" s="25">
        <f>Table132[[#This Row],[nb win]]/Table132[[#This Row],[nb play]]</f>
        <v>0</v>
      </c>
      <c r="H243" t="str">
        <f>MID(Table132[[#This Row],[ÉTAT]],VALUE(RIGHT(Table132[[#This Row],[next move]],1))+1+VALUE(LEFT(Table132[[#This Row],[next move]],1))*3,1)</f>
        <v>V</v>
      </c>
      <c r="I243" t="str">
        <f>Table132[[#This Row],[ÉTAT]]&amp;Table132[[#This Row],[next move]]</f>
        <v>VVVVMEEVV02</v>
      </c>
    </row>
    <row r="244" spans="2:9" x14ac:dyDescent="0.25">
      <c r="B244" t="s">
        <v>237</v>
      </c>
      <c r="C244" s="22" t="s">
        <v>30</v>
      </c>
      <c r="D244">
        <v>3</v>
      </c>
      <c r="E244">
        <v>1</v>
      </c>
      <c r="G244" s="30">
        <f>Table132[[#This Row],[nb win]]/Table132[[#This Row],[nb play]]</f>
        <v>0.33333333333333331</v>
      </c>
      <c r="H244" t="str">
        <f>MID(Table132[[#This Row],[ÉTAT]],VALUE(RIGHT(Table132[[#This Row],[next move]],1))+1+VALUE(LEFT(Table132[[#This Row],[next move]],1))*3,1)</f>
        <v>V</v>
      </c>
      <c r="I244" t="str">
        <f>Table132[[#This Row],[ÉTAT]]&amp;Table132[[#This Row],[next move]]</f>
        <v>VVVVMEEVV10</v>
      </c>
    </row>
    <row r="245" spans="2:9" x14ac:dyDescent="0.25">
      <c r="B245" t="s">
        <v>237</v>
      </c>
      <c r="C245" s="22" t="s">
        <v>22</v>
      </c>
      <c r="D245">
        <v>4</v>
      </c>
      <c r="E245">
        <v>2</v>
      </c>
      <c r="G245" s="30">
        <f>Table132[[#This Row],[nb win]]/Table132[[#This Row],[nb play]]</f>
        <v>0.5</v>
      </c>
      <c r="H245" t="str">
        <f>MID(Table132[[#This Row],[ÉTAT]],VALUE(RIGHT(Table132[[#This Row],[next move]],1))+1+VALUE(LEFT(Table132[[#This Row],[next move]],1))*3,1)</f>
        <v>V</v>
      </c>
      <c r="I245" t="str">
        <f>Table132[[#This Row],[ÉTAT]]&amp;Table132[[#This Row],[next move]]</f>
        <v>VVVVMEEVV21</v>
      </c>
    </row>
    <row r="246" spans="2:9" x14ac:dyDescent="0.25">
      <c r="B246" t="s">
        <v>237</v>
      </c>
      <c r="C246" s="22" t="s">
        <v>31</v>
      </c>
      <c r="D246">
        <v>3</v>
      </c>
      <c r="E246">
        <v>2</v>
      </c>
      <c r="G246" s="31">
        <f>Table132[[#This Row],[nb win]]/Table132[[#This Row],[nb play]]</f>
        <v>0.66666666666666663</v>
      </c>
      <c r="H246" t="str">
        <f>MID(Table132[[#This Row],[ÉTAT]],VALUE(RIGHT(Table132[[#This Row],[next move]],1))+1+VALUE(LEFT(Table132[[#This Row],[next move]],1))*3,1)</f>
        <v>V</v>
      </c>
      <c r="I246" t="str">
        <f>Table132[[#This Row],[ÉTAT]]&amp;Table132[[#This Row],[next move]]</f>
        <v>VVVVMEEVV22</v>
      </c>
    </row>
    <row r="247" spans="2:9" x14ac:dyDescent="0.25">
      <c r="B247" t="s">
        <v>1981</v>
      </c>
      <c r="C247" s="22" t="s">
        <v>30</v>
      </c>
      <c r="D247">
        <v>3</v>
      </c>
      <c r="E247">
        <v>3</v>
      </c>
      <c r="G247" s="31">
        <f>Table132[[#This Row],[nb win]]/Table132[[#This Row],[nb play]]</f>
        <v>1</v>
      </c>
      <c r="H247" t="str">
        <f>MID(Table132[[#This Row],[ÉTAT]],VALUE(RIGHT(Table132[[#This Row],[next move]],1))+1+VALUE(LEFT(Table132[[#This Row],[next move]],1))*3,1)</f>
        <v>V</v>
      </c>
      <c r="I247" t="str">
        <f>Table132[[#This Row],[ÉTAT]]&amp;Table132[[#This Row],[next move]]</f>
        <v>VVVVMEEVM10</v>
      </c>
    </row>
    <row r="248" spans="2:9" x14ac:dyDescent="0.25">
      <c r="B248" t="s">
        <v>3108</v>
      </c>
      <c r="C248" s="22" t="s">
        <v>26</v>
      </c>
      <c r="D248">
        <v>2</v>
      </c>
      <c r="E248">
        <v>2</v>
      </c>
      <c r="G248" s="31">
        <f>Table132[[#This Row],[nb win]]/Table132[[#This Row],[nb play]]</f>
        <v>1</v>
      </c>
      <c r="H248" t="str">
        <f>MID(Table132[[#This Row],[ÉTAT]],VALUE(RIGHT(Table132[[#This Row],[next move]],1))+1+VALUE(LEFT(Table132[[#This Row],[next move]],1))*3,1)</f>
        <v>V</v>
      </c>
      <c r="I248" t="str">
        <f>Table132[[#This Row],[ÉTAT]]&amp;Table132[[#This Row],[next move]]</f>
        <v>VVVVMEEMV01</v>
      </c>
    </row>
    <row r="249" spans="2:9" x14ac:dyDescent="0.25">
      <c r="B249" t="s">
        <v>1578</v>
      </c>
      <c r="C249" s="22" t="s">
        <v>20</v>
      </c>
      <c r="D249">
        <v>3</v>
      </c>
      <c r="E249">
        <v>3</v>
      </c>
      <c r="G249" s="31">
        <f>Table132[[#This Row],[nb win]]/Table132[[#This Row],[nb play]]</f>
        <v>1</v>
      </c>
      <c r="H249" t="str">
        <f>MID(Table132[[#This Row],[ÉTAT]],VALUE(RIGHT(Table132[[#This Row],[next move]],1))+1+VALUE(LEFT(Table132[[#This Row],[next move]],1))*3,1)</f>
        <v>V</v>
      </c>
      <c r="I249" t="str">
        <f>Table132[[#This Row],[ÉTAT]]&amp;Table132[[#This Row],[next move]]</f>
        <v>VVVVMEEEM02</v>
      </c>
    </row>
    <row r="250" spans="2:9" x14ac:dyDescent="0.25">
      <c r="B250" t="s">
        <v>83</v>
      </c>
      <c r="C250" s="22" t="s">
        <v>24</v>
      </c>
      <c r="D250">
        <v>117</v>
      </c>
      <c r="E250">
        <v>36</v>
      </c>
      <c r="G250" s="30">
        <f>Table132[[#This Row],[nb win]]/Table132[[#This Row],[nb play]]</f>
        <v>0.30769230769230771</v>
      </c>
      <c r="H250" t="str">
        <f>MID(Table132[[#This Row],[ÉTAT]],VALUE(RIGHT(Table132[[#This Row],[next move]],1))+1+VALUE(LEFT(Table132[[#This Row],[next move]],1))*3,1)</f>
        <v>V</v>
      </c>
      <c r="I250" t="str">
        <f>Table132[[#This Row],[ÉTAT]]&amp;Table132[[#This Row],[next move]]</f>
        <v>VVVVEVVVV00</v>
      </c>
    </row>
    <row r="251" spans="2:9" x14ac:dyDescent="0.25">
      <c r="B251" t="s">
        <v>83</v>
      </c>
      <c r="C251" s="22" t="s">
        <v>26</v>
      </c>
      <c r="D251">
        <v>52</v>
      </c>
      <c r="E251">
        <v>5</v>
      </c>
      <c r="G251" s="30">
        <f>Table132[[#This Row],[nb win]]/Table132[[#This Row],[nb play]]</f>
        <v>9.6153846153846159E-2</v>
      </c>
      <c r="H251" t="str">
        <f>MID(Table132[[#This Row],[ÉTAT]],VALUE(RIGHT(Table132[[#This Row],[next move]],1))+1+VALUE(LEFT(Table132[[#This Row],[next move]],1))*3,1)</f>
        <v>V</v>
      </c>
      <c r="I251" t="str">
        <f>Table132[[#This Row],[ÉTAT]]&amp;Table132[[#This Row],[next move]]</f>
        <v>VVVVEVVVV01</v>
      </c>
    </row>
    <row r="252" spans="2:9" x14ac:dyDescent="0.25">
      <c r="B252" t="s">
        <v>83</v>
      </c>
      <c r="C252" s="22" t="s">
        <v>20</v>
      </c>
      <c r="D252">
        <v>78</v>
      </c>
      <c r="E252">
        <v>25</v>
      </c>
      <c r="G252" s="31">
        <f>Table132[[#This Row],[nb win]]/Table132[[#This Row],[nb play]]</f>
        <v>0.32051282051282054</v>
      </c>
      <c r="H252" t="str">
        <f>MID(Table132[[#This Row],[ÉTAT]],VALUE(RIGHT(Table132[[#This Row],[next move]],1))+1+VALUE(LEFT(Table132[[#This Row],[next move]],1))*3,1)</f>
        <v>V</v>
      </c>
      <c r="I252" t="str">
        <f>Table132[[#This Row],[ÉTAT]]&amp;Table132[[#This Row],[next move]]</f>
        <v>VVVVEVVVV02</v>
      </c>
    </row>
    <row r="253" spans="2:9" x14ac:dyDescent="0.25">
      <c r="B253" t="s">
        <v>83</v>
      </c>
      <c r="C253" s="22" t="s">
        <v>30</v>
      </c>
      <c r="D253">
        <v>65</v>
      </c>
      <c r="E253">
        <v>14</v>
      </c>
      <c r="G253" s="31">
        <f>Table132[[#This Row],[nb win]]/Table132[[#This Row],[nb play]]</f>
        <v>0.2153846153846154</v>
      </c>
      <c r="H253" t="str">
        <f>MID(Table132[[#This Row],[ÉTAT]],VALUE(RIGHT(Table132[[#This Row],[next move]],1))+1+VALUE(LEFT(Table132[[#This Row],[next move]],1))*3,1)</f>
        <v>V</v>
      </c>
      <c r="I253" t="str">
        <f>Table132[[#This Row],[ÉTAT]]&amp;Table132[[#This Row],[next move]]</f>
        <v>VVVVEVVVV10</v>
      </c>
    </row>
    <row r="254" spans="2:9" x14ac:dyDescent="0.25">
      <c r="B254" t="s">
        <v>83</v>
      </c>
      <c r="C254" s="22" t="s">
        <v>28</v>
      </c>
      <c r="D254">
        <v>52</v>
      </c>
      <c r="G254" s="30">
        <f>Table132[[#This Row],[nb win]]/Table132[[#This Row],[nb play]]</f>
        <v>0</v>
      </c>
      <c r="H254" t="str">
        <f>MID(Table132[[#This Row],[ÉTAT]],VALUE(RIGHT(Table132[[#This Row],[next move]],1))+1+VALUE(LEFT(Table132[[#This Row],[next move]],1))*3,1)</f>
        <v>V</v>
      </c>
      <c r="I254" t="str">
        <f>Table132[[#This Row],[ÉTAT]]&amp;Table132[[#This Row],[next move]]</f>
        <v>VVVVEVVVV12</v>
      </c>
    </row>
    <row r="255" spans="2:9" x14ac:dyDescent="0.25">
      <c r="B255" t="s">
        <v>83</v>
      </c>
      <c r="C255" s="22" t="s">
        <v>35</v>
      </c>
      <c r="D255">
        <v>69</v>
      </c>
      <c r="E255">
        <v>15</v>
      </c>
      <c r="G255" s="30">
        <f>Table132[[#This Row],[nb win]]/Table132[[#This Row],[nb play]]</f>
        <v>0.21739130434782608</v>
      </c>
      <c r="H255" t="str">
        <f>MID(Table132[[#This Row],[ÉTAT]],VALUE(RIGHT(Table132[[#This Row],[next move]],1))+1+VALUE(LEFT(Table132[[#This Row],[next move]],1))*3,1)</f>
        <v>V</v>
      </c>
      <c r="I255" t="str">
        <f>Table132[[#This Row],[ÉTAT]]&amp;Table132[[#This Row],[next move]]</f>
        <v>VVVVEVVVV20</v>
      </c>
    </row>
    <row r="256" spans="2:9" x14ac:dyDescent="0.25">
      <c r="B256" t="s">
        <v>83</v>
      </c>
      <c r="C256" s="22" t="s">
        <v>22</v>
      </c>
      <c r="D256">
        <v>60</v>
      </c>
      <c r="E256">
        <v>14</v>
      </c>
      <c r="G256" s="30">
        <f>Table132[[#This Row],[nb win]]/Table132[[#This Row],[nb play]]</f>
        <v>0.23333333333333334</v>
      </c>
      <c r="H256" t="str">
        <f>MID(Table132[[#This Row],[ÉTAT]],VALUE(RIGHT(Table132[[#This Row],[next move]],1))+1+VALUE(LEFT(Table132[[#This Row],[next move]],1))*3,1)</f>
        <v>V</v>
      </c>
      <c r="I256" t="str">
        <f>Table132[[#This Row],[ÉTAT]]&amp;Table132[[#This Row],[next move]]</f>
        <v>VVVVEVVVV21</v>
      </c>
    </row>
    <row r="257" spans="2:9" x14ac:dyDescent="0.25">
      <c r="B257" t="s">
        <v>83</v>
      </c>
      <c r="C257" s="22" t="s">
        <v>31</v>
      </c>
      <c r="D257">
        <v>57</v>
      </c>
      <c r="E257">
        <v>15</v>
      </c>
      <c r="G257" s="30">
        <f>Table132[[#This Row],[nb win]]/Table132[[#This Row],[nb play]]</f>
        <v>0.26315789473684209</v>
      </c>
      <c r="H257" t="str">
        <f>MID(Table132[[#This Row],[ÉTAT]],VALUE(RIGHT(Table132[[#This Row],[next move]],1))+1+VALUE(LEFT(Table132[[#This Row],[next move]],1))*3,1)</f>
        <v>V</v>
      </c>
      <c r="I257" t="str">
        <f>Table132[[#This Row],[ÉTAT]]&amp;Table132[[#This Row],[next move]]</f>
        <v>VVVVEVVVV22</v>
      </c>
    </row>
    <row r="258" spans="2:9" x14ac:dyDescent="0.25">
      <c r="B258" t="s">
        <v>206</v>
      </c>
      <c r="C258" s="22" t="s">
        <v>24</v>
      </c>
      <c r="D258">
        <v>13</v>
      </c>
      <c r="E258">
        <v>4</v>
      </c>
      <c r="G258" s="30">
        <f>Table132[[#This Row],[nb win]]/Table132[[#This Row],[nb play]]</f>
        <v>0.30769230769230771</v>
      </c>
      <c r="H258" t="str">
        <f>MID(Table132[[#This Row],[ÉTAT]],VALUE(RIGHT(Table132[[#This Row],[next move]],1))+1+VALUE(LEFT(Table132[[#This Row],[next move]],1))*3,1)</f>
        <v>V</v>
      </c>
      <c r="I258" t="str">
        <f>Table132[[#This Row],[ÉTAT]]&amp;Table132[[#This Row],[next move]]</f>
        <v>VVVVEVVVM00</v>
      </c>
    </row>
    <row r="259" spans="2:9" x14ac:dyDescent="0.25">
      <c r="B259" t="s">
        <v>206</v>
      </c>
      <c r="C259" s="22" t="s">
        <v>26</v>
      </c>
      <c r="D259">
        <v>17</v>
      </c>
      <c r="E259">
        <v>10</v>
      </c>
      <c r="G259" s="30">
        <f>Table132[[#This Row],[nb win]]/Table132[[#This Row],[nb play]]</f>
        <v>0.58823529411764708</v>
      </c>
      <c r="H259" t="str">
        <f>MID(Table132[[#This Row],[ÉTAT]],VALUE(RIGHT(Table132[[#This Row],[next move]],1))+1+VALUE(LEFT(Table132[[#This Row],[next move]],1))*3,1)</f>
        <v>V</v>
      </c>
      <c r="I259" t="str">
        <f>Table132[[#This Row],[ÉTAT]]&amp;Table132[[#This Row],[next move]]</f>
        <v>VVVVEVVVM01</v>
      </c>
    </row>
    <row r="260" spans="2:9" x14ac:dyDescent="0.25">
      <c r="B260" t="s">
        <v>206</v>
      </c>
      <c r="C260" s="22" t="s">
        <v>20</v>
      </c>
      <c r="D260">
        <v>10</v>
      </c>
      <c r="E260">
        <v>4</v>
      </c>
      <c r="G260" s="30">
        <f>Table132[[#This Row],[nb win]]/Table132[[#This Row],[nb play]]</f>
        <v>0.4</v>
      </c>
      <c r="H260" t="str">
        <f>MID(Table132[[#This Row],[ÉTAT]],VALUE(RIGHT(Table132[[#This Row],[next move]],1))+1+VALUE(LEFT(Table132[[#This Row],[next move]],1))*3,1)</f>
        <v>V</v>
      </c>
      <c r="I260" t="str">
        <f>Table132[[#This Row],[ÉTAT]]&amp;Table132[[#This Row],[next move]]</f>
        <v>VVVVEVVVM02</v>
      </c>
    </row>
    <row r="261" spans="2:9" x14ac:dyDescent="0.25">
      <c r="B261" t="s">
        <v>206</v>
      </c>
      <c r="C261" s="22" t="s">
        <v>30</v>
      </c>
      <c r="D261">
        <v>10</v>
      </c>
      <c r="E261">
        <v>5</v>
      </c>
      <c r="G261" s="30">
        <f>Table132[[#This Row],[nb win]]/Table132[[#This Row],[nb play]]</f>
        <v>0.5</v>
      </c>
      <c r="H261" t="str">
        <f>MID(Table132[[#This Row],[ÉTAT]],VALUE(RIGHT(Table132[[#This Row],[next move]],1))+1+VALUE(LEFT(Table132[[#This Row],[next move]],1))*3,1)</f>
        <v>V</v>
      </c>
      <c r="I261" t="str">
        <f>Table132[[#This Row],[ÉTAT]]&amp;Table132[[#This Row],[next move]]</f>
        <v>VVVVEVVVM10</v>
      </c>
    </row>
    <row r="262" spans="2:9" x14ac:dyDescent="0.25">
      <c r="B262" t="s">
        <v>206</v>
      </c>
      <c r="C262" s="22" t="s">
        <v>28</v>
      </c>
      <c r="D262">
        <v>2</v>
      </c>
      <c r="E262">
        <v>1</v>
      </c>
      <c r="G262" s="31">
        <f>Table132[[#This Row],[nb win]]/Table132[[#This Row],[nb play]]</f>
        <v>0.5</v>
      </c>
      <c r="H262" t="str">
        <f>MID(Table132[[#This Row],[ÉTAT]],VALUE(RIGHT(Table132[[#This Row],[next move]],1))+1+VALUE(LEFT(Table132[[#This Row],[next move]],1))*3,1)</f>
        <v>V</v>
      </c>
      <c r="I262" t="str">
        <f>Table132[[#This Row],[ÉTAT]]&amp;Table132[[#This Row],[next move]]</f>
        <v>VVVVEVVVM12</v>
      </c>
    </row>
    <row r="263" spans="2:9" x14ac:dyDescent="0.25">
      <c r="B263" t="s">
        <v>206</v>
      </c>
      <c r="C263" s="22" t="s">
        <v>35</v>
      </c>
      <c r="D263">
        <v>7</v>
      </c>
      <c r="E263">
        <v>3</v>
      </c>
      <c r="G263" s="30">
        <f>Table132[[#This Row],[nb win]]/Table132[[#This Row],[nb play]]</f>
        <v>0.42857142857142855</v>
      </c>
      <c r="H263" t="str">
        <f>MID(Table132[[#This Row],[ÉTAT]],VALUE(RIGHT(Table132[[#This Row],[next move]],1))+1+VALUE(LEFT(Table132[[#This Row],[next move]],1))*3,1)</f>
        <v>V</v>
      </c>
      <c r="I263" t="str">
        <f>Table132[[#This Row],[ÉTAT]]&amp;Table132[[#This Row],[next move]]</f>
        <v>VVVVEVVVM20</v>
      </c>
    </row>
    <row r="264" spans="2:9" x14ac:dyDescent="0.25">
      <c r="B264" t="s">
        <v>206</v>
      </c>
      <c r="C264" s="22" t="s">
        <v>22</v>
      </c>
      <c r="D264">
        <v>23</v>
      </c>
      <c r="E264">
        <v>11</v>
      </c>
      <c r="G264" s="30">
        <f>Table132[[#This Row],[nb win]]/Table132[[#This Row],[nb play]]</f>
        <v>0.47826086956521741</v>
      </c>
      <c r="H264" t="str">
        <f>MID(Table132[[#This Row],[ÉTAT]],VALUE(RIGHT(Table132[[#This Row],[next move]],1))+1+VALUE(LEFT(Table132[[#This Row],[next move]],1))*3,1)</f>
        <v>V</v>
      </c>
      <c r="I264" t="str">
        <f>Table132[[#This Row],[ÉTAT]]&amp;Table132[[#This Row],[next move]]</f>
        <v>VVVVEVVVM21</v>
      </c>
    </row>
    <row r="265" spans="2:9" x14ac:dyDescent="0.25">
      <c r="B265" t="s">
        <v>41</v>
      </c>
      <c r="C265" s="22" t="s">
        <v>24</v>
      </c>
      <c r="D265">
        <v>19</v>
      </c>
      <c r="E265">
        <v>7</v>
      </c>
      <c r="G265" s="30">
        <f>Table132[[#This Row],[nb win]]/Table132[[#This Row],[nb play]]</f>
        <v>0.36842105263157893</v>
      </c>
      <c r="H265" t="str">
        <f>MID(Table132[[#This Row],[ÉTAT]],VALUE(RIGHT(Table132[[#This Row],[next move]],1))+1+VALUE(LEFT(Table132[[#This Row],[next move]],1))*3,1)</f>
        <v>V</v>
      </c>
      <c r="I265" t="str">
        <f>Table132[[#This Row],[ÉTAT]]&amp;Table132[[#This Row],[next move]]</f>
        <v>VVVVEVVMV00</v>
      </c>
    </row>
    <row r="266" spans="2:9" x14ac:dyDescent="0.25">
      <c r="B266" t="s">
        <v>41</v>
      </c>
      <c r="C266" s="22" t="s">
        <v>26</v>
      </c>
      <c r="D266">
        <v>6</v>
      </c>
      <c r="E266">
        <v>1</v>
      </c>
      <c r="G266" s="30">
        <f>Table132[[#This Row],[nb win]]/Table132[[#This Row],[nb play]]</f>
        <v>0.16666666666666666</v>
      </c>
      <c r="H266" t="str">
        <f>MID(Table132[[#This Row],[ÉTAT]],VALUE(RIGHT(Table132[[#This Row],[next move]],1))+1+VALUE(LEFT(Table132[[#This Row],[next move]],1))*3,1)</f>
        <v>V</v>
      </c>
      <c r="I266" t="str">
        <f>Table132[[#This Row],[ÉTAT]]&amp;Table132[[#This Row],[next move]]</f>
        <v>VVVVEVVMV01</v>
      </c>
    </row>
    <row r="267" spans="2:9" x14ac:dyDescent="0.25">
      <c r="B267" t="s">
        <v>41</v>
      </c>
      <c r="C267" s="22" t="s">
        <v>20</v>
      </c>
      <c r="D267">
        <v>4</v>
      </c>
      <c r="E267">
        <v>1</v>
      </c>
      <c r="G267" s="25">
        <f>Table132[[#This Row],[nb win]]/Table132[[#This Row],[nb play]]</f>
        <v>0.25</v>
      </c>
      <c r="H267" t="str">
        <f>MID(Table132[[#This Row],[ÉTAT]],VALUE(RIGHT(Table132[[#This Row],[next move]],1))+1+VALUE(LEFT(Table132[[#This Row],[next move]],1))*3,1)</f>
        <v>V</v>
      </c>
      <c r="I267" t="str">
        <f>Table132[[#This Row],[ÉTAT]]&amp;Table132[[#This Row],[next move]]</f>
        <v>VVVVEVVMV02</v>
      </c>
    </row>
    <row r="268" spans="2:9" x14ac:dyDescent="0.25">
      <c r="B268" t="s">
        <v>41</v>
      </c>
      <c r="C268" s="22" t="s">
        <v>30</v>
      </c>
      <c r="D268">
        <v>6</v>
      </c>
      <c r="E268">
        <v>2</v>
      </c>
      <c r="G268" s="30">
        <f>Table132[[#This Row],[nb win]]/Table132[[#This Row],[nb play]]</f>
        <v>0.33333333333333331</v>
      </c>
      <c r="H268" t="str">
        <f>MID(Table132[[#This Row],[ÉTAT]],VALUE(RIGHT(Table132[[#This Row],[next move]],1))+1+VALUE(LEFT(Table132[[#This Row],[next move]],1))*3,1)</f>
        <v>V</v>
      </c>
      <c r="I268" t="str">
        <f>Table132[[#This Row],[ÉTAT]]&amp;Table132[[#This Row],[next move]]</f>
        <v>VVVVEVVMV10</v>
      </c>
    </row>
    <row r="269" spans="2:9" x14ac:dyDescent="0.25">
      <c r="B269" t="s">
        <v>41</v>
      </c>
      <c r="C269" s="22" t="s">
        <v>28</v>
      </c>
      <c r="D269">
        <v>5</v>
      </c>
      <c r="E269">
        <v>1</v>
      </c>
      <c r="G269" s="30">
        <f>Table132[[#This Row],[nb win]]/Table132[[#This Row],[nb play]]</f>
        <v>0.2</v>
      </c>
      <c r="H269" t="str">
        <f>MID(Table132[[#This Row],[ÉTAT]],VALUE(RIGHT(Table132[[#This Row],[next move]],1))+1+VALUE(LEFT(Table132[[#This Row],[next move]],1))*3,1)</f>
        <v>V</v>
      </c>
      <c r="I269" t="str">
        <f>Table132[[#This Row],[ÉTAT]]&amp;Table132[[#This Row],[next move]]</f>
        <v>VVVVEVVMV12</v>
      </c>
    </row>
    <row r="270" spans="2:9" x14ac:dyDescent="0.25">
      <c r="B270" t="s">
        <v>41</v>
      </c>
      <c r="C270" s="22" t="s">
        <v>35</v>
      </c>
      <c r="D270">
        <v>16</v>
      </c>
      <c r="E270">
        <v>6</v>
      </c>
      <c r="G270" s="30">
        <f>Table132[[#This Row],[nb win]]/Table132[[#This Row],[nb play]]</f>
        <v>0.375</v>
      </c>
      <c r="H270" t="str">
        <f>MID(Table132[[#This Row],[ÉTAT]],VALUE(RIGHT(Table132[[#This Row],[next move]],1))+1+VALUE(LEFT(Table132[[#This Row],[next move]],1))*3,1)</f>
        <v>V</v>
      </c>
      <c r="I270" t="str">
        <f>Table132[[#This Row],[ÉTAT]]&amp;Table132[[#This Row],[next move]]</f>
        <v>VVVVEVVMV20</v>
      </c>
    </row>
    <row r="271" spans="2:9" x14ac:dyDescent="0.25">
      <c r="B271" t="s">
        <v>41</v>
      </c>
      <c r="C271" s="22" t="s">
        <v>31</v>
      </c>
      <c r="D271">
        <v>13</v>
      </c>
      <c r="E271">
        <v>5</v>
      </c>
      <c r="G271" s="30">
        <f>Table132[[#This Row],[nb win]]/Table132[[#This Row],[nb play]]</f>
        <v>0.38461538461538464</v>
      </c>
      <c r="H271" t="str">
        <f>MID(Table132[[#This Row],[ÉTAT]],VALUE(RIGHT(Table132[[#This Row],[next move]],1))+1+VALUE(LEFT(Table132[[#This Row],[next move]],1))*3,1)</f>
        <v>V</v>
      </c>
      <c r="I271" t="str">
        <f>Table132[[#This Row],[ÉTAT]]&amp;Table132[[#This Row],[next move]]</f>
        <v>VVVVEVVMV22</v>
      </c>
    </row>
    <row r="272" spans="2:9" x14ac:dyDescent="0.25">
      <c r="B272" t="s">
        <v>1920</v>
      </c>
      <c r="C272" s="22" t="s">
        <v>24</v>
      </c>
      <c r="D272">
        <v>2</v>
      </c>
      <c r="G272" s="30">
        <f>Table132[[#This Row],[nb win]]/Table132[[#This Row],[nb play]]</f>
        <v>0</v>
      </c>
      <c r="H272" t="str">
        <f>MID(Table132[[#This Row],[ÉTAT]],VALUE(RIGHT(Table132[[#This Row],[next move]],1))+1+VALUE(LEFT(Table132[[#This Row],[next move]],1))*3,1)</f>
        <v>V</v>
      </c>
      <c r="I272" t="str">
        <f>Table132[[#This Row],[ÉTAT]]&amp;Table132[[#This Row],[next move]]</f>
        <v>VVVVEVVME00</v>
      </c>
    </row>
    <row r="273" spans="2:9" x14ac:dyDescent="0.25">
      <c r="B273" t="s">
        <v>1920</v>
      </c>
      <c r="C273" s="22" t="s">
        <v>26</v>
      </c>
      <c r="D273">
        <v>1</v>
      </c>
      <c r="G273" s="25">
        <f>Table132[[#This Row],[nb win]]/Table132[[#This Row],[nb play]]</f>
        <v>0</v>
      </c>
      <c r="H273" t="str">
        <f>MID(Table132[[#This Row],[ÉTAT]],VALUE(RIGHT(Table132[[#This Row],[next move]],1))+1+VALUE(LEFT(Table132[[#This Row],[next move]],1))*3,1)</f>
        <v>V</v>
      </c>
      <c r="I273" t="str">
        <f>Table132[[#This Row],[ÉTAT]]&amp;Table132[[#This Row],[next move]]</f>
        <v>VVVVEVVME01</v>
      </c>
    </row>
    <row r="274" spans="2:9" x14ac:dyDescent="0.25">
      <c r="B274" t="s">
        <v>1920</v>
      </c>
      <c r="C274" s="22" t="s">
        <v>20</v>
      </c>
      <c r="D274">
        <v>2</v>
      </c>
      <c r="G274" s="30">
        <f>Table132[[#This Row],[nb win]]/Table132[[#This Row],[nb play]]</f>
        <v>0</v>
      </c>
      <c r="H274" t="str">
        <f>MID(Table132[[#This Row],[ÉTAT]],VALUE(RIGHT(Table132[[#This Row],[next move]],1))+1+VALUE(LEFT(Table132[[#This Row],[next move]],1))*3,1)</f>
        <v>V</v>
      </c>
      <c r="I274" t="str">
        <f>Table132[[#This Row],[ÉTAT]]&amp;Table132[[#This Row],[next move]]</f>
        <v>VVVVEVVME02</v>
      </c>
    </row>
    <row r="275" spans="2:9" x14ac:dyDescent="0.25">
      <c r="B275" t="s">
        <v>1920</v>
      </c>
      <c r="C275" s="22" t="s">
        <v>30</v>
      </c>
      <c r="D275">
        <v>2</v>
      </c>
      <c r="G275" s="30">
        <f>Table132[[#This Row],[nb win]]/Table132[[#This Row],[nb play]]</f>
        <v>0</v>
      </c>
      <c r="H275" t="str">
        <f>MID(Table132[[#This Row],[ÉTAT]],VALUE(RIGHT(Table132[[#This Row],[next move]],1))+1+VALUE(LEFT(Table132[[#This Row],[next move]],1))*3,1)</f>
        <v>V</v>
      </c>
      <c r="I275" t="str">
        <f>Table132[[#This Row],[ÉTAT]]&amp;Table132[[#This Row],[next move]]</f>
        <v>VVVVEVVME10</v>
      </c>
    </row>
    <row r="276" spans="2:9" x14ac:dyDescent="0.25">
      <c r="B276" t="s">
        <v>1920</v>
      </c>
      <c r="C276" s="22" t="s">
        <v>28</v>
      </c>
      <c r="D276">
        <v>2</v>
      </c>
      <c r="G276" s="30">
        <f>Table132[[#This Row],[nb win]]/Table132[[#This Row],[nb play]]</f>
        <v>0</v>
      </c>
      <c r="H276" t="str">
        <f>MID(Table132[[#This Row],[ÉTAT]],VALUE(RIGHT(Table132[[#This Row],[next move]],1))+1+VALUE(LEFT(Table132[[#This Row],[next move]],1))*3,1)</f>
        <v>V</v>
      </c>
      <c r="I276" t="str">
        <f>Table132[[#This Row],[ÉTAT]]&amp;Table132[[#This Row],[next move]]</f>
        <v>VVVVEVVME12</v>
      </c>
    </row>
    <row r="277" spans="2:9" x14ac:dyDescent="0.25">
      <c r="B277" t="s">
        <v>1920</v>
      </c>
      <c r="C277" s="22" t="s">
        <v>35</v>
      </c>
      <c r="D277">
        <v>3</v>
      </c>
      <c r="E277">
        <v>1</v>
      </c>
      <c r="G277" s="30">
        <f>Table132[[#This Row],[nb win]]/Table132[[#This Row],[nb play]]</f>
        <v>0.33333333333333331</v>
      </c>
      <c r="H277" t="str">
        <f>MID(Table132[[#This Row],[ÉTAT]],VALUE(RIGHT(Table132[[#This Row],[next move]],1))+1+VALUE(LEFT(Table132[[#This Row],[next move]],1))*3,1)</f>
        <v>V</v>
      </c>
      <c r="I277" t="str">
        <f>Table132[[#This Row],[ÉTAT]]&amp;Table132[[#This Row],[next move]]</f>
        <v>VVVVEVVME20</v>
      </c>
    </row>
    <row r="278" spans="2:9" x14ac:dyDescent="0.25">
      <c r="B278" t="s">
        <v>170</v>
      </c>
      <c r="C278" s="22" t="s">
        <v>24</v>
      </c>
      <c r="D278">
        <v>4</v>
      </c>
      <c r="E278">
        <v>1</v>
      </c>
      <c r="G278" s="30">
        <f>Table132[[#This Row],[nb win]]/Table132[[#This Row],[nb play]]</f>
        <v>0.25</v>
      </c>
      <c r="H278" t="str">
        <f>MID(Table132[[#This Row],[ÉTAT]],VALUE(RIGHT(Table132[[#This Row],[next move]],1))+1+VALUE(LEFT(Table132[[#This Row],[next move]],1))*3,1)</f>
        <v>V</v>
      </c>
      <c r="I278" t="str">
        <f>Table132[[#This Row],[ÉTAT]]&amp;Table132[[#This Row],[next move]]</f>
        <v>VVVVEVVEM00</v>
      </c>
    </row>
    <row r="279" spans="2:9" x14ac:dyDescent="0.25">
      <c r="B279" t="s">
        <v>170</v>
      </c>
      <c r="C279" s="22" t="s">
        <v>26</v>
      </c>
      <c r="D279">
        <v>5</v>
      </c>
      <c r="E279">
        <v>2</v>
      </c>
      <c r="G279" s="30">
        <f>Table132[[#This Row],[nb win]]/Table132[[#This Row],[nb play]]</f>
        <v>0.4</v>
      </c>
      <c r="H279" t="str">
        <f>MID(Table132[[#This Row],[ÉTAT]],VALUE(RIGHT(Table132[[#This Row],[next move]],1))+1+VALUE(LEFT(Table132[[#This Row],[next move]],1))*3,1)</f>
        <v>V</v>
      </c>
      <c r="I279" t="str">
        <f>Table132[[#This Row],[ÉTAT]]&amp;Table132[[#This Row],[next move]]</f>
        <v>VVVVEVVEM01</v>
      </c>
    </row>
    <row r="280" spans="2:9" x14ac:dyDescent="0.25">
      <c r="B280" t="s">
        <v>170</v>
      </c>
      <c r="C280" s="22" t="s">
        <v>20</v>
      </c>
      <c r="D280">
        <v>5</v>
      </c>
      <c r="G280" s="30">
        <f>Table132[[#This Row],[nb win]]/Table132[[#This Row],[nb play]]</f>
        <v>0</v>
      </c>
      <c r="H280" t="str">
        <f>MID(Table132[[#This Row],[ÉTAT]],VALUE(RIGHT(Table132[[#This Row],[next move]],1))+1+VALUE(LEFT(Table132[[#This Row],[next move]],1))*3,1)</f>
        <v>V</v>
      </c>
      <c r="I280" t="str">
        <f>Table132[[#This Row],[ÉTAT]]&amp;Table132[[#This Row],[next move]]</f>
        <v>VVVVEVVEM02</v>
      </c>
    </row>
    <row r="281" spans="2:9" x14ac:dyDescent="0.25">
      <c r="B281" t="s">
        <v>170</v>
      </c>
      <c r="C281" s="22" t="s">
        <v>30</v>
      </c>
      <c r="D281">
        <v>3</v>
      </c>
      <c r="G281" s="30">
        <f>Table132[[#This Row],[nb win]]/Table132[[#This Row],[nb play]]</f>
        <v>0</v>
      </c>
      <c r="H281" t="str">
        <f>MID(Table132[[#This Row],[ÉTAT]],VALUE(RIGHT(Table132[[#This Row],[next move]],1))+1+VALUE(LEFT(Table132[[#This Row],[next move]],1))*3,1)</f>
        <v>V</v>
      </c>
      <c r="I281" t="str">
        <f>Table132[[#This Row],[ÉTAT]]&amp;Table132[[#This Row],[next move]]</f>
        <v>VVVVEVVEM10</v>
      </c>
    </row>
    <row r="282" spans="2:9" x14ac:dyDescent="0.25">
      <c r="B282" t="s">
        <v>170</v>
      </c>
      <c r="C282" s="22" t="s">
        <v>28</v>
      </c>
      <c r="D282">
        <v>12</v>
      </c>
      <c r="E282">
        <v>2</v>
      </c>
      <c r="G282" s="30">
        <f>Table132[[#This Row],[nb win]]/Table132[[#This Row],[nb play]]</f>
        <v>0.16666666666666666</v>
      </c>
      <c r="H282" t="str">
        <f>MID(Table132[[#This Row],[ÉTAT]],VALUE(RIGHT(Table132[[#This Row],[next move]],1))+1+VALUE(LEFT(Table132[[#This Row],[next move]],1))*3,1)</f>
        <v>V</v>
      </c>
      <c r="I282" t="str">
        <f>Table132[[#This Row],[ÉTAT]]&amp;Table132[[#This Row],[next move]]</f>
        <v>VVVVEVVEM12</v>
      </c>
    </row>
    <row r="283" spans="2:9" x14ac:dyDescent="0.25">
      <c r="B283" t="s">
        <v>170</v>
      </c>
      <c r="C283" s="22" t="s">
        <v>35</v>
      </c>
      <c r="D283">
        <v>1</v>
      </c>
      <c r="G283" s="25">
        <f>Table132[[#This Row],[nb win]]/Table132[[#This Row],[nb play]]</f>
        <v>0</v>
      </c>
      <c r="H283" t="str">
        <f>MID(Table132[[#This Row],[ÉTAT]],VALUE(RIGHT(Table132[[#This Row],[next move]],1))+1+VALUE(LEFT(Table132[[#This Row],[next move]],1))*3,1)</f>
        <v>V</v>
      </c>
      <c r="I283" t="str">
        <f>Table132[[#This Row],[ÉTAT]]&amp;Table132[[#This Row],[next move]]</f>
        <v>VVVVEVVEM20</v>
      </c>
    </row>
    <row r="284" spans="2:9" x14ac:dyDescent="0.25">
      <c r="B284" t="s">
        <v>205</v>
      </c>
      <c r="C284" s="22" t="s">
        <v>24</v>
      </c>
      <c r="D284">
        <v>3</v>
      </c>
      <c r="E284">
        <v>1</v>
      </c>
      <c r="G284" s="31">
        <f>Table132[[#This Row],[nb win]]/Table132[[#This Row],[nb play]]</f>
        <v>0.33333333333333331</v>
      </c>
      <c r="H284" t="str">
        <f>MID(Table132[[#This Row],[ÉTAT]],VALUE(RIGHT(Table132[[#This Row],[next move]],1))+1+VALUE(LEFT(Table132[[#This Row],[next move]],1))*3,1)</f>
        <v>V</v>
      </c>
      <c r="I284" t="str">
        <f>Table132[[#This Row],[ÉTAT]]&amp;Table132[[#This Row],[next move]]</f>
        <v>VVVVEVMVV00</v>
      </c>
    </row>
    <row r="285" spans="2:9" x14ac:dyDescent="0.25">
      <c r="B285" t="s">
        <v>205</v>
      </c>
      <c r="C285" s="22" t="s">
        <v>26</v>
      </c>
      <c r="D285">
        <v>5</v>
      </c>
      <c r="E285">
        <v>2</v>
      </c>
      <c r="G285" s="31">
        <f>Table132[[#This Row],[nb win]]/Table132[[#This Row],[nb play]]</f>
        <v>0.4</v>
      </c>
      <c r="H285" t="str">
        <f>MID(Table132[[#This Row],[ÉTAT]],VALUE(RIGHT(Table132[[#This Row],[next move]],1))+1+VALUE(LEFT(Table132[[#This Row],[next move]],1))*3,1)</f>
        <v>V</v>
      </c>
      <c r="I285" t="str">
        <f>Table132[[#This Row],[ÉTAT]]&amp;Table132[[#This Row],[next move]]</f>
        <v>VVVVEVMVV01</v>
      </c>
    </row>
    <row r="286" spans="2:9" x14ac:dyDescent="0.25">
      <c r="B286" t="s">
        <v>205</v>
      </c>
      <c r="C286" s="22" t="s">
        <v>20</v>
      </c>
      <c r="D286">
        <v>8</v>
      </c>
      <c r="E286">
        <v>3</v>
      </c>
      <c r="G286" s="31">
        <f>Table132[[#This Row],[nb win]]/Table132[[#This Row],[nb play]]</f>
        <v>0.375</v>
      </c>
      <c r="H286" t="str">
        <f>MID(Table132[[#This Row],[ÉTAT]],VALUE(RIGHT(Table132[[#This Row],[next move]],1))+1+VALUE(LEFT(Table132[[#This Row],[next move]],1))*3,1)</f>
        <v>V</v>
      </c>
      <c r="I286" t="str">
        <f>Table132[[#This Row],[ÉTAT]]&amp;Table132[[#This Row],[next move]]</f>
        <v>VVVVEVMVV02</v>
      </c>
    </row>
    <row r="287" spans="2:9" x14ac:dyDescent="0.25">
      <c r="B287" t="s">
        <v>205</v>
      </c>
      <c r="C287" s="22" t="s">
        <v>30</v>
      </c>
      <c r="D287">
        <v>5</v>
      </c>
      <c r="E287">
        <v>2</v>
      </c>
      <c r="G287" s="31">
        <f>Table132[[#This Row],[nb win]]/Table132[[#This Row],[nb play]]</f>
        <v>0.4</v>
      </c>
      <c r="H287" t="str">
        <f>MID(Table132[[#This Row],[ÉTAT]],VALUE(RIGHT(Table132[[#This Row],[next move]],1))+1+VALUE(LEFT(Table132[[#This Row],[next move]],1))*3,1)</f>
        <v>V</v>
      </c>
      <c r="I287" t="str">
        <f>Table132[[#This Row],[ÉTAT]]&amp;Table132[[#This Row],[next move]]</f>
        <v>VVVVEVMVV10</v>
      </c>
    </row>
    <row r="288" spans="2:9" x14ac:dyDescent="0.25">
      <c r="B288" t="s">
        <v>205</v>
      </c>
      <c r="C288" s="22" t="s">
        <v>28</v>
      </c>
      <c r="D288">
        <v>11</v>
      </c>
      <c r="E288">
        <v>7</v>
      </c>
      <c r="G288" s="31">
        <f>Table132[[#This Row],[nb win]]/Table132[[#This Row],[nb play]]</f>
        <v>0.63636363636363635</v>
      </c>
      <c r="H288" t="str">
        <f>MID(Table132[[#This Row],[ÉTAT]],VALUE(RIGHT(Table132[[#This Row],[next move]],1))+1+VALUE(LEFT(Table132[[#This Row],[next move]],1))*3,1)</f>
        <v>V</v>
      </c>
      <c r="I288" t="str">
        <f>Table132[[#This Row],[ÉTAT]]&amp;Table132[[#This Row],[next move]]</f>
        <v>VVVVEVMVV12</v>
      </c>
    </row>
    <row r="289" spans="2:9" x14ac:dyDescent="0.25">
      <c r="B289" t="s">
        <v>205</v>
      </c>
      <c r="C289" s="22" t="s">
        <v>22</v>
      </c>
      <c r="D289">
        <v>15</v>
      </c>
      <c r="E289">
        <v>8</v>
      </c>
      <c r="G289" s="30">
        <f>Table132[[#This Row],[nb win]]/Table132[[#This Row],[nb play]]</f>
        <v>0.53333333333333333</v>
      </c>
      <c r="H289" t="str">
        <f>MID(Table132[[#This Row],[ÉTAT]],VALUE(RIGHT(Table132[[#This Row],[next move]],1))+1+VALUE(LEFT(Table132[[#This Row],[next move]],1))*3,1)</f>
        <v>V</v>
      </c>
      <c r="I289" t="str">
        <f>Table132[[#This Row],[ÉTAT]]&amp;Table132[[#This Row],[next move]]</f>
        <v>VVVVEVMVV21</v>
      </c>
    </row>
    <row r="290" spans="2:9" x14ac:dyDescent="0.25">
      <c r="B290" t="s">
        <v>205</v>
      </c>
      <c r="C290" s="22" t="s">
        <v>31</v>
      </c>
      <c r="D290">
        <v>13</v>
      </c>
      <c r="E290">
        <v>7</v>
      </c>
      <c r="G290" s="30">
        <f>Table132[[#This Row],[nb win]]/Table132[[#This Row],[nb play]]</f>
        <v>0.53846153846153844</v>
      </c>
      <c r="H290" t="str">
        <f>MID(Table132[[#This Row],[ÉTAT]],VALUE(RIGHT(Table132[[#This Row],[next move]],1))+1+VALUE(LEFT(Table132[[#This Row],[next move]],1))*3,1)</f>
        <v>V</v>
      </c>
      <c r="I290" t="str">
        <f>Table132[[#This Row],[ÉTAT]]&amp;Table132[[#This Row],[next move]]</f>
        <v>VVVVEVMVV22</v>
      </c>
    </row>
    <row r="291" spans="2:9" x14ac:dyDescent="0.25">
      <c r="B291" t="s">
        <v>489</v>
      </c>
      <c r="C291" s="22" t="s">
        <v>24</v>
      </c>
      <c r="D291">
        <v>6</v>
      </c>
      <c r="E291">
        <v>3</v>
      </c>
      <c r="G291" s="30">
        <f>Table132[[#This Row],[nb win]]/Table132[[#This Row],[nb play]]</f>
        <v>0.5</v>
      </c>
      <c r="H291" t="str">
        <f>MID(Table132[[#This Row],[ÉTAT]],VALUE(RIGHT(Table132[[#This Row],[next move]],1))+1+VALUE(LEFT(Table132[[#This Row],[next move]],1))*3,1)</f>
        <v>V</v>
      </c>
      <c r="I291" t="str">
        <f>Table132[[#This Row],[ÉTAT]]&amp;Table132[[#This Row],[next move]]</f>
        <v>VVVVEVMVE00</v>
      </c>
    </row>
    <row r="292" spans="2:9" x14ac:dyDescent="0.25">
      <c r="B292" t="s">
        <v>489</v>
      </c>
      <c r="C292" s="22" t="s">
        <v>26</v>
      </c>
      <c r="D292">
        <v>4</v>
      </c>
      <c r="G292" s="30">
        <f>Table132[[#This Row],[nb win]]/Table132[[#This Row],[nb play]]</f>
        <v>0</v>
      </c>
      <c r="H292" t="str">
        <f>MID(Table132[[#This Row],[ÉTAT]],VALUE(RIGHT(Table132[[#This Row],[next move]],1))+1+VALUE(LEFT(Table132[[#This Row],[next move]],1))*3,1)</f>
        <v>V</v>
      </c>
      <c r="I292" t="str">
        <f>Table132[[#This Row],[ÉTAT]]&amp;Table132[[#This Row],[next move]]</f>
        <v>VVVVEVMVE01</v>
      </c>
    </row>
    <row r="293" spans="2:9" x14ac:dyDescent="0.25">
      <c r="B293" t="s">
        <v>489</v>
      </c>
      <c r="C293" s="22" t="s">
        <v>20</v>
      </c>
      <c r="D293">
        <v>2</v>
      </c>
      <c r="E293">
        <v>1</v>
      </c>
      <c r="G293" s="31">
        <f>Table132[[#This Row],[nb win]]/Table132[[#This Row],[nb play]]</f>
        <v>0.5</v>
      </c>
      <c r="H293" t="str">
        <f>MID(Table132[[#This Row],[ÉTAT]],VALUE(RIGHT(Table132[[#This Row],[next move]],1))+1+VALUE(LEFT(Table132[[#This Row],[next move]],1))*3,1)</f>
        <v>V</v>
      </c>
      <c r="I293" t="str">
        <f>Table132[[#This Row],[ÉTAT]]&amp;Table132[[#This Row],[next move]]</f>
        <v>VVVVEVMVE02</v>
      </c>
    </row>
    <row r="294" spans="2:9" x14ac:dyDescent="0.25">
      <c r="B294" t="s">
        <v>489</v>
      </c>
      <c r="C294" s="22" t="s">
        <v>30</v>
      </c>
      <c r="D294">
        <v>3</v>
      </c>
      <c r="G294" s="30">
        <f>Table132[[#This Row],[nb win]]/Table132[[#This Row],[nb play]]</f>
        <v>0</v>
      </c>
      <c r="H294" t="str">
        <f>MID(Table132[[#This Row],[ÉTAT]],VALUE(RIGHT(Table132[[#This Row],[next move]],1))+1+VALUE(LEFT(Table132[[#This Row],[next move]],1))*3,1)</f>
        <v>V</v>
      </c>
      <c r="I294" t="str">
        <f>Table132[[#This Row],[ÉTAT]]&amp;Table132[[#This Row],[next move]]</f>
        <v>VVVVEVMVE10</v>
      </c>
    </row>
    <row r="295" spans="2:9" x14ac:dyDescent="0.25">
      <c r="B295" t="s">
        <v>489</v>
      </c>
      <c r="C295" s="22" t="s">
        <v>28</v>
      </c>
      <c r="D295">
        <v>1</v>
      </c>
      <c r="G295" s="25">
        <f>Table132[[#This Row],[nb win]]/Table132[[#This Row],[nb play]]</f>
        <v>0</v>
      </c>
      <c r="H295" t="str">
        <f>MID(Table132[[#This Row],[ÉTAT]],VALUE(RIGHT(Table132[[#This Row],[next move]],1))+1+VALUE(LEFT(Table132[[#This Row],[next move]],1))*3,1)</f>
        <v>V</v>
      </c>
      <c r="I295" t="str">
        <f>Table132[[#This Row],[ÉTAT]]&amp;Table132[[#This Row],[next move]]</f>
        <v>VVVVEVMVE12</v>
      </c>
    </row>
    <row r="296" spans="2:9" x14ac:dyDescent="0.25">
      <c r="B296" t="s">
        <v>489</v>
      </c>
      <c r="C296" s="22" t="s">
        <v>22</v>
      </c>
      <c r="D296">
        <v>3</v>
      </c>
      <c r="G296" s="30">
        <f>Table132[[#This Row],[nb win]]/Table132[[#This Row],[nb play]]</f>
        <v>0</v>
      </c>
      <c r="H296" t="str">
        <f>MID(Table132[[#This Row],[ÉTAT]],VALUE(RIGHT(Table132[[#This Row],[next move]],1))+1+VALUE(LEFT(Table132[[#This Row],[next move]],1))*3,1)</f>
        <v>V</v>
      </c>
      <c r="I296" t="str">
        <f>Table132[[#This Row],[ÉTAT]]&amp;Table132[[#This Row],[next move]]</f>
        <v>VVVVEVMVE21</v>
      </c>
    </row>
    <row r="297" spans="2:9" x14ac:dyDescent="0.25">
      <c r="B297" t="s">
        <v>1357</v>
      </c>
      <c r="C297" s="22" t="s">
        <v>24</v>
      </c>
      <c r="D297">
        <v>1</v>
      </c>
      <c r="G297" s="25">
        <f>Table132[[#This Row],[nb win]]/Table132[[#This Row],[nb play]]</f>
        <v>0</v>
      </c>
      <c r="H297" t="str">
        <f>MID(Table132[[#This Row],[ÉTAT]],VALUE(RIGHT(Table132[[#This Row],[next move]],1))+1+VALUE(LEFT(Table132[[#This Row],[next move]],1))*3,1)</f>
        <v>V</v>
      </c>
      <c r="I297" t="str">
        <f>Table132[[#This Row],[ÉTAT]]&amp;Table132[[#This Row],[next move]]</f>
        <v>VVVVEVMME00</v>
      </c>
    </row>
    <row r="298" spans="2:9" x14ac:dyDescent="0.25">
      <c r="B298" t="s">
        <v>1357</v>
      </c>
      <c r="C298" s="22" t="s">
        <v>26</v>
      </c>
      <c r="D298">
        <v>2</v>
      </c>
      <c r="G298" s="30">
        <f>Table132[[#This Row],[nb win]]/Table132[[#This Row],[nb play]]</f>
        <v>0</v>
      </c>
      <c r="H298" t="str">
        <f>MID(Table132[[#This Row],[ÉTAT]],VALUE(RIGHT(Table132[[#This Row],[next move]],1))+1+VALUE(LEFT(Table132[[#This Row],[next move]],1))*3,1)</f>
        <v>V</v>
      </c>
      <c r="I298" t="str">
        <f>Table132[[#This Row],[ÉTAT]]&amp;Table132[[#This Row],[next move]]</f>
        <v>VVVVEVMME01</v>
      </c>
    </row>
    <row r="299" spans="2:9" x14ac:dyDescent="0.25">
      <c r="B299" t="s">
        <v>1357</v>
      </c>
      <c r="C299" s="22" t="s">
        <v>20</v>
      </c>
      <c r="D299">
        <v>1</v>
      </c>
      <c r="G299" s="25">
        <f>Table132[[#This Row],[nb win]]/Table132[[#This Row],[nb play]]</f>
        <v>0</v>
      </c>
      <c r="H299" t="str">
        <f>MID(Table132[[#This Row],[ÉTAT]],VALUE(RIGHT(Table132[[#This Row],[next move]],1))+1+VALUE(LEFT(Table132[[#This Row],[next move]],1))*3,1)</f>
        <v>V</v>
      </c>
      <c r="I299" t="str">
        <f>Table132[[#This Row],[ÉTAT]]&amp;Table132[[#This Row],[next move]]</f>
        <v>VVVVEVMME02</v>
      </c>
    </row>
    <row r="300" spans="2:9" x14ac:dyDescent="0.25">
      <c r="B300" t="s">
        <v>1357</v>
      </c>
      <c r="C300" s="22" t="s">
        <v>30</v>
      </c>
      <c r="D300">
        <v>11</v>
      </c>
      <c r="E300">
        <v>2</v>
      </c>
      <c r="G300" s="30">
        <f>Table132[[#This Row],[nb win]]/Table132[[#This Row],[nb play]]</f>
        <v>0.18181818181818182</v>
      </c>
      <c r="H300" t="str">
        <f>MID(Table132[[#This Row],[ÉTAT]],VALUE(RIGHT(Table132[[#This Row],[next move]],1))+1+VALUE(LEFT(Table132[[#This Row],[next move]],1))*3,1)</f>
        <v>V</v>
      </c>
      <c r="I300" t="str">
        <f>Table132[[#This Row],[ÉTAT]]&amp;Table132[[#This Row],[next move]]</f>
        <v>VVVVEVMME10</v>
      </c>
    </row>
    <row r="301" spans="2:9" x14ac:dyDescent="0.25">
      <c r="B301" t="s">
        <v>1357</v>
      </c>
      <c r="C301" s="22" t="s">
        <v>28</v>
      </c>
      <c r="D301">
        <v>1</v>
      </c>
      <c r="G301" s="25">
        <f>Table132[[#This Row],[nb win]]/Table132[[#This Row],[nb play]]</f>
        <v>0</v>
      </c>
      <c r="H301" t="str">
        <f>MID(Table132[[#This Row],[ÉTAT]],VALUE(RIGHT(Table132[[#This Row],[next move]],1))+1+VALUE(LEFT(Table132[[#This Row],[next move]],1))*3,1)</f>
        <v>V</v>
      </c>
      <c r="I301" t="str">
        <f>Table132[[#This Row],[ÉTAT]]&amp;Table132[[#This Row],[next move]]</f>
        <v>VVVVEVMME12</v>
      </c>
    </row>
    <row r="302" spans="2:9" x14ac:dyDescent="0.25">
      <c r="B302" t="s">
        <v>509</v>
      </c>
      <c r="C302" s="22" t="s">
        <v>24</v>
      </c>
      <c r="D302">
        <v>6</v>
      </c>
      <c r="E302">
        <v>1</v>
      </c>
      <c r="G302" s="30">
        <f>Table132[[#This Row],[nb win]]/Table132[[#This Row],[nb play]]</f>
        <v>0.16666666666666666</v>
      </c>
      <c r="H302" t="str">
        <f>MID(Table132[[#This Row],[ÉTAT]],VALUE(RIGHT(Table132[[#This Row],[next move]],1))+1+VALUE(LEFT(Table132[[#This Row],[next move]],1))*3,1)</f>
        <v>V</v>
      </c>
      <c r="I302" t="str">
        <f>Table132[[#This Row],[ÉTAT]]&amp;Table132[[#This Row],[next move]]</f>
        <v>VVVVEVMEV00</v>
      </c>
    </row>
    <row r="303" spans="2:9" x14ac:dyDescent="0.25">
      <c r="B303" t="s">
        <v>509</v>
      </c>
      <c r="C303" s="22" t="s">
        <v>26</v>
      </c>
      <c r="D303">
        <v>2</v>
      </c>
      <c r="G303" s="30">
        <f>Table132[[#This Row],[nb win]]/Table132[[#This Row],[nb play]]</f>
        <v>0</v>
      </c>
      <c r="H303" t="str">
        <f>MID(Table132[[#This Row],[ÉTAT]],VALUE(RIGHT(Table132[[#This Row],[next move]],1))+1+VALUE(LEFT(Table132[[#This Row],[next move]],1))*3,1)</f>
        <v>V</v>
      </c>
      <c r="I303" t="str">
        <f>Table132[[#This Row],[ÉTAT]]&amp;Table132[[#This Row],[next move]]</f>
        <v>VVVVEVMEV01</v>
      </c>
    </row>
    <row r="304" spans="2:9" x14ac:dyDescent="0.25">
      <c r="B304" t="s">
        <v>509</v>
      </c>
      <c r="C304" s="22" t="s">
        <v>20</v>
      </c>
      <c r="D304">
        <v>5</v>
      </c>
      <c r="G304" s="30">
        <f>Table132[[#This Row],[nb win]]/Table132[[#This Row],[nb play]]</f>
        <v>0</v>
      </c>
      <c r="H304" t="str">
        <f>MID(Table132[[#This Row],[ÉTAT]],VALUE(RIGHT(Table132[[#This Row],[next move]],1))+1+VALUE(LEFT(Table132[[#This Row],[next move]],1))*3,1)</f>
        <v>V</v>
      </c>
      <c r="I304" t="str">
        <f>Table132[[#This Row],[ÉTAT]]&amp;Table132[[#This Row],[next move]]</f>
        <v>VVVVEVMEV02</v>
      </c>
    </row>
    <row r="305" spans="2:9" x14ac:dyDescent="0.25">
      <c r="B305" t="s">
        <v>509</v>
      </c>
      <c r="C305" s="22" t="s">
        <v>30</v>
      </c>
      <c r="D305">
        <v>5</v>
      </c>
      <c r="G305" s="30">
        <f>Table132[[#This Row],[nb win]]/Table132[[#This Row],[nb play]]</f>
        <v>0</v>
      </c>
      <c r="H305" t="str">
        <f>MID(Table132[[#This Row],[ÉTAT]],VALUE(RIGHT(Table132[[#This Row],[next move]],1))+1+VALUE(LEFT(Table132[[#This Row],[next move]],1))*3,1)</f>
        <v>V</v>
      </c>
      <c r="I305" t="str">
        <f>Table132[[#This Row],[ÉTAT]]&amp;Table132[[#This Row],[next move]]</f>
        <v>VVVVEVMEV10</v>
      </c>
    </row>
    <row r="306" spans="2:9" x14ac:dyDescent="0.25">
      <c r="B306" t="s">
        <v>509</v>
      </c>
      <c r="C306" s="22" t="s">
        <v>28</v>
      </c>
      <c r="D306">
        <v>2</v>
      </c>
      <c r="G306" s="30">
        <f>Table132[[#This Row],[nb win]]/Table132[[#This Row],[nb play]]</f>
        <v>0</v>
      </c>
      <c r="H306" t="str">
        <f>MID(Table132[[#This Row],[ÉTAT]],VALUE(RIGHT(Table132[[#This Row],[next move]],1))+1+VALUE(LEFT(Table132[[#This Row],[next move]],1))*3,1)</f>
        <v>V</v>
      </c>
      <c r="I306" t="str">
        <f>Table132[[#This Row],[ÉTAT]]&amp;Table132[[#This Row],[next move]]</f>
        <v>VVVVEVMEV12</v>
      </c>
    </row>
    <row r="307" spans="2:9" x14ac:dyDescent="0.25">
      <c r="B307" t="s">
        <v>509</v>
      </c>
      <c r="C307" s="22" t="s">
        <v>31</v>
      </c>
      <c r="D307">
        <v>3</v>
      </c>
      <c r="G307" s="30">
        <f>Table132[[#This Row],[nb win]]/Table132[[#This Row],[nb play]]</f>
        <v>0</v>
      </c>
      <c r="H307" t="str">
        <f>MID(Table132[[#This Row],[ÉTAT]],VALUE(RIGHT(Table132[[#This Row],[next move]],1))+1+VALUE(LEFT(Table132[[#This Row],[next move]],1))*3,1)</f>
        <v>V</v>
      </c>
      <c r="I307" t="str">
        <f>Table132[[#This Row],[ÉTAT]]&amp;Table132[[#This Row],[next move]]</f>
        <v>VVVVEVMEV22</v>
      </c>
    </row>
    <row r="308" spans="2:9" x14ac:dyDescent="0.25">
      <c r="B308" t="s">
        <v>1918</v>
      </c>
      <c r="C308" s="22" t="s">
        <v>24</v>
      </c>
      <c r="D308">
        <v>1</v>
      </c>
      <c r="G308" s="25">
        <f>Table132[[#This Row],[nb win]]/Table132[[#This Row],[nb play]]</f>
        <v>0</v>
      </c>
      <c r="H308" t="str">
        <f>MID(Table132[[#This Row],[ÉTAT]],VALUE(RIGHT(Table132[[#This Row],[next move]],1))+1+VALUE(LEFT(Table132[[#This Row],[next move]],1))*3,1)</f>
        <v>V</v>
      </c>
      <c r="I308" t="str">
        <f>Table132[[#This Row],[ÉTAT]]&amp;Table132[[#This Row],[next move]]</f>
        <v>VVVVEVMEM00</v>
      </c>
    </row>
    <row r="309" spans="2:9" x14ac:dyDescent="0.25">
      <c r="B309" t="s">
        <v>1918</v>
      </c>
      <c r="C309" s="22" t="s">
        <v>20</v>
      </c>
      <c r="D309">
        <v>1</v>
      </c>
      <c r="G309" s="25">
        <f>Table132[[#This Row],[nb win]]/Table132[[#This Row],[nb play]]</f>
        <v>0</v>
      </c>
      <c r="H309" t="str">
        <f>MID(Table132[[#This Row],[ÉTAT]],VALUE(RIGHT(Table132[[#This Row],[next move]],1))+1+VALUE(LEFT(Table132[[#This Row],[next move]],1))*3,1)</f>
        <v>V</v>
      </c>
      <c r="I309" t="str">
        <f>Table132[[#This Row],[ÉTAT]]&amp;Table132[[#This Row],[next move]]</f>
        <v>VVVVEVMEM02</v>
      </c>
    </row>
    <row r="310" spans="2:9" x14ac:dyDescent="0.25">
      <c r="B310" t="s">
        <v>1918</v>
      </c>
      <c r="C310" s="22" t="s">
        <v>30</v>
      </c>
      <c r="D310">
        <v>2</v>
      </c>
      <c r="G310" s="30">
        <f>Table132[[#This Row],[nb win]]/Table132[[#This Row],[nb play]]</f>
        <v>0</v>
      </c>
      <c r="H310" t="str">
        <f>MID(Table132[[#This Row],[ÉTAT]],VALUE(RIGHT(Table132[[#This Row],[next move]],1))+1+VALUE(LEFT(Table132[[#This Row],[next move]],1))*3,1)</f>
        <v>V</v>
      </c>
      <c r="I310" t="str">
        <f>Table132[[#This Row],[ÉTAT]]&amp;Table132[[#This Row],[next move]]</f>
        <v>VVVVEVMEM10</v>
      </c>
    </row>
    <row r="311" spans="2:9" x14ac:dyDescent="0.25">
      <c r="B311" t="s">
        <v>147</v>
      </c>
      <c r="C311" s="22" t="s">
        <v>24</v>
      </c>
      <c r="D311">
        <v>1</v>
      </c>
      <c r="G311" s="25">
        <f>Table132[[#This Row],[nb win]]/Table132[[#This Row],[nb play]]</f>
        <v>0</v>
      </c>
      <c r="H311" t="str">
        <f>MID(Table132[[#This Row],[ÉTAT]],VALUE(RIGHT(Table132[[#This Row],[next move]],1))+1+VALUE(LEFT(Table132[[#This Row],[next move]],1))*3,1)</f>
        <v>V</v>
      </c>
      <c r="I311" t="str">
        <f>Table132[[#This Row],[ÉTAT]]&amp;Table132[[#This Row],[next move]]</f>
        <v>VVVVEVEVM00</v>
      </c>
    </row>
    <row r="312" spans="2:9" x14ac:dyDescent="0.25">
      <c r="B312" t="s">
        <v>147</v>
      </c>
      <c r="C312" s="22" t="s">
        <v>26</v>
      </c>
      <c r="D312">
        <v>4</v>
      </c>
      <c r="G312" s="30">
        <f>Table132[[#This Row],[nb win]]/Table132[[#This Row],[nb play]]</f>
        <v>0</v>
      </c>
      <c r="H312" t="str">
        <f>MID(Table132[[#This Row],[ÉTAT]],VALUE(RIGHT(Table132[[#This Row],[next move]],1))+1+VALUE(LEFT(Table132[[#This Row],[next move]],1))*3,1)</f>
        <v>V</v>
      </c>
      <c r="I312" t="str">
        <f>Table132[[#This Row],[ÉTAT]]&amp;Table132[[#This Row],[next move]]</f>
        <v>VVVVEVEVM01</v>
      </c>
    </row>
    <row r="313" spans="2:9" x14ac:dyDescent="0.25">
      <c r="B313" t="s">
        <v>147</v>
      </c>
      <c r="C313" s="22" t="s">
        <v>20</v>
      </c>
      <c r="D313">
        <v>3</v>
      </c>
      <c r="E313">
        <v>2</v>
      </c>
      <c r="G313" s="31">
        <f>Table132[[#This Row],[nb win]]/Table132[[#This Row],[nb play]]</f>
        <v>0.66666666666666663</v>
      </c>
      <c r="H313" t="str">
        <f>MID(Table132[[#This Row],[ÉTAT]],VALUE(RIGHT(Table132[[#This Row],[next move]],1))+1+VALUE(LEFT(Table132[[#This Row],[next move]],1))*3,1)</f>
        <v>V</v>
      </c>
      <c r="I313" t="str">
        <f>Table132[[#This Row],[ÉTAT]]&amp;Table132[[#This Row],[next move]]</f>
        <v>VVVVEVEVM02</v>
      </c>
    </row>
    <row r="314" spans="2:9" x14ac:dyDescent="0.25">
      <c r="B314" t="s">
        <v>147</v>
      </c>
      <c r="C314" s="22" t="s">
        <v>30</v>
      </c>
      <c r="D314">
        <v>4</v>
      </c>
      <c r="E314">
        <v>2</v>
      </c>
      <c r="G314" s="31">
        <f>Table132[[#This Row],[nb win]]/Table132[[#This Row],[nb play]]</f>
        <v>0.5</v>
      </c>
      <c r="H314" t="str">
        <f>MID(Table132[[#This Row],[ÉTAT]],VALUE(RIGHT(Table132[[#This Row],[next move]],1))+1+VALUE(LEFT(Table132[[#This Row],[next move]],1))*3,1)</f>
        <v>V</v>
      </c>
      <c r="I314" t="str">
        <f>Table132[[#This Row],[ÉTAT]]&amp;Table132[[#This Row],[next move]]</f>
        <v>VVVVEVEVM10</v>
      </c>
    </row>
    <row r="315" spans="2:9" x14ac:dyDescent="0.25">
      <c r="B315" t="s">
        <v>147</v>
      </c>
      <c r="C315" s="22" t="s">
        <v>28</v>
      </c>
      <c r="D315">
        <v>3</v>
      </c>
      <c r="E315">
        <v>1</v>
      </c>
      <c r="G315" s="25">
        <f>Table132[[#This Row],[nb win]]/Table132[[#This Row],[nb play]]</f>
        <v>0.33333333333333331</v>
      </c>
      <c r="H315" t="str">
        <f>MID(Table132[[#This Row],[ÉTAT]],VALUE(RIGHT(Table132[[#This Row],[next move]],1))+1+VALUE(LEFT(Table132[[#This Row],[next move]],1))*3,1)</f>
        <v>V</v>
      </c>
      <c r="I315" t="str">
        <f>Table132[[#This Row],[ÉTAT]]&amp;Table132[[#This Row],[next move]]</f>
        <v>VVVVEVEVM12</v>
      </c>
    </row>
    <row r="316" spans="2:9" x14ac:dyDescent="0.25">
      <c r="B316" t="s">
        <v>147</v>
      </c>
      <c r="C316" s="22" t="s">
        <v>22</v>
      </c>
      <c r="D316">
        <v>4</v>
      </c>
      <c r="G316" s="30">
        <f>Table132[[#This Row],[nb win]]/Table132[[#This Row],[nb play]]</f>
        <v>0</v>
      </c>
      <c r="H316" t="str">
        <f>MID(Table132[[#This Row],[ÉTAT]],VALUE(RIGHT(Table132[[#This Row],[next move]],1))+1+VALUE(LEFT(Table132[[#This Row],[next move]],1))*3,1)</f>
        <v>V</v>
      </c>
      <c r="I316" t="str">
        <f>Table132[[#This Row],[ÉTAT]]&amp;Table132[[#This Row],[next move]]</f>
        <v>VVVVEVEVM21</v>
      </c>
    </row>
    <row r="317" spans="2:9" x14ac:dyDescent="0.25">
      <c r="B317" t="s">
        <v>1070</v>
      </c>
      <c r="C317" s="22" t="s">
        <v>24</v>
      </c>
      <c r="D317">
        <v>4</v>
      </c>
      <c r="E317">
        <v>1</v>
      </c>
      <c r="G317" s="31">
        <f>Table132[[#This Row],[nb win]]/Table132[[#This Row],[nb play]]</f>
        <v>0.25</v>
      </c>
      <c r="H317" t="str">
        <f>MID(Table132[[#This Row],[ÉTAT]],VALUE(RIGHT(Table132[[#This Row],[next move]],1))+1+VALUE(LEFT(Table132[[#This Row],[next move]],1))*3,1)</f>
        <v>V</v>
      </c>
      <c r="I317" t="str">
        <f>Table132[[#This Row],[ÉTAT]]&amp;Table132[[#This Row],[next move]]</f>
        <v>VVVVEVEMV00</v>
      </c>
    </row>
    <row r="318" spans="2:9" x14ac:dyDescent="0.25">
      <c r="B318" t="s">
        <v>1070</v>
      </c>
      <c r="C318" s="22" t="s">
        <v>26</v>
      </c>
      <c r="D318">
        <v>5</v>
      </c>
      <c r="G318" s="30">
        <f>Table132[[#This Row],[nb win]]/Table132[[#This Row],[nb play]]</f>
        <v>0</v>
      </c>
      <c r="H318" t="str">
        <f>MID(Table132[[#This Row],[ÉTAT]],VALUE(RIGHT(Table132[[#This Row],[next move]],1))+1+VALUE(LEFT(Table132[[#This Row],[next move]],1))*3,1)</f>
        <v>V</v>
      </c>
      <c r="I318" t="str">
        <f>Table132[[#This Row],[ÉTAT]]&amp;Table132[[#This Row],[next move]]</f>
        <v>VVVVEVEMV01</v>
      </c>
    </row>
    <row r="319" spans="2:9" x14ac:dyDescent="0.25">
      <c r="B319" t="s">
        <v>1070</v>
      </c>
      <c r="C319" s="22" t="s">
        <v>20</v>
      </c>
      <c r="D319">
        <v>1</v>
      </c>
      <c r="G319" s="25">
        <f>Table132[[#This Row],[nb win]]/Table132[[#This Row],[nb play]]</f>
        <v>0</v>
      </c>
      <c r="H319" t="str">
        <f>MID(Table132[[#This Row],[ÉTAT]],VALUE(RIGHT(Table132[[#This Row],[next move]],1))+1+VALUE(LEFT(Table132[[#This Row],[next move]],1))*3,1)</f>
        <v>V</v>
      </c>
      <c r="I319" t="str">
        <f>Table132[[#This Row],[ÉTAT]]&amp;Table132[[#This Row],[next move]]</f>
        <v>VVVVEVEMV02</v>
      </c>
    </row>
    <row r="320" spans="2:9" x14ac:dyDescent="0.25">
      <c r="B320" t="s">
        <v>1070</v>
      </c>
      <c r="C320" s="22" t="s">
        <v>30</v>
      </c>
      <c r="D320">
        <v>2</v>
      </c>
      <c r="G320" s="25">
        <f>Table132[[#This Row],[nb win]]/Table132[[#This Row],[nb play]]</f>
        <v>0</v>
      </c>
      <c r="H320" t="str">
        <f>MID(Table132[[#This Row],[ÉTAT]],VALUE(RIGHT(Table132[[#This Row],[next move]],1))+1+VALUE(LEFT(Table132[[#This Row],[next move]],1))*3,1)</f>
        <v>V</v>
      </c>
      <c r="I320" t="str">
        <f>Table132[[#This Row],[ÉTAT]]&amp;Table132[[#This Row],[next move]]</f>
        <v>VVVVEVEMV10</v>
      </c>
    </row>
    <row r="321" spans="2:9" x14ac:dyDescent="0.25">
      <c r="B321" t="s">
        <v>1070</v>
      </c>
      <c r="C321" s="22" t="s">
        <v>28</v>
      </c>
      <c r="D321">
        <v>1</v>
      </c>
      <c r="G321" s="25">
        <f>Table132[[#This Row],[nb win]]/Table132[[#This Row],[nb play]]</f>
        <v>0</v>
      </c>
      <c r="H321" t="str">
        <f>MID(Table132[[#This Row],[ÉTAT]],VALUE(RIGHT(Table132[[#This Row],[next move]],1))+1+VALUE(LEFT(Table132[[#This Row],[next move]],1))*3,1)</f>
        <v>V</v>
      </c>
      <c r="I321" t="str">
        <f>Table132[[#This Row],[ÉTAT]]&amp;Table132[[#This Row],[next move]]</f>
        <v>VVVVEVEMV12</v>
      </c>
    </row>
    <row r="322" spans="2:9" x14ac:dyDescent="0.25">
      <c r="B322" t="s">
        <v>1070</v>
      </c>
      <c r="C322" s="22" t="s">
        <v>31</v>
      </c>
      <c r="D322">
        <v>3</v>
      </c>
      <c r="E322">
        <v>2</v>
      </c>
      <c r="G322" s="31">
        <f>Table132[[#This Row],[nb win]]/Table132[[#This Row],[nb play]]</f>
        <v>0.66666666666666663</v>
      </c>
      <c r="H322" t="str">
        <f>MID(Table132[[#This Row],[ÉTAT]],VALUE(RIGHT(Table132[[#This Row],[next move]],1))+1+VALUE(LEFT(Table132[[#This Row],[next move]],1))*3,1)</f>
        <v>V</v>
      </c>
      <c r="I322" t="str">
        <f>Table132[[#This Row],[ÉTAT]]&amp;Table132[[#This Row],[next move]]</f>
        <v>VVVVEVEMV22</v>
      </c>
    </row>
    <row r="323" spans="2:9" x14ac:dyDescent="0.25">
      <c r="B323" t="s">
        <v>2308</v>
      </c>
      <c r="C323" s="22" t="s">
        <v>28</v>
      </c>
      <c r="D323">
        <v>7</v>
      </c>
      <c r="E323">
        <v>2</v>
      </c>
      <c r="G323" s="30">
        <f>Table132[[#This Row],[nb win]]/Table132[[#This Row],[nb play]]</f>
        <v>0.2857142857142857</v>
      </c>
      <c r="H323" t="str">
        <f>MID(Table132[[#This Row],[ÉTAT]],VALUE(RIGHT(Table132[[#This Row],[next move]],1))+1+VALUE(LEFT(Table132[[#This Row],[next move]],1))*3,1)</f>
        <v>V</v>
      </c>
      <c r="I323" t="str">
        <f>Table132[[#This Row],[ÉTAT]]&amp;Table132[[#This Row],[next move]]</f>
        <v>VVVVEVEMM12</v>
      </c>
    </row>
    <row r="324" spans="2:9" x14ac:dyDescent="0.25">
      <c r="B324" t="s">
        <v>200</v>
      </c>
      <c r="C324" s="22" t="s">
        <v>24</v>
      </c>
      <c r="D324">
        <v>10</v>
      </c>
      <c r="E324">
        <v>5</v>
      </c>
      <c r="G324" s="30">
        <f>Table132[[#This Row],[nb win]]/Table132[[#This Row],[nb play]]</f>
        <v>0.5</v>
      </c>
      <c r="H324" t="str">
        <f>MID(Table132[[#This Row],[ÉTAT]],VALUE(RIGHT(Table132[[#This Row],[next move]],1))+1+VALUE(LEFT(Table132[[#This Row],[next move]],1))*3,1)</f>
        <v>V</v>
      </c>
      <c r="I324" t="str">
        <f>Table132[[#This Row],[ÉTAT]]&amp;Table132[[#This Row],[next move]]</f>
        <v>VVVVEMVVV00</v>
      </c>
    </row>
    <row r="325" spans="2:9" x14ac:dyDescent="0.25">
      <c r="B325" t="s">
        <v>200</v>
      </c>
      <c r="C325" s="22" t="s">
        <v>26</v>
      </c>
      <c r="D325">
        <v>3</v>
      </c>
      <c r="E325">
        <v>1</v>
      </c>
      <c r="G325" s="30">
        <f>Table132[[#This Row],[nb win]]/Table132[[#This Row],[nb play]]</f>
        <v>0.33333333333333331</v>
      </c>
      <c r="H325" t="str">
        <f>MID(Table132[[#This Row],[ÉTAT]],VALUE(RIGHT(Table132[[#This Row],[next move]],1))+1+VALUE(LEFT(Table132[[#This Row],[next move]],1))*3,1)</f>
        <v>V</v>
      </c>
      <c r="I325" t="str">
        <f>Table132[[#This Row],[ÉTAT]]&amp;Table132[[#This Row],[next move]]</f>
        <v>VVVVEMVVV01</v>
      </c>
    </row>
    <row r="326" spans="2:9" x14ac:dyDescent="0.25">
      <c r="B326" t="s">
        <v>200</v>
      </c>
      <c r="C326" s="22" t="s">
        <v>20</v>
      </c>
      <c r="D326">
        <v>2</v>
      </c>
      <c r="E326">
        <v>1</v>
      </c>
      <c r="G326" s="30">
        <f>Table132[[#This Row],[nb win]]/Table132[[#This Row],[nb play]]</f>
        <v>0.5</v>
      </c>
      <c r="H326" t="str">
        <f>MID(Table132[[#This Row],[ÉTAT]],VALUE(RIGHT(Table132[[#This Row],[next move]],1))+1+VALUE(LEFT(Table132[[#This Row],[next move]],1))*3,1)</f>
        <v>V</v>
      </c>
      <c r="I326" t="str">
        <f>Table132[[#This Row],[ÉTAT]]&amp;Table132[[#This Row],[next move]]</f>
        <v>VVVVEMVVV02</v>
      </c>
    </row>
    <row r="327" spans="2:9" x14ac:dyDescent="0.25">
      <c r="B327" t="s">
        <v>200</v>
      </c>
      <c r="C327" s="22" t="s">
        <v>30</v>
      </c>
      <c r="D327">
        <v>11</v>
      </c>
      <c r="E327">
        <v>4</v>
      </c>
      <c r="G327" s="31">
        <f>Table132[[#This Row],[nb win]]/Table132[[#This Row],[nb play]]</f>
        <v>0.36363636363636365</v>
      </c>
      <c r="H327" t="str">
        <f>MID(Table132[[#This Row],[ÉTAT]],VALUE(RIGHT(Table132[[#This Row],[next move]],1))+1+VALUE(LEFT(Table132[[#This Row],[next move]],1))*3,1)</f>
        <v>V</v>
      </c>
      <c r="I327" t="str">
        <f>Table132[[#This Row],[ÉTAT]]&amp;Table132[[#This Row],[next move]]</f>
        <v>VVVVEMVVV10</v>
      </c>
    </row>
    <row r="328" spans="2:9" x14ac:dyDescent="0.25">
      <c r="B328" t="s">
        <v>200</v>
      </c>
      <c r="C328" s="22" t="s">
        <v>35</v>
      </c>
      <c r="D328">
        <v>9</v>
      </c>
      <c r="E328">
        <v>4</v>
      </c>
      <c r="G328" s="30">
        <f>Table132[[#This Row],[nb win]]/Table132[[#This Row],[nb play]]</f>
        <v>0.44444444444444442</v>
      </c>
      <c r="H328" t="str">
        <f>MID(Table132[[#This Row],[ÉTAT]],VALUE(RIGHT(Table132[[#This Row],[next move]],1))+1+VALUE(LEFT(Table132[[#This Row],[next move]],1))*3,1)</f>
        <v>V</v>
      </c>
      <c r="I328" t="str">
        <f>Table132[[#This Row],[ÉTAT]]&amp;Table132[[#This Row],[next move]]</f>
        <v>VVVVEMVVV20</v>
      </c>
    </row>
    <row r="329" spans="2:9" x14ac:dyDescent="0.25">
      <c r="B329" t="s">
        <v>200</v>
      </c>
      <c r="C329" s="22" t="s">
        <v>22</v>
      </c>
      <c r="D329">
        <v>4</v>
      </c>
      <c r="E329">
        <v>1</v>
      </c>
      <c r="G329" s="30">
        <f>Table132[[#This Row],[nb win]]/Table132[[#This Row],[nb play]]</f>
        <v>0.25</v>
      </c>
      <c r="H329" t="str">
        <f>MID(Table132[[#This Row],[ÉTAT]],VALUE(RIGHT(Table132[[#This Row],[next move]],1))+1+VALUE(LEFT(Table132[[#This Row],[next move]],1))*3,1)</f>
        <v>V</v>
      </c>
      <c r="I329" t="str">
        <f>Table132[[#This Row],[ÉTAT]]&amp;Table132[[#This Row],[next move]]</f>
        <v>VVVVEMVVV21</v>
      </c>
    </row>
    <row r="330" spans="2:9" x14ac:dyDescent="0.25">
      <c r="B330" t="s">
        <v>200</v>
      </c>
      <c r="C330" s="22" t="s">
        <v>31</v>
      </c>
      <c r="D330">
        <v>23</v>
      </c>
      <c r="E330">
        <v>14</v>
      </c>
      <c r="G330" s="30">
        <f>Table132[[#This Row],[nb win]]/Table132[[#This Row],[nb play]]</f>
        <v>0.60869565217391308</v>
      </c>
      <c r="H330" t="str">
        <f>MID(Table132[[#This Row],[ÉTAT]],VALUE(RIGHT(Table132[[#This Row],[next move]],1))+1+VALUE(LEFT(Table132[[#This Row],[next move]],1))*3,1)</f>
        <v>V</v>
      </c>
      <c r="I330" t="str">
        <f>Table132[[#This Row],[ÉTAT]]&amp;Table132[[#This Row],[next move]]</f>
        <v>VVVVEMVVV22</v>
      </c>
    </row>
    <row r="331" spans="2:9" x14ac:dyDescent="0.25">
      <c r="B331" t="s">
        <v>1354</v>
      </c>
      <c r="C331" s="22" t="s">
        <v>24</v>
      </c>
      <c r="D331">
        <v>4</v>
      </c>
      <c r="G331" s="30">
        <f>Table132[[#This Row],[nb win]]/Table132[[#This Row],[nb play]]</f>
        <v>0</v>
      </c>
      <c r="H331" t="str">
        <f>MID(Table132[[#This Row],[ÉTAT]],VALUE(RIGHT(Table132[[#This Row],[next move]],1))+1+VALUE(LEFT(Table132[[#This Row],[next move]],1))*3,1)</f>
        <v>V</v>
      </c>
      <c r="I331" t="str">
        <f>Table132[[#This Row],[ÉTAT]]&amp;Table132[[#This Row],[next move]]</f>
        <v>VVVVEMVVE00</v>
      </c>
    </row>
    <row r="332" spans="2:9" x14ac:dyDescent="0.25">
      <c r="B332" t="s">
        <v>1354</v>
      </c>
      <c r="C332" s="22" t="s">
        <v>26</v>
      </c>
      <c r="D332">
        <v>10</v>
      </c>
      <c r="G332" s="30">
        <f>Table132[[#This Row],[nb win]]/Table132[[#This Row],[nb play]]</f>
        <v>0</v>
      </c>
      <c r="H332" t="str">
        <f>MID(Table132[[#This Row],[ÉTAT]],VALUE(RIGHT(Table132[[#This Row],[next move]],1))+1+VALUE(LEFT(Table132[[#This Row],[next move]],1))*3,1)</f>
        <v>V</v>
      </c>
      <c r="I332" t="str">
        <f>Table132[[#This Row],[ÉTAT]]&amp;Table132[[#This Row],[next move]]</f>
        <v>VVVVEMVVE01</v>
      </c>
    </row>
    <row r="333" spans="2:9" x14ac:dyDescent="0.25">
      <c r="B333" t="s">
        <v>1354</v>
      </c>
      <c r="C333" s="22" t="s">
        <v>20</v>
      </c>
      <c r="D333">
        <v>7</v>
      </c>
      <c r="G333" s="30">
        <f>Table132[[#This Row],[nb win]]/Table132[[#This Row],[nb play]]</f>
        <v>0</v>
      </c>
      <c r="H333" t="str">
        <f>MID(Table132[[#This Row],[ÉTAT]],VALUE(RIGHT(Table132[[#This Row],[next move]],1))+1+VALUE(LEFT(Table132[[#This Row],[next move]],1))*3,1)</f>
        <v>V</v>
      </c>
      <c r="I333" t="str">
        <f>Table132[[#This Row],[ÉTAT]]&amp;Table132[[#This Row],[next move]]</f>
        <v>VVVVEMVVE02</v>
      </c>
    </row>
    <row r="334" spans="2:9" x14ac:dyDescent="0.25">
      <c r="B334" t="s">
        <v>1354</v>
      </c>
      <c r="C334" s="22" t="s">
        <v>30</v>
      </c>
      <c r="D334">
        <v>3</v>
      </c>
      <c r="E334">
        <v>1</v>
      </c>
      <c r="G334" s="30">
        <f>Table132[[#This Row],[nb win]]/Table132[[#This Row],[nb play]]</f>
        <v>0.33333333333333331</v>
      </c>
      <c r="H334" t="str">
        <f>MID(Table132[[#This Row],[ÉTAT]],VALUE(RIGHT(Table132[[#This Row],[next move]],1))+1+VALUE(LEFT(Table132[[#This Row],[next move]],1))*3,1)</f>
        <v>V</v>
      </c>
      <c r="I334" t="str">
        <f>Table132[[#This Row],[ÉTAT]]&amp;Table132[[#This Row],[next move]]</f>
        <v>VVVVEMVVE10</v>
      </c>
    </row>
    <row r="335" spans="2:9" x14ac:dyDescent="0.25">
      <c r="B335" t="s">
        <v>1354</v>
      </c>
      <c r="C335" s="22" t="s">
        <v>35</v>
      </c>
      <c r="D335">
        <v>2</v>
      </c>
      <c r="G335" s="30">
        <f>Table132[[#This Row],[nb win]]/Table132[[#This Row],[nb play]]</f>
        <v>0</v>
      </c>
      <c r="H335" t="str">
        <f>MID(Table132[[#This Row],[ÉTAT]],VALUE(RIGHT(Table132[[#This Row],[next move]],1))+1+VALUE(LEFT(Table132[[#This Row],[next move]],1))*3,1)</f>
        <v>V</v>
      </c>
      <c r="I335" t="str">
        <f>Table132[[#This Row],[ÉTAT]]&amp;Table132[[#This Row],[next move]]</f>
        <v>VVVVEMVVE20</v>
      </c>
    </row>
    <row r="336" spans="2:9" x14ac:dyDescent="0.25">
      <c r="B336" t="s">
        <v>1354</v>
      </c>
      <c r="C336" s="22" t="s">
        <v>22</v>
      </c>
      <c r="D336">
        <v>2</v>
      </c>
      <c r="G336" s="25">
        <f>Table132[[#This Row],[nb win]]/Table132[[#This Row],[nb play]]</f>
        <v>0</v>
      </c>
      <c r="H336" t="str">
        <f>MID(Table132[[#This Row],[ÉTAT]],VALUE(RIGHT(Table132[[#This Row],[next move]],1))+1+VALUE(LEFT(Table132[[#This Row],[next move]],1))*3,1)</f>
        <v>V</v>
      </c>
      <c r="I336" t="str">
        <f>Table132[[#This Row],[ÉTAT]]&amp;Table132[[#This Row],[next move]]</f>
        <v>VVVVEMVVE21</v>
      </c>
    </row>
    <row r="337" spans="2:9" x14ac:dyDescent="0.25">
      <c r="B337" t="s">
        <v>230</v>
      </c>
      <c r="C337" s="22" t="s">
        <v>24</v>
      </c>
      <c r="D337">
        <v>1</v>
      </c>
      <c r="G337" s="30">
        <f>Table132[[#This Row],[nb win]]/Table132[[#This Row],[nb play]]</f>
        <v>0</v>
      </c>
      <c r="H337" t="str">
        <f>MID(Table132[[#This Row],[ÉTAT]],VALUE(RIGHT(Table132[[#This Row],[next move]],1))+1+VALUE(LEFT(Table132[[#This Row],[next move]],1))*3,1)</f>
        <v>V</v>
      </c>
      <c r="I337" t="str">
        <f>Table132[[#This Row],[ÉTAT]]&amp;Table132[[#This Row],[next move]]</f>
        <v>VVVVEMVME00</v>
      </c>
    </row>
    <row r="338" spans="2:9" x14ac:dyDescent="0.25">
      <c r="B338" t="s">
        <v>230</v>
      </c>
      <c r="C338" s="22" t="s">
        <v>26</v>
      </c>
      <c r="D338">
        <v>2</v>
      </c>
      <c r="E338">
        <v>1</v>
      </c>
      <c r="G338" s="31">
        <f>Table132[[#This Row],[nb win]]/Table132[[#This Row],[nb play]]</f>
        <v>0.5</v>
      </c>
      <c r="H338" t="str">
        <f>MID(Table132[[#This Row],[ÉTAT]],VALUE(RIGHT(Table132[[#This Row],[next move]],1))+1+VALUE(LEFT(Table132[[#This Row],[next move]],1))*3,1)</f>
        <v>V</v>
      </c>
      <c r="I338" t="str">
        <f>Table132[[#This Row],[ÉTAT]]&amp;Table132[[#This Row],[next move]]</f>
        <v>VVVVEMVME01</v>
      </c>
    </row>
    <row r="339" spans="2:9" x14ac:dyDescent="0.25">
      <c r="B339" t="s">
        <v>230</v>
      </c>
      <c r="C339" s="22" t="s">
        <v>20</v>
      </c>
      <c r="D339">
        <v>1</v>
      </c>
      <c r="G339" s="30">
        <f>Table132[[#This Row],[nb win]]/Table132[[#This Row],[nb play]]</f>
        <v>0</v>
      </c>
      <c r="H339" t="str">
        <f>MID(Table132[[#This Row],[ÉTAT]],VALUE(RIGHT(Table132[[#This Row],[next move]],1))+1+VALUE(LEFT(Table132[[#This Row],[next move]],1))*3,1)</f>
        <v>V</v>
      </c>
      <c r="I339" t="str">
        <f>Table132[[#This Row],[ÉTAT]]&amp;Table132[[#This Row],[next move]]</f>
        <v>VVVVEMVME02</v>
      </c>
    </row>
    <row r="340" spans="2:9" x14ac:dyDescent="0.25">
      <c r="B340" t="s">
        <v>230</v>
      </c>
      <c r="C340" s="22" t="s">
        <v>30</v>
      </c>
      <c r="D340">
        <v>1</v>
      </c>
      <c r="G340" s="30">
        <f>Table132[[#This Row],[nb win]]/Table132[[#This Row],[nb play]]</f>
        <v>0</v>
      </c>
      <c r="H340" t="str">
        <f>MID(Table132[[#This Row],[ÉTAT]],VALUE(RIGHT(Table132[[#This Row],[next move]],1))+1+VALUE(LEFT(Table132[[#This Row],[next move]],1))*3,1)</f>
        <v>V</v>
      </c>
      <c r="I340" t="str">
        <f>Table132[[#This Row],[ÉTAT]]&amp;Table132[[#This Row],[next move]]</f>
        <v>VVVVEMVME10</v>
      </c>
    </row>
    <row r="341" spans="2:9" x14ac:dyDescent="0.25">
      <c r="B341" t="s">
        <v>230</v>
      </c>
      <c r="C341" s="22" t="s">
        <v>35</v>
      </c>
      <c r="D341">
        <v>1</v>
      </c>
      <c r="G341" s="30">
        <f>Table132[[#This Row],[nb win]]/Table132[[#This Row],[nb play]]</f>
        <v>0</v>
      </c>
      <c r="H341" t="str">
        <f>MID(Table132[[#This Row],[ÉTAT]],VALUE(RIGHT(Table132[[#This Row],[next move]],1))+1+VALUE(LEFT(Table132[[#This Row],[next move]],1))*3,1)</f>
        <v>V</v>
      </c>
      <c r="I341" t="str">
        <f>Table132[[#This Row],[ÉTAT]]&amp;Table132[[#This Row],[next move]]</f>
        <v>VVVVEMVME20</v>
      </c>
    </row>
    <row r="342" spans="2:9" x14ac:dyDescent="0.25">
      <c r="B342" t="s">
        <v>1804</v>
      </c>
      <c r="C342" s="22" t="s">
        <v>20</v>
      </c>
      <c r="D342">
        <v>1</v>
      </c>
      <c r="E342">
        <v>1</v>
      </c>
      <c r="G342" s="31">
        <f>Table132[[#This Row],[nb win]]/Table132[[#This Row],[nb play]]</f>
        <v>1</v>
      </c>
      <c r="H342" t="str">
        <f>MID(Table132[[#This Row],[ÉTAT]],VALUE(RIGHT(Table132[[#This Row],[next move]],1))+1+VALUE(LEFT(Table132[[#This Row],[next move]],1))*3,1)</f>
        <v>V</v>
      </c>
      <c r="I342" t="str">
        <f>Table132[[#This Row],[ÉTAT]]&amp;Table132[[#This Row],[next move]]</f>
        <v>VVVVEMVEV02</v>
      </c>
    </row>
    <row r="343" spans="2:9" x14ac:dyDescent="0.25">
      <c r="B343" t="s">
        <v>1804</v>
      </c>
      <c r="C343" s="22" t="s">
        <v>31</v>
      </c>
      <c r="D343">
        <v>3</v>
      </c>
      <c r="E343">
        <v>2</v>
      </c>
      <c r="G343" s="31">
        <f>Table132[[#This Row],[nb win]]/Table132[[#This Row],[nb play]]</f>
        <v>0.66666666666666663</v>
      </c>
      <c r="H343" t="str">
        <f>MID(Table132[[#This Row],[ÉTAT]],VALUE(RIGHT(Table132[[#This Row],[next move]],1))+1+VALUE(LEFT(Table132[[#This Row],[next move]],1))*3,1)</f>
        <v>V</v>
      </c>
      <c r="I343" t="str">
        <f>Table132[[#This Row],[ÉTAT]]&amp;Table132[[#This Row],[next move]]</f>
        <v>VVVVEMVEV22</v>
      </c>
    </row>
    <row r="344" spans="2:9" x14ac:dyDescent="0.25">
      <c r="B344" t="s">
        <v>2354</v>
      </c>
      <c r="C344" s="22" t="s">
        <v>24</v>
      </c>
      <c r="D344">
        <v>2</v>
      </c>
      <c r="G344" s="30">
        <f>Table132[[#This Row],[nb win]]/Table132[[#This Row],[nb play]]</f>
        <v>0</v>
      </c>
      <c r="H344" t="str">
        <f>MID(Table132[[#This Row],[ÉTAT]],VALUE(RIGHT(Table132[[#This Row],[next move]],1))+1+VALUE(LEFT(Table132[[#This Row],[next move]],1))*3,1)</f>
        <v>V</v>
      </c>
      <c r="I344" t="str">
        <f>Table132[[#This Row],[ÉTAT]]&amp;Table132[[#This Row],[next move]]</f>
        <v>VVVVEMVEM00</v>
      </c>
    </row>
    <row r="345" spans="2:9" x14ac:dyDescent="0.25">
      <c r="B345" t="s">
        <v>2354</v>
      </c>
      <c r="C345" s="22" t="s">
        <v>20</v>
      </c>
      <c r="D345">
        <v>1</v>
      </c>
      <c r="E345">
        <v>1</v>
      </c>
      <c r="G345" s="31">
        <f>Table132[[#This Row],[nb win]]/Table132[[#This Row],[nb play]]</f>
        <v>1</v>
      </c>
      <c r="H345" t="str">
        <f>MID(Table132[[#This Row],[ÉTAT]],VALUE(RIGHT(Table132[[#This Row],[next move]],1))+1+VALUE(LEFT(Table132[[#This Row],[next move]],1))*3,1)</f>
        <v>V</v>
      </c>
      <c r="I345" t="str">
        <f>Table132[[#This Row],[ÉTAT]]&amp;Table132[[#This Row],[next move]]</f>
        <v>VVVVEMVEM02</v>
      </c>
    </row>
    <row r="346" spans="2:9" x14ac:dyDescent="0.25">
      <c r="B346" t="s">
        <v>238</v>
      </c>
      <c r="C346" s="22" t="s">
        <v>24</v>
      </c>
      <c r="D346">
        <v>2</v>
      </c>
      <c r="E346">
        <v>2</v>
      </c>
      <c r="G346" s="25">
        <f>Table132[[#This Row],[nb win]]/Table132[[#This Row],[nb play]]</f>
        <v>1</v>
      </c>
      <c r="H346" t="str">
        <f>MID(Table132[[#This Row],[ÉTAT]],VALUE(RIGHT(Table132[[#This Row],[next move]],1))+1+VALUE(LEFT(Table132[[#This Row],[next move]],1))*3,1)</f>
        <v>V</v>
      </c>
      <c r="I346" t="str">
        <f>Table132[[#This Row],[ÉTAT]]&amp;Table132[[#This Row],[next move]]</f>
        <v>VVVVEMMVE00</v>
      </c>
    </row>
    <row r="347" spans="2:9" x14ac:dyDescent="0.25">
      <c r="B347" t="s">
        <v>238</v>
      </c>
      <c r="C347" s="22" t="s">
        <v>20</v>
      </c>
      <c r="D347">
        <v>1</v>
      </c>
      <c r="G347" s="25">
        <f>Table132[[#This Row],[nb win]]/Table132[[#This Row],[nb play]]</f>
        <v>0</v>
      </c>
      <c r="H347" t="str">
        <f>MID(Table132[[#This Row],[ÉTAT]],VALUE(RIGHT(Table132[[#This Row],[next move]],1))+1+VALUE(LEFT(Table132[[#This Row],[next move]],1))*3,1)</f>
        <v>V</v>
      </c>
      <c r="I347" t="str">
        <f>Table132[[#This Row],[ÉTAT]]&amp;Table132[[#This Row],[next move]]</f>
        <v>VVVVEMMVE02</v>
      </c>
    </row>
    <row r="348" spans="2:9" x14ac:dyDescent="0.25">
      <c r="B348" t="s">
        <v>238</v>
      </c>
      <c r="C348" s="22" t="s">
        <v>22</v>
      </c>
      <c r="D348">
        <v>1</v>
      </c>
      <c r="G348" s="25">
        <f>Table132[[#This Row],[nb win]]/Table132[[#This Row],[nb play]]</f>
        <v>0</v>
      </c>
      <c r="H348" t="str">
        <f>MID(Table132[[#This Row],[ÉTAT]],VALUE(RIGHT(Table132[[#This Row],[next move]],1))+1+VALUE(LEFT(Table132[[#This Row],[next move]],1))*3,1)</f>
        <v>V</v>
      </c>
      <c r="I348" t="str">
        <f>Table132[[#This Row],[ÉTAT]]&amp;Table132[[#This Row],[next move]]</f>
        <v>VVVVEMMVE21</v>
      </c>
    </row>
    <row r="349" spans="2:9" x14ac:dyDescent="0.25">
      <c r="B349" t="s">
        <v>922</v>
      </c>
      <c r="C349" s="22" t="s">
        <v>24</v>
      </c>
      <c r="D349">
        <v>1</v>
      </c>
      <c r="G349" s="25">
        <f>Table132[[#This Row],[nb win]]/Table132[[#This Row],[nb play]]</f>
        <v>0</v>
      </c>
      <c r="H349" t="str">
        <f>MID(Table132[[#This Row],[ÉTAT]],VALUE(RIGHT(Table132[[#This Row],[next move]],1))+1+VALUE(LEFT(Table132[[#This Row],[next move]],1))*3,1)</f>
        <v>V</v>
      </c>
      <c r="I349" t="str">
        <f>Table132[[#This Row],[ÉTAT]]&amp;Table132[[#This Row],[next move]]</f>
        <v>VVVVEMMEV00</v>
      </c>
    </row>
    <row r="350" spans="2:9" x14ac:dyDescent="0.25">
      <c r="B350" t="s">
        <v>922</v>
      </c>
      <c r="C350" s="22" t="s">
        <v>26</v>
      </c>
      <c r="D350">
        <v>4</v>
      </c>
      <c r="E350">
        <v>4</v>
      </c>
      <c r="G350" s="31">
        <f>Table132[[#This Row],[nb win]]/Table132[[#This Row],[nb play]]</f>
        <v>1</v>
      </c>
      <c r="H350" t="str">
        <f>MID(Table132[[#This Row],[ÉTAT]],VALUE(RIGHT(Table132[[#This Row],[next move]],1))+1+VALUE(LEFT(Table132[[#This Row],[next move]],1))*3,1)</f>
        <v>V</v>
      </c>
      <c r="I350" t="str">
        <f>Table132[[#This Row],[ÉTAT]]&amp;Table132[[#This Row],[next move]]</f>
        <v>VVVVEMMEV01</v>
      </c>
    </row>
    <row r="351" spans="2:9" x14ac:dyDescent="0.25">
      <c r="B351" t="s">
        <v>922</v>
      </c>
      <c r="C351" s="22" t="s">
        <v>20</v>
      </c>
      <c r="D351">
        <v>1</v>
      </c>
      <c r="G351" s="25">
        <f>Table132[[#This Row],[nb win]]/Table132[[#This Row],[nb play]]</f>
        <v>0</v>
      </c>
      <c r="H351" t="str">
        <f>MID(Table132[[#This Row],[ÉTAT]],VALUE(RIGHT(Table132[[#This Row],[next move]],1))+1+VALUE(LEFT(Table132[[#This Row],[next move]],1))*3,1)</f>
        <v>V</v>
      </c>
      <c r="I351" t="str">
        <f>Table132[[#This Row],[ÉTAT]]&amp;Table132[[#This Row],[next move]]</f>
        <v>VVVVEMMEV02</v>
      </c>
    </row>
    <row r="352" spans="2:9" x14ac:dyDescent="0.25">
      <c r="B352" t="s">
        <v>922</v>
      </c>
      <c r="C352" s="22" t="s">
        <v>30</v>
      </c>
      <c r="D352">
        <v>3</v>
      </c>
      <c r="G352" s="30">
        <f>Table132[[#This Row],[nb win]]/Table132[[#This Row],[nb play]]</f>
        <v>0</v>
      </c>
      <c r="H352" t="str">
        <f>MID(Table132[[#This Row],[ÉTAT]],VALUE(RIGHT(Table132[[#This Row],[next move]],1))+1+VALUE(LEFT(Table132[[#This Row],[next move]],1))*3,1)</f>
        <v>V</v>
      </c>
      <c r="I352" t="str">
        <f>Table132[[#This Row],[ÉTAT]]&amp;Table132[[#This Row],[next move]]</f>
        <v>VVVVEMMEV10</v>
      </c>
    </row>
    <row r="353" spans="2:9" x14ac:dyDescent="0.25">
      <c r="B353" t="s">
        <v>3390</v>
      </c>
      <c r="C353" s="22" t="s">
        <v>31</v>
      </c>
      <c r="D353">
        <v>1</v>
      </c>
      <c r="G353" s="30">
        <f>Table132[[#This Row],[nb win]]/Table132[[#This Row],[nb play]]</f>
        <v>0</v>
      </c>
      <c r="H353" t="str">
        <f>MID(Table132[[#This Row],[ÉTAT]],VALUE(RIGHT(Table132[[#This Row],[next move]],1))+1+VALUE(LEFT(Table132[[#This Row],[next move]],1))*3,1)</f>
        <v>V</v>
      </c>
      <c r="I353" t="str">
        <f>Table132[[#This Row],[ÉTAT]]&amp;Table132[[#This Row],[next move]]</f>
        <v>VVVVEMEVV22</v>
      </c>
    </row>
    <row r="354" spans="2:9" x14ac:dyDescent="0.25">
      <c r="B354" t="s">
        <v>480</v>
      </c>
      <c r="C354" s="22" t="s">
        <v>20</v>
      </c>
      <c r="D354">
        <v>3</v>
      </c>
      <c r="E354">
        <v>3</v>
      </c>
      <c r="G354" s="31">
        <f>Table132[[#This Row],[nb win]]/Table132[[#This Row],[nb play]]</f>
        <v>1</v>
      </c>
      <c r="H354" t="str">
        <f>MID(Table132[[#This Row],[ÉTAT]],VALUE(RIGHT(Table132[[#This Row],[next move]],1))+1+VALUE(LEFT(Table132[[#This Row],[next move]],1))*3,1)</f>
        <v>V</v>
      </c>
      <c r="I354" t="str">
        <f>Table132[[#This Row],[ÉTAT]]&amp;Table132[[#This Row],[next move]]</f>
        <v>VVVVEMEVM02</v>
      </c>
    </row>
    <row r="355" spans="2:9" x14ac:dyDescent="0.25">
      <c r="B355" t="s">
        <v>151</v>
      </c>
      <c r="C355" s="22" t="s">
        <v>24</v>
      </c>
      <c r="D355">
        <v>2</v>
      </c>
      <c r="G355" s="30">
        <f>Table132[[#This Row],[nb win]]/Table132[[#This Row],[nb play]]</f>
        <v>0</v>
      </c>
      <c r="H355" t="str">
        <f>MID(Table132[[#This Row],[ÉTAT]],VALUE(RIGHT(Table132[[#This Row],[next move]],1))+1+VALUE(LEFT(Table132[[#This Row],[next move]],1))*3,1)</f>
        <v>V</v>
      </c>
      <c r="I355" t="str">
        <f>Table132[[#This Row],[ÉTAT]]&amp;Table132[[#This Row],[next move]]</f>
        <v>VVVVEEVVM00</v>
      </c>
    </row>
    <row r="356" spans="2:9" x14ac:dyDescent="0.25">
      <c r="B356" t="s">
        <v>151</v>
      </c>
      <c r="C356" s="22" t="s">
        <v>26</v>
      </c>
      <c r="D356">
        <v>5</v>
      </c>
      <c r="G356" s="30">
        <f>Table132[[#This Row],[nb win]]/Table132[[#This Row],[nb play]]</f>
        <v>0</v>
      </c>
      <c r="H356" t="str">
        <f>MID(Table132[[#This Row],[ÉTAT]],VALUE(RIGHT(Table132[[#This Row],[next move]],1))+1+VALUE(LEFT(Table132[[#This Row],[next move]],1))*3,1)</f>
        <v>V</v>
      </c>
      <c r="I356" t="str">
        <f>Table132[[#This Row],[ÉTAT]]&amp;Table132[[#This Row],[next move]]</f>
        <v>VVVVEEVVM01</v>
      </c>
    </row>
    <row r="357" spans="2:9" x14ac:dyDescent="0.25">
      <c r="B357" t="s">
        <v>151</v>
      </c>
      <c r="C357" s="22" t="s">
        <v>20</v>
      </c>
      <c r="D357">
        <v>2</v>
      </c>
      <c r="G357" s="30">
        <f>Table132[[#This Row],[nb win]]/Table132[[#This Row],[nb play]]</f>
        <v>0</v>
      </c>
      <c r="H357" t="str">
        <f>MID(Table132[[#This Row],[ÉTAT]],VALUE(RIGHT(Table132[[#This Row],[next move]],1))+1+VALUE(LEFT(Table132[[#This Row],[next move]],1))*3,1)</f>
        <v>V</v>
      </c>
      <c r="I357" t="str">
        <f>Table132[[#This Row],[ÉTAT]]&amp;Table132[[#This Row],[next move]]</f>
        <v>VVVVEEVVM02</v>
      </c>
    </row>
    <row r="358" spans="2:9" x14ac:dyDescent="0.25">
      <c r="B358" t="s">
        <v>151</v>
      </c>
      <c r="C358" s="22" t="s">
        <v>30</v>
      </c>
      <c r="D358">
        <v>1</v>
      </c>
      <c r="G358" s="25">
        <f>Table132[[#This Row],[nb win]]/Table132[[#This Row],[nb play]]</f>
        <v>0</v>
      </c>
      <c r="H358" t="str">
        <f>MID(Table132[[#This Row],[ÉTAT]],VALUE(RIGHT(Table132[[#This Row],[next move]],1))+1+VALUE(LEFT(Table132[[#This Row],[next move]],1))*3,1)</f>
        <v>V</v>
      </c>
      <c r="I358" t="str">
        <f>Table132[[#This Row],[ÉTAT]]&amp;Table132[[#This Row],[next move]]</f>
        <v>VVVVEEVVM10</v>
      </c>
    </row>
    <row r="359" spans="2:9" x14ac:dyDescent="0.25">
      <c r="B359" t="s">
        <v>151</v>
      </c>
      <c r="C359" s="22" t="s">
        <v>35</v>
      </c>
      <c r="D359">
        <v>2</v>
      </c>
      <c r="G359" s="25">
        <f>Table132[[#This Row],[nb win]]/Table132[[#This Row],[nb play]]</f>
        <v>0</v>
      </c>
      <c r="H359" t="str">
        <f>MID(Table132[[#This Row],[ÉTAT]],VALUE(RIGHT(Table132[[#This Row],[next move]],1))+1+VALUE(LEFT(Table132[[#This Row],[next move]],1))*3,1)</f>
        <v>V</v>
      </c>
      <c r="I359" t="str">
        <f>Table132[[#This Row],[ÉTAT]]&amp;Table132[[#This Row],[next move]]</f>
        <v>VVVVEEVVM20</v>
      </c>
    </row>
    <row r="360" spans="2:9" x14ac:dyDescent="0.25">
      <c r="B360" t="s">
        <v>151</v>
      </c>
      <c r="C360" s="22" t="s">
        <v>22</v>
      </c>
      <c r="D360">
        <v>4</v>
      </c>
      <c r="E360">
        <v>2</v>
      </c>
      <c r="G360" s="30">
        <f>Table132[[#This Row],[nb win]]/Table132[[#This Row],[nb play]]</f>
        <v>0.5</v>
      </c>
      <c r="H360" t="str">
        <f>MID(Table132[[#This Row],[ÉTAT]],VALUE(RIGHT(Table132[[#This Row],[next move]],1))+1+VALUE(LEFT(Table132[[#This Row],[next move]],1))*3,1)</f>
        <v>V</v>
      </c>
      <c r="I360" t="str">
        <f>Table132[[#This Row],[ÉTAT]]&amp;Table132[[#This Row],[next move]]</f>
        <v>VVVVEEVVM21</v>
      </c>
    </row>
    <row r="361" spans="2:9" x14ac:dyDescent="0.25">
      <c r="B361" t="s">
        <v>468</v>
      </c>
      <c r="C361" s="22" t="s">
        <v>24</v>
      </c>
      <c r="D361">
        <v>3</v>
      </c>
      <c r="E361">
        <v>2</v>
      </c>
      <c r="G361" s="30">
        <f>Table132[[#This Row],[nb win]]/Table132[[#This Row],[nb play]]</f>
        <v>0.66666666666666663</v>
      </c>
      <c r="H361" t="str">
        <f>MID(Table132[[#This Row],[ÉTAT]],VALUE(RIGHT(Table132[[#This Row],[next move]],1))+1+VALUE(LEFT(Table132[[#This Row],[next move]],1))*3,1)</f>
        <v>V</v>
      </c>
      <c r="I361" t="str">
        <f>Table132[[#This Row],[ÉTAT]]&amp;Table132[[#This Row],[next move]]</f>
        <v>VVVVEEVMV00</v>
      </c>
    </row>
    <row r="362" spans="2:9" x14ac:dyDescent="0.25">
      <c r="B362" t="s">
        <v>468</v>
      </c>
      <c r="C362" s="22" t="s">
        <v>26</v>
      </c>
      <c r="D362">
        <v>5</v>
      </c>
      <c r="G362" s="30">
        <f>Table132[[#This Row],[nb win]]/Table132[[#This Row],[nb play]]</f>
        <v>0</v>
      </c>
      <c r="H362" t="str">
        <f>MID(Table132[[#This Row],[ÉTAT]],VALUE(RIGHT(Table132[[#This Row],[next move]],1))+1+VALUE(LEFT(Table132[[#This Row],[next move]],1))*3,1)</f>
        <v>V</v>
      </c>
      <c r="I362" t="str">
        <f>Table132[[#This Row],[ÉTAT]]&amp;Table132[[#This Row],[next move]]</f>
        <v>VVVVEEVMV01</v>
      </c>
    </row>
    <row r="363" spans="2:9" x14ac:dyDescent="0.25">
      <c r="B363" t="s">
        <v>468</v>
      </c>
      <c r="C363" s="22" t="s">
        <v>20</v>
      </c>
      <c r="D363">
        <v>1</v>
      </c>
      <c r="E363">
        <v>1</v>
      </c>
      <c r="G363" s="31">
        <f>Table132[[#This Row],[nb win]]/Table132[[#This Row],[nb play]]</f>
        <v>1</v>
      </c>
      <c r="H363" t="str">
        <f>MID(Table132[[#This Row],[ÉTAT]],VALUE(RIGHT(Table132[[#This Row],[next move]],1))+1+VALUE(LEFT(Table132[[#This Row],[next move]],1))*3,1)</f>
        <v>V</v>
      </c>
      <c r="I363" t="str">
        <f>Table132[[#This Row],[ÉTAT]]&amp;Table132[[#This Row],[next move]]</f>
        <v>VVVVEEVMV02</v>
      </c>
    </row>
    <row r="364" spans="2:9" x14ac:dyDescent="0.25">
      <c r="B364" t="s">
        <v>468</v>
      </c>
      <c r="C364" s="22" t="s">
        <v>30</v>
      </c>
      <c r="D364">
        <v>1</v>
      </c>
      <c r="G364" s="30">
        <f>Table132[[#This Row],[nb win]]/Table132[[#This Row],[nb play]]</f>
        <v>0</v>
      </c>
      <c r="H364" t="str">
        <f>MID(Table132[[#This Row],[ÉTAT]],VALUE(RIGHT(Table132[[#This Row],[next move]],1))+1+VALUE(LEFT(Table132[[#This Row],[next move]],1))*3,1)</f>
        <v>V</v>
      </c>
      <c r="I364" t="str">
        <f>Table132[[#This Row],[ÉTAT]]&amp;Table132[[#This Row],[next move]]</f>
        <v>VVVVEEVMV10</v>
      </c>
    </row>
    <row r="365" spans="2:9" x14ac:dyDescent="0.25">
      <c r="B365" t="s">
        <v>468</v>
      </c>
      <c r="C365" s="22" t="s">
        <v>35</v>
      </c>
      <c r="D365">
        <v>4</v>
      </c>
      <c r="E365">
        <v>1</v>
      </c>
      <c r="G365" s="30">
        <f>Table132[[#This Row],[nb win]]/Table132[[#This Row],[nb play]]</f>
        <v>0.25</v>
      </c>
      <c r="H365" t="str">
        <f>MID(Table132[[#This Row],[ÉTAT]],VALUE(RIGHT(Table132[[#This Row],[next move]],1))+1+VALUE(LEFT(Table132[[#This Row],[next move]],1))*3,1)</f>
        <v>V</v>
      </c>
      <c r="I365" t="str">
        <f>Table132[[#This Row],[ÉTAT]]&amp;Table132[[#This Row],[next move]]</f>
        <v>VVVVEEVMV20</v>
      </c>
    </row>
    <row r="366" spans="2:9" x14ac:dyDescent="0.25">
      <c r="B366" t="s">
        <v>468</v>
      </c>
      <c r="C366" s="22" t="s">
        <v>31</v>
      </c>
      <c r="D366">
        <v>2</v>
      </c>
      <c r="G366" s="30">
        <f>Table132[[#This Row],[nb win]]/Table132[[#This Row],[nb play]]</f>
        <v>0</v>
      </c>
      <c r="H366" t="str">
        <f>MID(Table132[[#This Row],[ÉTAT]],VALUE(RIGHT(Table132[[#This Row],[next move]],1))+1+VALUE(LEFT(Table132[[#This Row],[next move]],1))*3,1)</f>
        <v>V</v>
      </c>
      <c r="I366" t="str">
        <f>Table132[[#This Row],[ÉTAT]]&amp;Table132[[#This Row],[next move]]</f>
        <v>VVVVEEVMV22</v>
      </c>
    </row>
    <row r="367" spans="2:9" x14ac:dyDescent="0.25">
      <c r="B367" t="s">
        <v>710</v>
      </c>
      <c r="C367" s="22" t="s">
        <v>24</v>
      </c>
      <c r="D367">
        <v>2</v>
      </c>
      <c r="G367" s="30">
        <f>Table132[[#This Row],[nb win]]/Table132[[#This Row],[nb play]]</f>
        <v>0</v>
      </c>
      <c r="H367" t="str">
        <f>MID(Table132[[#This Row],[ÉTAT]],VALUE(RIGHT(Table132[[#This Row],[next move]],1))+1+VALUE(LEFT(Table132[[#This Row],[next move]],1))*3,1)</f>
        <v>V</v>
      </c>
      <c r="I367" t="str">
        <f>Table132[[#This Row],[ÉTAT]]&amp;Table132[[#This Row],[next move]]</f>
        <v>VVVVEEVMM00</v>
      </c>
    </row>
    <row r="368" spans="2:9" x14ac:dyDescent="0.25">
      <c r="B368" t="s">
        <v>710</v>
      </c>
      <c r="C368" s="22" t="s">
        <v>26</v>
      </c>
      <c r="D368">
        <v>3</v>
      </c>
      <c r="E368">
        <v>2</v>
      </c>
      <c r="G368" s="25">
        <f>Table132[[#This Row],[nb win]]/Table132[[#This Row],[nb play]]</f>
        <v>0.66666666666666663</v>
      </c>
      <c r="H368" t="str">
        <f>MID(Table132[[#This Row],[ÉTAT]],VALUE(RIGHT(Table132[[#This Row],[next move]],1))+1+VALUE(LEFT(Table132[[#This Row],[next move]],1))*3,1)</f>
        <v>V</v>
      </c>
      <c r="I368" t="str">
        <f>Table132[[#This Row],[ÉTAT]]&amp;Table132[[#This Row],[next move]]</f>
        <v>VVVVEEVMM01</v>
      </c>
    </row>
    <row r="369" spans="2:9" x14ac:dyDescent="0.25">
      <c r="B369" t="s">
        <v>710</v>
      </c>
      <c r="C369" s="22" t="s">
        <v>30</v>
      </c>
      <c r="D369">
        <v>1</v>
      </c>
      <c r="E369">
        <v>1</v>
      </c>
      <c r="G369" s="25">
        <f>Table132[[#This Row],[nb win]]/Table132[[#This Row],[nb play]]</f>
        <v>1</v>
      </c>
      <c r="H369" t="str">
        <f>MID(Table132[[#This Row],[ÉTAT]],VALUE(RIGHT(Table132[[#This Row],[next move]],1))+1+VALUE(LEFT(Table132[[#This Row],[next move]],1))*3,1)</f>
        <v>V</v>
      </c>
      <c r="I369" t="str">
        <f>Table132[[#This Row],[ÉTAT]]&amp;Table132[[#This Row],[next move]]</f>
        <v>VVVVEEVMM10</v>
      </c>
    </row>
    <row r="370" spans="2:9" x14ac:dyDescent="0.25">
      <c r="B370" t="s">
        <v>288</v>
      </c>
      <c r="C370" s="22" t="s">
        <v>24</v>
      </c>
      <c r="D370">
        <v>5</v>
      </c>
      <c r="E370">
        <v>2</v>
      </c>
      <c r="G370" s="31">
        <f>Table132[[#This Row],[nb win]]/Table132[[#This Row],[nb play]]</f>
        <v>0.4</v>
      </c>
      <c r="H370" t="str">
        <f>MID(Table132[[#This Row],[ÉTAT]],VALUE(RIGHT(Table132[[#This Row],[next move]],1))+1+VALUE(LEFT(Table132[[#This Row],[next move]],1))*3,1)</f>
        <v>V</v>
      </c>
      <c r="I370" t="str">
        <f>Table132[[#This Row],[ÉTAT]]&amp;Table132[[#This Row],[next move]]</f>
        <v>VVVVEEMVV00</v>
      </c>
    </row>
    <row r="371" spans="2:9" x14ac:dyDescent="0.25">
      <c r="B371" t="s">
        <v>288</v>
      </c>
      <c r="C371" s="22" t="s">
        <v>26</v>
      </c>
      <c r="D371">
        <v>5</v>
      </c>
      <c r="G371" s="30">
        <f>Table132[[#This Row],[nb win]]/Table132[[#This Row],[nb play]]</f>
        <v>0</v>
      </c>
      <c r="H371" t="str">
        <f>MID(Table132[[#This Row],[ÉTAT]],VALUE(RIGHT(Table132[[#This Row],[next move]],1))+1+VALUE(LEFT(Table132[[#This Row],[next move]],1))*3,1)</f>
        <v>V</v>
      </c>
      <c r="I371" t="str">
        <f>Table132[[#This Row],[ÉTAT]]&amp;Table132[[#This Row],[next move]]</f>
        <v>VVVVEEMVV01</v>
      </c>
    </row>
    <row r="372" spans="2:9" x14ac:dyDescent="0.25">
      <c r="B372" t="s">
        <v>288</v>
      </c>
      <c r="C372" s="22" t="s">
        <v>20</v>
      </c>
      <c r="D372">
        <v>4</v>
      </c>
      <c r="G372" s="30">
        <f>Table132[[#This Row],[nb win]]/Table132[[#This Row],[nb play]]</f>
        <v>0</v>
      </c>
      <c r="H372" t="str">
        <f>MID(Table132[[#This Row],[ÉTAT]],VALUE(RIGHT(Table132[[#This Row],[next move]],1))+1+VALUE(LEFT(Table132[[#This Row],[next move]],1))*3,1)</f>
        <v>V</v>
      </c>
      <c r="I372" t="str">
        <f>Table132[[#This Row],[ÉTAT]]&amp;Table132[[#This Row],[next move]]</f>
        <v>VVVVEEMVV02</v>
      </c>
    </row>
    <row r="373" spans="2:9" x14ac:dyDescent="0.25">
      <c r="B373" t="s">
        <v>288</v>
      </c>
      <c r="C373" s="22" t="s">
        <v>30</v>
      </c>
      <c r="D373">
        <v>4</v>
      </c>
      <c r="E373">
        <v>2</v>
      </c>
      <c r="G373" s="25">
        <f>Table132[[#This Row],[nb win]]/Table132[[#This Row],[nb play]]</f>
        <v>0.5</v>
      </c>
      <c r="H373" t="str">
        <f>MID(Table132[[#This Row],[ÉTAT]],VALUE(RIGHT(Table132[[#This Row],[next move]],1))+1+VALUE(LEFT(Table132[[#This Row],[next move]],1))*3,1)</f>
        <v>V</v>
      </c>
      <c r="I373" t="str">
        <f>Table132[[#This Row],[ÉTAT]]&amp;Table132[[#This Row],[next move]]</f>
        <v>VVVVEEMVV10</v>
      </c>
    </row>
    <row r="374" spans="2:9" x14ac:dyDescent="0.25">
      <c r="B374" t="s">
        <v>288</v>
      </c>
      <c r="C374" s="22" t="s">
        <v>22</v>
      </c>
      <c r="D374">
        <v>1</v>
      </c>
      <c r="G374" s="25">
        <f>Table132[[#This Row],[nb win]]/Table132[[#This Row],[nb play]]</f>
        <v>0</v>
      </c>
      <c r="H374" t="str">
        <f>MID(Table132[[#This Row],[ÉTAT]],VALUE(RIGHT(Table132[[#This Row],[next move]],1))+1+VALUE(LEFT(Table132[[#This Row],[next move]],1))*3,1)</f>
        <v>V</v>
      </c>
      <c r="I374" t="str">
        <f>Table132[[#This Row],[ÉTAT]]&amp;Table132[[#This Row],[next move]]</f>
        <v>VVVVEEMVV21</v>
      </c>
    </row>
    <row r="375" spans="2:9" x14ac:dyDescent="0.25">
      <c r="B375" t="s">
        <v>288</v>
      </c>
      <c r="C375" s="22" t="s">
        <v>31</v>
      </c>
      <c r="D375">
        <v>4</v>
      </c>
      <c r="E375">
        <v>3</v>
      </c>
      <c r="G375" s="31">
        <f>Table132[[#This Row],[nb win]]/Table132[[#This Row],[nb play]]</f>
        <v>0.75</v>
      </c>
      <c r="H375" t="str">
        <f>MID(Table132[[#This Row],[ÉTAT]],VALUE(RIGHT(Table132[[#This Row],[next move]],1))+1+VALUE(LEFT(Table132[[#This Row],[next move]],1))*3,1)</f>
        <v>V</v>
      </c>
      <c r="I375" t="str">
        <f>Table132[[#This Row],[ÉTAT]]&amp;Table132[[#This Row],[next move]]</f>
        <v>VVVVEEMVV22</v>
      </c>
    </row>
    <row r="376" spans="2:9" x14ac:dyDescent="0.25">
      <c r="B376" t="s">
        <v>1366</v>
      </c>
      <c r="C376" s="22" t="s">
        <v>22</v>
      </c>
      <c r="D376">
        <v>6</v>
      </c>
      <c r="E376">
        <v>6</v>
      </c>
      <c r="G376" s="31">
        <f>Table132[[#This Row],[nb win]]/Table132[[#This Row],[nb play]]</f>
        <v>1</v>
      </c>
      <c r="H376" t="str">
        <f>MID(Table132[[#This Row],[ÉTAT]],VALUE(RIGHT(Table132[[#This Row],[next move]],1))+1+VALUE(LEFT(Table132[[#This Row],[next move]],1))*3,1)</f>
        <v>V</v>
      </c>
      <c r="I376" t="str">
        <f>Table132[[#This Row],[ÉTAT]]&amp;Table132[[#This Row],[next move]]</f>
        <v>VVVVEEMVM21</v>
      </c>
    </row>
    <row r="377" spans="2:9" x14ac:dyDescent="0.25">
      <c r="B377" t="s">
        <v>2768</v>
      </c>
      <c r="C377" s="22" t="s">
        <v>20</v>
      </c>
      <c r="D377">
        <v>1</v>
      </c>
      <c r="G377" s="25">
        <f>Table132[[#This Row],[nb win]]/Table132[[#This Row],[nb play]]</f>
        <v>0</v>
      </c>
      <c r="H377" t="str">
        <f>MID(Table132[[#This Row],[ÉTAT]],VALUE(RIGHT(Table132[[#This Row],[next move]],1))+1+VALUE(LEFT(Table132[[#This Row],[next move]],1))*3,1)</f>
        <v>V</v>
      </c>
      <c r="I377" t="str">
        <f>Table132[[#This Row],[ÉTAT]]&amp;Table132[[#This Row],[next move]]</f>
        <v>VVVVEEMMV02</v>
      </c>
    </row>
    <row r="378" spans="2:9" x14ac:dyDescent="0.25">
      <c r="B378" t="s">
        <v>2768</v>
      </c>
      <c r="C378" s="22" t="s">
        <v>31</v>
      </c>
      <c r="D378">
        <v>2</v>
      </c>
      <c r="E378">
        <v>2</v>
      </c>
      <c r="G378" s="31">
        <f>Table132[[#This Row],[nb win]]/Table132[[#This Row],[nb play]]</f>
        <v>1</v>
      </c>
      <c r="H378" t="str">
        <f>MID(Table132[[#This Row],[ÉTAT]],VALUE(RIGHT(Table132[[#This Row],[next move]],1))+1+VALUE(LEFT(Table132[[#This Row],[next move]],1))*3,1)</f>
        <v>V</v>
      </c>
      <c r="I378" t="str">
        <f>Table132[[#This Row],[ÉTAT]]&amp;Table132[[#This Row],[next move]]</f>
        <v>VVVVEEMMV22</v>
      </c>
    </row>
    <row r="379" spans="2:9" x14ac:dyDescent="0.25">
      <c r="B379" t="s">
        <v>1039</v>
      </c>
      <c r="C379" s="22" t="s">
        <v>24</v>
      </c>
      <c r="D379">
        <v>2</v>
      </c>
      <c r="G379" s="30">
        <f>Table132[[#This Row],[nb win]]/Table132[[#This Row],[nb play]]</f>
        <v>0</v>
      </c>
      <c r="H379" t="str">
        <f>MID(Table132[[#This Row],[ÉTAT]],VALUE(RIGHT(Table132[[#This Row],[next move]],1))+1+VALUE(LEFT(Table132[[#This Row],[next move]],1))*3,1)</f>
        <v>V</v>
      </c>
      <c r="I379" t="str">
        <f>Table132[[#This Row],[ÉTAT]]&amp;Table132[[#This Row],[next move]]</f>
        <v>VVVVEEMME00</v>
      </c>
    </row>
    <row r="380" spans="2:9" x14ac:dyDescent="0.25">
      <c r="B380" t="s">
        <v>1039</v>
      </c>
      <c r="C380" s="22" t="s">
        <v>26</v>
      </c>
      <c r="D380">
        <v>3</v>
      </c>
      <c r="G380" s="25">
        <f>Table132[[#This Row],[nb win]]/Table132[[#This Row],[nb play]]</f>
        <v>0</v>
      </c>
      <c r="H380" t="str">
        <f>MID(Table132[[#This Row],[ÉTAT]],VALUE(RIGHT(Table132[[#This Row],[next move]],1))+1+VALUE(LEFT(Table132[[#This Row],[next move]],1))*3,1)</f>
        <v>V</v>
      </c>
      <c r="I380" t="str">
        <f>Table132[[#This Row],[ÉTAT]]&amp;Table132[[#This Row],[next move]]</f>
        <v>VVVVEEMME01</v>
      </c>
    </row>
    <row r="381" spans="2:9" x14ac:dyDescent="0.25">
      <c r="B381" t="s">
        <v>1039</v>
      </c>
      <c r="C381" s="22" t="s">
        <v>20</v>
      </c>
      <c r="D381">
        <v>4</v>
      </c>
      <c r="G381" s="30">
        <f>Table132[[#This Row],[nb win]]/Table132[[#This Row],[nb play]]</f>
        <v>0</v>
      </c>
      <c r="H381" t="str">
        <f>MID(Table132[[#This Row],[ÉTAT]],VALUE(RIGHT(Table132[[#This Row],[next move]],1))+1+VALUE(LEFT(Table132[[#This Row],[next move]],1))*3,1)</f>
        <v>V</v>
      </c>
      <c r="I381" t="str">
        <f>Table132[[#This Row],[ÉTAT]]&amp;Table132[[#This Row],[next move]]</f>
        <v>VVVVEEMME02</v>
      </c>
    </row>
    <row r="382" spans="2:9" x14ac:dyDescent="0.25">
      <c r="B382" t="s">
        <v>1039</v>
      </c>
      <c r="C382" s="22" t="s">
        <v>30</v>
      </c>
      <c r="D382">
        <v>3</v>
      </c>
      <c r="E382">
        <v>1</v>
      </c>
      <c r="G382" s="25">
        <f>Table132[[#This Row],[nb win]]/Table132[[#This Row],[nb play]]</f>
        <v>0.33333333333333331</v>
      </c>
      <c r="H382" t="str">
        <f>MID(Table132[[#This Row],[ÉTAT]],VALUE(RIGHT(Table132[[#This Row],[next move]],1))+1+VALUE(LEFT(Table132[[#This Row],[next move]],1))*3,1)</f>
        <v>V</v>
      </c>
      <c r="I382" t="str">
        <f>Table132[[#This Row],[ÉTAT]]&amp;Table132[[#This Row],[next move]]</f>
        <v>VVVVEEMME10</v>
      </c>
    </row>
    <row r="383" spans="2:9" x14ac:dyDescent="0.25">
      <c r="B383" t="s">
        <v>501</v>
      </c>
      <c r="C383" s="22" t="s">
        <v>26</v>
      </c>
      <c r="D383">
        <v>1</v>
      </c>
      <c r="G383" s="25">
        <f>Table132[[#This Row],[nb win]]/Table132[[#This Row],[nb play]]</f>
        <v>0</v>
      </c>
      <c r="H383" t="str">
        <f>MID(Table132[[#This Row],[ÉTAT]],VALUE(RIGHT(Table132[[#This Row],[next move]],1))+1+VALUE(LEFT(Table132[[#This Row],[next move]],1))*3,1)</f>
        <v>V</v>
      </c>
      <c r="I383" t="str">
        <f>Table132[[#This Row],[ÉTAT]]&amp;Table132[[#This Row],[next move]]</f>
        <v>VVVVEEMEM01</v>
      </c>
    </row>
    <row r="384" spans="2:9" x14ac:dyDescent="0.25">
      <c r="B384" t="s">
        <v>501</v>
      </c>
      <c r="C384" s="22" t="s">
        <v>20</v>
      </c>
      <c r="D384">
        <v>1</v>
      </c>
      <c r="G384" s="25">
        <f>Table132[[#This Row],[nb win]]/Table132[[#This Row],[nb play]]</f>
        <v>0</v>
      </c>
      <c r="H384" t="str">
        <f>MID(Table132[[#This Row],[ÉTAT]],VALUE(RIGHT(Table132[[#This Row],[next move]],1))+1+VALUE(LEFT(Table132[[#This Row],[next move]],1))*3,1)</f>
        <v>V</v>
      </c>
      <c r="I384" t="str">
        <f>Table132[[#This Row],[ÉTAT]]&amp;Table132[[#This Row],[next move]]</f>
        <v>VVVVEEMEM02</v>
      </c>
    </row>
    <row r="385" spans="2:9" x14ac:dyDescent="0.25">
      <c r="B385" t="s">
        <v>501</v>
      </c>
      <c r="C385" s="22" t="s">
        <v>30</v>
      </c>
      <c r="D385">
        <v>1</v>
      </c>
      <c r="E385">
        <v>1</v>
      </c>
      <c r="G385" s="25">
        <f>Table132[[#This Row],[nb win]]/Table132[[#This Row],[nb play]]</f>
        <v>1</v>
      </c>
      <c r="H385" t="str">
        <f>MID(Table132[[#This Row],[ÉTAT]],VALUE(RIGHT(Table132[[#This Row],[next move]],1))+1+VALUE(LEFT(Table132[[#This Row],[next move]],1))*3,1)</f>
        <v>V</v>
      </c>
      <c r="I385" t="str">
        <f>Table132[[#This Row],[ÉTAT]]&amp;Table132[[#This Row],[next move]]</f>
        <v>VVVVEEMEM10</v>
      </c>
    </row>
    <row r="386" spans="2:9" x14ac:dyDescent="0.25">
      <c r="B386" t="s">
        <v>1659</v>
      </c>
      <c r="C386" s="22" t="s">
        <v>24</v>
      </c>
      <c r="D386">
        <v>2</v>
      </c>
      <c r="G386" s="30">
        <f>Table132[[#This Row],[nb win]]/Table132[[#This Row],[nb play]]</f>
        <v>0</v>
      </c>
      <c r="H386" t="str">
        <f>MID(Table132[[#This Row],[ÉTAT]],VALUE(RIGHT(Table132[[#This Row],[next move]],1))+1+VALUE(LEFT(Table132[[#This Row],[next move]],1))*3,1)</f>
        <v>V</v>
      </c>
      <c r="I386" t="str">
        <f>Table132[[#This Row],[ÉTAT]]&amp;Table132[[#This Row],[next move]]</f>
        <v>VVVVEEEMM00</v>
      </c>
    </row>
    <row r="387" spans="2:9" x14ac:dyDescent="0.25">
      <c r="B387" t="s">
        <v>1659</v>
      </c>
      <c r="C387" s="22" t="s">
        <v>26</v>
      </c>
      <c r="D387">
        <v>1</v>
      </c>
      <c r="G387" s="25">
        <f>Table132[[#This Row],[nb win]]/Table132[[#This Row],[nb play]]</f>
        <v>0</v>
      </c>
      <c r="H387" t="str">
        <f>MID(Table132[[#This Row],[ÉTAT]],VALUE(RIGHT(Table132[[#This Row],[next move]],1))+1+VALUE(LEFT(Table132[[#This Row],[next move]],1))*3,1)</f>
        <v>V</v>
      </c>
      <c r="I387" t="str">
        <f>Table132[[#This Row],[ÉTAT]]&amp;Table132[[#This Row],[next move]]</f>
        <v>VVVVEEEMM01</v>
      </c>
    </row>
    <row r="388" spans="2:9" x14ac:dyDescent="0.25">
      <c r="B388" t="s">
        <v>1659</v>
      </c>
      <c r="C388" s="22" t="s">
        <v>20</v>
      </c>
      <c r="D388">
        <v>1</v>
      </c>
      <c r="G388" s="30">
        <f>Table132[[#This Row],[nb win]]/Table132[[#This Row],[nb play]]</f>
        <v>0</v>
      </c>
      <c r="H388" t="str">
        <f>MID(Table132[[#This Row],[ÉTAT]],VALUE(RIGHT(Table132[[#This Row],[next move]],1))+1+VALUE(LEFT(Table132[[#This Row],[next move]],1))*3,1)</f>
        <v>V</v>
      </c>
      <c r="I388" t="str">
        <f>Table132[[#This Row],[ÉTAT]]&amp;Table132[[#This Row],[next move]]</f>
        <v>VVVVEEEMM02</v>
      </c>
    </row>
    <row r="389" spans="2:9" x14ac:dyDescent="0.25">
      <c r="B389" t="s">
        <v>1659</v>
      </c>
      <c r="C389" s="22" t="s">
        <v>30</v>
      </c>
      <c r="D389">
        <v>1</v>
      </c>
      <c r="G389" s="25">
        <f>Table132[[#This Row],[nb win]]/Table132[[#This Row],[nb play]]</f>
        <v>0</v>
      </c>
      <c r="H389" t="str">
        <f>MID(Table132[[#This Row],[ÉTAT]],VALUE(RIGHT(Table132[[#This Row],[next move]],1))+1+VALUE(LEFT(Table132[[#This Row],[next move]],1))*3,1)</f>
        <v>V</v>
      </c>
      <c r="I389" t="str">
        <f>Table132[[#This Row],[ÉTAT]]&amp;Table132[[#This Row],[next move]]</f>
        <v>VVVVEEEMM10</v>
      </c>
    </row>
    <row r="390" spans="2:9" x14ac:dyDescent="0.25">
      <c r="B390" t="s">
        <v>48</v>
      </c>
      <c r="C390" s="22" t="s">
        <v>24</v>
      </c>
      <c r="D390">
        <v>16</v>
      </c>
      <c r="E390">
        <v>11</v>
      </c>
      <c r="G390" s="30">
        <f>Table132[[#This Row],[nb win]]/Table132[[#This Row],[nb play]]</f>
        <v>0.6875</v>
      </c>
      <c r="H390" t="str">
        <f>MID(Table132[[#This Row],[ÉTAT]],VALUE(RIGHT(Table132[[#This Row],[next move]],1))+1+VALUE(LEFT(Table132[[#This Row],[next move]],1))*3,1)</f>
        <v>V</v>
      </c>
      <c r="I390" t="str">
        <f>Table132[[#This Row],[ÉTAT]]&amp;Table132[[#This Row],[next move]]</f>
        <v>VVVMVVVVE00</v>
      </c>
    </row>
    <row r="391" spans="2:9" x14ac:dyDescent="0.25">
      <c r="B391" t="s">
        <v>48</v>
      </c>
      <c r="C391" s="22" t="s">
        <v>26</v>
      </c>
      <c r="D391">
        <v>4</v>
      </c>
      <c r="E391">
        <v>3</v>
      </c>
      <c r="G391" s="31">
        <f>Table132[[#This Row],[nb win]]/Table132[[#This Row],[nb play]]</f>
        <v>0.75</v>
      </c>
      <c r="H391" t="str">
        <f>MID(Table132[[#This Row],[ÉTAT]],VALUE(RIGHT(Table132[[#This Row],[next move]],1))+1+VALUE(LEFT(Table132[[#This Row],[next move]],1))*3,1)</f>
        <v>V</v>
      </c>
      <c r="I391" t="str">
        <f>Table132[[#This Row],[ÉTAT]]&amp;Table132[[#This Row],[next move]]</f>
        <v>VVVMVVVVE01</v>
      </c>
    </row>
    <row r="392" spans="2:9" x14ac:dyDescent="0.25">
      <c r="B392" t="s">
        <v>48</v>
      </c>
      <c r="C392" s="22" t="s">
        <v>20</v>
      </c>
      <c r="D392">
        <v>10</v>
      </c>
      <c r="E392">
        <v>3</v>
      </c>
      <c r="G392" s="30">
        <f>Table132[[#This Row],[nb win]]/Table132[[#This Row],[nb play]]</f>
        <v>0.3</v>
      </c>
      <c r="H392" t="str">
        <f>MID(Table132[[#This Row],[ÉTAT]],VALUE(RIGHT(Table132[[#This Row],[next move]],1))+1+VALUE(LEFT(Table132[[#This Row],[next move]],1))*3,1)</f>
        <v>V</v>
      </c>
      <c r="I392" t="str">
        <f>Table132[[#This Row],[ÉTAT]]&amp;Table132[[#This Row],[next move]]</f>
        <v>VVVMVVVVE02</v>
      </c>
    </row>
    <row r="393" spans="2:9" x14ac:dyDescent="0.25">
      <c r="B393" t="s">
        <v>48</v>
      </c>
      <c r="C393" s="22" t="s">
        <v>29</v>
      </c>
      <c r="D393">
        <v>4</v>
      </c>
      <c r="E393">
        <v>3</v>
      </c>
      <c r="G393" s="30">
        <f>Table132[[#This Row],[nb win]]/Table132[[#This Row],[nb play]]</f>
        <v>0.75</v>
      </c>
      <c r="H393" t="str">
        <f>MID(Table132[[#This Row],[ÉTAT]],VALUE(RIGHT(Table132[[#This Row],[next move]],1))+1+VALUE(LEFT(Table132[[#This Row],[next move]],1))*3,1)</f>
        <v>V</v>
      </c>
      <c r="I393" t="str">
        <f>Table132[[#This Row],[ÉTAT]]&amp;Table132[[#This Row],[next move]]</f>
        <v>VVVMVVVVE11</v>
      </c>
    </row>
    <row r="394" spans="2:9" x14ac:dyDescent="0.25">
      <c r="B394" t="s">
        <v>48</v>
      </c>
      <c r="C394" s="22" t="s">
        <v>28</v>
      </c>
      <c r="D394">
        <v>5</v>
      </c>
      <c r="E394">
        <v>4</v>
      </c>
      <c r="G394" s="31">
        <f>Table132[[#This Row],[nb win]]/Table132[[#This Row],[nb play]]</f>
        <v>0.8</v>
      </c>
      <c r="H394" t="str">
        <f>MID(Table132[[#This Row],[ÉTAT]],VALUE(RIGHT(Table132[[#This Row],[next move]],1))+1+VALUE(LEFT(Table132[[#This Row],[next move]],1))*3,1)</f>
        <v>V</v>
      </c>
      <c r="I394" t="str">
        <f>Table132[[#This Row],[ÉTAT]]&amp;Table132[[#This Row],[next move]]</f>
        <v>VVVMVVVVE12</v>
      </c>
    </row>
    <row r="395" spans="2:9" x14ac:dyDescent="0.25">
      <c r="B395" t="s">
        <v>48</v>
      </c>
      <c r="C395" s="22" t="s">
        <v>35</v>
      </c>
      <c r="D395">
        <v>8</v>
      </c>
      <c r="E395">
        <v>5</v>
      </c>
      <c r="G395" s="31">
        <f>Table132[[#This Row],[nb win]]/Table132[[#This Row],[nb play]]</f>
        <v>0.625</v>
      </c>
      <c r="H395" t="str">
        <f>MID(Table132[[#This Row],[ÉTAT]],VALUE(RIGHT(Table132[[#This Row],[next move]],1))+1+VALUE(LEFT(Table132[[#This Row],[next move]],1))*3,1)</f>
        <v>V</v>
      </c>
      <c r="I395" t="str">
        <f>Table132[[#This Row],[ÉTAT]]&amp;Table132[[#This Row],[next move]]</f>
        <v>VVVMVVVVE20</v>
      </c>
    </row>
    <row r="396" spans="2:9" x14ac:dyDescent="0.25">
      <c r="B396" t="s">
        <v>48</v>
      </c>
      <c r="C396" s="22" t="s">
        <v>22</v>
      </c>
      <c r="D396">
        <v>2</v>
      </c>
      <c r="E396">
        <v>1</v>
      </c>
      <c r="G396" s="30">
        <f>Table132[[#This Row],[nb win]]/Table132[[#This Row],[nb play]]</f>
        <v>0.5</v>
      </c>
      <c r="H396" t="str">
        <f>MID(Table132[[#This Row],[ÉTAT]],VALUE(RIGHT(Table132[[#This Row],[next move]],1))+1+VALUE(LEFT(Table132[[#This Row],[next move]],1))*3,1)</f>
        <v>V</v>
      </c>
      <c r="I396" t="str">
        <f>Table132[[#This Row],[ÉTAT]]&amp;Table132[[#This Row],[next move]]</f>
        <v>VVVMVVVVE21</v>
      </c>
    </row>
    <row r="397" spans="2:9" x14ac:dyDescent="0.25">
      <c r="B397" t="s">
        <v>65</v>
      </c>
      <c r="C397" s="22" t="s">
        <v>24</v>
      </c>
      <c r="D397">
        <v>6</v>
      </c>
      <c r="E397">
        <v>2</v>
      </c>
      <c r="G397" s="25">
        <f>Table132[[#This Row],[nb win]]/Table132[[#This Row],[nb play]]</f>
        <v>0.33333333333333331</v>
      </c>
      <c r="H397" t="str">
        <f>MID(Table132[[#This Row],[ÉTAT]],VALUE(RIGHT(Table132[[#This Row],[next move]],1))+1+VALUE(LEFT(Table132[[#This Row],[next move]],1))*3,1)</f>
        <v>V</v>
      </c>
      <c r="I397" t="str">
        <f>Table132[[#This Row],[ÉTAT]]&amp;Table132[[#This Row],[next move]]</f>
        <v>VVVMVVVEV00</v>
      </c>
    </row>
    <row r="398" spans="2:9" x14ac:dyDescent="0.25">
      <c r="B398" t="s">
        <v>65</v>
      </c>
      <c r="C398" s="22" t="s">
        <v>26</v>
      </c>
      <c r="D398">
        <v>5</v>
      </c>
      <c r="E398">
        <v>3</v>
      </c>
      <c r="G398" s="31">
        <f>Table132[[#This Row],[nb win]]/Table132[[#This Row],[nb play]]</f>
        <v>0.6</v>
      </c>
      <c r="H398" t="str">
        <f>MID(Table132[[#This Row],[ÉTAT]],VALUE(RIGHT(Table132[[#This Row],[next move]],1))+1+VALUE(LEFT(Table132[[#This Row],[next move]],1))*3,1)</f>
        <v>V</v>
      </c>
      <c r="I398" t="str">
        <f>Table132[[#This Row],[ÉTAT]]&amp;Table132[[#This Row],[next move]]</f>
        <v>VVVMVVVEV01</v>
      </c>
    </row>
    <row r="399" spans="2:9" x14ac:dyDescent="0.25">
      <c r="B399" t="s">
        <v>65</v>
      </c>
      <c r="C399" s="22" t="s">
        <v>20</v>
      </c>
      <c r="D399">
        <v>10</v>
      </c>
      <c r="E399">
        <v>6</v>
      </c>
      <c r="G399" s="30">
        <f>Table132[[#This Row],[nb win]]/Table132[[#This Row],[nb play]]</f>
        <v>0.6</v>
      </c>
      <c r="H399" t="str">
        <f>MID(Table132[[#This Row],[ÉTAT]],VALUE(RIGHT(Table132[[#This Row],[next move]],1))+1+VALUE(LEFT(Table132[[#This Row],[next move]],1))*3,1)</f>
        <v>V</v>
      </c>
      <c r="I399" t="str">
        <f>Table132[[#This Row],[ÉTAT]]&amp;Table132[[#This Row],[next move]]</f>
        <v>VVVMVVVEV02</v>
      </c>
    </row>
    <row r="400" spans="2:9" x14ac:dyDescent="0.25">
      <c r="B400" t="s">
        <v>65</v>
      </c>
      <c r="C400" s="22" t="s">
        <v>29</v>
      </c>
      <c r="D400">
        <v>7</v>
      </c>
      <c r="E400">
        <v>6</v>
      </c>
      <c r="G400" s="31">
        <f>Table132[[#This Row],[nb win]]/Table132[[#This Row],[nb play]]</f>
        <v>0.8571428571428571</v>
      </c>
      <c r="H400" t="str">
        <f>MID(Table132[[#This Row],[ÉTAT]],VALUE(RIGHT(Table132[[#This Row],[next move]],1))+1+VALUE(LEFT(Table132[[#This Row],[next move]],1))*3,1)</f>
        <v>V</v>
      </c>
      <c r="I400" t="str">
        <f>Table132[[#This Row],[ÉTAT]]&amp;Table132[[#This Row],[next move]]</f>
        <v>VVVMVVVEV11</v>
      </c>
    </row>
    <row r="401" spans="2:9" x14ac:dyDescent="0.25">
      <c r="B401" t="s">
        <v>65</v>
      </c>
      <c r="C401" s="22" t="s">
        <v>28</v>
      </c>
      <c r="D401">
        <v>9</v>
      </c>
      <c r="E401">
        <v>7</v>
      </c>
      <c r="G401" s="30">
        <f>Table132[[#This Row],[nb win]]/Table132[[#This Row],[nb play]]</f>
        <v>0.77777777777777779</v>
      </c>
      <c r="H401" t="str">
        <f>MID(Table132[[#This Row],[ÉTAT]],VALUE(RIGHT(Table132[[#This Row],[next move]],1))+1+VALUE(LEFT(Table132[[#This Row],[next move]],1))*3,1)</f>
        <v>V</v>
      </c>
      <c r="I401" t="str">
        <f>Table132[[#This Row],[ÉTAT]]&amp;Table132[[#This Row],[next move]]</f>
        <v>VVVMVVVEV12</v>
      </c>
    </row>
    <row r="402" spans="2:9" x14ac:dyDescent="0.25">
      <c r="B402" t="s">
        <v>65</v>
      </c>
      <c r="C402" s="22" t="s">
        <v>35</v>
      </c>
      <c r="D402">
        <v>10</v>
      </c>
      <c r="E402">
        <v>6</v>
      </c>
      <c r="G402" s="31">
        <f>Table132[[#This Row],[nb win]]/Table132[[#This Row],[nb play]]</f>
        <v>0.6</v>
      </c>
      <c r="H402" t="str">
        <f>MID(Table132[[#This Row],[ÉTAT]],VALUE(RIGHT(Table132[[#This Row],[next move]],1))+1+VALUE(LEFT(Table132[[#This Row],[next move]],1))*3,1)</f>
        <v>V</v>
      </c>
      <c r="I402" t="str">
        <f>Table132[[#This Row],[ÉTAT]]&amp;Table132[[#This Row],[next move]]</f>
        <v>VVVMVVVEV20</v>
      </c>
    </row>
    <row r="403" spans="2:9" x14ac:dyDescent="0.25">
      <c r="B403" t="s">
        <v>65</v>
      </c>
      <c r="C403" s="22" t="s">
        <v>31</v>
      </c>
      <c r="D403">
        <v>1</v>
      </c>
      <c r="E403">
        <v>1</v>
      </c>
      <c r="G403" s="31">
        <f>Table132[[#This Row],[nb win]]/Table132[[#This Row],[nb play]]</f>
        <v>1</v>
      </c>
      <c r="H403" t="str">
        <f>MID(Table132[[#This Row],[ÉTAT]],VALUE(RIGHT(Table132[[#This Row],[next move]],1))+1+VALUE(LEFT(Table132[[#This Row],[next move]],1))*3,1)</f>
        <v>V</v>
      </c>
      <c r="I403" t="str">
        <f>Table132[[#This Row],[ÉTAT]]&amp;Table132[[#This Row],[next move]]</f>
        <v>VVVMVVVEV22</v>
      </c>
    </row>
    <row r="404" spans="2:9" x14ac:dyDescent="0.25">
      <c r="B404" t="s">
        <v>255</v>
      </c>
      <c r="C404" s="22" t="s">
        <v>24</v>
      </c>
      <c r="D404">
        <v>3</v>
      </c>
      <c r="G404" s="30">
        <f>Table132[[#This Row],[nb win]]/Table132[[#This Row],[nb play]]</f>
        <v>0</v>
      </c>
      <c r="H404" t="str">
        <f>MID(Table132[[#This Row],[ÉTAT]],VALUE(RIGHT(Table132[[#This Row],[next move]],1))+1+VALUE(LEFT(Table132[[#This Row],[next move]],1))*3,1)</f>
        <v>V</v>
      </c>
      <c r="I404" t="str">
        <f>Table132[[#This Row],[ÉTAT]]&amp;Table132[[#This Row],[next move]]</f>
        <v>VVVMVVVEE00</v>
      </c>
    </row>
    <row r="405" spans="2:9" x14ac:dyDescent="0.25">
      <c r="B405" t="s">
        <v>255</v>
      </c>
      <c r="C405" s="22" t="s">
        <v>26</v>
      </c>
      <c r="D405">
        <v>6</v>
      </c>
      <c r="E405">
        <v>1</v>
      </c>
      <c r="G405" s="30">
        <f>Table132[[#This Row],[nb win]]/Table132[[#This Row],[nb play]]</f>
        <v>0.16666666666666666</v>
      </c>
      <c r="H405" t="str">
        <f>MID(Table132[[#This Row],[ÉTAT]],VALUE(RIGHT(Table132[[#This Row],[next move]],1))+1+VALUE(LEFT(Table132[[#This Row],[next move]],1))*3,1)</f>
        <v>V</v>
      </c>
      <c r="I405" t="str">
        <f>Table132[[#This Row],[ÉTAT]]&amp;Table132[[#This Row],[next move]]</f>
        <v>VVVMVVVEE01</v>
      </c>
    </row>
    <row r="406" spans="2:9" x14ac:dyDescent="0.25">
      <c r="B406" t="s">
        <v>255</v>
      </c>
      <c r="C406" s="22" t="s">
        <v>20</v>
      </c>
      <c r="D406">
        <v>3</v>
      </c>
      <c r="G406" s="30">
        <f>Table132[[#This Row],[nb win]]/Table132[[#This Row],[nb play]]</f>
        <v>0</v>
      </c>
      <c r="H406" t="str">
        <f>MID(Table132[[#This Row],[ÉTAT]],VALUE(RIGHT(Table132[[#This Row],[next move]],1))+1+VALUE(LEFT(Table132[[#This Row],[next move]],1))*3,1)</f>
        <v>V</v>
      </c>
      <c r="I406" t="str">
        <f>Table132[[#This Row],[ÉTAT]]&amp;Table132[[#This Row],[next move]]</f>
        <v>VVVMVVVEE02</v>
      </c>
    </row>
    <row r="407" spans="2:9" x14ac:dyDescent="0.25">
      <c r="B407" t="s">
        <v>255</v>
      </c>
      <c r="C407" s="22" t="s">
        <v>29</v>
      </c>
      <c r="D407">
        <v>2</v>
      </c>
      <c r="E407">
        <v>1</v>
      </c>
      <c r="G407" s="31">
        <f>Table132[[#This Row],[nb win]]/Table132[[#This Row],[nb play]]</f>
        <v>0.5</v>
      </c>
      <c r="H407" t="str">
        <f>MID(Table132[[#This Row],[ÉTAT]],VALUE(RIGHT(Table132[[#This Row],[next move]],1))+1+VALUE(LEFT(Table132[[#This Row],[next move]],1))*3,1)</f>
        <v>V</v>
      </c>
      <c r="I407" t="str">
        <f>Table132[[#This Row],[ÉTAT]]&amp;Table132[[#This Row],[next move]]</f>
        <v>VVVMVVVEE11</v>
      </c>
    </row>
    <row r="408" spans="2:9" x14ac:dyDescent="0.25">
      <c r="B408" t="s">
        <v>255</v>
      </c>
      <c r="C408" s="22" t="s">
        <v>28</v>
      </c>
      <c r="D408">
        <v>3</v>
      </c>
      <c r="E408">
        <v>2</v>
      </c>
      <c r="G408" s="31">
        <f>Table132[[#This Row],[nb win]]/Table132[[#This Row],[nb play]]</f>
        <v>0.66666666666666663</v>
      </c>
      <c r="H408" t="str">
        <f>MID(Table132[[#This Row],[ÉTAT]],VALUE(RIGHT(Table132[[#This Row],[next move]],1))+1+VALUE(LEFT(Table132[[#This Row],[next move]],1))*3,1)</f>
        <v>V</v>
      </c>
      <c r="I408" t="str">
        <f>Table132[[#This Row],[ÉTAT]]&amp;Table132[[#This Row],[next move]]</f>
        <v>VVVMVVVEE12</v>
      </c>
    </row>
    <row r="409" spans="2:9" x14ac:dyDescent="0.25">
      <c r="B409" t="s">
        <v>255</v>
      </c>
      <c r="C409" s="22" t="s">
        <v>35</v>
      </c>
      <c r="D409">
        <v>2</v>
      </c>
      <c r="E409">
        <v>1</v>
      </c>
      <c r="G409" s="30">
        <f>Table132[[#This Row],[nb win]]/Table132[[#This Row],[nb play]]</f>
        <v>0.5</v>
      </c>
      <c r="H409" t="str">
        <f>MID(Table132[[#This Row],[ÉTAT]],VALUE(RIGHT(Table132[[#This Row],[next move]],1))+1+VALUE(LEFT(Table132[[#This Row],[next move]],1))*3,1)</f>
        <v>V</v>
      </c>
      <c r="I409" t="str">
        <f>Table132[[#This Row],[ÉTAT]]&amp;Table132[[#This Row],[next move]]</f>
        <v>VVVMVVVEE20</v>
      </c>
    </row>
    <row r="410" spans="2:9" x14ac:dyDescent="0.25">
      <c r="B410" t="s">
        <v>1587</v>
      </c>
      <c r="C410" s="22" t="s">
        <v>29</v>
      </c>
      <c r="D410">
        <v>2</v>
      </c>
      <c r="E410">
        <v>1</v>
      </c>
      <c r="G410" s="31">
        <f>Table132[[#This Row],[nb win]]/Table132[[#This Row],[nb play]]</f>
        <v>0.5</v>
      </c>
      <c r="H410" t="str">
        <f>MID(Table132[[#This Row],[ÉTAT]],VALUE(RIGHT(Table132[[#This Row],[next move]],1))+1+VALUE(LEFT(Table132[[#This Row],[next move]],1))*3,1)</f>
        <v>V</v>
      </c>
      <c r="I410" t="str">
        <f>Table132[[#This Row],[ÉTAT]]&amp;Table132[[#This Row],[next move]]</f>
        <v>VVVMVVMEE11</v>
      </c>
    </row>
    <row r="411" spans="2:9" x14ac:dyDescent="0.25">
      <c r="B411" t="s">
        <v>1587</v>
      </c>
      <c r="C411" s="22" t="s">
        <v>28</v>
      </c>
      <c r="D411">
        <v>2</v>
      </c>
      <c r="E411">
        <v>2</v>
      </c>
      <c r="G411" s="25">
        <f>Table132[[#This Row],[nb win]]/Table132[[#This Row],[nb play]]</f>
        <v>1</v>
      </c>
      <c r="H411" t="str">
        <f>MID(Table132[[#This Row],[ÉTAT]],VALUE(RIGHT(Table132[[#This Row],[next move]],1))+1+VALUE(LEFT(Table132[[#This Row],[next move]],1))*3,1)</f>
        <v>V</v>
      </c>
      <c r="I411" t="str">
        <f>Table132[[#This Row],[ÉTAT]]&amp;Table132[[#This Row],[next move]]</f>
        <v>VVVMVVMEE12</v>
      </c>
    </row>
    <row r="412" spans="2:9" x14ac:dyDescent="0.25">
      <c r="B412" t="s">
        <v>58</v>
      </c>
      <c r="C412" s="22" t="s">
        <v>24</v>
      </c>
      <c r="D412">
        <v>7</v>
      </c>
      <c r="E412">
        <v>2</v>
      </c>
      <c r="G412" s="30">
        <f>Table132[[#This Row],[nb win]]/Table132[[#This Row],[nb play]]</f>
        <v>0.2857142857142857</v>
      </c>
      <c r="H412" t="str">
        <f>MID(Table132[[#This Row],[ÉTAT]],VALUE(RIGHT(Table132[[#This Row],[next move]],1))+1+VALUE(LEFT(Table132[[#This Row],[next move]],1))*3,1)</f>
        <v>V</v>
      </c>
      <c r="I412" t="str">
        <f>Table132[[#This Row],[ÉTAT]]&amp;Table132[[#This Row],[next move]]</f>
        <v>VVVMVVEVV00</v>
      </c>
    </row>
    <row r="413" spans="2:9" x14ac:dyDescent="0.25">
      <c r="B413" t="s">
        <v>58</v>
      </c>
      <c r="C413" s="22" t="s">
        <v>26</v>
      </c>
      <c r="D413">
        <v>6</v>
      </c>
      <c r="E413">
        <v>2</v>
      </c>
      <c r="G413" s="30">
        <f>Table132[[#This Row],[nb win]]/Table132[[#This Row],[nb play]]</f>
        <v>0.33333333333333331</v>
      </c>
      <c r="H413" t="str">
        <f>MID(Table132[[#This Row],[ÉTAT]],VALUE(RIGHT(Table132[[#This Row],[next move]],1))+1+VALUE(LEFT(Table132[[#This Row],[next move]],1))*3,1)</f>
        <v>V</v>
      </c>
      <c r="I413" t="str">
        <f>Table132[[#This Row],[ÉTAT]]&amp;Table132[[#This Row],[next move]]</f>
        <v>VVVMVVEVV01</v>
      </c>
    </row>
    <row r="414" spans="2:9" x14ac:dyDescent="0.25">
      <c r="B414" t="s">
        <v>58</v>
      </c>
      <c r="C414" s="22" t="s">
        <v>20</v>
      </c>
      <c r="D414">
        <v>6</v>
      </c>
      <c r="E414">
        <v>2</v>
      </c>
      <c r="G414" s="30">
        <f>Table132[[#This Row],[nb win]]/Table132[[#This Row],[nb play]]</f>
        <v>0.33333333333333331</v>
      </c>
      <c r="H414" t="str">
        <f>MID(Table132[[#This Row],[ÉTAT]],VALUE(RIGHT(Table132[[#This Row],[next move]],1))+1+VALUE(LEFT(Table132[[#This Row],[next move]],1))*3,1)</f>
        <v>V</v>
      </c>
      <c r="I414" t="str">
        <f>Table132[[#This Row],[ÉTAT]]&amp;Table132[[#This Row],[next move]]</f>
        <v>VVVMVVEVV02</v>
      </c>
    </row>
    <row r="415" spans="2:9" x14ac:dyDescent="0.25">
      <c r="B415" t="s">
        <v>58</v>
      </c>
      <c r="C415" s="22" t="s">
        <v>29</v>
      </c>
      <c r="D415">
        <v>8</v>
      </c>
      <c r="E415">
        <v>7</v>
      </c>
      <c r="G415" s="30">
        <f>Table132[[#This Row],[nb win]]/Table132[[#This Row],[nb play]]</f>
        <v>0.875</v>
      </c>
      <c r="H415" t="str">
        <f>MID(Table132[[#This Row],[ÉTAT]],VALUE(RIGHT(Table132[[#This Row],[next move]],1))+1+VALUE(LEFT(Table132[[#This Row],[next move]],1))*3,1)</f>
        <v>V</v>
      </c>
      <c r="I415" t="str">
        <f>Table132[[#This Row],[ÉTAT]]&amp;Table132[[#This Row],[next move]]</f>
        <v>VVVMVVEVV11</v>
      </c>
    </row>
    <row r="416" spans="2:9" x14ac:dyDescent="0.25">
      <c r="B416" t="s">
        <v>58</v>
      </c>
      <c r="C416" s="22" t="s">
        <v>28</v>
      </c>
      <c r="D416">
        <v>16</v>
      </c>
      <c r="E416">
        <v>12</v>
      </c>
      <c r="G416" s="31">
        <f>Table132[[#This Row],[nb win]]/Table132[[#This Row],[nb play]]</f>
        <v>0.75</v>
      </c>
      <c r="H416" t="str">
        <f>MID(Table132[[#This Row],[ÉTAT]],VALUE(RIGHT(Table132[[#This Row],[next move]],1))+1+VALUE(LEFT(Table132[[#This Row],[next move]],1))*3,1)</f>
        <v>V</v>
      </c>
      <c r="I416" t="str">
        <f>Table132[[#This Row],[ÉTAT]]&amp;Table132[[#This Row],[next move]]</f>
        <v>VVVMVVEVV12</v>
      </c>
    </row>
    <row r="417" spans="2:9" x14ac:dyDescent="0.25">
      <c r="B417" t="s">
        <v>58</v>
      </c>
      <c r="C417" s="22" t="s">
        <v>31</v>
      </c>
      <c r="D417">
        <v>3</v>
      </c>
      <c r="E417">
        <v>2</v>
      </c>
      <c r="G417" s="30">
        <f>Table132[[#This Row],[nb win]]/Table132[[#This Row],[nb play]]</f>
        <v>0.66666666666666663</v>
      </c>
      <c r="H417" t="str">
        <f>MID(Table132[[#This Row],[ÉTAT]],VALUE(RIGHT(Table132[[#This Row],[next move]],1))+1+VALUE(LEFT(Table132[[#This Row],[next move]],1))*3,1)</f>
        <v>V</v>
      </c>
      <c r="I417" t="str">
        <f>Table132[[#This Row],[ÉTAT]]&amp;Table132[[#This Row],[next move]]</f>
        <v>VVVMVVEVV22</v>
      </c>
    </row>
    <row r="418" spans="2:9" x14ac:dyDescent="0.25">
      <c r="B418" t="s">
        <v>68</v>
      </c>
      <c r="C418" s="22" t="s">
        <v>24</v>
      </c>
      <c r="D418">
        <v>2</v>
      </c>
      <c r="G418" s="30">
        <f>Table132[[#This Row],[nb win]]/Table132[[#This Row],[nb play]]</f>
        <v>0</v>
      </c>
      <c r="H418" t="str">
        <f>MID(Table132[[#This Row],[ÉTAT]],VALUE(RIGHT(Table132[[#This Row],[next move]],1))+1+VALUE(LEFT(Table132[[#This Row],[next move]],1))*3,1)</f>
        <v>V</v>
      </c>
      <c r="I418" t="str">
        <f>Table132[[#This Row],[ÉTAT]]&amp;Table132[[#This Row],[next move]]</f>
        <v>VVVMVVEVE00</v>
      </c>
    </row>
    <row r="419" spans="2:9" x14ac:dyDescent="0.25">
      <c r="B419" t="s">
        <v>68</v>
      </c>
      <c r="C419" s="22" t="s">
        <v>26</v>
      </c>
      <c r="D419">
        <v>4</v>
      </c>
      <c r="G419" s="30">
        <f>Table132[[#This Row],[nb win]]/Table132[[#This Row],[nb play]]</f>
        <v>0</v>
      </c>
      <c r="H419" t="str">
        <f>MID(Table132[[#This Row],[ÉTAT]],VALUE(RIGHT(Table132[[#This Row],[next move]],1))+1+VALUE(LEFT(Table132[[#This Row],[next move]],1))*3,1)</f>
        <v>V</v>
      </c>
      <c r="I419" t="str">
        <f>Table132[[#This Row],[ÉTAT]]&amp;Table132[[#This Row],[next move]]</f>
        <v>VVVMVVEVE01</v>
      </c>
    </row>
    <row r="420" spans="2:9" x14ac:dyDescent="0.25">
      <c r="B420" t="s">
        <v>68</v>
      </c>
      <c r="C420" s="22" t="s">
        <v>20</v>
      </c>
      <c r="D420">
        <v>3</v>
      </c>
      <c r="E420">
        <v>1</v>
      </c>
      <c r="G420" s="30">
        <f>Table132[[#This Row],[nb win]]/Table132[[#This Row],[nb play]]</f>
        <v>0.33333333333333331</v>
      </c>
      <c r="H420" t="str">
        <f>MID(Table132[[#This Row],[ÉTAT]],VALUE(RIGHT(Table132[[#This Row],[next move]],1))+1+VALUE(LEFT(Table132[[#This Row],[next move]],1))*3,1)</f>
        <v>V</v>
      </c>
      <c r="I420" t="str">
        <f>Table132[[#This Row],[ÉTAT]]&amp;Table132[[#This Row],[next move]]</f>
        <v>VVVMVVEVE02</v>
      </c>
    </row>
    <row r="421" spans="2:9" x14ac:dyDescent="0.25">
      <c r="B421" t="s">
        <v>68</v>
      </c>
      <c r="C421" s="22" t="s">
        <v>29</v>
      </c>
      <c r="D421">
        <v>1</v>
      </c>
      <c r="G421" s="25">
        <f>Table132[[#This Row],[nb win]]/Table132[[#This Row],[nb play]]</f>
        <v>0</v>
      </c>
      <c r="H421" t="str">
        <f>MID(Table132[[#This Row],[ÉTAT]],VALUE(RIGHT(Table132[[#This Row],[next move]],1))+1+VALUE(LEFT(Table132[[#This Row],[next move]],1))*3,1)</f>
        <v>V</v>
      </c>
      <c r="I421" t="str">
        <f>Table132[[#This Row],[ÉTAT]]&amp;Table132[[#This Row],[next move]]</f>
        <v>VVVMVVEVE11</v>
      </c>
    </row>
    <row r="422" spans="2:9" x14ac:dyDescent="0.25">
      <c r="B422" t="s">
        <v>68</v>
      </c>
      <c r="C422" s="22" t="s">
        <v>28</v>
      </c>
      <c r="D422">
        <v>2</v>
      </c>
      <c r="G422" s="30">
        <f>Table132[[#This Row],[nb win]]/Table132[[#This Row],[nb play]]</f>
        <v>0</v>
      </c>
      <c r="H422" t="str">
        <f>MID(Table132[[#This Row],[ÉTAT]],VALUE(RIGHT(Table132[[#This Row],[next move]],1))+1+VALUE(LEFT(Table132[[#This Row],[next move]],1))*3,1)</f>
        <v>V</v>
      </c>
      <c r="I422" t="str">
        <f>Table132[[#This Row],[ÉTAT]]&amp;Table132[[#This Row],[next move]]</f>
        <v>VVVMVVEVE12</v>
      </c>
    </row>
    <row r="423" spans="2:9" x14ac:dyDescent="0.25">
      <c r="B423" t="s">
        <v>68</v>
      </c>
      <c r="C423" s="22" t="s">
        <v>22</v>
      </c>
      <c r="D423">
        <v>1</v>
      </c>
      <c r="G423" s="25">
        <f>Table132[[#This Row],[nb win]]/Table132[[#This Row],[nb play]]</f>
        <v>0</v>
      </c>
      <c r="H423" t="str">
        <f>MID(Table132[[#This Row],[ÉTAT]],VALUE(RIGHT(Table132[[#This Row],[next move]],1))+1+VALUE(LEFT(Table132[[#This Row],[next move]],1))*3,1)</f>
        <v>V</v>
      </c>
      <c r="I423" t="str">
        <f>Table132[[#This Row],[ÉTAT]]&amp;Table132[[#This Row],[next move]]</f>
        <v>VVVMVVEVE21</v>
      </c>
    </row>
    <row r="424" spans="2:9" x14ac:dyDescent="0.25">
      <c r="B424" t="s">
        <v>2989</v>
      </c>
      <c r="C424" s="22" t="s">
        <v>24</v>
      </c>
      <c r="D424">
        <v>1</v>
      </c>
      <c r="G424" s="30">
        <f>Table132[[#This Row],[nb win]]/Table132[[#This Row],[nb play]]</f>
        <v>0</v>
      </c>
      <c r="H424" t="str">
        <f>MID(Table132[[#This Row],[ÉTAT]],VALUE(RIGHT(Table132[[#This Row],[next move]],1))+1+VALUE(LEFT(Table132[[#This Row],[next move]],1))*3,1)</f>
        <v>V</v>
      </c>
      <c r="I424" t="str">
        <f>Table132[[#This Row],[ÉTAT]]&amp;Table132[[#This Row],[next move]]</f>
        <v>VVVMVVEME00</v>
      </c>
    </row>
    <row r="425" spans="2:9" x14ac:dyDescent="0.25">
      <c r="B425" t="s">
        <v>2989</v>
      </c>
      <c r="C425" s="22" t="s">
        <v>26</v>
      </c>
      <c r="D425">
        <v>2</v>
      </c>
      <c r="E425">
        <v>1</v>
      </c>
      <c r="G425" s="30">
        <f>Table132[[#This Row],[nb win]]/Table132[[#This Row],[nb play]]</f>
        <v>0.5</v>
      </c>
      <c r="H425" t="str">
        <f>MID(Table132[[#This Row],[ÉTAT]],VALUE(RIGHT(Table132[[#This Row],[next move]],1))+1+VALUE(LEFT(Table132[[#This Row],[next move]],1))*3,1)</f>
        <v>V</v>
      </c>
      <c r="I425" t="str">
        <f>Table132[[#This Row],[ÉTAT]]&amp;Table132[[#This Row],[next move]]</f>
        <v>VVVMVVEME01</v>
      </c>
    </row>
    <row r="426" spans="2:9" x14ac:dyDescent="0.25">
      <c r="B426" t="s">
        <v>1141</v>
      </c>
      <c r="C426" s="22" t="s">
        <v>24</v>
      </c>
      <c r="D426">
        <v>3</v>
      </c>
      <c r="G426" s="25">
        <f>Table132[[#This Row],[nb win]]/Table132[[#This Row],[nb play]]</f>
        <v>0</v>
      </c>
      <c r="H426" t="str">
        <f>MID(Table132[[#This Row],[ÉTAT]],VALUE(RIGHT(Table132[[#This Row],[next move]],1))+1+VALUE(LEFT(Table132[[#This Row],[next move]],1))*3,1)</f>
        <v>V</v>
      </c>
      <c r="I426" t="str">
        <f>Table132[[#This Row],[ÉTAT]]&amp;Table132[[#This Row],[next move]]</f>
        <v>VVVMVVEEV00</v>
      </c>
    </row>
    <row r="427" spans="2:9" x14ac:dyDescent="0.25">
      <c r="B427" t="s">
        <v>1141</v>
      </c>
      <c r="C427" s="22" t="s">
        <v>26</v>
      </c>
      <c r="D427">
        <v>6</v>
      </c>
      <c r="G427" s="30">
        <f>Table132[[#This Row],[nb win]]/Table132[[#This Row],[nb play]]</f>
        <v>0</v>
      </c>
      <c r="H427" t="str">
        <f>MID(Table132[[#This Row],[ÉTAT]],VALUE(RIGHT(Table132[[#This Row],[next move]],1))+1+VALUE(LEFT(Table132[[#This Row],[next move]],1))*3,1)</f>
        <v>V</v>
      </c>
      <c r="I427" t="str">
        <f>Table132[[#This Row],[ÉTAT]]&amp;Table132[[#This Row],[next move]]</f>
        <v>VVVMVVEEV01</v>
      </c>
    </row>
    <row r="428" spans="2:9" x14ac:dyDescent="0.25">
      <c r="B428" t="s">
        <v>1141</v>
      </c>
      <c r="C428" s="22" t="s">
        <v>20</v>
      </c>
      <c r="D428">
        <v>6</v>
      </c>
      <c r="E428">
        <v>2</v>
      </c>
      <c r="G428" s="30">
        <f>Table132[[#This Row],[nb win]]/Table132[[#This Row],[nb play]]</f>
        <v>0.33333333333333331</v>
      </c>
      <c r="H428" t="str">
        <f>MID(Table132[[#This Row],[ÉTAT]],VALUE(RIGHT(Table132[[#This Row],[next move]],1))+1+VALUE(LEFT(Table132[[#This Row],[next move]],1))*3,1)</f>
        <v>V</v>
      </c>
      <c r="I428" t="str">
        <f>Table132[[#This Row],[ÉTAT]]&amp;Table132[[#This Row],[next move]]</f>
        <v>VVVMVVEEV02</v>
      </c>
    </row>
    <row r="429" spans="2:9" x14ac:dyDescent="0.25">
      <c r="B429" t="s">
        <v>1141</v>
      </c>
      <c r="C429" s="22" t="s">
        <v>29</v>
      </c>
      <c r="D429">
        <v>2</v>
      </c>
      <c r="G429" s="30">
        <f>Table132[[#This Row],[nb win]]/Table132[[#This Row],[nb play]]</f>
        <v>0</v>
      </c>
      <c r="H429" t="str">
        <f>MID(Table132[[#This Row],[ÉTAT]],VALUE(RIGHT(Table132[[#This Row],[next move]],1))+1+VALUE(LEFT(Table132[[#This Row],[next move]],1))*3,1)</f>
        <v>V</v>
      </c>
      <c r="I429" t="str">
        <f>Table132[[#This Row],[ÉTAT]]&amp;Table132[[#This Row],[next move]]</f>
        <v>VVVMVVEEV11</v>
      </c>
    </row>
    <row r="430" spans="2:9" x14ac:dyDescent="0.25">
      <c r="B430" t="s">
        <v>1141</v>
      </c>
      <c r="C430" s="22" t="s">
        <v>28</v>
      </c>
      <c r="D430">
        <v>6</v>
      </c>
      <c r="E430">
        <v>2</v>
      </c>
      <c r="G430" s="30">
        <f>Table132[[#This Row],[nb win]]/Table132[[#This Row],[nb play]]</f>
        <v>0.33333333333333331</v>
      </c>
      <c r="H430" t="str">
        <f>MID(Table132[[#This Row],[ÉTAT]],VALUE(RIGHT(Table132[[#This Row],[next move]],1))+1+VALUE(LEFT(Table132[[#This Row],[next move]],1))*3,1)</f>
        <v>V</v>
      </c>
      <c r="I430" t="str">
        <f>Table132[[#This Row],[ÉTAT]]&amp;Table132[[#This Row],[next move]]</f>
        <v>VVVMVVEEV12</v>
      </c>
    </row>
    <row r="431" spans="2:9" x14ac:dyDescent="0.25">
      <c r="B431" t="s">
        <v>1141</v>
      </c>
      <c r="C431" s="22" t="s">
        <v>31</v>
      </c>
      <c r="D431">
        <v>3</v>
      </c>
      <c r="E431">
        <v>2</v>
      </c>
      <c r="G431" s="25">
        <f>Table132[[#This Row],[nb win]]/Table132[[#This Row],[nb play]]</f>
        <v>0.66666666666666663</v>
      </c>
      <c r="H431" t="str">
        <f>MID(Table132[[#This Row],[ÉTAT]],VALUE(RIGHT(Table132[[#This Row],[next move]],1))+1+VALUE(LEFT(Table132[[#This Row],[next move]],1))*3,1)</f>
        <v>V</v>
      </c>
      <c r="I431" t="str">
        <f>Table132[[#This Row],[ÉTAT]]&amp;Table132[[#This Row],[next move]]</f>
        <v>VVVMVVEEV22</v>
      </c>
    </row>
    <row r="432" spans="2:9" x14ac:dyDescent="0.25">
      <c r="B432" t="s">
        <v>2196</v>
      </c>
      <c r="C432" s="22" t="s">
        <v>35</v>
      </c>
      <c r="D432">
        <v>2</v>
      </c>
      <c r="E432">
        <v>2</v>
      </c>
      <c r="G432" s="25">
        <f>Table132[[#This Row],[nb win]]/Table132[[#This Row],[nb play]]</f>
        <v>1</v>
      </c>
      <c r="H432" t="str">
        <f>MID(Table132[[#This Row],[ÉTAT]],VALUE(RIGHT(Table132[[#This Row],[next move]],1))+1+VALUE(LEFT(Table132[[#This Row],[next move]],1))*3,1)</f>
        <v>V</v>
      </c>
      <c r="I432" t="str">
        <f>Table132[[#This Row],[ÉTAT]]&amp;Table132[[#This Row],[next move]]</f>
        <v>VVVMVMVEE20</v>
      </c>
    </row>
    <row r="433" spans="2:9" x14ac:dyDescent="0.25">
      <c r="B433" t="s">
        <v>585</v>
      </c>
      <c r="C433" s="22" t="s">
        <v>24</v>
      </c>
      <c r="D433">
        <v>3</v>
      </c>
      <c r="E433">
        <v>2</v>
      </c>
      <c r="G433" s="31">
        <f>Table132[[#This Row],[nb win]]/Table132[[#This Row],[nb play]]</f>
        <v>0.66666666666666663</v>
      </c>
      <c r="H433" t="str">
        <f>MID(Table132[[#This Row],[ÉTAT]],VALUE(RIGHT(Table132[[#This Row],[next move]],1))+1+VALUE(LEFT(Table132[[#This Row],[next move]],1))*3,1)</f>
        <v>V</v>
      </c>
      <c r="I433" t="str">
        <f>Table132[[#This Row],[ÉTAT]]&amp;Table132[[#This Row],[next move]]</f>
        <v>VVVMVMEVE00</v>
      </c>
    </row>
    <row r="434" spans="2:9" x14ac:dyDescent="0.25">
      <c r="B434" t="s">
        <v>585</v>
      </c>
      <c r="C434" s="22" t="s">
        <v>26</v>
      </c>
      <c r="D434">
        <v>2</v>
      </c>
      <c r="G434" s="30">
        <f>Table132[[#This Row],[nb win]]/Table132[[#This Row],[nb play]]</f>
        <v>0</v>
      </c>
      <c r="H434" t="str">
        <f>MID(Table132[[#This Row],[ÉTAT]],VALUE(RIGHT(Table132[[#This Row],[next move]],1))+1+VALUE(LEFT(Table132[[#This Row],[next move]],1))*3,1)</f>
        <v>V</v>
      </c>
      <c r="I434" t="str">
        <f>Table132[[#This Row],[ÉTAT]]&amp;Table132[[#This Row],[next move]]</f>
        <v>VVVMVMEVE01</v>
      </c>
    </row>
    <row r="435" spans="2:9" x14ac:dyDescent="0.25">
      <c r="B435" t="s">
        <v>585</v>
      </c>
      <c r="C435" s="22" t="s">
        <v>20</v>
      </c>
      <c r="D435">
        <v>1</v>
      </c>
      <c r="G435" s="30">
        <f>Table132[[#This Row],[nb win]]/Table132[[#This Row],[nb play]]</f>
        <v>0</v>
      </c>
      <c r="H435" t="str">
        <f>MID(Table132[[#This Row],[ÉTAT]],VALUE(RIGHT(Table132[[#This Row],[next move]],1))+1+VALUE(LEFT(Table132[[#This Row],[next move]],1))*3,1)</f>
        <v>V</v>
      </c>
      <c r="I435" t="str">
        <f>Table132[[#This Row],[ÉTAT]]&amp;Table132[[#This Row],[next move]]</f>
        <v>VVVMVMEVE02</v>
      </c>
    </row>
    <row r="436" spans="2:9" x14ac:dyDescent="0.25">
      <c r="B436" t="s">
        <v>585</v>
      </c>
      <c r="C436" s="22" t="s">
        <v>29</v>
      </c>
      <c r="D436">
        <v>1</v>
      </c>
      <c r="E436">
        <v>1</v>
      </c>
      <c r="G436" s="31">
        <f>Table132[[#This Row],[nb win]]/Table132[[#This Row],[nb play]]</f>
        <v>1</v>
      </c>
      <c r="H436" t="str">
        <f>MID(Table132[[#This Row],[ÉTAT]],VALUE(RIGHT(Table132[[#This Row],[next move]],1))+1+VALUE(LEFT(Table132[[#This Row],[next move]],1))*3,1)</f>
        <v>V</v>
      </c>
      <c r="I436" t="str">
        <f>Table132[[#This Row],[ÉTAT]]&amp;Table132[[#This Row],[next move]]</f>
        <v>VVVMVMEVE11</v>
      </c>
    </row>
    <row r="437" spans="2:9" x14ac:dyDescent="0.25">
      <c r="B437" t="s">
        <v>827</v>
      </c>
      <c r="C437" s="22" t="s">
        <v>26</v>
      </c>
      <c r="D437">
        <v>6</v>
      </c>
      <c r="E437">
        <v>4</v>
      </c>
      <c r="G437" s="30">
        <f>Table132[[#This Row],[nb win]]/Table132[[#This Row],[nb play]]</f>
        <v>0.66666666666666663</v>
      </c>
      <c r="H437" t="str">
        <f>MID(Table132[[#This Row],[ÉTAT]],VALUE(RIGHT(Table132[[#This Row],[next move]],1))+1+VALUE(LEFT(Table132[[#This Row],[next move]],1))*3,1)</f>
        <v>V</v>
      </c>
      <c r="I437" t="str">
        <f>Table132[[#This Row],[ÉTAT]]&amp;Table132[[#This Row],[next move]]</f>
        <v>VVVMVMEEV01</v>
      </c>
    </row>
    <row r="438" spans="2:9" x14ac:dyDescent="0.25">
      <c r="B438" t="s">
        <v>827</v>
      </c>
      <c r="C438" s="22" t="s">
        <v>31</v>
      </c>
      <c r="D438">
        <v>3</v>
      </c>
      <c r="E438">
        <v>3</v>
      </c>
      <c r="G438" s="31">
        <f>Table132[[#This Row],[nb win]]/Table132[[#This Row],[nb play]]</f>
        <v>1</v>
      </c>
      <c r="H438" t="str">
        <f>MID(Table132[[#This Row],[ÉTAT]],VALUE(RIGHT(Table132[[#This Row],[next move]],1))+1+VALUE(LEFT(Table132[[#This Row],[next move]],1))*3,1)</f>
        <v>V</v>
      </c>
      <c r="I438" t="str">
        <f>Table132[[#This Row],[ÉTAT]]&amp;Table132[[#This Row],[next move]]</f>
        <v>VVVMVMEEV22</v>
      </c>
    </row>
    <row r="439" spans="2:9" x14ac:dyDescent="0.25">
      <c r="B439" t="s">
        <v>55</v>
      </c>
      <c r="C439" s="22" t="s">
        <v>24</v>
      </c>
      <c r="D439">
        <v>22</v>
      </c>
      <c r="E439">
        <v>17</v>
      </c>
      <c r="G439" s="31">
        <f>Table132[[#This Row],[nb win]]/Table132[[#This Row],[nb play]]</f>
        <v>0.77272727272727271</v>
      </c>
      <c r="H439" t="str">
        <f>MID(Table132[[#This Row],[ÉTAT]],VALUE(RIGHT(Table132[[#This Row],[next move]],1))+1+VALUE(LEFT(Table132[[#This Row],[next move]],1))*3,1)</f>
        <v>V</v>
      </c>
      <c r="I439" t="str">
        <f>Table132[[#This Row],[ÉTAT]]&amp;Table132[[#This Row],[next move]]</f>
        <v>VVVMVEVVV00</v>
      </c>
    </row>
    <row r="440" spans="2:9" x14ac:dyDescent="0.25">
      <c r="B440" t="s">
        <v>55</v>
      </c>
      <c r="C440" s="22" t="s">
        <v>20</v>
      </c>
      <c r="D440">
        <v>9</v>
      </c>
      <c r="E440">
        <v>8</v>
      </c>
      <c r="G440" s="30">
        <f>Table132[[#This Row],[nb win]]/Table132[[#This Row],[nb play]]</f>
        <v>0.88888888888888884</v>
      </c>
      <c r="H440" t="str">
        <f>MID(Table132[[#This Row],[ÉTAT]],VALUE(RIGHT(Table132[[#This Row],[next move]],1))+1+VALUE(LEFT(Table132[[#This Row],[next move]],1))*3,1)</f>
        <v>V</v>
      </c>
      <c r="I440" t="str">
        <f>Table132[[#This Row],[ÉTAT]]&amp;Table132[[#This Row],[next move]]</f>
        <v>VVVMVEVVV02</v>
      </c>
    </row>
    <row r="441" spans="2:9" x14ac:dyDescent="0.25">
      <c r="B441" t="s">
        <v>448</v>
      </c>
      <c r="C441" s="22" t="s">
        <v>20</v>
      </c>
      <c r="D441">
        <v>3</v>
      </c>
      <c r="E441">
        <v>3</v>
      </c>
      <c r="G441" s="31">
        <f>Table132[[#This Row],[nb win]]/Table132[[#This Row],[nb play]]</f>
        <v>1</v>
      </c>
      <c r="H441" t="str">
        <f>MID(Table132[[#This Row],[ÉTAT]],VALUE(RIGHT(Table132[[#This Row],[next move]],1))+1+VALUE(LEFT(Table132[[#This Row],[next move]],1))*3,1)</f>
        <v>V</v>
      </c>
      <c r="I441" t="str">
        <f>Table132[[#This Row],[ÉTAT]]&amp;Table132[[#This Row],[next move]]</f>
        <v>VVVMVEVVE02</v>
      </c>
    </row>
    <row r="442" spans="2:9" x14ac:dyDescent="0.25">
      <c r="B442" t="s">
        <v>448</v>
      </c>
      <c r="C442" s="22" t="s">
        <v>29</v>
      </c>
      <c r="D442">
        <v>2</v>
      </c>
      <c r="E442">
        <v>1</v>
      </c>
      <c r="G442" s="25">
        <f>Table132[[#This Row],[nb win]]/Table132[[#This Row],[nb play]]</f>
        <v>0.5</v>
      </c>
      <c r="H442" t="str">
        <f>MID(Table132[[#This Row],[ÉTAT]],VALUE(RIGHT(Table132[[#This Row],[next move]],1))+1+VALUE(LEFT(Table132[[#This Row],[next move]],1))*3,1)</f>
        <v>V</v>
      </c>
      <c r="I442" t="str">
        <f>Table132[[#This Row],[ÉTAT]]&amp;Table132[[#This Row],[next move]]</f>
        <v>VVVMVEVVE11</v>
      </c>
    </row>
    <row r="443" spans="2:9" x14ac:dyDescent="0.25">
      <c r="B443" t="s">
        <v>1545</v>
      </c>
      <c r="C443" s="22" t="s">
        <v>20</v>
      </c>
      <c r="D443">
        <v>2</v>
      </c>
      <c r="E443">
        <v>2</v>
      </c>
      <c r="G443" s="25">
        <f>Table132[[#This Row],[nb win]]/Table132[[#This Row],[nb play]]</f>
        <v>1</v>
      </c>
      <c r="H443" t="str">
        <f>MID(Table132[[#This Row],[ÉTAT]],VALUE(RIGHT(Table132[[#This Row],[next move]],1))+1+VALUE(LEFT(Table132[[#This Row],[next move]],1))*3,1)</f>
        <v>V</v>
      </c>
      <c r="I443" t="str">
        <f>Table132[[#This Row],[ÉTAT]]&amp;Table132[[#This Row],[next move]]</f>
        <v>VVVMVEVME02</v>
      </c>
    </row>
    <row r="444" spans="2:9" x14ac:dyDescent="0.25">
      <c r="B444" t="s">
        <v>1545</v>
      </c>
      <c r="C444" s="22" t="s">
        <v>35</v>
      </c>
      <c r="D444">
        <v>1</v>
      </c>
      <c r="G444" s="25">
        <f>Table132[[#This Row],[nb win]]/Table132[[#This Row],[nb play]]</f>
        <v>0</v>
      </c>
      <c r="H444" t="str">
        <f>MID(Table132[[#This Row],[ÉTAT]],VALUE(RIGHT(Table132[[#This Row],[next move]],1))+1+VALUE(LEFT(Table132[[#This Row],[next move]],1))*3,1)</f>
        <v>V</v>
      </c>
      <c r="I444" t="str">
        <f>Table132[[#This Row],[ÉTAT]]&amp;Table132[[#This Row],[next move]]</f>
        <v>VVVMVEVME20</v>
      </c>
    </row>
    <row r="445" spans="2:9" x14ac:dyDescent="0.25">
      <c r="B445" t="s">
        <v>2046</v>
      </c>
      <c r="C445" s="22" t="s">
        <v>26</v>
      </c>
      <c r="D445">
        <v>1</v>
      </c>
      <c r="G445" s="30">
        <f>Table132[[#This Row],[nb win]]/Table132[[#This Row],[nb play]]</f>
        <v>0</v>
      </c>
      <c r="H445" t="str">
        <f>MID(Table132[[#This Row],[ÉTAT]],VALUE(RIGHT(Table132[[#This Row],[next move]],1))+1+VALUE(LEFT(Table132[[#This Row],[next move]],1))*3,1)</f>
        <v>V</v>
      </c>
      <c r="I445" t="str">
        <f>Table132[[#This Row],[ÉTAT]]&amp;Table132[[#This Row],[next move]]</f>
        <v>VVVMVEVEV01</v>
      </c>
    </row>
    <row r="446" spans="2:9" x14ac:dyDescent="0.25">
      <c r="B446" t="s">
        <v>2046</v>
      </c>
      <c r="C446" s="22" t="s">
        <v>20</v>
      </c>
      <c r="D446">
        <v>1</v>
      </c>
      <c r="G446" s="25">
        <f>Table132[[#This Row],[nb win]]/Table132[[#This Row],[nb play]]</f>
        <v>0</v>
      </c>
      <c r="H446" t="str">
        <f>MID(Table132[[#This Row],[ÉTAT]],VALUE(RIGHT(Table132[[#This Row],[next move]],1))+1+VALUE(LEFT(Table132[[#This Row],[next move]],1))*3,1)</f>
        <v>V</v>
      </c>
      <c r="I446" t="str">
        <f>Table132[[#This Row],[ÉTAT]]&amp;Table132[[#This Row],[next move]]</f>
        <v>VVVMVEVEV02</v>
      </c>
    </row>
    <row r="447" spans="2:9" x14ac:dyDescent="0.25">
      <c r="B447" t="s">
        <v>2046</v>
      </c>
      <c r="C447" s="22" t="s">
        <v>29</v>
      </c>
      <c r="D447">
        <v>2</v>
      </c>
      <c r="E447">
        <v>1</v>
      </c>
      <c r="G447" s="25">
        <f>Table132[[#This Row],[nb win]]/Table132[[#This Row],[nb play]]</f>
        <v>0.5</v>
      </c>
      <c r="H447" t="str">
        <f>MID(Table132[[#This Row],[ÉTAT]],VALUE(RIGHT(Table132[[#This Row],[next move]],1))+1+VALUE(LEFT(Table132[[#This Row],[next move]],1))*3,1)</f>
        <v>V</v>
      </c>
      <c r="I447" t="str">
        <f>Table132[[#This Row],[ÉTAT]]&amp;Table132[[#This Row],[next move]]</f>
        <v>VVVMVEVEV11</v>
      </c>
    </row>
    <row r="448" spans="2:9" x14ac:dyDescent="0.25">
      <c r="B448" t="s">
        <v>2046</v>
      </c>
      <c r="C448" s="22" t="s">
        <v>35</v>
      </c>
      <c r="D448">
        <v>2</v>
      </c>
      <c r="E448">
        <v>1</v>
      </c>
      <c r="G448" s="25">
        <f>Table132[[#This Row],[nb win]]/Table132[[#This Row],[nb play]]</f>
        <v>0.5</v>
      </c>
      <c r="H448" t="str">
        <f>MID(Table132[[#This Row],[ÉTAT]],VALUE(RIGHT(Table132[[#This Row],[next move]],1))+1+VALUE(LEFT(Table132[[#This Row],[next move]],1))*3,1)</f>
        <v>V</v>
      </c>
      <c r="I448" t="str">
        <f>Table132[[#This Row],[ÉTAT]]&amp;Table132[[#This Row],[next move]]</f>
        <v>VVVMVEVEV20</v>
      </c>
    </row>
    <row r="449" spans="2:9" x14ac:dyDescent="0.25">
      <c r="B449" t="s">
        <v>3066</v>
      </c>
      <c r="C449" s="22" t="s">
        <v>24</v>
      </c>
      <c r="D449">
        <v>1</v>
      </c>
      <c r="E449">
        <v>1</v>
      </c>
      <c r="G449" s="31">
        <f>Table132[[#This Row],[nb win]]/Table132[[#This Row],[nb play]]</f>
        <v>1</v>
      </c>
      <c r="H449" t="str">
        <f>MID(Table132[[#This Row],[ÉTAT]],VALUE(RIGHT(Table132[[#This Row],[next move]],1))+1+VALUE(LEFT(Table132[[#This Row],[next move]],1))*3,1)</f>
        <v>V</v>
      </c>
      <c r="I449" t="str">
        <f>Table132[[#This Row],[ÉTAT]]&amp;Table132[[#This Row],[next move]]</f>
        <v>VVVMVEMVE00</v>
      </c>
    </row>
    <row r="450" spans="2:9" x14ac:dyDescent="0.25">
      <c r="B450" t="s">
        <v>3066</v>
      </c>
      <c r="C450" s="22" t="s">
        <v>29</v>
      </c>
      <c r="D450">
        <v>1</v>
      </c>
      <c r="G450" s="30">
        <f>Table132[[#This Row],[nb win]]/Table132[[#This Row],[nb play]]</f>
        <v>0</v>
      </c>
      <c r="H450" t="str">
        <f>MID(Table132[[#This Row],[ÉTAT]],VALUE(RIGHT(Table132[[#This Row],[next move]],1))+1+VALUE(LEFT(Table132[[#This Row],[next move]],1))*3,1)</f>
        <v>V</v>
      </c>
      <c r="I450" t="str">
        <f>Table132[[#This Row],[ÉTAT]]&amp;Table132[[#This Row],[next move]]</f>
        <v>VVVMVEMVE11</v>
      </c>
    </row>
    <row r="451" spans="2:9" x14ac:dyDescent="0.25">
      <c r="B451" t="s">
        <v>1502</v>
      </c>
      <c r="C451" s="22" t="s">
        <v>24</v>
      </c>
      <c r="D451">
        <v>7</v>
      </c>
      <c r="E451">
        <v>7</v>
      </c>
      <c r="G451" s="31">
        <f>Table132[[#This Row],[nb win]]/Table132[[#This Row],[nb play]]</f>
        <v>1</v>
      </c>
      <c r="H451" t="str">
        <f>MID(Table132[[#This Row],[ÉTAT]],VALUE(RIGHT(Table132[[#This Row],[next move]],1))+1+VALUE(LEFT(Table132[[#This Row],[next move]],1))*3,1)</f>
        <v>V</v>
      </c>
      <c r="I451" t="str">
        <f>Table132[[#This Row],[ÉTAT]]&amp;Table132[[#This Row],[next move]]</f>
        <v>VVVMVEMEV00</v>
      </c>
    </row>
    <row r="452" spans="2:9" x14ac:dyDescent="0.25">
      <c r="B452" t="s">
        <v>3123</v>
      </c>
      <c r="C452" s="22" t="s">
        <v>29</v>
      </c>
      <c r="D452">
        <v>1</v>
      </c>
      <c r="G452" s="30">
        <f>Table132[[#This Row],[nb win]]/Table132[[#This Row],[nb play]]</f>
        <v>0</v>
      </c>
      <c r="H452" t="str">
        <f>MID(Table132[[#This Row],[ÉTAT]],VALUE(RIGHT(Table132[[#This Row],[next move]],1))+1+VALUE(LEFT(Table132[[#This Row],[next move]],1))*3,1)</f>
        <v>V</v>
      </c>
      <c r="I452" t="str">
        <f>Table132[[#This Row],[ÉTAT]]&amp;Table132[[#This Row],[next move]]</f>
        <v>VVVMVEMEE11</v>
      </c>
    </row>
    <row r="453" spans="2:9" x14ac:dyDescent="0.25">
      <c r="B453" t="s">
        <v>672</v>
      </c>
      <c r="C453" s="22" t="s">
        <v>24</v>
      </c>
      <c r="D453">
        <v>6</v>
      </c>
      <c r="G453" s="30">
        <f>Table132[[#This Row],[nb win]]/Table132[[#This Row],[nb play]]</f>
        <v>0</v>
      </c>
      <c r="H453" t="str">
        <f>MID(Table132[[#This Row],[ÉTAT]],VALUE(RIGHT(Table132[[#This Row],[next move]],1))+1+VALUE(LEFT(Table132[[#This Row],[next move]],1))*3,1)</f>
        <v>V</v>
      </c>
      <c r="I453" t="str">
        <f>Table132[[#This Row],[ÉTAT]]&amp;Table132[[#This Row],[next move]]</f>
        <v>VVVMVEEVV00</v>
      </c>
    </row>
    <row r="454" spans="2:9" x14ac:dyDescent="0.25">
      <c r="B454" t="s">
        <v>672</v>
      </c>
      <c r="C454" s="22" t="s">
        <v>26</v>
      </c>
      <c r="D454">
        <v>3</v>
      </c>
      <c r="G454" s="25">
        <f>Table132[[#This Row],[nb win]]/Table132[[#This Row],[nb play]]</f>
        <v>0</v>
      </c>
      <c r="H454" t="str">
        <f>MID(Table132[[#This Row],[ÉTAT]],VALUE(RIGHT(Table132[[#This Row],[next move]],1))+1+VALUE(LEFT(Table132[[#This Row],[next move]],1))*3,1)</f>
        <v>V</v>
      </c>
      <c r="I454" t="str">
        <f>Table132[[#This Row],[ÉTAT]]&amp;Table132[[#This Row],[next move]]</f>
        <v>VVVMVEEVV01</v>
      </c>
    </row>
    <row r="455" spans="2:9" x14ac:dyDescent="0.25">
      <c r="B455" t="s">
        <v>672</v>
      </c>
      <c r="C455" s="22" t="s">
        <v>20</v>
      </c>
      <c r="D455">
        <v>1</v>
      </c>
      <c r="G455" s="25">
        <f>Table132[[#This Row],[nb win]]/Table132[[#This Row],[nb play]]</f>
        <v>0</v>
      </c>
      <c r="H455" t="str">
        <f>MID(Table132[[#This Row],[ÉTAT]],VALUE(RIGHT(Table132[[#This Row],[next move]],1))+1+VALUE(LEFT(Table132[[#This Row],[next move]],1))*3,1)</f>
        <v>V</v>
      </c>
      <c r="I455" t="str">
        <f>Table132[[#This Row],[ÉTAT]]&amp;Table132[[#This Row],[next move]]</f>
        <v>VVVMVEEVV02</v>
      </c>
    </row>
    <row r="456" spans="2:9" x14ac:dyDescent="0.25">
      <c r="B456" t="s">
        <v>672</v>
      </c>
      <c r="C456" s="22" t="s">
        <v>29</v>
      </c>
      <c r="D456">
        <v>1</v>
      </c>
      <c r="G456" s="25">
        <f>Table132[[#This Row],[nb win]]/Table132[[#This Row],[nb play]]</f>
        <v>0</v>
      </c>
      <c r="H456" t="str">
        <f>MID(Table132[[#This Row],[ÉTAT]],VALUE(RIGHT(Table132[[#This Row],[next move]],1))+1+VALUE(LEFT(Table132[[#This Row],[next move]],1))*3,1)</f>
        <v>V</v>
      </c>
      <c r="I456" t="str">
        <f>Table132[[#This Row],[ÉTAT]]&amp;Table132[[#This Row],[next move]]</f>
        <v>VVVMVEEVV11</v>
      </c>
    </row>
    <row r="457" spans="2:9" x14ac:dyDescent="0.25">
      <c r="B457" t="s">
        <v>672</v>
      </c>
      <c r="C457" s="22" t="s">
        <v>22</v>
      </c>
      <c r="D457">
        <v>1</v>
      </c>
      <c r="G457" s="25">
        <f>Table132[[#This Row],[nb win]]/Table132[[#This Row],[nb play]]</f>
        <v>0</v>
      </c>
      <c r="H457" t="str">
        <f>MID(Table132[[#This Row],[ÉTAT]],VALUE(RIGHT(Table132[[#This Row],[next move]],1))+1+VALUE(LEFT(Table132[[#This Row],[next move]],1))*3,1)</f>
        <v>V</v>
      </c>
      <c r="I457" t="str">
        <f>Table132[[#This Row],[ÉTAT]]&amp;Table132[[#This Row],[next move]]</f>
        <v>VVVMVEEVV21</v>
      </c>
    </row>
    <row r="458" spans="2:9" x14ac:dyDescent="0.25">
      <c r="B458" t="s">
        <v>672</v>
      </c>
      <c r="C458" s="22" t="s">
        <v>31</v>
      </c>
      <c r="D458">
        <v>1</v>
      </c>
      <c r="G458" s="25">
        <f>Table132[[#This Row],[nb win]]/Table132[[#This Row],[nb play]]</f>
        <v>0</v>
      </c>
      <c r="H458" t="str">
        <f>MID(Table132[[#This Row],[ÉTAT]],VALUE(RIGHT(Table132[[#This Row],[next move]],1))+1+VALUE(LEFT(Table132[[#This Row],[next move]],1))*3,1)</f>
        <v>V</v>
      </c>
      <c r="I458" t="str">
        <f>Table132[[#This Row],[ÉTAT]]&amp;Table132[[#This Row],[next move]]</f>
        <v>VVVMVEEVV22</v>
      </c>
    </row>
    <row r="459" spans="2:9" x14ac:dyDescent="0.25">
      <c r="B459" t="s">
        <v>3299</v>
      </c>
      <c r="C459" s="22" t="s">
        <v>24</v>
      </c>
      <c r="D459">
        <v>1</v>
      </c>
      <c r="E459">
        <v>1</v>
      </c>
      <c r="G459" s="31">
        <f>Table132[[#This Row],[nb win]]/Table132[[#This Row],[nb play]]</f>
        <v>1</v>
      </c>
      <c r="H459" t="str">
        <f>MID(Table132[[#This Row],[ÉTAT]],VALUE(RIGHT(Table132[[#This Row],[next move]],1))+1+VALUE(LEFT(Table132[[#This Row],[next move]],1))*3,1)</f>
        <v>V</v>
      </c>
      <c r="I459" t="str">
        <f>Table132[[#This Row],[ÉTAT]]&amp;Table132[[#This Row],[next move]]</f>
        <v>VVVMVEEVM00</v>
      </c>
    </row>
    <row r="460" spans="2:9" x14ac:dyDescent="0.25">
      <c r="B460" t="s">
        <v>818</v>
      </c>
      <c r="C460" s="22" t="s">
        <v>24</v>
      </c>
      <c r="D460">
        <v>1</v>
      </c>
      <c r="G460" s="25">
        <f>Table132[[#This Row],[nb win]]/Table132[[#This Row],[nb play]]</f>
        <v>0</v>
      </c>
      <c r="H460" t="str">
        <f>MID(Table132[[#This Row],[ÉTAT]],VALUE(RIGHT(Table132[[#This Row],[next move]],1))+1+VALUE(LEFT(Table132[[#This Row],[next move]],1))*3,1)</f>
        <v>V</v>
      </c>
      <c r="I460" t="str">
        <f>Table132[[#This Row],[ÉTAT]]&amp;Table132[[#This Row],[next move]]</f>
        <v>VVVMVEEMV00</v>
      </c>
    </row>
    <row r="461" spans="2:9" x14ac:dyDescent="0.25">
      <c r="B461" t="s">
        <v>2047</v>
      </c>
      <c r="C461" s="22" t="s">
        <v>24</v>
      </c>
      <c r="D461">
        <v>1</v>
      </c>
      <c r="E461">
        <v>1</v>
      </c>
      <c r="G461" s="31">
        <f>Table132[[#This Row],[nb win]]/Table132[[#This Row],[nb play]]</f>
        <v>1</v>
      </c>
      <c r="H461" t="str">
        <f>MID(Table132[[#This Row],[ÉTAT]],VALUE(RIGHT(Table132[[#This Row],[next move]],1))+1+VALUE(LEFT(Table132[[#This Row],[next move]],1))*3,1)</f>
        <v>V</v>
      </c>
      <c r="I461" t="str">
        <f>Table132[[#This Row],[ÉTAT]]&amp;Table132[[#This Row],[next move]]</f>
        <v>VVVMVEEEM00</v>
      </c>
    </row>
    <row r="462" spans="2:9" x14ac:dyDescent="0.25">
      <c r="B462" t="s">
        <v>2047</v>
      </c>
      <c r="C462" s="22" t="s">
        <v>20</v>
      </c>
      <c r="D462">
        <v>1</v>
      </c>
      <c r="G462" s="25">
        <f>Table132[[#This Row],[nb win]]/Table132[[#This Row],[nb play]]</f>
        <v>0</v>
      </c>
      <c r="H462" t="str">
        <f>MID(Table132[[#This Row],[ÉTAT]],VALUE(RIGHT(Table132[[#This Row],[next move]],1))+1+VALUE(LEFT(Table132[[#This Row],[next move]],1))*3,1)</f>
        <v>V</v>
      </c>
      <c r="I462" t="str">
        <f>Table132[[#This Row],[ÉTAT]]&amp;Table132[[#This Row],[next move]]</f>
        <v>VVVMVEEEM02</v>
      </c>
    </row>
    <row r="463" spans="2:9" x14ac:dyDescent="0.25">
      <c r="B463" t="s">
        <v>3244</v>
      </c>
      <c r="C463" s="22" t="s">
        <v>24</v>
      </c>
      <c r="D463">
        <v>1</v>
      </c>
      <c r="E463">
        <v>1</v>
      </c>
      <c r="G463" s="31">
        <f>Table132[[#This Row],[nb win]]/Table132[[#This Row],[nb play]]</f>
        <v>1</v>
      </c>
      <c r="H463" t="str">
        <f>MID(Table132[[#This Row],[ÉTAT]],VALUE(RIGHT(Table132[[#This Row],[next move]],1))+1+VALUE(LEFT(Table132[[#This Row],[next move]],1))*3,1)</f>
        <v>V</v>
      </c>
      <c r="I463" t="str">
        <f>Table132[[#This Row],[ÉTAT]]&amp;Table132[[#This Row],[next move]]</f>
        <v>VVVMMVVEE00</v>
      </c>
    </row>
    <row r="464" spans="2:9" x14ac:dyDescent="0.25">
      <c r="B464" t="s">
        <v>2896</v>
      </c>
      <c r="C464" s="22" t="s">
        <v>26</v>
      </c>
      <c r="D464">
        <v>1</v>
      </c>
      <c r="E464">
        <v>1</v>
      </c>
      <c r="G464" s="25">
        <f>Table132[[#This Row],[nb win]]/Table132[[#This Row],[nb play]]</f>
        <v>1</v>
      </c>
      <c r="H464" t="str">
        <f>MID(Table132[[#This Row],[ÉTAT]],VALUE(RIGHT(Table132[[#This Row],[next move]],1))+1+VALUE(LEFT(Table132[[#This Row],[next move]],1))*3,1)</f>
        <v>V</v>
      </c>
      <c r="I464" t="str">
        <f>Table132[[#This Row],[ÉTAT]]&amp;Table132[[#This Row],[next move]]</f>
        <v>VVVMMVEVE01</v>
      </c>
    </row>
    <row r="465" spans="2:9" x14ac:dyDescent="0.25">
      <c r="B465" t="s">
        <v>1286</v>
      </c>
      <c r="C465" s="22" t="s">
        <v>26</v>
      </c>
      <c r="D465">
        <v>2</v>
      </c>
      <c r="G465" s="30">
        <f>Table132[[#This Row],[nb win]]/Table132[[#This Row],[nb play]]</f>
        <v>0</v>
      </c>
      <c r="H465" t="str">
        <f>MID(Table132[[#This Row],[ÉTAT]],VALUE(RIGHT(Table132[[#This Row],[next move]],1))+1+VALUE(LEFT(Table132[[#This Row],[next move]],1))*3,1)</f>
        <v>V</v>
      </c>
      <c r="I465" t="str">
        <f>Table132[[#This Row],[ÉTAT]]&amp;Table132[[#This Row],[next move]]</f>
        <v>VVVMMVEEV01</v>
      </c>
    </row>
    <row r="466" spans="2:9" x14ac:dyDescent="0.25">
      <c r="B466" t="s">
        <v>1286</v>
      </c>
      <c r="C466" s="22" t="s">
        <v>31</v>
      </c>
      <c r="D466">
        <v>2</v>
      </c>
      <c r="E466">
        <v>2</v>
      </c>
      <c r="G466" s="25">
        <f>Table132[[#This Row],[nb win]]/Table132[[#This Row],[nb play]]</f>
        <v>1</v>
      </c>
      <c r="H466" t="str">
        <f>MID(Table132[[#This Row],[ÉTAT]],VALUE(RIGHT(Table132[[#This Row],[next move]],1))+1+VALUE(LEFT(Table132[[#This Row],[next move]],1))*3,1)</f>
        <v>V</v>
      </c>
      <c r="I466" t="str">
        <f>Table132[[#This Row],[ÉTAT]]&amp;Table132[[#This Row],[next move]]</f>
        <v>VVVMMVEEV22</v>
      </c>
    </row>
    <row r="467" spans="2:9" x14ac:dyDescent="0.25">
      <c r="B467" t="s">
        <v>1336</v>
      </c>
      <c r="C467" s="22" t="s">
        <v>35</v>
      </c>
      <c r="D467">
        <v>2</v>
      </c>
      <c r="E467">
        <v>1</v>
      </c>
      <c r="G467" s="30">
        <f>Table132[[#This Row],[nb win]]/Table132[[#This Row],[nb play]]</f>
        <v>0.5</v>
      </c>
      <c r="H467" t="str">
        <f>MID(Table132[[#This Row],[ÉTAT]],VALUE(RIGHT(Table132[[#This Row],[next move]],1))+1+VALUE(LEFT(Table132[[#This Row],[next move]],1))*3,1)</f>
        <v>V</v>
      </c>
      <c r="I467" t="str">
        <f>Table132[[#This Row],[ÉTAT]]&amp;Table132[[#This Row],[next move]]</f>
        <v>VVVMMEVVE20</v>
      </c>
    </row>
    <row r="468" spans="2:9" x14ac:dyDescent="0.25">
      <c r="B468" t="s">
        <v>1336</v>
      </c>
      <c r="C468" s="22" t="s">
        <v>22</v>
      </c>
      <c r="D468">
        <v>2</v>
      </c>
      <c r="G468" s="30">
        <f>Table132[[#This Row],[nb win]]/Table132[[#This Row],[nb play]]</f>
        <v>0</v>
      </c>
      <c r="H468" t="str">
        <f>MID(Table132[[#This Row],[ÉTAT]],VALUE(RIGHT(Table132[[#This Row],[next move]],1))+1+VALUE(LEFT(Table132[[#This Row],[next move]],1))*3,1)</f>
        <v>V</v>
      </c>
      <c r="I468" t="str">
        <f>Table132[[#This Row],[ÉTAT]]&amp;Table132[[#This Row],[next move]]</f>
        <v>VVVMMEVVE21</v>
      </c>
    </row>
    <row r="469" spans="2:9" x14ac:dyDescent="0.25">
      <c r="B469" t="s">
        <v>161</v>
      </c>
      <c r="C469" s="22" t="s">
        <v>31</v>
      </c>
      <c r="D469">
        <v>3</v>
      </c>
      <c r="E469">
        <v>3</v>
      </c>
      <c r="G469" s="31">
        <f>Table132[[#This Row],[nb win]]/Table132[[#This Row],[nb play]]</f>
        <v>1</v>
      </c>
      <c r="H469" t="str">
        <f>MID(Table132[[#This Row],[ÉTAT]],VALUE(RIGHT(Table132[[#This Row],[next move]],1))+1+VALUE(LEFT(Table132[[#This Row],[next move]],1))*3,1)</f>
        <v>V</v>
      </c>
      <c r="I469" t="str">
        <f>Table132[[#This Row],[ÉTAT]]&amp;Table132[[#This Row],[next move]]</f>
        <v>VVVMMEVEV22</v>
      </c>
    </row>
    <row r="470" spans="2:9" x14ac:dyDescent="0.25">
      <c r="B470" t="s">
        <v>851</v>
      </c>
      <c r="C470" s="22" t="s">
        <v>35</v>
      </c>
      <c r="D470">
        <v>2</v>
      </c>
      <c r="E470">
        <v>1</v>
      </c>
      <c r="G470" s="25">
        <f>Table132[[#This Row],[nb win]]/Table132[[#This Row],[nb play]]</f>
        <v>0.5</v>
      </c>
      <c r="H470" t="str">
        <f>MID(Table132[[#This Row],[ÉTAT]],VALUE(RIGHT(Table132[[#This Row],[next move]],1))+1+VALUE(LEFT(Table132[[#This Row],[next move]],1))*3,1)</f>
        <v>V</v>
      </c>
      <c r="I470" t="str">
        <f>Table132[[#This Row],[ÉTAT]]&amp;Table132[[#This Row],[next move]]</f>
        <v>VVVMMEVEE20</v>
      </c>
    </row>
    <row r="471" spans="2:9" x14ac:dyDescent="0.25">
      <c r="B471" t="s">
        <v>906</v>
      </c>
      <c r="C471" s="22" t="s">
        <v>24</v>
      </c>
      <c r="D471">
        <v>1</v>
      </c>
      <c r="E471">
        <v>1</v>
      </c>
      <c r="G471" s="25">
        <f>Table132[[#This Row],[nb win]]/Table132[[#This Row],[nb play]]</f>
        <v>1</v>
      </c>
      <c r="H471" t="str">
        <f>MID(Table132[[#This Row],[ÉTAT]],VALUE(RIGHT(Table132[[#This Row],[next move]],1))+1+VALUE(LEFT(Table132[[#This Row],[next move]],1))*3,1)</f>
        <v>V</v>
      </c>
      <c r="I471" t="str">
        <f>Table132[[#This Row],[ÉTAT]]&amp;Table132[[#This Row],[next move]]</f>
        <v>VVVMMEMEE00</v>
      </c>
    </row>
    <row r="472" spans="2:9" x14ac:dyDescent="0.25">
      <c r="B472" t="s">
        <v>906</v>
      </c>
      <c r="C472" s="22" t="s">
        <v>26</v>
      </c>
      <c r="D472">
        <v>2</v>
      </c>
      <c r="E472">
        <v>1</v>
      </c>
      <c r="G472" s="25">
        <f>Table132[[#This Row],[nb win]]/Table132[[#This Row],[nb play]]</f>
        <v>0.5</v>
      </c>
      <c r="H472" t="str">
        <f>MID(Table132[[#This Row],[ÉTAT]],VALUE(RIGHT(Table132[[#This Row],[next move]],1))+1+VALUE(LEFT(Table132[[#This Row],[next move]],1))*3,1)</f>
        <v>V</v>
      </c>
      <c r="I472" t="str">
        <f>Table132[[#This Row],[ÉTAT]]&amp;Table132[[#This Row],[next move]]</f>
        <v>VVVMMEMEE01</v>
      </c>
    </row>
    <row r="473" spans="2:9" x14ac:dyDescent="0.25">
      <c r="B473" t="s">
        <v>2348</v>
      </c>
      <c r="C473" s="22" t="s">
        <v>22</v>
      </c>
      <c r="D473">
        <v>1</v>
      </c>
      <c r="E473">
        <v>1</v>
      </c>
      <c r="G473" s="25">
        <f>Table132[[#This Row],[nb win]]/Table132[[#This Row],[nb play]]</f>
        <v>1</v>
      </c>
      <c r="H473" t="str">
        <f>MID(Table132[[#This Row],[ÉTAT]],VALUE(RIGHT(Table132[[#This Row],[next move]],1))+1+VALUE(LEFT(Table132[[#This Row],[next move]],1))*3,1)</f>
        <v>V</v>
      </c>
      <c r="I473" t="str">
        <f>Table132[[#This Row],[ÉTAT]]&amp;Table132[[#This Row],[next move]]</f>
        <v>VVVMMEEVV21</v>
      </c>
    </row>
    <row r="474" spans="2:9" x14ac:dyDescent="0.25">
      <c r="B474" t="s">
        <v>1850</v>
      </c>
      <c r="C474" s="22" t="s">
        <v>24</v>
      </c>
      <c r="D474">
        <v>2</v>
      </c>
      <c r="G474" s="30">
        <f>Table132[[#This Row],[nb win]]/Table132[[#This Row],[nb play]]</f>
        <v>0</v>
      </c>
      <c r="H474" t="str">
        <f>MID(Table132[[#This Row],[ÉTAT]],VALUE(RIGHT(Table132[[#This Row],[next move]],1))+1+VALUE(LEFT(Table132[[#This Row],[next move]],1))*3,1)</f>
        <v>V</v>
      </c>
      <c r="I474" t="str">
        <f>Table132[[#This Row],[ÉTAT]]&amp;Table132[[#This Row],[next move]]</f>
        <v>VVVMMEEVE00</v>
      </c>
    </row>
    <row r="475" spans="2:9" x14ac:dyDescent="0.25">
      <c r="B475" t="s">
        <v>1850</v>
      </c>
      <c r="C475" s="22" t="s">
        <v>26</v>
      </c>
      <c r="D475">
        <v>1</v>
      </c>
      <c r="G475" s="25">
        <f>Table132[[#This Row],[nb win]]/Table132[[#This Row],[nb play]]</f>
        <v>0</v>
      </c>
      <c r="H475" t="str">
        <f>MID(Table132[[#This Row],[ÉTAT]],VALUE(RIGHT(Table132[[#This Row],[next move]],1))+1+VALUE(LEFT(Table132[[#This Row],[next move]],1))*3,1)</f>
        <v>V</v>
      </c>
      <c r="I475" t="str">
        <f>Table132[[#This Row],[ÉTAT]]&amp;Table132[[#This Row],[next move]]</f>
        <v>VVVMMEEVE01</v>
      </c>
    </row>
    <row r="476" spans="2:9" x14ac:dyDescent="0.25">
      <c r="B476" t="s">
        <v>1850</v>
      </c>
      <c r="C476" s="22" t="s">
        <v>20</v>
      </c>
      <c r="D476">
        <v>1</v>
      </c>
      <c r="G476" s="30">
        <f>Table132[[#This Row],[nb win]]/Table132[[#This Row],[nb play]]</f>
        <v>0</v>
      </c>
      <c r="H476" t="str">
        <f>MID(Table132[[#This Row],[ÉTAT]],VALUE(RIGHT(Table132[[#This Row],[next move]],1))+1+VALUE(LEFT(Table132[[#This Row],[next move]],1))*3,1)</f>
        <v>V</v>
      </c>
      <c r="I476" t="str">
        <f>Table132[[#This Row],[ÉTAT]]&amp;Table132[[#This Row],[next move]]</f>
        <v>VVVMMEEVE02</v>
      </c>
    </row>
    <row r="477" spans="2:9" x14ac:dyDescent="0.25">
      <c r="B477" t="s">
        <v>1850</v>
      </c>
      <c r="C477" s="22" t="s">
        <v>22</v>
      </c>
      <c r="D477">
        <v>1</v>
      </c>
      <c r="G477" s="25">
        <f>Table132[[#This Row],[nb win]]/Table132[[#This Row],[nb play]]</f>
        <v>0</v>
      </c>
      <c r="H477" t="str">
        <f>MID(Table132[[#This Row],[ÉTAT]],VALUE(RIGHT(Table132[[#This Row],[next move]],1))+1+VALUE(LEFT(Table132[[#This Row],[next move]],1))*3,1)</f>
        <v>V</v>
      </c>
      <c r="I477" t="str">
        <f>Table132[[#This Row],[ÉTAT]]&amp;Table132[[#This Row],[next move]]</f>
        <v>VVVMMEEVE21</v>
      </c>
    </row>
    <row r="478" spans="2:9" x14ac:dyDescent="0.25">
      <c r="B478" t="s">
        <v>103</v>
      </c>
      <c r="C478" s="22" t="s">
        <v>24</v>
      </c>
      <c r="D478">
        <v>4</v>
      </c>
      <c r="E478">
        <v>4</v>
      </c>
      <c r="G478" s="31">
        <f>Table132[[#This Row],[nb win]]/Table132[[#This Row],[nb play]]</f>
        <v>1</v>
      </c>
      <c r="H478" t="str">
        <f>MID(Table132[[#This Row],[ÉTAT]],VALUE(RIGHT(Table132[[#This Row],[next move]],1))+1+VALUE(LEFT(Table132[[#This Row],[next move]],1))*3,1)</f>
        <v>V</v>
      </c>
      <c r="I478" t="str">
        <f>Table132[[#This Row],[ÉTAT]]&amp;Table132[[#This Row],[next move]]</f>
        <v>VVVMMEEEM00</v>
      </c>
    </row>
    <row r="479" spans="2:9" x14ac:dyDescent="0.25">
      <c r="B479" t="s">
        <v>59</v>
      </c>
      <c r="C479" s="22" t="s">
        <v>24</v>
      </c>
      <c r="D479">
        <v>7</v>
      </c>
      <c r="E479">
        <v>2</v>
      </c>
      <c r="G479" s="30">
        <f>Table132[[#This Row],[nb win]]/Table132[[#This Row],[nb play]]</f>
        <v>0.2857142857142857</v>
      </c>
      <c r="H479" t="str">
        <f>MID(Table132[[#This Row],[ÉTAT]],VALUE(RIGHT(Table132[[#This Row],[next move]],1))+1+VALUE(LEFT(Table132[[#This Row],[next move]],1))*3,1)</f>
        <v>V</v>
      </c>
      <c r="I479" t="str">
        <f>Table132[[#This Row],[ÉTAT]]&amp;Table132[[#This Row],[next move]]</f>
        <v>VVVMEVVVV00</v>
      </c>
    </row>
    <row r="480" spans="2:9" x14ac:dyDescent="0.25">
      <c r="B480" t="s">
        <v>59</v>
      </c>
      <c r="C480" s="22" t="s">
        <v>26</v>
      </c>
      <c r="D480">
        <v>8</v>
      </c>
      <c r="E480">
        <v>3</v>
      </c>
      <c r="G480" s="30">
        <f>Table132[[#This Row],[nb win]]/Table132[[#This Row],[nb play]]</f>
        <v>0.375</v>
      </c>
      <c r="H480" t="str">
        <f>MID(Table132[[#This Row],[ÉTAT]],VALUE(RIGHT(Table132[[#This Row],[next move]],1))+1+VALUE(LEFT(Table132[[#This Row],[next move]],1))*3,1)</f>
        <v>V</v>
      </c>
      <c r="I480" t="str">
        <f>Table132[[#This Row],[ÉTAT]]&amp;Table132[[#This Row],[next move]]</f>
        <v>VVVMEVVVV01</v>
      </c>
    </row>
    <row r="481" spans="2:9" x14ac:dyDescent="0.25">
      <c r="B481" t="s">
        <v>59</v>
      </c>
      <c r="C481" s="22" t="s">
        <v>20</v>
      </c>
      <c r="D481">
        <v>15</v>
      </c>
      <c r="E481">
        <v>10</v>
      </c>
      <c r="G481" s="30">
        <f>Table132[[#This Row],[nb win]]/Table132[[#This Row],[nb play]]</f>
        <v>0.66666666666666663</v>
      </c>
      <c r="H481" t="str">
        <f>MID(Table132[[#This Row],[ÉTAT]],VALUE(RIGHT(Table132[[#This Row],[next move]],1))+1+VALUE(LEFT(Table132[[#This Row],[next move]],1))*3,1)</f>
        <v>V</v>
      </c>
      <c r="I481" t="str">
        <f>Table132[[#This Row],[ÉTAT]]&amp;Table132[[#This Row],[next move]]</f>
        <v>VVVMEVVVV02</v>
      </c>
    </row>
    <row r="482" spans="2:9" x14ac:dyDescent="0.25">
      <c r="B482" t="s">
        <v>59</v>
      </c>
      <c r="C482" s="22" t="s">
        <v>28</v>
      </c>
      <c r="D482">
        <v>4</v>
      </c>
      <c r="E482">
        <v>1</v>
      </c>
      <c r="G482" s="31">
        <f>Table132[[#This Row],[nb win]]/Table132[[#This Row],[nb play]]</f>
        <v>0.25</v>
      </c>
      <c r="H482" t="str">
        <f>MID(Table132[[#This Row],[ÉTAT]],VALUE(RIGHT(Table132[[#This Row],[next move]],1))+1+VALUE(LEFT(Table132[[#This Row],[next move]],1))*3,1)</f>
        <v>V</v>
      </c>
      <c r="I482" t="str">
        <f>Table132[[#This Row],[ÉTAT]]&amp;Table132[[#This Row],[next move]]</f>
        <v>VVVMEVVVV12</v>
      </c>
    </row>
    <row r="483" spans="2:9" x14ac:dyDescent="0.25">
      <c r="B483" t="s">
        <v>59</v>
      </c>
      <c r="C483" s="22" t="s">
        <v>35</v>
      </c>
      <c r="D483">
        <v>5</v>
      </c>
      <c r="E483">
        <v>3</v>
      </c>
      <c r="G483" s="31">
        <f>Table132[[#This Row],[nb win]]/Table132[[#This Row],[nb play]]</f>
        <v>0.6</v>
      </c>
      <c r="H483" t="str">
        <f>MID(Table132[[#This Row],[ÉTAT]],VALUE(RIGHT(Table132[[#This Row],[next move]],1))+1+VALUE(LEFT(Table132[[#This Row],[next move]],1))*3,1)</f>
        <v>V</v>
      </c>
      <c r="I483" t="str">
        <f>Table132[[#This Row],[ÉTAT]]&amp;Table132[[#This Row],[next move]]</f>
        <v>VVVMEVVVV20</v>
      </c>
    </row>
    <row r="484" spans="2:9" x14ac:dyDescent="0.25">
      <c r="B484" t="s">
        <v>59</v>
      </c>
      <c r="C484" s="22" t="s">
        <v>22</v>
      </c>
      <c r="D484">
        <v>11</v>
      </c>
      <c r="E484">
        <v>5</v>
      </c>
      <c r="G484" s="30">
        <f>Table132[[#This Row],[nb win]]/Table132[[#This Row],[nb play]]</f>
        <v>0.45454545454545453</v>
      </c>
      <c r="H484" t="str">
        <f>MID(Table132[[#This Row],[ÉTAT]],VALUE(RIGHT(Table132[[#This Row],[next move]],1))+1+VALUE(LEFT(Table132[[#This Row],[next move]],1))*3,1)</f>
        <v>V</v>
      </c>
      <c r="I484" t="str">
        <f>Table132[[#This Row],[ÉTAT]]&amp;Table132[[#This Row],[next move]]</f>
        <v>VVVMEVVVV21</v>
      </c>
    </row>
    <row r="485" spans="2:9" x14ac:dyDescent="0.25">
      <c r="B485" t="s">
        <v>59</v>
      </c>
      <c r="C485" s="22" t="s">
        <v>31</v>
      </c>
      <c r="D485">
        <v>6</v>
      </c>
      <c r="E485">
        <v>3</v>
      </c>
      <c r="G485" s="31">
        <f>Table132[[#This Row],[nb win]]/Table132[[#This Row],[nb play]]</f>
        <v>0.5</v>
      </c>
      <c r="H485" t="str">
        <f>MID(Table132[[#This Row],[ÉTAT]],VALUE(RIGHT(Table132[[#This Row],[next move]],1))+1+VALUE(LEFT(Table132[[#This Row],[next move]],1))*3,1)</f>
        <v>V</v>
      </c>
      <c r="I485" t="str">
        <f>Table132[[#This Row],[ÉTAT]]&amp;Table132[[#This Row],[next move]]</f>
        <v>VVVMEVVVV22</v>
      </c>
    </row>
    <row r="486" spans="2:9" x14ac:dyDescent="0.25">
      <c r="B486" t="s">
        <v>284</v>
      </c>
      <c r="C486" s="22" t="s">
        <v>24</v>
      </c>
      <c r="D486">
        <v>9</v>
      </c>
      <c r="E486">
        <v>7</v>
      </c>
      <c r="G486" s="31">
        <f>Table132[[#This Row],[nb win]]/Table132[[#This Row],[nb play]]</f>
        <v>0.77777777777777779</v>
      </c>
      <c r="H486" t="str">
        <f>MID(Table132[[#This Row],[ÉTAT]],VALUE(RIGHT(Table132[[#This Row],[next move]],1))+1+VALUE(LEFT(Table132[[#This Row],[next move]],1))*3,1)</f>
        <v>V</v>
      </c>
      <c r="I486" t="str">
        <f>Table132[[#This Row],[ÉTAT]]&amp;Table132[[#This Row],[next move]]</f>
        <v>VVVMEVVVE00</v>
      </c>
    </row>
    <row r="487" spans="2:9" x14ac:dyDescent="0.25">
      <c r="B487" t="s">
        <v>284</v>
      </c>
      <c r="C487" s="22" t="s">
        <v>26</v>
      </c>
      <c r="D487">
        <v>5</v>
      </c>
      <c r="G487" s="30">
        <f>Table132[[#This Row],[nb win]]/Table132[[#This Row],[nb play]]</f>
        <v>0</v>
      </c>
      <c r="H487" t="str">
        <f>MID(Table132[[#This Row],[ÉTAT]],VALUE(RIGHT(Table132[[#This Row],[next move]],1))+1+VALUE(LEFT(Table132[[#This Row],[next move]],1))*3,1)</f>
        <v>V</v>
      </c>
      <c r="I487" t="str">
        <f>Table132[[#This Row],[ÉTAT]]&amp;Table132[[#This Row],[next move]]</f>
        <v>VVVMEVVVE01</v>
      </c>
    </row>
    <row r="488" spans="2:9" x14ac:dyDescent="0.25">
      <c r="B488" t="s">
        <v>284</v>
      </c>
      <c r="C488" s="22" t="s">
        <v>20</v>
      </c>
      <c r="D488">
        <v>5</v>
      </c>
      <c r="E488">
        <v>1</v>
      </c>
      <c r="G488" s="25">
        <f>Table132[[#This Row],[nb win]]/Table132[[#This Row],[nb play]]</f>
        <v>0.2</v>
      </c>
      <c r="H488" t="str">
        <f>MID(Table132[[#This Row],[ÉTAT]],VALUE(RIGHT(Table132[[#This Row],[next move]],1))+1+VALUE(LEFT(Table132[[#This Row],[next move]],1))*3,1)</f>
        <v>V</v>
      </c>
      <c r="I488" t="str">
        <f>Table132[[#This Row],[ÉTAT]]&amp;Table132[[#This Row],[next move]]</f>
        <v>VVVMEVVVE02</v>
      </c>
    </row>
    <row r="489" spans="2:9" x14ac:dyDescent="0.25">
      <c r="B489" t="s">
        <v>284</v>
      </c>
      <c r="C489" s="22" t="s">
        <v>28</v>
      </c>
      <c r="D489">
        <v>3</v>
      </c>
      <c r="G489" s="30">
        <f>Table132[[#This Row],[nb win]]/Table132[[#This Row],[nb play]]</f>
        <v>0</v>
      </c>
      <c r="H489" t="str">
        <f>MID(Table132[[#This Row],[ÉTAT]],VALUE(RIGHT(Table132[[#This Row],[next move]],1))+1+VALUE(LEFT(Table132[[#This Row],[next move]],1))*3,1)</f>
        <v>V</v>
      </c>
      <c r="I489" t="str">
        <f>Table132[[#This Row],[ÉTAT]]&amp;Table132[[#This Row],[next move]]</f>
        <v>VVVMEVVVE12</v>
      </c>
    </row>
    <row r="490" spans="2:9" x14ac:dyDescent="0.25">
      <c r="B490" t="s">
        <v>284</v>
      </c>
      <c r="C490" s="22" t="s">
        <v>35</v>
      </c>
      <c r="D490">
        <v>2</v>
      </c>
      <c r="G490" s="30">
        <f>Table132[[#This Row],[nb win]]/Table132[[#This Row],[nb play]]</f>
        <v>0</v>
      </c>
      <c r="H490" t="str">
        <f>MID(Table132[[#This Row],[ÉTAT]],VALUE(RIGHT(Table132[[#This Row],[next move]],1))+1+VALUE(LEFT(Table132[[#This Row],[next move]],1))*3,1)</f>
        <v>V</v>
      </c>
      <c r="I490" t="str">
        <f>Table132[[#This Row],[ÉTAT]]&amp;Table132[[#This Row],[next move]]</f>
        <v>VVVMEVVVE20</v>
      </c>
    </row>
    <row r="491" spans="2:9" x14ac:dyDescent="0.25">
      <c r="B491" t="s">
        <v>284</v>
      </c>
      <c r="C491" s="22" t="s">
        <v>22</v>
      </c>
      <c r="D491">
        <v>7</v>
      </c>
      <c r="G491" s="30">
        <f>Table132[[#This Row],[nb win]]/Table132[[#This Row],[nb play]]</f>
        <v>0</v>
      </c>
      <c r="H491" t="str">
        <f>MID(Table132[[#This Row],[ÉTAT]],VALUE(RIGHT(Table132[[#This Row],[next move]],1))+1+VALUE(LEFT(Table132[[#This Row],[next move]],1))*3,1)</f>
        <v>V</v>
      </c>
      <c r="I491" t="str">
        <f>Table132[[#This Row],[ÉTAT]]&amp;Table132[[#This Row],[next move]]</f>
        <v>VVVMEVVVE21</v>
      </c>
    </row>
    <row r="492" spans="2:9" x14ac:dyDescent="0.25">
      <c r="B492" t="s">
        <v>2280</v>
      </c>
      <c r="C492" s="22" t="s">
        <v>20</v>
      </c>
      <c r="D492">
        <v>5</v>
      </c>
      <c r="G492" s="30">
        <f>Table132[[#This Row],[nb win]]/Table132[[#This Row],[nb play]]</f>
        <v>0</v>
      </c>
      <c r="H492" t="str">
        <f>MID(Table132[[#This Row],[ÉTAT]],VALUE(RIGHT(Table132[[#This Row],[next move]],1))+1+VALUE(LEFT(Table132[[#This Row],[next move]],1))*3,1)</f>
        <v>V</v>
      </c>
      <c r="I492" t="str">
        <f>Table132[[#This Row],[ÉTAT]]&amp;Table132[[#This Row],[next move]]</f>
        <v>VVVMEVVME02</v>
      </c>
    </row>
    <row r="493" spans="2:9" x14ac:dyDescent="0.25">
      <c r="B493" t="s">
        <v>2280</v>
      </c>
      <c r="C493" s="22" t="s">
        <v>28</v>
      </c>
      <c r="D493">
        <v>2</v>
      </c>
      <c r="E493">
        <v>1</v>
      </c>
      <c r="G493" s="30">
        <f>Table132[[#This Row],[nb win]]/Table132[[#This Row],[nb play]]</f>
        <v>0.5</v>
      </c>
      <c r="H493" t="str">
        <f>MID(Table132[[#This Row],[ÉTAT]],VALUE(RIGHT(Table132[[#This Row],[next move]],1))+1+VALUE(LEFT(Table132[[#This Row],[next move]],1))*3,1)</f>
        <v>V</v>
      </c>
      <c r="I493" t="str">
        <f>Table132[[#This Row],[ÉTAT]]&amp;Table132[[#This Row],[next move]]</f>
        <v>VVVMEVVME12</v>
      </c>
    </row>
    <row r="494" spans="2:9" x14ac:dyDescent="0.25">
      <c r="B494" t="s">
        <v>299</v>
      </c>
      <c r="C494" s="22" t="s">
        <v>24</v>
      </c>
      <c r="D494">
        <v>1</v>
      </c>
      <c r="G494" s="25">
        <f>Table132[[#This Row],[nb win]]/Table132[[#This Row],[nb play]]</f>
        <v>0</v>
      </c>
      <c r="H494" t="str">
        <f>MID(Table132[[#This Row],[ÉTAT]],VALUE(RIGHT(Table132[[#This Row],[next move]],1))+1+VALUE(LEFT(Table132[[#This Row],[next move]],1))*3,1)</f>
        <v>V</v>
      </c>
      <c r="I494" t="str">
        <f>Table132[[#This Row],[ÉTAT]]&amp;Table132[[#This Row],[next move]]</f>
        <v>VVVMEVVEV00</v>
      </c>
    </row>
    <row r="495" spans="2:9" x14ac:dyDescent="0.25">
      <c r="B495" t="s">
        <v>299</v>
      </c>
      <c r="C495" s="22" t="s">
        <v>26</v>
      </c>
      <c r="D495">
        <v>9</v>
      </c>
      <c r="E495">
        <v>2</v>
      </c>
      <c r="G495" s="31">
        <f>Table132[[#This Row],[nb win]]/Table132[[#This Row],[nb play]]</f>
        <v>0.22222222222222221</v>
      </c>
      <c r="H495" t="str">
        <f>MID(Table132[[#This Row],[ÉTAT]],VALUE(RIGHT(Table132[[#This Row],[next move]],1))+1+VALUE(LEFT(Table132[[#This Row],[next move]],1))*3,1)</f>
        <v>V</v>
      </c>
      <c r="I495" t="str">
        <f>Table132[[#This Row],[ÉTAT]]&amp;Table132[[#This Row],[next move]]</f>
        <v>VVVMEVVEV01</v>
      </c>
    </row>
    <row r="496" spans="2:9" x14ac:dyDescent="0.25">
      <c r="B496" t="s">
        <v>299</v>
      </c>
      <c r="C496" s="22" t="s">
        <v>20</v>
      </c>
      <c r="D496">
        <v>4</v>
      </c>
      <c r="E496">
        <v>1</v>
      </c>
      <c r="G496" s="30">
        <f>Table132[[#This Row],[nb win]]/Table132[[#This Row],[nb play]]</f>
        <v>0.25</v>
      </c>
      <c r="H496" t="str">
        <f>MID(Table132[[#This Row],[ÉTAT]],VALUE(RIGHT(Table132[[#This Row],[next move]],1))+1+VALUE(LEFT(Table132[[#This Row],[next move]],1))*3,1)</f>
        <v>V</v>
      </c>
      <c r="I496" t="str">
        <f>Table132[[#This Row],[ÉTAT]]&amp;Table132[[#This Row],[next move]]</f>
        <v>VVVMEVVEV02</v>
      </c>
    </row>
    <row r="497" spans="2:9" x14ac:dyDescent="0.25">
      <c r="B497" t="s">
        <v>299</v>
      </c>
      <c r="C497" s="22" t="s">
        <v>28</v>
      </c>
      <c r="D497">
        <v>7</v>
      </c>
      <c r="G497" s="30">
        <f>Table132[[#This Row],[nb win]]/Table132[[#This Row],[nb play]]</f>
        <v>0</v>
      </c>
      <c r="H497" t="str">
        <f>MID(Table132[[#This Row],[ÉTAT]],VALUE(RIGHT(Table132[[#This Row],[next move]],1))+1+VALUE(LEFT(Table132[[#This Row],[next move]],1))*3,1)</f>
        <v>V</v>
      </c>
      <c r="I497" t="str">
        <f>Table132[[#This Row],[ÉTAT]]&amp;Table132[[#This Row],[next move]]</f>
        <v>VVVMEVVEV12</v>
      </c>
    </row>
    <row r="498" spans="2:9" x14ac:dyDescent="0.25">
      <c r="B498" t="s">
        <v>299</v>
      </c>
      <c r="C498" s="22" t="s">
        <v>35</v>
      </c>
      <c r="D498">
        <v>5</v>
      </c>
      <c r="G498" s="30">
        <f>Table132[[#This Row],[nb win]]/Table132[[#This Row],[nb play]]</f>
        <v>0</v>
      </c>
      <c r="H498" t="str">
        <f>MID(Table132[[#This Row],[ÉTAT]],VALUE(RIGHT(Table132[[#This Row],[next move]],1))+1+VALUE(LEFT(Table132[[#This Row],[next move]],1))*3,1)</f>
        <v>V</v>
      </c>
      <c r="I498" t="str">
        <f>Table132[[#This Row],[ÉTAT]]&amp;Table132[[#This Row],[next move]]</f>
        <v>VVVMEVVEV20</v>
      </c>
    </row>
    <row r="499" spans="2:9" x14ac:dyDescent="0.25">
      <c r="B499" t="s">
        <v>299</v>
      </c>
      <c r="C499" s="22" t="s">
        <v>31</v>
      </c>
      <c r="D499">
        <v>3</v>
      </c>
      <c r="G499" s="30">
        <f>Table132[[#This Row],[nb win]]/Table132[[#This Row],[nb play]]</f>
        <v>0</v>
      </c>
      <c r="H499" t="str">
        <f>MID(Table132[[#This Row],[ÉTAT]],VALUE(RIGHT(Table132[[#This Row],[next move]],1))+1+VALUE(LEFT(Table132[[#This Row],[next move]],1))*3,1)</f>
        <v>V</v>
      </c>
      <c r="I499" t="str">
        <f>Table132[[#This Row],[ÉTAT]]&amp;Table132[[#This Row],[next move]]</f>
        <v>VVVMEVVEV22</v>
      </c>
    </row>
    <row r="500" spans="2:9" x14ac:dyDescent="0.25">
      <c r="B500" t="s">
        <v>1565</v>
      </c>
      <c r="C500" s="22" t="s">
        <v>26</v>
      </c>
      <c r="D500">
        <v>2</v>
      </c>
      <c r="E500">
        <v>2</v>
      </c>
      <c r="G500" s="31">
        <f>Table132[[#This Row],[nb win]]/Table132[[#This Row],[nb play]]</f>
        <v>1</v>
      </c>
      <c r="H500" t="str">
        <f>MID(Table132[[#This Row],[ÉTAT]],VALUE(RIGHT(Table132[[#This Row],[next move]],1))+1+VALUE(LEFT(Table132[[#This Row],[next move]],1))*3,1)</f>
        <v>V</v>
      </c>
      <c r="I500" t="str">
        <f>Table132[[#This Row],[ÉTAT]]&amp;Table132[[#This Row],[next move]]</f>
        <v>VVVMEVMVE01</v>
      </c>
    </row>
    <row r="501" spans="2:9" x14ac:dyDescent="0.25">
      <c r="B501" t="s">
        <v>1565</v>
      </c>
      <c r="C501" s="22" t="s">
        <v>28</v>
      </c>
      <c r="D501">
        <v>4</v>
      </c>
      <c r="E501">
        <v>1</v>
      </c>
      <c r="G501" s="30">
        <f>Table132[[#This Row],[nb win]]/Table132[[#This Row],[nb play]]</f>
        <v>0.25</v>
      </c>
      <c r="H501" t="str">
        <f>MID(Table132[[#This Row],[ÉTAT]],VALUE(RIGHT(Table132[[#This Row],[next move]],1))+1+VALUE(LEFT(Table132[[#This Row],[next move]],1))*3,1)</f>
        <v>V</v>
      </c>
      <c r="I501" t="str">
        <f>Table132[[#This Row],[ÉTAT]]&amp;Table132[[#This Row],[next move]]</f>
        <v>VVVMEVMVE12</v>
      </c>
    </row>
    <row r="502" spans="2:9" x14ac:dyDescent="0.25">
      <c r="B502" t="s">
        <v>1565</v>
      </c>
      <c r="C502" s="22" t="s">
        <v>22</v>
      </c>
      <c r="D502">
        <v>6</v>
      </c>
      <c r="E502">
        <v>2</v>
      </c>
      <c r="G502" s="31">
        <f>Table132[[#This Row],[nb win]]/Table132[[#This Row],[nb play]]</f>
        <v>0.33333333333333331</v>
      </c>
      <c r="H502" t="str">
        <f>MID(Table132[[#This Row],[ÉTAT]],VALUE(RIGHT(Table132[[#This Row],[next move]],1))+1+VALUE(LEFT(Table132[[#This Row],[next move]],1))*3,1)</f>
        <v>V</v>
      </c>
      <c r="I502" t="str">
        <f>Table132[[#This Row],[ÉTAT]]&amp;Table132[[#This Row],[next move]]</f>
        <v>VVVMEVMVE21</v>
      </c>
    </row>
    <row r="503" spans="2:9" x14ac:dyDescent="0.25">
      <c r="B503" t="s">
        <v>700</v>
      </c>
      <c r="C503" s="22" t="s">
        <v>24</v>
      </c>
      <c r="D503">
        <v>4</v>
      </c>
      <c r="E503">
        <v>4</v>
      </c>
      <c r="G503" s="31">
        <f>Table132[[#This Row],[nb win]]/Table132[[#This Row],[nb play]]</f>
        <v>1</v>
      </c>
      <c r="H503" t="str">
        <f>MID(Table132[[#This Row],[ÉTAT]],VALUE(RIGHT(Table132[[#This Row],[next move]],1))+1+VALUE(LEFT(Table132[[#This Row],[next move]],1))*3,1)</f>
        <v>V</v>
      </c>
      <c r="I503" t="str">
        <f>Table132[[#This Row],[ÉTAT]]&amp;Table132[[#This Row],[next move]]</f>
        <v>VVVMEVMEV00</v>
      </c>
    </row>
    <row r="504" spans="2:9" x14ac:dyDescent="0.25">
      <c r="B504" t="s">
        <v>700</v>
      </c>
      <c r="C504" s="22" t="s">
        <v>20</v>
      </c>
      <c r="D504">
        <v>3</v>
      </c>
      <c r="E504">
        <v>1</v>
      </c>
      <c r="G504" s="31">
        <f>Table132[[#This Row],[nb win]]/Table132[[#This Row],[nb play]]</f>
        <v>0.33333333333333331</v>
      </c>
      <c r="H504" t="str">
        <f>MID(Table132[[#This Row],[ÉTAT]],VALUE(RIGHT(Table132[[#This Row],[next move]],1))+1+VALUE(LEFT(Table132[[#This Row],[next move]],1))*3,1)</f>
        <v>V</v>
      </c>
      <c r="I504" t="str">
        <f>Table132[[#This Row],[ÉTAT]]&amp;Table132[[#This Row],[next move]]</f>
        <v>VVVMEVMEV02</v>
      </c>
    </row>
    <row r="505" spans="2:9" x14ac:dyDescent="0.25">
      <c r="B505" t="s">
        <v>700</v>
      </c>
      <c r="C505" s="22" t="s">
        <v>28</v>
      </c>
      <c r="D505">
        <v>4</v>
      </c>
      <c r="E505">
        <v>1</v>
      </c>
      <c r="G505" s="25">
        <f>Table132[[#This Row],[nb win]]/Table132[[#This Row],[nb play]]</f>
        <v>0.25</v>
      </c>
      <c r="H505" t="str">
        <f>MID(Table132[[#This Row],[ÉTAT]],VALUE(RIGHT(Table132[[#This Row],[next move]],1))+1+VALUE(LEFT(Table132[[#This Row],[next move]],1))*3,1)</f>
        <v>V</v>
      </c>
      <c r="I505" t="str">
        <f>Table132[[#This Row],[ÉTAT]]&amp;Table132[[#This Row],[next move]]</f>
        <v>VVVMEVMEV12</v>
      </c>
    </row>
    <row r="506" spans="2:9" x14ac:dyDescent="0.25">
      <c r="B506" t="s">
        <v>1359</v>
      </c>
      <c r="C506" s="22" t="s">
        <v>24</v>
      </c>
      <c r="D506">
        <v>1</v>
      </c>
      <c r="G506" s="25">
        <f>Table132[[#This Row],[nb win]]/Table132[[#This Row],[nb play]]</f>
        <v>0</v>
      </c>
      <c r="H506" t="str">
        <f>MID(Table132[[#This Row],[ÉTAT]],VALUE(RIGHT(Table132[[#This Row],[next move]],1))+1+VALUE(LEFT(Table132[[#This Row],[next move]],1))*3,1)</f>
        <v>V</v>
      </c>
      <c r="I506" t="str">
        <f>Table132[[#This Row],[ÉTAT]]&amp;Table132[[#This Row],[next move]]</f>
        <v>VVVMEVEVV00</v>
      </c>
    </row>
    <row r="507" spans="2:9" x14ac:dyDescent="0.25">
      <c r="B507" t="s">
        <v>1359</v>
      </c>
      <c r="C507" s="22" t="s">
        <v>26</v>
      </c>
      <c r="D507">
        <v>1</v>
      </c>
      <c r="G507" s="25">
        <f>Table132[[#This Row],[nb win]]/Table132[[#This Row],[nb play]]</f>
        <v>0</v>
      </c>
      <c r="H507" t="str">
        <f>MID(Table132[[#This Row],[ÉTAT]],VALUE(RIGHT(Table132[[#This Row],[next move]],1))+1+VALUE(LEFT(Table132[[#This Row],[next move]],1))*3,1)</f>
        <v>V</v>
      </c>
      <c r="I507" t="str">
        <f>Table132[[#This Row],[ÉTAT]]&amp;Table132[[#This Row],[next move]]</f>
        <v>VVVMEVEVV01</v>
      </c>
    </row>
    <row r="508" spans="2:9" x14ac:dyDescent="0.25">
      <c r="B508" t="s">
        <v>1359</v>
      </c>
      <c r="C508" s="22" t="s">
        <v>20</v>
      </c>
      <c r="D508">
        <v>1</v>
      </c>
      <c r="G508" s="25">
        <f>Table132[[#This Row],[nb win]]/Table132[[#This Row],[nb play]]</f>
        <v>0</v>
      </c>
      <c r="H508" t="str">
        <f>MID(Table132[[#This Row],[ÉTAT]],VALUE(RIGHT(Table132[[#This Row],[next move]],1))+1+VALUE(LEFT(Table132[[#This Row],[next move]],1))*3,1)</f>
        <v>V</v>
      </c>
      <c r="I508" t="str">
        <f>Table132[[#This Row],[ÉTAT]]&amp;Table132[[#This Row],[next move]]</f>
        <v>VVVMEVEVV02</v>
      </c>
    </row>
    <row r="509" spans="2:9" x14ac:dyDescent="0.25">
      <c r="B509" t="s">
        <v>1359</v>
      </c>
      <c r="C509" s="22" t="s">
        <v>28</v>
      </c>
      <c r="D509">
        <v>1</v>
      </c>
      <c r="G509" s="25">
        <f>Table132[[#This Row],[nb win]]/Table132[[#This Row],[nb play]]</f>
        <v>0</v>
      </c>
      <c r="H509" t="str">
        <f>MID(Table132[[#This Row],[ÉTAT]],VALUE(RIGHT(Table132[[#This Row],[next move]],1))+1+VALUE(LEFT(Table132[[#This Row],[next move]],1))*3,1)</f>
        <v>V</v>
      </c>
      <c r="I509" t="str">
        <f>Table132[[#This Row],[ÉTAT]]&amp;Table132[[#This Row],[next move]]</f>
        <v>VVVMEVEVV12</v>
      </c>
    </row>
    <row r="510" spans="2:9" x14ac:dyDescent="0.25">
      <c r="B510" t="s">
        <v>1359</v>
      </c>
      <c r="C510" s="22" t="s">
        <v>31</v>
      </c>
      <c r="D510">
        <v>1</v>
      </c>
      <c r="G510" s="25">
        <f>Table132[[#This Row],[nb win]]/Table132[[#This Row],[nb play]]</f>
        <v>0</v>
      </c>
      <c r="H510" t="str">
        <f>MID(Table132[[#This Row],[ÉTAT]],VALUE(RIGHT(Table132[[#This Row],[next move]],1))+1+VALUE(LEFT(Table132[[#This Row],[next move]],1))*3,1)</f>
        <v>V</v>
      </c>
      <c r="I510" t="str">
        <f>Table132[[#This Row],[ÉTAT]]&amp;Table132[[#This Row],[next move]]</f>
        <v>VVVMEVEVV22</v>
      </c>
    </row>
    <row r="511" spans="2:9" x14ac:dyDescent="0.25">
      <c r="B511" t="s">
        <v>516</v>
      </c>
      <c r="C511" s="22" t="s">
        <v>24</v>
      </c>
      <c r="D511">
        <v>1</v>
      </c>
      <c r="G511" s="25">
        <f>Table132[[#This Row],[nb win]]/Table132[[#This Row],[nb play]]</f>
        <v>0</v>
      </c>
      <c r="H511" t="str">
        <f>MID(Table132[[#This Row],[ÉTAT]],VALUE(RIGHT(Table132[[#This Row],[next move]],1))+1+VALUE(LEFT(Table132[[#This Row],[next move]],1))*3,1)</f>
        <v>V</v>
      </c>
      <c r="I511" t="str">
        <f>Table132[[#This Row],[ÉTAT]]&amp;Table132[[#This Row],[next move]]</f>
        <v>VVVMEVEVM00</v>
      </c>
    </row>
    <row r="512" spans="2:9" x14ac:dyDescent="0.25">
      <c r="B512" t="s">
        <v>516</v>
      </c>
      <c r="C512" s="22" t="s">
        <v>26</v>
      </c>
      <c r="D512">
        <v>2</v>
      </c>
      <c r="E512">
        <v>1</v>
      </c>
      <c r="G512" s="30">
        <f>Table132[[#This Row],[nb win]]/Table132[[#This Row],[nb play]]</f>
        <v>0.5</v>
      </c>
      <c r="H512" t="str">
        <f>MID(Table132[[#This Row],[ÉTAT]],VALUE(RIGHT(Table132[[#This Row],[next move]],1))+1+VALUE(LEFT(Table132[[#This Row],[next move]],1))*3,1)</f>
        <v>V</v>
      </c>
      <c r="I512" t="str">
        <f>Table132[[#This Row],[ÉTAT]]&amp;Table132[[#This Row],[next move]]</f>
        <v>VVVMEVEVM01</v>
      </c>
    </row>
    <row r="513" spans="2:9" x14ac:dyDescent="0.25">
      <c r="B513" t="s">
        <v>516</v>
      </c>
      <c r="C513" s="22" t="s">
        <v>28</v>
      </c>
      <c r="D513">
        <v>1</v>
      </c>
      <c r="G513" s="30">
        <f>Table132[[#This Row],[nb win]]/Table132[[#This Row],[nb play]]</f>
        <v>0</v>
      </c>
      <c r="H513" t="str">
        <f>MID(Table132[[#This Row],[ÉTAT]],VALUE(RIGHT(Table132[[#This Row],[next move]],1))+1+VALUE(LEFT(Table132[[#This Row],[next move]],1))*3,1)</f>
        <v>V</v>
      </c>
      <c r="I513" t="str">
        <f>Table132[[#This Row],[ÉTAT]]&amp;Table132[[#This Row],[next move]]</f>
        <v>VVVMEVEVM12</v>
      </c>
    </row>
    <row r="514" spans="2:9" x14ac:dyDescent="0.25">
      <c r="B514" t="s">
        <v>516</v>
      </c>
      <c r="C514" s="22" t="s">
        <v>22</v>
      </c>
      <c r="D514">
        <v>1</v>
      </c>
      <c r="G514" s="30">
        <f>Table132[[#This Row],[nb win]]/Table132[[#This Row],[nb play]]</f>
        <v>0</v>
      </c>
      <c r="H514" t="str">
        <f>MID(Table132[[#This Row],[ÉTAT]],VALUE(RIGHT(Table132[[#This Row],[next move]],1))+1+VALUE(LEFT(Table132[[#This Row],[next move]],1))*3,1)</f>
        <v>V</v>
      </c>
      <c r="I514" t="str">
        <f>Table132[[#This Row],[ÉTAT]]&amp;Table132[[#This Row],[next move]]</f>
        <v>VVVMEVEVM21</v>
      </c>
    </row>
    <row r="515" spans="2:9" x14ac:dyDescent="0.25">
      <c r="B515" t="s">
        <v>1355</v>
      </c>
      <c r="C515" s="22" t="s">
        <v>20</v>
      </c>
      <c r="D515">
        <v>1</v>
      </c>
      <c r="E515">
        <v>1</v>
      </c>
      <c r="G515" s="25">
        <f>Table132[[#This Row],[nb win]]/Table132[[#This Row],[nb play]]</f>
        <v>1</v>
      </c>
      <c r="H515" t="str">
        <f>MID(Table132[[#This Row],[ÉTAT]],VALUE(RIGHT(Table132[[#This Row],[next move]],1))+1+VALUE(LEFT(Table132[[#This Row],[next move]],1))*3,1)</f>
        <v>V</v>
      </c>
      <c r="I515" t="str">
        <f>Table132[[#This Row],[ÉTAT]]&amp;Table132[[#This Row],[next move]]</f>
        <v>VVVMEVEMV02</v>
      </c>
    </row>
    <row r="516" spans="2:9" x14ac:dyDescent="0.25">
      <c r="B516" t="s">
        <v>1355</v>
      </c>
      <c r="C516" s="22" t="s">
        <v>31</v>
      </c>
      <c r="D516">
        <v>2</v>
      </c>
      <c r="G516" s="30">
        <f>Table132[[#This Row],[nb win]]/Table132[[#This Row],[nb play]]</f>
        <v>0</v>
      </c>
      <c r="H516" t="str">
        <f>MID(Table132[[#This Row],[ÉTAT]],VALUE(RIGHT(Table132[[#This Row],[next move]],1))+1+VALUE(LEFT(Table132[[#This Row],[next move]],1))*3,1)</f>
        <v>V</v>
      </c>
      <c r="I516" t="str">
        <f>Table132[[#This Row],[ÉTAT]]&amp;Table132[[#This Row],[next move]]</f>
        <v>VVVMEVEMV22</v>
      </c>
    </row>
    <row r="517" spans="2:9" x14ac:dyDescent="0.25">
      <c r="B517" t="s">
        <v>1780</v>
      </c>
      <c r="C517" s="22" t="s">
        <v>24</v>
      </c>
      <c r="D517">
        <v>3</v>
      </c>
      <c r="G517" s="30">
        <f>Table132[[#This Row],[nb win]]/Table132[[#This Row],[nb play]]</f>
        <v>0</v>
      </c>
      <c r="H517" t="str">
        <f>MID(Table132[[#This Row],[ÉTAT]],VALUE(RIGHT(Table132[[#This Row],[next move]],1))+1+VALUE(LEFT(Table132[[#This Row],[next move]],1))*3,1)</f>
        <v>V</v>
      </c>
      <c r="I517" t="str">
        <f>Table132[[#This Row],[ÉTAT]]&amp;Table132[[#This Row],[next move]]</f>
        <v>VVVMEVEEM00</v>
      </c>
    </row>
    <row r="518" spans="2:9" x14ac:dyDescent="0.25">
      <c r="B518" t="s">
        <v>1780</v>
      </c>
      <c r="C518" s="22" t="s">
        <v>26</v>
      </c>
      <c r="D518">
        <v>2</v>
      </c>
      <c r="G518" s="30">
        <f>Table132[[#This Row],[nb win]]/Table132[[#This Row],[nb play]]</f>
        <v>0</v>
      </c>
      <c r="H518" t="str">
        <f>MID(Table132[[#This Row],[ÉTAT]],VALUE(RIGHT(Table132[[#This Row],[next move]],1))+1+VALUE(LEFT(Table132[[#This Row],[next move]],1))*3,1)</f>
        <v>V</v>
      </c>
      <c r="I518" t="str">
        <f>Table132[[#This Row],[ÉTAT]]&amp;Table132[[#This Row],[next move]]</f>
        <v>VVVMEVEEM01</v>
      </c>
    </row>
    <row r="519" spans="2:9" x14ac:dyDescent="0.25">
      <c r="B519" t="s">
        <v>1780</v>
      </c>
      <c r="C519" s="22" t="s">
        <v>20</v>
      </c>
      <c r="D519">
        <v>1</v>
      </c>
      <c r="G519" s="25">
        <f>Table132[[#This Row],[nb win]]/Table132[[#This Row],[nb play]]</f>
        <v>0</v>
      </c>
      <c r="H519" t="str">
        <f>MID(Table132[[#This Row],[ÉTAT]],VALUE(RIGHT(Table132[[#This Row],[next move]],1))+1+VALUE(LEFT(Table132[[#This Row],[next move]],1))*3,1)</f>
        <v>V</v>
      </c>
      <c r="I519" t="str">
        <f>Table132[[#This Row],[ÉTAT]]&amp;Table132[[#This Row],[next move]]</f>
        <v>VVVMEVEEM02</v>
      </c>
    </row>
    <row r="520" spans="2:9" x14ac:dyDescent="0.25">
      <c r="B520" t="s">
        <v>1780</v>
      </c>
      <c r="C520" s="22" t="s">
        <v>28</v>
      </c>
      <c r="D520">
        <v>1</v>
      </c>
      <c r="G520" s="25">
        <f>Table132[[#This Row],[nb win]]/Table132[[#This Row],[nb play]]</f>
        <v>0</v>
      </c>
      <c r="H520" t="str">
        <f>MID(Table132[[#This Row],[ÉTAT]],VALUE(RIGHT(Table132[[#This Row],[next move]],1))+1+VALUE(LEFT(Table132[[#This Row],[next move]],1))*3,1)</f>
        <v>V</v>
      </c>
      <c r="I520" t="str">
        <f>Table132[[#This Row],[ÉTAT]]&amp;Table132[[#This Row],[next move]]</f>
        <v>VVVMEVEEM12</v>
      </c>
    </row>
    <row r="521" spans="2:9" x14ac:dyDescent="0.25">
      <c r="B521" t="s">
        <v>702</v>
      </c>
      <c r="C521" s="22" t="s">
        <v>24</v>
      </c>
      <c r="D521">
        <v>2</v>
      </c>
      <c r="E521">
        <v>1</v>
      </c>
      <c r="G521" s="25">
        <f>Table132[[#This Row],[nb win]]/Table132[[#This Row],[nb play]]</f>
        <v>0.5</v>
      </c>
      <c r="H521" t="str">
        <f>MID(Table132[[#This Row],[ÉTAT]],VALUE(RIGHT(Table132[[#This Row],[next move]],1))+1+VALUE(LEFT(Table132[[#This Row],[next move]],1))*3,1)</f>
        <v>V</v>
      </c>
      <c r="I521" t="str">
        <f>Table132[[#This Row],[ÉTAT]]&amp;Table132[[#This Row],[next move]]</f>
        <v>VVVMEMVVE00</v>
      </c>
    </row>
    <row r="522" spans="2:9" x14ac:dyDescent="0.25">
      <c r="B522" t="s">
        <v>702</v>
      </c>
      <c r="C522" s="22" t="s">
        <v>35</v>
      </c>
      <c r="D522">
        <v>1</v>
      </c>
      <c r="G522" s="30">
        <f>Table132[[#This Row],[nb win]]/Table132[[#This Row],[nb play]]</f>
        <v>0</v>
      </c>
      <c r="H522" t="str">
        <f>MID(Table132[[#This Row],[ÉTAT]],VALUE(RIGHT(Table132[[#This Row],[next move]],1))+1+VALUE(LEFT(Table132[[#This Row],[next move]],1))*3,1)</f>
        <v>V</v>
      </c>
      <c r="I522" t="str">
        <f>Table132[[#This Row],[ÉTAT]]&amp;Table132[[#This Row],[next move]]</f>
        <v>VVVMEMVVE20</v>
      </c>
    </row>
    <row r="523" spans="2:9" x14ac:dyDescent="0.25">
      <c r="B523" t="s">
        <v>702</v>
      </c>
      <c r="C523" s="22" t="s">
        <v>22</v>
      </c>
      <c r="D523">
        <v>1</v>
      </c>
      <c r="G523" s="30">
        <f>Table132[[#This Row],[nb win]]/Table132[[#This Row],[nb play]]</f>
        <v>0</v>
      </c>
      <c r="H523" t="str">
        <f>MID(Table132[[#This Row],[ÉTAT]],VALUE(RIGHT(Table132[[#This Row],[next move]],1))+1+VALUE(LEFT(Table132[[#This Row],[next move]],1))*3,1)</f>
        <v>V</v>
      </c>
      <c r="I523" t="str">
        <f>Table132[[#This Row],[ÉTAT]]&amp;Table132[[#This Row],[next move]]</f>
        <v>VVVMEMVVE21</v>
      </c>
    </row>
    <row r="524" spans="2:9" x14ac:dyDescent="0.25">
      <c r="B524" t="s">
        <v>2474</v>
      </c>
      <c r="C524" s="22" t="s">
        <v>24</v>
      </c>
      <c r="D524">
        <v>4</v>
      </c>
      <c r="E524">
        <v>1</v>
      </c>
      <c r="G524" s="30">
        <f>Table132[[#This Row],[nb win]]/Table132[[#This Row],[nb play]]</f>
        <v>0.25</v>
      </c>
      <c r="H524" t="str">
        <f>MID(Table132[[#This Row],[ÉTAT]],VALUE(RIGHT(Table132[[#This Row],[next move]],1))+1+VALUE(LEFT(Table132[[#This Row],[next move]],1))*3,1)</f>
        <v>V</v>
      </c>
      <c r="I524" t="str">
        <f>Table132[[#This Row],[ÉTAT]]&amp;Table132[[#This Row],[next move]]</f>
        <v>VVVMEMVEV00</v>
      </c>
    </row>
    <row r="525" spans="2:9" x14ac:dyDescent="0.25">
      <c r="B525" t="s">
        <v>2474</v>
      </c>
      <c r="C525" s="22" t="s">
        <v>26</v>
      </c>
      <c r="D525">
        <v>1</v>
      </c>
      <c r="G525" s="25">
        <f>Table132[[#This Row],[nb win]]/Table132[[#This Row],[nb play]]</f>
        <v>0</v>
      </c>
      <c r="H525" t="str">
        <f>MID(Table132[[#This Row],[ÉTAT]],VALUE(RIGHT(Table132[[#This Row],[next move]],1))+1+VALUE(LEFT(Table132[[#This Row],[next move]],1))*3,1)</f>
        <v>V</v>
      </c>
      <c r="I525" t="str">
        <f>Table132[[#This Row],[ÉTAT]]&amp;Table132[[#This Row],[next move]]</f>
        <v>VVVMEMVEV01</v>
      </c>
    </row>
    <row r="526" spans="2:9" x14ac:dyDescent="0.25">
      <c r="B526" t="s">
        <v>2474</v>
      </c>
      <c r="C526" s="22" t="s">
        <v>20</v>
      </c>
      <c r="D526">
        <v>3</v>
      </c>
      <c r="E526">
        <v>2</v>
      </c>
      <c r="G526" s="31">
        <f>Table132[[#This Row],[nb win]]/Table132[[#This Row],[nb play]]</f>
        <v>0.66666666666666663</v>
      </c>
      <c r="H526" t="str">
        <f>MID(Table132[[#This Row],[ÉTAT]],VALUE(RIGHT(Table132[[#This Row],[next move]],1))+1+VALUE(LEFT(Table132[[#This Row],[next move]],1))*3,1)</f>
        <v>V</v>
      </c>
      <c r="I526" t="str">
        <f>Table132[[#This Row],[ÉTAT]]&amp;Table132[[#This Row],[next move]]</f>
        <v>VVVMEMVEV02</v>
      </c>
    </row>
    <row r="527" spans="2:9" x14ac:dyDescent="0.25">
      <c r="B527" t="s">
        <v>2474</v>
      </c>
      <c r="C527" s="22" t="s">
        <v>35</v>
      </c>
      <c r="D527">
        <v>1</v>
      </c>
      <c r="G527" s="25">
        <f>Table132[[#This Row],[nb win]]/Table132[[#This Row],[nb play]]</f>
        <v>0</v>
      </c>
      <c r="H527" t="str">
        <f>MID(Table132[[#This Row],[ÉTAT]],VALUE(RIGHT(Table132[[#This Row],[next move]],1))+1+VALUE(LEFT(Table132[[#This Row],[next move]],1))*3,1)</f>
        <v>V</v>
      </c>
      <c r="I527" t="str">
        <f>Table132[[#This Row],[ÉTAT]]&amp;Table132[[#This Row],[next move]]</f>
        <v>VVVMEMVEV20</v>
      </c>
    </row>
    <row r="528" spans="2:9" x14ac:dyDescent="0.25">
      <c r="B528" t="s">
        <v>2474</v>
      </c>
      <c r="C528" s="22" t="s">
        <v>31</v>
      </c>
      <c r="D528">
        <v>1</v>
      </c>
      <c r="G528" s="25">
        <f>Table132[[#This Row],[nb win]]/Table132[[#This Row],[nb play]]</f>
        <v>0</v>
      </c>
      <c r="H528" t="str">
        <f>MID(Table132[[#This Row],[ÉTAT]],VALUE(RIGHT(Table132[[#This Row],[next move]],1))+1+VALUE(LEFT(Table132[[#This Row],[next move]],1))*3,1)</f>
        <v>V</v>
      </c>
      <c r="I528" t="str">
        <f>Table132[[#This Row],[ÉTAT]]&amp;Table132[[#This Row],[next move]]</f>
        <v>VVVMEMVEV22</v>
      </c>
    </row>
    <row r="529" spans="2:9" x14ac:dyDescent="0.25">
      <c r="B529" t="s">
        <v>174</v>
      </c>
      <c r="C529" s="22" t="s">
        <v>24</v>
      </c>
      <c r="D529">
        <v>1</v>
      </c>
      <c r="G529" s="25">
        <f>Table132[[#This Row],[nb win]]/Table132[[#This Row],[nb play]]</f>
        <v>0</v>
      </c>
      <c r="H529" t="str">
        <f>MID(Table132[[#This Row],[ÉTAT]],VALUE(RIGHT(Table132[[#This Row],[next move]],1))+1+VALUE(LEFT(Table132[[#This Row],[next move]],1))*3,1)</f>
        <v>V</v>
      </c>
      <c r="I529" t="str">
        <f>Table132[[#This Row],[ÉTAT]]&amp;Table132[[#This Row],[next move]]</f>
        <v>VVVMEMVEE00</v>
      </c>
    </row>
    <row r="530" spans="2:9" x14ac:dyDescent="0.25">
      <c r="B530" t="s">
        <v>174</v>
      </c>
      <c r="C530" s="22" t="s">
        <v>26</v>
      </c>
      <c r="D530">
        <v>2</v>
      </c>
      <c r="G530" s="25">
        <f>Table132[[#This Row],[nb win]]/Table132[[#This Row],[nb play]]</f>
        <v>0</v>
      </c>
      <c r="H530" t="str">
        <f>MID(Table132[[#This Row],[ÉTAT]],VALUE(RIGHT(Table132[[#This Row],[next move]],1))+1+VALUE(LEFT(Table132[[#This Row],[next move]],1))*3,1)</f>
        <v>V</v>
      </c>
      <c r="I530" t="str">
        <f>Table132[[#This Row],[ÉTAT]]&amp;Table132[[#This Row],[next move]]</f>
        <v>VVVMEMVEE01</v>
      </c>
    </row>
    <row r="531" spans="2:9" x14ac:dyDescent="0.25">
      <c r="B531" t="s">
        <v>174</v>
      </c>
      <c r="C531" s="22" t="s">
        <v>20</v>
      </c>
      <c r="D531">
        <v>2</v>
      </c>
      <c r="G531" s="30">
        <f>Table132[[#This Row],[nb win]]/Table132[[#This Row],[nb play]]</f>
        <v>0</v>
      </c>
      <c r="H531" t="str">
        <f>MID(Table132[[#This Row],[ÉTAT]],VALUE(RIGHT(Table132[[#This Row],[next move]],1))+1+VALUE(LEFT(Table132[[#This Row],[next move]],1))*3,1)</f>
        <v>V</v>
      </c>
      <c r="I531" t="str">
        <f>Table132[[#This Row],[ÉTAT]]&amp;Table132[[#This Row],[next move]]</f>
        <v>VVVMEMVEE02</v>
      </c>
    </row>
    <row r="532" spans="2:9" x14ac:dyDescent="0.25">
      <c r="B532" t="s">
        <v>174</v>
      </c>
      <c r="C532" s="22" t="s">
        <v>35</v>
      </c>
      <c r="D532">
        <v>3</v>
      </c>
      <c r="E532">
        <v>1</v>
      </c>
      <c r="G532" s="30">
        <f>Table132[[#This Row],[nb win]]/Table132[[#This Row],[nb play]]</f>
        <v>0.33333333333333331</v>
      </c>
      <c r="H532" t="str">
        <f>MID(Table132[[#This Row],[ÉTAT]],VALUE(RIGHT(Table132[[#This Row],[next move]],1))+1+VALUE(LEFT(Table132[[#This Row],[next move]],1))*3,1)</f>
        <v>V</v>
      </c>
      <c r="I532" t="str">
        <f>Table132[[#This Row],[ÉTAT]]&amp;Table132[[#This Row],[next move]]</f>
        <v>VVVMEMVEE20</v>
      </c>
    </row>
    <row r="533" spans="2:9" x14ac:dyDescent="0.25">
      <c r="B533" t="s">
        <v>136</v>
      </c>
      <c r="C533" s="22" t="s">
        <v>24</v>
      </c>
      <c r="D533">
        <v>2</v>
      </c>
      <c r="E533">
        <v>2</v>
      </c>
      <c r="G533" s="25">
        <f>Table132[[#This Row],[nb win]]/Table132[[#This Row],[nb play]]</f>
        <v>1</v>
      </c>
      <c r="H533" t="str">
        <f>MID(Table132[[#This Row],[ÉTAT]],VALUE(RIGHT(Table132[[#This Row],[next move]],1))+1+VALUE(LEFT(Table132[[#This Row],[next move]],1))*3,1)</f>
        <v>V</v>
      </c>
      <c r="I533" t="str">
        <f>Table132[[#This Row],[ÉTAT]]&amp;Table132[[#This Row],[next move]]</f>
        <v>VVVMEMMEE00</v>
      </c>
    </row>
    <row r="534" spans="2:9" x14ac:dyDescent="0.25">
      <c r="B534" t="s">
        <v>136</v>
      </c>
      <c r="C534" s="22" t="s">
        <v>26</v>
      </c>
      <c r="D534">
        <v>5</v>
      </c>
      <c r="G534" s="30">
        <f>Table132[[#This Row],[nb win]]/Table132[[#This Row],[nb play]]</f>
        <v>0</v>
      </c>
      <c r="H534" t="str">
        <f>MID(Table132[[#This Row],[ÉTAT]],VALUE(RIGHT(Table132[[#This Row],[next move]],1))+1+VALUE(LEFT(Table132[[#This Row],[next move]],1))*3,1)</f>
        <v>V</v>
      </c>
      <c r="I534" t="str">
        <f>Table132[[#This Row],[ÉTAT]]&amp;Table132[[#This Row],[next move]]</f>
        <v>VVVMEMMEE01</v>
      </c>
    </row>
    <row r="535" spans="2:9" x14ac:dyDescent="0.25">
      <c r="B535" t="s">
        <v>136</v>
      </c>
      <c r="C535" s="22" t="s">
        <v>20</v>
      </c>
      <c r="D535">
        <v>5</v>
      </c>
      <c r="G535" s="30">
        <f>Table132[[#This Row],[nb win]]/Table132[[#This Row],[nb play]]</f>
        <v>0</v>
      </c>
      <c r="H535" t="str">
        <f>MID(Table132[[#This Row],[ÉTAT]],VALUE(RIGHT(Table132[[#This Row],[next move]],1))+1+VALUE(LEFT(Table132[[#This Row],[next move]],1))*3,1)</f>
        <v>V</v>
      </c>
      <c r="I535" t="str">
        <f>Table132[[#This Row],[ÉTAT]]&amp;Table132[[#This Row],[next move]]</f>
        <v>VVVMEMMEE02</v>
      </c>
    </row>
    <row r="536" spans="2:9" x14ac:dyDescent="0.25">
      <c r="B536" t="s">
        <v>508</v>
      </c>
      <c r="C536" s="22" t="s">
        <v>24</v>
      </c>
      <c r="D536">
        <v>1</v>
      </c>
      <c r="G536" s="30">
        <f>Table132[[#This Row],[nb win]]/Table132[[#This Row],[nb play]]</f>
        <v>0</v>
      </c>
      <c r="H536" t="str">
        <f>MID(Table132[[#This Row],[ÉTAT]],VALUE(RIGHT(Table132[[#This Row],[next move]],1))+1+VALUE(LEFT(Table132[[#This Row],[next move]],1))*3,1)</f>
        <v>V</v>
      </c>
      <c r="I536" t="str">
        <f>Table132[[#This Row],[ÉTAT]]&amp;Table132[[#This Row],[next move]]</f>
        <v>VVVMEMEVV00</v>
      </c>
    </row>
    <row r="537" spans="2:9" x14ac:dyDescent="0.25">
      <c r="B537" t="s">
        <v>508</v>
      </c>
      <c r="C537" s="22" t="s">
        <v>26</v>
      </c>
      <c r="D537">
        <v>1</v>
      </c>
      <c r="G537" s="25">
        <f>Table132[[#This Row],[nb win]]/Table132[[#This Row],[nb play]]</f>
        <v>0</v>
      </c>
      <c r="H537" t="str">
        <f>MID(Table132[[#This Row],[ÉTAT]],VALUE(RIGHT(Table132[[#This Row],[next move]],1))+1+VALUE(LEFT(Table132[[#This Row],[next move]],1))*3,1)</f>
        <v>V</v>
      </c>
      <c r="I537" t="str">
        <f>Table132[[#This Row],[ÉTAT]]&amp;Table132[[#This Row],[next move]]</f>
        <v>VVVMEMEVV01</v>
      </c>
    </row>
    <row r="538" spans="2:9" x14ac:dyDescent="0.25">
      <c r="B538" t="s">
        <v>508</v>
      </c>
      <c r="C538" s="22" t="s">
        <v>20</v>
      </c>
      <c r="D538">
        <v>3</v>
      </c>
      <c r="E538">
        <v>2</v>
      </c>
      <c r="G538" s="25">
        <f>Table132[[#This Row],[nb win]]/Table132[[#This Row],[nb play]]</f>
        <v>0.66666666666666663</v>
      </c>
      <c r="H538" t="str">
        <f>MID(Table132[[#This Row],[ÉTAT]],VALUE(RIGHT(Table132[[#This Row],[next move]],1))+1+VALUE(LEFT(Table132[[#This Row],[next move]],1))*3,1)</f>
        <v>V</v>
      </c>
      <c r="I538" t="str">
        <f>Table132[[#This Row],[ÉTAT]]&amp;Table132[[#This Row],[next move]]</f>
        <v>VVVMEMEVV02</v>
      </c>
    </row>
    <row r="539" spans="2:9" x14ac:dyDescent="0.25">
      <c r="B539" t="s">
        <v>508</v>
      </c>
      <c r="C539" s="22" t="s">
        <v>22</v>
      </c>
      <c r="D539">
        <v>1</v>
      </c>
      <c r="G539" s="30">
        <f>Table132[[#This Row],[nb win]]/Table132[[#This Row],[nb play]]</f>
        <v>0</v>
      </c>
      <c r="H539" t="str">
        <f>MID(Table132[[#This Row],[ÉTAT]],VALUE(RIGHT(Table132[[#This Row],[next move]],1))+1+VALUE(LEFT(Table132[[#This Row],[next move]],1))*3,1)</f>
        <v>V</v>
      </c>
      <c r="I539" t="str">
        <f>Table132[[#This Row],[ÉTAT]]&amp;Table132[[#This Row],[next move]]</f>
        <v>VVVMEMEVV21</v>
      </c>
    </row>
    <row r="540" spans="2:9" x14ac:dyDescent="0.25">
      <c r="B540" t="s">
        <v>508</v>
      </c>
      <c r="C540" s="22" t="s">
        <v>31</v>
      </c>
      <c r="D540">
        <v>1</v>
      </c>
      <c r="G540" s="25">
        <f>Table132[[#This Row],[nb win]]/Table132[[#This Row],[nb play]]</f>
        <v>0</v>
      </c>
      <c r="H540" t="str">
        <f>MID(Table132[[#This Row],[ÉTAT]],VALUE(RIGHT(Table132[[#This Row],[next move]],1))+1+VALUE(LEFT(Table132[[#This Row],[next move]],1))*3,1)</f>
        <v>V</v>
      </c>
      <c r="I540" t="str">
        <f>Table132[[#This Row],[ÉTAT]]&amp;Table132[[#This Row],[next move]]</f>
        <v>VVVMEMEVV22</v>
      </c>
    </row>
    <row r="541" spans="2:9" x14ac:dyDescent="0.25">
      <c r="B541" t="s">
        <v>1175</v>
      </c>
      <c r="C541" s="22" t="s">
        <v>24</v>
      </c>
      <c r="D541">
        <v>1</v>
      </c>
      <c r="G541" s="25">
        <f>Table132[[#This Row],[nb win]]/Table132[[#This Row],[nb play]]</f>
        <v>0</v>
      </c>
      <c r="H541" t="str">
        <f>MID(Table132[[#This Row],[ÉTAT]],VALUE(RIGHT(Table132[[#This Row],[next move]],1))+1+VALUE(LEFT(Table132[[#This Row],[next move]],1))*3,1)</f>
        <v>V</v>
      </c>
      <c r="I541" t="str">
        <f>Table132[[#This Row],[ÉTAT]]&amp;Table132[[#This Row],[next move]]</f>
        <v>VVVMEMEVE00</v>
      </c>
    </row>
    <row r="542" spans="2:9" x14ac:dyDescent="0.25">
      <c r="B542" t="s">
        <v>1175</v>
      </c>
      <c r="C542" s="22" t="s">
        <v>26</v>
      </c>
      <c r="D542">
        <v>2</v>
      </c>
      <c r="G542" s="30">
        <f>Table132[[#This Row],[nb win]]/Table132[[#This Row],[nb play]]</f>
        <v>0</v>
      </c>
      <c r="H542" t="str">
        <f>MID(Table132[[#This Row],[ÉTAT]],VALUE(RIGHT(Table132[[#This Row],[next move]],1))+1+VALUE(LEFT(Table132[[#This Row],[next move]],1))*3,1)</f>
        <v>V</v>
      </c>
      <c r="I542" t="str">
        <f>Table132[[#This Row],[ÉTAT]]&amp;Table132[[#This Row],[next move]]</f>
        <v>VVVMEMEVE01</v>
      </c>
    </row>
    <row r="543" spans="2:9" x14ac:dyDescent="0.25">
      <c r="B543" t="s">
        <v>1175</v>
      </c>
      <c r="C543" s="22" t="s">
        <v>20</v>
      </c>
      <c r="D543">
        <v>1</v>
      </c>
      <c r="G543" s="25">
        <f>Table132[[#This Row],[nb win]]/Table132[[#This Row],[nb play]]</f>
        <v>0</v>
      </c>
      <c r="H543" t="str">
        <f>MID(Table132[[#This Row],[ÉTAT]],VALUE(RIGHT(Table132[[#This Row],[next move]],1))+1+VALUE(LEFT(Table132[[#This Row],[next move]],1))*3,1)</f>
        <v>V</v>
      </c>
      <c r="I543" t="str">
        <f>Table132[[#This Row],[ÉTAT]]&amp;Table132[[#This Row],[next move]]</f>
        <v>VVVMEMEVE02</v>
      </c>
    </row>
    <row r="544" spans="2:9" x14ac:dyDescent="0.25">
      <c r="B544" t="s">
        <v>1175</v>
      </c>
      <c r="C544" s="22" t="s">
        <v>22</v>
      </c>
      <c r="D544">
        <v>1</v>
      </c>
      <c r="G544" s="30">
        <f>Table132[[#This Row],[nb win]]/Table132[[#This Row],[nb play]]</f>
        <v>0</v>
      </c>
      <c r="H544" t="str">
        <f>MID(Table132[[#This Row],[ÉTAT]],VALUE(RIGHT(Table132[[#This Row],[next move]],1))+1+VALUE(LEFT(Table132[[#This Row],[next move]],1))*3,1)</f>
        <v>V</v>
      </c>
      <c r="I544" t="str">
        <f>Table132[[#This Row],[ÉTAT]]&amp;Table132[[#This Row],[next move]]</f>
        <v>VVVMEMEVE21</v>
      </c>
    </row>
    <row r="545" spans="2:9" x14ac:dyDescent="0.25">
      <c r="B545" t="s">
        <v>3308</v>
      </c>
      <c r="C545" s="22" t="s">
        <v>20</v>
      </c>
      <c r="D545">
        <v>1</v>
      </c>
      <c r="G545" s="30">
        <f>Table132[[#This Row],[nb win]]/Table132[[#This Row],[nb play]]</f>
        <v>0</v>
      </c>
      <c r="H545" t="str">
        <f>MID(Table132[[#This Row],[ÉTAT]],VALUE(RIGHT(Table132[[#This Row],[next move]],1))+1+VALUE(LEFT(Table132[[#This Row],[next move]],1))*3,1)</f>
        <v>V</v>
      </c>
      <c r="I545" t="str">
        <f>Table132[[#This Row],[ÉTAT]]&amp;Table132[[#This Row],[next move]]</f>
        <v>VVVMEMEME02</v>
      </c>
    </row>
    <row r="546" spans="2:9" x14ac:dyDescent="0.25">
      <c r="B546" t="s">
        <v>308</v>
      </c>
      <c r="C546" s="22" t="s">
        <v>24</v>
      </c>
      <c r="D546">
        <v>4</v>
      </c>
      <c r="E546">
        <v>3</v>
      </c>
      <c r="G546" s="31">
        <f>Table132[[#This Row],[nb win]]/Table132[[#This Row],[nb play]]</f>
        <v>0.75</v>
      </c>
      <c r="H546" t="str">
        <f>MID(Table132[[#This Row],[ÉTAT]],VALUE(RIGHT(Table132[[#This Row],[next move]],1))+1+VALUE(LEFT(Table132[[#This Row],[next move]],1))*3,1)</f>
        <v>V</v>
      </c>
      <c r="I546" t="str">
        <f>Table132[[#This Row],[ÉTAT]]&amp;Table132[[#This Row],[next move]]</f>
        <v>VVVMEEVVV00</v>
      </c>
    </row>
    <row r="547" spans="2:9" x14ac:dyDescent="0.25">
      <c r="B547" t="s">
        <v>308</v>
      </c>
      <c r="C547" s="22" t="s">
        <v>26</v>
      </c>
      <c r="D547">
        <v>2</v>
      </c>
      <c r="E547">
        <v>1</v>
      </c>
      <c r="G547" s="31">
        <f>Table132[[#This Row],[nb win]]/Table132[[#This Row],[nb play]]</f>
        <v>0.5</v>
      </c>
      <c r="H547" t="str">
        <f>MID(Table132[[#This Row],[ÉTAT]],VALUE(RIGHT(Table132[[#This Row],[next move]],1))+1+VALUE(LEFT(Table132[[#This Row],[next move]],1))*3,1)</f>
        <v>V</v>
      </c>
      <c r="I547" t="str">
        <f>Table132[[#This Row],[ÉTAT]]&amp;Table132[[#This Row],[next move]]</f>
        <v>VVVMEEVVV01</v>
      </c>
    </row>
    <row r="548" spans="2:9" x14ac:dyDescent="0.25">
      <c r="B548" t="s">
        <v>308</v>
      </c>
      <c r="C548" s="22" t="s">
        <v>20</v>
      </c>
      <c r="D548">
        <v>3</v>
      </c>
      <c r="G548" s="25">
        <f>Table132[[#This Row],[nb win]]/Table132[[#This Row],[nb play]]</f>
        <v>0</v>
      </c>
      <c r="H548" t="str">
        <f>MID(Table132[[#This Row],[ÉTAT]],VALUE(RIGHT(Table132[[#This Row],[next move]],1))+1+VALUE(LEFT(Table132[[#This Row],[next move]],1))*3,1)</f>
        <v>V</v>
      </c>
      <c r="I548" t="str">
        <f>Table132[[#This Row],[ÉTAT]]&amp;Table132[[#This Row],[next move]]</f>
        <v>VVVMEEVVV02</v>
      </c>
    </row>
    <row r="549" spans="2:9" x14ac:dyDescent="0.25">
      <c r="B549" t="s">
        <v>308</v>
      </c>
      <c r="C549" s="22" t="s">
        <v>35</v>
      </c>
      <c r="D549">
        <v>2</v>
      </c>
      <c r="E549">
        <v>1</v>
      </c>
      <c r="G549" s="31">
        <f>Table132[[#This Row],[nb win]]/Table132[[#This Row],[nb play]]</f>
        <v>0.5</v>
      </c>
      <c r="H549" t="str">
        <f>MID(Table132[[#This Row],[ÉTAT]],VALUE(RIGHT(Table132[[#This Row],[next move]],1))+1+VALUE(LEFT(Table132[[#This Row],[next move]],1))*3,1)</f>
        <v>V</v>
      </c>
      <c r="I549" t="str">
        <f>Table132[[#This Row],[ÉTAT]]&amp;Table132[[#This Row],[next move]]</f>
        <v>VVVMEEVVV20</v>
      </c>
    </row>
    <row r="550" spans="2:9" x14ac:dyDescent="0.25">
      <c r="B550" t="s">
        <v>308</v>
      </c>
      <c r="C550" s="22" t="s">
        <v>22</v>
      </c>
      <c r="D550">
        <v>3</v>
      </c>
      <c r="E550">
        <v>2</v>
      </c>
      <c r="G550" s="31">
        <f>Table132[[#This Row],[nb win]]/Table132[[#This Row],[nb play]]</f>
        <v>0.66666666666666663</v>
      </c>
      <c r="H550" t="str">
        <f>MID(Table132[[#This Row],[ÉTAT]],VALUE(RIGHT(Table132[[#This Row],[next move]],1))+1+VALUE(LEFT(Table132[[#This Row],[next move]],1))*3,1)</f>
        <v>V</v>
      </c>
      <c r="I550" t="str">
        <f>Table132[[#This Row],[ÉTAT]]&amp;Table132[[#This Row],[next move]]</f>
        <v>VVVMEEVVV21</v>
      </c>
    </row>
    <row r="551" spans="2:9" x14ac:dyDescent="0.25">
      <c r="B551" t="s">
        <v>308</v>
      </c>
      <c r="C551" s="22" t="s">
        <v>31</v>
      </c>
      <c r="D551">
        <v>2</v>
      </c>
      <c r="G551" s="25">
        <f>Table132[[#This Row],[nb win]]/Table132[[#This Row],[nb play]]</f>
        <v>0</v>
      </c>
      <c r="H551" t="str">
        <f>MID(Table132[[#This Row],[ÉTAT]],VALUE(RIGHT(Table132[[#This Row],[next move]],1))+1+VALUE(LEFT(Table132[[#This Row],[next move]],1))*3,1)</f>
        <v>V</v>
      </c>
      <c r="I551" t="str">
        <f>Table132[[#This Row],[ÉTAT]]&amp;Table132[[#This Row],[next move]]</f>
        <v>VVVMEEVVV22</v>
      </c>
    </row>
    <row r="552" spans="2:9" x14ac:dyDescent="0.25">
      <c r="B552" t="s">
        <v>3037</v>
      </c>
      <c r="C552" s="22" t="s">
        <v>24</v>
      </c>
      <c r="D552">
        <v>2</v>
      </c>
      <c r="E552">
        <v>1</v>
      </c>
      <c r="G552" s="30">
        <f>Table132[[#This Row],[nb win]]/Table132[[#This Row],[nb play]]</f>
        <v>0.5</v>
      </c>
      <c r="H552" t="str">
        <f>MID(Table132[[#This Row],[ÉTAT]],VALUE(RIGHT(Table132[[#This Row],[next move]],1))+1+VALUE(LEFT(Table132[[#This Row],[next move]],1))*3,1)</f>
        <v>V</v>
      </c>
      <c r="I552" t="str">
        <f>Table132[[#This Row],[ÉTAT]]&amp;Table132[[#This Row],[next move]]</f>
        <v>VVVMEEVMV00</v>
      </c>
    </row>
    <row r="553" spans="2:9" x14ac:dyDescent="0.25">
      <c r="B553" t="s">
        <v>3461</v>
      </c>
      <c r="C553" s="22" t="s">
        <v>35</v>
      </c>
      <c r="D553">
        <v>1</v>
      </c>
      <c r="G553" s="30">
        <f>Table132[[#This Row],[nb win]]/Table132[[#This Row],[nb play]]</f>
        <v>0</v>
      </c>
      <c r="H553" t="str">
        <f>MID(Table132[[#This Row],[ÉTAT]],VALUE(RIGHT(Table132[[#This Row],[next move]],1))+1+VALUE(LEFT(Table132[[#This Row],[next move]],1))*3,1)</f>
        <v>V</v>
      </c>
      <c r="I553" t="str">
        <f>Table132[[#This Row],[ÉTAT]]&amp;Table132[[#This Row],[next move]]</f>
        <v>VVVMEEVME20</v>
      </c>
    </row>
    <row r="554" spans="2:9" x14ac:dyDescent="0.25">
      <c r="B554" t="s">
        <v>553</v>
      </c>
      <c r="C554" s="22" t="s">
        <v>24</v>
      </c>
      <c r="D554">
        <v>1</v>
      </c>
      <c r="G554" s="25">
        <f>Table132[[#This Row],[nb win]]/Table132[[#This Row],[nb play]]</f>
        <v>0</v>
      </c>
      <c r="H554" t="str">
        <f>MID(Table132[[#This Row],[ÉTAT]],VALUE(RIGHT(Table132[[#This Row],[next move]],1))+1+VALUE(LEFT(Table132[[#This Row],[next move]],1))*3,1)</f>
        <v>V</v>
      </c>
      <c r="I554" t="str">
        <f>Table132[[#This Row],[ÉTAT]]&amp;Table132[[#This Row],[next move]]</f>
        <v>VVVMEEVEM00</v>
      </c>
    </row>
    <row r="555" spans="2:9" x14ac:dyDescent="0.25">
      <c r="B555" t="s">
        <v>553</v>
      </c>
      <c r="C555" s="22" t="s">
        <v>20</v>
      </c>
      <c r="D555">
        <v>1</v>
      </c>
      <c r="G555" s="25">
        <f>Table132[[#This Row],[nb win]]/Table132[[#This Row],[nb play]]</f>
        <v>0</v>
      </c>
      <c r="H555" t="str">
        <f>MID(Table132[[#This Row],[ÉTAT]],VALUE(RIGHT(Table132[[#This Row],[next move]],1))+1+VALUE(LEFT(Table132[[#This Row],[next move]],1))*3,1)</f>
        <v>V</v>
      </c>
      <c r="I555" t="str">
        <f>Table132[[#This Row],[ÉTAT]]&amp;Table132[[#This Row],[next move]]</f>
        <v>VVVMEEVEM02</v>
      </c>
    </row>
    <row r="556" spans="2:9" x14ac:dyDescent="0.25">
      <c r="B556" t="s">
        <v>553</v>
      </c>
      <c r="C556" s="22" t="s">
        <v>35</v>
      </c>
      <c r="D556">
        <v>1</v>
      </c>
      <c r="G556" s="25">
        <f>Table132[[#This Row],[nb win]]/Table132[[#This Row],[nb play]]</f>
        <v>0</v>
      </c>
      <c r="H556" t="str">
        <f>MID(Table132[[#This Row],[ÉTAT]],VALUE(RIGHT(Table132[[#This Row],[next move]],1))+1+VALUE(LEFT(Table132[[#This Row],[next move]],1))*3,1)</f>
        <v>V</v>
      </c>
      <c r="I556" t="str">
        <f>Table132[[#This Row],[ÉTAT]]&amp;Table132[[#This Row],[next move]]</f>
        <v>VVVMEEVEM20</v>
      </c>
    </row>
    <row r="557" spans="2:9" x14ac:dyDescent="0.25">
      <c r="B557" t="s">
        <v>2172</v>
      </c>
      <c r="C557" s="22" t="s">
        <v>22</v>
      </c>
      <c r="D557">
        <v>2</v>
      </c>
      <c r="E557">
        <v>2</v>
      </c>
      <c r="G557" s="31">
        <f>Table132[[#This Row],[nb win]]/Table132[[#This Row],[nb play]]</f>
        <v>1</v>
      </c>
      <c r="H557" t="str">
        <f>MID(Table132[[#This Row],[ÉTAT]],VALUE(RIGHT(Table132[[#This Row],[next move]],1))+1+VALUE(LEFT(Table132[[#This Row],[next move]],1))*3,1)</f>
        <v>V</v>
      </c>
      <c r="I557" t="str">
        <f>Table132[[#This Row],[ÉTAT]]&amp;Table132[[#This Row],[next move]]</f>
        <v>VVVMEEMVV21</v>
      </c>
    </row>
    <row r="558" spans="2:9" x14ac:dyDescent="0.25">
      <c r="B558" t="s">
        <v>2848</v>
      </c>
      <c r="C558" s="22" t="s">
        <v>24</v>
      </c>
      <c r="D558">
        <v>1</v>
      </c>
      <c r="E558">
        <v>1</v>
      </c>
      <c r="G558" s="31">
        <f>Table132[[#This Row],[nb win]]/Table132[[#This Row],[nb play]]</f>
        <v>1</v>
      </c>
      <c r="H558" t="str">
        <f>MID(Table132[[#This Row],[ÉTAT]],VALUE(RIGHT(Table132[[#This Row],[next move]],1))+1+VALUE(LEFT(Table132[[#This Row],[next move]],1))*3,1)</f>
        <v>V</v>
      </c>
      <c r="I558" t="str">
        <f>Table132[[#This Row],[ÉTAT]]&amp;Table132[[#This Row],[next move]]</f>
        <v>VVVMEEMVE00</v>
      </c>
    </row>
    <row r="559" spans="2:9" x14ac:dyDescent="0.25">
      <c r="B559" t="s">
        <v>2848</v>
      </c>
      <c r="C559" s="22" t="s">
        <v>20</v>
      </c>
      <c r="D559">
        <v>1</v>
      </c>
      <c r="G559" s="25">
        <f>Table132[[#This Row],[nb win]]/Table132[[#This Row],[nb play]]</f>
        <v>0</v>
      </c>
      <c r="H559" t="str">
        <f>MID(Table132[[#This Row],[ÉTAT]],VALUE(RIGHT(Table132[[#This Row],[next move]],1))+1+VALUE(LEFT(Table132[[#This Row],[next move]],1))*3,1)</f>
        <v>V</v>
      </c>
      <c r="I559" t="str">
        <f>Table132[[#This Row],[ÉTAT]]&amp;Table132[[#This Row],[next move]]</f>
        <v>VVVMEEMVE02</v>
      </c>
    </row>
    <row r="560" spans="2:9" x14ac:dyDescent="0.25">
      <c r="B560" t="s">
        <v>2848</v>
      </c>
      <c r="C560" s="22" t="s">
        <v>22</v>
      </c>
      <c r="D560">
        <v>1</v>
      </c>
      <c r="G560" s="25">
        <f>Table132[[#This Row],[nb win]]/Table132[[#This Row],[nb play]]</f>
        <v>0</v>
      </c>
      <c r="H560" t="str">
        <f>MID(Table132[[#This Row],[ÉTAT]],VALUE(RIGHT(Table132[[#This Row],[next move]],1))+1+VALUE(LEFT(Table132[[#This Row],[next move]],1))*3,1)</f>
        <v>V</v>
      </c>
      <c r="I560" t="str">
        <f>Table132[[#This Row],[ÉTAT]]&amp;Table132[[#This Row],[next move]]</f>
        <v>VVVMEEMVE21</v>
      </c>
    </row>
    <row r="561" spans="2:9" x14ac:dyDescent="0.25">
      <c r="B561" t="s">
        <v>2219</v>
      </c>
      <c r="C561" s="22" t="s">
        <v>24</v>
      </c>
      <c r="D561">
        <v>2</v>
      </c>
      <c r="E561">
        <v>2</v>
      </c>
      <c r="G561" s="31">
        <f>Table132[[#This Row],[nb win]]/Table132[[#This Row],[nb play]]</f>
        <v>1</v>
      </c>
      <c r="H561" t="str">
        <f>MID(Table132[[#This Row],[ÉTAT]],VALUE(RIGHT(Table132[[#This Row],[next move]],1))+1+VALUE(LEFT(Table132[[#This Row],[next move]],1))*3,1)</f>
        <v>V</v>
      </c>
      <c r="I561" t="str">
        <f>Table132[[#This Row],[ÉTAT]]&amp;Table132[[#This Row],[next move]]</f>
        <v>VVVMEEMME00</v>
      </c>
    </row>
    <row r="562" spans="2:9" x14ac:dyDescent="0.25">
      <c r="B562" t="s">
        <v>2219</v>
      </c>
      <c r="C562" s="22" t="s">
        <v>26</v>
      </c>
      <c r="D562">
        <v>2</v>
      </c>
      <c r="G562" s="30">
        <f>Table132[[#This Row],[nb win]]/Table132[[#This Row],[nb play]]</f>
        <v>0</v>
      </c>
      <c r="H562" t="str">
        <f>MID(Table132[[#This Row],[ÉTAT]],VALUE(RIGHT(Table132[[#This Row],[next move]],1))+1+VALUE(LEFT(Table132[[#This Row],[next move]],1))*3,1)</f>
        <v>V</v>
      </c>
      <c r="I562" t="str">
        <f>Table132[[#This Row],[ÉTAT]]&amp;Table132[[#This Row],[next move]]</f>
        <v>VVVMEEMME01</v>
      </c>
    </row>
    <row r="563" spans="2:9" x14ac:dyDescent="0.25">
      <c r="B563" t="s">
        <v>2219</v>
      </c>
      <c r="C563" s="22" t="s">
        <v>20</v>
      </c>
      <c r="D563">
        <v>1</v>
      </c>
      <c r="G563" s="25">
        <f>Table132[[#This Row],[nb win]]/Table132[[#This Row],[nb play]]</f>
        <v>0</v>
      </c>
      <c r="H563" t="str">
        <f>MID(Table132[[#This Row],[ÉTAT]],VALUE(RIGHT(Table132[[#This Row],[next move]],1))+1+VALUE(LEFT(Table132[[#This Row],[next move]],1))*3,1)</f>
        <v>V</v>
      </c>
      <c r="I563" t="str">
        <f>Table132[[#This Row],[ÉTAT]]&amp;Table132[[#This Row],[next move]]</f>
        <v>VVVMEEMME02</v>
      </c>
    </row>
    <row r="564" spans="2:9" x14ac:dyDescent="0.25">
      <c r="B564" t="s">
        <v>497</v>
      </c>
      <c r="C564" s="22" t="s">
        <v>24</v>
      </c>
      <c r="D564">
        <v>2</v>
      </c>
      <c r="E564">
        <v>2</v>
      </c>
      <c r="G564" s="25">
        <f>Table132[[#This Row],[nb win]]/Table132[[#This Row],[nb play]]</f>
        <v>1</v>
      </c>
      <c r="H564" t="str">
        <f>MID(Table132[[#This Row],[ÉTAT]],VALUE(RIGHT(Table132[[#This Row],[next move]],1))+1+VALUE(LEFT(Table132[[#This Row],[next move]],1))*3,1)</f>
        <v>V</v>
      </c>
      <c r="I564" t="str">
        <f>Table132[[#This Row],[ÉTAT]]&amp;Table132[[#This Row],[next move]]</f>
        <v>VVVMEEMEV00</v>
      </c>
    </row>
    <row r="565" spans="2:9" x14ac:dyDescent="0.25">
      <c r="B565" t="s">
        <v>497</v>
      </c>
      <c r="C565" s="22" t="s">
        <v>20</v>
      </c>
      <c r="D565">
        <v>2</v>
      </c>
      <c r="G565" s="25">
        <f>Table132[[#This Row],[nb win]]/Table132[[#This Row],[nb play]]</f>
        <v>0</v>
      </c>
      <c r="H565" t="str">
        <f>MID(Table132[[#This Row],[ÉTAT]],VALUE(RIGHT(Table132[[#This Row],[next move]],1))+1+VALUE(LEFT(Table132[[#This Row],[next move]],1))*3,1)</f>
        <v>V</v>
      </c>
      <c r="I565" t="str">
        <f>Table132[[#This Row],[ÉTAT]]&amp;Table132[[#This Row],[next move]]</f>
        <v>VVVMEEMEV02</v>
      </c>
    </row>
    <row r="566" spans="2:9" x14ac:dyDescent="0.25">
      <c r="B566" t="s">
        <v>149</v>
      </c>
      <c r="C566" s="22" t="s">
        <v>24</v>
      </c>
      <c r="D566">
        <v>1</v>
      </c>
      <c r="G566" s="25">
        <f>Table132[[#This Row],[nb win]]/Table132[[#This Row],[nb play]]</f>
        <v>0</v>
      </c>
      <c r="H566" t="str">
        <f>MID(Table132[[#This Row],[ÉTAT]],VALUE(RIGHT(Table132[[#This Row],[next move]],1))+1+VALUE(LEFT(Table132[[#This Row],[next move]],1))*3,1)</f>
        <v>V</v>
      </c>
      <c r="I566" t="str">
        <f>Table132[[#This Row],[ÉTAT]]&amp;Table132[[#This Row],[next move]]</f>
        <v>VVVMEEEVM00</v>
      </c>
    </row>
    <row r="567" spans="2:9" x14ac:dyDescent="0.25">
      <c r="B567" t="s">
        <v>149</v>
      </c>
      <c r="C567" s="22" t="s">
        <v>26</v>
      </c>
      <c r="D567">
        <v>1</v>
      </c>
      <c r="G567" s="25">
        <f>Table132[[#This Row],[nb win]]/Table132[[#This Row],[nb play]]</f>
        <v>0</v>
      </c>
      <c r="H567" t="str">
        <f>MID(Table132[[#This Row],[ÉTAT]],VALUE(RIGHT(Table132[[#This Row],[next move]],1))+1+VALUE(LEFT(Table132[[#This Row],[next move]],1))*3,1)</f>
        <v>V</v>
      </c>
      <c r="I567" t="str">
        <f>Table132[[#This Row],[ÉTAT]]&amp;Table132[[#This Row],[next move]]</f>
        <v>VVVMEEEVM01</v>
      </c>
    </row>
    <row r="568" spans="2:9" x14ac:dyDescent="0.25">
      <c r="B568" t="s">
        <v>149</v>
      </c>
      <c r="C568" s="22" t="s">
        <v>20</v>
      </c>
      <c r="D568">
        <v>1</v>
      </c>
      <c r="G568" s="30">
        <f>Table132[[#This Row],[nb win]]/Table132[[#This Row],[nb play]]</f>
        <v>0</v>
      </c>
      <c r="H568" t="str">
        <f>MID(Table132[[#This Row],[ÉTAT]],VALUE(RIGHT(Table132[[#This Row],[next move]],1))+1+VALUE(LEFT(Table132[[#This Row],[next move]],1))*3,1)</f>
        <v>V</v>
      </c>
      <c r="I568" t="str">
        <f>Table132[[#This Row],[ÉTAT]]&amp;Table132[[#This Row],[next move]]</f>
        <v>VVVMEEEVM02</v>
      </c>
    </row>
    <row r="569" spans="2:9" x14ac:dyDescent="0.25">
      <c r="B569" t="s">
        <v>559</v>
      </c>
      <c r="C569" s="22" t="s">
        <v>24</v>
      </c>
      <c r="D569">
        <v>1</v>
      </c>
      <c r="G569" s="25">
        <f>Table132[[#This Row],[nb win]]/Table132[[#This Row],[nb play]]</f>
        <v>0</v>
      </c>
      <c r="H569" t="str">
        <f>MID(Table132[[#This Row],[ÉTAT]],VALUE(RIGHT(Table132[[#This Row],[next move]],1))+1+VALUE(LEFT(Table132[[#This Row],[next move]],1))*3,1)</f>
        <v>V</v>
      </c>
      <c r="I569" t="str">
        <f>Table132[[#This Row],[ÉTAT]]&amp;Table132[[#This Row],[next move]]</f>
        <v>VVVMEEEMV00</v>
      </c>
    </row>
    <row r="570" spans="2:9" x14ac:dyDescent="0.25">
      <c r="B570" t="s">
        <v>559</v>
      </c>
      <c r="C570" s="22" t="s">
        <v>26</v>
      </c>
      <c r="D570">
        <v>1</v>
      </c>
      <c r="G570" s="25">
        <f>Table132[[#This Row],[nb win]]/Table132[[#This Row],[nb play]]</f>
        <v>0</v>
      </c>
      <c r="H570" t="str">
        <f>MID(Table132[[#This Row],[ÉTAT]],VALUE(RIGHT(Table132[[#This Row],[next move]],1))+1+VALUE(LEFT(Table132[[#This Row],[next move]],1))*3,1)</f>
        <v>V</v>
      </c>
      <c r="I570" t="str">
        <f>Table132[[#This Row],[ÉTAT]]&amp;Table132[[#This Row],[next move]]</f>
        <v>VVVMEEEMV01</v>
      </c>
    </row>
    <row r="571" spans="2:9" x14ac:dyDescent="0.25">
      <c r="B571" t="s">
        <v>47</v>
      </c>
      <c r="C571" s="22" t="s">
        <v>24</v>
      </c>
      <c r="D571">
        <v>48</v>
      </c>
      <c r="E571">
        <v>18</v>
      </c>
      <c r="G571" s="30">
        <f>Table132[[#This Row],[nb win]]/Table132[[#This Row],[nb play]]</f>
        <v>0.375</v>
      </c>
      <c r="H571" t="str">
        <f>MID(Table132[[#This Row],[ÉTAT]],VALUE(RIGHT(Table132[[#This Row],[next move]],1))+1+VALUE(LEFT(Table132[[#This Row],[next move]],1))*3,1)</f>
        <v>V</v>
      </c>
      <c r="I571" t="str">
        <f>Table132[[#This Row],[ÉTAT]]&amp;Table132[[#This Row],[next move]]</f>
        <v>VVVEVVVVV00</v>
      </c>
    </row>
    <row r="572" spans="2:9" x14ac:dyDescent="0.25">
      <c r="B572" t="s">
        <v>47</v>
      </c>
      <c r="C572" s="22" t="s">
        <v>26</v>
      </c>
      <c r="D572">
        <v>52</v>
      </c>
      <c r="E572">
        <v>16</v>
      </c>
      <c r="G572" s="30">
        <f>Table132[[#This Row],[nb win]]/Table132[[#This Row],[nb play]]</f>
        <v>0.30769230769230771</v>
      </c>
      <c r="H572" t="str">
        <f>MID(Table132[[#This Row],[ÉTAT]],VALUE(RIGHT(Table132[[#This Row],[next move]],1))+1+VALUE(LEFT(Table132[[#This Row],[next move]],1))*3,1)</f>
        <v>V</v>
      </c>
      <c r="I572" t="str">
        <f>Table132[[#This Row],[ÉTAT]]&amp;Table132[[#This Row],[next move]]</f>
        <v>VVVEVVVVV01</v>
      </c>
    </row>
    <row r="573" spans="2:9" x14ac:dyDescent="0.25">
      <c r="B573" t="s">
        <v>47</v>
      </c>
      <c r="C573" s="22" t="s">
        <v>20</v>
      </c>
      <c r="D573">
        <v>61</v>
      </c>
      <c r="E573">
        <v>24</v>
      </c>
      <c r="G573" s="30">
        <f>Table132[[#This Row],[nb win]]/Table132[[#This Row],[nb play]]</f>
        <v>0.39344262295081966</v>
      </c>
      <c r="H573" t="str">
        <f>MID(Table132[[#This Row],[ÉTAT]],VALUE(RIGHT(Table132[[#This Row],[next move]],1))+1+VALUE(LEFT(Table132[[#This Row],[next move]],1))*3,1)</f>
        <v>V</v>
      </c>
      <c r="I573" t="str">
        <f>Table132[[#This Row],[ÉTAT]]&amp;Table132[[#This Row],[next move]]</f>
        <v>VVVEVVVVV02</v>
      </c>
    </row>
    <row r="574" spans="2:9" x14ac:dyDescent="0.25">
      <c r="B574" t="s">
        <v>47</v>
      </c>
      <c r="C574" s="22" t="s">
        <v>29</v>
      </c>
      <c r="D574">
        <v>56</v>
      </c>
      <c r="E574">
        <v>29</v>
      </c>
      <c r="G574" s="30">
        <f>Table132[[#This Row],[nb win]]/Table132[[#This Row],[nb play]]</f>
        <v>0.5178571428571429</v>
      </c>
      <c r="H574" t="str">
        <f>MID(Table132[[#This Row],[ÉTAT]],VALUE(RIGHT(Table132[[#This Row],[next move]],1))+1+VALUE(LEFT(Table132[[#This Row],[next move]],1))*3,1)</f>
        <v>V</v>
      </c>
      <c r="I574" t="str">
        <f>Table132[[#This Row],[ÉTAT]]&amp;Table132[[#This Row],[next move]]</f>
        <v>VVVEVVVVV11</v>
      </c>
    </row>
    <row r="575" spans="2:9" x14ac:dyDescent="0.25">
      <c r="B575" t="s">
        <v>47</v>
      </c>
      <c r="C575" s="22" t="s">
        <v>28</v>
      </c>
      <c r="D575">
        <v>32</v>
      </c>
      <c r="E575">
        <v>6</v>
      </c>
      <c r="G575" s="30">
        <f>Table132[[#This Row],[nb win]]/Table132[[#This Row],[nb play]]</f>
        <v>0.1875</v>
      </c>
      <c r="H575" t="str">
        <f>MID(Table132[[#This Row],[ÉTAT]],VALUE(RIGHT(Table132[[#This Row],[next move]],1))+1+VALUE(LEFT(Table132[[#This Row],[next move]],1))*3,1)</f>
        <v>V</v>
      </c>
      <c r="I575" t="str">
        <f>Table132[[#This Row],[ÉTAT]]&amp;Table132[[#This Row],[next move]]</f>
        <v>VVVEVVVVV12</v>
      </c>
    </row>
    <row r="576" spans="2:9" x14ac:dyDescent="0.25">
      <c r="B576" t="s">
        <v>47</v>
      </c>
      <c r="C576" s="22" t="s">
        <v>35</v>
      </c>
      <c r="D576">
        <v>47</v>
      </c>
      <c r="E576">
        <v>19</v>
      </c>
      <c r="G576" s="31">
        <f>Table132[[#This Row],[nb win]]/Table132[[#This Row],[nb play]]</f>
        <v>0.40425531914893614</v>
      </c>
      <c r="H576" t="str">
        <f>MID(Table132[[#This Row],[ÉTAT]],VALUE(RIGHT(Table132[[#This Row],[next move]],1))+1+VALUE(LEFT(Table132[[#This Row],[next move]],1))*3,1)</f>
        <v>V</v>
      </c>
      <c r="I576" t="str">
        <f>Table132[[#This Row],[ÉTAT]]&amp;Table132[[#This Row],[next move]]</f>
        <v>VVVEVVVVV20</v>
      </c>
    </row>
    <row r="577" spans="2:9" x14ac:dyDescent="0.25">
      <c r="B577" t="s">
        <v>47</v>
      </c>
      <c r="C577" s="22" t="s">
        <v>22</v>
      </c>
      <c r="D577">
        <v>48</v>
      </c>
      <c r="E577">
        <v>17</v>
      </c>
      <c r="G577" s="30">
        <f>Table132[[#This Row],[nb win]]/Table132[[#This Row],[nb play]]</f>
        <v>0.35416666666666669</v>
      </c>
      <c r="H577" t="str">
        <f>MID(Table132[[#This Row],[ÉTAT]],VALUE(RIGHT(Table132[[#This Row],[next move]],1))+1+VALUE(LEFT(Table132[[#This Row],[next move]],1))*3,1)</f>
        <v>V</v>
      </c>
      <c r="I577" t="str">
        <f>Table132[[#This Row],[ÉTAT]]&amp;Table132[[#This Row],[next move]]</f>
        <v>VVVEVVVVV21</v>
      </c>
    </row>
    <row r="578" spans="2:9" x14ac:dyDescent="0.25">
      <c r="B578" t="s">
        <v>47</v>
      </c>
      <c r="C578" s="22" t="s">
        <v>31</v>
      </c>
      <c r="D578">
        <v>49</v>
      </c>
      <c r="E578">
        <v>19</v>
      </c>
      <c r="G578" s="31">
        <f>Table132[[#This Row],[nb win]]/Table132[[#This Row],[nb play]]</f>
        <v>0.38775510204081631</v>
      </c>
      <c r="H578" t="str">
        <f>MID(Table132[[#This Row],[ÉTAT]],VALUE(RIGHT(Table132[[#This Row],[next move]],1))+1+VALUE(LEFT(Table132[[#This Row],[next move]],1))*3,1)</f>
        <v>V</v>
      </c>
      <c r="I578" t="str">
        <f>Table132[[#This Row],[ÉTAT]]&amp;Table132[[#This Row],[next move]]</f>
        <v>VVVEVVVVV22</v>
      </c>
    </row>
    <row r="579" spans="2:9" x14ac:dyDescent="0.25">
      <c r="B579" t="s">
        <v>67</v>
      </c>
      <c r="C579" s="22" t="s">
        <v>24</v>
      </c>
      <c r="D579">
        <v>8</v>
      </c>
      <c r="E579">
        <v>6</v>
      </c>
      <c r="G579" s="31">
        <f>Table132[[#This Row],[nb win]]/Table132[[#This Row],[nb play]]</f>
        <v>0.75</v>
      </c>
      <c r="H579" t="str">
        <f>MID(Table132[[#This Row],[ÉTAT]],VALUE(RIGHT(Table132[[#This Row],[next move]],1))+1+VALUE(LEFT(Table132[[#This Row],[next move]],1))*3,1)</f>
        <v>V</v>
      </c>
      <c r="I579" t="str">
        <f>Table132[[#This Row],[ÉTAT]]&amp;Table132[[#This Row],[next move]]</f>
        <v>VVVEVVVVM00</v>
      </c>
    </row>
    <row r="580" spans="2:9" x14ac:dyDescent="0.25">
      <c r="B580" t="s">
        <v>67</v>
      </c>
      <c r="C580" s="22" t="s">
        <v>26</v>
      </c>
      <c r="D580">
        <v>11</v>
      </c>
      <c r="E580">
        <v>5</v>
      </c>
      <c r="G580" s="30">
        <f>Table132[[#This Row],[nb win]]/Table132[[#This Row],[nb play]]</f>
        <v>0.45454545454545453</v>
      </c>
      <c r="H580" t="str">
        <f>MID(Table132[[#This Row],[ÉTAT]],VALUE(RIGHT(Table132[[#This Row],[next move]],1))+1+VALUE(LEFT(Table132[[#This Row],[next move]],1))*3,1)</f>
        <v>V</v>
      </c>
      <c r="I580" t="str">
        <f>Table132[[#This Row],[ÉTAT]]&amp;Table132[[#This Row],[next move]]</f>
        <v>VVVEVVVVM01</v>
      </c>
    </row>
    <row r="581" spans="2:9" x14ac:dyDescent="0.25">
      <c r="B581" t="s">
        <v>67</v>
      </c>
      <c r="C581" s="22" t="s">
        <v>20</v>
      </c>
      <c r="D581">
        <v>6</v>
      </c>
      <c r="E581">
        <v>6</v>
      </c>
      <c r="G581" s="31">
        <f>Table132[[#This Row],[nb win]]/Table132[[#This Row],[nb play]]</f>
        <v>1</v>
      </c>
      <c r="H581" t="str">
        <f>MID(Table132[[#This Row],[ÉTAT]],VALUE(RIGHT(Table132[[#This Row],[next move]],1))+1+VALUE(LEFT(Table132[[#This Row],[next move]],1))*3,1)</f>
        <v>V</v>
      </c>
      <c r="I581" t="str">
        <f>Table132[[#This Row],[ÉTAT]]&amp;Table132[[#This Row],[next move]]</f>
        <v>VVVEVVVVM02</v>
      </c>
    </row>
    <row r="582" spans="2:9" x14ac:dyDescent="0.25">
      <c r="B582" t="s">
        <v>67</v>
      </c>
      <c r="C582" s="22" t="s">
        <v>29</v>
      </c>
      <c r="D582">
        <v>15</v>
      </c>
      <c r="E582">
        <v>11</v>
      </c>
      <c r="G582" s="31">
        <f>Table132[[#This Row],[nb win]]/Table132[[#This Row],[nb play]]</f>
        <v>0.73333333333333328</v>
      </c>
      <c r="H582" t="str">
        <f>MID(Table132[[#This Row],[ÉTAT]],VALUE(RIGHT(Table132[[#This Row],[next move]],1))+1+VALUE(LEFT(Table132[[#This Row],[next move]],1))*3,1)</f>
        <v>V</v>
      </c>
      <c r="I582" t="str">
        <f>Table132[[#This Row],[ÉTAT]]&amp;Table132[[#This Row],[next move]]</f>
        <v>VVVEVVVVM11</v>
      </c>
    </row>
    <row r="583" spans="2:9" x14ac:dyDescent="0.25">
      <c r="B583" t="s">
        <v>67</v>
      </c>
      <c r="C583" s="22" t="s">
        <v>28</v>
      </c>
      <c r="D583">
        <v>6</v>
      </c>
      <c r="E583">
        <v>2</v>
      </c>
      <c r="G583" s="31">
        <f>Table132[[#This Row],[nb win]]/Table132[[#This Row],[nb play]]</f>
        <v>0.33333333333333331</v>
      </c>
      <c r="H583" t="str">
        <f>MID(Table132[[#This Row],[ÉTAT]],VALUE(RIGHT(Table132[[#This Row],[next move]],1))+1+VALUE(LEFT(Table132[[#This Row],[next move]],1))*3,1)</f>
        <v>V</v>
      </c>
      <c r="I583" t="str">
        <f>Table132[[#This Row],[ÉTAT]]&amp;Table132[[#This Row],[next move]]</f>
        <v>VVVEVVVVM12</v>
      </c>
    </row>
    <row r="584" spans="2:9" x14ac:dyDescent="0.25">
      <c r="B584" t="s">
        <v>67</v>
      </c>
      <c r="C584" s="22" t="s">
        <v>35</v>
      </c>
      <c r="D584">
        <v>13</v>
      </c>
      <c r="E584">
        <v>12</v>
      </c>
      <c r="G584" s="31">
        <f>Table132[[#This Row],[nb win]]/Table132[[#This Row],[nb play]]</f>
        <v>0.92307692307692313</v>
      </c>
      <c r="H584" t="str">
        <f>MID(Table132[[#This Row],[ÉTAT]],VALUE(RIGHT(Table132[[#This Row],[next move]],1))+1+VALUE(LEFT(Table132[[#This Row],[next move]],1))*3,1)</f>
        <v>V</v>
      </c>
      <c r="I584" t="str">
        <f>Table132[[#This Row],[ÉTAT]]&amp;Table132[[#This Row],[next move]]</f>
        <v>VVVEVVVVM20</v>
      </c>
    </row>
    <row r="585" spans="2:9" x14ac:dyDescent="0.25">
      <c r="B585" t="s">
        <v>67</v>
      </c>
      <c r="C585" s="22" t="s">
        <v>22</v>
      </c>
      <c r="D585">
        <v>14</v>
      </c>
      <c r="E585">
        <v>11</v>
      </c>
      <c r="G585" s="31">
        <f>Table132[[#This Row],[nb win]]/Table132[[#This Row],[nb play]]</f>
        <v>0.7857142857142857</v>
      </c>
      <c r="H585" t="str">
        <f>MID(Table132[[#This Row],[ÉTAT]],VALUE(RIGHT(Table132[[#This Row],[next move]],1))+1+VALUE(LEFT(Table132[[#This Row],[next move]],1))*3,1)</f>
        <v>V</v>
      </c>
      <c r="I585" t="str">
        <f>Table132[[#This Row],[ÉTAT]]&amp;Table132[[#This Row],[next move]]</f>
        <v>VVVEVVVVM21</v>
      </c>
    </row>
    <row r="586" spans="2:9" x14ac:dyDescent="0.25">
      <c r="B586" t="s">
        <v>39</v>
      </c>
      <c r="C586" s="22" t="s">
        <v>24</v>
      </c>
      <c r="D586">
        <v>3</v>
      </c>
      <c r="E586">
        <v>1</v>
      </c>
      <c r="G586" s="30">
        <f>Table132[[#This Row],[nb win]]/Table132[[#This Row],[nb play]]</f>
        <v>0.33333333333333331</v>
      </c>
      <c r="H586" t="str">
        <f>MID(Table132[[#This Row],[ÉTAT]],VALUE(RIGHT(Table132[[#This Row],[next move]],1))+1+VALUE(LEFT(Table132[[#This Row],[next move]],1))*3,1)</f>
        <v>V</v>
      </c>
      <c r="I586" t="str">
        <f>Table132[[#This Row],[ÉTAT]]&amp;Table132[[#This Row],[next move]]</f>
        <v>VVVEVVVMV00</v>
      </c>
    </row>
    <row r="587" spans="2:9" x14ac:dyDescent="0.25">
      <c r="B587" t="s">
        <v>39</v>
      </c>
      <c r="C587" s="22" t="s">
        <v>26</v>
      </c>
      <c r="D587">
        <v>7</v>
      </c>
      <c r="E587">
        <v>5</v>
      </c>
      <c r="G587" s="31">
        <f>Table132[[#This Row],[nb win]]/Table132[[#This Row],[nb play]]</f>
        <v>0.7142857142857143</v>
      </c>
      <c r="H587" t="str">
        <f>MID(Table132[[#This Row],[ÉTAT]],VALUE(RIGHT(Table132[[#This Row],[next move]],1))+1+VALUE(LEFT(Table132[[#This Row],[next move]],1))*3,1)</f>
        <v>V</v>
      </c>
      <c r="I587" t="str">
        <f>Table132[[#This Row],[ÉTAT]]&amp;Table132[[#This Row],[next move]]</f>
        <v>VVVEVVVMV01</v>
      </c>
    </row>
    <row r="588" spans="2:9" x14ac:dyDescent="0.25">
      <c r="B588" t="s">
        <v>39</v>
      </c>
      <c r="C588" s="22" t="s">
        <v>20</v>
      </c>
      <c r="D588">
        <v>6</v>
      </c>
      <c r="E588">
        <v>3</v>
      </c>
      <c r="G588" s="30">
        <f>Table132[[#This Row],[nb win]]/Table132[[#This Row],[nb play]]</f>
        <v>0.5</v>
      </c>
      <c r="H588" t="str">
        <f>MID(Table132[[#This Row],[ÉTAT]],VALUE(RIGHT(Table132[[#This Row],[next move]],1))+1+VALUE(LEFT(Table132[[#This Row],[next move]],1))*3,1)</f>
        <v>V</v>
      </c>
      <c r="I588" t="str">
        <f>Table132[[#This Row],[ÉTAT]]&amp;Table132[[#This Row],[next move]]</f>
        <v>VVVEVVVMV02</v>
      </c>
    </row>
    <row r="589" spans="2:9" x14ac:dyDescent="0.25">
      <c r="B589" t="s">
        <v>39</v>
      </c>
      <c r="C589" s="22" t="s">
        <v>29</v>
      </c>
      <c r="D589">
        <v>13</v>
      </c>
      <c r="E589">
        <v>11</v>
      </c>
      <c r="G589" s="31">
        <f>Table132[[#This Row],[nb win]]/Table132[[#This Row],[nb play]]</f>
        <v>0.84615384615384615</v>
      </c>
      <c r="H589" t="str">
        <f>MID(Table132[[#This Row],[ÉTAT]],VALUE(RIGHT(Table132[[#This Row],[next move]],1))+1+VALUE(LEFT(Table132[[#This Row],[next move]],1))*3,1)</f>
        <v>V</v>
      </c>
      <c r="I589" t="str">
        <f>Table132[[#This Row],[ÉTAT]]&amp;Table132[[#This Row],[next move]]</f>
        <v>VVVEVVVMV11</v>
      </c>
    </row>
    <row r="590" spans="2:9" x14ac:dyDescent="0.25">
      <c r="B590" t="s">
        <v>39</v>
      </c>
      <c r="C590" s="22" t="s">
        <v>28</v>
      </c>
      <c r="D590">
        <v>6</v>
      </c>
      <c r="E590">
        <v>4</v>
      </c>
      <c r="G590" s="31">
        <f>Table132[[#This Row],[nb win]]/Table132[[#This Row],[nb play]]</f>
        <v>0.66666666666666663</v>
      </c>
      <c r="H590" t="str">
        <f>MID(Table132[[#This Row],[ÉTAT]],VALUE(RIGHT(Table132[[#This Row],[next move]],1))+1+VALUE(LEFT(Table132[[#This Row],[next move]],1))*3,1)</f>
        <v>V</v>
      </c>
      <c r="I590" t="str">
        <f>Table132[[#This Row],[ÉTAT]]&amp;Table132[[#This Row],[next move]]</f>
        <v>VVVEVVVMV12</v>
      </c>
    </row>
    <row r="591" spans="2:9" x14ac:dyDescent="0.25">
      <c r="B591" t="s">
        <v>39</v>
      </c>
      <c r="C591" s="22" t="s">
        <v>35</v>
      </c>
      <c r="D591">
        <v>12</v>
      </c>
      <c r="E591">
        <v>10</v>
      </c>
      <c r="G591" s="31">
        <f>Table132[[#This Row],[nb win]]/Table132[[#This Row],[nb play]]</f>
        <v>0.83333333333333337</v>
      </c>
      <c r="H591" t="str">
        <f>MID(Table132[[#This Row],[ÉTAT]],VALUE(RIGHT(Table132[[#This Row],[next move]],1))+1+VALUE(LEFT(Table132[[#This Row],[next move]],1))*3,1)</f>
        <v>V</v>
      </c>
      <c r="I591" t="str">
        <f>Table132[[#This Row],[ÉTAT]]&amp;Table132[[#This Row],[next move]]</f>
        <v>VVVEVVVMV20</v>
      </c>
    </row>
    <row r="592" spans="2:9" x14ac:dyDescent="0.25">
      <c r="B592" t="s">
        <v>39</v>
      </c>
      <c r="C592" s="22" t="s">
        <v>31</v>
      </c>
      <c r="D592">
        <v>5</v>
      </c>
      <c r="E592">
        <v>3</v>
      </c>
      <c r="G592" s="30">
        <f>Table132[[#This Row],[nb win]]/Table132[[#This Row],[nb play]]</f>
        <v>0.6</v>
      </c>
      <c r="H592" t="str">
        <f>MID(Table132[[#This Row],[ÉTAT]],VALUE(RIGHT(Table132[[#This Row],[next move]],1))+1+VALUE(LEFT(Table132[[#This Row],[next move]],1))*3,1)</f>
        <v>V</v>
      </c>
      <c r="I592" t="str">
        <f>Table132[[#This Row],[ÉTAT]]&amp;Table132[[#This Row],[next move]]</f>
        <v>VVVEVVVMV22</v>
      </c>
    </row>
    <row r="593" spans="2:9" x14ac:dyDescent="0.25">
      <c r="B593" t="s">
        <v>3088</v>
      </c>
      <c r="C593" s="22" t="s">
        <v>20</v>
      </c>
      <c r="D593">
        <v>1</v>
      </c>
      <c r="G593" s="30">
        <f>Table132[[#This Row],[nb win]]/Table132[[#This Row],[nb play]]</f>
        <v>0</v>
      </c>
      <c r="H593" t="str">
        <f>MID(Table132[[#This Row],[ÉTAT]],VALUE(RIGHT(Table132[[#This Row],[next move]],1))+1+VALUE(LEFT(Table132[[#This Row],[next move]],1))*3,1)</f>
        <v>V</v>
      </c>
      <c r="I593" t="str">
        <f>Table132[[#This Row],[ÉTAT]]&amp;Table132[[#This Row],[next move]]</f>
        <v>VVVEVVVME02</v>
      </c>
    </row>
    <row r="594" spans="2:9" x14ac:dyDescent="0.25">
      <c r="B594" t="s">
        <v>574</v>
      </c>
      <c r="C594" s="22" t="s">
        <v>24</v>
      </c>
      <c r="D594">
        <v>5</v>
      </c>
      <c r="E594">
        <v>3</v>
      </c>
      <c r="G594" s="30">
        <f>Table132[[#This Row],[nb win]]/Table132[[#This Row],[nb play]]</f>
        <v>0.6</v>
      </c>
      <c r="H594" t="str">
        <f>MID(Table132[[#This Row],[ÉTAT]],VALUE(RIGHT(Table132[[#This Row],[next move]],1))+1+VALUE(LEFT(Table132[[#This Row],[next move]],1))*3,1)</f>
        <v>V</v>
      </c>
      <c r="I594" t="str">
        <f>Table132[[#This Row],[ÉTAT]]&amp;Table132[[#This Row],[next move]]</f>
        <v>VVVEVVVEM00</v>
      </c>
    </row>
    <row r="595" spans="2:9" x14ac:dyDescent="0.25">
      <c r="B595" t="s">
        <v>574</v>
      </c>
      <c r="C595" s="22" t="s">
        <v>26</v>
      </c>
      <c r="D595">
        <v>4</v>
      </c>
      <c r="E595">
        <v>1</v>
      </c>
      <c r="G595" s="31">
        <f>Table132[[#This Row],[nb win]]/Table132[[#This Row],[nb play]]</f>
        <v>0.25</v>
      </c>
      <c r="H595" t="str">
        <f>MID(Table132[[#This Row],[ÉTAT]],VALUE(RIGHT(Table132[[#This Row],[next move]],1))+1+VALUE(LEFT(Table132[[#This Row],[next move]],1))*3,1)</f>
        <v>V</v>
      </c>
      <c r="I595" t="str">
        <f>Table132[[#This Row],[ÉTAT]]&amp;Table132[[#This Row],[next move]]</f>
        <v>VVVEVVVEM01</v>
      </c>
    </row>
    <row r="596" spans="2:9" x14ac:dyDescent="0.25">
      <c r="B596" t="s">
        <v>574</v>
      </c>
      <c r="C596" s="22" t="s">
        <v>20</v>
      </c>
      <c r="D596">
        <v>4</v>
      </c>
      <c r="E596">
        <v>2</v>
      </c>
      <c r="G596" s="31">
        <f>Table132[[#This Row],[nb win]]/Table132[[#This Row],[nb play]]</f>
        <v>0.5</v>
      </c>
      <c r="H596" t="str">
        <f>MID(Table132[[#This Row],[ÉTAT]],VALUE(RIGHT(Table132[[#This Row],[next move]],1))+1+VALUE(LEFT(Table132[[#This Row],[next move]],1))*3,1)</f>
        <v>V</v>
      </c>
      <c r="I596" t="str">
        <f>Table132[[#This Row],[ÉTAT]]&amp;Table132[[#This Row],[next move]]</f>
        <v>VVVEVVVEM02</v>
      </c>
    </row>
    <row r="597" spans="2:9" x14ac:dyDescent="0.25">
      <c r="B597" t="s">
        <v>574</v>
      </c>
      <c r="C597" s="22" t="s">
        <v>29</v>
      </c>
      <c r="D597">
        <v>3</v>
      </c>
      <c r="E597">
        <v>3</v>
      </c>
      <c r="G597" s="31">
        <f>Table132[[#This Row],[nb win]]/Table132[[#This Row],[nb play]]</f>
        <v>1</v>
      </c>
      <c r="H597" t="str">
        <f>MID(Table132[[#This Row],[ÉTAT]],VALUE(RIGHT(Table132[[#This Row],[next move]],1))+1+VALUE(LEFT(Table132[[#This Row],[next move]],1))*3,1)</f>
        <v>V</v>
      </c>
      <c r="I597" t="str">
        <f>Table132[[#This Row],[ÉTAT]]&amp;Table132[[#This Row],[next move]]</f>
        <v>VVVEVVVEM11</v>
      </c>
    </row>
    <row r="598" spans="2:9" x14ac:dyDescent="0.25">
      <c r="B598" t="s">
        <v>574</v>
      </c>
      <c r="C598" s="22" t="s">
        <v>28</v>
      </c>
      <c r="D598">
        <v>1</v>
      </c>
      <c r="G598" s="25">
        <f>Table132[[#This Row],[nb win]]/Table132[[#This Row],[nb play]]</f>
        <v>0</v>
      </c>
      <c r="H598" t="str">
        <f>MID(Table132[[#This Row],[ÉTAT]],VALUE(RIGHT(Table132[[#This Row],[next move]],1))+1+VALUE(LEFT(Table132[[#This Row],[next move]],1))*3,1)</f>
        <v>V</v>
      </c>
      <c r="I598" t="str">
        <f>Table132[[#This Row],[ÉTAT]]&amp;Table132[[#This Row],[next move]]</f>
        <v>VVVEVVVEM12</v>
      </c>
    </row>
    <row r="599" spans="2:9" x14ac:dyDescent="0.25">
      <c r="B599" t="s">
        <v>574</v>
      </c>
      <c r="C599" s="22" t="s">
        <v>35</v>
      </c>
      <c r="D599">
        <v>3</v>
      </c>
      <c r="E599">
        <v>2</v>
      </c>
      <c r="G599" s="31">
        <f>Table132[[#This Row],[nb win]]/Table132[[#This Row],[nb play]]</f>
        <v>0.66666666666666663</v>
      </c>
      <c r="H599" t="str">
        <f>MID(Table132[[#This Row],[ÉTAT]],VALUE(RIGHT(Table132[[#This Row],[next move]],1))+1+VALUE(LEFT(Table132[[#This Row],[next move]],1))*3,1)</f>
        <v>V</v>
      </c>
      <c r="I599" t="str">
        <f>Table132[[#This Row],[ÉTAT]]&amp;Table132[[#This Row],[next move]]</f>
        <v>VVVEVVVEM20</v>
      </c>
    </row>
    <row r="600" spans="2:9" x14ac:dyDescent="0.25">
      <c r="B600" t="s">
        <v>71</v>
      </c>
      <c r="C600" s="22" t="s">
        <v>26</v>
      </c>
      <c r="D600">
        <v>18</v>
      </c>
      <c r="E600">
        <v>10</v>
      </c>
      <c r="G600" s="31">
        <f>Table132[[#This Row],[nb win]]/Table132[[#This Row],[nb play]]</f>
        <v>0.55555555555555558</v>
      </c>
      <c r="H600" t="str">
        <f>MID(Table132[[#This Row],[ÉTAT]],VALUE(RIGHT(Table132[[#This Row],[next move]],1))+1+VALUE(LEFT(Table132[[#This Row],[next move]],1))*3,1)</f>
        <v>V</v>
      </c>
      <c r="I600" t="str">
        <f>Table132[[#This Row],[ÉTAT]]&amp;Table132[[#This Row],[next move]]</f>
        <v>VVVEVVMVV01</v>
      </c>
    </row>
    <row r="601" spans="2:9" x14ac:dyDescent="0.25">
      <c r="B601" t="s">
        <v>71</v>
      </c>
      <c r="C601" s="22" t="s">
        <v>29</v>
      </c>
      <c r="D601">
        <v>5</v>
      </c>
      <c r="E601">
        <v>5</v>
      </c>
      <c r="G601" s="25">
        <f>Table132[[#This Row],[nb win]]/Table132[[#This Row],[nb play]]</f>
        <v>1</v>
      </c>
      <c r="H601" t="str">
        <f>MID(Table132[[#This Row],[ÉTAT]],VALUE(RIGHT(Table132[[#This Row],[next move]],1))+1+VALUE(LEFT(Table132[[#This Row],[next move]],1))*3,1)</f>
        <v>V</v>
      </c>
      <c r="I601" t="str">
        <f>Table132[[#This Row],[ÉTAT]]&amp;Table132[[#This Row],[next move]]</f>
        <v>VVVEVVMVV11</v>
      </c>
    </row>
    <row r="602" spans="2:9" x14ac:dyDescent="0.25">
      <c r="B602" t="s">
        <v>71</v>
      </c>
      <c r="C602" s="22" t="s">
        <v>22</v>
      </c>
      <c r="D602">
        <v>14</v>
      </c>
      <c r="E602">
        <v>10</v>
      </c>
      <c r="G602" s="31">
        <f>Table132[[#This Row],[nb win]]/Table132[[#This Row],[nb play]]</f>
        <v>0.7142857142857143</v>
      </c>
      <c r="H602" t="str">
        <f>MID(Table132[[#This Row],[ÉTAT]],VALUE(RIGHT(Table132[[#This Row],[next move]],1))+1+VALUE(LEFT(Table132[[#This Row],[next move]],1))*3,1)</f>
        <v>V</v>
      </c>
      <c r="I602" t="str">
        <f>Table132[[#This Row],[ÉTAT]]&amp;Table132[[#This Row],[next move]]</f>
        <v>VVVEVVMVV21</v>
      </c>
    </row>
    <row r="603" spans="2:9" x14ac:dyDescent="0.25">
      <c r="B603" t="s">
        <v>3451</v>
      </c>
      <c r="C603" s="22" t="s">
        <v>29</v>
      </c>
      <c r="D603">
        <v>1</v>
      </c>
      <c r="G603" s="30">
        <f>Table132[[#This Row],[nb win]]/Table132[[#This Row],[nb play]]</f>
        <v>0</v>
      </c>
      <c r="H603" t="str">
        <f>MID(Table132[[#This Row],[ÉTAT]],VALUE(RIGHT(Table132[[#This Row],[next move]],1))+1+VALUE(LEFT(Table132[[#This Row],[next move]],1))*3,1)</f>
        <v>V</v>
      </c>
      <c r="I603" t="str">
        <f>Table132[[#This Row],[ÉTAT]]&amp;Table132[[#This Row],[next move]]</f>
        <v>VVVEVVMVE11</v>
      </c>
    </row>
    <row r="604" spans="2:9" x14ac:dyDescent="0.25">
      <c r="B604" t="s">
        <v>1537</v>
      </c>
      <c r="C604" s="22" t="s">
        <v>26</v>
      </c>
      <c r="D604">
        <v>1</v>
      </c>
      <c r="G604" s="25">
        <f>Table132[[#This Row],[nb win]]/Table132[[#This Row],[nb play]]</f>
        <v>0</v>
      </c>
      <c r="H604" t="str">
        <f>MID(Table132[[#This Row],[ÉTAT]],VALUE(RIGHT(Table132[[#This Row],[next move]],1))+1+VALUE(LEFT(Table132[[#This Row],[next move]],1))*3,1)</f>
        <v>V</v>
      </c>
      <c r="I604" t="str">
        <f>Table132[[#This Row],[ÉTAT]]&amp;Table132[[#This Row],[next move]]</f>
        <v>VVVEVVMME01</v>
      </c>
    </row>
    <row r="605" spans="2:9" x14ac:dyDescent="0.25">
      <c r="B605" t="s">
        <v>1537</v>
      </c>
      <c r="C605" s="22" t="s">
        <v>20</v>
      </c>
      <c r="D605">
        <v>3</v>
      </c>
      <c r="E605">
        <v>2</v>
      </c>
      <c r="G605" s="25">
        <f>Table132[[#This Row],[nb win]]/Table132[[#This Row],[nb play]]</f>
        <v>0.66666666666666663</v>
      </c>
      <c r="H605" t="str">
        <f>MID(Table132[[#This Row],[ÉTAT]],VALUE(RIGHT(Table132[[#This Row],[next move]],1))+1+VALUE(LEFT(Table132[[#This Row],[next move]],1))*3,1)</f>
        <v>V</v>
      </c>
      <c r="I605" t="str">
        <f>Table132[[#This Row],[ÉTAT]]&amp;Table132[[#This Row],[next move]]</f>
        <v>VVVEVVMME02</v>
      </c>
    </row>
    <row r="606" spans="2:9" x14ac:dyDescent="0.25">
      <c r="B606" t="s">
        <v>1537</v>
      </c>
      <c r="C606" s="22" t="s">
        <v>29</v>
      </c>
      <c r="D606">
        <v>2</v>
      </c>
      <c r="E606">
        <v>2</v>
      </c>
      <c r="G606" s="31">
        <f>Table132[[#This Row],[nb win]]/Table132[[#This Row],[nb play]]</f>
        <v>1</v>
      </c>
      <c r="H606" t="str">
        <f>MID(Table132[[#This Row],[ÉTAT]],VALUE(RIGHT(Table132[[#This Row],[next move]],1))+1+VALUE(LEFT(Table132[[#This Row],[next move]],1))*3,1)</f>
        <v>V</v>
      </c>
      <c r="I606" t="str">
        <f>Table132[[#This Row],[ÉTAT]]&amp;Table132[[#This Row],[next move]]</f>
        <v>VVVEVVMME11</v>
      </c>
    </row>
    <row r="607" spans="2:9" x14ac:dyDescent="0.25">
      <c r="B607" t="s">
        <v>590</v>
      </c>
      <c r="C607" s="22" t="s">
        <v>24</v>
      </c>
      <c r="D607">
        <v>2</v>
      </c>
      <c r="G607" s="25">
        <f>Table132[[#This Row],[nb win]]/Table132[[#This Row],[nb play]]</f>
        <v>0</v>
      </c>
      <c r="H607" t="str">
        <f>MID(Table132[[#This Row],[ÉTAT]],VALUE(RIGHT(Table132[[#This Row],[next move]],1))+1+VALUE(LEFT(Table132[[#This Row],[next move]],1))*3,1)</f>
        <v>V</v>
      </c>
      <c r="I607" t="str">
        <f>Table132[[#This Row],[ÉTAT]]&amp;Table132[[#This Row],[next move]]</f>
        <v>VVVEVVMEV00</v>
      </c>
    </row>
    <row r="608" spans="2:9" x14ac:dyDescent="0.25">
      <c r="B608" t="s">
        <v>590</v>
      </c>
      <c r="C608" s="22" t="s">
        <v>28</v>
      </c>
      <c r="D608">
        <v>1</v>
      </c>
      <c r="E608">
        <v>1</v>
      </c>
      <c r="G608" s="25">
        <f>Table132[[#This Row],[nb win]]/Table132[[#This Row],[nb play]]</f>
        <v>1</v>
      </c>
      <c r="H608" t="str">
        <f>MID(Table132[[#This Row],[ÉTAT]],VALUE(RIGHT(Table132[[#This Row],[next move]],1))+1+VALUE(LEFT(Table132[[#This Row],[next move]],1))*3,1)</f>
        <v>V</v>
      </c>
      <c r="I608" t="str">
        <f>Table132[[#This Row],[ÉTAT]]&amp;Table132[[#This Row],[next move]]</f>
        <v>VVVEVVMEV12</v>
      </c>
    </row>
    <row r="609" spans="2:9" x14ac:dyDescent="0.25">
      <c r="B609" t="s">
        <v>2946</v>
      </c>
      <c r="C609" s="22" t="s">
        <v>24</v>
      </c>
      <c r="D609">
        <v>2</v>
      </c>
      <c r="E609">
        <v>2</v>
      </c>
      <c r="G609" s="31">
        <f>Table132[[#This Row],[nb win]]/Table132[[#This Row],[nb play]]</f>
        <v>1</v>
      </c>
      <c r="H609" t="str">
        <f>MID(Table132[[#This Row],[ÉTAT]],VALUE(RIGHT(Table132[[#This Row],[next move]],1))+1+VALUE(LEFT(Table132[[#This Row],[next move]],1))*3,1)</f>
        <v>V</v>
      </c>
      <c r="I609" t="str">
        <f>Table132[[#This Row],[ÉTAT]]&amp;Table132[[#This Row],[next move]]</f>
        <v>VVVEVVMEM00</v>
      </c>
    </row>
    <row r="610" spans="2:9" x14ac:dyDescent="0.25">
      <c r="B610" t="s">
        <v>1564</v>
      </c>
      <c r="C610" s="22" t="s">
        <v>24</v>
      </c>
      <c r="D610">
        <v>1</v>
      </c>
      <c r="E610">
        <v>1</v>
      </c>
      <c r="G610" s="25">
        <f>Table132[[#This Row],[nb win]]/Table132[[#This Row],[nb play]]</f>
        <v>1</v>
      </c>
      <c r="H610" t="str">
        <f>MID(Table132[[#This Row],[ÉTAT]],VALUE(RIGHT(Table132[[#This Row],[next move]],1))+1+VALUE(LEFT(Table132[[#This Row],[next move]],1))*3,1)</f>
        <v>V</v>
      </c>
      <c r="I610" t="str">
        <f>Table132[[#This Row],[ÉTAT]]&amp;Table132[[#This Row],[next move]]</f>
        <v>VVVEVVEVM00</v>
      </c>
    </row>
    <row r="611" spans="2:9" x14ac:dyDescent="0.25">
      <c r="B611" t="s">
        <v>1564</v>
      </c>
      <c r="C611" s="22" t="s">
        <v>26</v>
      </c>
      <c r="D611">
        <v>7</v>
      </c>
      <c r="E611">
        <v>1</v>
      </c>
      <c r="G611" s="30">
        <f>Table132[[#This Row],[nb win]]/Table132[[#This Row],[nb play]]</f>
        <v>0.14285714285714285</v>
      </c>
      <c r="H611" t="str">
        <f>MID(Table132[[#This Row],[ÉTAT]],VALUE(RIGHT(Table132[[#This Row],[next move]],1))+1+VALUE(LEFT(Table132[[#This Row],[next move]],1))*3,1)</f>
        <v>V</v>
      </c>
      <c r="I611" t="str">
        <f>Table132[[#This Row],[ÉTAT]]&amp;Table132[[#This Row],[next move]]</f>
        <v>VVVEVVEVM01</v>
      </c>
    </row>
    <row r="612" spans="2:9" x14ac:dyDescent="0.25">
      <c r="B612" t="s">
        <v>1564</v>
      </c>
      <c r="C612" s="22" t="s">
        <v>29</v>
      </c>
      <c r="D612">
        <v>10</v>
      </c>
      <c r="E612">
        <v>6</v>
      </c>
      <c r="G612" s="30">
        <f>Table132[[#This Row],[nb win]]/Table132[[#This Row],[nb play]]</f>
        <v>0.6</v>
      </c>
      <c r="H612" t="str">
        <f>MID(Table132[[#This Row],[ÉTAT]],VALUE(RIGHT(Table132[[#This Row],[next move]],1))+1+VALUE(LEFT(Table132[[#This Row],[next move]],1))*3,1)</f>
        <v>V</v>
      </c>
      <c r="I612" t="str">
        <f>Table132[[#This Row],[ÉTAT]]&amp;Table132[[#This Row],[next move]]</f>
        <v>VVVEVVEVM11</v>
      </c>
    </row>
    <row r="613" spans="2:9" x14ac:dyDescent="0.25">
      <c r="B613" t="s">
        <v>104</v>
      </c>
      <c r="C613" s="22" t="s">
        <v>24</v>
      </c>
      <c r="D613">
        <v>3</v>
      </c>
      <c r="E613">
        <v>1</v>
      </c>
      <c r="G613" s="31">
        <f>Table132[[#This Row],[nb win]]/Table132[[#This Row],[nb play]]</f>
        <v>0.33333333333333331</v>
      </c>
      <c r="H613" t="str">
        <f>MID(Table132[[#This Row],[ÉTAT]],VALUE(RIGHT(Table132[[#This Row],[next move]],1))+1+VALUE(LEFT(Table132[[#This Row],[next move]],1))*3,1)</f>
        <v>V</v>
      </c>
      <c r="I613" t="str">
        <f>Table132[[#This Row],[ÉTAT]]&amp;Table132[[#This Row],[next move]]</f>
        <v>VVVEVVEMV00</v>
      </c>
    </row>
    <row r="614" spans="2:9" x14ac:dyDescent="0.25">
      <c r="B614" t="s">
        <v>104</v>
      </c>
      <c r="C614" s="22" t="s">
        <v>26</v>
      </c>
      <c r="D614">
        <v>4</v>
      </c>
      <c r="G614" s="30">
        <f>Table132[[#This Row],[nb win]]/Table132[[#This Row],[nb play]]</f>
        <v>0</v>
      </c>
      <c r="H614" t="str">
        <f>MID(Table132[[#This Row],[ÉTAT]],VALUE(RIGHT(Table132[[#This Row],[next move]],1))+1+VALUE(LEFT(Table132[[#This Row],[next move]],1))*3,1)</f>
        <v>V</v>
      </c>
      <c r="I614" t="str">
        <f>Table132[[#This Row],[ÉTAT]]&amp;Table132[[#This Row],[next move]]</f>
        <v>VVVEVVEMV01</v>
      </c>
    </row>
    <row r="615" spans="2:9" x14ac:dyDescent="0.25">
      <c r="B615" t="s">
        <v>104</v>
      </c>
      <c r="C615" s="22" t="s">
        <v>20</v>
      </c>
      <c r="D615">
        <v>4</v>
      </c>
      <c r="G615" s="30">
        <f>Table132[[#This Row],[nb win]]/Table132[[#This Row],[nb play]]</f>
        <v>0</v>
      </c>
      <c r="H615" t="str">
        <f>MID(Table132[[#This Row],[ÉTAT]],VALUE(RIGHT(Table132[[#This Row],[next move]],1))+1+VALUE(LEFT(Table132[[#This Row],[next move]],1))*3,1)</f>
        <v>V</v>
      </c>
      <c r="I615" t="str">
        <f>Table132[[#This Row],[ÉTAT]]&amp;Table132[[#This Row],[next move]]</f>
        <v>VVVEVVEMV02</v>
      </c>
    </row>
    <row r="616" spans="2:9" x14ac:dyDescent="0.25">
      <c r="B616" t="s">
        <v>104</v>
      </c>
      <c r="C616" s="22" t="s">
        <v>29</v>
      </c>
      <c r="D616">
        <v>10</v>
      </c>
      <c r="E616">
        <v>5</v>
      </c>
      <c r="G616" s="30">
        <f>Table132[[#This Row],[nb win]]/Table132[[#This Row],[nb play]]</f>
        <v>0.5</v>
      </c>
      <c r="H616" t="str">
        <f>MID(Table132[[#This Row],[ÉTAT]],VALUE(RIGHT(Table132[[#This Row],[next move]],1))+1+VALUE(LEFT(Table132[[#This Row],[next move]],1))*3,1)</f>
        <v>V</v>
      </c>
      <c r="I616" t="str">
        <f>Table132[[#This Row],[ÉTAT]]&amp;Table132[[#This Row],[next move]]</f>
        <v>VVVEVVEMV11</v>
      </c>
    </row>
    <row r="617" spans="2:9" x14ac:dyDescent="0.25">
      <c r="B617" t="s">
        <v>104</v>
      </c>
      <c r="C617" s="22" t="s">
        <v>28</v>
      </c>
      <c r="D617">
        <v>6</v>
      </c>
      <c r="G617" s="30">
        <f>Table132[[#This Row],[nb win]]/Table132[[#This Row],[nb play]]</f>
        <v>0</v>
      </c>
      <c r="H617" t="str">
        <f>MID(Table132[[#This Row],[ÉTAT]],VALUE(RIGHT(Table132[[#This Row],[next move]],1))+1+VALUE(LEFT(Table132[[#This Row],[next move]],1))*3,1)</f>
        <v>V</v>
      </c>
      <c r="I617" t="str">
        <f>Table132[[#This Row],[ÉTAT]]&amp;Table132[[#This Row],[next move]]</f>
        <v>VVVEVVEMV12</v>
      </c>
    </row>
    <row r="618" spans="2:9" x14ac:dyDescent="0.25">
      <c r="B618" t="s">
        <v>104</v>
      </c>
      <c r="C618" s="22" t="s">
        <v>31</v>
      </c>
      <c r="D618">
        <v>4</v>
      </c>
      <c r="E618">
        <v>1</v>
      </c>
      <c r="G618" s="30">
        <f>Table132[[#This Row],[nb win]]/Table132[[#This Row],[nb play]]</f>
        <v>0.25</v>
      </c>
      <c r="H618" t="str">
        <f>MID(Table132[[#This Row],[ÉTAT]],VALUE(RIGHT(Table132[[#This Row],[next move]],1))+1+VALUE(LEFT(Table132[[#This Row],[next move]],1))*3,1)</f>
        <v>V</v>
      </c>
      <c r="I618" t="str">
        <f>Table132[[#This Row],[ÉTAT]]&amp;Table132[[#This Row],[next move]]</f>
        <v>VVVEVVEMV22</v>
      </c>
    </row>
    <row r="619" spans="2:9" x14ac:dyDescent="0.25">
      <c r="B619" t="s">
        <v>2986</v>
      </c>
      <c r="C619" s="22" t="s">
        <v>26</v>
      </c>
      <c r="D619">
        <v>1</v>
      </c>
      <c r="G619" s="25">
        <f>Table132[[#This Row],[nb win]]/Table132[[#This Row],[nb play]]</f>
        <v>0</v>
      </c>
      <c r="H619" t="str">
        <f>MID(Table132[[#This Row],[ÉTAT]],VALUE(RIGHT(Table132[[#This Row],[next move]],1))+1+VALUE(LEFT(Table132[[#This Row],[next move]],1))*3,1)</f>
        <v>V</v>
      </c>
      <c r="I619" t="str">
        <f>Table132[[#This Row],[ÉTAT]]&amp;Table132[[#This Row],[next move]]</f>
        <v>VVVEVVEMM01</v>
      </c>
    </row>
    <row r="620" spans="2:9" x14ac:dyDescent="0.25">
      <c r="B620" t="s">
        <v>2986</v>
      </c>
      <c r="C620" s="22" t="s">
        <v>28</v>
      </c>
      <c r="D620">
        <v>1</v>
      </c>
      <c r="E620">
        <v>1</v>
      </c>
      <c r="G620" s="31">
        <f>Table132[[#This Row],[nb win]]/Table132[[#This Row],[nb play]]</f>
        <v>1</v>
      </c>
      <c r="H620" t="str">
        <f>MID(Table132[[#This Row],[ÉTAT]],VALUE(RIGHT(Table132[[#This Row],[next move]],1))+1+VALUE(LEFT(Table132[[#This Row],[next move]],1))*3,1)</f>
        <v>V</v>
      </c>
      <c r="I620" t="str">
        <f>Table132[[#This Row],[ÉTAT]]&amp;Table132[[#This Row],[next move]]</f>
        <v>VVVEVVEMM12</v>
      </c>
    </row>
    <row r="621" spans="2:9" x14ac:dyDescent="0.25">
      <c r="B621" t="s">
        <v>570</v>
      </c>
      <c r="C621" s="22" t="s">
        <v>20</v>
      </c>
      <c r="D621">
        <v>17</v>
      </c>
      <c r="E621">
        <v>11</v>
      </c>
      <c r="G621" s="31">
        <f>Table132[[#This Row],[nb win]]/Table132[[#This Row],[nb play]]</f>
        <v>0.6470588235294118</v>
      </c>
      <c r="H621" t="str">
        <f>MID(Table132[[#This Row],[ÉTAT]],VALUE(RIGHT(Table132[[#This Row],[next move]],1))+1+VALUE(LEFT(Table132[[#This Row],[next move]],1))*3,1)</f>
        <v>V</v>
      </c>
      <c r="I621" t="str">
        <f>Table132[[#This Row],[ÉTAT]]&amp;Table132[[#This Row],[next move]]</f>
        <v>VVVEVMVVV02</v>
      </c>
    </row>
    <row r="622" spans="2:9" x14ac:dyDescent="0.25">
      <c r="B622" t="s">
        <v>570</v>
      </c>
      <c r="C622" s="22" t="s">
        <v>29</v>
      </c>
      <c r="D622">
        <v>16</v>
      </c>
      <c r="E622">
        <v>9</v>
      </c>
      <c r="G622" s="30">
        <f>Table132[[#This Row],[nb win]]/Table132[[#This Row],[nb play]]</f>
        <v>0.5625</v>
      </c>
      <c r="H622" t="str">
        <f>MID(Table132[[#This Row],[ÉTAT]],VALUE(RIGHT(Table132[[#This Row],[next move]],1))+1+VALUE(LEFT(Table132[[#This Row],[next move]],1))*3,1)</f>
        <v>V</v>
      </c>
      <c r="I622" t="str">
        <f>Table132[[#This Row],[ÉTAT]]&amp;Table132[[#This Row],[next move]]</f>
        <v>VVVEVMVVV11</v>
      </c>
    </row>
    <row r="623" spans="2:9" x14ac:dyDescent="0.25">
      <c r="B623" t="s">
        <v>570</v>
      </c>
      <c r="C623" s="22" t="s">
        <v>35</v>
      </c>
      <c r="D623">
        <v>13</v>
      </c>
      <c r="E623">
        <v>13</v>
      </c>
      <c r="G623" s="31">
        <f>Table132[[#This Row],[nb win]]/Table132[[#This Row],[nb play]]</f>
        <v>1</v>
      </c>
      <c r="H623" t="str">
        <f>MID(Table132[[#This Row],[ÉTAT]],VALUE(RIGHT(Table132[[#This Row],[next move]],1))+1+VALUE(LEFT(Table132[[#This Row],[next move]],1))*3,1)</f>
        <v>V</v>
      </c>
      <c r="I623" t="str">
        <f>Table132[[#This Row],[ÉTAT]]&amp;Table132[[#This Row],[next move]]</f>
        <v>VVVEVMVVV20</v>
      </c>
    </row>
    <row r="624" spans="2:9" x14ac:dyDescent="0.25">
      <c r="B624" t="s">
        <v>2700</v>
      </c>
      <c r="C624" s="22" t="s">
        <v>26</v>
      </c>
      <c r="D624">
        <v>1</v>
      </c>
      <c r="G624" s="25">
        <f>Table132[[#This Row],[nb win]]/Table132[[#This Row],[nb play]]</f>
        <v>0</v>
      </c>
      <c r="H624" t="str">
        <f>MID(Table132[[#This Row],[ÉTAT]],VALUE(RIGHT(Table132[[#This Row],[next move]],1))+1+VALUE(LEFT(Table132[[#This Row],[next move]],1))*3,1)</f>
        <v>V</v>
      </c>
      <c r="I624" t="str">
        <f>Table132[[#This Row],[ÉTAT]]&amp;Table132[[#This Row],[next move]]</f>
        <v>VVVEVMVVE01</v>
      </c>
    </row>
    <row r="625" spans="2:9" x14ac:dyDescent="0.25">
      <c r="B625" t="s">
        <v>2700</v>
      </c>
      <c r="C625" s="22" t="s">
        <v>35</v>
      </c>
      <c r="D625">
        <v>1</v>
      </c>
      <c r="G625" s="30">
        <f>Table132[[#This Row],[nb win]]/Table132[[#This Row],[nb play]]</f>
        <v>0</v>
      </c>
      <c r="H625" t="str">
        <f>MID(Table132[[#This Row],[ÉTAT]],VALUE(RIGHT(Table132[[#This Row],[next move]],1))+1+VALUE(LEFT(Table132[[#This Row],[next move]],1))*3,1)</f>
        <v>V</v>
      </c>
      <c r="I625" t="str">
        <f>Table132[[#This Row],[ÉTAT]]&amp;Table132[[#This Row],[next move]]</f>
        <v>VVVEVMVVE20</v>
      </c>
    </row>
    <row r="626" spans="2:9" x14ac:dyDescent="0.25">
      <c r="B626" t="s">
        <v>762</v>
      </c>
      <c r="C626" s="22" t="s">
        <v>24</v>
      </c>
      <c r="D626">
        <v>1</v>
      </c>
      <c r="E626">
        <v>1</v>
      </c>
      <c r="G626" s="31">
        <f>Table132[[#This Row],[nb win]]/Table132[[#This Row],[nb play]]</f>
        <v>1</v>
      </c>
      <c r="H626" t="str">
        <f>MID(Table132[[#This Row],[ÉTAT]],VALUE(RIGHT(Table132[[#This Row],[next move]],1))+1+VALUE(LEFT(Table132[[#This Row],[next move]],1))*3,1)</f>
        <v>V</v>
      </c>
      <c r="I626" t="str">
        <f>Table132[[#This Row],[ÉTAT]]&amp;Table132[[#This Row],[next move]]</f>
        <v>VVVEVMVME00</v>
      </c>
    </row>
    <row r="627" spans="2:9" x14ac:dyDescent="0.25">
      <c r="B627" t="s">
        <v>762</v>
      </c>
      <c r="C627" s="22" t="s">
        <v>26</v>
      </c>
      <c r="D627">
        <v>2</v>
      </c>
      <c r="E627">
        <v>1</v>
      </c>
      <c r="G627" s="31">
        <f>Table132[[#This Row],[nb win]]/Table132[[#This Row],[nb play]]</f>
        <v>0.5</v>
      </c>
      <c r="H627" t="str">
        <f>MID(Table132[[#This Row],[ÉTAT]],VALUE(RIGHT(Table132[[#This Row],[next move]],1))+1+VALUE(LEFT(Table132[[#This Row],[next move]],1))*3,1)</f>
        <v>V</v>
      </c>
      <c r="I627" t="str">
        <f>Table132[[#This Row],[ÉTAT]]&amp;Table132[[#This Row],[next move]]</f>
        <v>VVVEVMVME01</v>
      </c>
    </row>
    <row r="628" spans="2:9" x14ac:dyDescent="0.25">
      <c r="B628" t="s">
        <v>762</v>
      </c>
      <c r="C628" s="22" t="s">
        <v>35</v>
      </c>
      <c r="D628">
        <v>2</v>
      </c>
      <c r="E628">
        <v>1</v>
      </c>
      <c r="G628" s="30">
        <f>Table132[[#This Row],[nb win]]/Table132[[#This Row],[nb play]]</f>
        <v>0.5</v>
      </c>
      <c r="H628" t="str">
        <f>MID(Table132[[#This Row],[ÉTAT]],VALUE(RIGHT(Table132[[#This Row],[next move]],1))+1+VALUE(LEFT(Table132[[#This Row],[next move]],1))*3,1)</f>
        <v>V</v>
      </c>
      <c r="I628" t="str">
        <f>Table132[[#This Row],[ÉTAT]]&amp;Table132[[#This Row],[next move]]</f>
        <v>VVVEVMVME20</v>
      </c>
    </row>
    <row r="629" spans="2:9" x14ac:dyDescent="0.25">
      <c r="B629" t="s">
        <v>1229</v>
      </c>
      <c r="C629" s="22" t="s">
        <v>26</v>
      </c>
      <c r="D629">
        <v>1</v>
      </c>
      <c r="G629" s="30">
        <f>Table132[[#This Row],[nb win]]/Table132[[#This Row],[nb play]]</f>
        <v>0</v>
      </c>
      <c r="H629" t="str">
        <f>MID(Table132[[#This Row],[ÉTAT]],VALUE(RIGHT(Table132[[#This Row],[next move]],1))+1+VALUE(LEFT(Table132[[#This Row],[next move]],1))*3,1)</f>
        <v>V</v>
      </c>
      <c r="I629" t="str">
        <f>Table132[[#This Row],[ÉTAT]]&amp;Table132[[#This Row],[next move]]</f>
        <v>VVVEVMVEV01</v>
      </c>
    </row>
    <row r="630" spans="2:9" x14ac:dyDescent="0.25">
      <c r="B630" t="s">
        <v>1229</v>
      </c>
      <c r="C630" s="22" t="s">
        <v>20</v>
      </c>
      <c r="D630">
        <v>1</v>
      </c>
      <c r="G630" s="25">
        <f>Table132[[#This Row],[nb win]]/Table132[[#This Row],[nb play]]</f>
        <v>0</v>
      </c>
      <c r="H630" t="str">
        <f>MID(Table132[[#This Row],[ÉTAT]],VALUE(RIGHT(Table132[[#This Row],[next move]],1))+1+VALUE(LEFT(Table132[[#This Row],[next move]],1))*3,1)</f>
        <v>V</v>
      </c>
      <c r="I630" t="str">
        <f>Table132[[#This Row],[ÉTAT]]&amp;Table132[[#This Row],[next move]]</f>
        <v>VVVEVMVEV02</v>
      </c>
    </row>
    <row r="631" spans="2:9" x14ac:dyDescent="0.25">
      <c r="B631" t="s">
        <v>1229</v>
      </c>
      <c r="C631" s="22" t="s">
        <v>31</v>
      </c>
      <c r="D631">
        <v>2</v>
      </c>
      <c r="E631">
        <v>1</v>
      </c>
      <c r="G631" s="25">
        <f>Table132[[#This Row],[nb win]]/Table132[[#This Row],[nb play]]</f>
        <v>0.5</v>
      </c>
      <c r="H631" t="str">
        <f>MID(Table132[[#This Row],[ÉTAT]],VALUE(RIGHT(Table132[[#This Row],[next move]],1))+1+VALUE(LEFT(Table132[[#This Row],[next move]],1))*3,1)</f>
        <v>V</v>
      </c>
      <c r="I631" t="str">
        <f>Table132[[#This Row],[ÉTAT]]&amp;Table132[[#This Row],[next move]]</f>
        <v>VVVEVMVEV22</v>
      </c>
    </row>
    <row r="632" spans="2:9" x14ac:dyDescent="0.25">
      <c r="B632" t="s">
        <v>809</v>
      </c>
      <c r="C632" s="22" t="s">
        <v>20</v>
      </c>
      <c r="D632">
        <v>5</v>
      </c>
      <c r="E632">
        <v>4</v>
      </c>
      <c r="G632" s="30">
        <f>Table132[[#This Row],[nb win]]/Table132[[#This Row],[nb play]]</f>
        <v>0.8</v>
      </c>
      <c r="H632" t="str">
        <f>MID(Table132[[#This Row],[ÉTAT]],VALUE(RIGHT(Table132[[#This Row],[next move]],1))+1+VALUE(LEFT(Table132[[#This Row],[next move]],1))*3,1)</f>
        <v>V</v>
      </c>
      <c r="I632" t="str">
        <f>Table132[[#This Row],[ÉTAT]]&amp;Table132[[#This Row],[next move]]</f>
        <v>VVVEVMMVE02</v>
      </c>
    </row>
    <row r="633" spans="2:9" x14ac:dyDescent="0.25">
      <c r="B633" t="s">
        <v>2220</v>
      </c>
      <c r="C633" s="22" t="s">
        <v>26</v>
      </c>
      <c r="D633">
        <v>2</v>
      </c>
      <c r="E633">
        <v>2</v>
      </c>
      <c r="G633" s="31">
        <f>Table132[[#This Row],[nb win]]/Table132[[#This Row],[nb play]]</f>
        <v>1</v>
      </c>
      <c r="H633" t="str">
        <f>MID(Table132[[#This Row],[ÉTAT]],VALUE(RIGHT(Table132[[#This Row],[next move]],1))+1+VALUE(LEFT(Table132[[#This Row],[next move]],1))*3,1)</f>
        <v>V</v>
      </c>
      <c r="I633" t="str">
        <f>Table132[[#This Row],[ÉTAT]]&amp;Table132[[#This Row],[next move]]</f>
        <v>VVVEVMMEV01</v>
      </c>
    </row>
    <row r="634" spans="2:9" x14ac:dyDescent="0.25">
      <c r="B634" t="s">
        <v>1501</v>
      </c>
      <c r="C634" s="22" t="s">
        <v>26</v>
      </c>
      <c r="D634">
        <v>2</v>
      </c>
      <c r="G634" s="25">
        <f>Table132[[#This Row],[nb win]]/Table132[[#This Row],[nb play]]</f>
        <v>0</v>
      </c>
      <c r="H634" t="str">
        <f>MID(Table132[[#This Row],[ÉTAT]],VALUE(RIGHT(Table132[[#This Row],[next move]],1))+1+VALUE(LEFT(Table132[[#This Row],[next move]],1))*3,1)</f>
        <v>V</v>
      </c>
      <c r="I634" t="str">
        <f>Table132[[#This Row],[ÉTAT]]&amp;Table132[[#This Row],[next move]]</f>
        <v>VVVEVMEVV01</v>
      </c>
    </row>
    <row r="635" spans="2:9" x14ac:dyDescent="0.25">
      <c r="B635" t="s">
        <v>1501</v>
      </c>
      <c r="C635" s="22" t="s">
        <v>20</v>
      </c>
      <c r="D635">
        <v>3</v>
      </c>
      <c r="E635">
        <v>2</v>
      </c>
      <c r="G635" s="25">
        <f>Table132[[#This Row],[nb win]]/Table132[[#This Row],[nb play]]</f>
        <v>0.66666666666666663</v>
      </c>
      <c r="H635" t="str">
        <f>MID(Table132[[#This Row],[ÉTAT]],VALUE(RIGHT(Table132[[#This Row],[next move]],1))+1+VALUE(LEFT(Table132[[#This Row],[next move]],1))*3,1)</f>
        <v>V</v>
      </c>
      <c r="I635" t="str">
        <f>Table132[[#This Row],[ÉTAT]]&amp;Table132[[#This Row],[next move]]</f>
        <v>VVVEVMEVV02</v>
      </c>
    </row>
    <row r="636" spans="2:9" x14ac:dyDescent="0.25">
      <c r="B636" t="s">
        <v>1501</v>
      </c>
      <c r="C636" s="22" t="s">
        <v>29</v>
      </c>
      <c r="D636">
        <v>1</v>
      </c>
      <c r="G636" s="25">
        <f>Table132[[#This Row],[nb win]]/Table132[[#This Row],[nb play]]</f>
        <v>0</v>
      </c>
      <c r="H636" t="str">
        <f>MID(Table132[[#This Row],[ÉTAT]],VALUE(RIGHT(Table132[[#This Row],[next move]],1))+1+VALUE(LEFT(Table132[[#This Row],[next move]],1))*3,1)</f>
        <v>V</v>
      </c>
      <c r="I636" t="str">
        <f>Table132[[#This Row],[ÉTAT]]&amp;Table132[[#This Row],[next move]]</f>
        <v>VVVEVMEVV11</v>
      </c>
    </row>
    <row r="637" spans="2:9" x14ac:dyDescent="0.25">
      <c r="B637" t="s">
        <v>1501</v>
      </c>
      <c r="C637" s="22" t="s">
        <v>22</v>
      </c>
      <c r="D637">
        <v>2</v>
      </c>
      <c r="G637" s="30">
        <f>Table132[[#This Row],[nb win]]/Table132[[#This Row],[nb play]]</f>
        <v>0</v>
      </c>
      <c r="H637" t="str">
        <f>MID(Table132[[#This Row],[ÉTAT]],VALUE(RIGHT(Table132[[#This Row],[next move]],1))+1+VALUE(LEFT(Table132[[#This Row],[next move]],1))*3,1)</f>
        <v>V</v>
      </c>
      <c r="I637" t="str">
        <f>Table132[[#This Row],[ÉTAT]]&amp;Table132[[#This Row],[next move]]</f>
        <v>VVVEVMEVV21</v>
      </c>
    </row>
    <row r="638" spans="2:9" x14ac:dyDescent="0.25">
      <c r="B638" t="s">
        <v>1501</v>
      </c>
      <c r="C638" s="22" t="s">
        <v>31</v>
      </c>
      <c r="D638">
        <v>2</v>
      </c>
      <c r="E638">
        <v>1</v>
      </c>
      <c r="G638" s="30">
        <f>Table132[[#This Row],[nb win]]/Table132[[#This Row],[nb play]]</f>
        <v>0.5</v>
      </c>
      <c r="H638" t="str">
        <f>MID(Table132[[#This Row],[ÉTAT]],VALUE(RIGHT(Table132[[#This Row],[next move]],1))+1+VALUE(LEFT(Table132[[#This Row],[next move]],1))*3,1)</f>
        <v>V</v>
      </c>
      <c r="I638" t="str">
        <f>Table132[[#This Row],[ÉTAT]]&amp;Table132[[#This Row],[next move]]</f>
        <v>VVVEVMEVV22</v>
      </c>
    </row>
    <row r="639" spans="2:9" x14ac:dyDescent="0.25">
      <c r="B639" t="s">
        <v>1323</v>
      </c>
      <c r="C639" s="22" t="s">
        <v>24</v>
      </c>
      <c r="D639">
        <v>2</v>
      </c>
      <c r="E639">
        <v>1</v>
      </c>
      <c r="G639" s="31">
        <f>Table132[[#This Row],[nb win]]/Table132[[#This Row],[nb play]]</f>
        <v>0.5</v>
      </c>
      <c r="H639" t="str">
        <f>MID(Table132[[#This Row],[ÉTAT]],VALUE(RIGHT(Table132[[#This Row],[next move]],1))+1+VALUE(LEFT(Table132[[#This Row],[next move]],1))*3,1)</f>
        <v>V</v>
      </c>
      <c r="I639" t="str">
        <f>Table132[[#This Row],[ÉTAT]]&amp;Table132[[#This Row],[next move]]</f>
        <v>VVVEVMEVM00</v>
      </c>
    </row>
    <row r="640" spans="2:9" x14ac:dyDescent="0.25">
      <c r="B640" t="s">
        <v>1323</v>
      </c>
      <c r="C640" s="22" t="s">
        <v>20</v>
      </c>
      <c r="D640">
        <v>1</v>
      </c>
      <c r="E640">
        <v>1</v>
      </c>
      <c r="G640" s="25">
        <f>Table132[[#This Row],[nb win]]/Table132[[#This Row],[nb play]]</f>
        <v>1</v>
      </c>
      <c r="H640" t="str">
        <f>MID(Table132[[#This Row],[ÉTAT]],VALUE(RIGHT(Table132[[#This Row],[next move]],1))+1+VALUE(LEFT(Table132[[#This Row],[next move]],1))*3,1)</f>
        <v>V</v>
      </c>
      <c r="I640" t="str">
        <f>Table132[[#This Row],[ÉTAT]]&amp;Table132[[#This Row],[next move]]</f>
        <v>VVVEVMEVM02</v>
      </c>
    </row>
    <row r="641" spans="2:9" x14ac:dyDescent="0.25">
      <c r="B641" t="s">
        <v>1744</v>
      </c>
      <c r="C641" s="22" t="s">
        <v>26</v>
      </c>
      <c r="D641">
        <v>2</v>
      </c>
      <c r="E641">
        <v>2</v>
      </c>
      <c r="G641" s="31">
        <f>Table132[[#This Row],[nb win]]/Table132[[#This Row],[nb play]]</f>
        <v>1</v>
      </c>
      <c r="H641" t="str">
        <f>MID(Table132[[#This Row],[ÉTAT]],VALUE(RIGHT(Table132[[#This Row],[next move]],1))+1+VALUE(LEFT(Table132[[#This Row],[next move]],1))*3,1)</f>
        <v>V</v>
      </c>
      <c r="I641" t="str">
        <f>Table132[[#This Row],[ÉTAT]]&amp;Table132[[#This Row],[next move]]</f>
        <v>VVVEVMEMV01</v>
      </c>
    </row>
    <row r="642" spans="2:9" x14ac:dyDescent="0.25">
      <c r="B642" t="s">
        <v>1744</v>
      </c>
      <c r="C642" s="22" t="s">
        <v>29</v>
      </c>
      <c r="D642">
        <v>2</v>
      </c>
      <c r="E642">
        <v>1</v>
      </c>
      <c r="G642" s="25">
        <f>Table132[[#This Row],[nb win]]/Table132[[#This Row],[nb play]]</f>
        <v>0.5</v>
      </c>
      <c r="H642" t="str">
        <f>MID(Table132[[#This Row],[ÉTAT]],VALUE(RIGHT(Table132[[#This Row],[next move]],1))+1+VALUE(LEFT(Table132[[#This Row],[next move]],1))*3,1)</f>
        <v>V</v>
      </c>
      <c r="I642" t="str">
        <f>Table132[[#This Row],[ÉTAT]]&amp;Table132[[#This Row],[next move]]</f>
        <v>VVVEVMEMV11</v>
      </c>
    </row>
    <row r="643" spans="2:9" x14ac:dyDescent="0.25">
      <c r="B643" t="s">
        <v>1546</v>
      </c>
      <c r="C643" s="22" t="s">
        <v>24</v>
      </c>
      <c r="D643">
        <v>1</v>
      </c>
      <c r="E643">
        <v>1</v>
      </c>
      <c r="G643" s="31">
        <f>Table132[[#This Row],[nb win]]/Table132[[#This Row],[nb play]]</f>
        <v>1</v>
      </c>
      <c r="H643" t="str">
        <f>MID(Table132[[#This Row],[ÉTAT]],VALUE(RIGHT(Table132[[#This Row],[next move]],1))+1+VALUE(LEFT(Table132[[#This Row],[next move]],1))*3,1)</f>
        <v>V</v>
      </c>
      <c r="I643" t="str">
        <f>Table132[[#This Row],[ÉTAT]]&amp;Table132[[#This Row],[next move]]</f>
        <v>VVVEVMEEM00</v>
      </c>
    </row>
    <row r="644" spans="2:9" x14ac:dyDescent="0.25">
      <c r="B644" t="s">
        <v>1546</v>
      </c>
      <c r="C644" s="22" t="s">
        <v>26</v>
      </c>
      <c r="D644">
        <v>2</v>
      </c>
      <c r="E644">
        <v>1</v>
      </c>
      <c r="G644" s="30">
        <f>Table132[[#This Row],[nb win]]/Table132[[#This Row],[nb play]]</f>
        <v>0.5</v>
      </c>
      <c r="H644" t="str">
        <f>MID(Table132[[#This Row],[ÉTAT]],VALUE(RIGHT(Table132[[#This Row],[next move]],1))+1+VALUE(LEFT(Table132[[#This Row],[next move]],1))*3,1)</f>
        <v>V</v>
      </c>
      <c r="I644" t="str">
        <f>Table132[[#This Row],[ÉTAT]]&amp;Table132[[#This Row],[next move]]</f>
        <v>VVVEVMEEM01</v>
      </c>
    </row>
    <row r="645" spans="2:9" x14ac:dyDescent="0.25">
      <c r="B645" t="s">
        <v>1517</v>
      </c>
      <c r="C645" s="22" t="s">
        <v>24</v>
      </c>
      <c r="D645">
        <v>1</v>
      </c>
      <c r="G645" s="25">
        <f>Table132[[#This Row],[nb win]]/Table132[[#This Row],[nb play]]</f>
        <v>0</v>
      </c>
      <c r="H645" t="str">
        <f>MID(Table132[[#This Row],[ÉTAT]],VALUE(RIGHT(Table132[[#This Row],[next move]],1))+1+VALUE(LEFT(Table132[[#This Row],[next move]],1))*3,1)</f>
        <v>V</v>
      </c>
      <c r="I645" t="str">
        <f>Table132[[#This Row],[ÉTAT]]&amp;Table132[[#This Row],[next move]]</f>
        <v>VVVEVEVVM00</v>
      </c>
    </row>
    <row r="646" spans="2:9" x14ac:dyDescent="0.25">
      <c r="B646" t="s">
        <v>1517</v>
      </c>
      <c r="C646" s="22" t="s">
        <v>20</v>
      </c>
      <c r="D646">
        <v>2</v>
      </c>
      <c r="E646">
        <v>1</v>
      </c>
      <c r="G646" s="25">
        <f>Table132[[#This Row],[nb win]]/Table132[[#This Row],[nb play]]</f>
        <v>0.5</v>
      </c>
      <c r="H646" t="str">
        <f>MID(Table132[[#This Row],[ÉTAT]],VALUE(RIGHT(Table132[[#This Row],[next move]],1))+1+VALUE(LEFT(Table132[[#This Row],[next move]],1))*3,1)</f>
        <v>V</v>
      </c>
      <c r="I646" t="str">
        <f>Table132[[#This Row],[ÉTAT]]&amp;Table132[[#This Row],[next move]]</f>
        <v>VVVEVEVVM02</v>
      </c>
    </row>
    <row r="647" spans="2:9" x14ac:dyDescent="0.25">
      <c r="B647" t="s">
        <v>1517</v>
      </c>
      <c r="C647" s="22" t="s">
        <v>35</v>
      </c>
      <c r="D647">
        <v>1</v>
      </c>
      <c r="G647" s="30">
        <f>Table132[[#This Row],[nb win]]/Table132[[#This Row],[nb play]]</f>
        <v>0</v>
      </c>
      <c r="H647" t="str">
        <f>MID(Table132[[#This Row],[ÉTAT]],VALUE(RIGHT(Table132[[#This Row],[next move]],1))+1+VALUE(LEFT(Table132[[#This Row],[next move]],1))*3,1)</f>
        <v>V</v>
      </c>
      <c r="I647" t="str">
        <f>Table132[[#This Row],[ÉTAT]]&amp;Table132[[#This Row],[next move]]</f>
        <v>VVVEVEVVM20</v>
      </c>
    </row>
    <row r="648" spans="2:9" x14ac:dyDescent="0.25">
      <c r="B648" t="s">
        <v>1517</v>
      </c>
      <c r="C648" s="22" t="s">
        <v>22</v>
      </c>
      <c r="D648">
        <v>1</v>
      </c>
      <c r="G648" s="25">
        <f>Table132[[#This Row],[nb win]]/Table132[[#This Row],[nb play]]</f>
        <v>0</v>
      </c>
      <c r="H648" t="str">
        <f>MID(Table132[[#This Row],[ÉTAT]],VALUE(RIGHT(Table132[[#This Row],[next move]],1))+1+VALUE(LEFT(Table132[[#This Row],[next move]],1))*3,1)</f>
        <v>V</v>
      </c>
      <c r="I648" t="str">
        <f>Table132[[#This Row],[ÉTAT]]&amp;Table132[[#This Row],[next move]]</f>
        <v>VVVEVEVVM21</v>
      </c>
    </row>
    <row r="649" spans="2:9" x14ac:dyDescent="0.25">
      <c r="B649" t="s">
        <v>101</v>
      </c>
      <c r="C649" s="22" t="s">
        <v>24</v>
      </c>
      <c r="D649">
        <v>1</v>
      </c>
      <c r="G649" s="25">
        <f>Table132[[#This Row],[nb win]]/Table132[[#This Row],[nb play]]</f>
        <v>0</v>
      </c>
      <c r="H649" t="str">
        <f>MID(Table132[[#This Row],[ÉTAT]],VALUE(RIGHT(Table132[[#This Row],[next move]],1))+1+VALUE(LEFT(Table132[[#This Row],[next move]],1))*3,1)</f>
        <v>V</v>
      </c>
      <c r="I649" t="str">
        <f>Table132[[#This Row],[ÉTAT]]&amp;Table132[[#This Row],[next move]]</f>
        <v>VVVEVEVMV00</v>
      </c>
    </row>
    <row r="650" spans="2:9" x14ac:dyDescent="0.25">
      <c r="B650" t="s">
        <v>101</v>
      </c>
      <c r="C650" s="22" t="s">
        <v>26</v>
      </c>
      <c r="D650">
        <v>6</v>
      </c>
      <c r="E650">
        <v>1</v>
      </c>
      <c r="G650" s="31">
        <f>Table132[[#This Row],[nb win]]/Table132[[#This Row],[nb play]]</f>
        <v>0.16666666666666666</v>
      </c>
      <c r="H650" t="str">
        <f>MID(Table132[[#This Row],[ÉTAT]],VALUE(RIGHT(Table132[[#This Row],[next move]],1))+1+VALUE(LEFT(Table132[[#This Row],[next move]],1))*3,1)</f>
        <v>V</v>
      </c>
      <c r="I650" t="str">
        <f>Table132[[#This Row],[ÉTAT]]&amp;Table132[[#This Row],[next move]]</f>
        <v>VVVEVEVMV01</v>
      </c>
    </row>
    <row r="651" spans="2:9" x14ac:dyDescent="0.25">
      <c r="B651" t="s">
        <v>101</v>
      </c>
      <c r="C651" s="22" t="s">
        <v>20</v>
      </c>
      <c r="D651">
        <v>3</v>
      </c>
      <c r="E651">
        <v>1</v>
      </c>
      <c r="G651" s="30">
        <f>Table132[[#This Row],[nb win]]/Table132[[#This Row],[nb play]]</f>
        <v>0.33333333333333331</v>
      </c>
      <c r="H651" t="str">
        <f>MID(Table132[[#This Row],[ÉTAT]],VALUE(RIGHT(Table132[[#This Row],[next move]],1))+1+VALUE(LEFT(Table132[[#This Row],[next move]],1))*3,1)</f>
        <v>V</v>
      </c>
      <c r="I651" t="str">
        <f>Table132[[#This Row],[ÉTAT]]&amp;Table132[[#This Row],[next move]]</f>
        <v>VVVEVEVMV02</v>
      </c>
    </row>
    <row r="652" spans="2:9" x14ac:dyDescent="0.25">
      <c r="B652" t="s">
        <v>101</v>
      </c>
      <c r="C652" s="22" t="s">
        <v>29</v>
      </c>
      <c r="D652">
        <v>6</v>
      </c>
      <c r="E652">
        <v>4</v>
      </c>
      <c r="G652" s="31">
        <f>Table132[[#This Row],[nb win]]/Table132[[#This Row],[nb play]]</f>
        <v>0.66666666666666663</v>
      </c>
      <c r="H652" t="str">
        <f>MID(Table132[[#This Row],[ÉTAT]],VALUE(RIGHT(Table132[[#This Row],[next move]],1))+1+VALUE(LEFT(Table132[[#This Row],[next move]],1))*3,1)</f>
        <v>V</v>
      </c>
      <c r="I652" t="str">
        <f>Table132[[#This Row],[ÉTAT]]&amp;Table132[[#This Row],[next move]]</f>
        <v>VVVEVEVMV11</v>
      </c>
    </row>
    <row r="653" spans="2:9" x14ac:dyDescent="0.25">
      <c r="B653" t="s">
        <v>101</v>
      </c>
      <c r="C653" s="22" t="s">
        <v>35</v>
      </c>
      <c r="D653">
        <v>5</v>
      </c>
      <c r="E653">
        <v>2</v>
      </c>
      <c r="G653" s="31">
        <f>Table132[[#This Row],[nb win]]/Table132[[#This Row],[nb play]]</f>
        <v>0.4</v>
      </c>
      <c r="H653" t="str">
        <f>MID(Table132[[#This Row],[ÉTAT]],VALUE(RIGHT(Table132[[#This Row],[next move]],1))+1+VALUE(LEFT(Table132[[#This Row],[next move]],1))*3,1)</f>
        <v>V</v>
      </c>
      <c r="I653" t="str">
        <f>Table132[[#This Row],[ÉTAT]]&amp;Table132[[#This Row],[next move]]</f>
        <v>VVVEVEVMV20</v>
      </c>
    </row>
    <row r="654" spans="2:9" x14ac:dyDescent="0.25">
      <c r="B654" t="s">
        <v>101</v>
      </c>
      <c r="C654" s="22" t="s">
        <v>31</v>
      </c>
      <c r="D654">
        <v>1</v>
      </c>
      <c r="G654" s="25">
        <f>Table132[[#This Row],[nb win]]/Table132[[#This Row],[nb play]]</f>
        <v>0</v>
      </c>
      <c r="H654" t="str">
        <f>MID(Table132[[#This Row],[ÉTAT]],VALUE(RIGHT(Table132[[#This Row],[next move]],1))+1+VALUE(LEFT(Table132[[#This Row],[next move]],1))*3,1)</f>
        <v>V</v>
      </c>
      <c r="I654" t="str">
        <f>Table132[[#This Row],[ÉTAT]]&amp;Table132[[#This Row],[next move]]</f>
        <v>VVVEVEVMV22</v>
      </c>
    </row>
    <row r="655" spans="2:9" x14ac:dyDescent="0.25">
      <c r="B655" t="s">
        <v>654</v>
      </c>
      <c r="C655" s="22" t="s">
        <v>26</v>
      </c>
      <c r="D655">
        <v>6</v>
      </c>
      <c r="E655">
        <v>2</v>
      </c>
      <c r="G655" s="30">
        <f>Table132[[#This Row],[nb win]]/Table132[[#This Row],[nb play]]</f>
        <v>0.33333333333333331</v>
      </c>
      <c r="H655" t="str">
        <f>MID(Table132[[#This Row],[ÉTAT]],VALUE(RIGHT(Table132[[#This Row],[next move]],1))+1+VALUE(LEFT(Table132[[#This Row],[next move]],1))*3,1)</f>
        <v>V</v>
      </c>
      <c r="I655" t="str">
        <f>Table132[[#This Row],[ÉTAT]]&amp;Table132[[#This Row],[next move]]</f>
        <v>VVVEVEVMM01</v>
      </c>
    </row>
    <row r="656" spans="2:9" x14ac:dyDescent="0.25">
      <c r="B656" t="s">
        <v>654</v>
      </c>
      <c r="C656" s="22" t="s">
        <v>29</v>
      </c>
      <c r="D656">
        <v>5</v>
      </c>
      <c r="E656">
        <v>5</v>
      </c>
      <c r="G656" s="31">
        <f>Table132[[#This Row],[nb win]]/Table132[[#This Row],[nb play]]</f>
        <v>1</v>
      </c>
      <c r="H656" t="str">
        <f>MID(Table132[[#This Row],[ÉTAT]],VALUE(RIGHT(Table132[[#This Row],[next move]],1))+1+VALUE(LEFT(Table132[[#This Row],[next move]],1))*3,1)</f>
        <v>V</v>
      </c>
      <c r="I656" t="str">
        <f>Table132[[#This Row],[ÉTAT]]&amp;Table132[[#This Row],[next move]]</f>
        <v>VVVEVEVMM11</v>
      </c>
    </row>
    <row r="657" spans="2:9" x14ac:dyDescent="0.25">
      <c r="B657" t="s">
        <v>507</v>
      </c>
      <c r="C657" s="22" t="s">
        <v>24</v>
      </c>
      <c r="D657">
        <v>5</v>
      </c>
      <c r="G657" s="30">
        <f>Table132[[#This Row],[nb win]]/Table132[[#This Row],[nb play]]</f>
        <v>0</v>
      </c>
      <c r="H657" t="str">
        <f>MID(Table132[[#This Row],[ÉTAT]],VALUE(RIGHT(Table132[[#This Row],[next move]],1))+1+VALUE(LEFT(Table132[[#This Row],[next move]],1))*3,1)</f>
        <v>V</v>
      </c>
      <c r="I657" t="str">
        <f>Table132[[#This Row],[ÉTAT]]&amp;Table132[[#This Row],[next move]]</f>
        <v>VVVEVEMVV00</v>
      </c>
    </row>
    <row r="658" spans="2:9" x14ac:dyDescent="0.25">
      <c r="B658" t="s">
        <v>507</v>
      </c>
      <c r="C658" s="22" t="s">
        <v>26</v>
      </c>
      <c r="D658">
        <v>2</v>
      </c>
      <c r="E658">
        <v>1</v>
      </c>
      <c r="G658" s="25">
        <f>Table132[[#This Row],[nb win]]/Table132[[#This Row],[nb play]]</f>
        <v>0.5</v>
      </c>
      <c r="H658" t="str">
        <f>MID(Table132[[#This Row],[ÉTAT]],VALUE(RIGHT(Table132[[#This Row],[next move]],1))+1+VALUE(LEFT(Table132[[#This Row],[next move]],1))*3,1)</f>
        <v>V</v>
      </c>
      <c r="I658" t="str">
        <f>Table132[[#This Row],[ÉTAT]]&amp;Table132[[#This Row],[next move]]</f>
        <v>VVVEVEMVV01</v>
      </c>
    </row>
    <row r="659" spans="2:9" x14ac:dyDescent="0.25">
      <c r="B659" t="s">
        <v>507</v>
      </c>
      <c r="C659" s="22" t="s">
        <v>20</v>
      </c>
      <c r="D659">
        <v>2</v>
      </c>
      <c r="G659" s="25">
        <f>Table132[[#This Row],[nb win]]/Table132[[#This Row],[nb play]]</f>
        <v>0</v>
      </c>
      <c r="H659" t="str">
        <f>MID(Table132[[#This Row],[ÉTAT]],VALUE(RIGHT(Table132[[#This Row],[next move]],1))+1+VALUE(LEFT(Table132[[#This Row],[next move]],1))*3,1)</f>
        <v>V</v>
      </c>
      <c r="I659" t="str">
        <f>Table132[[#This Row],[ÉTAT]]&amp;Table132[[#This Row],[next move]]</f>
        <v>VVVEVEMVV02</v>
      </c>
    </row>
    <row r="660" spans="2:9" x14ac:dyDescent="0.25">
      <c r="B660" t="s">
        <v>507</v>
      </c>
      <c r="C660" s="22" t="s">
        <v>29</v>
      </c>
      <c r="D660">
        <v>4</v>
      </c>
      <c r="E660">
        <v>3</v>
      </c>
      <c r="G660" s="31">
        <f>Table132[[#This Row],[nb win]]/Table132[[#This Row],[nb play]]</f>
        <v>0.75</v>
      </c>
      <c r="H660" t="str">
        <f>MID(Table132[[#This Row],[ÉTAT]],VALUE(RIGHT(Table132[[#This Row],[next move]],1))+1+VALUE(LEFT(Table132[[#This Row],[next move]],1))*3,1)</f>
        <v>V</v>
      </c>
      <c r="I660" t="str">
        <f>Table132[[#This Row],[ÉTAT]]&amp;Table132[[#This Row],[next move]]</f>
        <v>VVVEVEMVV11</v>
      </c>
    </row>
    <row r="661" spans="2:9" x14ac:dyDescent="0.25">
      <c r="B661" t="s">
        <v>507</v>
      </c>
      <c r="C661" s="22" t="s">
        <v>22</v>
      </c>
      <c r="D661">
        <v>4</v>
      </c>
      <c r="G661" s="30">
        <f>Table132[[#This Row],[nb win]]/Table132[[#This Row],[nb play]]</f>
        <v>0</v>
      </c>
      <c r="H661" t="str">
        <f>MID(Table132[[#This Row],[ÉTAT]],VALUE(RIGHT(Table132[[#This Row],[next move]],1))+1+VALUE(LEFT(Table132[[#This Row],[next move]],1))*3,1)</f>
        <v>V</v>
      </c>
      <c r="I661" t="str">
        <f>Table132[[#This Row],[ÉTAT]]&amp;Table132[[#This Row],[next move]]</f>
        <v>VVVEVEMVV21</v>
      </c>
    </row>
    <row r="662" spans="2:9" x14ac:dyDescent="0.25">
      <c r="B662" t="s">
        <v>507</v>
      </c>
      <c r="C662" s="22" t="s">
        <v>31</v>
      </c>
      <c r="D662">
        <v>6</v>
      </c>
      <c r="E662">
        <v>4</v>
      </c>
      <c r="G662" s="30">
        <f>Table132[[#This Row],[nb win]]/Table132[[#This Row],[nb play]]</f>
        <v>0.66666666666666663</v>
      </c>
      <c r="H662" t="str">
        <f>MID(Table132[[#This Row],[ÉTAT]],VALUE(RIGHT(Table132[[#This Row],[next move]],1))+1+VALUE(LEFT(Table132[[#This Row],[next move]],1))*3,1)</f>
        <v>V</v>
      </c>
      <c r="I662" t="str">
        <f>Table132[[#This Row],[ÉTAT]]&amp;Table132[[#This Row],[next move]]</f>
        <v>VVVEVEMVV22</v>
      </c>
    </row>
    <row r="663" spans="2:9" x14ac:dyDescent="0.25">
      <c r="B663" t="s">
        <v>638</v>
      </c>
      <c r="C663" s="22" t="s">
        <v>29</v>
      </c>
      <c r="D663">
        <v>5</v>
      </c>
      <c r="E663">
        <v>5</v>
      </c>
      <c r="G663" s="31">
        <f>Table132[[#This Row],[nb win]]/Table132[[#This Row],[nb play]]</f>
        <v>1</v>
      </c>
      <c r="H663" t="str">
        <f>MID(Table132[[#This Row],[ÉTAT]],VALUE(RIGHT(Table132[[#This Row],[next move]],1))+1+VALUE(LEFT(Table132[[#This Row],[next move]],1))*3,1)</f>
        <v>V</v>
      </c>
      <c r="I663" t="str">
        <f>Table132[[#This Row],[ÉTAT]]&amp;Table132[[#This Row],[next move]]</f>
        <v>VVVEVEMVM11</v>
      </c>
    </row>
    <row r="664" spans="2:9" x14ac:dyDescent="0.25">
      <c r="B664" t="s">
        <v>1239</v>
      </c>
      <c r="C664" s="22" t="s">
        <v>26</v>
      </c>
      <c r="D664">
        <v>4</v>
      </c>
      <c r="E664">
        <v>2</v>
      </c>
      <c r="G664" s="31">
        <f>Table132[[#This Row],[nb win]]/Table132[[#This Row],[nb play]]</f>
        <v>0.5</v>
      </c>
      <c r="H664" t="str">
        <f>MID(Table132[[#This Row],[ÉTAT]],VALUE(RIGHT(Table132[[#This Row],[next move]],1))+1+VALUE(LEFT(Table132[[#This Row],[next move]],1))*3,1)</f>
        <v>V</v>
      </c>
      <c r="I664" t="str">
        <f>Table132[[#This Row],[ÉTAT]]&amp;Table132[[#This Row],[next move]]</f>
        <v>VVVEVEMMV01</v>
      </c>
    </row>
    <row r="665" spans="2:9" x14ac:dyDescent="0.25">
      <c r="B665" t="s">
        <v>1239</v>
      </c>
      <c r="C665" s="22" t="s">
        <v>31</v>
      </c>
      <c r="D665">
        <v>3</v>
      </c>
      <c r="E665">
        <v>3</v>
      </c>
      <c r="G665" s="31">
        <f>Table132[[#This Row],[nb win]]/Table132[[#This Row],[nb play]]</f>
        <v>1</v>
      </c>
      <c r="H665" t="str">
        <f>MID(Table132[[#This Row],[ÉTAT]],VALUE(RIGHT(Table132[[#This Row],[next move]],1))+1+VALUE(LEFT(Table132[[#This Row],[next move]],1))*3,1)</f>
        <v>V</v>
      </c>
      <c r="I665" t="str">
        <f>Table132[[#This Row],[ÉTAT]]&amp;Table132[[#This Row],[next move]]</f>
        <v>VVVEVEMMV22</v>
      </c>
    </row>
    <row r="666" spans="2:9" x14ac:dyDescent="0.25">
      <c r="B666" t="s">
        <v>3011</v>
      </c>
      <c r="C666" s="22" t="s">
        <v>24</v>
      </c>
      <c r="D666">
        <v>1</v>
      </c>
      <c r="G666" s="30">
        <f>Table132[[#This Row],[nb win]]/Table132[[#This Row],[nb play]]</f>
        <v>0</v>
      </c>
      <c r="H666" t="str">
        <f>MID(Table132[[#This Row],[ÉTAT]],VALUE(RIGHT(Table132[[#This Row],[next move]],1))+1+VALUE(LEFT(Table132[[#This Row],[next move]],1))*3,1)</f>
        <v>V</v>
      </c>
      <c r="I666" t="str">
        <f>Table132[[#This Row],[ÉTAT]]&amp;Table132[[#This Row],[next move]]</f>
        <v>VVVEVEMME00</v>
      </c>
    </row>
    <row r="667" spans="2:9" x14ac:dyDescent="0.25">
      <c r="B667" t="s">
        <v>3011</v>
      </c>
      <c r="C667" s="22" t="s">
        <v>26</v>
      </c>
      <c r="D667">
        <v>1</v>
      </c>
      <c r="G667" s="30">
        <f>Table132[[#This Row],[nb win]]/Table132[[#This Row],[nb play]]</f>
        <v>0</v>
      </c>
      <c r="H667" t="str">
        <f>MID(Table132[[#This Row],[ÉTAT]],VALUE(RIGHT(Table132[[#This Row],[next move]],1))+1+VALUE(LEFT(Table132[[#This Row],[next move]],1))*3,1)</f>
        <v>V</v>
      </c>
      <c r="I667" t="str">
        <f>Table132[[#This Row],[ÉTAT]]&amp;Table132[[#This Row],[next move]]</f>
        <v>VVVEVEMME01</v>
      </c>
    </row>
    <row r="668" spans="2:9" x14ac:dyDescent="0.25">
      <c r="B668" t="s">
        <v>3011</v>
      </c>
      <c r="C668" s="22" t="s">
        <v>20</v>
      </c>
      <c r="D668">
        <v>1</v>
      </c>
      <c r="G668" s="25">
        <f>Table132[[#This Row],[nb win]]/Table132[[#This Row],[nb play]]</f>
        <v>0</v>
      </c>
      <c r="H668" t="str">
        <f>MID(Table132[[#This Row],[ÉTAT]],VALUE(RIGHT(Table132[[#This Row],[next move]],1))+1+VALUE(LEFT(Table132[[#This Row],[next move]],1))*3,1)</f>
        <v>V</v>
      </c>
      <c r="I668" t="str">
        <f>Table132[[#This Row],[ÉTAT]]&amp;Table132[[#This Row],[next move]]</f>
        <v>VVVEVEMME02</v>
      </c>
    </row>
    <row r="669" spans="2:9" x14ac:dyDescent="0.25">
      <c r="B669" t="s">
        <v>2092</v>
      </c>
      <c r="C669" s="22" t="s">
        <v>24</v>
      </c>
      <c r="D669">
        <v>2</v>
      </c>
      <c r="G669" s="30">
        <f>Table132[[#This Row],[nb win]]/Table132[[#This Row],[nb play]]</f>
        <v>0</v>
      </c>
      <c r="H669" t="str">
        <f>MID(Table132[[#This Row],[ÉTAT]],VALUE(RIGHT(Table132[[#This Row],[next move]],1))+1+VALUE(LEFT(Table132[[#This Row],[next move]],1))*3,1)</f>
        <v>V</v>
      </c>
      <c r="I669" t="str">
        <f>Table132[[#This Row],[ÉTAT]]&amp;Table132[[#This Row],[next move]]</f>
        <v>VVVEVEEMM00</v>
      </c>
    </row>
    <row r="670" spans="2:9" x14ac:dyDescent="0.25">
      <c r="B670" t="s">
        <v>2092</v>
      </c>
      <c r="C670" s="22" t="s">
        <v>26</v>
      </c>
      <c r="D670">
        <v>2</v>
      </c>
      <c r="G670" s="30">
        <f>Table132[[#This Row],[nb win]]/Table132[[#This Row],[nb play]]</f>
        <v>0</v>
      </c>
      <c r="H670" t="str">
        <f>MID(Table132[[#This Row],[ÉTAT]],VALUE(RIGHT(Table132[[#This Row],[next move]],1))+1+VALUE(LEFT(Table132[[#This Row],[next move]],1))*3,1)</f>
        <v>V</v>
      </c>
      <c r="I670" t="str">
        <f>Table132[[#This Row],[ÉTAT]]&amp;Table132[[#This Row],[next move]]</f>
        <v>VVVEVEEMM01</v>
      </c>
    </row>
    <row r="671" spans="2:9" x14ac:dyDescent="0.25">
      <c r="B671" t="s">
        <v>2092</v>
      </c>
      <c r="C671" s="22" t="s">
        <v>20</v>
      </c>
      <c r="D671">
        <v>1</v>
      </c>
      <c r="G671" s="25">
        <f>Table132[[#This Row],[nb win]]/Table132[[#This Row],[nb play]]</f>
        <v>0</v>
      </c>
      <c r="H671" t="str">
        <f>MID(Table132[[#This Row],[ÉTAT]],VALUE(RIGHT(Table132[[#This Row],[next move]],1))+1+VALUE(LEFT(Table132[[#This Row],[next move]],1))*3,1)</f>
        <v>V</v>
      </c>
      <c r="I671" t="str">
        <f>Table132[[#This Row],[ÉTAT]]&amp;Table132[[#This Row],[next move]]</f>
        <v>VVVEVEEMM02</v>
      </c>
    </row>
    <row r="672" spans="2:9" x14ac:dyDescent="0.25">
      <c r="B672" t="s">
        <v>2092</v>
      </c>
      <c r="C672" s="22" t="s">
        <v>29</v>
      </c>
      <c r="D672">
        <v>1</v>
      </c>
      <c r="G672" s="25">
        <f>Table132[[#This Row],[nb win]]/Table132[[#This Row],[nb play]]</f>
        <v>0</v>
      </c>
      <c r="H672" t="str">
        <f>MID(Table132[[#This Row],[ÉTAT]],VALUE(RIGHT(Table132[[#This Row],[next move]],1))+1+VALUE(LEFT(Table132[[#This Row],[next move]],1))*3,1)</f>
        <v>V</v>
      </c>
      <c r="I672" t="str">
        <f>Table132[[#This Row],[ÉTAT]]&amp;Table132[[#This Row],[next move]]</f>
        <v>VVVEVEEMM11</v>
      </c>
    </row>
    <row r="673" spans="2:9" x14ac:dyDescent="0.25">
      <c r="B673" t="s">
        <v>86</v>
      </c>
      <c r="C673" s="22" t="s">
        <v>24</v>
      </c>
      <c r="D673">
        <v>16</v>
      </c>
      <c r="E673">
        <v>15</v>
      </c>
      <c r="G673" s="31">
        <f>Table132[[#This Row],[nb win]]/Table132[[#This Row],[nb play]]</f>
        <v>0.9375</v>
      </c>
      <c r="H673" t="str">
        <f>MID(Table132[[#This Row],[ÉTAT]],VALUE(RIGHT(Table132[[#This Row],[next move]],1))+1+VALUE(LEFT(Table132[[#This Row],[next move]],1))*3,1)</f>
        <v>V</v>
      </c>
      <c r="I673" t="str">
        <f>Table132[[#This Row],[ÉTAT]]&amp;Table132[[#This Row],[next move]]</f>
        <v>VVVEMVVVV00</v>
      </c>
    </row>
    <row r="674" spans="2:9" x14ac:dyDescent="0.25">
      <c r="B674" t="s">
        <v>86</v>
      </c>
      <c r="C674" s="22" t="s">
        <v>20</v>
      </c>
      <c r="D674">
        <v>16</v>
      </c>
      <c r="E674">
        <v>8</v>
      </c>
      <c r="G674" s="31">
        <f>Table132[[#This Row],[nb win]]/Table132[[#This Row],[nb play]]</f>
        <v>0.5</v>
      </c>
      <c r="H674" t="str">
        <f>MID(Table132[[#This Row],[ÉTAT]],VALUE(RIGHT(Table132[[#This Row],[next move]],1))+1+VALUE(LEFT(Table132[[#This Row],[next move]],1))*3,1)</f>
        <v>V</v>
      </c>
      <c r="I674" t="str">
        <f>Table132[[#This Row],[ÉTAT]]&amp;Table132[[#This Row],[next move]]</f>
        <v>VVVEMVVVV02</v>
      </c>
    </row>
    <row r="675" spans="2:9" x14ac:dyDescent="0.25">
      <c r="B675" t="s">
        <v>86</v>
      </c>
      <c r="C675" s="22" t="s">
        <v>22</v>
      </c>
      <c r="D675">
        <v>16</v>
      </c>
      <c r="E675">
        <v>15</v>
      </c>
      <c r="G675" s="30">
        <f>Table132[[#This Row],[nb win]]/Table132[[#This Row],[nb play]]</f>
        <v>0.9375</v>
      </c>
      <c r="H675" t="str">
        <f>MID(Table132[[#This Row],[ÉTAT]],VALUE(RIGHT(Table132[[#This Row],[next move]],1))+1+VALUE(LEFT(Table132[[#This Row],[next move]],1))*3,1)</f>
        <v>V</v>
      </c>
      <c r="I675" t="str">
        <f>Table132[[#This Row],[ÉTAT]]&amp;Table132[[#This Row],[next move]]</f>
        <v>VVVEMVVVV21</v>
      </c>
    </row>
    <row r="676" spans="2:9" x14ac:dyDescent="0.25">
      <c r="B676" t="s">
        <v>86</v>
      </c>
      <c r="C676" s="22" t="s">
        <v>31</v>
      </c>
      <c r="D676">
        <v>16</v>
      </c>
      <c r="E676">
        <v>12</v>
      </c>
      <c r="G676" s="30">
        <f>Table132[[#This Row],[nb win]]/Table132[[#This Row],[nb play]]</f>
        <v>0.75</v>
      </c>
      <c r="H676" t="str">
        <f>MID(Table132[[#This Row],[ÉTAT]],VALUE(RIGHT(Table132[[#This Row],[next move]],1))+1+VALUE(LEFT(Table132[[#This Row],[next move]],1))*3,1)</f>
        <v>V</v>
      </c>
      <c r="I676" t="str">
        <f>Table132[[#This Row],[ÉTAT]]&amp;Table132[[#This Row],[next move]]</f>
        <v>VVVEMVVVV22</v>
      </c>
    </row>
    <row r="677" spans="2:9" x14ac:dyDescent="0.25">
      <c r="B677" t="s">
        <v>204</v>
      </c>
      <c r="C677" s="22" t="s">
        <v>20</v>
      </c>
      <c r="D677">
        <v>8</v>
      </c>
      <c r="E677">
        <v>1</v>
      </c>
      <c r="G677" s="30">
        <f>Table132[[#This Row],[nb win]]/Table132[[#This Row],[nb play]]</f>
        <v>0.125</v>
      </c>
      <c r="H677" t="str">
        <f>MID(Table132[[#This Row],[ÉTAT]],VALUE(RIGHT(Table132[[#This Row],[next move]],1))+1+VALUE(LEFT(Table132[[#This Row],[next move]],1))*3,1)</f>
        <v>V</v>
      </c>
      <c r="I677" t="str">
        <f>Table132[[#This Row],[ÉTAT]]&amp;Table132[[#This Row],[next move]]</f>
        <v>VVVEMVVVE02</v>
      </c>
    </row>
    <row r="678" spans="2:9" x14ac:dyDescent="0.25">
      <c r="B678" t="s">
        <v>204</v>
      </c>
      <c r="C678" s="22" t="s">
        <v>35</v>
      </c>
      <c r="D678">
        <v>5</v>
      </c>
      <c r="E678">
        <v>4</v>
      </c>
      <c r="G678" s="30">
        <f>Table132[[#This Row],[nb win]]/Table132[[#This Row],[nb play]]</f>
        <v>0.8</v>
      </c>
      <c r="H678" t="str">
        <f>MID(Table132[[#This Row],[ÉTAT]],VALUE(RIGHT(Table132[[#This Row],[next move]],1))+1+VALUE(LEFT(Table132[[#This Row],[next move]],1))*3,1)</f>
        <v>V</v>
      </c>
      <c r="I678" t="str">
        <f>Table132[[#This Row],[ÉTAT]]&amp;Table132[[#This Row],[next move]]</f>
        <v>VVVEMVVVE20</v>
      </c>
    </row>
    <row r="679" spans="2:9" x14ac:dyDescent="0.25">
      <c r="B679" t="s">
        <v>1718</v>
      </c>
      <c r="C679" s="22" t="s">
        <v>35</v>
      </c>
      <c r="D679">
        <v>5</v>
      </c>
      <c r="E679">
        <v>5</v>
      </c>
      <c r="G679" s="31">
        <f>Table132[[#This Row],[nb win]]/Table132[[#This Row],[nb play]]</f>
        <v>1</v>
      </c>
      <c r="H679" t="str">
        <f>MID(Table132[[#This Row],[ÉTAT]],VALUE(RIGHT(Table132[[#This Row],[next move]],1))+1+VALUE(LEFT(Table132[[#This Row],[next move]],1))*3,1)</f>
        <v>V</v>
      </c>
      <c r="I679" t="str">
        <f>Table132[[#This Row],[ÉTAT]]&amp;Table132[[#This Row],[next move]]</f>
        <v>VVVEMVVME20</v>
      </c>
    </row>
    <row r="680" spans="2:9" x14ac:dyDescent="0.25">
      <c r="B680" t="s">
        <v>1273</v>
      </c>
      <c r="C680" s="22" t="s">
        <v>24</v>
      </c>
      <c r="D680">
        <v>4</v>
      </c>
      <c r="E680">
        <v>2</v>
      </c>
      <c r="G680" s="31">
        <f>Table132[[#This Row],[nb win]]/Table132[[#This Row],[nb play]]</f>
        <v>0.5</v>
      </c>
      <c r="H680" t="str">
        <f>MID(Table132[[#This Row],[ÉTAT]],VALUE(RIGHT(Table132[[#This Row],[next move]],1))+1+VALUE(LEFT(Table132[[#This Row],[next move]],1))*3,1)</f>
        <v>V</v>
      </c>
      <c r="I680" t="str">
        <f>Table132[[#This Row],[ÉTAT]]&amp;Table132[[#This Row],[next move]]</f>
        <v>VVVEMVVEV00</v>
      </c>
    </row>
    <row r="681" spans="2:9" x14ac:dyDescent="0.25">
      <c r="B681" t="s">
        <v>1273</v>
      </c>
      <c r="C681" s="22" t="s">
        <v>26</v>
      </c>
      <c r="D681">
        <v>3</v>
      </c>
      <c r="E681">
        <v>2</v>
      </c>
      <c r="G681" s="25">
        <f>Table132[[#This Row],[nb win]]/Table132[[#This Row],[nb play]]</f>
        <v>0.66666666666666663</v>
      </c>
      <c r="H681" t="str">
        <f>MID(Table132[[#This Row],[ÉTAT]],VALUE(RIGHT(Table132[[#This Row],[next move]],1))+1+VALUE(LEFT(Table132[[#This Row],[next move]],1))*3,1)</f>
        <v>V</v>
      </c>
      <c r="I681" t="str">
        <f>Table132[[#This Row],[ÉTAT]]&amp;Table132[[#This Row],[next move]]</f>
        <v>VVVEMVVEV01</v>
      </c>
    </row>
    <row r="682" spans="2:9" x14ac:dyDescent="0.25">
      <c r="B682" t="s">
        <v>1273</v>
      </c>
      <c r="C682" s="22" t="s">
        <v>20</v>
      </c>
      <c r="D682">
        <v>1</v>
      </c>
      <c r="G682" s="30">
        <f>Table132[[#This Row],[nb win]]/Table132[[#This Row],[nb play]]</f>
        <v>0</v>
      </c>
      <c r="H682" t="str">
        <f>MID(Table132[[#This Row],[ÉTAT]],VALUE(RIGHT(Table132[[#This Row],[next move]],1))+1+VALUE(LEFT(Table132[[#This Row],[next move]],1))*3,1)</f>
        <v>V</v>
      </c>
      <c r="I682" t="str">
        <f>Table132[[#This Row],[ÉTAT]]&amp;Table132[[#This Row],[next move]]</f>
        <v>VVVEMVVEV02</v>
      </c>
    </row>
    <row r="683" spans="2:9" x14ac:dyDescent="0.25">
      <c r="B683" t="s">
        <v>1273</v>
      </c>
      <c r="C683" s="22" t="s">
        <v>28</v>
      </c>
      <c r="D683">
        <v>2</v>
      </c>
      <c r="E683">
        <v>1</v>
      </c>
      <c r="G683" s="31">
        <f>Table132[[#This Row],[nb win]]/Table132[[#This Row],[nb play]]</f>
        <v>0.5</v>
      </c>
      <c r="H683" t="str">
        <f>MID(Table132[[#This Row],[ÉTAT]],VALUE(RIGHT(Table132[[#This Row],[next move]],1))+1+VALUE(LEFT(Table132[[#This Row],[next move]],1))*3,1)</f>
        <v>V</v>
      </c>
      <c r="I683" t="str">
        <f>Table132[[#This Row],[ÉTAT]]&amp;Table132[[#This Row],[next move]]</f>
        <v>VVVEMVVEV12</v>
      </c>
    </row>
    <row r="684" spans="2:9" x14ac:dyDescent="0.25">
      <c r="B684" t="s">
        <v>1273</v>
      </c>
      <c r="C684" s="22" t="s">
        <v>35</v>
      </c>
      <c r="D684">
        <v>3</v>
      </c>
      <c r="E684">
        <v>2</v>
      </c>
      <c r="G684" s="31">
        <f>Table132[[#This Row],[nb win]]/Table132[[#This Row],[nb play]]</f>
        <v>0.66666666666666663</v>
      </c>
      <c r="H684" t="str">
        <f>MID(Table132[[#This Row],[ÉTAT]],VALUE(RIGHT(Table132[[#This Row],[next move]],1))+1+VALUE(LEFT(Table132[[#This Row],[next move]],1))*3,1)</f>
        <v>V</v>
      </c>
      <c r="I684" t="str">
        <f>Table132[[#This Row],[ÉTAT]]&amp;Table132[[#This Row],[next move]]</f>
        <v>VVVEMVVEV20</v>
      </c>
    </row>
    <row r="685" spans="2:9" x14ac:dyDescent="0.25">
      <c r="B685" t="s">
        <v>1273</v>
      </c>
      <c r="C685" s="22" t="s">
        <v>31</v>
      </c>
      <c r="D685">
        <v>4</v>
      </c>
      <c r="E685">
        <v>3</v>
      </c>
      <c r="G685" s="31">
        <f>Table132[[#This Row],[nb win]]/Table132[[#This Row],[nb play]]</f>
        <v>0.75</v>
      </c>
      <c r="H685" t="str">
        <f>MID(Table132[[#This Row],[ÉTAT]],VALUE(RIGHT(Table132[[#This Row],[next move]],1))+1+VALUE(LEFT(Table132[[#This Row],[next move]],1))*3,1)</f>
        <v>V</v>
      </c>
      <c r="I685" t="str">
        <f>Table132[[#This Row],[ÉTAT]]&amp;Table132[[#This Row],[next move]]</f>
        <v>VVVEMVVEV22</v>
      </c>
    </row>
    <row r="686" spans="2:9" x14ac:dyDescent="0.25">
      <c r="B686" t="s">
        <v>1516</v>
      </c>
      <c r="C686" s="22" t="s">
        <v>24</v>
      </c>
      <c r="D686">
        <v>9</v>
      </c>
      <c r="E686">
        <v>9</v>
      </c>
      <c r="G686" s="31">
        <f>Table132[[#This Row],[nb win]]/Table132[[#This Row],[nb play]]</f>
        <v>1</v>
      </c>
      <c r="H686" t="str">
        <f>MID(Table132[[#This Row],[ÉTAT]],VALUE(RIGHT(Table132[[#This Row],[next move]],1))+1+VALUE(LEFT(Table132[[#This Row],[next move]],1))*3,1)</f>
        <v>V</v>
      </c>
      <c r="I686" t="str">
        <f>Table132[[#This Row],[ÉTAT]]&amp;Table132[[#This Row],[next move]]</f>
        <v>VVVEMVVEM00</v>
      </c>
    </row>
    <row r="687" spans="2:9" x14ac:dyDescent="0.25">
      <c r="B687" t="s">
        <v>148</v>
      </c>
      <c r="C687" s="22" t="s">
        <v>24</v>
      </c>
      <c r="D687">
        <v>2</v>
      </c>
      <c r="G687" s="30">
        <f>Table132[[#This Row],[nb win]]/Table132[[#This Row],[nb play]]</f>
        <v>0</v>
      </c>
      <c r="H687" t="str">
        <f>MID(Table132[[#This Row],[ÉTAT]],VALUE(RIGHT(Table132[[#This Row],[next move]],1))+1+VALUE(LEFT(Table132[[#This Row],[next move]],1))*3,1)</f>
        <v>V</v>
      </c>
      <c r="I687" t="str">
        <f>Table132[[#This Row],[ÉTAT]]&amp;Table132[[#This Row],[next move]]</f>
        <v>VVVEMVMVE00</v>
      </c>
    </row>
    <row r="688" spans="2:9" x14ac:dyDescent="0.25">
      <c r="B688" t="s">
        <v>148</v>
      </c>
      <c r="C688" s="22" t="s">
        <v>28</v>
      </c>
      <c r="D688">
        <v>3</v>
      </c>
      <c r="E688">
        <v>3</v>
      </c>
      <c r="G688" s="31">
        <f>Table132[[#This Row],[nb win]]/Table132[[#This Row],[nb play]]</f>
        <v>1</v>
      </c>
      <c r="H688" t="str">
        <f>MID(Table132[[#This Row],[ÉTAT]],VALUE(RIGHT(Table132[[#This Row],[next move]],1))+1+VALUE(LEFT(Table132[[#This Row],[next move]],1))*3,1)</f>
        <v>V</v>
      </c>
      <c r="I688" t="str">
        <f>Table132[[#This Row],[ÉTAT]]&amp;Table132[[#This Row],[next move]]</f>
        <v>VVVEMVMVE12</v>
      </c>
    </row>
    <row r="689" spans="2:9" x14ac:dyDescent="0.25">
      <c r="B689" t="s">
        <v>1071</v>
      </c>
      <c r="C689" s="22" t="s">
        <v>28</v>
      </c>
      <c r="D689">
        <v>2</v>
      </c>
      <c r="E689">
        <v>2</v>
      </c>
      <c r="G689" s="25">
        <f>Table132[[#This Row],[nb win]]/Table132[[#This Row],[nb play]]</f>
        <v>1</v>
      </c>
      <c r="H689" t="str">
        <f>MID(Table132[[#This Row],[ÉTAT]],VALUE(RIGHT(Table132[[#This Row],[next move]],1))+1+VALUE(LEFT(Table132[[#This Row],[next move]],1))*3,1)</f>
        <v>V</v>
      </c>
      <c r="I689" t="str">
        <f>Table132[[#This Row],[ÉTAT]]&amp;Table132[[#This Row],[next move]]</f>
        <v>VVVEMVMEV12</v>
      </c>
    </row>
    <row r="690" spans="2:9" x14ac:dyDescent="0.25">
      <c r="B690" t="s">
        <v>1356</v>
      </c>
      <c r="C690" s="22" t="s">
        <v>20</v>
      </c>
      <c r="D690">
        <v>4</v>
      </c>
      <c r="E690">
        <v>4</v>
      </c>
      <c r="G690" s="31">
        <f>Table132[[#This Row],[nb win]]/Table132[[#This Row],[nb play]]</f>
        <v>1</v>
      </c>
      <c r="H690" t="str">
        <f>MID(Table132[[#This Row],[ÉTAT]],VALUE(RIGHT(Table132[[#This Row],[next move]],1))+1+VALUE(LEFT(Table132[[#This Row],[next move]],1))*3,1)</f>
        <v>V</v>
      </c>
      <c r="I690" t="str">
        <f>Table132[[#This Row],[ÉTAT]]&amp;Table132[[#This Row],[next move]]</f>
        <v>VVVEMVMEE02</v>
      </c>
    </row>
    <row r="691" spans="2:9" x14ac:dyDescent="0.25">
      <c r="B691" t="s">
        <v>1416</v>
      </c>
      <c r="C691" s="22" t="s">
        <v>24</v>
      </c>
      <c r="D691">
        <v>5</v>
      </c>
      <c r="E691">
        <v>4</v>
      </c>
      <c r="G691" s="31">
        <f>Table132[[#This Row],[nb win]]/Table132[[#This Row],[nb play]]</f>
        <v>0.8</v>
      </c>
      <c r="H691" t="str">
        <f>MID(Table132[[#This Row],[ÉTAT]],VALUE(RIGHT(Table132[[#This Row],[next move]],1))+1+VALUE(LEFT(Table132[[#This Row],[next move]],1))*3,1)</f>
        <v>V</v>
      </c>
      <c r="I691" t="str">
        <f>Table132[[#This Row],[ÉTAT]]&amp;Table132[[#This Row],[next move]]</f>
        <v>VVVEMVEVV00</v>
      </c>
    </row>
    <row r="692" spans="2:9" x14ac:dyDescent="0.25">
      <c r="B692" t="s">
        <v>1416</v>
      </c>
      <c r="C692" s="22" t="s">
        <v>20</v>
      </c>
      <c r="D692">
        <v>1</v>
      </c>
      <c r="G692" s="30">
        <f>Table132[[#This Row],[nb win]]/Table132[[#This Row],[nb play]]</f>
        <v>0</v>
      </c>
      <c r="H692" t="str">
        <f>MID(Table132[[#This Row],[ÉTAT]],VALUE(RIGHT(Table132[[#This Row],[next move]],1))+1+VALUE(LEFT(Table132[[#This Row],[next move]],1))*3,1)</f>
        <v>V</v>
      </c>
      <c r="I692" t="str">
        <f>Table132[[#This Row],[ÉTAT]]&amp;Table132[[#This Row],[next move]]</f>
        <v>VVVEMVEVV02</v>
      </c>
    </row>
    <row r="693" spans="2:9" x14ac:dyDescent="0.25">
      <c r="B693" t="s">
        <v>1416</v>
      </c>
      <c r="C693" s="22" t="s">
        <v>28</v>
      </c>
      <c r="D693">
        <v>1</v>
      </c>
      <c r="G693" s="30">
        <f>Table132[[#This Row],[nb win]]/Table132[[#This Row],[nb play]]</f>
        <v>0</v>
      </c>
      <c r="H693" t="str">
        <f>MID(Table132[[#This Row],[ÉTAT]],VALUE(RIGHT(Table132[[#This Row],[next move]],1))+1+VALUE(LEFT(Table132[[#This Row],[next move]],1))*3,1)</f>
        <v>V</v>
      </c>
      <c r="I693" t="str">
        <f>Table132[[#This Row],[ÉTAT]]&amp;Table132[[#This Row],[next move]]</f>
        <v>VVVEMVEVV12</v>
      </c>
    </row>
    <row r="694" spans="2:9" x14ac:dyDescent="0.25">
      <c r="B694" t="s">
        <v>1416</v>
      </c>
      <c r="C694" s="22" t="s">
        <v>31</v>
      </c>
      <c r="D694">
        <v>2</v>
      </c>
      <c r="E694">
        <v>1</v>
      </c>
      <c r="G694" s="30">
        <f>Table132[[#This Row],[nb win]]/Table132[[#This Row],[nb play]]</f>
        <v>0.5</v>
      </c>
      <c r="H694" t="str">
        <f>MID(Table132[[#This Row],[ÉTAT]],VALUE(RIGHT(Table132[[#This Row],[next move]],1))+1+VALUE(LEFT(Table132[[#This Row],[next move]],1))*3,1)</f>
        <v>V</v>
      </c>
      <c r="I694" t="str">
        <f>Table132[[#This Row],[ÉTAT]]&amp;Table132[[#This Row],[next move]]</f>
        <v>VVVEMVEVV22</v>
      </c>
    </row>
    <row r="695" spans="2:9" x14ac:dyDescent="0.25">
      <c r="B695" t="s">
        <v>2084</v>
      </c>
      <c r="C695" s="22" t="s">
        <v>26</v>
      </c>
      <c r="D695">
        <v>3</v>
      </c>
      <c r="E695">
        <v>3</v>
      </c>
      <c r="G695" s="31">
        <f>Table132[[#This Row],[nb win]]/Table132[[#This Row],[nb play]]</f>
        <v>1</v>
      </c>
      <c r="H695" t="str">
        <f>MID(Table132[[#This Row],[ÉTAT]],VALUE(RIGHT(Table132[[#This Row],[next move]],1))+1+VALUE(LEFT(Table132[[#This Row],[next move]],1))*3,1)</f>
        <v>V</v>
      </c>
      <c r="I695" t="str">
        <f>Table132[[#This Row],[ÉTAT]]&amp;Table132[[#This Row],[next move]]</f>
        <v>VVVEMVEVM01</v>
      </c>
    </row>
    <row r="696" spans="2:9" x14ac:dyDescent="0.25">
      <c r="B696" t="s">
        <v>1326</v>
      </c>
      <c r="C696" s="22" t="s">
        <v>26</v>
      </c>
      <c r="D696">
        <v>10</v>
      </c>
      <c r="E696">
        <v>10</v>
      </c>
      <c r="G696" s="31">
        <f>Table132[[#This Row],[nb win]]/Table132[[#This Row],[nb play]]</f>
        <v>1</v>
      </c>
      <c r="H696" t="str">
        <f>MID(Table132[[#This Row],[ÉTAT]],VALUE(RIGHT(Table132[[#This Row],[next move]],1))+1+VALUE(LEFT(Table132[[#This Row],[next move]],1))*3,1)</f>
        <v>V</v>
      </c>
      <c r="I696" t="str">
        <f>Table132[[#This Row],[ÉTAT]]&amp;Table132[[#This Row],[next move]]</f>
        <v>VVVEMVEMV01</v>
      </c>
    </row>
    <row r="697" spans="2:9" x14ac:dyDescent="0.25">
      <c r="B697" t="s">
        <v>2934</v>
      </c>
      <c r="C697" s="22" t="s">
        <v>26</v>
      </c>
      <c r="D697">
        <v>3</v>
      </c>
      <c r="E697">
        <v>3</v>
      </c>
      <c r="G697" s="31">
        <f>Table132[[#This Row],[nb win]]/Table132[[#This Row],[nb play]]</f>
        <v>1</v>
      </c>
      <c r="H697" t="str">
        <f>MID(Table132[[#This Row],[ÉTAT]],VALUE(RIGHT(Table132[[#This Row],[next move]],1))+1+VALUE(LEFT(Table132[[#This Row],[next move]],1))*3,1)</f>
        <v>V</v>
      </c>
      <c r="I697" t="str">
        <f>Table132[[#This Row],[ÉTAT]]&amp;Table132[[#This Row],[next move]]</f>
        <v>VVVEMVEME01</v>
      </c>
    </row>
    <row r="698" spans="2:9" x14ac:dyDescent="0.25">
      <c r="B698" t="s">
        <v>1566</v>
      </c>
      <c r="C698" s="22" t="s">
        <v>26</v>
      </c>
      <c r="D698">
        <v>3</v>
      </c>
      <c r="E698">
        <v>1</v>
      </c>
      <c r="G698" s="31">
        <f>Table132[[#This Row],[nb win]]/Table132[[#This Row],[nb play]]</f>
        <v>0.33333333333333331</v>
      </c>
      <c r="H698" t="str">
        <f>MID(Table132[[#This Row],[ÉTAT]],VALUE(RIGHT(Table132[[#This Row],[next move]],1))+1+VALUE(LEFT(Table132[[#This Row],[next move]],1))*3,1)</f>
        <v>V</v>
      </c>
      <c r="I698" t="str">
        <f>Table132[[#This Row],[ÉTAT]]&amp;Table132[[#This Row],[next move]]</f>
        <v>VVVEMVEEM01</v>
      </c>
    </row>
    <row r="699" spans="2:9" x14ac:dyDescent="0.25">
      <c r="B699" t="s">
        <v>1566</v>
      </c>
      <c r="C699" s="22" t="s">
        <v>28</v>
      </c>
      <c r="D699">
        <v>4</v>
      </c>
      <c r="E699">
        <v>3</v>
      </c>
      <c r="G699" s="30">
        <f>Table132[[#This Row],[nb win]]/Table132[[#This Row],[nb play]]</f>
        <v>0.75</v>
      </c>
      <c r="H699" t="str">
        <f>MID(Table132[[#This Row],[ÉTAT]],VALUE(RIGHT(Table132[[#This Row],[next move]],1))+1+VALUE(LEFT(Table132[[#This Row],[next move]],1))*3,1)</f>
        <v>V</v>
      </c>
      <c r="I699" t="str">
        <f>Table132[[#This Row],[ÉTAT]]&amp;Table132[[#This Row],[next move]]</f>
        <v>VVVEMVEEM12</v>
      </c>
    </row>
    <row r="700" spans="2:9" x14ac:dyDescent="0.25">
      <c r="B700" t="s">
        <v>310</v>
      </c>
      <c r="C700" s="22" t="s">
        <v>22</v>
      </c>
      <c r="D700">
        <v>3</v>
      </c>
      <c r="E700">
        <v>3</v>
      </c>
      <c r="G700" s="25">
        <f>Table132[[#This Row],[nb win]]/Table132[[#This Row],[nb play]]</f>
        <v>1</v>
      </c>
      <c r="H700" t="str">
        <f>MID(Table132[[#This Row],[ÉTAT]],VALUE(RIGHT(Table132[[#This Row],[next move]],1))+1+VALUE(LEFT(Table132[[#This Row],[next move]],1))*3,1)</f>
        <v>V</v>
      </c>
      <c r="I700" t="str">
        <f>Table132[[#This Row],[ÉTAT]]&amp;Table132[[#This Row],[next move]]</f>
        <v>VVVEMMVVE21</v>
      </c>
    </row>
    <row r="701" spans="2:9" x14ac:dyDescent="0.25">
      <c r="B701" t="s">
        <v>311</v>
      </c>
      <c r="C701" s="22" t="s">
        <v>26</v>
      </c>
      <c r="D701">
        <v>1</v>
      </c>
      <c r="G701" s="30">
        <f>Table132[[#This Row],[nb win]]/Table132[[#This Row],[nb play]]</f>
        <v>0</v>
      </c>
      <c r="H701" t="str">
        <f>MID(Table132[[#This Row],[ÉTAT]],VALUE(RIGHT(Table132[[#This Row],[next move]],1))+1+VALUE(LEFT(Table132[[#This Row],[next move]],1))*3,1)</f>
        <v>V</v>
      </c>
      <c r="I701" t="str">
        <f>Table132[[#This Row],[ÉTAT]]&amp;Table132[[#This Row],[next move]]</f>
        <v>VVVEMMVEV01</v>
      </c>
    </row>
    <row r="702" spans="2:9" x14ac:dyDescent="0.25">
      <c r="B702" t="s">
        <v>311</v>
      </c>
      <c r="C702" s="22" t="s">
        <v>20</v>
      </c>
      <c r="D702">
        <v>2</v>
      </c>
      <c r="E702">
        <v>1</v>
      </c>
      <c r="G702" s="25">
        <f>Table132[[#This Row],[nb win]]/Table132[[#This Row],[nb play]]</f>
        <v>0.5</v>
      </c>
      <c r="H702" t="str">
        <f>MID(Table132[[#This Row],[ÉTAT]],VALUE(RIGHT(Table132[[#This Row],[next move]],1))+1+VALUE(LEFT(Table132[[#This Row],[next move]],1))*3,1)</f>
        <v>V</v>
      </c>
      <c r="I702" t="str">
        <f>Table132[[#This Row],[ÉTAT]]&amp;Table132[[#This Row],[next move]]</f>
        <v>VVVEMMVEV02</v>
      </c>
    </row>
    <row r="703" spans="2:9" x14ac:dyDescent="0.25">
      <c r="B703" t="s">
        <v>311</v>
      </c>
      <c r="C703" s="22" t="s">
        <v>31</v>
      </c>
      <c r="D703">
        <v>1</v>
      </c>
      <c r="E703">
        <v>1</v>
      </c>
      <c r="G703" s="31">
        <f>Table132[[#This Row],[nb win]]/Table132[[#This Row],[nb play]]</f>
        <v>1</v>
      </c>
      <c r="H703" t="str">
        <f>MID(Table132[[#This Row],[ÉTAT]],VALUE(RIGHT(Table132[[#This Row],[next move]],1))+1+VALUE(LEFT(Table132[[#This Row],[next move]],1))*3,1)</f>
        <v>V</v>
      </c>
      <c r="I703" t="str">
        <f>Table132[[#This Row],[ÉTAT]]&amp;Table132[[#This Row],[next move]]</f>
        <v>VVVEMMVEV22</v>
      </c>
    </row>
    <row r="704" spans="2:9" x14ac:dyDescent="0.25">
      <c r="B704" t="s">
        <v>2962</v>
      </c>
      <c r="C704" s="22" t="s">
        <v>20</v>
      </c>
      <c r="D704">
        <v>1</v>
      </c>
      <c r="G704" s="25">
        <f>Table132[[#This Row],[nb win]]/Table132[[#This Row],[nb play]]</f>
        <v>0</v>
      </c>
      <c r="H704" t="str">
        <f>MID(Table132[[#This Row],[ÉTAT]],VALUE(RIGHT(Table132[[#This Row],[next move]],1))+1+VALUE(LEFT(Table132[[#This Row],[next move]],1))*3,1)</f>
        <v>V</v>
      </c>
      <c r="I704" t="str">
        <f>Table132[[#This Row],[ÉTAT]]&amp;Table132[[#This Row],[next move]]</f>
        <v>VVVEMMVEE02</v>
      </c>
    </row>
    <row r="705" spans="2:9" x14ac:dyDescent="0.25">
      <c r="B705" t="s">
        <v>1660</v>
      </c>
      <c r="C705" s="22" t="s">
        <v>26</v>
      </c>
      <c r="D705">
        <v>1</v>
      </c>
      <c r="E705">
        <v>1</v>
      </c>
      <c r="G705" s="25">
        <f>Table132[[#This Row],[nb win]]/Table132[[#This Row],[nb play]]</f>
        <v>1</v>
      </c>
      <c r="H705" t="str">
        <f>MID(Table132[[#This Row],[ÉTAT]],VALUE(RIGHT(Table132[[#This Row],[next move]],1))+1+VALUE(LEFT(Table132[[#This Row],[next move]],1))*3,1)</f>
        <v>V</v>
      </c>
      <c r="I705" t="str">
        <f>Table132[[#This Row],[ÉTAT]]&amp;Table132[[#This Row],[next move]]</f>
        <v>VVVEMMMEE01</v>
      </c>
    </row>
    <row r="706" spans="2:9" x14ac:dyDescent="0.25">
      <c r="B706" t="s">
        <v>309</v>
      </c>
      <c r="C706" s="22" t="s">
        <v>20</v>
      </c>
      <c r="D706">
        <v>1</v>
      </c>
      <c r="G706" s="25">
        <f>Table132[[#This Row],[nb win]]/Table132[[#This Row],[nb play]]</f>
        <v>0</v>
      </c>
      <c r="H706" t="str">
        <f>MID(Table132[[#This Row],[ÉTAT]],VALUE(RIGHT(Table132[[#This Row],[next move]],1))+1+VALUE(LEFT(Table132[[#This Row],[next move]],1))*3,1)</f>
        <v>V</v>
      </c>
      <c r="I706" t="str">
        <f>Table132[[#This Row],[ÉTAT]]&amp;Table132[[#This Row],[next move]]</f>
        <v>VVVEMMEVV02</v>
      </c>
    </row>
    <row r="707" spans="2:9" x14ac:dyDescent="0.25">
      <c r="B707" t="s">
        <v>309</v>
      </c>
      <c r="C707" s="22" t="s">
        <v>22</v>
      </c>
      <c r="D707">
        <v>2</v>
      </c>
      <c r="E707">
        <v>1</v>
      </c>
      <c r="G707" s="25">
        <f>Table132[[#This Row],[nb win]]/Table132[[#This Row],[nb play]]</f>
        <v>0.5</v>
      </c>
      <c r="H707" t="str">
        <f>MID(Table132[[#This Row],[ÉTAT]],VALUE(RIGHT(Table132[[#This Row],[next move]],1))+1+VALUE(LEFT(Table132[[#This Row],[next move]],1))*3,1)</f>
        <v>V</v>
      </c>
      <c r="I707" t="str">
        <f>Table132[[#This Row],[ÉTAT]]&amp;Table132[[#This Row],[next move]]</f>
        <v>VVVEMMEVV21</v>
      </c>
    </row>
    <row r="708" spans="2:9" x14ac:dyDescent="0.25">
      <c r="B708" t="s">
        <v>309</v>
      </c>
      <c r="C708" s="22" t="s">
        <v>31</v>
      </c>
      <c r="D708">
        <v>3</v>
      </c>
      <c r="E708">
        <v>2</v>
      </c>
      <c r="G708" s="30">
        <f>Table132[[#This Row],[nb win]]/Table132[[#This Row],[nb play]]</f>
        <v>0.66666666666666663</v>
      </c>
      <c r="H708" t="str">
        <f>MID(Table132[[#This Row],[ÉTAT]],VALUE(RIGHT(Table132[[#This Row],[next move]],1))+1+VALUE(LEFT(Table132[[#This Row],[next move]],1))*3,1)</f>
        <v>V</v>
      </c>
      <c r="I708" t="str">
        <f>Table132[[#This Row],[ÉTAT]]&amp;Table132[[#This Row],[next move]]</f>
        <v>VVVEMMEVV22</v>
      </c>
    </row>
    <row r="709" spans="2:9" x14ac:dyDescent="0.25">
      <c r="B709" t="s">
        <v>2254</v>
      </c>
      <c r="C709" s="22" t="s">
        <v>26</v>
      </c>
      <c r="D709">
        <v>1</v>
      </c>
      <c r="E709">
        <v>1</v>
      </c>
      <c r="G709" s="25">
        <f>Table132[[#This Row],[nb win]]/Table132[[#This Row],[nb play]]</f>
        <v>1</v>
      </c>
      <c r="H709" t="str">
        <f>MID(Table132[[#This Row],[ÉTAT]],VALUE(RIGHT(Table132[[#This Row],[next move]],1))+1+VALUE(LEFT(Table132[[#This Row],[next move]],1))*3,1)</f>
        <v>V</v>
      </c>
      <c r="I709" t="str">
        <f>Table132[[#This Row],[ÉTAT]]&amp;Table132[[#This Row],[next move]]</f>
        <v>VVVEMMEME01</v>
      </c>
    </row>
    <row r="710" spans="2:9" x14ac:dyDescent="0.25">
      <c r="B710" t="s">
        <v>2254</v>
      </c>
      <c r="C710" s="22" t="s">
        <v>20</v>
      </c>
      <c r="D710">
        <v>1</v>
      </c>
      <c r="G710" s="25">
        <f>Table132[[#This Row],[nb win]]/Table132[[#This Row],[nb play]]</f>
        <v>0</v>
      </c>
      <c r="H710" t="str">
        <f>MID(Table132[[#This Row],[ÉTAT]],VALUE(RIGHT(Table132[[#This Row],[next move]],1))+1+VALUE(LEFT(Table132[[#This Row],[next move]],1))*3,1)</f>
        <v>V</v>
      </c>
      <c r="I710" t="str">
        <f>Table132[[#This Row],[ÉTAT]]&amp;Table132[[#This Row],[next move]]</f>
        <v>VVVEMMEME02</v>
      </c>
    </row>
    <row r="711" spans="2:9" x14ac:dyDescent="0.25">
      <c r="B711" t="s">
        <v>2173</v>
      </c>
      <c r="C711" s="22" t="s">
        <v>26</v>
      </c>
      <c r="D711">
        <v>1</v>
      </c>
      <c r="G711" s="25">
        <f>Table132[[#This Row],[nb win]]/Table132[[#This Row],[nb play]]</f>
        <v>0</v>
      </c>
      <c r="H711" t="str">
        <f>MID(Table132[[#This Row],[ÉTAT]],VALUE(RIGHT(Table132[[#This Row],[next move]],1))+1+VALUE(LEFT(Table132[[#This Row],[next move]],1))*3,1)</f>
        <v>V</v>
      </c>
      <c r="I711" t="str">
        <f>Table132[[#This Row],[ÉTAT]]&amp;Table132[[#This Row],[next move]]</f>
        <v>VVVEMMEEV01</v>
      </c>
    </row>
    <row r="712" spans="2:9" x14ac:dyDescent="0.25">
      <c r="B712" t="s">
        <v>2173</v>
      </c>
      <c r="C712" s="22" t="s">
        <v>31</v>
      </c>
      <c r="D712">
        <v>1</v>
      </c>
      <c r="G712" s="30">
        <f>Table132[[#This Row],[nb win]]/Table132[[#This Row],[nb play]]</f>
        <v>0</v>
      </c>
      <c r="H712" t="str">
        <f>MID(Table132[[#This Row],[ÉTAT]],VALUE(RIGHT(Table132[[#This Row],[next move]],1))+1+VALUE(LEFT(Table132[[#This Row],[next move]],1))*3,1)</f>
        <v>V</v>
      </c>
      <c r="I712" t="str">
        <f>Table132[[#This Row],[ÉTAT]]&amp;Table132[[#This Row],[next move]]</f>
        <v>VVVEMMEEV22</v>
      </c>
    </row>
    <row r="713" spans="2:9" x14ac:dyDescent="0.25">
      <c r="B713" t="s">
        <v>1670</v>
      </c>
      <c r="C713" s="22" t="s">
        <v>24</v>
      </c>
      <c r="D713">
        <v>4</v>
      </c>
      <c r="E713">
        <v>4</v>
      </c>
      <c r="G713" s="31">
        <f>Table132[[#This Row],[nb win]]/Table132[[#This Row],[nb play]]</f>
        <v>1</v>
      </c>
      <c r="H713" t="str">
        <f>MID(Table132[[#This Row],[ÉTAT]],VALUE(RIGHT(Table132[[#This Row],[next move]],1))+1+VALUE(LEFT(Table132[[#This Row],[next move]],1))*3,1)</f>
        <v>V</v>
      </c>
      <c r="I713" t="str">
        <f>Table132[[#This Row],[ÉTAT]]&amp;Table132[[#This Row],[next move]]</f>
        <v>VVVEMMEEM00</v>
      </c>
    </row>
    <row r="714" spans="2:9" x14ac:dyDescent="0.25">
      <c r="B714" t="s">
        <v>1670</v>
      </c>
      <c r="C714" s="22" t="s">
        <v>26</v>
      </c>
      <c r="D714">
        <v>1</v>
      </c>
      <c r="G714" s="25">
        <f>Table132[[#This Row],[nb win]]/Table132[[#This Row],[nb play]]</f>
        <v>0</v>
      </c>
      <c r="H714" t="str">
        <f>MID(Table132[[#This Row],[ÉTAT]],VALUE(RIGHT(Table132[[#This Row],[next move]],1))+1+VALUE(LEFT(Table132[[#This Row],[next move]],1))*3,1)</f>
        <v>V</v>
      </c>
      <c r="I714" t="str">
        <f>Table132[[#This Row],[ÉTAT]]&amp;Table132[[#This Row],[next move]]</f>
        <v>VVVEMMEEM01</v>
      </c>
    </row>
    <row r="715" spans="2:9" x14ac:dyDescent="0.25">
      <c r="B715" t="s">
        <v>572</v>
      </c>
      <c r="C715" s="22" t="s">
        <v>24</v>
      </c>
      <c r="D715">
        <v>3</v>
      </c>
      <c r="E715">
        <v>2</v>
      </c>
      <c r="G715" s="25">
        <f>Table132[[#This Row],[nb win]]/Table132[[#This Row],[nb play]]</f>
        <v>0.66666666666666663</v>
      </c>
      <c r="H715" t="str">
        <f>MID(Table132[[#This Row],[ÉTAT]],VALUE(RIGHT(Table132[[#This Row],[next move]],1))+1+VALUE(LEFT(Table132[[#This Row],[next move]],1))*3,1)</f>
        <v>V</v>
      </c>
      <c r="I715" t="str">
        <f>Table132[[#This Row],[ÉTAT]]&amp;Table132[[#This Row],[next move]]</f>
        <v>VVVEMEVVV00</v>
      </c>
    </row>
    <row r="716" spans="2:9" x14ac:dyDescent="0.25">
      <c r="B716" t="s">
        <v>572</v>
      </c>
      <c r="C716" s="22" t="s">
        <v>35</v>
      </c>
      <c r="D716">
        <v>3</v>
      </c>
      <c r="E716">
        <v>2</v>
      </c>
      <c r="G716" s="25">
        <f>Table132[[#This Row],[nb win]]/Table132[[#This Row],[nb play]]</f>
        <v>0.66666666666666663</v>
      </c>
      <c r="H716" t="str">
        <f>MID(Table132[[#This Row],[ÉTAT]],VALUE(RIGHT(Table132[[#This Row],[next move]],1))+1+VALUE(LEFT(Table132[[#This Row],[next move]],1))*3,1)</f>
        <v>V</v>
      </c>
      <c r="I716" t="str">
        <f>Table132[[#This Row],[ÉTAT]]&amp;Table132[[#This Row],[next move]]</f>
        <v>VVVEMEVVV20</v>
      </c>
    </row>
    <row r="717" spans="2:9" x14ac:dyDescent="0.25">
      <c r="B717" t="s">
        <v>572</v>
      </c>
      <c r="C717" s="22" t="s">
        <v>22</v>
      </c>
      <c r="D717">
        <v>4</v>
      </c>
      <c r="E717">
        <v>3</v>
      </c>
      <c r="G717" s="30">
        <f>Table132[[#This Row],[nb win]]/Table132[[#This Row],[nb play]]</f>
        <v>0.75</v>
      </c>
      <c r="H717" t="str">
        <f>MID(Table132[[#This Row],[ÉTAT]],VALUE(RIGHT(Table132[[#This Row],[next move]],1))+1+VALUE(LEFT(Table132[[#This Row],[next move]],1))*3,1)</f>
        <v>V</v>
      </c>
      <c r="I717" t="str">
        <f>Table132[[#This Row],[ÉTAT]]&amp;Table132[[#This Row],[next move]]</f>
        <v>VVVEMEVVV21</v>
      </c>
    </row>
    <row r="718" spans="2:9" x14ac:dyDescent="0.25">
      <c r="B718" t="s">
        <v>572</v>
      </c>
      <c r="C718" s="22" t="s">
        <v>31</v>
      </c>
      <c r="D718">
        <v>4</v>
      </c>
      <c r="E718">
        <v>3</v>
      </c>
      <c r="G718" s="31">
        <f>Table132[[#This Row],[nb win]]/Table132[[#This Row],[nb play]]</f>
        <v>0.75</v>
      </c>
      <c r="H718" t="str">
        <f>MID(Table132[[#This Row],[ÉTAT]],VALUE(RIGHT(Table132[[#This Row],[next move]],1))+1+VALUE(LEFT(Table132[[#This Row],[next move]],1))*3,1)</f>
        <v>V</v>
      </c>
      <c r="I718" t="str">
        <f>Table132[[#This Row],[ÉTAT]]&amp;Table132[[#This Row],[next move]]</f>
        <v>VVVEMEVVV22</v>
      </c>
    </row>
    <row r="719" spans="2:9" x14ac:dyDescent="0.25">
      <c r="B719" t="s">
        <v>1581</v>
      </c>
      <c r="C719" s="22" t="s">
        <v>24</v>
      </c>
      <c r="D719">
        <v>3</v>
      </c>
      <c r="E719">
        <v>3</v>
      </c>
      <c r="G719" s="31">
        <f>Table132[[#This Row],[nb win]]/Table132[[#This Row],[nb play]]</f>
        <v>1</v>
      </c>
      <c r="H719" t="str">
        <f>MID(Table132[[#This Row],[ÉTAT]],VALUE(RIGHT(Table132[[#This Row],[next move]],1))+1+VALUE(LEFT(Table132[[#This Row],[next move]],1))*3,1)</f>
        <v>V</v>
      </c>
      <c r="I719" t="str">
        <f>Table132[[#This Row],[ÉTAT]]&amp;Table132[[#This Row],[next move]]</f>
        <v>VVVEMEVVM00</v>
      </c>
    </row>
    <row r="720" spans="2:9" x14ac:dyDescent="0.25">
      <c r="B720" t="s">
        <v>1581</v>
      </c>
      <c r="C720" s="22" t="s">
        <v>22</v>
      </c>
      <c r="D720">
        <v>3</v>
      </c>
      <c r="E720">
        <v>2</v>
      </c>
      <c r="G720" s="25">
        <f>Table132[[#This Row],[nb win]]/Table132[[#This Row],[nb play]]</f>
        <v>0.66666666666666663</v>
      </c>
      <c r="H720" t="str">
        <f>MID(Table132[[#This Row],[ÉTAT]],VALUE(RIGHT(Table132[[#This Row],[next move]],1))+1+VALUE(LEFT(Table132[[#This Row],[next move]],1))*3,1)</f>
        <v>V</v>
      </c>
      <c r="I720" t="str">
        <f>Table132[[#This Row],[ÉTAT]]&amp;Table132[[#This Row],[next move]]</f>
        <v>VVVEMEVVM21</v>
      </c>
    </row>
    <row r="721" spans="2:9" x14ac:dyDescent="0.25">
      <c r="B721" t="s">
        <v>2392</v>
      </c>
      <c r="C721" s="22" t="s">
        <v>24</v>
      </c>
      <c r="D721">
        <v>7</v>
      </c>
      <c r="E721">
        <v>7</v>
      </c>
      <c r="G721" s="31">
        <f>Table132[[#This Row],[nb win]]/Table132[[#This Row],[nb play]]</f>
        <v>1</v>
      </c>
      <c r="H721" t="str">
        <f>MID(Table132[[#This Row],[ÉTAT]],VALUE(RIGHT(Table132[[#This Row],[next move]],1))+1+VALUE(LEFT(Table132[[#This Row],[next move]],1))*3,1)</f>
        <v>V</v>
      </c>
      <c r="I721" t="str">
        <f>Table132[[#This Row],[ÉTAT]]&amp;Table132[[#This Row],[next move]]</f>
        <v>VVVEMEVMV00</v>
      </c>
    </row>
    <row r="722" spans="2:9" x14ac:dyDescent="0.25">
      <c r="B722" t="s">
        <v>2701</v>
      </c>
      <c r="C722" s="22" t="s">
        <v>26</v>
      </c>
      <c r="D722">
        <v>2</v>
      </c>
      <c r="E722">
        <v>2</v>
      </c>
      <c r="G722" s="31">
        <f>Table132[[#This Row],[nb win]]/Table132[[#This Row],[nb play]]</f>
        <v>1</v>
      </c>
      <c r="H722" t="str">
        <f>MID(Table132[[#This Row],[ÉTAT]],VALUE(RIGHT(Table132[[#This Row],[next move]],1))+1+VALUE(LEFT(Table132[[#This Row],[next move]],1))*3,1)</f>
        <v>V</v>
      </c>
      <c r="I722" t="str">
        <f>Table132[[#This Row],[ÉTAT]]&amp;Table132[[#This Row],[next move]]</f>
        <v>VVVEMEVME01</v>
      </c>
    </row>
    <row r="723" spans="2:9" x14ac:dyDescent="0.25">
      <c r="B723" t="s">
        <v>2812</v>
      </c>
      <c r="C723" s="22" t="s">
        <v>24</v>
      </c>
      <c r="D723">
        <v>3</v>
      </c>
      <c r="E723">
        <v>3</v>
      </c>
      <c r="G723" s="31">
        <f>Table132[[#This Row],[nb win]]/Table132[[#This Row],[nb play]]</f>
        <v>1</v>
      </c>
      <c r="H723" t="str">
        <f>MID(Table132[[#This Row],[ÉTAT]],VALUE(RIGHT(Table132[[#This Row],[next move]],1))+1+VALUE(LEFT(Table132[[#This Row],[next move]],1))*3,1)</f>
        <v>V</v>
      </c>
      <c r="I723" t="str">
        <f>Table132[[#This Row],[ÉTAT]]&amp;Table132[[#This Row],[next move]]</f>
        <v>VVVEMEVEM00</v>
      </c>
    </row>
    <row r="724" spans="2:9" x14ac:dyDescent="0.25">
      <c r="B724" t="s">
        <v>2812</v>
      </c>
      <c r="C724" s="22" t="s">
        <v>26</v>
      </c>
      <c r="D724">
        <v>1</v>
      </c>
      <c r="G724" s="25">
        <f>Table132[[#This Row],[nb win]]/Table132[[#This Row],[nb play]]</f>
        <v>0</v>
      </c>
      <c r="H724" t="str">
        <f>MID(Table132[[#This Row],[ÉTAT]],VALUE(RIGHT(Table132[[#This Row],[next move]],1))+1+VALUE(LEFT(Table132[[#This Row],[next move]],1))*3,1)</f>
        <v>V</v>
      </c>
      <c r="I724" t="str">
        <f>Table132[[#This Row],[ÉTAT]]&amp;Table132[[#This Row],[next move]]</f>
        <v>VVVEMEVEM01</v>
      </c>
    </row>
    <row r="725" spans="2:9" x14ac:dyDescent="0.25">
      <c r="B725" t="s">
        <v>2279</v>
      </c>
      <c r="C725" s="22" t="s">
        <v>20</v>
      </c>
      <c r="D725">
        <v>2</v>
      </c>
      <c r="E725">
        <v>2</v>
      </c>
      <c r="G725" s="31">
        <f>Table132[[#This Row],[nb win]]/Table132[[#This Row],[nb play]]</f>
        <v>1</v>
      </c>
      <c r="H725" t="str">
        <f>MID(Table132[[#This Row],[ÉTAT]],VALUE(RIGHT(Table132[[#This Row],[next move]],1))+1+VALUE(LEFT(Table132[[#This Row],[next move]],1))*3,1)</f>
        <v>V</v>
      </c>
      <c r="I725" t="str">
        <f>Table132[[#This Row],[ÉTAT]]&amp;Table132[[#This Row],[next move]]</f>
        <v>VVVEMEMVV02</v>
      </c>
    </row>
    <row r="726" spans="2:9" x14ac:dyDescent="0.25">
      <c r="B726" t="s">
        <v>2786</v>
      </c>
      <c r="C726" s="22" t="s">
        <v>20</v>
      </c>
      <c r="D726">
        <v>2</v>
      </c>
      <c r="E726">
        <v>2</v>
      </c>
      <c r="G726" s="31">
        <f>Table132[[#This Row],[nb win]]/Table132[[#This Row],[nb play]]</f>
        <v>1</v>
      </c>
      <c r="H726" t="str">
        <f>MID(Table132[[#This Row],[ÉTAT]],VALUE(RIGHT(Table132[[#This Row],[next move]],1))+1+VALUE(LEFT(Table132[[#This Row],[next move]],1))*3,1)</f>
        <v>V</v>
      </c>
      <c r="I726" t="str">
        <f>Table132[[#This Row],[ÉTAT]]&amp;Table132[[#This Row],[next move]]</f>
        <v>VVVEMEMVE02</v>
      </c>
    </row>
    <row r="727" spans="2:9" x14ac:dyDescent="0.25">
      <c r="B727" t="s">
        <v>2156</v>
      </c>
      <c r="C727" s="22" t="s">
        <v>24</v>
      </c>
      <c r="D727">
        <v>1</v>
      </c>
      <c r="E727">
        <v>1</v>
      </c>
      <c r="G727" s="25">
        <f>Table132[[#This Row],[nb win]]/Table132[[#This Row],[nb play]]</f>
        <v>1</v>
      </c>
      <c r="H727" t="str">
        <f>MID(Table132[[#This Row],[ÉTAT]],VALUE(RIGHT(Table132[[#This Row],[next move]],1))+1+VALUE(LEFT(Table132[[#This Row],[next move]],1))*3,1)</f>
        <v>V</v>
      </c>
      <c r="I727" t="str">
        <f>Table132[[#This Row],[ÉTAT]]&amp;Table132[[#This Row],[next move]]</f>
        <v>VVVEMEMME00</v>
      </c>
    </row>
    <row r="728" spans="2:9" x14ac:dyDescent="0.25">
      <c r="B728" t="s">
        <v>3307</v>
      </c>
      <c r="C728" s="22" t="s">
        <v>31</v>
      </c>
      <c r="D728">
        <v>1</v>
      </c>
      <c r="E728">
        <v>1</v>
      </c>
      <c r="G728" s="31">
        <f>Table132[[#This Row],[nb win]]/Table132[[#This Row],[nb play]]</f>
        <v>1</v>
      </c>
      <c r="H728" t="str">
        <f>MID(Table132[[#This Row],[ÉTAT]],VALUE(RIGHT(Table132[[#This Row],[next move]],1))+1+VALUE(LEFT(Table132[[#This Row],[next move]],1))*3,1)</f>
        <v>V</v>
      </c>
      <c r="I728" t="str">
        <f>Table132[[#This Row],[ÉTAT]]&amp;Table132[[#This Row],[next move]]</f>
        <v>VVVEMEMEV22</v>
      </c>
    </row>
    <row r="729" spans="2:9" x14ac:dyDescent="0.25">
      <c r="B729" t="s">
        <v>3295</v>
      </c>
      <c r="C729" s="22" t="s">
        <v>24</v>
      </c>
      <c r="D729">
        <v>1</v>
      </c>
      <c r="E729">
        <v>1</v>
      </c>
      <c r="G729" s="31">
        <f>Table132[[#This Row],[nb win]]/Table132[[#This Row],[nb play]]</f>
        <v>1</v>
      </c>
      <c r="H729" t="str">
        <f>MID(Table132[[#This Row],[ÉTAT]],VALUE(RIGHT(Table132[[#This Row],[next move]],1))+1+VALUE(LEFT(Table132[[#This Row],[next move]],1))*3,1)</f>
        <v>V</v>
      </c>
      <c r="I729" t="str">
        <f>Table132[[#This Row],[ÉTAT]]&amp;Table132[[#This Row],[next move]]</f>
        <v>VVVEMEMEM00</v>
      </c>
    </row>
    <row r="730" spans="2:9" x14ac:dyDescent="0.25">
      <c r="B730" t="s">
        <v>2438</v>
      </c>
      <c r="C730" s="22" t="s">
        <v>26</v>
      </c>
      <c r="D730">
        <v>1</v>
      </c>
      <c r="G730" s="25">
        <f>Table132[[#This Row],[nb win]]/Table132[[#This Row],[nb play]]</f>
        <v>0</v>
      </c>
      <c r="H730" t="str">
        <f>MID(Table132[[#This Row],[ÉTAT]],VALUE(RIGHT(Table132[[#This Row],[next move]],1))+1+VALUE(LEFT(Table132[[#This Row],[next move]],1))*3,1)</f>
        <v>V</v>
      </c>
      <c r="I730" t="str">
        <f>Table132[[#This Row],[ÉTAT]]&amp;Table132[[#This Row],[next move]]</f>
        <v>VVVEMEEVM01</v>
      </c>
    </row>
    <row r="731" spans="2:9" x14ac:dyDescent="0.25">
      <c r="B731" t="s">
        <v>2438</v>
      </c>
      <c r="C731" s="22" t="s">
        <v>22</v>
      </c>
      <c r="D731">
        <v>4</v>
      </c>
      <c r="E731">
        <v>4</v>
      </c>
      <c r="G731" s="31">
        <f>Table132[[#This Row],[nb win]]/Table132[[#This Row],[nb play]]</f>
        <v>1</v>
      </c>
      <c r="H731" t="str">
        <f>MID(Table132[[#This Row],[ÉTAT]],VALUE(RIGHT(Table132[[#This Row],[next move]],1))+1+VALUE(LEFT(Table132[[#This Row],[next move]],1))*3,1)</f>
        <v>V</v>
      </c>
      <c r="I731" t="str">
        <f>Table132[[#This Row],[ÉTAT]]&amp;Table132[[#This Row],[next move]]</f>
        <v>VVVEMEEVM21</v>
      </c>
    </row>
    <row r="732" spans="2:9" x14ac:dyDescent="0.25">
      <c r="B732" t="s">
        <v>890</v>
      </c>
      <c r="C732" s="22" t="s">
        <v>24</v>
      </c>
      <c r="D732">
        <v>1</v>
      </c>
      <c r="E732">
        <v>1</v>
      </c>
      <c r="G732" s="25">
        <f>Table132[[#This Row],[nb win]]/Table132[[#This Row],[nb play]]</f>
        <v>1</v>
      </c>
      <c r="H732" t="str">
        <f>MID(Table132[[#This Row],[ÉTAT]],VALUE(RIGHT(Table132[[#This Row],[next move]],1))+1+VALUE(LEFT(Table132[[#This Row],[next move]],1))*3,1)</f>
        <v>V</v>
      </c>
      <c r="I732" t="str">
        <f>Table132[[#This Row],[ÉTAT]]&amp;Table132[[#This Row],[next move]]</f>
        <v>VVVEMEEMV00</v>
      </c>
    </row>
    <row r="733" spans="2:9" x14ac:dyDescent="0.25">
      <c r="B733" t="s">
        <v>890</v>
      </c>
      <c r="C733" s="22" t="s">
        <v>31</v>
      </c>
      <c r="D733">
        <v>7</v>
      </c>
      <c r="E733">
        <v>6</v>
      </c>
      <c r="G733" s="31">
        <f>Table132[[#This Row],[nb win]]/Table132[[#This Row],[nb play]]</f>
        <v>0.8571428571428571</v>
      </c>
      <c r="H733" t="str">
        <f>MID(Table132[[#This Row],[ÉTAT]],VALUE(RIGHT(Table132[[#This Row],[next move]],1))+1+VALUE(LEFT(Table132[[#This Row],[next move]],1))*3,1)</f>
        <v>V</v>
      </c>
      <c r="I733" t="str">
        <f>Table132[[#This Row],[ÉTAT]]&amp;Table132[[#This Row],[next move]]</f>
        <v>VVVEMEEMV22</v>
      </c>
    </row>
    <row r="734" spans="2:9" x14ac:dyDescent="0.25">
      <c r="B734" t="s">
        <v>2122</v>
      </c>
      <c r="C734" s="22" t="s">
        <v>24</v>
      </c>
      <c r="D734">
        <v>1</v>
      </c>
      <c r="E734">
        <v>1</v>
      </c>
      <c r="G734" s="31">
        <f>Table132[[#This Row],[nb win]]/Table132[[#This Row],[nb play]]</f>
        <v>1</v>
      </c>
      <c r="H734" t="str">
        <f>MID(Table132[[#This Row],[ÉTAT]],VALUE(RIGHT(Table132[[#This Row],[next move]],1))+1+VALUE(LEFT(Table132[[#This Row],[next move]],1))*3,1)</f>
        <v>V</v>
      </c>
      <c r="I734" t="str">
        <f>Table132[[#This Row],[ÉTAT]]&amp;Table132[[#This Row],[next move]]</f>
        <v>VVVEMEEMM00</v>
      </c>
    </row>
    <row r="735" spans="2:9" x14ac:dyDescent="0.25">
      <c r="B735" t="s">
        <v>2122</v>
      </c>
      <c r="C735" s="22" t="s">
        <v>20</v>
      </c>
      <c r="D735">
        <v>2</v>
      </c>
      <c r="E735">
        <v>1</v>
      </c>
      <c r="G735" s="25">
        <f>Table132[[#This Row],[nb win]]/Table132[[#This Row],[nb play]]</f>
        <v>0.5</v>
      </c>
      <c r="H735" t="str">
        <f>MID(Table132[[#This Row],[ÉTAT]],VALUE(RIGHT(Table132[[#This Row],[next move]],1))+1+VALUE(LEFT(Table132[[#This Row],[next move]],1))*3,1)</f>
        <v>V</v>
      </c>
      <c r="I735" t="str">
        <f>Table132[[#This Row],[ÉTAT]]&amp;Table132[[#This Row],[next move]]</f>
        <v>VVVEMEEMM02</v>
      </c>
    </row>
    <row r="736" spans="2:9" x14ac:dyDescent="0.25">
      <c r="B736" t="s">
        <v>1335</v>
      </c>
      <c r="C736" s="22" t="s">
        <v>24</v>
      </c>
      <c r="D736">
        <v>1</v>
      </c>
      <c r="G736" s="25">
        <f>Table132[[#This Row],[nb win]]/Table132[[#This Row],[nb play]]</f>
        <v>0</v>
      </c>
      <c r="H736" t="str">
        <f>MID(Table132[[#This Row],[ÉTAT]],VALUE(RIGHT(Table132[[#This Row],[next move]],1))+1+VALUE(LEFT(Table132[[#This Row],[next move]],1))*3,1)</f>
        <v>V</v>
      </c>
      <c r="I736" t="str">
        <f>Table132[[#This Row],[ÉTAT]]&amp;Table132[[#This Row],[next move]]</f>
        <v>VVVEEVVVM00</v>
      </c>
    </row>
    <row r="737" spans="2:9" x14ac:dyDescent="0.25">
      <c r="B737" t="s">
        <v>1335</v>
      </c>
      <c r="C737" s="22" t="s">
        <v>26</v>
      </c>
      <c r="D737">
        <v>1</v>
      </c>
      <c r="G737" s="30">
        <f>Table132[[#This Row],[nb win]]/Table132[[#This Row],[nb play]]</f>
        <v>0</v>
      </c>
      <c r="H737" t="str">
        <f>MID(Table132[[#This Row],[ÉTAT]],VALUE(RIGHT(Table132[[#This Row],[next move]],1))+1+VALUE(LEFT(Table132[[#This Row],[next move]],1))*3,1)</f>
        <v>V</v>
      </c>
      <c r="I737" t="str">
        <f>Table132[[#This Row],[ÉTAT]]&amp;Table132[[#This Row],[next move]]</f>
        <v>VVVEEVVVM01</v>
      </c>
    </row>
    <row r="738" spans="2:9" x14ac:dyDescent="0.25">
      <c r="B738" t="s">
        <v>1335</v>
      </c>
      <c r="C738" s="22" t="s">
        <v>20</v>
      </c>
      <c r="D738">
        <v>1</v>
      </c>
      <c r="G738" s="30">
        <f>Table132[[#This Row],[nb win]]/Table132[[#This Row],[nb play]]</f>
        <v>0</v>
      </c>
      <c r="H738" t="str">
        <f>MID(Table132[[#This Row],[ÉTAT]],VALUE(RIGHT(Table132[[#This Row],[next move]],1))+1+VALUE(LEFT(Table132[[#This Row],[next move]],1))*3,1)</f>
        <v>V</v>
      </c>
      <c r="I738" t="str">
        <f>Table132[[#This Row],[ÉTAT]]&amp;Table132[[#This Row],[next move]]</f>
        <v>VVVEEVVVM02</v>
      </c>
    </row>
    <row r="739" spans="2:9" x14ac:dyDescent="0.25">
      <c r="B739" t="s">
        <v>1335</v>
      </c>
      <c r="C739" s="22" t="s">
        <v>28</v>
      </c>
      <c r="D739">
        <v>4</v>
      </c>
      <c r="E739">
        <v>3</v>
      </c>
      <c r="G739" s="31">
        <f>Table132[[#This Row],[nb win]]/Table132[[#This Row],[nb play]]</f>
        <v>0.75</v>
      </c>
      <c r="H739" t="str">
        <f>MID(Table132[[#This Row],[ÉTAT]],VALUE(RIGHT(Table132[[#This Row],[next move]],1))+1+VALUE(LEFT(Table132[[#This Row],[next move]],1))*3,1)</f>
        <v>V</v>
      </c>
      <c r="I739" t="str">
        <f>Table132[[#This Row],[ÉTAT]]&amp;Table132[[#This Row],[next move]]</f>
        <v>VVVEEVVVM12</v>
      </c>
    </row>
    <row r="740" spans="2:9" x14ac:dyDescent="0.25">
      <c r="B740" t="s">
        <v>1335</v>
      </c>
      <c r="C740" s="22" t="s">
        <v>35</v>
      </c>
      <c r="D740">
        <v>1</v>
      </c>
      <c r="G740" s="25">
        <f>Table132[[#This Row],[nb win]]/Table132[[#This Row],[nb play]]</f>
        <v>0</v>
      </c>
      <c r="H740" t="str">
        <f>MID(Table132[[#This Row],[ÉTAT]],VALUE(RIGHT(Table132[[#This Row],[next move]],1))+1+VALUE(LEFT(Table132[[#This Row],[next move]],1))*3,1)</f>
        <v>V</v>
      </c>
      <c r="I740" t="str">
        <f>Table132[[#This Row],[ÉTAT]]&amp;Table132[[#This Row],[next move]]</f>
        <v>VVVEEVVVM20</v>
      </c>
    </row>
    <row r="741" spans="2:9" x14ac:dyDescent="0.25">
      <c r="B741" t="s">
        <v>1335</v>
      </c>
      <c r="C741" s="22" t="s">
        <v>22</v>
      </c>
      <c r="D741">
        <v>1</v>
      </c>
      <c r="G741" s="30">
        <f>Table132[[#This Row],[nb win]]/Table132[[#This Row],[nb play]]</f>
        <v>0</v>
      </c>
      <c r="H741" t="str">
        <f>MID(Table132[[#This Row],[ÉTAT]],VALUE(RIGHT(Table132[[#This Row],[next move]],1))+1+VALUE(LEFT(Table132[[#This Row],[next move]],1))*3,1)</f>
        <v>V</v>
      </c>
      <c r="I741" t="str">
        <f>Table132[[#This Row],[ÉTAT]]&amp;Table132[[#This Row],[next move]]</f>
        <v>VVVEEVVVM21</v>
      </c>
    </row>
    <row r="742" spans="2:9" x14ac:dyDescent="0.25">
      <c r="B742" t="s">
        <v>93</v>
      </c>
      <c r="C742" s="22" t="s">
        <v>24</v>
      </c>
      <c r="D742">
        <v>1</v>
      </c>
      <c r="G742" s="25">
        <f>Table132[[#This Row],[nb win]]/Table132[[#This Row],[nb play]]</f>
        <v>0</v>
      </c>
      <c r="H742" t="str">
        <f>MID(Table132[[#This Row],[ÉTAT]],VALUE(RIGHT(Table132[[#This Row],[next move]],1))+1+VALUE(LEFT(Table132[[#This Row],[next move]],1))*3,1)</f>
        <v>V</v>
      </c>
      <c r="I742" t="str">
        <f>Table132[[#This Row],[ÉTAT]]&amp;Table132[[#This Row],[next move]]</f>
        <v>VVVEEVVMV00</v>
      </c>
    </row>
    <row r="743" spans="2:9" x14ac:dyDescent="0.25">
      <c r="B743" t="s">
        <v>93</v>
      </c>
      <c r="C743" s="22" t="s">
        <v>26</v>
      </c>
      <c r="D743">
        <v>1</v>
      </c>
      <c r="G743" s="25">
        <f>Table132[[#This Row],[nb win]]/Table132[[#This Row],[nb play]]</f>
        <v>0</v>
      </c>
      <c r="H743" t="str">
        <f>MID(Table132[[#This Row],[ÉTAT]],VALUE(RIGHT(Table132[[#This Row],[next move]],1))+1+VALUE(LEFT(Table132[[#This Row],[next move]],1))*3,1)</f>
        <v>V</v>
      </c>
      <c r="I743" t="str">
        <f>Table132[[#This Row],[ÉTAT]]&amp;Table132[[#This Row],[next move]]</f>
        <v>VVVEEVVMV01</v>
      </c>
    </row>
    <row r="744" spans="2:9" x14ac:dyDescent="0.25">
      <c r="B744" t="s">
        <v>93</v>
      </c>
      <c r="C744" s="22" t="s">
        <v>20</v>
      </c>
      <c r="D744">
        <v>2</v>
      </c>
      <c r="G744" s="25">
        <f>Table132[[#This Row],[nb win]]/Table132[[#This Row],[nb play]]</f>
        <v>0</v>
      </c>
      <c r="H744" t="str">
        <f>MID(Table132[[#This Row],[ÉTAT]],VALUE(RIGHT(Table132[[#This Row],[next move]],1))+1+VALUE(LEFT(Table132[[#This Row],[next move]],1))*3,1)</f>
        <v>V</v>
      </c>
      <c r="I744" t="str">
        <f>Table132[[#This Row],[ÉTAT]]&amp;Table132[[#This Row],[next move]]</f>
        <v>VVVEEVVMV02</v>
      </c>
    </row>
    <row r="745" spans="2:9" x14ac:dyDescent="0.25">
      <c r="B745" t="s">
        <v>93</v>
      </c>
      <c r="C745" s="22" t="s">
        <v>28</v>
      </c>
      <c r="D745">
        <v>3</v>
      </c>
      <c r="G745" s="30">
        <f>Table132[[#This Row],[nb win]]/Table132[[#This Row],[nb play]]</f>
        <v>0</v>
      </c>
      <c r="H745" t="str">
        <f>MID(Table132[[#This Row],[ÉTAT]],VALUE(RIGHT(Table132[[#This Row],[next move]],1))+1+VALUE(LEFT(Table132[[#This Row],[next move]],1))*3,1)</f>
        <v>V</v>
      </c>
      <c r="I745" t="str">
        <f>Table132[[#This Row],[ÉTAT]]&amp;Table132[[#This Row],[next move]]</f>
        <v>VVVEEVVMV12</v>
      </c>
    </row>
    <row r="746" spans="2:9" x14ac:dyDescent="0.25">
      <c r="B746" t="s">
        <v>93</v>
      </c>
      <c r="C746" s="22" t="s">
        <v>35</v>
      </c>
      <c r="D746">
        <v>1</v>
      </c>
      <c r="E746">
        <v>1</v>
      </c>
      <c r="G746" s="25">
        <f>Table132[[#This Row],[nb win]]/Table132[[#This Row],[nb play]]</f>
        <v>1</v>
      </c>
      <c r="H746" t="str">
        <f>MID(Table132[[#This Row],[ÉTAT]],VALUE(RIGHT(Table132[[#This Row],[next move]],1))+1+VALUE(LEFT(Table132[[#This Row],[next move]],1))*3,1)</f>
        <v>V</v>
      </c>
      <c r="I746" t="str">
        <f>Table132[[#This Row],[ÉTAT]]&amp;Table132[[#This Row],[next move]]</f>
        <v>VVVEEVVMV20</v>
      </c>
    </row>
    <row r="747" spans="2:9" x14ac:dyDescent="0.25">
      <c r="B747" t="s">
        <v>452</v>
      </c>
      <c r="C747" s="22" t="s">
        <v>28</v>
      </c>
      <c r="D747">
        <v>2</v>
      </c>
      <c r="E747">
        <v>1</v>
      </c>
      <c r="G747" s="25">
        <f>Table132[[#This Row],[nb win]]/Table132[[#This Row],[nb play]]</f>
        <v>0.5</v>
      </c>
      <c r="H747" t="str">
        <f>MID(Table132[[#This Row],[ÉTAT]],VALUE(RIGHT(Table132[[#This Row],[next move]],1))+1+VALUE(LEFT(Table132[[#This Row],[next move]],1))*3,1)</f>
        <v>V</v>
      </c>
      <c r="I747" t="str">
        <f>Table132[[#This Row],[ÉTAT]]&amp;Table132[[#This Row],[next move]]</f>
        <v>VVVEEVVMM12</v>
      </c>
    </row>
    <row r="748" spans="2:9" x14ac:dyDescent="0.25">
      <c r="B748" t="s">
        <v>452</v>
      </c>
      <c r="C748" s="22" t="s">
        <v>35</v>
      </c>
      <c r="D748">
        <v>3</v>
      </c>
      <c r="E748">
        <v>3</v>
      </c>
      <c r="G748" s="31">
        <f>Table132[[#This Row],[nb win]]/Table132[[#This Row],[nb play]]</f>
        <v>1</v>
      </c>
      <c r="H748" t="str">
        <f>MID(Table132[[#This Row],[ÉTAT]],VALUE(RIGHT(Table132[[#This Row],[next move]],1))+1+VALUE(LEFT(Table132[[#This Row],[next move]],1))*3,1)</f>
        <v>V</v>
      </c>
      <c r="I748" t="str">
        <f>Table132[[#This Row],[ÉTAT]]&amp;Table132[[#This Row],[next move]]</f>
        <v>VVVEEVVMM20</v>
      </c>
    </row>
    <row r="749" spans="2:9" x14ac:dyDescent="0.25">
      <c r="B749" t="s">
        <v>1772</v>
      </c>
      <c r="C749" s="22" t="s">
        <v>24</v>
      </c>
      <c r="D749">
        <v>2</v>
      </c>
      <c r="G749" s="30">
        <f>Table132[[#This Row],[nb win]]/Table132[[#This Row],[nb play]]</f>
        <v>0</v>
      </c>
      <c r="H749" t="str">
        <f>MID(Table132[[#This Row],[ÉTAT]],VALUE(RIGHT(Table132[[#This Row],[next move]],1))+1+VALUE(LEFT(Table132[[#This Row],[next move]],1))*3,1)</f>
        <v>V</v>
      </c>
      <c r="I749" t="str">
        <f>Table132[[#This Row],[ÉTAT]]&amp;Table132[[#This Row],[next move]]</f>
        <v>VVVEEVMVV00</v>
      </c>
    </row>
    <row r="750" spans="2:9" x14ac:dyDescent="0.25">
      <c r="B750" t="s">
        <v>1772</v>
      </c>
      <c r="C750" s="22" t="s">
        <v>26</v>
      </c>
      <c r="D750">
        <v>6</v>
      </c>
      <c r="G750" s="30">
        <f>Table132[[#This Row],[nb win]]/Table132[[#This Row],[nb play]]</f>
        <v>0</v>
      </c>
      <c r="H750" t="str">
        <f>MID(Table132[[#This Row],[ÉTAT]],VALUE(RIGHT(Table132[[#This Row],[next move]],1))+1+VALUE(LEFT(Table132[[#This Row],[next move]],1))*3,1)</f>
        <v>V</v>
      </c>
      <c r="I750" t="str">
        <f>Table132[[#This Row],[ÉTAT]]&amp;Table132[[#This Row],[next move]]</f>
        <v>VVVEEVMVV01</v>
      </c>
    </row>
    <row r="751" spans="2:9" x14ac:dyDescent="0.25">
      <c r="B751" t="s">
        <v>1772</v>
      </c>
      <c r="C751" s="22" t="s">
        <v>20</v>
      </c>
      <c r="D751">
        <v>2</v>
      </c>
      <c r="E751">
        <v>1</v>
      </c>
      <c r="G751" s="30">
        <f>Table132[[#This Row],[nb win]]/Table132[[#This Row],[nb play]]</f>
        <v>0.5</v>
      </c>
      <c r="H751" t="str">
        <f>MID(Table132[[#This Row],[ÉTAT]],VALUE(RIGHT(Table132[[#This Row],[next move]],1))+1+VALUE(LEFT(Table132[[#This Row],[next move]],1))*3,1)</f>
        <v>V</v>
      </c>
      <c r="I751" t="str">
        <f>Table132[[#This Row],[ÉTAT]]&amp;Table132[[#This Row],[next move]]</f>
        <v>VVVEEVMVV02</v>
      </c>
    </row>
    <row r="752" spans="2:9" x14ac:dyDescent="0.25">
      <c r="B752" t="s">
        <v>1772</v>
      </c>
      <c r="C752" s="22" t="s">
        <v>28</v>
      </c>
      <c r="D752">
        <v>1</v>
      </c>
      <c r="G752" s="25">
        <f>Table132[[#This Row],[nb win]]/Table132[[#This Row],[nb play]]</f>
        <v>0</v>
      </c>
      <c r="H752" t="str">
        <f>MID(Table132[[#This Row],[ÉTAT]],VALUE(RIGHT(Table132[[#This Row],[next move]],1))+1+VALUE(LEFT(Table132[[#This Row],[next move]],1))*3,1)</f>
        <v>V</v>
      </c>
      <c r="I752" t="str">
        <f>Table132[[#This Row],[ÉTAT]]&amp;Table132[[#This Row],[next move]]</f>
        <v>VVVEEVMVV12</v>
      </c>
    </row>
    <row r="753" spans="2:9" x14ac:dyDescent="0.25">
      <c r="B753" t="s">
        <v>1772</v>
      </c>
      <c r="C753" s="22" t="s">
        <v>22</v>
      </c>
      <c r="D753">
        <v>3</v>
      </c>
      <c r="E753">
        <v>1</v>
      </c>
      <c r="G753" s="31">
        <f>Table132[[#This Row],[nb win]]/Table132[[#This Row],[nb play]]</f>
        <v>0.33333333333333331</v>
      </c>
      <c r="H753" t="str">
        <f>MID(Table132[[#This Row],[ÉTAT]],VALUE(RIGHT(Table132[[#This Row],[next move]],1))+1+VALUE(LEFT(Table132[[#This Row],[next move]],1))*3,1)</f>
        <v>V</v>
      </c>
      <c r="I753" t="str">
        <f>Table132[[#This Row],[ÉTAT]]&amp;Table132[[#This Row],[next move]]</f>
        <v>VVVEEVMVV21</v>
      </c>
    </row>
    <row r="754" spans="2:9" x14ac:dyDescent="0.25">
      <c r="B754" t="s">
        <v>1849</v>
      </c>
      <c r="C754" s="22" t="s">
        <v>28</v>
      </c>
      <c r="D754">
        <v>2</v>
      </c>
      <c r="E754">
        <v>2</v>
      </c>
      <c r="G754" s="25">
        <f>Table132[[#This Row],[nb win]]/Table132[[#This Row],[nb play]]</f>
        <v>1</v>
      </c>
      <c r="H754" t="str">
        <f>MID(Table132[[#This Row],[ÉTAT]],VALUE(RIGHT(Table132[[#This Row],[next move]],1))+1+VALUE(LEFT(Table132[[#This Row],[next move]],1))*3,1)</f>
        <v>V</v>
      </c>
      <c r="I754" t="str">
        <f>Table132[[#This Row],[ÉTAT]]&amp;Table132[[#This Row],[next move]]</f>
        <v>VVVEEVMVM12</v>
      </c>
    </row>
    <row r="755" spans="2:9" x14ac:dyDescent="0.25">
      <c r="B755" t="s">
        <v>1142</v>
      </c>
      <c r="C755" s="22" t="s">
        <v>26</v>
      </c>
      <c r="D755">
        <v>4</v>
      </c>
      <c r="E755">
        <v>3</v>
      </c>
      <c r="G755" s="31">
        <f>Table132[[#This Row],[nb win]]/Table132[[#This Row],[nb play]]</f>
        <v>0.75</v>
      </c>
      <c r="H755" t="str">
        <f>MID(Table132[[#This Row],[ÉTAT]],VALUE(RIGHT(Table132[[#This Row],[next move]],1))+1+VALUE(LEFT(Table132[[#This Row],[next move]],1))*3,1)</f>
        <v>V</v>
      </c>
      <c r="I755" t="str">
        <f>Table132[[#This Row],[ÉTAT]]&amp;Table132[[#This Row],[next move]]</f>
        <v>VVVEEVMMV01</v>
      </c>
    </row>
    <row r="756" spans="2:9" x14ac:dyDescent="0.25">
      <c r="B756" t="s">
        <v>1142</v>
      </c>
      <c r="C756" s="22" t="s">
        <v>31</v>
      </c>
      <c r="D756">
        <v>1</v>
      </c>
      <c r="E756">
        <v>1</v>
      </c>
      <c r="G756" s="25">
        <f>Table132[[#This Row],[nb win]]/Table132[[#This Row],[nb play]]</f>
        <v>1</v>
      </c>
      <c r="H756" t="str">
        <f>MID(Table132[[#This Row],[ÉTAT]],VALUE(RIGHT(Table132[[#This Row],[next move]],1))+1+VALUE(LEFT(Table132[[#This Row],[next move]],1))*3,1)</f>
        <v>V</v>
      </c>
      <c r="I756" t="str">
        <f>Table132[[#This Row],[ÉTAT]]&amp;Table132[[#This Row],[next move]]</f>
        <v>VVVEEVMMV22</v>
      </c>
    </row>
    <row r="757" spans="2:9" x14ac:dyDescent="0.25">
      <c r="B757" t="s">
        <v>2730</v>
      </c>
      <c r="C757" s="22" t="s">
        <v>20</v>
      </c>
      <c r="D757">
        <v>1</v>
      </c>
      <c r="G757" s="25">
        <f>Table132[[#This Row],[nb win]]/Table132[[#This Row],[nb play]]</f>
        <v>0</v>
      </c>
      <c r="H757" t="str">
        <f>MID(Table132[[#This Row],[ÉTAT]],VALUE(RIGHT(Table132[[#This Row],[next move]],1))+1+VALUE(LEFT(Table132[[#This Row],[next move]],1))*3,1)</f>
        <v>V</v>
      </c>
      <c r="I757" t="str">
        <f>Table132[[#This Row],[ÉTAT]]&amp;Table132[[#This Row],[next move]]</f>
        <v>VVVEEVMME02</v>
      </c>
    </row>
    <row r="758" spans="2:9" x14ac:dyDescent="0.25">
      <c r="B758" t="s">
        <v>2730</v>
      </c>
      <c r="C758" s="22" t="s">
        <v>28</v>
      </c>
      <c r="D758">
        <v>2</v>
      </c>
      <c r="G758" s="30">
        <f>Table132[[#This Row],[nb win]]/Table132[[#This Row],[nb play]]</f>
        <v>0</v>
      </c>
      <c r="H758" t="str">
        <f>MID(Table132[[#This Row],[ÉTAT]],VALUE(RIGHT(Table132[[#This Row],[next move]],1))+1+VALUE(LEFT(Table132[[#This Row],[next move]],1))*3,1)</f>
        <v>V</v>
      </c>
      <c r="I758" t="str">
        <f>Table132[[#This Row],[ÉTAT]]&amp;Table132[[#This Row],[next move]]</f>
        <v>VVVEEVMME12</v>
      </c>
    </row>
    <row r="759" spans="2:9" x14ac:dyDescent="0.25">
      <c r="B759" t="s">
        <v>94</v>
      </c>
      <c r="C759" s="22" t="s">
        <v>24</v>
      </c>
      <c r="D759">
        <v>2</v>
      </c>
      <c r="G759" s="30">
        <f>Table132[[#This Row],[nb win]]/Table132[[#This Row],[nb play]]</f>
        <v>0</v>
      </c>
      <c r="H759" t="str">
        <f>MID(Table132[[#This Row],[ÉTAT]],VALUE(RIGHT(Table132[[#This Row],[next move]],1))+1+VALUE(LEFT(Table132[[#This Row],[next move]],1))*3,1)</f>
        <v>V</v>
      </c>
      <c r="I759" t="str">
        <f>Table132[[#This Row],[ÉTAT]]&amp;Table132[[#This Row],[next move]]</f>
        <v>VVVEEVEMM00</v>
      </c>
    </row>
    <row r="760" spans="2:9" x14ac:dyDescent="0.25">
      <c r="B760" t="s">
        <v>94</v>
      </c>
      <c r="C760" s="22" t="s">
        <v>20</v>
      </c>
      <c r="D760">
        <v>2</v>
      </c>
      <c r="E760">
        <v>2</v>
      </c>
      <c r="G760" s="31">
        <f>Table132[[#This Row],[nb win]]/Table132[[#This Row],[nb play]]</f>
        <v>1</v>
      </c>
      <c r="H760" t="str">
        <f>MID(Table132[[#This Row],[ÉTAT]],VALUE(RIGHT(Table132[[#This Row],[next move]],1))+1+VALUE(LEFT(Table132[[#This Row],[next move]],1))*3,1)</f>
        <v>V</v>
      </c>
      <c r="I760" t="str">
        <f>Table132[[#This Row],[ÉTAT]]&amp;Table132[[#This Row],[next move]]</f>
        <v>VVVEEVEMM02</v>
      </c>
    </row>
    <row r="761" spans="2:9" x14ac:dyDescent="0.25">
      <c r="B761" t="s">
        <v>94</v>
      </c>
      <c r="C761" s="22" t="s">
        <v>28</v>
      </c>
      <c r="D761">
        <v>2</v>
      </c>
      <c r="E761">
        <v>1</v>
      </c>
      <c r="G761" s="25">
        <f>Table132[[#This Row],[nb win]]/Table132[[#This Row],[nb play]]</f>
        <v>0.5</v>
      </c>
      <c r="H761" t="str">
        <f>MID(Table132[[#This Row],[ÉTAT]],VALUE(RIGHT(Table132[[#This Row],[next move]],1))+1+VALUE(LEFT(Table132[[#This Row],[next move]],1))*3,1)</f>
        <v>V</v>
      </c>
      <c r="I761" t="str">
        <f>Table132[[#This Row],[ÉTAT]]&amp;Table132[[#This Row],[next move]]</f>
        <v>VVVEEVEMM12</v>
      </c>
    </row>
    <row r="762" spans="2:9" x14ac:dyDescent="0.25">
      <c r="B762" t="s">
        <v>641</v>
      </c>
      <c r="C762" s="22" t="s">
        <v>24</v>
      </c>
      <c r="D762">
        <v>1</v>
      </c>
      <c r="G762" s="25">
        <f>Table132[[#This Row],[nb win]]/Table132[[#This Row],[nb play]]</f>
        <v>0</v>
      </c>
      <c r="H762" t="str">
        <f>MID(Table132[[#This Row],[ÉTAT]],VALUE(RIGHT(Table132[[#This Row],[next move]],1))+1+VALUE(LEFT(Table132[[#This Row],[next move]],1))*3,1)</f>
        <v>V</v>
      </c>
      <c r="I762" t="str">
        <f>Table132[[#This Row],[ÉTAT]]&amp;Table132[[#This Row],[next move]]</f>
        <v>VVVEEMVVM00</v>
      </c>
    </row>
    <row r="763" spans="2:9" x14ac:dyDescent="0.25">
      <c r="B763" t="s">
        <v>641</v>
      </c>
      <c r="C763" s="22" t="s">
        <v>35</v>
      </c>
      <c r="D763">
        <v>2</v>
      </c>
      <c r="E763">
        <v>2</v>
      </c>
      <c r="G763" s="31">
        <f>Table132[[#This Row],[nb win]]/Table132[[#This Row],[nb play]]</f>
        <v>1</v>
      </c>
      <c r="H763" t="str">
        <f>MID(Table132[[#This Row],[ÉTAT]],VALUE(RIGHT(Table132[[#This Row],[next move]],1))+1+VALUE(LEFT(Table132[[#This Row],[next move]],1))*3,1)</f>
        <v>V</v>
      </c>
      <c r="I763" t="str">
        <f>Table132[[#This Row],[ÉTAT]]&amp;Table132[[#This Row],[next move]]</f>
        <v>VVVEEMVVM20</v>
      </c>
    </row>
    <row r="764" spans="2:9" x14ac:dyDescent="0.25">
      <c r="B764" t="s">
        <v>2547</v>
      </c>
      <c r="C764" s="22" t="s">
        <v>24</v>
      </c>
      <c r="D764">
        <v>1</v>
      </c>
      <c r="E764">
        <v>1</v>
      </c>
      <c r="G764" s="25">
        <f>Table132[[#This Row],[nb win]]/Table132[[#This Row],[nb play]]</f>
        <v>1</v>
      </c>
      <c r="H764" t="str">
        <f>MID(Table132[[#This Row],[ÉTAT]],VALUE(RIGHT(Table132[[#This Row],[next move]],1))+1+VALUE(LEFT(Table132[[#This Row],[next move]],1))*3,1)</f>
        <v>V</v>
      </c>
      <c r="I764" t="str">
        <f>Table132[[#This Row],[ÉTAT]]&amp;Table132[[#This Row],[next move]]</f>
        <v>VVVEEMVMV00</v>
      </c>
    </row>
    <row r="765" spans="2:9" x14ac:dyDescent="0.25">
      <c r="B765" t="s">
        <v>2547</v>
      </c>
      <c r="C765" s="22" t="s">
        <v>20</v>
      </c>
      <c r="D765">
        <v>1</v>
      </c>
      <c r="G765" s="25">
        <f>Table132[[#This Row],[nb win]]/Table132[[#This Row],[nb play]]</f>
        <v>0</v>
      </c>
      <c r="H765" t="str">
        <f>MID(Table132[[#This Row],[ÉTAT]],VALUE(RIGHT(Table132[[#This Row],[next move]],1))+1+VALUE(LEFT(Table132[[#This Row],[next move]],1))*3,1)</f>
        <v>V</v>
      </c>
      <c r="I765" t="str">
        <f>Table132[[#This Row],[ÉTAT]]&amp;Table132[[#This Row],[next move]]</f>
        <v>VVVEEMVMV02</v>
      </c>
    </row>
    <row r="766" spans="2:9" x14ac:dyDescent="0.25">
      <c r="B766" t="s">
        <v>186</v>
      </c>
      <c r="C766" s="22" t="s">
        <v>26</v>
      </c>
      <c r="D766">
        <v>1</v>
      </c>
      <c r="G766" s="30">
        <f>Table132[[#This Row],[nb win]]/Table132[[#This Row],[nb play]]</f>
        <v>0</v>
      </c>
      <c r="H766" t="str">
        <f>MID(Table132[[#This Row],[ÉTAT]],VALUE(RIGHT(Table132[[#This Row],[next move]],1))+1+VALUE(LEFT(Table132[[#This Row],[next move]],1))*3,1)</f>
        <v>V</v>
      </c>
      <c r="I766" t="str">
        <f>Table132[[#This Row],[ÉTAT]]&amp;Table132[[#This Row],[next move]]</f>
        <v>VVVEEMVME01</v>
      </c>
    </row>
    <row r="767" spans="2:9" x14ac:dyDescent="0.25">
      <c r="B767" t="s">
        <v>186</v>
      </c>
      <c r="C767" s="22" t="s">
        <v>35</v>
      </c>
      <c r="D767">
        <v>1</v>
      </c>
      <c r="G767" s="25">
        <f>Table132[[#This Row],[nb win]]/Table132[[#This Row],[nb play]]</f>
        <v>0</v>
      </c>
      <c r="H767" t="str">
        <f>MID(Table132[[#This Row],[ÉTAT]],VALUE(RIGHT(Table132[[#This Row],[next move]],1))+1+VALUE(LEFT(Table132[[#This Row],[next move]],1))*3,1)</f>
        <v>V</v>
      </c>
      <c r="I767" t="str">
        <f>Table132[[#This Row],[ÉTAT]]&amp;Table132[[#This Row],[next move]]</f>
        <v>VVVEEMVME20</v>
      </c>
    </row>
    <row r="768" spans="2:9" x14ac:dyDescent="0.25">
      <c r="B768" t="s">
        <v>1337</v>
      </c>
      <c r="C768" s="22" t="s">
        <v>20</v>
      </c>
      <c r="D768">
        <v>2</v>
      </c>
      <c r="E768">
        <v>2</v>
      </c>
      <c r="G768" s="31">
        <f>Table132[[#This Row],[nb win]]/Table132[[#This Row],[nb play]]</f>
        <v>1</v>
      </c>
      <c r="H768" t="str">
        <f>MID(Table132[[#This Row],[ÉTAT]],VALUE(RIGHT(Table132[[#This Row],[next move]],1))+1+VALUE(LEFT(Table132[[#This Row],[next move]],1))*3,1)</f>
        <v>V</v>
      </c>
      <c r="I768" t="str">
        <f>Table132[[#This Row],[ÉTAT]]&amp;Table132[[#This Row],[next move]]</f>
        <v>VVVEEMVEM02</v>
      </c>
    </row>
    <row r="769" spans="2:9" x14ac:dyDescent="0.25">
      <c r="B769" t="s">
        <v>673</v>
      </c>
      <c r="C769" s="22" t="s">
        <v>20</v>
      </c>
      <c r="D769">
        <v>3</v>
      </c>
      <c r="E769">
        <v>2</v>
      </c>
      <c r="G769" s="30">
        <f>Table132[[#This Row],[nb win]]/Table132[[#This Row],[nb play]]</f>
        <v>0.66666666666666663</v>
      </c>
      <c r="H769" t="str">
        <f>MID(Table132[[#This Row],[ÉTAT]],VALUE(RIGHT(Table132[[#This Row],[next move]],1))+1+VALUE(LEFT(Table132[[#This Row],[next move]],1))*3,1)</f>
        <v>V</v>
      </c>
      <c r="I769" t="str">
        <f>Table132[[#This Row],[ÉTAT]]&amp;Table132[[#This Row],[next move]]</f>
        <v>VVVEEMMVV02</v>
      </c>
    </row>
    <row r="770" spans="2:9" x14ac:dyDescent="0.25">
      <c r="B770" t="s">
        <v>673</v>
      </c>
      <c r="C770" s="22" t="s">
        <v>31</v>
      </c>
      <c r="D770">
        <v>1</v>
      </c>
      <c r="E770">
        <v>1</v>
      </c>
      <c r="G770" s="31">
        <f>Table132[[#This Row],[nb win]]/Table132[[#This Row],[nb play]]</f>
        <v>1</v>
      </c>
      <c r="H770" t="str">
        <f>MID(Table132[[#This Row],[ÉTAT]],VALUE(RIGHT(Table132[[#This Row],[next move]],1))+1+VALUE(LEFT(Table132[[#This Row],[next move]],1))*3,1)</f>
        <v>V</v>
      </c>
      <c r="I770" t="str">
        <f>Table132[[#This Row],[ÉTAT]]&amp;Table132[[#This Row],[next move]]</f>
        <v>VVVEEMMVV22</v>
      </c>
    </row>
    <row r="771" spans="2:9" x14ac:dyDescent="0.25">
      <c r="B771" t="s">
        <v>1982</v>
      </c>
      <c r="C771" s="22" t="s">
        <v>26</v>
      </c>
      <c r="D771">
        <v>1</v>
      </c>
      <c r="G771" s="30">
        <f>Table132[[#This Row],[nb win]]/Table132[[#This Row],[nb play]]</f>
        <v>0</v>
      </c>
      <c r="H771" t="str">
        <f>MID(Table132[[#This Row],[ÉTAT]],VALUE(RIGHT(Table132[[#This Row],[next move]],1))+1+VALUE(LEFT(Table132[[#This Row],[next move]],1))*3,1)</f>
        <v>V</v>
      </c>
      <c r="I771" t="str">
        <f>Table132[[#This Row],[ÉTAT]]&amp;Table132[[#This Row],[next move]]</f>
        <v>VVVEEMMVE01</v>
      </c>
    </row>
    <row r="772" spans="2:9" x14ac:dyDescent="0.25">
      <c r="B772" t="s">
        <v>1982</v>
      </c>
      <c r="C772" s="22" t="s">
        <v>20</v>
      </c>
      <c r="D772">
        <v>1</v>
      </c>
      <c r="G772" s="25">
        <f>Table132[[#This Row],[nb win]]/Table132[[#This Row],[nb play]]</f>
        <v>0</v>
      </c>
      <c r="H772" t="str">
        <f>MID(Table132[[#This Row],[ÉTAT]],VALUE(RIGHT(Table132[[#This Row],[next move]],1))+1+VALUE(LEFT(Table132[[#This Row],[next move]],1))*3,1)</f>
        <v>V</v>
      </c>
      <c r="I772" t="str">
        <f>Table132[[#This Row],[ÉTAT]]&amp;Table132[[#This Row],[next move]]</f>
        <v>VVVEEMMVE02</v>
      </c>
    </row>
    <row r="773" spans="2:9" x14ac:dyDescent="0.25">
      <c r="B773" t="s">
        <v>1982</v>
      </c>
      <c r="C773" s="22" t="s">
        <v>22</v>
      </c>
      <c r="D773">
        <v>1</v>
      </c>
      <c r="G773" s="25">
        <f>Table132[[#This Row],[nb win]]/Table132[[#This Row],[nb play]]</f>
        <v>0</v>
      </c>
      <c r="H773" t="str">
        <f>MID(Table132[[#This Row],[ÉTAT]],VALUE(RIGHT(Table132[[#This Row],[next move]],1))+1+VALUE(LEFT(Table132[[#This Row],[next move]],1))*3,1)</f>
        <v>V</v>
      </c>
      <c r="I773" t="str">
        <f>Table132[[#This Row],[ÉTAT]]&amp;Table132[[#This Row],[next move]]</f>
        <v>VVVEEMMVE21</v>
      </c>
    </row>
    <row r="774" spans="2:9" x14ac:dyDescent="0.25">
      <c r="B774" t="s">
        <v>2349</v>
      </c>
      <c r="C774" s="22" t="s">
        <v>20</v>
      </c>
      <c r="D774">
        <v>1</v>
      </c>
      <c r="G774" s="25">
        <f>Table132[[#This Row],[nb win]]/Table132[[#This Row],[nb play]]</f>
        <v>0</v>
      </c>
      <c r="H774" t="str">
        <f>MID(Table132[[#This Row],[ÉTAT]],VALUE(RIGHT(Table132[[#This Row],[next move]],1))+1+VALUE(LEFT(Table132[[#This Row],[next move]],1))*3,1)</f>
        <v>V</v>
      </c>
      <c r="I774" t="str">
        <f>Table132[[#This Row],[ÉTAT]]&amp;Table132[[#This Row],[next move]]</f>
        <v>VVVEEMMEV02</v>
      </c>
    </row>
    <row r="775" spans="2:9" x14ac:dyDescent="0.25">
      <c r="B775" t="s">
        <v>2077</v>
      </c>
      <c r="C775" s="22" t="s">
        <v>26</v>
      </c>
      <c r="D775">
        <v>1</v>
      </c>
      <c r="E775">
        <v>1</v>
      </c>
      <c r="G775" s="25">
        <f>Table132[[#This Row],[nb win]]/Table132[[#This Row],[nb play]]</f>
        <v>1</v>
      </c>
      <c r="H775" t="str">
        <f>MID(Table132[[#This Row],[ÉTAT]],VALUE(RIGHT(Table132[[#This Row],[next move]],1))+1+VALUE(LEFT(Table132[[#This Row],[next move]],1))*3,1)</f>
        <v>V</v>
      </c>
      <c r="I775" t="str">
        <f>Table132[[#This Row],[ÉTAT]]&amp;Table132[[#This Row],[next move]]</f>
        <v>VVVEEMMEM01</v>
      </c>
    </row>
    <row r="776" spans="2:9" x14ac:dyDescent="0.25">
      <c r="B776" t="s">
        <v>1042</v>
      </c>
      <c r="C776" s="22" t="s">
        <v>26</v>
      </c>
      <c r="D776">
        <v>2</v>
      </c>
      <c r="E776">
        <v>1</v>
      </c>
      <c r="G776" s="25">
        <f>Table132[[#This Row],[nb win]]/Table132[[#This Row],[nb play]]</f>
        <v>0.5</v>
      </c>
      <c r="H776" t="str">
        <f>MID(Table132[[#This Row],[ÉTAT]],VALUE(RIGHT(Table132[[#This Row],[next move]],1))+1+VALUE(LEFT(Table132[[#This Row],[next move]],1))*3,1)</f>
        <v>V</v>
      </c>
      <c r="I776" t="str">
        <f>Table132[[#This Row],[ÉTAT]]&amp;Table132[[#This Row],[next move]]</f>
        <v>VVVEEMEVM01</v>
      </c>
    </row>
    <row r="777" spans="2:9" x14ac:dyDescent="0.25">
      <c r="B777" t="s">
        <v>1042</v>
      </c>
      <c r="C777" s="22" t="s">
        <v>20</v>
      </c>
      <c r="D777">
        <v>2</v>
      </c>
      <c r="E777">
        <v>2</v>
      </c>
      <c r="G777" s="31">
        <f>Table132[[#This Row],[nb win]]/Table132[[#This Row],[nb play]]</f>
        <v>1</v>
      </c>
      <c r="H777" t="str">
        <f>MID(Table132[[#This Row],[ÉTAT]],VALUE(RIGHT(Table132[[#This Row],[next move]],1))+1+VALUE(LEFT(Table132[[#This Row],[next move]],1))*3,1)</f>
        <v>V</v>
      </c>
      <c r="I777" t="str">
        <f>Table132[[#This Row],[ÉTAT]]&amp;Table132[[#This Row],[next move]]</f>
        <v>VVVEEMEVM02</v>
      </c>
    </row>
    <row r="778" spans="2:9" x14ac:dyDescent="0.25">
      <c r="B778" t="s">
        <v>1042</v>
      </c>
      <c r="C778" s="22" t="s">
        <v>22</v>
      </c>
      <c r="D778">
        <v>1</v>
      </c>
      <c r="G778" s="25">
        <f>Table132[[#This Row],[nb win]]/Table132[[#This Row],[nb play]]</f>
        <v>0</v>
      </c>
      <c r="H778" t="str">
        <f>MID(Table132[[#This Row],[ÉTAT]],VALUE(RIGHT(Table132[[#This Row],[next move]],1))+1+VALUE(LEFT(Table132[[#This Row],[next move]],1))*3,1)</f>
        <v>V</v>
      </c>
      <c r="I778" t="str">
        <f>Table132[[#This Row],[ÉTAT]]&amp;Table132[[#This Row],[next move]]</f>
        <v>VVVEEMEVM21</v>
      </c>
    </row>
    <row r="779" spans="2:9" x14ac:dyDescent="0.25">
      <c r="B779" t="s">
        <v>852</v>
      </c>
      <c r="C779" s="22" t="s">
        <v>26</v>
      </c>
      <c r="D779">
        <v>1</v>
      </c>
      <c r="G779" s="25">
        <f>Table132[[#This Row],[nb win]]/Table132[[#This Row],[nb play]]</f>
        <v>0</v>
      </c>
      <c r="H779" t="str">
        <f>MID(Table132[[#This Row],[ÉTAT]],VALUE(RIGHT(Table132[[#This Row],[next move]],1))+1+VALUE(LEFT(Table132[[#This Row],[next move]],1))*3,1)</f>
        <v>V</v>
      </c>
      <c r="I779" t="str">
        <f>Table132[[#This Row],[ÉTAT]]&amp;Table132[[#This Row],[next move]]</f>
        <v>VVVEEMEMM01</v>
      </c>
    </row>
    <row r="780" spans="2:9" x14ac:dyDescent="0.25">
      <c r="B780" t="s">
        <v>852</v>
      </c>
      <c r="C780" s="22" t="s">
        <v>20</v>
      </c>
      <c r="D780">
        <v>3</v>
      </c>
      <c r="E780">
        <v>3</v>
      </c>
      <c r="G780" s="31">
        <f>Table132[[#This Row],[nb win]]/Table132[[#This Row],[nb play]]</f>
        <v>1</v>
      </c>
      <c r="H780" t="str">
        <f>MID(Table132[[#This Row],[ÉTAT]],VALUE(RIGHT(Table132[[#This Row],[next move]],1))+1+VALUE(LEFT(Table132[[#This Row],[next move]],1))*3,1)</f>
        <v>V</v>
      </c>
      <c r="I780" t="str">
        <f>Table132[[#This Row],[ÉTAT]]&amp;Table132[[#This Row],[next move]]</f>
        <v>VVVEEMEMM02</v>
      </c>
    </row>
    <row r="781" spans="2:9" x14ac:dyDescent="0.25">
      <c r="B781" t="s">
        <v>325</v>
      </c>
      <c r="C781" s="22" t="s">
        <v>24</v>
      </c>
      <c r="D781">
        <v>9</v>
      </c>
      <c r="E781">
        <v>7</v>
      </c>
      <c r="G781" s="31">
        <f>Table132[[#This Row],[nb win]]/Table132[[#This Row],[nb play]]</f>
        <v>0.77777777777777779</v>
      </c>
      <c r="H781" t="str">
        <f>MID(Table132[[#This Row],[ÉTAT]],VALUE(RIGHT(Table132[[#This Row],[next move]],1))+1+VALUE(LEFT(Table132[[#This Row],[next move]],1))*3,1)</f>
        <v>V</v>
      </c>
      <c r="I781" t="str">
        <f>Table132[[#This Row],[ÉTAT]]&amp;Table132[[#This Row],[next move]]</f>
        <v>VVMVVVVVE00</v>
      </c>
    </row>
    <row r="782" spans="2:9" x14ac:dyDescent="0.25">
      <c r="B782" t="s">
        <v>325</v>
      </c>
      <c r="C782" s="22" t="s">
        <v>26</v>
      </c>
      <c r="D782">
        <v>7</v>
      </c>
      <c r="E782">
        <v>4</v>
      </c>
      <c r="G782" s="31">
        <f>Table132[[#This Row],[nb win]]/Table132[[#This Row],[nb play]]</f>
        <v>0.5714285714285714</v>
      </c>
      <c r="H782" t="str">
        <f>MID(Table132[[#This Row],[ÉTAT]],VALUE(RIGHT(Table132[[#This Row],[next move]],1))+1+VALUE(LEFT(Table132[[#This Row],[next move]],1))*3,1)</f>
        <v>V</v>
      </c>
      <c r="I782" t="str">
        <f>Table132[[#This Row],[ÉTAT]]&amp;Table132[[#This Row],[next move]]</f>
        <v>VVMVVVVVE01</v>
      </c>
    </row>
    <row r="783" spans="2:9" x14ac:dyDescent="0.25">
      <c r="B783" t="s">
        <v>325</v>
      </c>
      <c r="C783" s="22" t="s">
        <v>30</v>
      </c>
      <c r="D783">
        <v>11</v>
      </c>
      <c r="E783">
        <v>5</v>
      </c>
      <c r="G783" s="31">
        <f>Table132[[#This Row],[nb win]]/Table132[[#This Row],[nb play]]</f>
        <v>0.45454545454545453</v>
      </c>
      <c r="H783" t="str">
        <f>MID(Table132[[#This Row],[ÉTAT]],VALUE(RIGHT(Table132[[#This Row],[next move]],1))+1+VALUE(LEFT(Table132[[#This Row],[next move]],1))*3,1)</f>
        <v>V</v>
      </c>
      <c r="I783" t="str">
        <f>Table132[[#This Row],[ÉTAT]]&amp;Table132[[#This Row],[next move]]</f>
        <v>VVMVVVVVE10</v>
      </c>
    </row>
    <row r="784" spans="2:9" x14ac:dyDescent="0.25">
      <c r="B784" t="s">
        <v>325</v>
      </c>
      <c r="C784" s="22" t="s">
        <v>29</v>
      </c>
      <c r="D784">
        <v>8</v>
      </c>
      <c r="E784">
        <v>6</v>
      </c>
      <c r="G784" s="30">
        <f>Table132[[#This Row],[nb win]]/Table132[[#This Row],[nb play]]</f>
        <v>0.75</v>
      </c>
      <c r="H784" t="str">
        <f>MID(Table132[[#This Row],[ÉTAT]],VALUE(RIGHT(Table132[[#This Row],[next move]],1))+1+VALUE(LEFT(Table132[[#This Row],[next move]],1))*3,1)</f>
        <v>V</v>
      </c>
      <c r="I784" t="str">
        <f>Table132[[#This Row],[ÉTAT]]&amp;Table132[[#This Row],[next move]]</f>
        <v>VVMVVVVVE11</v>
      </c>
    </row>
    <row r="785" spans="2:9" x14ac:dyDescent="0.25">
      <c r="B785" t="s">
        <v>325</v>
      </c>
      <c r="C785" s="22" t="s">
        <v>28</v>
      </c>
      <c r="D785">
        <v>4</v>
      </c>
      <c r="E785">
        <v>1</v>
      </c>
      <c r="G785" s="31">
        <f>Table132[[#This Row],[nb win]]/Table132[[#This Row],[nb play]]</f>
        <v>0.25</v>
      </c>
      <c r="H785" t="str">
        <f>MID(Table132[[#This Row],[ÉTAT]],VALUE(RIGHT(Table132[[#This Row],[next move]],1))+1+VALUE(LEFT(Table132[[#This Row],[next move]],1))*3,1)</f>
        <v>V</v>
      </c>
      <c r="I785" t="str">
        <f>Table132[[#This Row],[ÉTAT]]&amp;Table132[[#This Row],[next move]]</f>
        <v>VVMVVVVVE12</v>
      </c>
    </row>
    <row r="786" spans="2:9" x14ac:dyDescent="0.25">
      <c r="B786" t="s">
        <v>325</v>
      </c>
      <c r="C786" s="22" t="s">
        <v>35</v>
      </c>
      <c r="D786">
        <v>11</v>
      </c>
      <c r="E786">
        <v>7</v>
      </c>
      <c r="G786" s="30">
        <f>Table132[[#This Row],[nb win]]/Table132[[#This Row],[nb play]]</f>
        <v>0.63636363636363635</v>
      </c>
      <c r="H786" t="str">
        <f>MID(Table132[[#This Row],[ÉTAT]],VALUE(RIGHT(Table132[[#This Row],[next move]],1))+1+VALUE(LEFT(Table132[[#This Row],[next move]],1))*3,1)</f>
        <v>V</v>
      </c>
      <c r="I786" t="str">
        <f>Table132[[#This Row],[ÉTAT]]&amp;Table132[[#This Row],[next move]]</f>
        <v>VVMVVVVVE20</v>
      </c>
    </row>
    <row r="787" spans="2:9" x14ac:dyDescent="0.25">
      <c r="B787" t="s">
        <v>325</v>
      </c>
      <c r="C787" s="22" t="s">
        <v>22</v>
      </c>
      <c r="D787">
        <v>6</v>
      </c>
      <c r="E787">
        <v>2</v>
      </c>
      <c r="G787" s="30">
        <f>Table132[[#This Row],[nb win]]/Table132[[#This Row],[nb play]]</f>
        <v>0.33333333333333331</v>
      </c>
      <c r="H787" t="str">
        <f>MID(Table132[[#This Row],[ÉTAT]],VALUE(RIGHT(Table132[[#This Row],[next move]],1))+1+VALUE(LEFT(Table132[[#This Row],[next move]],1))*3,1)</f>
        <v>V</v>
      </c>
      <c r="I787" t="str">
        <f>Table132[[#This Row],[ÉTAT]]&amp;Table132[[#This Row],[next move]]</f>
        <v>VVMVVVVVE21</v>
      </c>
    </row>
    <row r="788" spans="2:9" x14ac:dyDescent="0.25">
      <c r="B788" t="s">
        <v>23</v>
      </c>
      <c r="C788" s="22" t="s">
        <v>24</v>
      </c>
      <c r="D788">
        <v>8</v>
      </c>
      <c r="E788">
        <v>7</v>
      </c>
      <c r="G788" s="31">
        <f>Table132[[#This Row],[nb win]]/Table132[[#This Row],[nb play]]</f>
        <v>0.875</v>
      </c>
      <c r="H788" t="str">
        <f>MID(Table132[[#This Row],[ÉTAT]],VALUE(RIGHT(Table132[[#This Row],[next move]],1))+1+VALUE(LEFT(Table132[[#This Row],[next move]],1))*3,1)</f>
        <v>V</v>
      </c>
      <c r="I788" t="str">
        <f>Table132[[#This Row],[ÉTAT]]&amp;Table132[[#This Row],[next move]]</f>
        <v>VVMVVVVEV00</v>
      </c>
    </row>
    <row r="789" spans="2:9" x14ac:dyDescent="0.25">
      <c r="B789" t="s">
        <v>23</v>
      </c>
      <c r="C789" s="22" t="s">
        <v>26</v>
      </c>
      <c r="D789">
        <v>13</v>
      </c>
      <c r="E789">
        <v>10</v>
      </c>
      <c r="G789" s="31">
        <f>Table132[[#This Row],[nb win]]/Table132[[#This Row],[nb play]]</f>
        <v>0.76923076923076927</v>
      </c>
      <c r="H789" t="str">
        <f>MID(Table132[[#This Row],[ÉTAT]],VALUE(RIGHT(Table132[[#This Row],[next move]],1))+1+VALUE(LEFT(Table132[[#This Row],[next move]],1))*3,1)</f>
        <v>V</v>
      </c>
      <c r="I789" t="str">
        <f>Table132[[#This Row],[ÉTAT]]&amp;Table132[[#This Row],[next move]]</f>
        <v>VVMVVVVEV01</v>
      </c>
    </row>
    <row r="790" spans="2:9" x14ac:dyDescent="0.25">
      <c r="B790" t="s">
        <v>23</v>
      </c>
      <c r="C790" s="22" t="s">
        <v>29</v>
      </c>
      <c r="D790">
        <v>7</v>
      </c>
      <c r="E790">
        <v>7</v>
      </c>
      <c r="G790" s="31">
        <f>Table132[[#This Row],[nb win]]/Table132[[#This Row],[nb play]]</f>
        <v>1</v>
      </c>
      <c r="H790" t="str">
        <f>MID(Table132[[#This Row],[ÉTAT]],VALUE(RIGHT(Table132[[#This Row],[next move]],1))+1+VALUE(LEFT(Table132[[#This Row],[next move]],1))*3,1)</f>
        <v>V</v>
      </c>
      <c r="I790" t="str">
        <f>Table132[[#This Row],[ÉTAT]]&amp;Table132[[#This Row],[next move]]</f>
        <v>VVMVVVVEV11</v>
      </c>
    </row>
    <row r="791" spans="2:9" x14ac:dyDescent="0.25">
      <c r="B791" t="s">
        <v>23</v>
      </c>
      <c r="C791" s="22" t="s">
        <v>28</v>
      </c>
      <c r="D791">
        <v>13</v>
      </c>
      <c r="E791">
        <v>11</v>
      </c>
      <c r="G791" s="31">
        <f>Table132[[#This Row],[nb win]]/Table132[[#This Row],[nb play]]</f>
        <v>0.84615384615384615</v>
      </c>
      <c r="H791" t="str">
        <f>MID(Table132[[#This Row],[ÉTAT]],VALUE(RIGHT(Table132[[#This Row],[next move]],1))+1+VALUE(LEFT(Table132[[#This Row],[next move]],1))*3,1)</f>
        <v>V</v>
      </c>
      <c r="I791" t="str">
        <f>Table132[[#This Row],[ÉTAT]]&amp;Table132[[#This Row],[next move]]</f>
        <v>VVMVVVVEV12</v>
      </c>
    </row>
    <row r="792" spans="2:9" x14ac:dyDescent="0.25">
      <c r="B792" t="s">
        <v>23</v>
      </c>
      <c r="C792" s="22" t="s">
        <v>35</v>
      </c>
      <c r="D792">
        <v>9</v>
      </c>
      <c r="E792">
        <v>8</v>
      </c>
      <c r="G792" s="31">
        <f>Table132[[#This Row],[nb win]]/Table132[[#This Row],[nb play]]</f>
        <v>0.88888888888888884</v>
      </c>
      <c r="H792" t="str">
        <f>MID(Table132[[#This Row],[ÉTAT]],VALUE(RIGHT(Table132[[#This Row],[next move]],1))+1+VALUE(LEFT(Table132[[#This Row],[next move]],1))*3,1)</f>
        <v>V</v>
      </c>
      <c r="I792" t="str">
        <f>Table132[[#This Row],[ÉTAT]]&amp;Table132[[#This Row],[next move]]</f>
        <v>VVMVVVVEV20</v>
      </c>
    </row>
    <row r="793" spans="2:9" x14ac:dyDescent="0.25">
      <c r="B793" t="s">
        <v>23</v>
      </c>
      <c r="C793" s="22" t="s">
        <v>31</v>
      </c>
      <c r="D793">
        <v>9</v>
      </c>
      <c r="E793">
        <v>7</v>
      </c>
      <c r="G793" s="31">
        <f>Table132[[#This Row],[nb win]]/Table132[[#This Row],[nb play]]</f>
        <v>0.77777777777777779</v>
      </c>
      <c r="H793" t="str">
        <f>MID(Table132[[#This Row],[ÉTAT]],VALUE(RIGHT(Table132[[#This Row],[next move]],1))+1+VALUE(LEFT(Table132[[#This Row],[next move]],1))*3,1)</f>
        <v>V</v>
      </c>
      <c r="I793" t="str">
        <f>Table132[[#This Row],[ÉTAT]]&amp;Table132[[#This Row],[next move]]</f>
        <v>VVMVVVVEV22</v>
      </c>
    </row>
    <row r="794" spans="2:9" x14ac:dyDescent="0.25">
      <c r="B794" t="s">
        <v>2014</v>
      </c>
      <c r="C794" s="22" t="s">
        <v>24</v>
      </c>
      <c r="D794">
        <v>2</v>
      </c>
      <c r="E794">
        <v>1</v>
      </c>
      <c r="G794" s="30">
        <f>Table132[[#This Row],[nb win]]/Table132[[#This Row],[nb play]]</f>
        <v>0.5</v>
      </c>
      <c r="H794" t="str">
        <f>MID(Table132[[#This Row],[ÉTAT]],VALUE(RIGHT(Table132[[#This Row],[next move]],1))+1+VALUE(LEFT(Table132[[#This Row],[next move]],1))*3,1)</f>
        <v>V</v>
      </c>
      <c r="I794" t="str">
        <f>Table132[[#This Row],[ÉTAT]]&amp;Table132[[#This Row],[next move]]</f>
        <v>VVMVVVVEE00</v>
      </c>
    </row>
    <row r="795" spans="2:9" x14ac:dyDescent="0.25">
      <c r="B795" t="s">
        <v>2014</v>
      </c>
      <c r="C795" s="22" t="s">
        <v>26</v>
      </c>
      <c r="D795">
        <v>3</v>
      </c>
      <c r="G795" s="30">
        <f>Table132[[#This Row],[nb win]]/Table132[[#This Row],[nb play]]</f>
        <v>0</v>
      </c>
      <c r="H795" t="str">
        <f>MID(Table132[[#This Row],[ÉTAT]],VALUE(RIGHT(Table132[[#This Row],[next move]],1))+1+VALUE(LEFT(Table132[[#This Row],[next move]],1))*3,1)</f>
        <v>V</v>
      </c>
      <c r="I795" t="str">
        <f>Table132[[#This Row],[ÉTAT]]&amp;Table132[[#This Row],[next move]]</f>
        <v>VVMVVVVEE01</v>
      </c>
    </row>
    <row r="796" spans="2:9" x14ac:dyDescent="0.25">
      <c r="B796" t="s">
        <v>2014</v>
      </c>
      <c r="C796" s="22" t="s">
        <v>29</v>
      </c>
      <c r="D796">
        <v>3</v>
      </c>
      <c r="E796">
        <v>2</v>
      </c>
      <c r="G796" s="31">
        <f>Table132[[#This Row],[nb win]]/Table132[[#This Row],[nb play]]</f>
        <v>0.66666666666666663</v>
      </c>
      <c r="H796" t="str">
        <f>MID(Table132[[#This Row],[ÉTAT]],VALUE(RIGHT(Table132[[#This Row],[next move]],1))+1+VALUE(LEFT(Table132[[#This Row],[next move]],1))*3,1)</f>
        <v>V</v>
      </c>
      <c r="I796" t="str">
        <f>Table132[[#This Row],[ÉTAT]]&amp;Table132[[#This Row],[next move]]</f>
        <v>VVMVVVVEE11</v>
      </c>
    </row>
    <row r="797" spans="2:9" x14ac:dyDescent="0.25">
      <c r="B797" t="s">
        <v>2014</v>
      </c>
      <c r="C797" s="22" t="s">
        <v>35</v>
      </c>
      <c r="D797">
        <v>5</v>
      </c>
      <c r="E797">
        <v>1</v>
      </c>
      <c r="G797" s="30">
        <f>Table132[[#This Row],[nb win]]/Table132[[#This Row],[nb play]]</f>
        <v>0.2</v>
      </c>
      <c r="H797" t="str">
        <f>MID(Table132[[#This Row],[ÉTAT]],VALUE(RIGHT(Table132[[#This Row],[next move]],1))+1+VALUE(LEFT(Table132[[#This Row],[next move]],1))*3,1)</f>
        <v>V</v>
      </c>
      <c r="I797" t="str">
        <f>Table132[[#This Row],[ÉTAT]]&amp;Table132[[#This Row],[next move]]</f>
        <v>VVMVVVVEE20</v>
      </c>
    </row>
    <row r="798" spans="2:9" x14ac:dyDescent="0.25">
      <c r="B798" t="s">
        <v>340</v>
      </c>
      <c r="C798" s="22" t="s">
        <v>26</v>
      </c>
      <c r="D798">
        <v>4</v>
      </c>
      <c r="E798">
        <v>4</v>
      </c>
      <c r="G798" s="31">
        <f>Table132[[#This Row],[nb win]]/Table132[[#This Row],[nb play]]</f>
        <v>1</v>
      </c>
      <c r="H798" t="str">
        <f>MID(Table132[[#This Row],[ÉTAT]],VALUE(RIGHT(Table132[[#This Row],[next move]],1))+1+VALUE(LEFT(Table132[[#This Row],[next move]],1))*3,1)</f>
        <v>V</v>
      </c>
      <c r="I798" t="str">
        <f>Table132[[#This Row],[ÉTAT]]&amp;Table132[[#This Row],[next move]]</f>
        <v>VVMVVVMEE01</v>
      </c>
    </row>
    <row r="799" spans="2:9" x14ac:dyDescent="0.25">
      <c r="B799" t="s">
        <v>81</v>
      </c>
      <c r="C799" s="22" t="s">
        <v>24</v>
      </c>
      <c r="D799">
        <v>4</v>
      </c>
      <c r="E799">
        <v>4</v>
      </c>
      <c r="G799" s="25">
        <f>Table132[[#This Row],[nb win]]/Table132[[#This Row],[nb play]]</f>
        <v>1</v>
      </c>
      <c r="H799" t="str">
        <f>MID(Table132[[#This Row],[ÉTAT]],VALUE(RIGHT(Table132[[#This Row],[next move]],1))+1+VALUE(LEFT(Table132[[#This Row],[next move]],1))*3,1)</f>
        <v>V</v>
      </c>
      <c r="I799" t="str">
        <f>Table132[[#This Row],[ÉTAT]]&amp;Table132[[#This Row],[next move]]</f>
        <v>VVMVVVEVV00</v>
      </c>
    </row>
    <row r="800" spans="2:9" x14ac:dyDescent="0.25">
      <c r="B800" t="s">
        <v>81</v>
      </c>
      <c r="C800" s="22" t="s">
        <v>26</v>
      </c>
      <c r="D800">
        <v>4</v>
      </c>
      <c r="E800">
        <v>2</v>
      </c>
      <c r="G800" s="31">
        <f>Table132[[#This Row],[nb win]]/Table132[[#This Row],[nb play]]</f>
        <v>0.5</v>
      </c>
      <c r="H800" t="str">
        <f>MID(Table132[[#This Row],[ÉTAT]],VALUE(RIGHT(Table132[[#This Row],[next move]],1))+1+VALUE(LEFT(Table132[[#This Row],[next move]],1))*3,1)</f>
        <v>V</v>
      </c>
      <c r="I800" t="str">
        <f>Table132[[#This Row],[ÉTAT]]&amp;Table132[[#This Row],[next move]]</f>
        <v>VVMVVVEVV01</v>
      </c>
    </row>
    <row r="801" spans="2:9" x14ac:dyDescent="0.25">
      <c r="B801" t="s">
        <v>81</v>
      </c>
      <c r="C801" s="22" t="s">
        <v>30</v>
      </c>
      <c r="D801">
        <v>7</v>
      </c>
      <c r="E801">
        <v>2</v>
      </c>
      <c r="G801" s="31">
        <f>Table132[[#This Row],[nb win]]/Table132[[#This Row],[nb play]]</f>
        <v>0.2857142857142857</v>
      </c>
      <c r="H801" t="str">
        <f>MID(Table132[[#This Row],[ÉTAT]],VALUE(RIGHT(Table132[[#This Row],[next move]],1))+1+VALUE(LEFT(Table132[[#This Row],[next move]],1))*3,1)</f>
        <v>V</v>
      </c>
      <c r="I801" t="str">
        <f>Table132[[#This Row],[ÉTAT]]&amp;Table132[[#This Row],[next move]]</f>
        <v>VVMVVVEVV10</v>
      </c>
    </row>
    <row r="802" spans="2:9" x14ac:dyDescent="0.25">
      <c r="B802" t="s">
        <v>81</v>
      </c>
      <c r="C802" s="22" t="s">
        <v>29</v>
      </c>
      <c r="D802">
        <v>9</v>
      </c>
      <c r="E802">
        <v>6</v>
      </c>
      <c r="G802" s="31">
        <f>Table132[[#This Row],[nb win]]/Table132[[#This Row],[nb play]]</f>
        <v>0.66666666666666663</v>
      </c>
      <c r="H802" t="str">
        <f>MID(Table132[[#This Row],[ÉTAT]],VALUE(RIGHT(Table132[[#This Row],[next move]],1))+1+VALUE(LEFT(Table132[[#This Row],[next move]],1))*3,1)</f>
        <v>V</v>
      </c>
      <c r="I802" t="str">
        <f>Table132[[#This Row],[ÉTAT]]&amp;Table132[[#This Row],[next move]]</f>
        <v>VVMVVVEVV11</v>
      </c>
    </row>
    <row r="803" spans="2:9" x14ac:dyDescent="0.25">
      <c r="B803" t="s">
        <v>81</v>
      </c>
      <c r="C803" s="22" t="s">
        <v>28</v>
      </c>
      <c r="D803">
        <v>12</v>
      </c>
      <c r="E803">
        <v>10</v>
      </c>
      <c r="G803" s="31">
        <f>Table132[[#This Row],[nb win]]/Table132[[#This Row],[nb play]]</f>
        <v>0.83333333333333337</v>
      </c>
      <c r="H803" t="str">
        <f>MID(Table132[[#This Row],[ÉTAT]],VALUE(RIGHT(Table132[[#This Row],[next move]],1))+1+VALUE(LEFT(Table132[[#This Row],[next move]],1))*3,1)</f>
        <v>V</v>
      </c>
      <c r="I803" t="str">
        <f>Table132[[#This Row],[ÉTAT]]&amp;Table132[[#This Row],[next move]]</f>
        <v>VVMVVVEVV12</v>
      </c>
    </row>
    <row r="804" spans="2:9" x14ac:dyDescent="0.25">
      <c r="B804" t="s">
        <v>81</v>
      </c>
      <c r="C804" s="22" t="s">
        <v>22</v>
      </c>
      <c r="D804">
        <v>7</v>
      </c>
      <c r="E804">
        <v>1</v>
      </c>
      <c r="G804" s="30">
        <f>Table132[[#This Row],[nb win]]/Table132[[#This Row],[nb play]]</f>
        <v>0.14285714285714285</v>
      </c>
      <c r="H804" t="str">
        <f>MID(Table132[[#This Row],[ÉTAT]],VALUE(RIGHT(Table132[[#This Row],[next move]],1))+1+VALUE(LEFT(Table132[[#This Row],[next move]],1))*3,1)</f>
        <v>V</v>
      </c>
      <c r="I804" t="str">
        <f>Table132[[#This Row],[ÉTAT]]&amp;Table132[[#This Row],[next move]]</f>
        <v>VVMVVVEVV21</v>
      </c>
    </row>
    <row r="805" spans="2:9" x14ac:dyDescent="0.25">
      <c r="B805" t="s">
        <v>81</v>
      </c>
      <c r="C805" s="22" t="s">
        <v>31</v>
      </c>
      <c r="D805">
        <v>7</v>
      </c>
      <c r="E805">
        <v>5</v>
      </c>
      <c r="G805" s="31">
        <f>Table132[[#This Row],[nb win]]/Table132[[#This Row],[nb play]]</f>
        <v>0.7142857142857143</v>
      </c>
      <c r="H805" t="str">
        <f>MID(Table132[[#This Row],[ÉTAT]],VALUE(RIGHT(Table132[[#This Row],[next move]],1))+1+VALUE(LEFT(Table132[[#This Row],[next move]],1))*3,1)</f>
        <v>V</v>
      </c>
      <c r="I805" t="str">
        <f>Table132[[#This Row],[ÉTAT]]&amp;Table132[[#This Row],[next move]]</f>
        <v>VVMVVVEVV22</v>
      </c>
    </row>
    <row r="806" spans="2:9" x14ac:dyDescent="0.25">
      <c r="B806" t="s">
        <v>253</v>
      </c>
      <c r="C806" s="22" t="s">
        <v>24</v>
      </c>
      <c r="D806">
        <v>9</v>
      </c>
      <c r="E806">
        <v>5</v>
      </c>
      <c r="G806" s="30">
        <f>Table132[[#This Row],[nb win]]/Table132[[#This Row],[nb play]]</f>
        <v>0.55555555555555558</v>
      </c>
      <c r="H806" t="str">
        <f>MID(Table132[[#This Row],[ÉTAT]],VALUE(RIGHT(Table132[[#This Row],[next move]],1))+1+VALUE(LEFT(Table132[[#This Row],[next move]],1))*3,1)</f>
        <v>V</v>
      </c>
      <c r="I806" t="str">
        <f>Table132[[#This Row],[ÉTAT]]&amp;Table132[[#This Row],[next move]]</f>
        <v>VVMVVVEVE00</v>
      </c>
    </row>
    <row r="807" spans="2:9" x14ac:dyDescent="0.25">
      <c r="B807" t="s">
        <v>253</v>
      </c>
      <c r="C807" s="22" t="s">
        <v>26</v>
      </c>
      <c r="D807">
        <v>3</v>
      </c>
      <c r="G807" s="30">
        <f>Table132[[#This Row],[nb win]]/Table132[[#This Row],[nb play]]</f>
        <v>0</v>
      </c>
      <c r="H807" t="str">
        <f>MID(Table132[[#This Row],[ÉTAT]],VALUE(RIGHT(Table132[[#This Row],[next move]],1))+1+VALUE(LEFT(Table132[[#This Row],[next move]],1))*3,1)</f>
        <v>V</v>
      </c>
      <c r="I807" t="str">
        <f>Table132[[#This Row],[ÉTAT]]&amp;Table132[[#This Row],[next move]]</f>
        <v>VVMVVVEVE01</v>
      </c>
    </row>
    <row r="808" spans="2:9" x14ac:dyDescent="0.25">
      <c r="B808" t="s">
        <v>253</v>
      </c>
      <c r="C808" s="22" t="s">
        <v>30</v>
      </c>
      <c r="D808">
        <v>4</v>
      </c>
      <c r="G808" s="30">
        <f>Table132[[#This Row],[nb win]]/Table132[[#This Row],[nb play]]</f>
        <v>0</v>
      </c>
      <c r="H808" t="str">
        <f>MID(Table132[[#This Row],[ÉTAT]],VALUE(RIGHT(Table132[[#This Row],[next move]],1))+1+VALUE(LEFT(Table132[[#This Row],[next move]],1))*3,1)</f>
        <v>V</v>
      </c>
      <c r="I808" t="str">
        <f>Table132[[#This Row],[ÉTAT]]&amp;Table132[[#This Row],[next move]]</f>
        <v>VVMVVVEVE10</v>
      </c>
    </row>
    <row r="809" spans="2:9" x14ac:dyDescent="0.25">
      <c r="B809" t="s">
        <v>253</v>
      </c>
      <c r="C809" s="22" t="s">
        <v>29</v>
      </c>
      <c r="D809">
        <v>6</v>
      </c>
      <c r="G809" s="30">
        <f>Table132[[#This Row],[nb win]]/Table132[[#This Row],[nb play]]</f>
        <v>0</v>
      </c>
      <c r="H809" t="str">
        <f>MID(Table132[[#This Row],[ÉTAT]],VALUE(RIGHT(Table132[[#This Row],[next move]],1))+1+VALUE(LEFT(Table132[[#This Row],[next move]],1))*3,1)</f>
        <v>V</v>
      </c>
      <c r="I809" t="str">
        <f>Table132[[#This Row],[ÉTAT]]&amp;Table132[[#This Row],[next move]]</f>
        <v>VVMVVVEVE11</v>
      </c>
    </row>
    <row r="810" spans="2:9" x14ac:dyDescent="0.25">
      <c r="B810" t="s">
        <v>253</v>
      </c>
      <c r="C810" s="22" t="s">
        <v>28</v>
      </c>
      <c r="D810">
        <v>3</v>
      </c>
      <c r="G810" s="30">
        <f>Table132[[#This Row],[nb win]]/Table132[[#This Row],[nb play]]</f>
        <v>0</v>
      </c>
      <c r="H810" t="str">
        <f>MID(Table132[[#This Row],[ÉTAT]],VALUE(RIGHT(Table132[[#This Row],[next move]],1))+1+VALUE(LEFT(Table132[[#This Row],[next move]],1))*3,1)</f>
        <v>V</v>
      </c>
      <c r="I810" t="str">
        <f>Table132[[#This Row],[ÉTAT]]&amp;Table132[[#This Row],[next move]]</f>
        <v>VVMVVVEVE12</v>
      </c>
    </row>
    <row r="811" spans="2:9" x14ac:dyDescent="0.25">
      <c r="B811" t="s">
        <v>253</v>
      </c>
      <c r="C811" s="22" t="s">
        <v>22</v>
      </c>
      <c r="D811">
        <v>4</v>
      </c>
      <c r="E811">
        <v>2</v>
      </c>
      <c r="G811" s="31">
        <f>Table132[[#This Row],[nb win]]/Table132[[#This Row],[nb play]]</f>
        <v>0.5</v>
      </c>
      <c r="H811" t="str">
        <f>MID(Table132[[#This Row],[ÉTAT]],VALUE(RIGHT(Table132[[#This Row],[next move]],1))+1+VALUE(LEFT(Table132[[#This Row],[next move]],1))*3,1)</f>
        <v>V</v>
      </c>
      <c r="I811" t="str">
        <f>Table132[[#This Row],[ÉTAT]]&amp;Table132[[#This Row],[next move]]</f>
        <v>VVMVVVEVE21</v>
      </c>
    </row>
    <row r="812" spans="2:9" x14ac:dyDescent="0.25">
      <c r="B812" t="s">
        <v>842</v>
      </c>
      <c r="C812" s="22" t="s">
        <v>26</v>
      </c>
      <c r="D812">
        <v>3</v>
      </c>
      <c r="E812">
        <v>2</v>
      </c>
      <c r="G812" s="30">
        <f>Table132[[#This Row],[nb win]]/Table132[[#This Row],[nb play]]</f>
        <v>0.66666666666666663</v>
      </c>
      <c r="H812" t="str">
        <f>MID(Table132[[#This Row],[ÉTAT]],VALUE(RIGHT(Table132[[#This Row],[next move]],1))+1+VALUE(LEFT(Table132[[#This Row],[next move]],1))*3,1)</f>
        <v>V</v>
      </c>
      <c r="I812" t="str">
        <f>Table132[[#This Row],[ÉTAT]]&amp;Table132[[#This Row],[next move]]</f>
        <v>VVMVVVEME01</v>
      </c>
    </row>
    <row r="813" spans="2:9" x14ac:dyDescent="0.25">
      <c r="B813" t="s">
        <v>842</v>
      </c>
      <c r="C813" s="22" t="s">
        <v>28</v>
      </c>
      <c r="D813">
        <v>9</v>
      </c>
      <c r="G813" s="30">
        <f>Table132[[#This Row],[nb win]]/Table132[[#This Row],[nb play]]</f>
        <v>0</v>
      </c>
      <c r="H813" t="str">
        <f>MID(Table132[[#This Row],[ÉTAT]],VALUE(RIGHT(Table132[[#This Row],[next move]],1))+1+VALUE(LEFT(Table132[[#This Row],[next move]],1))*3,1)</f>
        <v>V</v>
      </c>
      <c r="I813" t="str">
        <f>Table132[[#This Row],[ÉTAT]]&amp;Table132[[#This Row],[next move]]</f>
        <v>VVMVVVEME12</v>
      </c>
    </row>
    <row r="814" spans="2:9" x14ac:dyDescent="0.25">
      <c r="B814" t="s">
        <v>1277</v>
      </c>
      <c r="C814" s="22" t="s">
        <v>24</v>
      </c>
      <c r="D814">
        <v>3</v>
      </c>
      <c r="E814">
        <v>1</v>
      </c>
      <c r="G814" s="30">
        <f>Table132[[#This Row],[nb win]]/Table132[[#This Row],[nb play]]</f>
        <v>0.33333333333333331</v>
      </c>
      <c r="H814" t="str">
        <f>MID(Table132[[#This Row],[ÉTAT]],VALUE(RIGHT(Table132[[#This Row],[next move]],1))+1+VALUE(LEFT(Table132[[#This Row],[next move]],1))*3,1)</f>
        <v>V</v>
      </c>
      <c r="I814" t="str">
        <f>Table132[[#This Row],[ÉTAT]]&amp;Table132[[#This Row],[next move]]</f>
        <v>VVMVVVEEV00</v>
      </c>
    </row>
    <row r="815" spans="2:9" x14ac:dyDescent="0.25">
      <c r="B815" t="s">
        <v>1277</v>
      </c>
      <c r="C815" s="22" t="s">
        <v>26</v>
      </c>
      <c r="D815">
        <v>1</v>
      </c>
      <c r="G815" s="25">
        <f>Table132[[#This Row],[nb win]]/Table132[[#This Row],[nb play]]</f>
        <v>0</v>
      </c>
      <c r="H815" t="str">
        <f>MID(Table132[[#This Row],[ÉTAT]],VALUE(RIGHT(Table132[[#This Row],[next move]],1))+1+VALUE(LEFT(Table132[[#This Row],[next move]],1))*3,1)</f>
        <v>V</v>
      </c>
      <c r="I815" t="str">
        <f>Table132[[#This Row],[ÉTAT]]&amp;Table132[[#This Row],[next move]]</f>
        <v>VVMVVVEEV01</v>
      </c>
    </row>
    <row r="816" spans="2:9" x14ac:dyDescent="0.25">
      <c r="B816" t="s">
        <v>1277</v>
      </c>
      <c r="C816" s="22" t="s">
        <v>30</v>
      </c>
      <c r="D816">
        <v>3</v>
      </c>
      <c r="E816">
        <v>1</v>
      </c>
      <c r="G816" s="31">
        <f>Table132[[#This Row],[nb win]]/Table132[[#This Row],[nb play]]</f>
        <v>0.33333333333333331</v>
      </c>
      <c r="H816" t="str">
        <f>MID(Table132[[#This Row],[ÉTAT]],VALUE(RIGHT(Table132[[#This Row],[next move]],1))+1+VALUE(LEFT(Table132[[#This Row],[next move]],1))*3,1)</f>
        <v>V</v>
      </c>
      <c r="I816" t="str">
        <f>Table132[[#This Row],[ÉTAT]]&amp;Table132[[#This Row],[next move]]</f>
        <v>VVMVVVEEV10</v>
      </c>
    </row>
    <row r="817" spans="2:9" x14ac:dyDescent="0.25">
      <c r="B817" t="s">
        <v>1277</v>
      </c>
      <c r="C817" s="22" t="s">
        <v>29</v>
      </c>
      <c r="D817">
        <v>3</v>
      </c>
      <c r="G817" s="30">
        <f>Table132[[#This Row],[nb win]]/Table132[[#This Row],[nb play]]</f>
        <v>0</v>
      </c>
      <c r="H817" t="str">
        <f>MID(Table132[[#This Row],[ÉTAT]],VALUE(RIGHT(Table132[[#This Row],[next move]],1))+1+VALUE(LEFT(Table132[[#This Row],[next move]],1))*3,1)</f>
        <v>V</v>
      </c>
      <c r="I817" t="str">
        <f>Table132[[#This Row],[ÉTAT]]&amp;Table132[[#This Row],[next move]]</f>
        <v>VVMVVVEEV11</v>
      </c>
    </row>
    <row r="818" spans="2:9" x14ac:dyDescent="0.25">
      <c r="B818" t="s">
        <v>1277</v>
      </c>
      <c r="C818" s="22" t="s">
        <v>28</v>
      </c>
      <c r="D818">
        <v>2</v>
      </c>
      <c r="E818">
        <v>1</v>
      </c>
      <c r="G818" s="31">
        <f>Table132[[#This Row],[nb win]]/Table132[[#This Row],[nb play]]</f>
        <v>0.5</v>
      </c>
      <c r="H818" t="str">
        <f>MID(Table132[[#This Row],[ÉTAT]],VALUE(RIGHT(Table132[[#This Row],[next move]],1))+1+VALUE(LEFT(Table132[[#This Row],[next move]],1))*3,1)</f>
        <v>V</v>
      </c>
      <c r="I818" t="str">
        <f>Table132[[#This Row],[ÉTAT]]&amp;Table132[[#This Row],[next move]]</f>
        <v>VVMVVVEEV12</v>
      </c>
    </row>
    <row r="819" spans="2:9" x14ac:dyDescent="0.25">
      <c r="B819" t="s">
        <v>1277</v>
      </c>
      <c r="C819" s="22" t="s">
        <v>31</v>
      </c>
      <c r="D819">
        <v>1</v>
      </c>
      <c r="E819">
        <v>1</v>
      </c>
      <c r="G819" s="25">
        <f>Table132[[#This Row],[nb win]]/Table132[[#This Row],[nb play]]</f>
        <v>1</v>
      </c>
      <c r="H819" t="str">
        <f>MID(Table132[[#This Row],[ÉTAT]],VALUE(RIGHT(Table132[[#This Row],[next move]],1))+1+VALUE(LEFT(Table132[[#This Row],[next move]],1))*3,1)</f>
        <v>V</v>
      </c>
      <c r="I819" t="str">
        <f>Table132[[#This Row],[ÉTAT]]&amp;Table132[[#This Row],[next move]]</f>
        <v>VVMVVVEEV22</v>
      </c>
    </row>
    <row r="820" spans="2:9" x14ac:dyDescent="0.25">
      <c r="B820" t="s">
        <v>426</v>
      </c>
      <c r="C820" s="22" t="s">
        <v>24</v>
      </c>
      <c r="D820">
        <v>5</v>
      </c>
      <c r="E820">
        <v>4</v>
      </c>
      <c r="G820" s="31">
        <f>Table132[[#This Row],[nb win]]/Table132[[#This Row],[nb play]]</f>
        <v>0.8</v>
      </c>
      <c r="H820" t="str">
        <f>MID(Table132[[#This Row],[ÉTAT]],VALUE(RIGHT(Table132[[#This Row],[next move]],1))+1+VALUE(LEFT(Table132[[#This Row],[next move]],1))*3,1)</f>
        <v>V</v>
      </c>
      <c r="I820" t="str">
        <f>Table132[[#This Row],[ÉTAT]]&amp;Table132[[#This Row],[next move]]</f>
        <v>VVMVVVEEM00</v>
      </c>
    </row>
    <row r="821" spans="2:9" x14ac:dyDescent="0.25">
      <c r="B821" t="s">
        <v>426</v>
      </c>
      <c r="C821" s="22" t="s">
        <v>29</v>
      </c>
      <c r="D821">
        <v>1</v>
      </c>
      <c r="E821">
        <v>1</v>
      </c>
      <c r="G821" s="25">
        <f>Table132[[#This Row],[nb win]]/Table132[[#This Row],[nb play]]</f>
        <v>1</v>
      </c>
      <c r="H821" t="str">
        <f>MID(Table132[[#This Row],[ÉTAT]],VALUE(RIGHT(Table132[[#This Row],[next move]],1))+1+VALUE(LEFT(Table132[[#This Row],[next move]],1))*3,1)</f>
        <v>V</v>
      </c>
      <c r="I821" t="str">
        <f>Table132[[#This Row],[ÉTAT]]&amp;Table132[[#This Row],[next move]]</f>
        <v>VVMVVVEEM11</v>
      </c>
    </row>
    <row r="822" spans="2:9" x14ac:dyDescent="0.25">
      <c r="B822" t="s">
        <v>2590</v>
      </c>
      <c r="C822" s="22" t="s">
        <v>24</v>
      </c>
      <c r="D822">
        <v>1</v>
      </c>
      <c r="G822" s="25">
        <f>Table132[[#This Row],[nb win]]/Table132[[#This Row],[nb play]]</f>
        <v>0</v>
      </c>
      <c r="H822" t="str">
        <f>MID(Table132[[#This Row],[ÉTAT]],VALUE(RIGHT(Table132[[#This Row],[next move]],1))+1+VALUE(LEFT(Table132[[#This Row],[next move]],1))*3,1)</f>
        <v>V</v>
      </c>
      <c r="I822" t="str">
        <f>Table132[[#This Row],[ÉTAT]]&amp;Table132[[#This Row],[next move]]</f>
        <v>VVMVVMVEE00</v>
      </c>
    </row>
    <row r="823" spans="2:9" x14ac:dyDescent="0.25">
      <c r="B823" t="s">
        <v>2590</v>
      </c>
      <c r="C823" s="22" t="s">
        <v>26</v>
      </c>
      <c r="D823">
        <v>3</v>
      </c>
      <c r="E823">
        <v>1</v>
      </c>
      <c r="G823" s="31">
        <f>Table132[[#This Row],[nb win]]/Table132[[#This Row],[nb play]]</f>
        <v>0.33333333333333331</v>
      </c>
      <c r="H823" t="str">
        <f>MID(Table132[[#This Row],[ÉTAT]],VALUE(RIGHT(Table132[[#This Row],[next move]],1))+1+VALUE(LEFT(Table132[[#This Row],[next move]],1))*3,1)</f>
        <v>V</v>
      </c>
      <c r="I823" t="str">
        <f>Table132[[#This Row],[ÉTAT]]&amp;Table132[[#This Row],[next move]]</f>
        <v>VVMVVMVEE01</v>
      </c>
    </row>
    <row r="824" spans="2:9" x14ac:dyDescent="0.25">
      <c r="B824" t="s">
        <v>2590</v>
      </c>
      <c r="C824" s="22" t="s">
        <v>30</v>
      </c>
      <c r="D824">
        <v>2</v>
      </c>
      <c r="E824">
        <v>1</v>
      </c>
      <c r="G824" s="30">
        <f>Table132[[#This Row],[nb win]]/Table132[[#This Row],[nb play]]</f>
        <v>0.5</v>
      </c>
      <c r="H824" t="str">
        <f>MID(Table132[[#This Row],[ÉTAT]],VALUE(RIGHT(Table132[[#This Row],[next move]],1))+1+VALUE(LEFT(Table132[[#This Row],[next move]],1))*3,1)</f>
        <v>V</v>
      </c>
      <c r="I824" t="str">
        <f>Table132[[#This Row],[ÉTAT]]&amp;Table132[[#This Row],[next move]]</f>
        <v>VVMVVMVEE10</v>
      </c>
    </row>
    <row r="825" spans="2:9" x14ac:dyDescent="0.25">
      <c r="B825" t="s">
        <v>2590</v>
      </c>
      <c r="C825" s="22" t="s">
        <v>29</v>
      </c>
      <c r="D825">
        <v>2</v>
      </c>
      <c r="E825">
        <v>1</v>
      </c>
      <c r="G825" s="30">
        <f>Table132[[#This Row],[nb win]]/Table132[[#This Row],[nb play]]</f>
        <v>0.5</v>
      </c>
      <c r="H825" t="str">
        <f>MID(Table132[[#This Row],[ÉTAT]],VALUE(RIGHT(Table132[[#This Row],[next move]],1))+1+VALUE(LEFT(Table132[[#This Row],[next move]],1))*3,1)</f>
        <v>V</v>
      </c>
      <c r="I825" t="str">
        <f>Table132[[#This Row],[ÉTAT]]&amp;Table132[[#This Row],[next move]]</f>
        <v>VVMVVMVEE11</v>
      </c>
    </row>
    <row r="826" spans="2:9" x14ac:dyDescent="0.25">
      <c r="B826" t="s">
        <v>2590</v>
      </c>
      <c r="C826" s="22" t="s">
        <v>35</v>
      </c>
      <c r="D826">
        <v>3</v>
      </c>
      <c r="G826" s="30">
        <f>Table132[[#This Row],[nb win]]/Table132[[#This Row],[nb play]]</f>
        <v>0</v>
      </c>
      <c r="H826" t="str">
        <f>MID(Table132[[#This Row],[ÉTAT]],VALUE(RIGHT(Table132[[#This Row],[next move]],1))+1+VALUE(LEFT(Table132[[#This Row],[next move]],1))*3,1)</f>
        <v>V</v>
      </c>
      <c r="I826" t="str">
        <f>Table132[[#This Row],[ÉTAT]]&amp;Table132[[#This Row],[next move]]</f>
        <v>VVMVVMVEE20</v>
      </c>
    </row>
    <row r="827" spans="2:9" x14ac:dyDescent="0.25">
      <c r="B827" t="s">
        <v>2630</v>
      </c>
      <c r="C827" s="22" t="s">
        <v>24</v>
      </c>
      <c r="D827">
        <v>1</v>
      </c>
      <c r="G827" s="30">
        <f>Table132[[#This Row],[nb win]]/Table132[[#This Row],[nb play]]</f>
        <v>0</v>
      </c>
      <c r="H827" t="str">
        <f>MID(Table132[[#This Row],[ÉTAT]],VALUE(RIGHT(Table132[[#This Row],[next move]],1))+1+VALUE(LEFT(Table132[[#This Row],[next move]],1))*3,1)</f>
        <v>V</v>
      </c>
      <c r="I827" t="str">
        <f>Table132[[#This Row],[ÉTAT]]&amp;Table132[[#This Row],[next move]]</f>
        <v>VVMVVMEVE00</v>
      </c>
    </row>
    <row r="828" spans="2:9" x14ac:dyDescent="0.25">
      <c r="B828" t="s">
        <v>2630</v>
      </c>
      <c r="C828" s="22" t="s">
        <v>30</v>
      </c>
      <c r="D828">
        <v>1</v>
      </c>
      <c r="G828" s="30">
        <f>Table132[[#This Row],[nb win]]/Table132[[#This Row],[nb play]]</f>
        <v>0</v>
      </c>
      <c r="H828" t="str">
        <f>MID(Table132[[#This Row],[ÉTAT]],VALUE(RIGHT(Table132[[#This Row],[next move]],1))+1+VALUE(LEFT(Table132[[#This Row],[next move]],1))*3,1)</f>
        <v>V</v>
      </c>
      <c r="I828" t="str">
        <f>Table132[[#This Row],[ÉTAT]]&amp;Table132[[#This Row],[next move]]</f>
        <v>VVMVVMEVE10</v>
      </c>
    </row>
    <row r="829" spans="2:9" x14ac:dyDescent="0.25">
      <c r="B829" t="s">
        <v>2630</v>
      </c>
      <c r="C829" s="22" t="s">
        <v>29</v>
      </c>
      <c r="D829">
        <v>1</v>
      </c>
      <c r="G829" s="25">
        <f>Table132[[#This Row],[nb win]]/Table132[[#This Row],[nb play]]</f>
        <v>0</v>
      </c>
      <c r="H829" t="str">
        <f>MID(Table132[[#This Row],[ÉTAT]],VALUE(RIGHT(Table132[[#This Row],[next move]],1))+1+VALUE(LEFT(Table132[[#This Row],[next move]],1))*3,1)</f>
        <v>V</v>
      </c>
      <c r="I829" t="str">
        <f>Table132[[#This Row],[ÉTAT]]&amp;Table132[[#This Row],[next move]]</f>
        <v>VVMVVMEVE11</v>
      </c>
    </row>
    <row r="830" spans="2:9" x14ac:dyDescent="0.25">
      <c r="B830" t="s">
        <v>2630</v>
      </c>
      <c r="C830" s="22" t="s">
        <v>22</v>
      </c>
      <c r="D830">
        <v>1</v>
      </c>
      <c r="G830" s="30">
        <f>Table132[[#This Row],[nb win]]/Table132[[#This Row],[nb play]]</f>
        <v>0</v>
      </c>
      <c r="H830" t="str">
        <f>MID(Table132[[#This Row],[ÉTAT]],VALUE(RIGHT(Table132[[#This Row],[next move]],1))+1+VALUE(LEFT(Table132[[#This Row],[next move]],1))*3,1)</f>
        <v>V</v>
      </c>
      <c r="I830" t="str">
        <f>Table132[[#This Row],[ÉTAT]]&amp;Table132[[#This Row],[next move]]</f>
        <v>VVMVVMEVE21</v>
      </c>
    </row>
    <row r="831" spans="2:9" x14ac:dyDescent="0.25">
      <c r="B831" t="s">
        <v>1602</v>
      </c>
      <c r="C831" s="22" t="s">
        <v>31</v>
      </c>
      <c r="D831">
        <v>8</v>
      </c>
      <c r="E831">
        <v>8</v>
      </c>
      <c r="G831" s="31">
        <f>Table132[[#This Row],[nb win]]/Table132[[#This Row],[nb play]]</f>
        <v>1</v>
      </c>
      <c r="H831" t="str">
        <f>MID(Table132[[#This Row],[ÉTAT]],VALUE(RIGHT(Table132[[#This Row],[next move]],1))+1+VALUE(LEFT(Table132[[#This Row],[next move]],1))*3,1)</f>
        <v>V</v>
      </c>
      <c r="I831" t="str">
        <f>Table132[[#This Row],[ÉTAT]]&amp;Table132[[#This Row],[next move]]</f>
        <v>VVMVVMEEV22</v>
      </c>
    </row>
    <row r="832" spans="2:9" x14ac:dyDescent="0.25">
      <c r="B832" t="s">
        <v>327</v>
      </c>
      <c r="C832" s="22" t="s">
        <v>26</v>
      </c>
      <c r="D832">
        <v>2</v>
      </c>
      <c r="E832">
        <v>2</v>
      </c>
      <c r="G832" s="31">
        <f>Table132[[#This Row],[nb win]]/Table132[[#This Row],[nb play]]</f>
        <v>1</v>
      </c>
      <c r="H832" t="str">
        <f>MID(Table132[[#This Row],[ÉTAT]],VALUE(RIGHT(Table132[[#This Row],[next move]],1))+1+VALUE(LEFT(Table132[[#This Row],[next move]],1))*3,1)</f>
        <v>V</v>
      </c>
      <c r="I832" t="str">
        <f>Table132[[#This Row],[ÉTAT]]&amp;Table132[[#This Row],[next move]]</f>
        <v>VVMVVEVVV01</v>
      </c>
    </row>
    <row r="833" spans="2:9" x14ac:dyDescent="0.25">
      <c r="B833" t="s">
        <v>327</v>
      </c>
      <c r="C833" s="22" t="s">
        <v>30</v>
      </c>
      <c r="D833">
        <v>2</v>
      </c>
      <c r="E833">
        <v>1</v>
      </c>
      <c r="G833" s="31">
        <f>Table132[[#This Row],[nb win]]/Table132[[#This Row],[nb play]]</f>
        <v>0.5</v>
      </c>
      <c r="H833" t="str">
        <f>MID(Table132[[#This Row],[ÉTAT]],VALUE(RIGHT(Table132[[#This Row],[next move]],1))+1+VALUE(LEFT(Table132[[#This Row],[next move]],1))*3,1)</f>
        <v>V</v>
      </c>
      <c r="I833" t="str">
        <f>Table132[[#This Row],[ÉTAT]]&amp;Table132[[#This Row],[next move]]</f>
        <v>VVMVVEVVV10</v>
      </c>
    </row>
    <row r="834" spans="2:9" x14ac:dyDescent="0.25">
      <c r="B834" t="s">
        <v>327</v>
      </c>
      <c r="C834" s="22" t="s">
        <v>29</v>
      </c>
      <c r="D834">
        <v>22</v>
      </c>
      <c r="E834">
        <v>21</v>
      </c>
      <c r="G834" s="31">
        <f>Table132[[#This Row],[nb win]]/Table132[[#This Row],[nb play]]</f>
        <v>0.95454545454545459</v>
      </c>
      <c r="H834" t="str">
        <f>MID(Table132[[#This Row],[ÉTAT]],VALUE(RIGHT(Table132[[#This Row],[next move]],1))+1+VALUE(LEFT(Table132[[#This Row],[next move]],1))*3,1)</f>
        <v>V</v>
      </c>
      <c r="I834" t="str">
        <f>Table132[[#This Row],[ÉTAT]]&amp;Table132[[#This Row],[next move]]</f>
        <v>VVMVVEVVV11</v>
      </c>
    </row>
    <row r="835" spans="2:9" x14ac:dyDescent="0.25">
      <c r="B835" t="s">
        <v>327</v>
      </c>
      <c r="C835" s="22" t="s">
        <v>35</v>
      </c>
      <c r="D835">
        <v>5</v>
      </c>
      <c r="E835">
        <v>4</v>
      </c>
      <c r="G835" s="31">
        <f>Table132[[#This Row],[nb win]]/Table132[[#This Row],[nb play]]</f>
        <v>0.8</v>
      </c>
      <c r="H835" t="str">
        <f>MID(Table132[[#This Row],[ÉTAT]],VALUE(RIGHT(Table132[[#This Row],[next move]],1))+1+VALUE(LEFT(Table132[[#This Row],[next move]],1))*3,1)</f>
        <v>V</v>
      </c>
      <c r="I835" t="str">
        <f>Table132[[#This Row],[ÉTAT]]&amp;Table132[[#This Row],[next move]]</f>
        <v>VVMVVEVVV20</v>
      </c>
    </row>
    <row r="836" spans="2:9" x14ac:dyDescent="0.25">
      <c r="B836" t="s">
        <v>327</v>
      </c>
      <c r="C836" s="22" t="s">
        <v>22</v>
      </c>
      <c r="D836">
        <v>4</v>
      </c>
      <c r="E836">
        <v>3</v>
      </c>
      <c r="G836" s="31">
        <f>Table132[[#This Row],[nb win]]/Table132[[#This Row],[nb play]]</f>
        <v>0.75</v>
      </c>
      <c r="H836" t="str">
        <f>MID(Table132[[#This Row],[ÉTAT]],VALUE(RIGHT(Table132[[#This Row],[next move]],1))+1+VALUE(LEFT(Table132[[#This Row],[next move]],1))*3,1)</f>
        <v>V</v>
      </c>
      <c r="I836" t="str">
        <f>Table132[[#This Row],[ÉTAT]]&amp;Table132[[#This Row],[next move]]</f>
        <v>VVMVVEVVV21</v>
      </c>
    </row>
    <row r="837" spans="2:9" x14ac:dyDescent="0.25">
      <c r="B837" t="s">
        <v>327</v>
      </c>
      <c r="C837" s="22" t="s">
        <v>31</v>
      </c>
      <c r="D837">
        <v>6</v>
      </c>
      <c r="E837">
        <v>1</v>
      </c>
      <c r="G837" s="30">
        <f>Table132[[#This Row],[nb win]]/Table132[[#This Row],[nb play]]</f>
        <v>0.16666666666666666</v>
      </c>
      <c r="H837" t="str">
        <f>MID(Table132[[#This Row],[ÉTAT]],VALUE(RIGHT(Table132[[#This Row],[next move]],1))+1+VALUE(LEFT(Table132[[#This Row],[next move]],1))*3,1)</f>
        <v>V</v>
      </c>
      <c r="I837" t="str">
        <f>Table132[[#This Row],[ÉTAT]]&amp;Table132[[#This Row],[next move]]</f>
        <v>VVMVVEVVV22</v>
      </c>
    </row>
    <row r="838" spans="2:9" x14ac:dyDescent="0.25">
      <c r="B838" t="s">
        <v>758</v>
      </c>
      <c r="C838" s="22" t="s">
        <v>24</v>
      </c>
      <c r="D838">
        <v>3</v>
      </c>
      <c r="E838">
        <v>2</v>
      </c>
      <c r="G838" s="25">
        <f>Table132[[#This Row],[nb win]]/Table132[[#This Row],[nb play]]</f>
        <v>0.66666666666666663</v>
      </c>
      <c r="H838" t="str">
        <f>MID(Table132[[#This Row],[ÉTAT]],VALUE(RIGHT(Table132[[#This Row],[next move]],1))+1+VALUE(LEFT(Table132[[#This Row],[next move]],1))*3,1)</f>
        <v>V</v>
      </c>
      <c r="I838" t="str">
        <f>Table132[[#This Row],[ÉTAT]]&amp;Table132[[#This Row],[next move]]</f>
        <v>VVMVVEVVE00</v>
      </c>
    </row>
    <row r="839" spans="2:9" x14ac:dyDescent="0.25">
      <c r="B839" t="s">
        <v>758</v>
      </c>
      <c r="C839" s="22" t="s">
        <v>22</v>
      </c>
      <c r="D839">
        <v>2</v>
      </c>
      <c r="E839">
        <v>1</v>
      </c>
      <c r="G839" s="30">
        <f>Table132[[#This Row],[nb win]]/Table132[[#This Row],[nb play]]</f>
        <v>0.5</v>
      </c>
      <c r="H839" t="str">
        <f>MID(Table132[[#This Row],[ÉTAT]],VALUE(RIGHT(Table132[[#This Row],[next move]],1))+1+VALUE(LEFT(Table132[[#This Row],[next move]],1))*3,1)</f>
        <v>V</v>
      </c>
      <c r="I839" t="str">
        <f>Table132[[#This Row],[ÉTAT]]&amp;Table132[[#This Row],[next move]]</f>
        <v>VVMVVEVVE21</v>
      </c>
    </row>
    <row r="840" spans="2:9" x14ac:dyDescent="0.25">
      <c r="B840" t="s">
        <v>2144</v>
      </c>
      <c r="C840" s="22" t="s">
        <v>26</v>
      </c>
      <c r="D840">
        <v>5</v>
      </c>
      <c r="E840">
        <v>4</v>
      </c>
      <c r="G840" s="31">
        <f>Table132[[#This Row],[nb win]]/Table132[[#This Row],[nb play]]</f>
        <v>0.8</v>
      </c>
      <c r="H840" t="str">
        <f>MID(Table132[[#This Row],[ÉTAT]],VALUE(RIGHT(Table132[[#This Row],[next move]],1))+1+VALUE(LEFT(Table132[[#This Row],[next move]],1))*3,1)</f>
        <v>V</v>
      </c>
      <c r="I840" t="str">
        <f>Table132[[#This Row],[ÉTAT]]&amp;Table132[[#This Row],[next move]]</f>
        <v>VVMVVEVME01</v>
      </c>
    </row>
    <row r="841" spans="2:9" x14ac:dyDescent="0.25">
      <c r="B841" t="s">
        <v>2144</v>
      </c>
      <c r="C841" s="22" t="s">
        <v>30</v>
      </c>
      <c r="D841">
        <v>1</v>
      </c>
      <c r="G841" s="30">
        <f>Table132[[#This Row],[nb win]]/Table132[[#This Row],[nb play]]</f>
        <v>0</v>
      </c>
      <c r="H841" t="str">
        <f>MID(Table132[[#This Row],[ÉTAT]],VALUE(RIGHT(Table132[[#This Row],[next move]],1))+1+VALUE(LEFT(Table132[[#This Row],[next move]],1))*3,1)</f>
        <v>V</v>
      </c>
      <c r="I841" t="str">
        <f>Table132[[#This Row],[ÉTAT]]&amp;Table132[[#This Row],[next move]]</f>
        <v>VVMVVEVME10</v>
      </c>
    </row>
    <row r="842" spans="2:9" x14ac:dyDescent="0.25">
      <c r="B842" t="s">
        <v>2144</v>
      </c>
      <c r="C842" s="22" t="s">
        <v>35</v>
      </c>
      <c r="D842">
        <v>2</v>
      </c>
      <c r="E842">
        <v>1</v>
      </c>
      <c r="G842" s="30">
        <f>Table132[[#This Row],[nb win]]/Table132[[#This Row],[nb play]]</f>
        <v>0.5</v>
      </c>
      <c r="H842" t="str">
        <f>MID(Table132[[#This Row],[ÉTAT]],VALUE(RIGHT(Table132[[#This Row],[next move]],1))+1+VALUE(LEFT(Table132[[#This Row],[next move]],1))*3,1)</f>
        <v>V</v>
      </c>
      <c r="I842" t="str">
        <f>Table132[[#This Row],[ÉTAT]]&amp;Table132[[#This Row],[next move]]</f>
        <v>VVMVVEVME20</v>
      </c>
    </row>
    <row r="843" spans="2:9" x14ac:dyDescent="0.25">
      <c r="B843" t="s">
        <v>1293</v>
      </c>
      <c r="C843" s="22" t="s">
        <v>24</v>
      </c>
      <c r="D843">
        <v>4</v>
      </c>
      <c r="E843">
        <v>3</v>
      </c>
      <c r="G843" s="31">
        <f>Table132[[#This Row],[nb win]]/Table132[[#This Row],[nb play]]</f>
        <v>0.75</v>
      </c>
      <c r="H843" t="str">
        <f>MID(Table132[[#This Row],[ÉTAT]],VALUE(RIGHT(Table132[[#This Row],[next move]],1))+1+VALUE(LEFT(Table132[[#This Row],[next move]],1))*3,1)</f>
        <v>V</v>
      </c>
      <c r="I843" t="str">
        <f>Table132[[#This Row],[ÉTAT]]&amp;Table132[[#This Row],[next move]]</f>
        <v>VVMVVEVEV00</v>
      </c>
    </row>
    <row r="844" spans="2:9" x14ac:dyDescent="0.25">
      <c r="B844" t="s">
        <v>1293</v>
      </c>
      <c r="C844" s="22" t="s">
        <v>26</v>
      </c>
      <c r="D844">
        <v>1</v>
      </c>
      <c r="G844" s="30">
        <f>Table132[[#This Row],[nb win]]/Table132[[#This Row],[nb play]]</f>
        <v>0</v>
      </c>
      <c r="H844" t="str">
        <f>MID(Table132[[#This Row],[ÉTAT]],VALUE(RIGHT(Table132[[#This Row],[next move]],1))+1+VALUE(LEFT(Table132[[#This Row],[next move]],1))*3,1)</f>
        <v>V</v>
      </c>
      <c r="I844" t="str">
        <f>Table132[[#This Row],[ÉTAT]]&amp;Table132[[#This Row],[next move]]</f>
        <v>VVMVVEVEV01</v>
      </c>
    </row>
    <row r="845" spans="2:9" x14ac:dyDescent="0.25">
      <c r="B845" t="s">
        <v>1293</v>
      </c>
      <c r="C845" s="22" t="s">
        <v>30</v>
      </c>
      <c r="D845">
        <v>1</v>
      </c>
      <c r="G845" s="30">
        <f>Table132[[#This Row],[nb win]]/Table132[[#This Row],[nb play]]</f>
        <v>0</v>
      </c>
      <c r="H845" t="str">
        <f>MID(Table132[[#This Row],[ÉTAT]],VALUE(RIGHT(Table132[[#This Row],[next move]],1))+1+VALUE(LEFT(Table132[[#This Row],[next move]],1))*3,1)</f>
        <v>V</v>
      </c>
      <c r="I845" t="str">
        <f>Table132[[#This Row],[ÉTAT]]&amp;Table132[[#This Row],[next move]]</f>
        <v>VVMVVEVEV10</v>
      </c>
    </row>
    <row r="846" spans="2:9" x14ac:dyDescent="0.25">
      <c r="B846" t="s">
        <v>1293</v>
      </c>
      <c r="C846" s="22" t="s">
        <v>29</v>
      </c>
      <c r="D846">
        <v>2</v>
      </c>
      <c r="G846" s="30">
        <f>Table132[[#This Row],[nb win]]/Table132[[#This Row],[nb play]]</f>
        <v>0</v>
      </c>
      <c r="H846" t="str">
        <f>MID(Table132[[#This Row],[ÉTAT]],VALUE(RIGHT(Table132[[#This Row],[next move]],1))+1+VALUE(LEFT(Table132[[#This Row],[next move]],1))*3,1)</f>
        <v>V</v>
      </c>
      <c r="I846" t="str">
        <f>Table132[[#This Row],[ÉTAT]]&amp;Table132[[#This Row],[next move]]</f>
        <v>VVMVVEVEV11</v>
      </c>
    </row>
    <row r="847" spans="2:9" x14ac:dyDescent="0.25">
      <c r="B847" t="s">
        <v>1293</v>
      </c>
      <c r="C847" s="22" t="s">
        <v>35</v>
      </c>
      <c r="D847">
        <v>4</v>
      </c>
      <c r="E847">
        <v>2</v>
      </c>
      <c r="G847" s="25">
        <f>Table132[[#This Row],[nb win]]/Table132[[#This Row],[nb play]]</f>
        <v>0.5</v>
      </c>
      <c r="H847" t="str">
        <f>MID(Table132[[#This Row],[ÉTAT]],VALUE(RIGHT(Table132[[#This Row],[next move]],1))+1+VALUE(LEFT(Table132[[#This Row],[next move]],1))*3,1)</f>
        <v>V</v>
      </c>
      <c r="I847" t="str">
        <f>Table132[[#This Row],[ÉTAT]]&amp;Table132[[#This Row],[next move]]</f>
        <v>VVMVVEVEV20</v>
      </c>
    </row>
    <row r="848" spans="2:9" x14ac:dyDescent="0.25">
      <c r="B848" t="s">
        <v>1293</v>
      </c>
      <c r="C848" s="22" t="s">
        <v>31</v>
      </c>
      <c r="D848">
        <v>4</v>
      </c>
      <c r="E848">
        <v>2</v>
      </c>
      <c r="G848" s="25">
        <f>Table132[[#This Row],[nb win]]/Table132[[#This Row],[nb play]]</f>
        <v>0.5</v>
      </c>
      <c r="H848" t="str">
        <f>MID(Table132[[#This Row],[ÉTAT]],VALUE(RIGHT(Table132[[#This Row],[next move]],1))+1+VALUE(LEFT(Table132[[#This Row],[next move]],1))*3,1)</f>
        <v>V</v>
      </c>
      <c r="I848" t="str">
        <f>Table132[[#This Row],[ÉTAT]]&amp;Table132[[#This Row],[next move]]</f>
        <v>VVMVVEVEV22</v>
      </c>
    </row>
    <row r="849" spans="2:9" x14ac:dyDescent="0.25">
      <c r="B849" t="s">
        <v>1692</v>
      </c>
      <c r="C849" s="22" t="s">
        <v>29</v>
      </c>
      <c r="D849">
        <v>5</v>
      </c>
      <c r="E849">
        <v>5</v>
      </c>
      <c r="G849" s="31">
        <f>Table132[[#This Row],[nb win]]/Table132[[#This Row],[nb play]]</f>
        <v>1</v>
      </c>
      <c r="H849" t="str">
        <f>MID(Table132[[#This Row],[ÉTAT]],VALUE(RIGHT(Table132[[#This Row],[next move]],1))+1+VALUE(LEFT(Table132[[#This Row],[next move]],1))*3,1)</f>
        <v>V</v>
      </c>
      <c r="I849" t="str">
        <f>Table132[[#This Row],[ÉTAT]]&amp;Table132[[#This Row],[next move]]</f>
        <v>VVMVVEVEM11</v>
      </c>
    </row>
    <row r="850" spans="2:9" x14ac:dyDescent="0.25">
      <c r="B850" t="s">
        <v>599</v>
      </c>
      <c r="C850" s="22" t="s">
        <v>30</v>
      </c>
      <c r="D850">
        <v>2</v>
      </c>
      <c r="E850">
        <v>2</v>
      </c>
      <c r="G850" s="31">
        <f>Table132[[#This Row],[nb win]]/Table132[[#This Row],[nb play]]</f>
        <v>1</v>
      </c>
      <c r="H850" t="str">
        <f>MID(Table132[[#This Row],[ÉTAT]],VALUE(RIGHT(Table132[[#This Row],[next move]],1))+1+VALUE(LEFT(Table132[[#This Row],[next move]],1))*3,1)</f>
        <v>V</v>
      </c>
      <c r="I850" t="str">
        <f>Table132[[#This Row],[ÉTAT]]&amp;Table132[[#This Row],[next move]]</f>
        <v>VVMVVEMVE10</v>
      </c>
    </row>
    <row r="851" spans="2:9" x14ac:dyDescent="0.25">
      <c r="B851" t="s">
        <v>1038</v>
      </c>
      <c r="C851" s="22" t="s">
        <v>29</v>
      </c>
      <c r="D851">
        <v>6</v>
      </c>
      <c r="E851">
        <v>6</v>
      </c>
      <c r="G851" s="31">
        <f>Table132[[#This Row],[nb win]]/Table132[[#This Row],[nb play]]</f>
        <v>1</v>
      </c>
      <c r="H851" t="str">
        <f>MID(Table132[[#This Row],[ÉTAT]],VALUE(RIGHT(Table132[[#This Row],[next move]],1))+1+VALUE(LEFT(Table132[[#This Row],[next move]],1))*3,1)</f>
        <v>V</v>
      </c>
      <c r="I851" t="str">
        <f>Table132[[#This Row],[ÉTAT]]&amp;Table132[[#This Row],[next move]]</f>
        <v>VVMVVEMEV11</v>
      </c>
    </row>
    <row r="852" spans="2:9" x14ac:dyDescent="0.25">
      <c r="B852" t="s">
        <v>1295</v>
      </c>
      <c r="C852" s="22" t="s">
        <v>24</v>
      </c>
      <c r="D852">
        <v>3</v>
      </c>
      <c r="E852">
        <v>3</v>
      </c>
      <c r="G852" s="31">
        <f>Table132[[#This Row],[nb win]]/Table132[[#This Row],[nb play]]</f>
        <v>1</v>
      </c>
      <c r="H852" t="str">
        <f>MID(Table132[[#This Row],[ÉTAT]],VALUE(RIGHT(Table132[[#This Row],[next move]],1))+1+VALUE(LEFT(Table132[[#This Row],[next move]],1))*3,1)</f>
        <v>V</v>
      </c>
      <c r="I852" t="str">
        <f>Table132[[#This Row],[ÉTAT]]&amp;Table132[[#This Row],[next move]]</f>
        <v>VVMVVEMEE00</v>
      </c>
    </row>
    <row r="853" spans="2:9" x14ac:dyDescent="0.25">
      <c r="B853" t="s">
        <v>1295</v>
      </c>
      <c r="C853" s="22" t="s">
        <v>30</v>
      </c>
      <c r="D853">
        <v>3</v>
      </c>
      <c r="E853">
        <v>2</v>
      </c>
      <c r="G853" s="25">
        <f>Table132[[#This Row],[nb win]]/Table132[[#This Row],[nb play]]</f>
        <v>0.66666666666666663</v>
      </c>
      <c r="H853" t="str">
        <f>MID(Table132[[#This Row],[ÉTAT]],VALUE(RIGHT(Table132[[#This Row],[next move]],1))+1+VALUE(LEFT(Table132[[#This Row],[next move]],1))*3,1)</f>
        <v>V</v>
      </c>
      <c r="I853" t="str">
        <f>Table132[[#This Row],[ÉTAT]]&amp;Table132[[#This Row],[next move]]</f>
        <v>VVMVVEMEE10</v>
      </c>
    </row>
    <row r="854" spans="2:9" x14ac:dyDescent="0.25">
      <c r="B854" t="s">
        <v>614</v>
      </c>
      <c r="C854" s="22" t="s">
        <v>24</v>
      </c>
      <c r="D854">
        <v>5</v>
      </c>
      <c r="E854">
        <v>3</v>
      </c>
      <c r="G854" s="31">
        <f>Table132[[#This Row],[nb win]]/Table132[[#This Row],[nb play]]</f>
        <v>0.6</v>
      </c>
      <c r="H854" t="str">
        <f>MID(Table132[[#This Row],[ÉTAT]],VALUE(RIGHT(Table132[[#This Row],[next move]],1))+1+VALUE(LEFT(Table132[[#This Row],[next move]],1))*3,1)</f>
        <v>V</v>
      </c>
      <c r="I854" t="str">
        <f>Table132[[#This Row],[ÉTAT]]&amp;Table132[[#This Row],[next move]]</f>
        <v>VVMVVEEVV00</v>
      </c>
    </row>
    <row r="855" spans="2:9" x14ac:dyDescent="0.25">
      <c r="B855" t="s">
        <v>614</v>
      </c>
      <c r="C855" s="22" t="s">
        <v>26</v>
      </c>
      <c r="D855">
        <v>3</v>
      </c>
      <c r="E855">
        <v>2</v>
      </c>
      <c r="G855" s="25">
        <f>Table132[[#This Row],[nb win]]/Table132[[#This Row],[nb play]]</f>
        <v>0.66666666666666663</v>
      </c>
      <c r="H855" t="str">
        <f>MID(Table132[[#This Row],[ÉTAT]],VALUE(RIGHT(Table132[[#This Row],[next move]],1))+1+VALUE(LEFT(Table132[[#This Row],[next move]],1))*3,1)</f>
        <v>V</v>
      </c>
      <c r="I855" t="str">
        <f>Table132[[#This Row],[ÉTAT]]&amp;Table132[[#This Row],[next move]]</f>
        <v>VVMVVEEVV01</v>
      </c>
    </row>
    <row r="856" spans="2:9" x14ac:dyDescent="0.25">
      <c r="B856" t="s">
        <v>614</v>
      </c>
      <c r="C856" s="22" t="s">
        <v>29</v>
      </c>
      <c r="D856">
        <v>1</v>
      </c>
      <c r="G856" s="25">
        <f>Table132[[#This Row],[nb win]]/Table132[[#This Row],[nb play]]</f>
        <v>0</v>
      </c>
      <c r="H856" t="str">
        <f>MID(Table132[[#This Row],[ÉTAT]],VALUE(RIGHT(Table132[[#This Row],[next move]],1))+1+VALUE(LEFT(Table132[[#This Row],[next move]],1))*3,1)</f>
        <v>V</v>
      </c>
      <c r="I856" t="str">
        <f>Table132[[#This Row],[ÉTAT]]&amp;Table132[[#This Row],[next move]]</f>
        <v>VVMVVEEVV11</v>
      </c>
    </row>
    <row r="857" spans="2:9" x14ac:dyDescent="0.25">
      <c r="B857" t="s">
        <v>614</v>
      </c>
      <c r="C857" s="22" t="s">
        <v>22</v>
      </c>
      <c r="D857">
        <v>2</v>
      </c>
      <c r="E857">
        <v>1</v>
      </c>
      <c r="G857" s="30">
        <f>Table132[[#This Row],[nb win]]/Table132[[#This Row],[nb play]]</f>
        <v>0.5</v>
      </c>
      <c r="H857" t="str">
        <f>MID(Table132[[#This Row],[ÉTAT]],VALUE(RIGHT(Table132[[#This Row],[next move]],1))+1+VALUE(LEFT(Table132[[#This Row],[next move]],1))*3,1)</f>
        <v>V</v>
      </c>
      <c r="I857" t="str">
        <f>Table132[[#This Row],[ÉTAT]]&amp;Table132[[#This Row],[next move]]</f>
        <v>VVMVVEEVV21</v>
      </c>
    </row>
    <row r="858" spans="2:9" x14ac:dyDescent="0.25">
      <c r="B858" t="s">
        <v>614</v>
      </c>
      <c r="C858" s="22" t="s">
        <v>31</v>
      </c>
      <c r="D858">
        <v>4</v>
      </c>
      <c r="G858" s="30">
        <f>Table132[[#This Row],[nb win]]/Table132[[#This Row],[nb play]]</f>
        <v>0</v>
      </c>
      <c r="H858" t="str">
        <f>MID(Table132[[#This Row],[ÉTAT]],VALUE(RIGHT(Table132[[#This Row],[next move]],1))+1+VALUE(LEFT(Table132[[#This Row],[next move]],1))*3,1)</f>
        <v>V</v>
      </c>
      <c r="I858" t="str">
        <f>Table132[[#This Row],[ÉTAT]]&amp;Table132[[#This Row],[next move]]</f>
        <v>VVMVVEEVV22</v>
      </c>
    </row>
    <row r="859" spans="2:9" x14ac:dyDescent="0.25">
      <c r="B859" t="s">
        <v>443</v>
      </c>
      <c r="C859" s="22" t="s">
        <v>26</v>
      </c>
      <c r="D859">
        <v>1</v>
      </c>
      <c r="G859" s="25">
        <f>Table132[[#This Row],[nb win]]/Table132[[#This Row],[nb play]]</f>
        <v>0</v>
      </c>
      <c r="H859" t="str">
        <f>MID(Table132[[#This Row],[ÉTAT]],VALUE(RIGHT(Table132[[#This Row],[next move]],1))+1+VALUE(LEFT(Table132[[#This Row],[next move]],1))*3,1)</f>
        <v>V</v>
      </c>
      <c r="I859" t="str">
        <f>Table132[[#This Row],[ÉTAT]]&amp;Table132[[#This Row],[next move]]</f>
        <v>VVMVVEEVM01</v>
      </c>
    </row>
    <row r="860" spans="2:9" x14ac:dyDescent="0.25">
      <c r="B860" t="s">
        <v>443</v>
      </c>
      <c r="C860" s="22" t="s">
        <v>30</v>
      </c>
      <c r="D860">
        <v>1</v>
      </c>
      <c r="E860">
        <v>1</v>
      </c>
      <c r="G860" s="25">
        <f>Table132[[#This Row],[nb win]]/Table132[[#This Row],[nb play]]</f>
        <v>1</v>
      </c>
      <c r="H860" t="str">
        <f>MID(Table132[[#This Row],[ÉTAT]],VALUE(RIGHT(Table132[[#This Row],[next move]],1))+1+VALUE(LEFT(Table132[[#This Row],[next move]],1))*3,1)</f>
        <v>V</v>
      </c>
      <c r="I860" t="str">
        <f>Table132[[#This Row],[ÉTAT]]&amp;Table132[[#This Row],[next move]]</f>
        <v>VVMVVEEVM10</v>
      </c>
    </row>
    <row r="861" spans="2:9" x14ac:dyDescent="0.25">
      <c r="B861" t="s">
        <v>825</v>
      </c>
      <c r="C861" s="22" t="s">
        <v>24</v>
      </c>
      <c r="D861">
        <v>6</v>
      </c>
      <c r="E861">
        <v>6</v>
      </c>
      <c r="G861" s="25">
        <f>Table132[[#This Row],[nb win]]/Table132[[#This Row],[nb play]]</f>
        <v>1</v>
      </c>
      <c r="H861" t="str">
        <f>MID(Table132[[#This Row],[ÉTAT]],VALUE(RIGHT(Table132[[#This Row],[next move]],1))+1+VALUE(LEFT(Table132[[#This Row],[next move]],1))*3,1)</f>
        <v>V</v>
      </c>
      <c r="I861" t="str">
        <f>Table132[[#This Row],[ÉTAT]]&amp;Table132[[#This Row],[next move]]</f>
        <v>VVMVVEEMV00</v>
      </c>
    </row>
    <row r="862" spans="2:9" x14ac:dyDescent="0.25">
      <c r="B862" t="s">
        <v>2225</v>
      </c>
      <c r="C862" s="22" t="s">
        <v>29</v>
      </c>
      <c r="D862">
        <v>1</v>
      </c>
      <c r="E862">
        <v>1</v>
      </c>
      <c r="G862" s="25">
        <f>Table132[[#This Row],[nb win]]/Table132[[#This Row],[nb play]]</f>
        <v>1</v>
      </c>
      <c r="H862" t="str">
        <f>MID(Table132[[#This Row],[ÉTAT]],VALUE(RIGHT(Table132[[#This Row],[next move]],1))+1+VALUE(LEFT(Table132[[#This Row],[next move]],1))*3,1)</f>
        <v>V</v>
      </c>
      <c r="I862" t="str">
        <f>Table132[[#This Row],[ÉTAT]]&amp;Table132[[#This Row],[next move]]</f>
        <v>VVMVVEEME11</v>
      </c>
    </row>
    <row r="863" spans="2:9" x14ac:dyDescent="0.25">
      <c r="B863" t="s">
        <v>2322</v>
      </c>
      <c r="C863" s="22" t="s">
        <v>26</v>
      </c>
      <c r="D863">
        <v>1</v>
      </c>
      <c r="E863">
        <v>1</v>
      </c>
      <c r="G863" s="25">
        <f>Table132[[#This Row],[nb win]]/Table132[[#This Row],[nb play]]</f>
        <v>1</v>
      </c>
      <c r="H863" t="str">
        <f>MID(Table132[[#This Row],[ÉTAT]],VALUE(RIGHT(Table132[[#This Row],[next move]],1))+1+VALUE(LEFT(Table132[[#This Row],[next move]],1))*3,1)</f>
        <v>V</v>
      </c>
      <c r="I863" t="str">
        <f>Table132[[#This Row],[ÉTAT]]&amp;Table132[[#This Row],[next move]]</f>
        <v>VVMVVEEEM01</v>
      </c>
    </row>
    <row r="864" spans="2:9" x14ac:dyDescent="0.25">
      <c r="B864" t="s">
        <v>2322</v>
      </c>
      <c r="C864" s="22" t="s">
        <v>29</v>
      </c>
      <c r="D864">
        <v>2</v>
      </c>
      <c r="E864">
        <v>1</v>
      </c>
      <c r="G864" s="25">
        <f>Table132[[#This Row],[nb win]]/Table132[[#This Row],[nb play]]</f>
        <v>0.5</v>
      </c>
      <c r="H864" t="str">
        <f>MID(Table132[[#This Row],[ÉTAT]],VALUE(RIGHT(Table132[[#This Row],[next move]],1))+1+VALUE(LEFT(Table132[[#This Row],[next move]],1))*3,1)</f>
        <v>V</v>
      </c>
      <c r="I864" t="str">
        <f>Table132[[#This Row],[ÉTAT]]&amp;Table132[[#This Row],[next move]]</f>
        <v>VVMVVEEEM11</v>
      </c>
    </row>
    <row r="865" spans="2:9" x14ac:dyDescent="0.25">
      <c r="B865" t="s">
        <v>2584</v>
      </c>
      <c r="C865" s="22" t="s">
        <v>26</v>
      </c>
      <c r="D865">
        <v>6</v>
      </c>
      <c r="E865">
        <v>6</v>
      </c>
      <c r="G865" s="31">
        <f>Table132[[#This Row],[nb win]]/Table132[[#This Row],[nb play]]</f>
        <v>1</v>
      </c>
      <c r="H865" t="str">
        <f>MID(Table132[[#This Row],[ÉTAT]],VALUE(RIGHT(Table132[[#This Row],[next move]],1))+1+VALUE(LEFT(Table132[[#This Row],[next move]],1))*3,1)</f>
        <v>V</v>
      </c>
      <c r="I865" t="str">
        <f>Table132[[#This Row],[ÉTAT]]&amp;Table132[[#This Row],[next move]]</f>
        <v>VVMVMVVEE01</v>
      </c>
    </row>
    <row r="866" spans="2:9" x14ac:dyDescent="0.25">
      <c r="B866" t="s">
        <v>1332</v>
      </c>
      <c r="C866" s="22" t="s">
        <v>24</v>
      </c>
      <c r="D866">
        <v>3</v>
      </c>
      <c r="G866" s="30">
        <f>Table132[[#This Row],[nb win]]/Table132[[#This Row],[nb play]]</f>
        <v>0</v>
      </c>
      <c r="H866" t="str">
        <f>MID(Table132[[#This Row],[ÉTAT]],VALUE(RIGHT(Table132[[#This Row],[next move]],1))+1+VALUE(LEFT(Table132[[#This Row],[next move]],1))*3,1)</f>
        <v>V</v>
      </c>
      <c r="I866" t="str">
        <f>Table132[[#This Row],[ÉTAT]]&amp;Table132[[#This Row],[next move]]</f>
        <v>VVMVMVEVE00</v>
      </c>
    </row>
    <row r="867" spans="2:9" x14ac:dyDescent="0.25">
      <c r="B867" t="s">
        <v>1332</v>
      </c>
      <c r="C867" s="22" t="s">
        <v>26</v>
      </c>
      <c r="D867">
        <v>2</v>
      </c>
      <c r="E867">
        <v>1</v>
      </c>
      <c r="G867" s="30">
        <f>Table132[[#This Row],[nb win]]/Table132[[#This Row],[nb play]]</f>
        <v>0.5</v>
      </c>
      <c r="H867" t="str">
        <f>MID(Table132[[#This Row],[ÉTAT]],VALUE(RIGHT(Table132[[#This Row],[next move]],1))+1+VALUE(LEFT(Table132[[#This Row],[next move]],1))*3,1)</f>
        <v>V</v>
      </c>
      <c r="I867" t="str">
        <f>Table132[[#This Row],[ÉTAT]]&amp;Table132[[#This Row],[next move]]</f>
        <v>VVMVMVEVE01</v>
      </c>
    </row>
    <row r="868" spans="2:9" x14ac:dyDescent="0.25">
      <c r="B868" t="s">
        <v>1332</v>
      </c>
      <c r="C868" s="22" t="s">
        <v>22</v>
      </c>
      <c r="D868">
        <v>2</v>
      </c>
      <c r="E868">
        <v>2</v>
      </c>
      <c r="G868" s="31">
        <f>Table132[[#This Row],[nb win]]/Table132[[#This Row],[nb play]]</f>
        <v>1</v>
      </c>
      <c r="H868" t="str">
        <f>MID(Table132[[#This Row],[ÉTAT]],VALUE(RIGHT(Table132[[#This Row],[next move]],1))+1+VALUE(LEFT(Table132[[#This Row],[next move]],1))*3,1)</f>
        <v>V</v>
      </c>
      <c r="I868" t="str">
        <f>Table132[[#This Row],[ÉTAT]]&amp;Table132[[#This Row],[next move]]</f>
        <v>VVMVMVEVE21</v>
      </c>
    </row>
    <row r="869" spans="2:9" x14ac:dyDescent="0.25">
      <c r="B869" t="s">
        <v>1576</v>
      </c>
      <c r="C869" s="22" t="s">
        <v>30</v>
      </c>
      <c r="D869">
        <v>4</v>
      </c>
      <c r="G869" s="30">
        <f>Table132[[#This Row],[nb win]]/Table132[[#This Row],[nb play]]</f>
        <v>0</v>
      </c>
      <c r="H869" t="str">
        <f>MID(Table132[[#This Row],[ÉTAT]],VALUE(RIGHT(Table132[[#This Row],[next move]],1))+1+VALUE(LEFT(Table132[[#This Row],[next move]],1))*3,1)</f>
        <v>V</v>
      </c>
      <c r="I869" t="str">
        <f>Table132[[#This Row],[ÉTAT]]&amp;Table132[[#This Row],[next move]]</f>
        <v>VVMVMVEEV10</v>
      </c>
    </row>
    <row r="870" spans="2:9" x14ac:dyDescent="0.25">
      <c r="B870" t="s">
        <v>1576</v>
      </c>
      <c r="C870" s="22" t="s">
        <v>28</v>
      </c>
      <c r="D870">
        <v>1</v>
      </c>
      <c r="G870" s="25">
        <f>Table132[[#This Row],[nb win]]/Table132[[#This Row],[nb play]]</f>
        <v>0</v>
      </c>
      <c r="H870" t="str">
        <f>MID(Table132[[#This Row],[ÉTAT]],VALUE(RIGHT(Table132[[#This Row],[next move]],1))+1+VALUE(LEFT(Table132[[#This Row],[next move]],1))*3,1)</f>
        <v>V</v>
      </c>
      <c r="I870" t="str">
        <f>Table132[[#This Row],[ÉTAT]]&amp;Table132[[#This Row],[next move]]</f>
        <v>VVMVMVEEV12</v>
      </c>
    </row>
    <row r="871" spans="2:9" x14ac:dyDescent="0.25">
      <c r="B871" t="s">
        <v>1576</v>
      </c>
      <c r="C871" s="22" t="s">
        <v>31</v>
      </c>
      <c r="D871">
        <v>3</v>
      </c>
      <c r="E871">
        <v>3</v>
      </c>
      <c r="G871" s="25">
        <f>Table132[[#This Row],[nb win]]/Table132[[#This Row],[nb play]]</f>
        <v>1</v>
      </c>
      <c r="H871" t="str">
        <f>MID(Table132[[#This Row],[ÉTAT]],VALUE(RIGHT(Table132[[#This Row],[next move]],1))+1+VALUE(LEFT(Table132[[#This Row],[next move]],1))*3,1)</f>
        <v>V</v>
      </c>
      <c r="I871" t="str">
        <f>Table132[[#This Row],[ÉTAT]]&amp;Table132[[#This Row],[next move]]</f>
        <v>VVMVMVEEV22</v>
      </c>
    </row>
    <row r="872" spans="2:9" x14ac:dyDescent="0.25">
      <c r="B872" t="s">
        <v>106</v>
      </c>
      <c r="C872" s="22" t="s">
        <v>35</v>
      </c>
      <c r="D872">
        <v>13</v>
      </c>
      <c r="E872">
        <v>13</v>
      </c>
      <c r="G872" s="31">
        <f>Table132[[#This Row],[nb win]]/Table132[[#This Row],[nb play]]</f>
        <v>1</v>
      </c>
      <c r="H872" t="str">
        <f>MID(Table132[[#This Row],[ÉTAT]],VALUE(RIGHT(Table132[[#This Row],[next move]],1))+1+VALUE(LEFT(Table132[[#This Row],[next move]],1))*3,1)</f>
        <v>V</v>
      </c>
      <c r="I872" t="str">
        <f>Table132[[#This Row],[ÉTAT]]&amp;Table132[[#This Row],[next move]]</f>
        <v>VVMVMEVVE20</v>
      </c>
    </row>
    <row r="873" spans="2:9" x14ac:dyDescent="0.25">
      <c r="B873" t="s">
        <v>396</v>
      </c>
      <c r="C873" s="22" t="s">
        <v>35</v>
      </c>
      <c r="D873">
        <v>14</v>
      </c>
      <c r="E873">
        <v>14</v>
      </c>
      <c r="G873" s="31">
        <f>Table132[[#This Row],[nb win]]/Table132[[#This Row],[nb play]]</f>
        <v>1</v>
      </c>
      <c r="H873" t="str">
        <f>MID(Table132[[#This Row],[ÉTAT]],VALUE(RIGHT(Table132[[#This Row],[next move]],1))+1+VALUE(LEFT(Table132[[#This Row],[next move]],1))*3,1)</f>
        <v>V</v>
      </c>
      <c r="I873" t="str">
        <f>Table132[[#This Row],[ÉTAT]]&amp;Table132[[#This Row],[next move]]</f>
        <v>VVMVMEVEV20</v>
      </c>
    </row>
    <row r="874" spans="2:9" x14ac:dyDescent="0.25">
      <c r="B874" t="s">
        <v>2473</v>
      </c>
      <c r="C874" s="22" t="s">
        <v>35</v>
      </c>
      <c r="D874">
        <v>5</v>
      </c>
      <c r="E874">
        <v>5</v>
      </c>
      <c r="G874" s="31">
        <f>Table132[[#This Row],[nb win]]/Table132[[#This Row],[nb play]]</f>
        <v>1</v>
      </c>
      <c r="H874" t="str">
        <f>MID(Table132[[#This Row],[ÉTAT]],VALUE(RIGHT(Table132[[#This Row],[next move]],1))+1+VALUE(LEFT(Table132[[#This Row],[next move]],1))*3,1)</f>
        <v>V</v>
      </c>
      <c r="I874" t="str">
        <f>Table132[[#This Row],[ÉTAT]]&amp;Table132[[#This Row],[next move]]</f>
        <v>VVMVMEVEE20</v>
      </c>
    </row>
    <row r="875" spans="2:9" x14ac:dyDescent="0.25">
      <c r="B875" t="s">
        <v>848</v>
      </c>
      <c r="C875" s="22" t="s">
        <v>26</v>
      </c>
      <c r="D875">
        <v>11</v>
      </c>
      <c r="E875">
        <v>11</v>
      </c>
      <c r="G875" s="31">
        <f>Table132[[#This Row],[nb win]]/Table132[[#This Row],[nb play]]</f>
        <v>1</v>
      </c>
      <c r="H875" t="str">
        <f>MID(Table132[[#This Row],[ÉTAT]],VALUE(RIGHT(Table132[[#This Row],[next move]],1))+1+VALUE(LEFT(Table132[[#This Row],[next move]],1))*3,1)</f>
        <v>V</v>
      </c>
      <c r="I875" t="str">
        <f>Table132[[#This Row],[ÉTAT]]&amp;Table132[[#This Row],[next move]]</f>
        <v>VVMVMEEVV01</v>
      </c>
    </row>
    <row r="876" spans="2:9" x14ac:dyDescent="0.25">
      <c r="B876" t="s">
        <v>3157</v>
      </c>
      <c r="C876" s="22" t="s">
        <v>24</v>
      </c>
      <c r="D876">
        <v>2</v>
      </c>
      <c r="E876">
        <v>1</v>
      </c>
      <c r="G876" s="31">
        <f>Table132[[#This Row],[nb win]]/Table132[[#This Row],[nb play]]</f>
        <v>0.5</v>
      </c>
      <c r="H876" t="str">
        <f>MID(Table132[[#This Row],[ÉTAT]],VALUE(RIGHT(Table132[[#This Row],[next move]],1))+1+VALUE(LEFT(Table132[[#This Row],[next move]],1))*3,1)</f>
        <v>V</v>
      </c>
      <c r="I876" t="str">
        <f>Table132[[#This Row],[ÉTAT]]&amp;Table132[[#This Row],[next move]]</f>
        <v>VVMVMEEEV00</v>
      </c>
    </row>
    <row r="877" spans="2:9" x14ac:dyDescent="0.25">
      <c r="B877" t="s">
        <v>3157</v>
      </c>
      <c r="C877" s="22" t="s">
        <v>30</v>
      </c>
      <c r="D877">
        <v>1</v>
      </c>
      <c r="G877" s="30">
        <f>Table132[[#This Row],[nb win]]/Table132[[#This Row],[nb play]]</f>
        <v>0</v>
      </c>
      <c r="H877" t="str">
        <f>MID(Table132[[#This Row],[ÉTAT]],VALUE(RIGHT(Table132[[#This Row],[next move]],1))+1+VALUE(LEFT(Table132[[#This Row],[next move]],1))*3,1)</f>
        <v>V</v>
      </c>
      <c r="I877" t="str">
        <f>Table132[[#This Row],[ÉTAT]]&amp;Table132[[#This Row],[next move]]</f>
        <v>VVMVMEEEV10</v>
      </c>
    </row>
    <row r="878" spans="2:9" x14ac:dyDescent="0.25">
      <c r="B878" t="s">
        <v>2258</v>
      </c>
      <c r="C878" s="22" t="s">
        <v>24</v>
      </c>
      <c r="D878">
        <v>2</v>
      </c>
      <c r="E878">
        <v>2</v>
      </c>
      <c r="G878" s="25">
        <f>Table132[[#This Row],[nb win]]/Table132[[#This Row],[nb play]]</f>
        <v>1</v>
      </c>
      <c r="H878" t="str">
        <f>MID(Table132[[#This Row],[ÉTAT]],VALUE(RIGHT(Table132[[#This Row],[next move]],1))+1+VALUE(LEFT(Table132[[#This Row],[next move]],1))*3,1)</f>
        <v>V</v>
      </c>
      <c r="I878" t="str">
        <f>Table132[[#This Row],[ÉTAT]]&amp;Table132[[#This Row],[next move]]</f>
        <v>VVMVMEEEM00</v>
      </c>
    </row>
    <row r="879" spans="2:9" x14ac:dyDescent="0.25">
      <c r="B879" t="s">
        <v>197</v>
      </c>
      <c r="C879" s="22" t="s">
        <v>24</v>
      </c>
      <c r="D879">
        <v>9</v>
      </c>
      <c r="E879">
        <v>5</v>
      </c>
      <c r="G879" s="30">
        <f>Table132[[#This Row],[nb win]]/Table132[[#This Row],[nb play]]</f>
        <v>0.55555555555555558</v>
      </c>
      <c r="H879" t="str">
        <f>MID(Table132[[#This Row],[ÉTAT]],VALUE(RIGHT(Table132[[#This Row],[next move]],1))+1+VALUE(LEFT(Table132[[#This Row],[next move]],1))*3,1)</f>
        <v>V</v>
      </c>
      <c r="I879" t="str">
        <f>Table132[[#This Row],[ÉTAT]]&amp;Table132[[#This Row],[next move]]</f>
        <v>VVMVEVVVV00</v>
      </c>
    </row>
    <row r="880" spans="2:9" x14ac:dyDescent="0.25">
      <c r="B880" t="s">
        <v>197</v>
      </c>
      <c r="C880" s="22" t="s">
        <v>26</v>
      </c>
      <c r="D880">
        <v>9</v>
      </c>
      <c r="E880">
        <v>4</v>
      </c>
      <c r="G880" s="30">
        <f>Table132[[#This Row],[nb win]]/Table132[[#This Row],[nb play]]</f>
        <v>0.44444444444444442</v>
      </c>
      <c r="H880" t="str">
        <f>MID(Table132[[#This Row],[ÉTAT]],VALUE(RIGHT(Table132[[#This Row],[next move]],1))+1+VALUE(LEFT(Table132[[#This Row],[next move]],1))*3,1)</f>
        <v>V</v>
      </c>
      <c r="I880" t="str">
        <f>Table132[[#This Row],[ÉTAT]]&amp;Table132[[#This Row],[next move]]</f>
        <v>VVMVEVVVV01</v>
      </c>
    </row>
    <row r="881" spans="2:9" x14ac:dyDescent="0.25">
      <c r="B881" t="s">
        <v>197</v>
      </c>
      <c r="C881" s="22" t="s">
        <v>30</v>
      </c>
      <c r="D881">
        <v>13</v>
      </c>
      <c r="E881">
        <v>8</v>
      </c>
      <c r="G881" s="31">
        <f>Table132[[#This Row],[nb win]]/Table132[[#This Row],[nb play]]</f>
        <v>0.61538461538461542</v>
      </c>
      <c r="H881" t="str">
        <f>MID(Table132[[#This Row],[ÉTAT]],VALUE(RIGHT(Table132[[#This Row],[next move]],1))+1+VALUE(LEFT(Table132[[#This Row],[next move]],1))*3,1)</f>
        <v>V</v>
      </c>
      <c r="I881" t="str">
        <f>Table132[[#This Row],[ÉTAT]]&amp;Table132[[#This Row],[next move]]</f>
        <v>VVMVEVVVV10</v>
      </c>
    </row>
    <row r="882" spans="2:9" x14ac:dyDescent="0.25">
      <c r="B882" t="s">
        <v>197</v>
      </c>
      <c r="C882" s="22" t="s">
        <v>28</v>
      </c>
      <c r="D882">
        <v>11</v>
      </c>
      <c r="E882">
        <v>4</v>
      </c>
      <c r="G882" s="31">
        <f>Table132[[#This Row],[nb win]]/Table132[[#This Row],[nb play]]</f>
        <v>0.36363636363636365</v>
      </c>
      <c r="H882" t="str">
        <f>MID(Table132[[#This Row],[ÉTAT]],VALUE(RIGHT(Table132[[#This Row],[next move]],1))+1+VALUE(LEFT(Table132[[#This Row],[next move]],1))*3,1)</f>
        <v>V</v>
      </c>
      <c r="I882" t="str">
        <f>Table132[[#This Row],[ÉTAT]]&amp;Table132[[#This Row],[next move]]</f>
        <v>VVMVEVVVV12</v>
      </c>
    </row>
    <row r="883" spans="2:9" x14ac:dyDescent="0.25">
      <c r="B883" t="s">
        <v>197</v>
      </c>
      <c r="C883" s="22" t="s">
        <v>35</v>
      </c>
      <c r="D883">
        <v>10</v>
      </c>
      <c r="E883">
        <v>5</v>
      </c>
      <c r="G883" s="31">
        <f>Table132[[#This Row],[nb win]]/Table132[[#This Row],[nb play]]</f>
        <v>0.5</v>
      </c>
      <c r="H883" t="str">
        <f>MID(Table132[[#This Row],[ÉTAT]],VALUE(RIGHT(Table132[[#This Row],[next move]],1))+1+VALUE(LEFT(Table132[[#This Row],[next move]],1))*3,1)</f>
        <v>V</v>
      </c>
      <c r="I883" t="str">
        <f>Table132[[#This Row],[ÉTAT]]&amp;Table132[[#This Row],[next move]]</f>
        <v>VVMVEVVVV20</v>
      </c>
    </row>
    <row r="884" spans="2:9" x14ac:dyDescent="0.25">
      <c r="B884" t="s">
        <v>197</v>
      </c>
      <c r="C884" s="22" t="s">
        <v>22</v>
      </c>
      <c r="D884">
        <v>7</v>
      </c>
      <c r="E884">
        <v>4</v>
      </c>
      <c r="G884" s="30">
        <f>Table132[[#This Row],[nb win]]/Table132[[#This Row],[nb play]]</f>
        <v>0.5714285714285714</v>
      </c>
      <c r="H884" t="str">
        <f>MID(Table132[[#This Row],[ÉTAT]],VALUE(RIGHT(Table132[[#This Row],[next move]],1))+1+VALUE(LEFT(Table132[[#This Row],[next move]],1))*3,1)</f>
        <v>V</v>
      </c>
      <c r="I884" t="str">
        <f>Table132[[#This Row],[ÉTAT]]&amp;Table132[[#This Row],[next move]]</f>
        <v>VVMVEVVVV21</v>
      </c>
    </row>
    <row r="885" spans="2:9" x14ac:dyDescent="0.25">
      <c r="B885" t="s">
        <v>197</v>
      </c>
      <c r="C885" s="22" t="s">
        <v>31</v>
      </c>
      <c r="D885">
        <v>9</v>
      </c>
      <c r="E885">
        <v>5</v>
      </c>
      <c r="G885" s="30">
        <f>Table132[[#This Row],[nb win]]/Table132[[#This Row],[nb play]]</f>
        <v>0.55555555555555558</v>
      </c>
      <c r="H885" t="str">
        <f>MID(Table132[[#This Row],[ÉTAT]],VALUE(RIGHT(Table132[[#This Row],[next move]],1))+1+VALUE(LEFT(Table132[[#This Row],[next move]],1))*3,1)</f>
        <v>V</v>
      </c>
      <c r="I885" t="str">
        <f>Table132[[#This Row],[ÉTAT]]&amp;Table132[[#This Row],[next move]]</f>
        <v>VVMVEVVVV22</v>
      </c>
    </row>
    <row r="886" spans="2:9" x14ac:dyDescent="0.25">
      <c r="B886" t="s">
        <v>1116</v>
      </c>
      <c r="C886" s="22" t="s">
        <v>24</v>
      </c>
      <c r="D886">
        <v>4</v>
      </c>
      <c r="E886">
        <v>3</v>
      </c>
      <c r="G886" s="31">
        <f>Table132[[#This Row],[nb win]]/Table132[[#This Row],[nb play]]</f>
        <v>0.75</v>
      </c>
      <c r="H886" t="str">
        <f>MID(Table132[[#This Row],[ÉTAT]],VALUE(RIGHT(Table132[[#This Row],[next move]],1))+1+VALUE(LEFT(Table132[[#This Row],[next move]],1))*3,1)</f>
        <v>V</v>
      </c>
      <c r="I886" t="str">
        <f>Table132[[#This Row],[ÉTAT]]&amp;Table132[[#This Row],[next move]]</f>
        <v>VVMVEVVVE00</v>
      </c>
    </row>
    <row r="887" spans="2:9" x14ac:dyDescent="0.25">
      <c r="B887" t="s">
        <v>1116</v>
      </c>
      <c r="C887" s="22" t="s">
        <v>26</v>
      </c>
      <c r="D887">
        <v>2</v>
      </c>
      <c r="E887">
        <v>1</v>
      </c>
      <c r="G887" s="25">
        <f>Table132[[#This Row],[nb win]]/Table132[[#This Row],[nb play]]</f>
        <v>0.5</v>
      </c>
      <c r="H887" t="str">
        <f>MID(Table132[[#This Row],[ÉTAT]],VALUE(RIGHT(Table132[[#This Row],[next move]],1))+1+VALUE(LEFT(Table132[[#This Row],[next move]],1))*3,1)</f>
        <v>V</v>
      </c>
      <c r="I887" t="str">
        <f>Table132[[#This Row],[ÉTAT]]&amp;Table132[[#This Row],[next move]]</f>
        <v>VVMVEVVVE01</v>
      </c>
    </row>
    <row r="888" spans="2:9" x14ac:dyDescent="0.25">
      <c r="B888" t="s">
        <v>1116</v>
      </c>
      <c r="C888" s="22" t="s">
        <v>28</v>
      </c>
      <c r="D888">
        <v>1</v>
      </c>
      <c r="G888" s="25">
        <f>Table132[[#This Row],[nb win]]/Table132[[#This Row],[nb play]]</f>
        <v>0</v>
      </c>
      <c r="H888" t="str">
        <f>MID(Table132[[#This Row],[ÉTAT]],VALUE(RIGHT(Table132[[#This Row],[next move]],1))+1+VALUE(LEFT(Table132[[#This Row],[next move]],1))*3,1)</f>
        <v>V</v>
      </c>
      <c r="I888" t="str">
        <f>Table132[[#This Row],[ÉTAT]]&amp;Table132[[#This Row],[next move]]</f>
        <v>VVMVEVVVE12</v>
      </c>
    </row>
    <row r="889" spans="2:9" x14ac:dyDescent="0.25">
      <c r="B889" t="s">
        <v>1116</v>
      </c>
      <c r="C889" s="22" t="s">
        <v>35</v>
      </c>
      <c r="D889">
        <v>1</v>
      </c>
      <c r="G889" s="30">
        <f>Table132[[#This Row],[nb win]]/Table132[[#This Row],[nb play]]</f>
        <v>0</v>
      </c>
      <c r="H889" t="str">
        <f>MID(Table132[[#This Row],[ÉTAT]],VALUE(RIGHT(Table132[[#This Row],[next move]],1))+1+VALUE(LEFT(Table132[[#This Row],[next move]],1))*3,1)</f>
        <v>V</v>
      </c>
      <c r="I889" t="str">
        <f>Table132[[#This Row],[ÉTAT]]&amp;Table132[[#This Row],[next move]]</f>
        <v>VVMVEVVVE20</v>
      </c>
    </row>
    <row r="890" spans="2:9" x14ac:dyDescent="0.25">
      <c r="B890" t="s">
        <v>1327</v>
      </c>
      <c r="C890" s="22" t="s">
        <v>24</v>
      </c>
      <c r="D890">
        <v>4</v>
      </c>
      <c r="E890">
        <v>3</v>
      </c>
      <c r="G890" s="30">
        <f>Table132[[#This Row],[nb win]]/Table132[[#This Row],[nb play]]</f>
        <v>0.75</v>
      </c>
      <c r="H890" t="str">
        <f>MID(Table132[[#This Row],[ÉTAT]],VALUE(RIGHT(Table132[[#This Row],[next move]],1))+1+VALUE(LEFT(Table132[[#This Row],[next move]],1))*3,1)</f>
        <v>V</v>
      </c>
      <c r="I890" t="str">
        <f>Table132[[#This Row],[ÉTAT]]&amp;Table132[[#This Row],[next move]]</f>
        <v>VVMVEVVEV00</v>
      </c>
    </row>
    <row r="891" spans="2:9" x14ac:dyDescent="0.25">
      <c r="B891" t="s">
        <v>1327</v>
      </c>
      <c r="C891" s="22" t="s">
        <v>26</v>
      </c>
      <c r="D891">
        <v>9</v>
      </c>
      <c r="E891">
        <v>5</v>
      </c>
      <c r="G891" s="30">
        <f>Table132[[#This Row],[nb win]]/Table132[[#This Row],[nb play]]</f>
        <v>0.55555555555555558</v>
      </c>
      <c r="H891" t="str">
        <f>MID(Table132[[#This Row],[ÉTAT]],VALUE(RIGHT(Table132[[#This Row],[next move]],1))+1+VALUE(LEFT(Table132[[#This Row],[next move]],1))*3,1)</f>
        <v>V</v>
      </c>
      <c r="I891" t="str">
        <f>Table132[[#This Row],[ÉTAT]]&amp;Table132[[#This Row],[next move]]</f>
        <v>VVMVEVVEV01</v>
      </c>
    </row>
    <row r="892" spans="2:9" x14ac:dyDescent="0.25">
      <c r="B892" t="s">
        <v>1327</v>
      </c>
      <c r="C892" s="22" t="s">
        <v>35</v>
      </c>
      <c r="D892">
        <v>3</v>
      </c>
      <c r="G892" s="25">
        <f>Table132[[#This Row],[nb win]]/Table132[[#This Row],[nb play]]</f>
        <v>0</v>
      </c>
      <c r="H892" t="str">
        <f>MID(Table132[[#This Row],[ÉTAT]],VALUE(RIGHT(Table132[[#This Row],[next move]],1))+1+VALUE(LEFT(Table132[[#This Row],[next move]],1))*3,1)</f>
        <v>V</v>
      </c>
      <c r="I892" t="str">
        <f>Table132[[#This Row],[ÉTAT]]&amp;Table132[[#This Row],[next move]]</f>
        <v>VVMVEVVEV20</v>
      </c>
    </row>
    <row r="893" spans="2:9" x14ac:dyDescent="0.25">
      <c r="B893" t="s">
        <v>414</v>
      </c>
      <c r="C893" s="22" t="s">
        <v>24</v>
      </c>
      <c r="D893">
        <v>3</v>
      </c>
      <c r="G893" s="30">
        <f>Table132[[#This Row],[nb win]]/Table132[[#This Row],[nb play]]</f>
        <v>0</v>
      </c>
      <c r="H893" t="str">
        <f>MID(Table132[[#This Row],[ÉTAT]],VALUE(RIGHT(Table132[[#This Row],[next move]],1))+1+VALUE(LEFT(Table132[[#This Row],[next move]],1))*3,1)</f>
        <v>V</v>
      </c>
      <c r="I893" t="str">
        <f>Table132[[#This Row],[ÉTAT]]&amp;Table132[[#This Row],[next move]]</f>
        <v>VVMVEVVEM00</v>
      </c>
    </row>
    <row r="894" spans="2:9" x14ac:dyDescent="0.25">
      <c r="B894" t="s">
        <v>414</v>
      </c>
      <c r="C894" s="22" t="s">
        <v>26</v>
      </c>
      <c r="D894">
        <v>2</v>
      </c>
      <c r="E894">
        <v>2</v>
      </c>
      <c r="G894" s="31">
        <f>Table132[[#This Row],[nb win]]/Table132[[#This Row],[nb play]]</f>
        <v>1</v>
      </c>
      <c r="H894" t="str">
        <f>MID(Table132[[#This Row],[ÉTAT]],VALUE(RIGHT(Table132[[#This Row],[next move]],1))+1+VALUE(LEFT(Table132[[#This Row],[next move]],1))*3,1)</f>
        <v>V</v>
      </c>
      <c r="I894" t="str">
        <f>Table132[[#This Row],[ÉTAT]]&amp;Table132[[#This Row],[next move]]</f>
        <v>VVMVEVVEM01</v>
      </c>
    </row>
    <row r="895" spans="2:9" x14ac:dyDescent="0.25">
      <c r="B895" t="s">
        <v>414</v>
      </c>
      <c r="C895" s="22" t="s">
        <v>30</v>
      </c>
      <c r="D895">
        <v>1</v>
      </c>
      <c r="G895" s="25">
        <f>Table132[[#This Row],[nb win]]/Table132[[#This Row],[nb play]]</f>
        <v>0</v>
      </c>
      <c r="H895" t="str">
        <f>MID(Table132[[#This Row],[ÉTAT]],VALUE(RIGHT(Table132[[#This Row],[next move]],1))+1+VALUE(LEFT(Table132[[#This Row],[next move]],1))*3,1)</f>
        <v>V</v>
      </c>
      <c r="I895" t="str">
        <f>Table132[[#This Row],[ÉTAT]]&amp;Table132[[#This Row],[next move]]</f>
        <v>VVMVEVVEM10</v>
      </c>
    </row>
    <row r="896" spans="2:9" x14ac:dyDescent="0.25">
      <c r="B896" t="s">
        <v>1370</v>
      </c>
      <c r="C896" s="22" t="s">
        <v>24</v>
      </c>
      <c r="D896">
        <v>2</v>
      </c>
      <c r="E896">
        <v>2</v>
      </c>
      <c r="G896" s="31">
        <f>Table132[[#This Row],[nb win]]/Table132[[#This Row],[nb play]]</f>
        <v>1</v>
      </c>
      <c r="H896" t="str">
        <f>MID(Table132[[#This Row],[ÉTAT]],VALUE(RIGHT(Table132[[#This Row],[next move]],1))+1+VALUE(LEFT(Table132[[#This Row],[next move]],1))*3,1)</f>
        <v>V</v>
      </c>
      <c r="I896" t="str">
        <f>Table132[[#This Row],[ÉTAT]]&amp;Table132[[#This Row],[next move]]</f>
        <v>VVMVEVMVE00</v>
      </c>
    </row>
    <row r="897" spans="2:9" x14ac:dyDescent="0.25">
      <c r="B897" t="s">
        <v>1370</v>
      </c>
      <c r="C897" s="22" t="s">
        <v>26</v>
      </c>
      <c r="D897">
        <v>2</v>
      </c>
      <c r="E897">
        <v>1</v>
      </c>
      <c r="G897" s="30">
        <f>Table132[[#This Row],[nb win]]/Table132[[#This Row],[nb play]]</f>
        <v>0.5</v>
      </c>
      <c r="H897" t="str">
        <f>MID(Table132[[#This Row],[ÉTAT]],VALUE(RIGHT(Table132[[#This Row],[next move]],1))+1+VALUE(LEFT(Table132[[#This Row],[next move]],1))*3,1)</f>
        <v>V</v>
      </c>
      <c r="I897" t="str">
        <f>Table132[[#This Row],[ÉTAT]]&amp;Table132[[#This Row],[next move]]</f>
        <v>VVMVEVMVE01</v>
      </c>
    </row>
    <row r="898" spans="2:9" x14ac:dyDescent="0.25">
      <c r="B898" t="s">
        <v>1370</v>
      </c>
      <c r="C898" s="22" t="s">
        <v>22</v>
      </c>
      <c r="D898">
        <v>4</v>
      </c>
      <c r="G898" s="30">
        <f>Table132[[#This Row],[nb win]]/Table132[[#This Row],[nb play]]</f>
        <v>0</v>
      </c>
      <c r="H898" t="str">
        <f>MID(Table132[[#This Row],[ÉTAT]],VALUE(RIGHT(Table132[[#This Row],[next move]],1))+1+VALUE(LEFT(Table132[[#This Row],[next move]],1))*3,1)</f>
        <v>V</v>
      </c>
      <c r="I898" t="str">
        <f>Table132[[#This Row],[ÉTAT]]&amp;Table132[[#This Row],[next move]]</f>
        <v>VVMVEVMVE21</v>
      </c>
    </row>
    <row r="899" spans="2:9" x14ac:dyDescent="0.25">
      <c r="B899" t="s">
        <v>2795</v>
      </c>
      <c r="C899" s="22" t="s">
        <v>26</v>
      </c>
      <c r="D899">
        <v>3</v>
      </c>
      <c r="E899">
        <v>1</v>
      </c>
      <c r="G899" s="30">
        <f>Table132[[#This Row],[nb win]]/Table132[[#This Row],[nb play]]</f>
        <v>0.33333333333333331</v>
      </c>
      <c r="H899" t="str">
        <f>MID(Table132[[#This Row],[ÉTAT]],VALUE(RIGHT(Table132[[#This Row],[next move]],1))+1+VALUE(LEFT(Table132[[#This Row],[next move]],1))*3,1)</f>
        <v>V</v>
      </c>
      <c r="I899" t="str">
        <f>Table132[[#This Row],[ÉTAT]]&amp;Table132[[#This Row],[next move]]</f>
        <v>VVMVEVMEE01</v>
      </c>
    </row>
    <row r="900" spans="2:9" x14ac:dyDescent="0.25">
      <c r="B900" t="s">
        <v>2795</v>
      </c>
      <c r="C900" s="22" t="s">
        <v>30</v>
      </c>
      <c r="D900">
        <v>2</v>
      </c>
      <c r="E900">
        <v>1</v>
      </c>
      <c r="G900" s="25">
        <f>Table132[[#This Row],[nb win]]/Table132[[#This Row],[nb play]]</f>
        <v>0.5</v>
      </c>
      <c r="H900" t="str">
        <f>MID(Table132[[#This Row],[ÉTAT]],VALUE(RIGHT(Table132[[#This Row],[next move]],1))+1+VALUE(LEFT(Table132[[#This Row],[next move]],1))*3,1)</f>
        <v>V</v>
      </c>
      <c r="I900" t="str">
        <f>Table132[[#This Row],[ÉTAT]]&amp;Table132[[#This Row],[next move]]</f>
        <v>VVMVEVMEE10</v>
      </c>
    </row>
    <row r="901" spans="2:9" x14ac:dyDescent="0.25">
      <c r="B901" t="s">
        <v>466</v>
      </c>
      <c r="C901" s="22" t="s">
        <v>24</v>
      </c>
      <c r="D901">
        <v>4</v>
      </c>
      <c r="E901">
        <v>3</v>
      </c>
      <c r="G901" s="31">
        <f>Table132[[#This Row],[nb win]]/Table132[[#This Row],[nb play]]</f>
        <v>0.75</v>
      </c>
      <c r="H901" t="str">
        <f>MID(Table132[[#This Row],[ÉTAT]],VALUE(RIGHT(Table132[[#This Row],[next move]],1))+1+VALUE(LEFT(Table132[[#This Row],[next move]],1))*3,1)</f>
        <v>V</v>
      </c>
      <c r="I901" t="str">
        <f>Table132[[#This Row],[ÉTAT]]&amp;Table132[[#This Row],[next move]]</f>
        <v>VVMVEVEVV00</v>
      </c>
    </row>
    <row r="902" spans="2:9" x14ac:dyDescent="0.25">
      <c r="B902" t="s">
        <v>466</v>
      </c>
      <c r="C902" s="22" t="s">
        <v>28</v>
      </c>
      <c r="D902">
        <v>2</v>
      </c>
      <c r="E902">
        <v>1</v>
      </c>
      <c r="G902" s="25">
        <f>Table132[[#This Row],[nb win]]/Table132[[#This Row],[nb play]]</f>
        <v>0.5</v>
      </c>
      <c r="H902" t="str">
        <f>MID(Table132[[#This Row],[ÉTAT]],VALUE(RIGHT(Table132[[#This Row],[next move]],1))+1+VALUE(LEFT(Table132[[#This Row],[next move]],1))*3,1)</f>
        <v>V</v>
      </c>
      <c r="I902" t="str">
        <f>Table132[[#This Row],[ÉTAT]]&amp;Table132[[#This Row],[next move]]</f>
        <v>VVMVEVEVV12</v>
      </c>
    </row>
    <row r="903" spans="2:9" x14ac:dyDescent="0.25">
      <c r="B903" t="s">
        <v>466</v>
      </c>
      <c r="C903" s="22" t="s">
        <v>22</v>
      </c>
      <c r="D903">
        <v>4</v>
      </c>
      <c r="E903">
        <v>2</v>
      </c>
      <c r="G903" s="30">
        <f>Table132[[#This Row],[nb win]]/Table132[[#This Row],[nb play]]</f>
        <v>0.5</v>
      </c>
      <c r="H903" t="str">
        <f>MID(Table132[[#This Row],[ÉTAT]],VALUE(RIGHT(Table132[[#This Row],[next move]],1))+1+VALUE(LEFT(Table132[[#This Row],[next move]],1))*3,1)</f>
        <v>V</v>
      </c>
      <c r="I903" t="str">
        <f>Table132[[#This Row],[ÉTAT]]&amp;Table132[[#This Row],[next move]]</f>
        <v>VVMVEVEVV21</v>
      </c>
    </row>
    <row r="904" spans="2:9" x14ac:dyDescent="0.25">
      <c r="B904" t="s">
        <v>466</v>
      </c>
      <c r="C904" s="22" t="s">
        <v>31</v>
      </c>
      <c r="D904">
        <v>2</v>
      </c>
      <c r="E904">
        <v>2</v>
      </c>
      <c r="G904" s="31">
        <f>Table132[[#This Row],[nb win]]/Table132[[#This Row],[nb play]]</f>
        <v>1</v>
      </c>
      <c r="H904" t="str">
        <f>MID(Table132[[#This Row],[ÉTAT]],VALUE(RIGHT(Table132[[#This Row],[next move]],1))+1+VALUE(LEFT(Table132[[#This Row],[next move]],1))*3,1)</f>
        <v>V</v>
      </c>
      <c r="I904" t="str">
        <f>Table132[[#This Row],[ÉTAT]]&amp;Table132[[#This Row],[next move]]</f>
        <v>VVMVEVEVV22</v>
      </c>
    </row>
    <row r="905" spans="2:9" x14ac:dyDescent="0.25">
      <c r="B905" t="s">
        <v>617</v>
      </c>
      <c r="C905" s="22" t="s">
        <v>24</v>
      </c>
      <c r="D905">
        <v>4</v>
      </c>
      <c r="E905">
        <v>3</v>
      </c>
      <c r="G905" s="25">
        <f>Table132[[#This Row],[nb win]]/Table132[[#This Row],[nb play]]</f>
        <v>0.75</v>
      </c>
      <c r="H905" t="str">
        <f>MID(Table132[[#This Row],[ÉTAT]],VALUE(RIGHT(Table132[[#This Row],[next move]],1))+1+VALUE(LEFT(Table132[[#This Row],[next move]],1))*3,1)</f>
        <v>V</v>
      </c>
      <c r="I905" t="str">
        <f>Table132[[#This Row],[ÉTAT]]&amp;Table132[[#This Row],[next move]]</f>
        <v>VVMVEVEVM00</v>
      </c>
    </row>
    <row r="906" spans="2:9" x14ac:dyDescent="0.25">
      <c r="B906" t="s">
        <v>617</v>
      </c>
      <c r="C906" s="22" t="s">
        <v>28</v>
      </c>
      <c r="D906">
        <v>1</v>
      </c>
      <c r="E906">
        <v>1</v>
      </c>
      <c r="G906" s="25">
        <f>Table132[[#This Row],[nb win]]/Table132[[#This Row],[nb play]]</f>
        <v>1</v>
      </c>
      <c r="H906" t="str">
        <f>MID(Table132[[#This Row],[ÉTAT]],VALUE(RIGHT(Table132[[#This Row],[next move]],1))+1+VALUE(LEFT(Table132[[#This Row],[next move]],1))*3,1)</f>
        <v>V</v>
      </c>
      <c r="I906" t="str">
        <f>Table132[[#This Row],[ÉTAT]]&amp;Table132[[#This Row],[next move]]</f>
        <v>VVMVEVEVM12</v>
      </c>
    </row>
    <row r="907" spans="2:9" x14ac:dyDescent="0.25">
      <c r="B907" t="s">
        <v>1094</v>
      </c>
      <c r="C907" s="22" t="s">
        <v>24</v>
      </c>
      <c r="D907">
        <v>1</v>
      </c>
      <c r="E907">
        <v>1</v>
      </c>
      <c r="G907" s="25">
        <f>Table132[[#This Row],[nb win]]/Table132[[#This Row],[nb play]]</f>
        <v>1</v>
      </c>
      <c r="H907" t="str">
        <f>MID(Table132[[#This Row],[ÉTAT]],VALUE(RIGHT(Table132[[#This Row],[next move]],1))+1+VALUE(LEFT(Table132[[#This Row],[next move]],1))*3,1)</f>
        <v>V</v>
      </c>
      <c r="I907" t="str">
        <f>Table132[[#This Row],[ÉTAT]]&amp;Table132[[#This Row],[next move]]</f>
        <v>VVMVEVEMV00</v>
      </c>
    </row>
    <row r="908" spans="2:9" x14ac:dyDescent="0.25">
      <c r="B908" t="s">
        <v>1339</v>
      </c>
      <c r="C908" s="22" t="s">
        <v>24</v>
      </c>
      <c r="D908">
        <v>3</v>
      </c>
      <c r="E908">
        <v>1</v>
      </c>
      <c r="G908" s="30">
        <f>Table132[[#This Row],[nb win]]/Table132[[#This Row],[nb play]]</f>
        <v>0.33333333333333331</v>
      </c>
      <c r="H908" t="str">
        <f>MID(Table132[[#This Row],[ÉTAT]],VALUE(RIGHT(Table132[[#This Row],[next move]],1))+1+VALUE(LEFT(Table132[[#This Row],[next move]],1))*3,1)</f>
        <v>V</v>
      </c>
      <c r="I908" t="str">
        <f>Table132[[#This Row],[ÉTAT]]&amp;Table132[[#This Row],[next move]]</f>
        <v>VVMVEMVVE00</v>
      </c>
    </row>
    <row r="909" spans="2:9" x14ac:dyDescent="0.25">
      <c r="B909" t="s">
        <v>1339</v>
      </c>
      <c r="C909" s="22" t="s">
        <v>26</v>
      </c>
      <c r="D909">
        <v>1</v>
      </c>
      <c r="G909" s="25">
        <f>Table132[[#This Row],[nb win]]/Table132[[#This Row],[nb play]]</f>
        <v>0</v>
      </c>
      <c r="H909" t="str">
        <f>MID(Table132[[#This Row],[ÉTAT]],VALUE(RIGHT(Table132[[#This Row],[next move]],1))+1+VALUE(LEFT(Table132[[#This Row],[next move]],1))*3,1)</f>
        <v>V</v>
      </c>
      <c r="I909" t="str">
        <f>Table132[[#This Row],[ÉTAT]]&amp;Table132[[#This Row],[next move]]</f>
        <v>VVMVEMVVE01</v>
      </c>
    </row>
    <row r="910" spans="2:9" x14ac:dyDescent="0.25">
      <c r="B910" t="s">
        <v>1339</v>
      </c>
      <c r="C910" s="22" t="s">
        <v>30</v>
      </c>
      <c r="D910">
        <v>1</v>
      </c>
      <c r="G910" s="30">
        <f>Table132[[#This Row],[nb win]]/Table132[[#This Row],[nb play]]</f>
        <v>0</v>
      </c>
      <c r="H910" t="str">
        <f>MID(Table132[[#This Row],[ÉTAT]],VALUE(RIGHT(Table132[[#This Row],[next move]],1))+1+VALUE(LEFT(Table132[[#This Row],[next move]],1))*3,1)</f>
        <v>V</v>
      </c>
      <c r="I910" t="str">
        <f>Table132[[#This Row],[ÉTAT]]&amp;Table132[[#This Row],[next move]]</f>
        <v>VVMVEMVVE10</v>
      </c>
    </row>
    <row r="911" spans="2:9" x14ac:dyDescent="0.25">
      <c r="B911" t="s">
        <v>1339</v>
      </c>
      <c r="C911" s="22" t="s">
        <v>35</v>
      </c>
      <c r="D911">
        <v>1</v>
      </c>
      <c r="G911" s="25">
        <f>Table132[[#This Row],[nb win]]/Table132[[#This Row],[nb play]]</f>
        <v>0</v>
      </c>
      <c r="H911" t="str">
        <f>MID(Table132[[#This Row],[ÉTAT]],VALUE(RIGHT(Table132[[#This Row],[next move]],1))+1+VALUE(LEFT(Table132[[#This Row],[next move]],1))*3,1)</f>
        <v>V</v>
      </c>
      <c r="I911" t="str">
        <f>Table132[[#This Row],[ÉTAT]]&amp;Table132[[#This Row],[next move]]</f>
        <v>VVMVEMVVE20</v>
      </c>
    </row>
    <row r="912" spans="2:9" x14ac:dyDescent="0.25">
      <c r="B912" t="s">
        <v>1339</v>
      </c>
      <c r="C912" s="22" t="s">
        <v>22</v>
      </c>
      <c r="D912">
        <v>2</v>
      </c>
      <c r="G912" s="30">
        <f>Table132[[#This Row],[nb win]]/Table132[[#This Row],[nb play]]</f>
        <v>0</v>
      </c>
      <c r="H912" t="str">
        <f>MID(Table132[[#This Row],[ÉTAT]],VALUE(RIGHT(Table132[[#This Row],[next move]],1))+1+VALUE(LEFT(Table132[[#This Row],[next move]],1))*3,1)</f>
        <v>V</v>
      </c>
      <c r="I912" t="str">
        <f>Table132[[#This Row],[ÉTAT]]&amp;Table132[[#This Row],[next move]]</f>
        <v>VVMVEMVVE21</v>
      </c>
    </row>
    <row r="913" spans="2:9" x14ac:dyDescent="0.25">
      <c r="B913" t="s">
        <v>2915</v>
      </c>
      <c r="C913" s="22" t="s">
        <v>24</v>
      </c>
      <c r="D913">
        <v>3</v>
      </c>
      <c r="E913">
        <v>1</v>
      </c>
      <c r="G913" s="31">
        <f>Table132[[#This Row],[nb win]]/Table132[[#This Row],[nb play]]</f>
        <v>0.33333333333333331</v>
      </c>
      <c r="H913" t="str">
        <f>MID(Table132[[#This Row],[ÉTAT]],VALUE(RIGHT(Table132[[#This Row],[next move]],1))+1+VALUE(LEFT(Table132[[#This Row],[next move]],1))*3,1)</f>
        <v>V</v>
      </c>
      <c r="I913" t="str">
        <f>Table132[[#This Row],[ÉTAT]]&amp;Table132[[#This Row],[next move]]</f>
        <v>VVMVEMVEV00</v>
      </c>
    </row>
    <row r="914" spans="2:9" x14ac:dyDescent="0.25">
      <c r="B914" t="s">
        <v>2915</v>
      </c>
      <c r="C914" s="22" t="s">
        <v>26</v>
      </c>
      <c r="D914">
        <v>2</v>
      </c>
      <c r="E914">
        <v>1</v>
      </c>
      <c r="G914" s="30">
        <f>Table132[[#This Row],[nb win]]/Table132[[#This Row],[nb play]]</f>
        <v>0.5</v>
      </c>
      <c r="H914" t="str">
        <f>MID(Table132[[#This Row],[ÉTAT]],VALUE(RIGHT(Table132[[#This Row],[next move]],1))+1+VALUE(LEFT(Table132[[#This Row],[next move]],1))*3,1)</f>
        <v>V</v>
      </c>
      <c r="I914" t="str">
        <f>Table132[[#This Row],[ÉTAT]]&amp;Table132[[#This Row],[next move]]</f>
        <v>VVMVEMVEV01</v>
      </c>
    </row>
    <row r="915" spans="2:9" x14ac:dyDescent="0.25">
      <c r="B915" t="s">
        <v>2905</v>
      </c>
      <c r="C915" s="22" t="s">
        <v>24</v>
      </c>
      <c r="D915">
        <v>2</v>
      </c>
      <c r="G915" s="30">
        <f>Table132[[#This Row],[nb win]]/Table132[[#This Row],[nb play]]</f>
        <v>0</v>
      </c>
      <c r="H915" t="str">
        <f>MID(Table132[[#This Row],[ÉTAT]],VALUE(RIGHT(Table132[[#This Row],[next move]],1))+1+VALUE(LEFT(Table132[[#This Row],[next move]],1))*3,1)</f>
        <v>V</v>
      </c>
      <c r="I915" t="str">
        <f>Table132[[#This Row],[ÉTAT]]&amp;Table132[[#This Row],[next move]]</f>
        <v>VVMVEMMEE00</v>
      </c>
    </row>
    <row r="916" spans="2:9" x14ac:dyDescent="0.25">
      <c r="B916" t="s">
        <v>2905</v>
      </c>
      <c r="C916" s="22" t="s">
        <v>26</v>
      </c>
      <c r="D916">
        <v>3</v>
      </c>
      <c r="G916" s="30">
        <f>Table132[[#This Row],[nb win]]/Table132[[#This Row],[nb play]]</f>
        <v>0</v>
      </c>
      <c r="H916" t="str">
        <f>MID(Table132[[#This Row],[ÉTAT]],VALUE(RIGHT(Table132[[#This Row],[next move]],1))+1+VALUE(LEFT(Table132[[#This Row],[next move]],1))*3,1)</f>
        <v>V</v>
      </c>
      <c r="I916" t="str">
        <f>Table132[[#This Row],[ÉTAT]]&amp;Table132[[#This Row],[next move]]</f>
        <v>VVMVEMMEE01</v>
      </c>
    </row>
    <row r="917" spans="2:9" x14ac:dyDescent="0.25">
      <c r="B917" t="s">
        <v>2905</v>
      </c>
      <c r="C917" s="22" t="s">
        <v>30</v>
      </c>
      <c r="D917">
        <v>1</v>
      </c>
      <c r="G917" s="25">
        <f>Table132[[#This Row],[nb win]]/Table132[[#This Row],[nb play]]</f>
        <v>0</v>
      </c>
      <c r="H917" t="str">
        <f>MID(Table132[[#This Row],[ÉTAT]],VALUE(RIGHT(Table132[[#This Row],[next move]],1))+1+VALUE(LEFT(Table132[[#This Row],[next move]],1))*3,1)</f>
        <v>V</v>
      </c>
      <c r="I917" t="str">
        <f>Table132[[#This Row],[ÉTAT]]&amp;Table132[[#This Row],[next move]]</f>
        <v>VVMVEMMEE10</v>
      </c>
    </row>
    <row r="918" spans="2:9" x14ac:dyDescent="0.25">
      <c r="B918" t="s">
        <v>2628</v>
      </c>
      <c r="C918" s="22" t="s">
        <v>31</v>
      </c>
      <c r="D918">
        <v>6</v>
      </c>
      <c r="E918">
        <v>6</v>
      </c>
      <c r="G918" s="31">
        <f>Table132[[#This Row],[nb win]]/Table132[[#This Row],[nb play]]</f>
        <v>1</v>
      </c>
      <c r="H918" t="str">
        <f>MID(Table132[[#This Row],[ÉTAT]],VALUE(RIGHT(Table132[[#This Row],[next move]],1))+1+VALUE(LEFT(Table132[[#This Row],[next move]],1))*3,1)</f>
        <v>V</v>
      </c>
      <c r="I918" t="str">
        <f>Table132[[#This Row],[ÉTAT]]&amp;Table132[[#This Row],[next move]]</f>
        <v>VVMVEMEVV22</v>
      </c>
    </row>
    <row r="919" spans="2:9" x14ac:dyDescent="0.25">
      <c r="B919" t="s">
        <v>627</v>
      </c>
      <c r="C919" s="22" t="s">
        <v>24</v>
      </c>
      <c r="D919">
        <v>1</v>
      </c>
      <c r="G919" s="25">
        <f>Table132[[#This Row],[nb win]]/Table132[[#This Row],[nb play]]</f>
        <v>0</v>
      </c>
      <c r="H919" t="str">
        <f>MID(Table132[[#This Row],[ÉTAT]],VALUE(RIGHT(Table132[[#This Row],[next move]],1))+1+VALUE(LEFT(Table132[[#This Row],[next move]],1))*3,1)</f>
        <v>V</v>
      </c>
      <c r="I919" t="str">
        <f>Table132[[#This Row],[ÉTAT]]&amp;Table132[[#This Row],[next move]]</f>
        <v>VVMVEMEVE00</v>
      </c>
    </row>
    <row r="920" spans="2:9" x14ac:dyDescent="0.25">
      <c r="B920" t="s">
        <v>627</v>
      </c>
      <c r="C920" s="22" t="s">
        <v>26</v>
      </c>
      <c r="D920">
        <v>1</v>
      </c>
      <c r="G920" s="25">
        <f>Table132[[#This Row],[nb win]]/Table132[[#This Row],[nb play]]</f>
        <v>0</v>
      </c>
      <c r="H920" t="str">
        <f>MID(Table132[[#This Row],[ÉTAT]],VALUE(RIGHT(Table132[[#This Row],[next move]],1))+1+VALUE(LEFT(Table132[[#This Row],[next move]],1))*3,1)</f>
        <v>V</v>
      </c>
      <c r="I920" t="str">
        <f>Table132[[#This Row],[ÉTAT]]&amp;Table132[[#This Row],[next move]]</f>
        <v>VVMVEMEVE01</v>
      </c>
    </row>
    <row r="921" spans="2:9" x14ac:dyDescent="0.25">
      <c r="B921" t="s">
        <v>627</v>
      </c>
      <c r="C921" s="22" t="s">
        <v>30</v>
      </c>
      <c r="D921">
        <v>2</v>
      </c>
      <c r="G921" s="30">
        <f>Table132[[#This Row],[nb win]]/Table132[[#This Row],[nb play]]</f>
        <v>0</v>
      </c>
      <c r="H921" t="str">
        <f>MID(Table132[[#This Row],[ÉTAT]],VALUE(RIGHT(Table132[[#This Row],[next move]],1))+1+VALUE(LEFT(Table132[[#This Row],[next move]],1))*3,1)</f>
        <v>V</v>
      </c>
      <c r="I921" t="str">
        <f>Table132[[#This Row],[ÉTAT]]&amp;Table132[[#This Row],[next move]]</f>
        <v>VVMVEMEVE10</v>
      </c>
    </row>
    <row r="922" spans="2:9" x14ac:dyDescent="0.25">
      <c r="B922" t="s">
        <v>627</v>
      </c>
      <c r="C922" s="22" t="s">
        <v>22</v>
      </c>
      <c r="D922">
        <v>1</v>
      </c>
      <c r="G922" s="25">
        <f>Table132[[#This Row],[nb win]]/Table132[[#This Row],[nb play]]</f>
        <v>0</v>
      </c>
      <c r="H922" t="str">
        <f>MID(Table132[[#This Row],[ÉTAT]],VALUE(RIGHT(Table132[[#This Row],[next move]],1))+1+VALUE(LEFT(Table132[[#This Row],[next move]],1))*3,1)</f>
        <v>V</v>
      </c>
      <c r="I922" t="str">
        <f>Table132[[#This Row],[ÉTAT]]&amp;Table132[[#This Row],[next move]]</f>
        <v>VVMVEMEVE21</v>
      </c>
    </row>
    <row r="923" spans="2:9" x14ac:dyDescent="0.25">
      <c r="B923" t="s">
        <v>108</v>
      </c>
      <c r="C923" s="22" t="s">
        <v>24</v>
      </c>
      <c r="D923">
        <v>7</v>
      </c>
      <c r="E923">
        <v>2</v>
      </c>
      <c r="G923" s="30">
        <f>Table132[[#This Row],[nb win]]/Table132[[#This Row],[nb play]]</f>
        <v>0.2857142857142857</v>
      </c>
      <c r="H923" t="str">
        <f>MID(Table132[[#This Row],[ÉTAT]],VALUE(RIGHT(Table132[[#This Row],[next move]],1))+1+VALUE(LEFT(Table132[[#This Row],[next move]],1))*3,1)</f>
        <v>V</v>
      </c>
      <c r="I923" t="str">
        <f>Table132[[#This Row],[ÉTAT]]&amp;Table132[[#This Row],[next move]]</f>
        <v>VVMVEEVVV00</v>
      </c>
    </row>
    <row r="924" spans="2:9" x14ac:dyDescent="0.25">
      <c r="B924" t="s">
        <v>108</v>
      </c>
      <c r="C924" s="22" t="s">
        <v>26</v>
      </c>
      <c r="D924">
        <v>4</v>
      </c>
      <c r="E924">
        <v>1</v>
      </c>
      <c r="G924" s="30">
        <f>Table132[[#This Row],[nb win]]/Table132[[#This Row],[nb play]]</f>
        <v>0.25</v>
      </c>
      <c r="H924" t="str">
        <f>MID(Table132[[#This Row],[ÉTAT]],VALUE(RIGHT(Table132[[#This Row],[next move]],1))+1+VALUE(LEFT(Table132[[#This Row],[next move]],1))*3,1)</f>
        <v>V</v>
      </c>
      <c r="I924" t="str">
        <f>Table132[[#This Row],[ÉTAT]]&amp;Table132[[#This Row],[next move]]</f>
        <v>VVMVEEVVV01</v>
      </c>
    </row>
    <row r="925" spans="2:9" x14ac:dyDescent="0.25">
      <c r="B925" t="s">
        <v>108</v>
      </c>
      <c r="C925" s="22" t="s">
        <v>30</v>
      </c>
      <c r="D925">
        <v>3</v>
      </c>
      <c r="E925">
        <v>1</v>
      </c>
      <c r="G925" s="30">
        <f>Table132[[#This Row],[nb win]]/Table132[[#This Row],[nb play]]</f>
        <v>0.33333333333333331</v>
      </c>
      <c r="H925" t="str">
        <f>MID(Table132[[#This Row],[ÉTAT]],VALUE(RIGHT(Table132[[#This Row],[next move]],1))+1+VALUE(LEFT(Table132[[#This Row],[next move]],1))*3,1)</f>
        <v>V</v>
      </c>
      <c r="I925" t="str">
        <f>Table132[[#This Row],[ÉTAT]]&amp;Table132[[#This Row],[next move]]</f>
        <v>VVMVEEVVV10</v>
      </c>
    </row>
    <row r="926" spans="2:9" x14ac:dyDescent="0.25">
      <c r="B926" t="s">
        <v>108</v>
      </c>
      <c r="C926" s="22" t="s">
        <v>35</v>
      </c>
      <c r="D926">
        <v>1</v>
      </c>
      <c r="G926" s="25">
        <f>Table132[[#This Row],[nb win]]/Table132[[#This Row],[nb play]]</f>
        <v>0</v>
      </c>
      <c r="H926" t="str">
        <f>MID(Table132[[#This Row],[ÉTAT]],VALUE(RIGHT(Table132[[#This Row],[next move]],1))+1+VALUE(LEFT(Table132[[#This Row],[next move]],1))*3,1)</f>
        <v>V</v>
      </c>
      <c r="I926" t="str">
        <f>Table132[[#This Row],[ÉTAT]]&amp;Table132[[#This Row],[next move]]</f>
        <v>VVMVEEVVV20</v>
      </c>
    </row>
    <row r="927" spans="2:9" x14ac:dyDescent="0.25">
      <c r="B927" t="s">
        <v>108</v>
      </c>
      <c r="C927" s="22" t="s">
        <v>22</v>
      </c>
      <c r="D927">
        <v>1</v>
      </c>
      <c r="G927" s="30">
        <f>Table132[[#This Row],[nb win]]/Table132[[#This Row],[nb play]]</f>
        <v>0</v>
      </c>
      <c r="H927" t="str">
        <f>MID(Table132[[#This Row],[ÉTAT]],VALUE(RIGHT(Table132[[#This Row],[next move]],1))+1+VALUE(LEFT(Table132[[#This Row],[next move]],1))*3,1)</f>
        <v>V</v>
      </c>
      <c r="I927" t="str">
        <f>Table132[[#This Row],[ÉTAT]]&amp;Table132[[#This Row],[next move]]</f>
        <v>VVMVEEVVV21</v>
      </c>
    </row>
    <row r="928" spans="2:9" x14ac:dyDescent="0.25">
      <c r="B928" t="s">
        <v>108</v>
      </c>
      <c r="C928" s="22" t="s">
        <v>31</v>
      </c>
      <c r="D928">
        <v>1</v>
      </c>
      <c r="G928" s="25">
        <f>Table132[[#This Row],[nb win]]/Table132[[#This Row],[nb play]]</f>
        <v>0</v>
      </c>
      <c r="H928" t="str">
        <f>MID(Table132[[#This Row],[ÉTAT]],VALUE(RIGHT(Table132[[#This Row],[next move]],1))+1+VALUE(LEFT(Table132[[#This Row],[next move]],1))*3,1)</f>
        <v>V</v>
      </c>
      <c r="I928" t="str">
        <f>Table132[[#This Row],[ÉTAT]]&amp;Table132[[#This Row],[next move]]</f>
        <v>VVMVEEVVV22</v>
      </c>
    </row>
    <row r="929" spans="2:9" x14ac:dyDescent="0.25">
      <c r="B929" t="s">
        <v>1297</v>
      </c>
      <c r="C929" s="22" t="s">
        <v>24</v>
      </c>
      <c r="D929">
        <v>3</v>
      </c>
      <c r="G929" s="30">
        <f>Table132[[#This Row],[nb win]]/Table132[[#This Row],[nb play]]</f>
        <v>0</v>
      </c>
      <c r="H929" t="str">
        <f>MID(Table132[[#This Row],[ÉTAT]],VALUE(RIGHT(Table132[[#This Row],[next move]],1))+1+VALUE(LEFT(Table132[[#This Row],[next move]],1))*3,1)</f>
        <v>V</v>
      </c>
      <c r="I929" t="str">
        <f>Table132[[#This Row],[ÉTAT]]&amp;Table132[[#This Row],[next move]]</f>
        <v>VVMVEEVVM00</v>
      </c>
    </row>
    <row r="930" spans="2:9" x14ac:dyDescent="0.25">
      <c r="B930" t="s">
        <v>1297</v>
      </c>
      <c r="C930" s="22" t="s">
        <v>26</v>
      </c>
      <c r="D930">
        <v>2</v>
      </c>
      <c r="G930" s="30">
        <f>Table132[[#This Row],[nb win]]/Table132[[#This Row],[nb play]]</f>
        <v>0</v>
      </c>
      <c r="H930" t="str">
        <f>MID(Table132[[#This Row],[ÉTAT]],VALUE(RIGHT(Table132[[#This Row],[next move]],1))+1+VALUE(LEFT(Table132[[#This Row],[next move]],1))*3,1)</f>
        <v>V</v>
      </c>
      <c r="I930" t="str">
        <f>Table132[[#This Row],[ÉTAT]]&amp;Table132[[#This Row],[next move]]</f>
        <v>VVMVEEVVM01</v>
      </c>
    </row>
    <row r="931" spans="2:9" x14ac:dyDescent="0.25">
      <c r="B931" t="s">
        <v>1297</v>
      </c>
      <c r="C931" s="22" t="s">
        <v>30</v>
      </c>
      <c r="D931">
        <v>1</v>
      </c>
      <c r="E931">
        <v>1</v>
      </c>
      <c r="G931" s="31">
        <f>Table132[[#This Row],[nb win]]/Table132[[#This Row],[nb play]]</f>
        <v>1</v>
      </c>
      <c r="H931" t="str">
        <f>MID(Table132[[#This Row],[ÉTAT]],VALUE(RIGHT(Table132[[#This Row],[next move]],1))+1+VALUE(LEFT(Table132[[#This Row],[next move]],1))*3,1)</f>
        <v>V</v>
      </c>
      <c r="I931" t="str">
        <f>Table132[[#This Row],[ÉTAT]]&amp;Table132[[#This Row],[next move]]</f>
        <v>VVMVEEVVM10</v>
      </c>
    </row>
    <row r="932" spans="2:9" x14ac:dyDescent="0.25">
      <c r="B932" t="s">
        <v>1297</v>
      </c>
      <c r="C932" s="22" t="s">
        <v>35</v>
      </c>
      <c r="D932">
        <v>3</v>
      </c>
      <c r="G932" s="30">
        <f>Table132[[#This Row],[nb win]]/Table132[[#This Row],[nb play]]</f>
        <v>0</v>
      </c>
      <c r="H932" t="str">
        <f>MID(Table132[[#This Row],[ÉTAT]],VALUE(RIGHT(Table132[[#This Row],[next move]],1))+1+VALUE(LEFT(Table132[[#This Row],[next move]],1))*3,1)</f>
        <v>V</v>
      </c>
      <c r="I932" t="str">
        <f>Table132[[#This Row],[ÉTAT]]&amp;Table132[[#This Row],[next move]]</f>
        <v>VVMVEEVVM20</v>
      </c>
    </row>
    <row r="933" spans="2:9" x14ac:dyDescent="0.25">
      <c r="B933" t="s">
        <v>1297</v>
      </c>
      <c r="C933" s="22" t="s">
        <v>22</v>
      </c>
      <c r="D933">
        <v>1</v>
      </c>
      <c r="G933" s="25">
        <f>Table132[[#This Row],[nb win]]/Table132[[#This Row],[nb play]]</f>
        <v>0</v>
      </c>
      <c r="H933" t="str">
        <f>MID(Table132[[#This Row],[ÉTAT]],VALUE(RIGHT(Table132[[#This Row],[next move]],1))+1+VALUE(LEFT(Table132[[#This Row],[next move]],1))*3,1)</f>
        <v>V</v>
      </c>
      <c r="I933" t="str">
        <f>Table132[[#This Row],[ÉTAT]]&amp;Table132[[#This Row],[next move]]</f>
        <v>VVMVEEVVM21</v>
      </c>
    </row>
    <row r="934" spans="2:9" x14ac:dyDescent="0.25">
      <c r="B934" t="s">
        <v>1864</v>
      </c>
      <c r="C934" s="22" t="s">
        <v>24</v>
      </c>
      <c r="D934">
        <v>1</v>
      </c>
      <c r="G934" s="25">
        <f>Table132[[#This Row],[nb win]]/Table132[[#This Row],[nb play]]</f>
        <v>0</v>
      </c>
      <c r="H934" t="str">
        <f>MID(Table132[[#This Row],[ÉTAT]],VALUE(RIGHT(Table132[[#This Row],[next move]],1))+1+VALUE(LEFT(Table132[[#This Row],[next move]],1))*3,1)</f>
        <v>V</v>
      </c>
      <c r="I934" t="str">
        <f>Table132[[#This Row],[ÉTAT]]&amp;Table132[[#This Row],[next move]]</f>
        <v>VVMVEEVMV00</v>
      </c>
    </row>
    <row r="935" spans="2:9" x14ac:dyDescent="0.25">
      <c r="B935" t="s">
        <v>1864</v>
      </c>
      <c r="C935" s="22" t="s">
        <v>26</v>
      </c>
      <c r="D935">
        <v>1</v>
      </c>
      <c r="G935" s="30">
        <f>Table132[[#This Row],[nb win]]/Table132[[#This Row],[nb play]]</f>
        <v>0</v>
      </c>
      <c r="H935" t="str">
        <f>MID(Table132[[#This Row],[ÉTAT]],VALUE(RIGHT(Table132[[#This Row],[next move]],1))+1+VALUE(LEFT(Table132[[#This Row],[next move]],1))*3,1)</f>
        <v>V</v>
      </c>
      <c r="I935" t="str">
        <f>Table132[[#This Row],[ÉTAT]]&amp;Table132[[#This Row],[next move]]</f>
        <v>VVMVEEVMV01</v>
      </c>
    </row>
    <row r="936" spans="2:9" x14ac:dyDescent="0.25">
      <c r="B936" t="s">
        <v>1864</v>
      </c>
      <c r="C936" s="22" t="s">
        <v>35</v>
      </c>
      <c r="D936">
        <v>1</v>
      </c>
      <c r="G936" s="25">
        <f>Table132[[#This Row],[nb win]]/Table132[[#This Row],[nb play]]</f>
        <v>0</v>
      </c>
      <c r="H936" t="str">
        <f>MID(Table132[[#This Row],[ÉTAT]],VALUE(RIGHT(Table132[[#This Row],[next move]],1))+1+VALUE(LEFT(Table132[[#This Row],[next move]],1))*3,1)</f>
        <v>V</v>
      </c>
      <c r="I936" t="str">
        <f>Table132[[#This Row],[ÉTAT]]&amp;Table132[[#This Row],[next move]]</f>
        <v>VVMVEEVMV20</v>
      </c>
    </row>
    <row r="937" spans="2:9" x14ac:dyDescent="0.25">
      <c r="B937" t="s">
        <v>1864</v>
      </c>
      <c r="C937" s="22" t="s">
        <v>31</v>
      </c>
      <c r="D937">
        <v>1</v>
      </c>
      <c r="G937" s="25">
        <f>Table132[[#This Row],[nb win]]/Table132[[#This Row],[nb play]]</f>
        <v>0</v>
      </c>
      <c r="H937" t="str">
        <f>MID(Table132[[#This Row],[ÉTAT]],VALUE(RIGHT(Table132[[#This Row],[next move]],1))+1+VALUE(LEFT(Table132[[#This Row],[next move]],1))*3,1)</f>
        <v>V</v>
      </c>
      <c r="I937" t="str">
        <f>Table132[[#This Row],[ÉTAT]]&amp;Table132[[#This Row],[next move]]</f>
        <v>VVMVEEVMV22</v>
      </c>
    </row>
    <row r="938" spans="2:9" x14ac:dyDescent="0.25">
      <c r="B938" t="s">
        <v>1868</v>
      </c>
      <c r="C938" s="22" t="s">
        <v>24</v>
      </c>
      <c r="D938">
        <v>1</v>
      </c>
      <c r="E938">
        <v>1</v>
      </c>
      <c r="G938" s="31">
        <f>Table132[[#This Row],[nb win]]/Table132[[#This Row],[nb play]]</f>
        <v>1</v>
      </c>
      <c r="H938" t="str">
        <f>MID(Table132[[#This Row],[ÉTAT]],VALUE(RIGHT(Table132[[#This Row],[next move]],1))+1+VALUE(LEFT(Table132[[#This Row],[next move]],1))*3,1)</f>
        <v>V</v>
      </c>
      <c r="I938" t="str">
        <f>Table132[[#This Row],[ÉTAT]]&amp;Table132[[#This Row],[next move]]</f>
        <v>VVMVEEVME00</v>
      </c>
    </row>
    <row r="939" spans="2:9" x14ac:dyDescent="0.25">
      <c r="B939" t="s">
        <v>1868</v>
      </c>
      <c r="C939" s="22" t="s">
        <v>26</v>
      </c>
      <c r="D939">
        <v>2</v>
      </c>
      <c r="E939">
        <v>1</v>
      </c>
      <c r="G939" s="30">
        <f>Table132[[#This Row],[nb win]]/Table132[[#This Row],[nb play]]</f>
        <v>0.5</v>
      </c>
      <c r="H939" t="str">
        <f>MID(Table132[[#This Row],[ÉTAT]],VALUE(RIGHT(Table132[[#This Row],[next move]],1))+1+VALUE(LEFT(Table132[[#This Row],[next move]],1))*3,1)</f>
        <v>V</v>
      </c>
      <c r="I939" t="str">
        <f>Table132[[#This Row],[ÉTAT]]&amp;Table132[[#This Row],[next move]]</f>
        <v>VVMVEEVME01</v>
      </c>
    </row>
    <row r="940" spans="2:9" x14ac:dyDescent="0.25">
      <c r="B940" t="s">
        <v>1868</v>
      </c>
      <c r="C940" s="22" t="s">
        <v>30</v>
      </c>
      <c r="D940">
        <v>1</v>
      </c>
      <c r="G940" s="30">
        <f>Table132[[#This Row],[nb win]]/Table132[[#This Row],[nb play]]</f>
        <v>0</v>
      </c>
      <c r="H940" t="str">
        <f>MID(Table132[[#This Row],[ÉTAT]],VALUE(RIGHT(Table132[[#This Row],[next move]],1))+1+VALUE(LEFT(Table132[[#This Row],[next move]],1))*3,1)</f>
        <v>V</v>
      </c>
      <c r="I940" t="str">
        <f>Table132[[#This Row],[ÉTAT]]&amp;Table132[[#This Row],[next move]]</f>
        <v>VVMVEEVME10</v>
      </c>
    </row>
    <row r="941" spans="2:9" x14ac:dyDescent="0.25">
      <c r="B941" t="s">
        <v>1868</v>
      </c>
      <c r="C941" s="22" t="s">
        <v>35</v>
      </c>
      <c r="D941">
        <v>1</v>
      </c>
      <c r="G941" s="30">
        <f>Table132[[#This Row],[nb win]]/Table132[[#This Row],[nb play]]</f>
        <v>0</v>
      </c>
      <c r="H941" t="str">
        <f>MID(Table132[[#This Row],[ÉTAT]],VALUE(RIGHT(Table132[[#This Row],[next move]],1))+1+VALUE(LEFT(Table132[[#This Row],[next move]],1))*3,1)</f>
        <v>V</v>
      </c>
      <c r="I941" t="str">
        <f>Table132[[#This Row],[ÉTAT]]&amp;Table132[[#This Row],[next move]]</f>
        <v>VVMVEEVME20</v>
      </c>
    </row>
    <row r="942" spans="2:9" x14ac:dyDescent="0.25">
      <c r="B942" t="s">
        <v>3483</v>
      </c>
      <c r="C942" s="22" t="s">
        <v>22</v>
      </c>
      <c r="D942">
        <v>1</v>
      </c>
      <c r="G942" s="30">
        <f>Table132[[#This Row],[nb win]]/Table132[[#This Row],[nb play]]</f>
        <v>0</v>
      </c>
      <c r="H942" t="str">
        <f>MID(Table132[[#This Row],[ÉTAT]],VALUE(RIGHT(Table132[[#This Row],[next move]],1))+1+VALUE(LEFT(Table132[[#This Row],[next move]],1))*3,1)</f>
        <v>V</v>
      </c>
      <c r="I942" t="str">
        <f>Table132[[#This Row],[ÉTAT]]&amp;Table132[[#This Row],[next move]]</f>
        <v>VVMVEEMVE21</v>
      </c>
    </row>
    <row r="943" spans="2:9" x14ac:dyDescent="0.25">
      <c r="B943" t="s">
        <v>1372</v>
      </c>
      <c r="C943" s="22" t="s">
        <v>24</v>
      </c>
      <c r="D943">
        <v>2</v>
      </c>
      <c r="G943" s="30">
        <f>Table132[[#This Row],[nb win]]/Table132[[#This Row],[nb play]]</f>
        <v>0</v>
      </c>
      <c r="H943" t="str">
        <f>MID(Table132[[#This Row],[ÉTAT]],VALUE(RIGHT(Table132[[#This Row],[next move]],1))+1+VALUE(LEFT(Table132[[#This Row],[next move]],1))*3,1)</f>
        <v>V</v>
      </c>
      <c r="I943" t="str">
        <f>Table132[[#This Row],[ÉTAT]]&amp;Table132[[#This Row],[next move]]</f>
        <v>VVMVEEMME00</v>
      </c>
    </row>
    <row r="944" spans="2:9" x14ac:dyDescent="0.25">
      <c r="B944" t="s">
        <v>1372</v>
      </c>
      <c r="C944" s="22" t="s">
        <v>26</v>
      </c>
      <c r="D944">
        <v>1</v>
      </c>
      <c r="G944" s="30">
        <f>Table132[[#This Row],[nb win]]/Table132[[#This Row],[nb play]]</f>
        <v>0</v>
      </c>
      <c r="H944" t="str">
        <f>MID(Table132[[#This Row],[ÉTAT]],VALUE(RIGHT(Table132[[#This Row],[next move]],1))+1+VALUE(LEFT(Table132[[#This Row],[next move]],1))*3,1)</f>
        <v>V</v>
      </c>
      <c r="I944" t="str">
        <f>Table132[[#This Row],[ÉTAT]]&amp;Table132[[#This Row],[next move]]</f>
        <v>VVMVEEMME01</v>
      </c>
    </row>
    <row r="945" spans="2:9" x14ac:dyDescent="0.25">
      <c r="B945" t="s">
        <v>1372</v>
      </c>
      <c r="C945" s="22" t="s">
        <v>30</v>
      </c>
      <c r="D945">
        <v>2</v>
      </c>
      <c r="G945" s="30">
        <f>Table132[[#This Row],[nb win]]/Table132[[#This Row],[nb play]]</f>
        <v>0</v>
      </c>
      <c r="H945" t="str">
        <f>MID(Table132[[#This Row],[ÉTAT]],VALUE(RIGHT(Table132[[#This Row],[next move]],1))+1+VALUE(LEFT(Table132[[#This Row],[next move]],1))*3,1)</f>
        <v>V</v>
      </c>
      <c r="I945" t="str">
        <f>Table132[[#This Row],[ÉTAT]]&amp;Table132[[#This Row],[next move]]</f>
        <v>VVMVEEMME10</v>
      </c>
    </row>
    <row r="946" spans="2:9" x14ac:dyDescent="0.25">
      <c r="B946" t="s">
        <v>1276</v>
      </c>
      <c r="C946" s="22" t="s">
        <v>24</v>
      </c>
      <c r="D946">
        <v>2</v>
      </c>
      <c r="G946" s="25">
        <f>Table132[[#This Row],[nb win]]/Table132[[#This Row],[nb play]]</f>
        <v>0</v>
      </c>
      <c r="H946" t="str">
        <f>MID(Table132[[#This Row],[ÉTAT]],VALUE(RIGHT(Table132[[#This Row],[next move]],1))+1+VALUE(LEFT(Table132[[#This Row],[next move]],1))*3,1)</f>
        <v>V</v>
      </c>
      <c r="I946" t="str">
        <f>Table132[[#This Row],[ÉTAT]]&amp;Table132[[#This Row],[next move]]</f>
        <v>VVMVEEMEV00</v>
      </c>
    </row>
    <row r="947" spans="2:9" x14ac:dyDescent="0.25">
      <c r="B947" t="s">
        <v>1276</v>
      </c>
      <c r="C947" s="22" t="s">
        <v>26</v>
      </c>
      <c r="D947">
        <v>2</v>
      </c>
      <c r="G947" s="30">
        <f>Table132[[#This Row],[nb win]]/Table132[[#This Row],[nb play]]</f>
        <v>0</v>
      </c>
      <c r="H947" t="str">
        <f>MID(Table132[[#This Row],[ÉTAT]],VALUE(RIGHT(Table132[[#This Row],[next move]],1))+1+VALUE(LEFT(Table132[[#This Row],[next move]],1))*3,1)</f>
        <v>V</v>
      </c>
      <c r="I947" t="str">
        <f>Table132[[#This Row],[ÉTAT]]&amp;Table132[[#This Row],[next move]]</f>
        <v>VVMVEEMEV01</v>
      </c>
    </row>
    <row r="948" spans="2:9" x14ac:dyDescent="0.25">
      <c r="B948" t="s">
        <v>1276</v>
      </c>
      <c r="C948" s="22" t="s">
        <v>30</v>
      </c>
      <c r="D948">
        <v>1</v>
      </c>
      <c r="G948" s="25">
        <f>Table132[[#This Row],[nb win]]/Table132[[#This Row],[nb play]]</f>
        <v>0</v>
      </c>
      <c r="H948" t="str">
        <f>MID(Table132[[#This Row],[ÉTAT]],VALUE(RIGHT(Table132[[#This Row],[next move]],1))+1+VALUE(LEFT(Table132[[#This Row],[next move]],1))*3,1)</f>
        <v>V</v>
      </c>
      <c r="I948" t="str">
        <f>Table132[[#This Row],[ÉTAT]]&amp;Table132[[#This Row],[next move]]</f>
        <v>VVMVEEMEV10</v>
      </c>
    </row>
    <row r="949" spans="2:9" x14ac:dyDescent="0.25">
      <c r="B949" t="s">
        <v>1276</v>
      </c>
      <c r="C949" s="22" t="s">
        <v>31</v>
      </c>
      <c r="D949">
        <v>2</v>
      </c>
      <c r="G949" s="30">
        <f>Table132[[#This Row],[nb win]]/Table132[[#This Row],[nb play]]</f>
        <v>0</v>
      </c>
      <c r="H949" t="str">
        <f>MID(Table132[[#This Row],[ÉTAT]],VALUE(RIGHT(Table132[[#This Row],[next move]],1))+1+VALUE(LEFT(Table132[[#This Row],[next move]],1))*3,1)</f>
        <v>V</v>
      </c>
      <c r="I949" t="str">
        <f>Table132[[#This Row],[ÉTAT]]&amp;Table132[[#This Row],[next move]]</f>
        <v>VVMVEEMEV22</v>
      </c>
    </row>
    <row r="950" spans="2:9" x14ac:dyDescent="0.25">
      <c r="B950" t="s">
        <v>2807</v>
      </c>
      <c r="C950" s="22" t="s">
        <v>24</v>
      </c>
      <c r="D950">
        <v>1</v>
      </c>
      <c r="E950">
        <v>1</v>
      </c>
      <c r="G950" s="31">
        <f>Table132[[#This Row],[nb win]]/Table132[[#This Row],[nb play]]</f>
        <v>1</v>
      </c>
      <c r="H950" t="str">
        <f>MID(Table132[[#This Row],[ÉTAT]],VALUE(RIGHT(Table132[[#This Row],[next move]],1))+1+VALUE(LEFT(Table132[[#This Row],[next move]],1))*3,1)</f>
        <v>V</v>
      </c>
      <c r="I950" t="str">
        <f>Table132[[#This Row],[ÉTAT]]&amp;Table132[[#This Row],[next move]]</f>
        <v>VVMVEEEMV00</v>
      </c>
    </row>
    <row r="951" spans="2:9" x14ac:dyDescent="0.25">
      <c r="B951" t="s">
        <v>1425</v>
      </c>
      <c r="C951" s="22" t="s">
        <v>26</v>
      </c>
      <c r="D951">
        <v>2</v>
      </c>
      <c r="E951">
        <v>1</v>
      </c>
      <c r="G951" s="25">
        <f>Table132[[#This Row],[nb win]]/Table132[[#This Row],[nb play]]</f>
        <v>0.5</v>
      </c>
      <c r="H951" t="str">
        <f>MID(Table132[[#This Row],[ÉTAT]],VALUE(RIGHT(Table132[[#This Row],[next move]],1))+1+VALUE(LEFT(Table132[[#This Row],[next move]],1))*3,1)</f>
        <v>V</v>
      </c>
      <c r="I951" t="str">
        <f>Table132[[#This Row],[ÉTAT]]&amp;Table132[[#This Row],[next move]]</f>
        <v>VVMMVVVEE01</v>
      </c>
    </row>
    <row r="952" spans="2:9" x14ac:dyDescent="0.25">
      <c r="B952" t="s">
        <v>1425</v>
      </c>
      <c r="C952" s="22" t="s">
        <v>29</v>
      </c>
      <c r="D952">
        <v>1</v>
      </c>
      <c r="G952" s="25">
        <f>Table132[[#This Row],[nb win]]/Table132[[#This Row],[nb play]]</f>
        <v>0</v>
      </c>
      <c r="H952" t="str">
        <f>MID(Table132[[#This Row],[ÉTAT]],VALUE(RIGHT(Table132[[#This Row],[next move]],1))+1+VALUE(LEFT(Table132[[#This Row],[next move]],1))*3,1)</f>
        <v>V</v>
      </c>
      <c r="I952" t="str">
        <f>Table132[[#This Row],[ÉTAT]]&amp;Table132[[#This Row],[next move]]</f>
        <v>VVMMVVVEE11</v>
      </c>
    </row>
    <row r="953" spans="2:9" x14ac:dyDescent="0.25">
      <c r="B953" t="s">
        <v>1425</v>
      </c>
      <c r="C953" s="22" t="s">
        <v>28</v>
      </c>
      <c r="D953">
        <v>1</v>
      </c>
      <c r="E953">
        <v>1</v>
      </c>
      <c r="G953" s="31">
        <f>Table132[[#This Row],[nb win]]/Table132[[#This Row],[nb play]]</f>
        <v>1</v>
      </c>
      <c r="H953" t="str">
        <f>MID(Table132[[#This Row],[ÉTAT]],VALUE(RIGHT(Table132[[#This Row],[next move]],1))+1+VALUE(LEFT(Table132[[#This Row],[next move]],1))*3,1)</f>
        <v>V</v>
      </c>
      <c r="I953" t="str">
        <f>Table132[[#This Row],[ÉTAT]]&amp;Table132[[#This Row],[next move]]</f>
        <v>VVMMVVVEE12</v>
      </c>
    </row>
    <row r="954" spans="2:9" x14ac:dyDescent="0.25">
      <c r="B954" t="s">
        <v>1406</v>
      </c>
      <c r="C954" s="22" t="s">
        <v>24</v>
      </c>
      <c r="D954">
        <v>3</v>
      </c>
      <c r="G954" s="30">
        <f>Table132[[#This Row],[nb win]]/Table132[[#This Row],[nb play]]</f>
        <v>0</v>
      </c>
      <c r="H954" t="str">
        <f>MID(Table132[[#This Row],[ÉTAT]],VALUE(RIGHT(Table132[[#This Row],[next move]],1))+1+VALUE(LEFT(Table132[[#This Row],[next move]],1))*3,1)</f>
        <v>V</v>
      </c>
      <c r="I954" t="str">
        <f>Table132[[#This Row],[ÉTAT]]&amp;Table132[[#This Row],[next move]]</f>
        <v>VVMMVVEVE00</v>
      </c>
    </row>
    <row r="955" spans="2:9" x14ac:dyDescent="0.25">
      <c r="B955" t="s">
        <v>1406</v>
      </c>
      <c r="C955" s="22" t="s">
        <v>29</v>
      </c>
      <c r="D955">
        <v>1</v>
      </c>
      <c r="E955">
        <v>1</v>
      </c>
      <c r="G955" s="25">
        <f>Table132[[#This Row],[nb win]]/Table132[[#This Row],[nb play]]</f>
        <v>1</v>
      </c>
      <c r="H955" t="str">
        <f>MID(Table132[[#This Row],[ÉTAT]],VALUE(RIGHT(Table132[[#This Row],[next move]],1))+1+VALUE(LEFT(Table132[[#This Row],[next move]],1))*3,1)</f>
        <v>V</v>
      </c>
      <c r="I955" t="str">
        <f>Table132[[#This Row],[ÉTAT]]&amp;Table132[[#This Row],[next move]]</f>
        <v>VVMMVVEVE11</v>
      </c>
    </row>
    <row r="956" spans="2:9" x14ac:dyDescent="0.25">
      <c r="B956" t="s">
        <v>1406</v>
      </c>
      <c r="C956" s="22" t="s">
        <v>28</v>
      </c>
      <c r="D956">
        <v>4</v>
      </c>
      <c r="G956" s="30">
        <f>Table132[[#This Row],[nb win]]/Table132[[#This Row],[nb play]]</f>
        <v>0</v>
      </c>
      <c r="H956" t="str">
        <f>MID(Table132[[#This Row],[ÉTAT]],VALUE(RIGHT(Table132[[#This Row],[next move]],1))+1+VALUE(LEFT(Table132[[#This Row],[next move]],1))*3,1)</f>
        <v>V</v>
      </c>
      <c r="I956" t="str">
        <f>Table132[[#This Row],[ÉTAT]]&amp;Table132[[#This Row],[next move]]</f>
        <v>VVMMVVEVE12</v>
      </c>
    </row>
    <row r="957" spans="2:9" x14ac:dyDescent="0.25">
      <c r="B957" t="s">
        <v>3400</v>
      </c>
      <c r="C957" s="22" t="s">
        <v>24</v>
      </c>
      <c r="D957">
        <v>1</v>
      </c>
      <c r="G957" s="30">
        <f>Table132[[#This Row],[nb win]]/Table132[[#This Row],[nb play]]</f>
        <v>0</v>
      </c>
      <c r="H957" t="str">
        <f>MID(Table132[[#This Row],[ÉTAT]],VALUE(RIGHT(Table132[[#This Row],[next move]],1))+1+VALUE(LEFT(Table132[[#This Row],[next move]],1))*3,1)</f>
        <v>V</v>
      </c>
      <c r="I957" t="str">
        <f>Table132[[#This Row],[ÉTAT]]&amp;Table132[[#This Row],[next move]]</f>
        <v>VVMMVVEEV00</v>
      </c>
    </row>
    <row r="958" spans="2:9" x14ac:dyDescent="0.25">
      <c r="B958" t="s">
        <v>845</v>
      </c>
      <c r="C958" s="22" t="s">
        <v>29</v>
      </c>
      <c r="D958">
        <v>1</v>
      </c>
      <c r="E958">
        <v>1</v>
      </c>
      <c r="G958" s="31">
        <f>Table132[[#This Row],[nb win]]/Table132[[#This Row],[nb play]]</f>
        <v>1</v>
      </c>
      <c r="H958" t="str">
        <f>MID(Table132[[#This Row],[ÉTAT]],VALUE(RIGHT(Table132[[#This Row],[next move]],1))+1+VALUE(LEFT(Table132[[#This Row],[next move]],1))*3,1)</f>
        <v>V</v>
      </c>
      <c r="I958" t="str">
        <f>Table132[[#This Row],[ÉTAT]]&amp;Table132[[#This Row],[next move]]</f>
        <v>VVMMVEVVE11</v>
      </c>
    </row>
    <row r="959" spans="2:9" x14ac:dyDescent="0.25">
      <c r="B959" t="s">
        <v>845</v>
      </c>
      <c r="C959" s="22" t="s">
        <v>35</v>
      </c>
      <c r="D959">
        <v>8</v>
      </c>
      <c r="E959">
        <v>7</v>
      </c>
      <c r="G959" s="30">
        <f>Table132[[#This Row],[nb win]]/Table132[[#This Row],[nb play]]</f>
        <v>0.875</v>
      </c>
      <c r="H959" t="str">
        <f>MID(Table132[[#This Row],[ÉTAT]],VALUE(RIGHT(Table132[[#This Row],[next move]],1))+1+VALUE(LEFT(Table132[[#This Row],[next move]],1))*3,1)</f>
        <v>V</v>
      </c>
      <c r="I959" t="str">
        <f>Table132[[#This Row],[ÉTAT]]&amp;Table132[[#This Row],[next move]]</f>
        <v>VVMMVEVVE20</v>
      </c>
    </row>
    <row r="960" spans="2:9" x14ac:dyDescent="0.25">
      <c r="B960" t="s">
        <v>1813</v>
      </c>
      <c r="C960" s="22" t="s">
        <v>29</v>
      </c>
      <c r="D960">
        <v>2</v>
      </c>
      <c r="E960">
        <v>1</v>
      </c>
      <c r="G960" s="25">
        <f>Table132[[#This Row],[nb win]]/Table132[[#This Row],[nb play]]</f>
        <v>0.5</v>
      </c>
      <c r="H960" t="str">
        <f>MID(Table132[[#This Row],[ÉTAT]],VALUE(RIGHT(Table132[[#This Row],[next move]],1))+1+VALUE(LEFT(Table132[[#This Row],[next move]],1))*3,1)</f>
        <v>V</v>
      </c>
      <c r="I960" t="str">
        <f>Table132[[#This Row],[ÉTAT]]&amp;Table132[[#This Row],[next move]]</f>
        <v>VVMMVEVEV11</v>
      </c>
    </row>
    <row r="961" spans="2:9" x14ac:dyDescent="0.25">
      <c r="B961" t="s">
        <v>3330</v>
      </c>
      <c r="C961" s="22" t="s">
        <v>24</v>
      </c>
      <c r="D961">
        <v>1</v>
      </c>
      <c r="E961">
        <v>1</v>
      </c>
      <c r="G961" s="31">
        <f>Table132[[#This Row],[nb win]]/Table132[[#This Row],[nb play]]</f>
        <v>1</v>
      </c>
      <c r="H961" t="str">
        <f>MID(Table132[[#This Row],[ÉTAT]],VALUE(RIGHT(Table132[[#This Row],[next move]],1))+1+VALUE(LEFT(Table132[[#This Row],[next move]],1))*3,1)</f>
        <v>V</v>
      </c>
      <c r="I961" t="str">
        <f>Table132[[#This Row],[ÉTAT]]&amp;Table132[[#This Row],[next move]]</f>
        <v>VVMMVEVEE00</v>
      </c>
    </row>
    <row r="962" spans="2:9" x14ac:dyDescent="0.25">
      <c r="B962" t="s">
        <v>860</v>
      </c>
      <c r="C962" s="22" t="s">
        <v>26</v>
      </c>
      <c r="D962">
        <v>2</v>
      </c>
      <c r="E962">
        <v>2</v>
      </c>
      <c r="G962" s="25">
        <f>Table132[[#This Row],[nb win]]/Table132[[#This Row],[nb play]]</f>
        <v>1</v>
      </c>
      <c r="H962" t="str">
        <f>MID(Table132[[#This Row],[ÉTAT]],VALUE(RIGHT(Table132[[#This Row],[next move]],1))+1+VALUE(LEFT(Table132[[#This Row],[next move]],1))*3,1)</f>
        <v>V</v>
      </c>
      <c r="I962" t="str">
        <f>Table132[[#This Row],[ÉTAT]]&amp;Table132[[#This Row],[next move]]</f>
        <v>VVMMVEMEE01</v>
      </c>
    </row>
    <row r="963" spans="2:9" x14ac:dyDescent="0.25">
      <c r="B963" t="s">
        <v>1243</v>
      </c>
      <c r="C963" s="22" t="s">
        <v>24</v>
      </c>
      <c r="D963">
        <v>1</v>
      </c>
      <c r="E963">
        <v>1</v>
      </c>
      <c r="G963" s="31">
        <f>Table132[[#This Row],[nb win]]/Table132[[#This Row],[nb play]]</f>
        <v>1</v>
      </c>
      <c r="H963" t="str">
        <f>MID(Table132[[#This Row],[ÉTAT]],VALUE(RIGHT(Table132[[#This Row],[next move]],1))+1+VALUE(LEFT(Table132[[#This Row],[next move]],1))*3,1)</f>
        <v>V</v>
      </c>
      <c r="I963" t="str">
        <f>Table132[[#This Row],[ÉTAT]]&amp;Table132[[#This Row],[next move]]</f>
        <v>VVMMVEEVV00</v>
      </c>
    </row>
    <row r="964" spans="2:9" x14ac:dyDescent="0.25">
      <c r="B964" t="s">
        <v>1243</v>
      </c>
      <c r="C964" s="22" t="s">
        <v>29</v>
      </c>
      <c r="D964">
        <v>3</v>
      </c>
      <c r="E964">
        <v>1</v>
      </c>
      <c r="G964" s="30">
        <f>Table132[[#This Row],[nb win]]/Table132[[#This Row],[nb play]]</f>
        <v>0.33333333333333331</v>
      </c>
      <c r="H964" t="str">
        <f>MID(Table132[[#This Row],[ÉTAT]],VALUE(RIGHT(Table132[[#This Row],[next move]],1))+1+VALUE(LEFT(Table132[[#This Row],[next move]],1))*3,1)</f>
        <v>V</v>
      </c>
      <c r="I964" t="str">
        <f>Table132[[#This Row],[ÉTAT]]&amp;Table132[[#This Row],[next move]]</f>
        <v>VVMMVEEVV11</v>
      </c>
    </row>
    <row r="965" spans="2:9" x14ac:dyDescent="0.25">
      <c r="B965" t="s">
        <v>592</v>
      </c>
      <c r="C965" s="22" t="s">
        <v>24</v>
      </c>
      <c r="D965">
        <v>2</v>
      </c>
      <c r="E965">
        <v>1</v>
      </c>
      <c r="G965" s="25">
        <f>Table132[[#This Row],[nb win]]/Table132[[#This Row],[nb play]]</f>
        <v>0.5</v>
      </c>
      <c r="H965" t="str">
        <f>MID(Table132[[#This Row],[ÉTAT]],VALUE(RIGHT(Table132[[#This Row],[next move]],1))+1+VALUE(LEFT(Table132[[#This Row],[next move]],1))*3,1)</f>
        <v>V</v>
      </c>
      <c r="I965" t="str">
        <f>Table132[[#This Row],[ÉTAT]]&amp;Table132[[#This Row],[next move]]</f>
        <v>VVMMVEEVE00</v>
      </c>
    </row>
    <row r="966" spans="2:9" x14ac:dyDescent="0.25">
      <c r="B966" t="s">
        <v>592</v>
      </c>
      <c r="C966" s="22" t="s">
        <v>26</v>
      </c>
      <c r="D966">
        <v>1</v>
      </c>
      <c r="G966" s="25">
        <f>Table132[[#This Row],[nb win]]/Table132[[#This Row],[nb play]]</f>
        <v>0</v>
      </c>
      <c r="H966" t="str">
        <f>MID(Table132[[#This Row],[ÉTAT]],VALUE(RIGHT(Table132[[#This Row],[next move]],1))+1+VALUE(LEFT(Table132[[#This Row],[next move]],1))*3,1)</f>
        <v>V</v>
      </c>
      <c r="I966" t="str">
        <f>Table132[[#This Row],[ÉTAT]]&amp;Table132[[#This Row],[next move]]</f>
        <v>VVMMVEEVE01</v>
      </c>
    </row>
    <row r="967" spans="2:9" x14ac:dyDescent="0.25">
      <c r="B967" t="s">
        <v>592</v>
      </c>
      <c r="C967" s="22" t="s">
        <v>29</v>
      </c>
      <c r="D967">
        <v>1</v>
      </c>
      <c r="G967" s="30">
        <f>Table132[[#This Row],[nb win]]/Table132[[#This Row],[nb play]]</f>
        <v>0</v>
      </c>
      <c r="H967" t="str">
        <f>MID(Table132[[#This Row],[ÉTAT]],VALUE(RIGHT(Table132[[#This Row],[next move]],1))+1+VALUE(LEFT(Table132[[#This Row],[next move]],1))*3,1)</f>
        <v>V</v>
      </c>
      <c r="I967" t="str">
        <f>Table132[[#This Row],[ÉTAT]]&amp;Table132[[#This Row],[next move]]</f>
        <v>VVMMVEEVE11</v>
      </c>
    </row>
    <row r="968" spans="2:9" x14ac:dyDescent="0.25">
      <c r="B968" t="s">
        <v>2443</v>
      </c>
      <c r="C968" s="22" t="s">
        <v>29</v>
      </c>
      <c r="D968">
        <v>1</v>
      </c>
      <c r="E968">
        <v>1</v>
      </c>
      <c r="G968" s="25">
        <f>Table132[[#This Row],[nb win]]/Table132[[#This Row],[nb play]]</f>
        <v>1</v>
      </c>
      <c r="H968" t="str">
        <f>MID(Table132[[#This Row],[ÉTAT]],VALUE(RIGHT(Table132[[#This Row],[next move]],1))+1+VALUE(LEFT(Table132[[#This Row],[next move]],1))*3,1)</f>
        <v>V</v>
      </c>
      <c r="I968" t="str">
        <f>Table132[[#This Row],[ÉTAT]]&amp;Table132[[#This Row],[next move]]</f>
        <v>VVMMVEEME11</v>
      </c>
    </row>
    <row r="969" spans="2:9" x14ac:dyDescent="0.25">
      <c r="B969" t="s">
        <v>3025</v>
      </c>
      <c r="C969" s="22" t="s">
        <v>29</v>
      </c>
      <c r="D969">
        <v>1</v>
      </c>
      <c r="E969">
        <v>1</v>
      </c>
      <c r="G969" s="25">
        <f>Table132[[#This Row],[nb win]]/Table132[[#This Row],[nb play]]</f>
        <v>1</v>
      </c>
      <c r="H969" t="str">
        <f>MID(Table132[[#This Row],[ÉTAT]],VALUE(RIGHT(Table132[[#This Row],[next move]],1))+1+VALUE(LEFT(Table132[[#This Row],[next move]],1))*3,1)</f>
        <v>V</v>
      </c>
      <c r="I969" t="str">
        <f>Table132[[#This Row],[ÉTAT]]&amp;Table132[[#This Row],[next move]]</f>
        <v>VVMMVEEEM11</v>
      </c>
    </row>
    <row r="970" spans="2:9" x14ac:dyDescent="0.25">
      <c r="B970" t="s">
        <v>1427</v>
      </c>
      <c r="C970" s="22" t="s">
        <v>26</v>
      </c>
      <c r="D970">
        <v>1</v>
      </c>
      <c r="G970" s="25">
        <f>Table132[[#This Row],[nb win]]/Table132[[#This Row],[nb play]]</f>
        <v>0</v>
      </c>
      <c r="H970" t="str">
        <f>MID(Table132[[#This Row],[ÉTAT]],VALUE(RIGHT(Table132[[#This Row],[next move]],1))+1+VALUE(LEFT(Table132[[#This Row],[next move]],1))*3,1)</f>
        <v>V</v>
      </c>
      <c r="I970" t="str">
        <f>Table132[[#This Row],[ÉTAT]]&amp;Table132[[#This Row],[next move]]</f>
        <v>VVMMMEVEE01</v>
      </c>
    </row>
    <row r="971" spans="2:9" x14ac:dyDescent="0.25">
      <c r="B971" t="s">
        <v>1427</v>
      </c>
      <c r="C971" s="22" t="s">
        <v>35</v>
      </c>
      <c r="D971">
        <v>1</v>
      </c>
      <c r="E971">
        <v>1</v>
      </c>
      <c r="G971" s="25">
        <f>Table132[[#This Row],[nb win]]/Table132[[#This Row],[nb play]]</f>
        <v>1</v>
      </c>
      <c r="H971" t="str">
        <f>MID(Table132[[#This Row],[ÉTAT]],VALUE(RIGHT(Table132[[#This Row],[next move]],1))+1+VALUE(LEFT(Table132[[#This Row],[next move]],1))*3,1)</f>
        <v>V</v>
      </c>
      <c r="I971" t="str">
        <f>Table132[[#This Row],[ÉTAT]]&amp;Table132[[#This Row],[next move]]</f>
        <v>VVMMMEVEE20</v>
      </c>
    </row>
    <row r="972" spans="2:9" x14ac:dyDescent="0.25">
      <c r="B972" t="s">
        <v>2944</v>
      </c>
      <c r="C972" s="22" t="s">
        <v>24</v>
      </c>
      <c r="D972">
        <v>1</v>
      </c>
      <c r="G972" s="25">
        <f>Table132[[#This Row],[nb win]]/Table132[[#This Row],[nb play]]</f>
        <v>0</v>
      </c>
      <c r="H972" t="str">
        <f>MID(Table132[[#This Row],[ÉTAT]],VALUE(RIGHT(Table132[[#This Row],[next move]],1))+1+VALUE(LEFT(Table132[[#This Row],[next move]],1))*3,1)</f>
        <v>V</v>
      </c>
      <c r="I972" t="str">
        <f>Table132[[#This Row],[ÉTAT]]&amp;Table132[[#This Row],[next move]]</f>
        <v>VVMMMEEVE00</v>
      </c>
    </row>
    <row r="973" spans="2:9" x14ac:dyDescent="0.25">
      <c r="B973" t="s">
        <v>2944</v>
      </c>
      <c r="C973" s="22" t="s">
        <v>26</v>
      </c>
      <c r="D973">
        <v>1</v>
      </c>
      <c r="G973" s="30">
        <f>Table132[[#This Row],[nb win]]/Table132[[#This Row],[nb play]]</f>
        <v>0</v>
      </c>
      <c r="H973" t="str">
        <f>MID(Table132[[#This Row],[ÉTAT]],VALUE(RIGHT(Table132[[#This Row],[next move]],1))+1+VALUE(LEFT(Table132[[#This Row],[next move]],1))*3,1)</f>
        <v>V</v>
      </c>
      <c r="I973" t="str">
        <f>Table132[[#This Row],[ÉTAT]]&amp;Table132[[#This Row],[next move]]</f>
        <v>VVMMMEEVE01</v>
      </c>
    </row>
    <row r="974" spans="2:9" x14ac:dyDescent="0.25">
      <c r="B974" t="s">
        <v>164</v>
      </c>
      <c r="C974" s="22" t="s">
        <v>24</v>
      </c>
      <c r="D974">
        <v>2</v>
      </c>
      <c r="E974">
        <v>1</v>
      </c>
      <c r="G974" s="25">
        <f>Table132[[#This Row],[nb win]]/Table132[[#This Row],[nb play]]</f>
        <v>0.5</v>
      </c>
      <c r="H974" t="str">
        <f>MID(Table132[[#This Row],[ÉTAT]],VALUE(RIGHT(Table132[[#This Row],[next move]],1))+1+VALUE(LEFT(Table132[[#This Row],[next move]],1))*3,1)</f>
        <v>V</v>
      </c>
      <c r="I974" t="str">
        <f>Table132[[#This Row],[ÉTAT]]&amp;Table132[[#This Row],[next move]]</f>
        <v>VVMMMEEEV00</v>
      </c>
    </row>
    <row r="975" spans="2:9" x14ac:dyDescent="0.25">
      <c r="B975" t="s">
        <v>1668</v>
      </c>
      <c r="C975" s="22" t="s">
        <v>24</v>
      </c>
      <c r="D975">
        <v>5</v>
      </c>
      <c r="E975">
        <v>5</v>
      </c>
      <c r="G975" s="31">
        <f>Table132[[#This Row],[nb win]]/Table132[[#This Row],[nb play]]</f>
        <v>1</v>
      </c>
      <c r="H975" t="str">
        <f>MID(Table132[[#This Row],[ÉTAT]],VALUE(RIGHT(Table132[[#This Row],[next move]],1))+1+VALUE(LEFT(Table132[[#This Row],[next move]],1))*3,1)</f>
        <v>V</v>
      </c>
      <c r="I975" t="str">
        <f>Table132[[#This Row],[ÉTAT]]&amp;Table132[[#This Row],[next move]]</f>
        <v>VVMMEVVVE00</v>
      </c>
    </row>
    <row r="976" spans="2:9" x14ac:dyDescent="0.25">
      <c r="B976" t="s">
        <v>1668</v>
      </c>
      <c r="C976" s="22" t="s">
        <v>26</v>
      </c>
      <c r="D976">
        <v>2</v>
      </c>
      <c r="E976">
        <v>1</v>
      </c>
      <c r="G976" s="25">
        <f>Table132[[#This Row],[nb win]]/Table132[[#This Row],[nb play]]</f>
        <v>0.5</v>
      </c>
      <c r="H976" t="str">
        <f>MID(Table132[[#This Row],[ÉTAT]],VALUE(RIGHT(Table132[[#This Row],[next move]],1))+1+VALUE(LEFT(Table132[[#This Row],[next move]],1))*3,1)</f>
        <v>V</v>
      </c>
      <c r="I976" t="str">
        <f>Table132[[#This Row],[ÉTAT]]&amp;Table132[[#This Row],[next move]]</f>
        <v>VVMMEVVVE01</v>
      </c>
    </row>
    <row r="977" spans="2:9" x14ac:dyDescent="0.25">
      <c r="B977" t="s">
        <v>1668</v>
      </c>
      <c r="C977" s="22" t="s">
        <v>22</v>
      </c>
      <c r="D977">
        <v>1</v>
      </c>
      <c r="G977" s="25">
        <f>Table132[[#This Row],[nb win]]/Table132[[#This Row],[nb play]]</f>
        <v>0</v>
      </c>
      <c r="H977" t="str">
        <f>MID(Table132[[#This Row],[ÉTAT]],VALUE(RIGHT(Table132[[#This Row],[next move]],1))+1+VALUE(LEFT(Table132[[#This Row],[next move]],1))*3,1)</f>
        <v>V</v>
      </c>
      <c r="I977" t="str">
        <f>Table132[[#This Row],[ÉTAT]]&amp;Table132[[#This Row],[next move]]</f>
        <v>VVMMEVVVE21</v>
      </c>
    </row>
    <row r="978" spans="2:9" x14ac:dyDescent="0.25">
      <c r="B978" t="s">
        <v>2353</v>
      </c>
      <c r="C978" s="22" t="s">
        <v>24</v>
      </c>
      <c r="D978">
        <v>5</v>
      </c>
      <c r="E978">
        <v>3</v>
      </c>
      <c r="G978" s="30">
        <f>Table132[[#This Row],[nb win]]/Table132[[#This Row],[nb play]]</f>
        <v>0.6</v>
      </c>
      <c r="H978" t="str">
        <f>MID(Table132[[#This Row],[ÉTAT]],VALUE(RIGHT(Table132[[#This Row],[next move]],1))+1+VALUE(LEFT(Table132[[#This Row],[next move]],1))*3,1)</f>
        <v>V</v>
      </c>
      <c r="I978" t="str">
        <f>Table132[[#This Row],[ÉTAT]]&amp;Table132[[#This Row],[next move]]</f>
        <v>VVMMEVVEV00</v>
      </c>
    </row>
    <row r="979" spans="2:9" x14ac:dyDescent="0.25">
      <c r="B979" t="s">
        <v>2353</v>
      </c>
      <c r="C979" s="22" t="s">
        <v>26</v>
      </c>
      <c r="D979">
        <v>6</v>
      </c>
      <c r="E979">
        <v>4</v>
      </c>
      <c r="G979" s="30">
        <f>Table132[[#This Row],[nb win]]/Table132[[#This Row],[nb play]]</f>
        <v>0.66666666666666663</v>
      </c>
      <c r="H979" t="str">
        <f>MID(Table132[[#This Row],[ÉTAT]],VALUE(RIGHT(Table132[[#This Row],[next move]],1))+1+VALUE(LEFT(Table132[[#This Row],[next move]],1))*3,1)</f>
        <v>V</v>
      </c>
      <c r="I979" t="str">
        <f>Table132[[#This Row],[ÉTAT]]&amp;Table132[[#This Row],[next move]]</f>
        <v>VVMMEVVEV01</v>
      </c>
    </row>
    <row r="980" spans="2:9" x14ac:dyDescent="0.25">
      <c r="B980" t="s">
        <v>2353</v>
      </c>
      <c r="C980" s="22" t="s">
        <v>28</v>
      </c>
      <c r="D980">
        <v>1</v>
      </c>
      <c r="G980" s="25">
        <f>Table132[[#This Row],[nb win]]/Table132[[#This Row],[nb play]]</f>
        <v>0</v>
      </c>
      <c r="H980" t="str">
        <f>MID(Table132[[#This Row],[ÉTAT]],VALUE(RIGHT(Table132[[#This Row],[next move]],1))+1+VALUE(LEFT(Table132[[#This Row],[next move]],1))*3,1)</f>
        <v>V</v>
      </c>
      <c r="I980" t="str">
        <f>Table132[[#This Row],[ÉTAT]]&amp;Table132[[#This Row],[next move]]</f>
        <v>VVMMEVVEV12</v>
      </c>
    </row>
    <row r="981" spans="2:9" x14ac:dyDescent="0.25">
      <c r="B981" t="s">
        <v>2353</v>
      </c>
      <c r="C981" s="22" t="s">
        <v>35</v>
      </c>
      <c r="D981">
        <v>4</v>
      </c>
      <c r="E981">
        <v>2</v>
      </c>
      <c r="G981" s="30">
        <f>Table132[[#This Row],[nb win]]/Table132[[#This Row],[nb play]]</f>
        <v>0.5</v>
      </c>
      <c r="H981" t="str">
        <f>MID(Table132[[#This Row],[ÉTAT]],VALUE(RIGHT(Table132[[#This Row],[next move]],1))+1+VALUE(LEFT(Table132[[#This Row],[next move]],1))*3,1)</f>
        <v>V</v>
      </c>
      <c r="I981" t="str">
        <f>Table132[[#This Row],[ÉTAT]]&amp;Table132[[#This Row],[next move]]</f>
        <v>VVMMEVVEV20</v>
      </c>
    </row>
    <row r="982" spans="2:9" x14ac:dyDescent="0.25">
      <c r="B982" t="s">
        <v>697</v>
      </c>
      <c r="C982" s="22" t="s">
        <v>24</v>
      </c>
      <c r="D982">
        <v>1</v>
      </c>
      <c r="G982" s="25">
        <f>Table132[[#This Row],[nb win]]/Table132[[#This Row],[nb play]]</f>
        <v>0</v>
      </c>
      <c r="H982" t="str">
        <f>MID(Table132[[#This Row],[ÉTAT]],VALUE(RIGHT(Table132[[#This Row],[next move]],1))+1+VALUE(LEFT(Table132[[#This Row],[next move]],1))*3,1)</f>
        <v>V</v>
      </c>
      <c r="I982" t="str">
        <f>Table132[[#This Row],[ÉTAT]]&amp;Table132[[#This Row],[next move]]</f>
        <v>VVMMEVVEE00</v>
      </c>
    </row>
    <row r="983" spans="2:9" x14ac:dyDescent="0.25">
      <c r="B983" t="s">
        <v>697</v>
      </c>
      <c r="C983" s="22" t="s">
        <v>26</v>
      </c>
      <c r="D983">
        <v>1</v>
      </c>
      <c r="G983" s="25">
        <f>Table132[[#This Row],[nb win]]/Table132[[#This Row],[nb play]]</f>
        <v>0</v>
      </c>
      <c r="H983" t="str">
        <f>MID(Table132[[#This Row],[ÉTAT]],VALUE(RIGHT(Table132[[#This Row],[next move]],1))+1+VALUE(LEFT(Table132[[#This Row],[next move]],1))*3,1)</f>
        <v>V</v>
      </c>
      <c r="I983" t="str">
        <f>Table132[[#This Row],[ÉTAT]]&amp;Table132[[#This Row],[next move]]</f>
        <v>VVMMEVVEE01</v>
      </c>
    </row>
    <row r="984" spans="2:9" x14ac:dyDescent="0.25">
      <c r="B984" t="s">
        <v>697</v>
      </c>
      <c r="C984" s="22" t="s">
        <v>35</v>
      </c>
      <c r="D984">
        <v>3</v>
      </c>
      <c r="E984">
        <v>1</v>
      </c>
      <c r="G984" s="30">
        <f>Table132[[#This Row],[nb win]]/Table132[[#This Row],[nb play]]</f>
        <v>0.33333333333333331</v>
      </c>
      <c r="H984" t="str">
        <f>MID(Table132[[#This Row],[ÉTAT]],VALUE(RIGHT(Table132[[#This Row],[next move]],1))+1+VALUE(LEFT(Table132[[#This Row],[next move]],1))*3,1)</f>
        <v>V</v>
      </c>
      <c r="I984" t="str">
        <f>Table132[[#This Row],[ÉTAT]]&amp;Table132[[#This Row],[next move]]</f>
        <v>VVMMEVVEE20</v>
      </c>
    </row>
    <row r="985" spans="2:9" x14ac:dyDescent="0.25">
      <c r="B985" t="s">
        <v>1385</v>
      </c>
      <c r="C985" s="22" t="s">
        <v>24</v>
      </c>
      <c r="D985">
        <v>2</v>
      </c>
      <c r="E985">
        <v>2</v>
      </c>
      <c r="G985" s="31">
        <f>Table132[[#This Row],[nb win]]/Table132[[#This Row],[nb play]]</f>
        <v>1</v>
      </c>
      <c r="H985" t="str">
        <f>MID(Table132[[#This Row],[ÉTAT]],VALUE(RIGHT(Table132[[#This Row],[next move]],1))+1+VALUE(LEFT(Table132[[#This Row],[next move]],1))*3,1)</f>
        <v>V</v>
      </c>
      <c r="I985" t="str">
        <f>Table132[[#This Row],[ÉTAT]]&amp;Table132[[#This Row],[next move]]</f>
        <v>VVMMEVMEE00</v>
      </c>
    </row>
    <row r="986" spans="2:9" x14ac:dyDescent="0.25">
      <c r="B986" t="s">
        <v>1385</v>
      </c>
      <c r="C986" s="22" t="s">
        <v>26</v>
      </c>
      <c r="D986">
        <v>2</v>
      </c>
      <c r="E986">
        <v>1</v>
      </c>
      <c r="G986" s="31">
        <f>Table132[[#This Row],[nb win]]/Table132[[#This Row],[nb play]]</f>
        <v>0.5</v>
      </c>
      <c r="H986" t="str">
        <f>MID(Table132[[#This Row],[ÉTAT]],VALUE(RIGHT(Table132[[#This Row],[next move]],1))+1+VALUE(LEFT(Table132[[#This Row],[next move]],1))*3,1)</f>
        <v>V</v>
      </c>
      <c r="I986" t="str">
        <f>Table132[[#This Row],[ÉTAT]]&amp;Table132[[#This Row],[next move]]</f>
        <v>VVMMEVMEE01</v>
      </c>
    </row>
    <row r="987" spans="2:9" x14ac:dyDescent="0.25">
      <c r="B987" t="s">
        <v>2405</v>
      </c>
      <c r="C987" s="22" t="s">
        <v>26</v>
      </c>
      <c r="D987">
        <v>4</v>
      </c>
      <c r="E987">
        <v>3</v>
      </c>
      <c r="G987" s="30">
        <f>Table132[[#This Row],[nb win]]/Table132[[#This Row],[nb play]]</f>
        <v>0.75</v>
      </c>
      <c r="H987" t="str">
        <f>MID(Table132[[#This Row],[ÉTAT]],VALUE(RIGHT(Table132[[#This Row],[next move]],1))+1+VALUE(LEFT(Table132[[#This Row],[next move]],1))*3,1)</f>
        <v>V</v>
      </c>
      <c r="I987" t="str">
        <f>Table132[[#This Row],[ÉTAT]]&amp;Table132[[#This Row],[next move]]</f>
        <v>VVMMEVEVV01</v>
      </c>
    </row>
    <row r="988" spans="2:9" x14ac:dyDescent="0.25">
      <c r="B988" t="s">
        <v>2405</v>
      </c>
      <c r="C988" s="22" t="s">
        <v>28</v>
      </c>
      <c r="D988">
        <v>1</v>
      </c>
      <c r="E988">
        <v>1</v>
      </c>
      <c r="G988" s="31">
        <f>Table132[[#This Row],[nb win]]/Table132[[#This Row],[nb play]]</f>
        <v>1</v>
      </c>
      <c r="H988" t="str">
        <f>MID(Table132[[#This Row],[ÉTAT]],VALUE(RIGHT(Table132[[#This Row],[next move]],1))+1+VALUE(LEFT(Table132[[#This Row],[next move]],1))*3,1)</f>
        <v>V</v>
      </c>
      <c r="I988" t="str">
        <f>Table132[[#This Row],[ÉTAT]]&amp;Table132[[#This Row],[next move]]</f>
        <v>VVMMEVEVV12</v>
      </c>
    </row>
    <row r="989" spans="2:9" x14ac:dyDescent="0.25">
      <c r="B989" t="s">
        <v>2276</v>
      </c>
      <c r="C989" s="22" t="s">
        <v>24</v>
      </c>
      <c r="D989">
        <v>1</v>
      </c>
      <c r="E989">
        <v>1</v>
      </c>
      <c r="G989" s="25">
        <f>Table132[[#This Row],[nb win]]/Table132[[#This Row],[nb play]]</f>
        <v>1</v>
      </c>
      <c r="H989" t="str">
        <f>MID(Table132[[#This Row],[ÉTAT]],VALUE(RIGHT(Table132[[#This Row],[next move]],1))+1+VALUE(LEFT(Table132[[#This Row],[next move]],1))*3,1)</f>
        <v>V</v>
      </c>
      <c r="I989" t="str">
        <f>Table132[[#This Row],[ÉTAT]]&amp;Table132[[#This Row],[next move]]</f>
        <v>VVMMEVEME00</v>
      </c>
    </row>
    <row r="990" spans="2:9" x14ac:dyDescent="0.25">
      <c r="B990" t="s">
        <v>629</v>
      </c>
      <c r="C990" s="22" t="s">
        <v>24</v>
      </c>
      <c r="D990">
        <v>2</v>
      </c>
      <c r="E990">
        <v>1</v>
      </c>
      <c r="G990" s="25">
        <f>Table132[[#This Row],[nb win]]/Table132[[#This Row],[nb play]]</f>
        <v>0.5</v>
      </c>
      <c r="H990" t="str">
        <f>MID(Table132[[#This Row],[ÉTAT]],VALUE(RIGHT(Table132[[#This Row],[next move]],1))+1+VALUE(LEFT(Table132[[#This Row],[next move]],1))*3,1)</f>
        <v>V</v>
      </c>
      <c r="I990" t="str">
        <f>Table132[[#This Row],[ÉTAT]]&amp;Table132[[#This Row],[next move]]</f>
        <v>VVMMEVEEV00</v>
      </c>
    </row>
    <row r="991" spans="2:9" x14ac:dyDescent="0.25">
      <c r="B991" t="s">
        <v>629</v>
      </c>
      <c r="C991" s="22" t="s">
        <v>28</v>
      </c>
      <c r="D991">
        <v>1</v>
      </c>
      <c r="G991" s="25">
        <f>Table132[[#This Row],[nb win]]/Table132[[#This Row],[nb play]]</f>
        <v>0</v>
      </c>
      <c r="H991" t="str">
        <f>MID(Table132[[#This Row],[ÉTAT]],VALUE(RIGHT(Table132[[#This Row],[next move]],1))+1+VALUE(LEFT(Table132[[#This Row],[next move]],1))*3,1)</f>
        <v>V</v>
      </c>
      <c r="I991" t="str">
        <f>Table132[[#This Row],[ÉTAT]]&amp;Table132[[#This Row],[next move]]</f>
        <v>VVMMEVEEV12</v>
      </c>
    </row>
    <row r="992" spans="2:9" x14ac:dyDescent="0.25">
      <c r="B992" t="s">
        <v>629</v>
      </c>
      <c r="C992" s="22" t="s">
        <v>31</v>
      </c>
      <c r="D992">
        <v>1</v>
      </c>
      <c r="G992" s="25">
        <f>Table132[[#This Row],[nb win]]/Table132[[#This Row],[nb play]]</f>
        <v>0</v>
      </c>
      <c r="H992" t="str">
        <f>MID(Table132[[#This Row],[ÉTAT]],VALUE(RIGHT(Table132[[#This Row],[next move]],1))+1+VALUE(LEFT(Table132[[#This Row],[next move]],1))*3,1)</f>
        <v>V</v>
      </c>
      <c r="I992" t="str">
        <f>Table132[[#This Row],[ÉTAT]]&amp;Table132[[#This Row],[next move]]</f>
        <v>VVMMEVEEV22</v>
      </c>
    </row>
    <row r="993" spans="2:9" x14ac:dyDescent="0.25">
      <c r="B993" t="s">
        <v>2571</v>
      </c>
      <c r="C993" s="22" t="s">
        <v>24</v>
      </c>
      <c r="D993">
        <v>1</v>
      </c>
      <c r="G993" s="25">
        <f>Table132[[#This Row],[nb win]]/Table132[[#This Row],[nb play]]</f>
        <v>0</v>
      </c>
      <c r="H993" t="str">
        <f>MID(Table132[[#This Row],[ÉTAT]],VALUE(RIGHT(Table132[[#This Row],[next move]],1))+1+VALUE(LEFT(Table132[[#This Row],[next move]],1))*3,1)</f>
        <v>V</v>
      </c>
      <c r="I993" t="str">
        <f>Table132[[#This Row],[ÉTAT]]&amp;Table132[[#This Row],[next move]]</f>
        <v>VVMMEMVEE00</v>
      </c>
    </row>
    <row r="994" spans="2:9" x14ac:dyDescent="0.25">
      <c r="B994" t="s">
        <v>2571</v>
      </c>
      <c r="C994" s="22" t="s">
        <v>26</v>
      </c>
      <c r="D994">
        <v>2</v>
      </c>
      <c r="G994" s="30">
        <f>Table132[[#This Row],[nb win]]/Table132[[#This Row],[nb play]]</f>
        <v>0</v>
      </c>
      <c r="H994" t="str">
        <f>MID(Table132[[#This Row],[ÉTAT]],VALUE(RIGHT(Table132[[#This Row],[next move]],1))+1+VALUE(LEFT(Table132[[#This Row],[next move]],1))*3,1)</f>
        <v>V</v>
      </c>
      <c r="I994" t="str">
        <f>Table132[[#This Row],[ÉTAT]]&amp;Table132[[#This Row],[next move]]</f>
        <v>VVMMEMVEE01</v>
      </c>
    </row>
    <row r="995" spans="2:9" x14ac:dyDescent="0.25">
      <c r="B995" t="s">
        <v>2571</v>
      </c>
      <c r="C995" s="22" t="s">
        <v>35</v>
      </c>
      <c r="D995">
        <v>1</v>
      </c>
      <c r="G995" s="30">
        <f>Table132[[#This Row],[nb win]]/Table132[[#This Row],[nb play]]</f>
        <v>0</v>
      </c>
      <c r="H995" t="str">
        <f>MID(Table132[[#This Row],[ÉTAT]],VALUE(RIGHT(Table132[[#This Row],[next move]],1))+1+VALUE(LEFT(Table132[[#This Row],[next move]],1))*3,1)</f>
        <v>V</v>
      </c>
      <c r="I995" t="str">
        <f>Table132[[#This Row],[ÉTAT]]&amp;Table132[[#This Row],[next move]]</f>
        <v>VVMMEMVEE20</v>
      </c>
    </row>
    <row r="996" spans="2:9" x14ac:dyDescent="0.25">
      <c r="B996" t="s">
        <v>609</v>
      </c>
      <c r="C996" s="22" t="s">
        <v>26</v>
      </c>
      <c r="D996">
        <v>1</v>
      </c>
      <c r="E996">
        <v>1</v>
      </c>
      <c r="G996" s="25">
        <f>Table132[[#This Row],[nb win]]/Table132[[#This Row],[nb play]]</f>
        <v>1</v>
      </c>
      <c r="H996" t="str">
        <f>MID(Table132[[#This Row],[ÉTAT]],VALUE(RIGHT(Table132[[#This Row],[next move]],1))+1+VALUE(LEFT(Table132[[#This Row],[next move]],1))*3,1)</f>
        <v>V</v>
      </c>
      <c r="I996" t="str">
        <f>Table132[[#This Row],[ÉTAT]]&amp;Table132[[#This Row],[next move]]</f>
        <v>VVMMEMEEV01</v>
      </c>
    </row>
    <row r="997" spans="2:9" x14ac:dyDescent="0.25">
      <c r="B997" t="s">
        <v>2278</v>
      </c>
      <c r="C997" s="22" t="s">
        <v>26</v>
      </c>
      <c r="D997">
        <v>3</v>
      </c>
      <c r="E997">
        <v>2</v>
      </c>
      <c r="G997" s="30">
        <f>Table132[[#This Row],[nb win]]/Table132[[#This Row],[nb play]]</f>
        <v>0.66666666666666663</v>
      </c>
      <c r="H997" t="str">
        <f>MID(Table132[[#This Row],[ÉTAT]],VALUE(RIGHT(Table132[[#This Row],[next move]],1))+1+VALUE(LEFT(Table132[[#This Row],[next move]],1))*3,1)</f>
        <v>V</v>
      </c>
      <c r="I997" t="str">
        <f>Table132[[#This Row],[ÉTAT]]&amp;Table132[[#This Row],[next move]]</f>
        <v>VVMMEEVVV01</v>
      </c>
    </row>
    <row r="998" spans="2:9" x14ac:dyDescent="0.25">
      <c r="B998" t="s">
        <v>3194</v>
      </c>
      <c r="C998" s="22" t="s">
        <v>24</v>
      </c>
      <c r="D998">
        <v>1</v>
      </c>
      <c r="E998">
        <v>1</v>
      </c>
      <c r="G998" s="31">
        <f>Table132[[#This Row],[nb win]]/Table132[[#This Row],[nb play]]</f>
        <v>1</v>
      </c>
      <c r="H998" t="str">
        <f>MID(Table132[[#This Row],[ÉTAT]],VALUE(RIGHT(Table132[[#This Row],[next move]],1))+1+VALUE(LEFT(Table132[[#This Row],[next move]],1))*3,1)</f>
        <v>V</v>
      </c>
      <c r="I998" t="str">
        <f>Table132[[#This Row],[ÉTAT]]&amp;Table132[[#This Row],[next move]]</f>
        <v>VVMMEEVVE00</v>
      </c>
    </row>
    <row r="999" spans="2:9" x14ac:dyDescent="0.25">
      <c r="B999" t="s">
        <v>3402</v>
      </c>
      <c r="C999" s="22" t="s">
        <v>35</v>
      </c>
      <c r="D999">
        <v>1</v>
      </c>
      <c r="G999" s="30">
        <f>Table132[[#This Row],[nb win]]/Table132[[#This Row],[nb play]]</f>
        <v>0</v>
      </c>
      <c r="H999" t="str">
        <f>MID(Table132[[#This Row],[ÉTAT]],VALUE(RIGHT(Table132[[#This Row],[next move]],1))+1+VALUE(LEFT(Table132[[#This Row],[next move]],1))*3,1)</f>
        <v>V</v>
      </c>
      <c r="I999" t="str">
        <f>Table132[[#This Row],[ÉTAT]]&amp;Table132[[#This Row],[next move]]</f>
        <v>VVMMEEVME20</v>
      </c>
    </row>
    <row r="1000" spans="2:9" x14ac:dyDescent="0.25">
      <c r="B1000" t="s">
        <v>847</v>
      </c>
      <c r="C1000" s="22" t="s">
        <v>24</v>
      </c>
      <c r="D1000">
        <v>2</v>
      </c>
      <c r="E1000">
        <v>2</v>
      </c>
      <c r="G1000" s="25">
        <f>Table132[[#This Row],[nb win]]/Table132[[#This Row],[nb play]]</f>
        <v>1</v>
      </c>
      <c r="H1000" t="str">
        <f>MID(Table132[[#This Row],[ÉTAT]],VALUE(RIGHT(Table132[[#This Row],[next move]],1))+1+VALUE(LEFT(Table132[[#This Row],[next move]],1))*3,1)</f>
        <v>V</v>
      </c>
      <c r="I1000" t="str">
        <f>Table132[[#This Row],[ÉTAT]]&amp;Table132[[#This Row],[next move]]</f>
        <v>VVMMEEMVE00</v>
      </c>
    </row>
    <row r="1001" spans="2:9" x14ac:dyDescent="0.25">
      <c r="B1001" t="s">
        <v>1085</v>
      </c>
      <c r="C1001" s="22" t="s">
        <v>24</v>
      </c>
      <c r="D1001">
        <v>3</v>
      </c>
      <c r="E1001">
        <v>3</v>
      </c>
      <c r="G1001" s="25">
        <f>Table132[[#This Row],[nb win]]/Table132[[#This Row],[nb play]]</f>
        <v>1</v>
      </c>
      <c r="H1001" t="str">
        <f>MID(Table132[[#This Row],[ÉTAT]],VALUE(RIGHT(Table132[[#This Row],[next move]],1))+1+VALUE(LEFT(Table132[[#This Row],[next move]],1))*3,1)</f>
        <v>V</v>
      </c>
      <c r="I1001" t="str">
        <f>Table132[[#This Row],[ÉTAT]]&amp;Table132[[#This Row],[next move]]</f>
        <v>VVMMEEMEE00</v>
      </c>
    </row>
    <row r="1002" spans="2:9" x14ac:dyDescent="0.25">
      <c r="B1002" t="s">
        <v>675</v>
      </c>
      <c r="C1002" s="22" t="s">
        <v>26</v>
      </c>
      <c r="D1002">
        <v>2</v>
      </c>
      <c r="E1002">
        <v>1</v>
      </c>
      <c r="G1002" s="25">
        <f>Table132[[#This Row],[nb win]]/Table132[[#This Row],[nb play]]</f>
        <v>0.5</v>
      </c>
      <c r="H1002" t="str">
        <f>MID(Table132[[#This Row],[ÉTAT]],VALUE(RIGHT(Table132[[#This Row],[next move]],1))+1+VALUE(LEFT(Table132[[#This Row],[next move]],1))*3,1)</f>
        <v>V</v>
      </c>
      <c r="I1002" t="str">
        <f>Table132[[#This Row],[ÉTAT]]&amp;Table132[[#This Row],[next move]]</f>
        <v>VVMMEEEVV01</v>
      </c>
    </row>
    <row r="1003" spans="2:9" x14ac:dyDescent="0.25">
      <c r="B1003" t="s">
        <v>675</v>
      </c>
      <c r="C1003" s="22" t="s">
        <v>22</v>
      </c>
      <c r="D1003">
        <v>1</v>
      </c>
      <c r="G1003" s="25">
        <f>Table132[[#This Row],[nb win]]/Table132[[#This Row],[nb play]]</f>
        <v>0</v>
      </c>
      <c r="H1003" t="str">
        <f>MID(Table132[[#This Row],[ÉTAT]],VALUE(RIGHT(Table132[[#This Row],[next move]],1))+1+VALUE(LEFT(Table132[[#This Row],[next move]],1))*3,1)</f>
        <v>V</v>
      </c>
      <c r="I1003" t="str">
        <f>Table132[[#This Row],[ÉTAT]]&amp;Table132[[#This Row],[next move]]</f>
        <v>VVMMEEEVV21</v>
      </c>
    </row>
    <row r="1004" spans="2:9" x14ac:dyDescent="0.25">
      <c r="B1004" t="s">
        <v>3201</v>
      </c>
      <c r="C1004" s="22" t="s">
        <v>24</v>
      </c>
      <c r="D1004">
        <v>1</v>
      </c>
      <c r="E1004">
        <v>1</v>
      </c>
      <c r="G1004" s="31">
        <f>Table132[[#This Row],[nb win]]/Table132[[#This Row],[nb play]]</f>
        <v>1</v>
      </c>
      <c r="H1004" t="str">
        <f>MID(Table132[[#This Row],[ÉTAT]],VALUE(RIGHT(Table132[[#This Row],[next move]],1))+1+VALUE(LEFT(Table132[[#This Row],[next move]],1))*3,1)</f>
        <v>V</v>
      </c>
      <c r="I1004" t="str">
        <f>Table132[[#This Row],[ÉTAT]]&amp;Table132[[#This Row],[next move]]</f>
        <v>VVMMEEEVM00</v>
      </c>
    </row>
    <row r="1005" spans="2:9" x14ac:dyDescent="0.25">
      <c r="B1005" t="s">
        <v>676</v>
      </c>
      <c r="C1005" s="22" t="s">
        <v>26</v>
      </c>
      <c r="D1005">
        <v>1</v>
      </c>
      <c r="G1005" s="25">
        <f>Table132[[#This Row],[nb win]]/Table132[[#This Row],[nb play]]</f>
        <v>0</v>
      </c>
      <c r="H1005" t="str">
        <f>MID(Table132[[#This Row],[ÉTAT]],VALUE(RIGHT(Table132[[#This Row],[next move]],1))+1+VALUE(LEFT(Table132[[#This Row],[next move]],1))*3,1)</f>
        <v>V</v>
      </c>
      <c r="I1005" t="str">
        <f>Table132[[#This Row],[ÉTAT]]&amp;Table132[[#This Row],[next move]]</f>
        <v>VVMMEEEME01</v>
      </c>
    </row>
    <row r="1006" spans="2:9" x14ac:dyDescent="0.25">
      <c r="B1006" t="s">
        <v>335</v>
      </c>
      <c r="C1006" s="22" t="s">
        <v>24</v>
      </c>
      <c r="D1006">
        <v>9</v>
      </c>
      <c r="E1006">
        <v>6</v>
      </c>
      <c r="G1006" s="31">
        <f>Table132[[#This Row],[nb win]]/Table132[[#This Row],[nb play]]</f>
        <v>0.66666666666666663</v>
      </c>
      <c r="H1006" t="str">
        <f>MID(Table132[[#This Row],[ÉTAT]],VALUE(RIGHT(Table132[[#This Row],[next move]],1))+1+VALUE(LEFT(Table132[[#This Row],[next move]],1))*3,1)</f>
        <v>V</v>
      </c>
      <c r="I1006" t="str">
        <f>Table132[[#This Row],[ÉTAT]]&amp;Table132[[#This Row],[next move]]</f>
        <v>VVMEVVVVV00</v>
      </c>
    </row>
    <row r="1007" spans="2:9" x14ac:dyDescent="0.25">
      <c r="B1007" t="s">
        <v>335</v>
      </c>
      <c r="C1007" s="22" t="s">
        <v>26</v>
      </c>
      <c r="D1007">
        <v>8</v>
      </c>
      <c r="E1007">
        <v>5</v>
      </c>
      <c r="G1007" s="31">
        <f>Table132[[#This Row],[nb win]]/Table132[[#This Row],[nb play]]</f>
        <v>0.625</v>
      </c>
      <c r="H1007" t="str">
        <f>MID(Table132[[#This Row],[ÉTAT]],VALUE(RIGHT(Table132[[#This Row],[next move]],1))+1+VALUE(LEFT(Table132[[#This Row],[next move]],1))*3,1)</f>
        <v>V</v>
      </c>
      <c r="I1007" t="str">
        <f>Table132[[#This Row],[ÉTAT]]&amp;Table132[[#This Row],[next move]]</f>
        <v>VVMEVVVVV01</v>
      </c>
    </row>
    <row r="1008" spans="2:9" x14ac:dyDescent="0.25">
      <c r="B1008" t="s">
        <v>335</v>
      </c>
      <c r="C1008" s="22" t="s">
        <v>29</v>
      </c>
      <c r="D1008">
        <v>4</v>
      </c>
      <c r="E1008">
        <v>3</v>
      </c>
      <c r="G1008" s="31">
        <f>Table132[[#This Row],[nb win]]/Table132[[#This Row],[nb play]]</f>
        <v>0.75</v>
      </c>
      <c r="H1008" t="str">
        <f>MID(Table132[[#This Row],[ÉTAT]],VALUE(RIGHT(Table132[[#This Row],[next move]],1))+1+VALUE(LEFT(Table132[[#This Row],[next move]],1))*3,1)</f>
        <v>V</v>
      </c>
      <c r="I1008" t="str">
        <f>Table132[[#This Row],[ÉTAT]]&amp;Table132[[#This Row],[next move]]</f>
        <v>VVMEVVVVV11</v>
      </c>
    </row>
    <row r="1009" spans="2:9" x14ac:dyDescent="0.25">
      <c r="B1009" t="s">
        <v>335</v>
      </c>
      <c r="C1009" s="22" t="s">
        <v>28</v>
      </c>
      <c r="D1009">
        <v>8</v>
      </c>
      <c r="E1009">
        <v>7</v>
      </c>
      <c r="G1009" s="31">
        <f>Table132[[#This Row],[nb win]]/Table132[[#This Row],[nb play]]</f>
        <v>0.875</v>
      </c>
      <c r="H1009" t="str">
        <f>MID(Table132[[#This Row],[ÉTAT]],VALUE(RIGHT(Table132[[#This Row],[next move]],1))+1+VALUE(LEFT(Table132[[#This Row],[next move]],1))*3,1)</f>
        <v>V</v>
      </c>
      <c r="I1009" t="str">
        <f>Table132[[#This Row],[ÉTAT]]&amp;Table132[[#This Row],[next move]]</f>
        <v>VVMEVVVVV12</v>
      </c>
    </row>
    <row r="1010" spans="2:9" x14ac:dyDescent="0.25">
      <c r="B1010" t="s">
        <v>335</v>
      </c>
      <c r="C1010" s="22" t="s">
        <v>35</v>
      </c>
      <c r="D1010">
        <v>17</v>
      </c>
      <c r="E1010">
        <v>10</v>
      </c>
      <c r="G1010" s="31">
        <f>Table132[[#This Row],[nb win]]/Table132[[#This Row],[nb play]]</f>
        <v>0.58823529411764708</v>
      </c>
      <c r="H1010" t="str">
        <f>MID(Table132[[#This Row],[ÉTAT]],VALUE(RIGHT(Table132[[#This Row],[next move]],1))+1+VALUE(LEFT(Table132[[#This Row],[next move]],1))*3,1)</f>
        <v>V</v>
      </c>
      <c r="I1010" t="str">
        <f>Table132[[#This Row],[ÉTAT]]&amp;Table132[[#This Row],[next move]]</f>
        <v>VVMEVVVVV20</v>
      </c>
    </row>
    <row r="1011" spans="2:9" x14ac:dyDescent="0.25">
      <c r="B1011" t="s">
        <v>335</v>
      </c>
      <c r="C1011" s="22" t="s">
        <v>22</v>
      </c>
      <c r="D1011">
        <v>4</v>
      </c>
      <c r="E1011">
        <v>3</v>
      </c>
      <c r="G1011" s="31">
        <f>Table132[[#This Row],[nb win]]/Table132[[#This Row],[nb play]]</f>
        <v>0.75</v>
      </c>
      <c r="H1011" t="str">
        <f>MID(Table132[[#This Row],[ÉTAT]],VALUE(RIGHT(Table132[[#This Row],[next move]],1))+1+VALUE(LEFT(Table132[[#This Row],[next move]],1))*3,1)</f>
        <v>V</v>
      </c>
      <c r="I1011" t="str">
        <f>Table132[[#This Row],[ÉTAT]]&amp;Table132[[#This Row],[next move]]</f>
        <v>VVMEVVVVV21</v>
      </c>
    </row>
    <row r="1012" spans="2:9" x14ac:dyDescent="0.25">
      <c r="B1012" t="s">
        <v>335</v>
      </c>
      <c r="C1012" s="22" t="s">
        <v>31</v>
      </c>
      <c r="D1012">
        <v>4</v>
      </c>
      <c r="E1012">
        <v>2</v>
      </c>
      <c r="G1012" s="30">
        <f>Table132[[#This Row],[nb win]]/Table132[[#This Row],[nb play]]</f>
        <v>0.5</v>
      </c>
      <c r="H1012" t="str">
        <f>MID(Table132[[#This Row],[ÉTAT]],VALUE(RIGHT(Table132[[#This Row],[next move]],1))+1+VALUE(LEFT(Table132[[#This Row],[next move]],1))*3,1)</f>
        <v>V</v>
      </c>
      <c r="I1012" t="str">
        <f>Table132[[#This Row],[ÉTAT]]&amp;Table132[[#This Row],[next move]]</f>
        <v>VVMEVVVVV22</v>
      </c>
    </row>
    <row r="1013" spans="2:9" x14ac:dyDescent="0.25">
      <c r="B1013" t="s">
        <v>580</v>
      </c>
      <c r="C1013" s="22" t="s">
        <v>24</v>
      </c>
      <c r="D1013">
        <v>2</v>
      </c>
      <c r="E1013">
        <v>1</v>
      </c>
      <c r="G1013" s="31">
        <f>Table132[[#This Row],[nb win]]/Table132[[#This Row],[nb play]]</f>
        <v>0.5</v>
      </c>
      <c r="H1013" t="str">
        <f>MID(Table132[[#This Row],[ÉTAT]],VALUE(RIGHT(Table132[[#This Row],[next move]],1))+1+VALUE(LEFT(Table132[[#This Row],[next move]],1))*3,1)</f>
        <v>V</v>
      </c>
      <c r="I1013" t="str">
        <f>Table132[[#This Row],[ÉTAT]]&amp;Table132[[#This Row],[next move]]</f>
        <v>VVMEVVVVE00</v>
      </c>
    </row>
    <row r="1014" spans="2:9" x14ac:dyDescent="0.25">
      <c r="B1014" t="s">
        <v>580</v>
      </c>
      <c r="C1014" s="22" t="s">
        <v>26</v>
      </c>
      <c r="D1014">
        <v>4</v>
      </c>
      <c r="G1014" s="30">
        <f>Table132[[#This Row],[nb win]]/Table132[[#This Row],[nb play]]</f>
        <v>0</v>
      </c>
      <c r="H1014" t="str">
        <f>MID(Table132[[#This Row],[ÉTAT]],VALUE(RIGHT(Table132[[#This Row],[next move]],1))+1+VALUE(LEFT(Table132[[#This Row],[next move]],1))*3,1)</f>
        <v>V</v>
      </c>
      <c r="I1014" t="str">
        <f>Table132[[#This Row],[ÉTAT]]&amp;Table132[[#This Row],[next move]]</f>
        <v>VVMEVVVVE01</v>
      </c>
    </row>
    <row r="1015" spans="2:9" x14ac:dyDescent="0.25">
      <c r="B1015" t="s">
        <v>580</v>
      </c>
      <c r="C1015" s="22" t="s">
        <v>29</v>
      </c>
      <c r="D1015">
        <v>3</v>
      </c>
      <c r="E1015">
        <v>2</v>
      </c>
      <c r="G1015" s="30">
        <f>Table132[[#This Row],[nb win]]/Table132[[#This Row],[nb play]]</f>
        <v>0.66666666666666663</v>
      </c>
      <c r="H1015" t="str">
        <f>MID(Table132[[#This Row],[ÉTAT]],VALUE(RIGHT(Table132[[#This Row],[next move]],1))+1+VALUE(LEFT(Table132[[#This Row],[next move]],1))*3,1)</f>
        <v>V</v>
      </c>
      <c r="I1015" t="str">
        <f>Table132[[#This Row],[ÉTAT]]&amp;Table132[[#This Row],[next move]]</f>
        <v>VVMEVVVVE11</v>
      </c>
    </row>
    <row r="1016" spans="2:9" x14ac:dyDescent="0.25">
      <c r="B1016" t="s">
        <v>580</v>
      </c>
      <c r="C1016" s="22" t="s">
        <v>35</v>
      </c>
      <c r="D1016">
        <v>1</v>
      </c>
      <c r="G1016" s="25">
        <f>Table132[[#This Row],[nb win]]/Table132[[#This Row],[nb play]]</f>
        <v>0</v>
      </c>
      <c r="H1016" t="str">
        <f>MID(Table132[[#This Row],[ÉTAT]],VALUE(RIGHT(Table132[[#This Row],[next move]],1))+1+VALUE(LEFT(Table132[[#This Row],[next move]],1))*3,1)</f>
        <v>V</v>
      </c>
      <c r="I1016" t="str">
        <f>Table132[[#This Row],[ÉTAT]]&amp;Table132[[#This Row],[next move]]</f>
        <v>VVMEVVVVE20</v>
      </c>
    </row>
    <row r="1017" spans="2:9" x14ac:dyDescent="0.25">
      <c r="B1017" t="s">
        <v>2539</v>
      </c>
      <c r="C1017" s="22" t="s">
        <v>35</v>
      </c>
      <c r="D1017">
        <v>2</v>
      </c>
      <c r="E1017">
        <v>2</v>
      </c>
      <c r="G1017" s="31">
        <f>Table132[[#This Row],[nb win]]/Table132[[#This Row],[nb play]]</f>
        <v>1</v>
      </c>
      <c r="H1017" t="str">
        <f>MID(Table132[[#This Row],[ÉTAT]],VALUE(RIGHT(Table132[[#This Row],[next move]],1))+1+VALUE(LEFT(Table132[[#This Row],[next move]],1))*3,1)</f>
        <v>V</v>
      </c>
      <c r="I1017" t="str">
        <f>Table132[[#This Row],[ÉTAT]]&amp;Table132[[#This Row],[next move]]</f>
        <v>VVMEVVVME20</v>
      </c>
    </row>
    <row r="1018" spans="2:9" x14ac:dyDescent="0.25">
      <c r="B1018" t="s">
        <v>1386</v>
      </c>
      <c r="C1018" s="22" t="s">
        <v>24</v>
      </c>
      <c r="D1018">
        <v>2</v>
      </c>
      <c r="E1018">
        <v>1</v>
      </c>
      <c r="G1018" s="31">
        <f>Table132[[#This Row],[nb win]]/Table132[[#This Row],[nb play]]</f>
        <v>0.5</v>
      </c>
      <c r="H1018" t="str">
        <f>MID(Table132[[#This Row],[ÉTAT]],VALUE(RIGHT(Table132[[#This Row],[next move]],1))+1+VALUE(LEFT(Table132[[#This Row],[next move]],1))*3,1)</f>
        <v>V</v>
      </c>
      <c r="I1018" t="str">
        <f>Table132[[#This Row],[ÉTAT]]&amp;Table132[[#This Row],[next move]]</f>
        <v>VVMEVVVEV00</v>
      </c>
    </row>
    <row r="1019" spans="2:9" x14ac:dyDescent="0.25">
      <c r="B1019" t="s">
        <v>1386</v>
      </c>
      <c r="C1019" s="22" t="s">
        <v>26</v>
      </c>
      <c r="D1019">
        <v>4</v>
      </c>
      <c r="E1019">
        <v>3</v>
      </c>
      <c r="G1019" s="30">
        <f>Table132[[#This Row],[nb win]]/Table132[[#This Row],[nb play]]</f>
        <v>0.75</v>
      </c>
      <c r="H1019" t="str">
        <f>MID(Table132[[#This Row],[ÉTAT]],VALUE(RIGHT(Table132[[#This Row],[next move]],1))+1+VALUE(LEFT(Table132[[#This Row],[next move]],1))*3,1)</f>
        <v>V</v>
      </c>
      <c r="I1019" t="str">
        <f>Table132[[#This Row],[ÉTAT]]&amp;Table132[[#This Row],[next move]]</f>
        <v>VVMEVVVEV01</v>
      </c>
    </row>
    <row r="1020" spans="2:9" x14ac:dyDescent="0.25">
      <c r="B1020" t="s">
        <v>1386</v>
      </c>
      <c r="C1020" s="22" t="s">
        <v>29</v>
      </c>
      <c r="D1020">
        <v>1</v>
      </c>
      <c r="E1020">
        <v>1</v>
      </c>
      <c r="G1020" s="31">
        <f>Table132[[#This Row],[nb win]]/Table132[[#This Row],[nb play]]</f>
        <v>1</v>
      </c>
      <c r="H1020" t="str">
        <f>MID(Table132[[#This Row],[ÉTAT]],VALUE(RIGHT(Table132[[#This Row],[next move]],1))+1+VALUE(LEFT(Table132[[#This Row],[next move]],1))*3,1)</f>
        <v>V</v>
      </c>
      <c r="I1020" t="str">
        <f>Table132[[#This Row],[ÉTAT]]&amp;Table132[[#This Row],[next move]]</f>
        <v>VVMEVVVEV11</v>
      </c>
    </row>
    <row r="1021" spans="2:9" x14ac:dyDescent="0.25">
      <c r="B1021" t="s">
        <v>1386</v>
      </c>
      <c r="C1021" s="22" t="s">
        <v>28</v>
      </c>
      <c r="D1021">
        <v>3</v>
      </c>
      <c r="E1021">
        <v>1</v>
      </c>
      <c r="G1021" s="31">
        <f>Table132[[#This Row],[nb win]]/Table132[[#This Row],[nb play]]</f>
        <v>0.33333333333333331</v>
      </c>
      <c r="H1021" t="str">
        <f>MID(Table132[[#This Row],[ÉTAT]],VALUE(RIGHT(Table132[[#This Row],[next move]],1))+1+VALUE(LEFT(Table132[[#This Row],[next move]],1))*3,1)</f>
        <v>V</v>
      </c>
      <c r="I1021" t="str">
        <f>Table132[[#This Row],[ÉTAT]]&amp;Table132[[#This Row],[next move]]</f>
        <v>VVMEVVVEV12</v>
      </c>
    </row>
    <row r="1022" spans="2:9" x14ac:dyDescent="0.25">
      <c r="B1022" t="s">
        <v>1386</v>
      </c>
      <c r="C1022" s="22" t="s">
        <v>35</v>
      </c>
      <c r="D1022">
        <v>8</v>
      </c>
      <c r="E1022">
        <v>5</v>
      </c>
      <c r="G1022" s="30">
        <f>Table132[[#This Row],[nb win]]/Table132[[#This Row],[nb play]]</f>
        <v>0.625</v>
      </c>
      <c r="H1022" t="str">
        <f>MID(Table132[[#This Row],[ÉTAT]],VALUE(RIGHT(Table132[[#This Row],[next move]],1))+1+VALUE(LEFT(Table132[[#This Row],[next move]],1))*3,1)</f>
        <v>V</v>
      </c>
      <c r="I1022" t="str">
        <f>Table132[[#This Row],[ÉTAT]]&amp;Table132[[#This Row],[next move]]</f>
        <v>VVMEVVVEV20</v>
      </c>
    </row>
    <row r="1023" spans="2:9" x14ac:dyDescent="0.25">
      <c r="B1023" t="s">
        <v>1386</v>
      </c>
      <c r="C1023" s="22" t="s">
        <v>31</v>
      </c>
      <c r="D1023">
        <v>4</v>
      </c>
      <c r="E1023">
        <v>2</v>
      </c>
      <c r="G1023" s="31">
        <f>Table132[[#This Row],[nb win]]/Table132[[#This Row],[nb play]]</f>
        <v>0.5</v>
      </c>
      <c r="H1023" t="str">
        <f>MID(Table132[[#This Row],[ÉTAT]],VALUE(RIGHT(Table132[[#This Row],[next move]],1))+1+VALUE(LEFT(Table132[[#This Row],[next move]],1))*3,1)</f>
        <v>V</v>
      </c>
      <c r="I1023" t="str">
        <f>Table132[[#This Row],[ÉTAT]]&amp;Table132[[#This Row],[next move]]</f>
        <v>VVMEVVVEV22</v>
      </c>
    </row>
    <row r="1024" spans="2:9" x14ac:dyDescent="0.25">
      <c r="B1024" t="s">
        <v>3205</v>
      </c>
      <c r="C1024" s="22" t="s">
        <v>29</v>
      </c>
      <c r="D1024">
        <v>1</v>
      </c>
      <c r="E1024">
        <v>1</v>
      </c>
      <c r="G1024" s="31">
        <f>Table132[[#This Row],[nb win]]/Table132[[#This Row],[nb play]]</f>
        <v>1</v>
      </c>
      <c r="H1024" t="str">
        <f>MID(Table132[[#This Row],[ÉTAT]],VALUE(RIGHT(Table132[[#This Row],[next move]],1))+1+VALUE(LEFT(Table132[[#This Row],[next move]],1))*3,1)</f>
        <v>V</v>
      </c>
      <c r="I1024" t="str">
        <f>Table132[[#This Row],[ÉTAT]]&amp;Table132[[#This Row],[next move]]</f>
        <v>VVMEVVVEM11</v>
      </c>
    </row>
    <row r="1025" spans="2:9" x14ac:dyDescent="0.25">
      <c r="B1025" t="s">
        <v>3205</v>
      </c>
      <c r="C1025" s="22" t="s">
        <v>35</v>
      </c>
      <c r="D1025">
        <v>3</v>
      </c>
      <c r="E1025">
        <v>2</v>
      </c>
      <c r="G1025" s="30">
        <f>Table132[[#This Row],[nb win]]/Table132[[#This Row],[nb play]]</f>
        <v>0.66666666666666663</v>
      </c>
      <c r="H1025" t="str">
        <f>MID(Table132[[#This Row],[ÉTAT]],VALUE(RIGHT(Table132[[#This Row],[next move]],1))+1+VALUE(LEFT(Table132[[#This Row],[next move]],1))*3,1)</f>
        <v>V</v>
      </c>
      <c r="I1025" t="str">
        <f>Table132[[#This Row],[ÉTAT]]&amp;Table132[[#This Row],[next move]]</f>
        <v>VVMEVVVEM20</v>
      </c>
    </row>
    <row r="1026" spans="2:9" x14ac:dyDescent="0.25">
      <c r="B1026" t="s">
        <v>432</v>
      </c>
      <c r="C1026" s="22" t="s">
        <v>28</v>
      </c>
      <c r="D1026">
        <v>6</v>
      </c>
      <c r="E1026">
        <v>6</v>
      </c>
      <c r="G1026" s="31">
        <f>Table132[[#This Row],[nb win]]/Table132[[#This Row],[nb play]]</f>
        <v>1</v>
      </c>
      <c r="H1026" t="str">
        <f>MID(Table132[[#This Row],[ÉTAT]],VALUE(RIGHT(Table132[[#This Row],[next move]],1))+1+VALUE(LEFT(Table132[[#This Row],[next move]],1))*3,1)</f>
        <v>V</v>
      </c>
      <c r="I1026" t="str">
        <f>Table132[[#This Row],[ÉTAT]]&amp;Table132[[#This Row],[next move]]</f>
        <v>VVMEVVMVE12</v>
      </c>
    </row>
    <row r="1027" spans="2:9" x14ac:dyDescent="0.25">
      <c r="B1027" t="s">
        <v>912</v>
      </c>
      <c r="C1027" s="22" t="s">
        <v>29</v>
      </c>
      <c r="D1027">
        <v>2</v>
      </c>
      <c r="E1027">
        <v>2</v>
      </c>
      <c r="G1027" s="31">
        <f>Table132[[#This Row],[nb win]]/Table132[[#This Row],[nb play]]</f>
        <v>1</v>
      </c>
      <c r="H1027" t="str">
        <f>MID(Table132[[#This Row],[ÉTAT]],VALUE(RIGHT(Table132[[#This Row],[next move]],1))+1+VALUE(LEFT(Table132[[#This Row],[next move]],1))*3,1)</f>
        <v>V</v>
      </c>
      <c r="I1027" t="str">
        <f>Table132[[#This Row],[ÉTAT]]&amp;Table132[[#This Row],[next move]]</f>
        <v>VVMEVVMEV11</v>
      </c>
    </row>
    <row r="1028" spans="2:9" x14ac:dyDescent="0.25">
      <c r="B1028" t="s">
        <v>912</v>
      </c>
      <c r="C1028" s="22" t="s">
        <v>31</v>
      </c>
      <c r="D1028">
        <v>7</v>
      </c>
      <c r="E1028">
        <v>6</v>
      </c>
      <c r="G1028" s="31">
        <f>Table132[[#This Row],[nb win]]/Table132[[#This Row],[nb play]]</f>
        <v>0.8571428571428571</v>
      </c>
      <c r="H1028" t="str">
        <f>MID(Table132[[#This Row],[ÉTAT]],VALUE(RIGHT(Table132[[#This Row],[next move]],1))+1+VALUE(LEFT(Table132[[#This Row],[next move]],1))*3,1)</f>
        <v>V</v>
      </c>
      <c r="I1028" t="str">
        <f>Table132[[#This Row],[ÉTAT]]&amp;Table132[[#This Row],[next move]]</f>
        <v>VVMEVVMEV22</v>
      </c>
    </row>
    <row r="1029" spans="2:9" x14ac:dyDescent="0.25">
      <c r="B1029" t="s">
        <v>3268</v>
      </c>
      <c r="C1029" s="22" t="s">
        <v>29</v>
      </c>
      <c r="D1029">
        <v>1</v>
      </c>
      <c r="E1029">
        <v>1</v>
      </c>
      <c r="G1029" s="31">
        <f>Table132[[#This Row],[nb win]]/Table132[[#This Row],[nb play]]</f>
        <v>1</v>
      </c>
      <c r="H1029" t="str">
        <f>MID(Table132[[#This Row],[ÉTAT]],VALUE(RIGHT(Table132[[#This Row],[next move]],1))+1+VALUE(LEFT(Table132[[#This Row],[next move]],1))*3,1)</f>
        <v>V</v>
      </c>
      <c r="I1029" t="str">
        <f>Table132[[#This Row],[ÉTAT]]&amp;Table132[[#This Row],[next move]]</f>
        <v>VVMEVVMEE11</v>
      </c>
    </row>
    <row r="1030" spans="2:9" x14ac:dyDescent="0.25">
      <c r="B1030" t="s">
        <v>2143</v>
      </c>
      <c r="C1030" s="22" t="s">
        <v>22</v>
      </c>
      <c r="D1030">
        <v>3</v>
      </c>
      <c r="G1030" s="30">
        <f>Table132[[#This Row],[nb win]]/Table132[[#This Row],[nb play]]</f>
        <v>0</v>
      </c>
      <c r="H1030" t="str">
        <f>MID(Table132[[#This Row],[ÉTAT]],VALUE(RIGHT(Table132[[#This Row],[next move]],1))+1+VALUE(LEFT(Table132[[#This Row],[next move]],1))*3,1)</f>
        <v>V</v>
      </c>
      <c r="I1030" t="str">
        <f>Table132[[#This Row],[ÉTAT]]&amp;Table132[[#This Row],[next move]]</f>
        <v>VVMEVVEVV21</v>
      </c>
    </row>
    <row r="1031" spans="2:9" x14ac:dyDescent="0.25">
      <c r="B1031" t="s">
        <v>2143</v>
      </c>
      <c r="C1031" s="22" t="s">
        <v>31</v>
      </c>
      <c r="D1031">
        <v>3</v>
      </c>
      <c r="E1031">
        <v>3</v>
      </c>
      <c r="G1031" s="25">
        <f>Table132[[#This Row],[nb win]]/Table132[[#This Row],[nb play]]</f>
        <v>1</v>
      </c>
      <c r="H1031" t="str">
        <f>MID(Table132[[#This Row],[ÉTAT]],VALUE(RIGHT(Table132[[#This Row],[next move]],1))+1+VALUE(LEFT(Table132[[#This Row],[next move]],1))*3,1)</f>
        <v>V</v>
      </c>
      <c r="I1031" t="str">
        <f>Table132[[#This Row],[ÉTAT]]&amp;Table132[[#This Row],[next move]]</f>
        <v>VVMEVVEVV22</v>
      </c>
    </row>
    <row r="1032" spans="2:9" x14ac:dyDescent="0.25">
      <c r="B1032" t="s">
        <v>384</v>
      </c>
      <c r="C1032" s="22" t="s">
        <v>28</v>
      </c>
      <c r="D1032">
        <v>7</v>
      </c>
      <c r="E1032">
        <v>7</v>
      </c>
      <c r="G1032" s="31">
        <f>Table132[[#This Row],[nb win]]/Table132[[#This Row],[nb play]]</f>
        <v>1</v>
      </c>
      <c r="H1032" t="str">
        <f>MID(Table132[[#This Row],[ÉTAT]],VALUE(RIGHT(Table132[[#This Row],[next move]],1))+1+VALUE(LEFT(Table132[[#This Row],[next move]],1))*3,1)</f>
        <v>V</v>
      </c>
      <c r="I1032" t="str">
        <f>Table132[[#This Row],[ÉTAT]]&amp;Table132[[#This Row],[next move]]</f>
        <v>VVMEVVEVM12</v>
      </c>
    </row>
    <row r="1033" spans="2:9" x14ac:dyDescent="0.25">
      <c r="B1033" t="s">
        <v>372</v>
      </c>
      <c r="C1033" s="22" t="s">
        <v>26</v>
      </c>
      <c r="D1033">
        <v>1</v>
      </c>
      <c r="G1033" s="30">
        <f>Table132[[#This Row],[nb win]]/Table132[[#This Row],[nb play]]</f>
        <v>0</v>
      </c>
      <c r="H1033" t="str">
        <f>MID(Table132[[#This Row],[ÉTAT]],VALUE(RIGHT(Table132[[#This Row],[next move]],1))+1+VALUE(LEFT(Table132[[#This Row],[next move]],1))*3,1)</f>
        <v>V</v>
      </c>
      <c r="I1033" t="str">
        <f>Table132[[#This Row],[ÉTAT]]&amp;Table132[[#This Row],[next move]]</f>
        <v>VVMEVVEMV01</v>
      </c>
    </row>
    <row r="1034" spans="2:9" x14ac:dyDescent="0.25">
      <c r="B1034" t="s">
        <v>372</v>
      </c>
      <c r="C1034" s="22" t="s">
        <v>29</v>
      </c>
      <c r="D1034">
        <v>1</v>
      </c>
      <c r="G1034" s="25">
        <f>Table132[[#This Row],[nb win]]/Table132[[#This Row],[nb play]]</f>
        <v>0</v>
      </c>
      <c r="H1034" t="str">
        <f>MID(Table132[[#This Row],[ÉTAT]],VALUE(RIGHT(Table132[[#This Row],[next move]],1))+1+VALUE(LEFT(Table132[[#This Row],[next move]],1))*3,1)</f>
        <v>V</v>
      </c>
      <c r="I1034" t="str">
        <f>Table132[[#This Row],[ÉTAT]]&amp;Table132[[#This Row],[next move]]</f>
        <v>VVMEVVEMV11</v>
      </c>
    </row>
    <row r="1035" spans="2:9" x14ac:dyDescent="0.25">
      <c r="B1035" t="s">
        <v>372</v>
      </c>
      <c r="C1035" s="22" t="s">
        <v>28</v>
      </c>
      <c r="D1035">
        <v>1</v>
      </c>
      <c r="G1035" s="25">
        <f>Table132[[#This Row],[nb win]]/Table132[[#This Row],[nb play]]</f>
        <v>0</v>
      </c>
      <c r="H1035" t="str">
        <f>MID(Table132[[#This Row],[ÉTAT]],VALUE(RIGHT(Table132[[#This Row],[next move]],1))+1+VALUE(LEFT(Table132[[#This Row],[next move]],1))*3,1)</f>
        <v>V</v>
      </c>
      <c r="I1035" t="str">
        <f>Table132[[#This Row],[ÉTAT]]&amp;Table132[[#This Row],[next move]]</f>
        <v>VVMEVVEMV12</v>
      </c>
    </row>
    <row r="1036" spans="2:9" x14ac:dyDescent="0.25">
      <c r="B1036" t="s">
        <v>372</v>
      </c>
      <c r="C1036" s="22" t="s">
        <v>31</v>
      </c>
      <c r="D1036">
        <v>1</v>
      </c>
      <c r="G1036" s="25">
        <f>Table132[[#This Row],[nb win]]/Table132[[#This Row],[nb play]]</f>
        <v>0</v>
      </c>
      <c r="H1036" t="str">
        <f>MID(Table132[[#This Row],[ÉTAT]],VALUE(RIGHT(Table132[[#This Row],[next move]],1))+1+VALUE(LEFT(Table132[[#This Row],[next move]],1))*3,1)</f>
        <v>V</v>
      </c>
      <c r="I1036" t="str">
        <f>Table132[[#This Row],[ÉTAT]]&amp;Table132[[#This Row],[next move]]</f>
        <v>VVMEVVEMV22</v>
      </c>
    </row>
    <row r="1037" spans="2:9" x14ac:dyDescent="0.25">
      <c r="B1037" t="s">
        <v>1078</v>
      </c>
      <c r="C1037" s="22" t="s">
        <v>24</v>
      </c>
      <c r="D1037">
        <v>1</v>
      </c>
      <c r="E1037">
        <v>1</v>
      </c>
      <c r="G1037" s="25">
        <f>Table132[[#This Row],[nb win]]/Table132[[#This Row],[nb play]]</f>
        <v>1</v>
      </c>
      <c r="H1037" t="str">
        <f>MID(Table132[[#This Row],[ÉTAT]],VALUE(RIGHT(Table132[[#This Row],[next move]],1))+1+VALUE(LEFT(Table132[[#This Row],[next move]],1))*3,1)</f>
        <v>V</v>
      </c>
      <c r="I1037" t="str">
        <f>Table132[[#This Row],[ÉTAT]]&amp;Table132[[#This Row],[next move]]</f>
        <v>VVMEVVEME00</v>
      </c>
    </row>
    <row r="1038" spans="2:9" x14ac:dyDescent="0.25">
      <c r="B1038" t="s">
        <v>1078</v>
      </c>
      <c r="C1038" s="22" t="s">
        <v>29</v>
      </c>
      <c r="D1038">
        <v>1</v>
      </c>
      <c r="G1038" s="25">
        <f>Table132[[#This Row],[nb win]]/Table132[[#This Row],[nb play]]</f>
        <v>0</v>
      </c>
      <c r="H1038" t="str">
        <f>MID(Table132[[#This Row],[ÉTAT]],VALUE(RIGHT(Table132[[#This Row],[next move]],1))+1+VALUE(LEFT(Table132[[#This Row],[next move]],1))*3,1)</f>
        <v>V</v>
      </c>
      <c r="I1038" t="str">
        <f>Table132[[#This Row],[ÉTAT]]&amp;Table132[[#This Row],[next move]]</f>
        <v>VVMEVVEME11</v>
      </c>
    </row>
    <row r="1039" spans="2:9" x14ac:dyDescent="0.25">
      <c r="B1039" t="s">
        <v>1078</v>
      </c>
      <c r="C1039" s="22" t="s">
        <v>28</v>
      </c>
      <c r="D1039">
        <v>1</v>
      </c>
      <c r="G1039" s="25">
        <f>Table132[[#This Row],[nb win]]/Table132[[#This Row],[nb play]]</f>
        <v>0</v>
      </c>
      <c r="H1039" t="str">
        <f>MID(Table132[[#This Row],[ÉTAT]],VALUE(RIGHT(Table132[[#This Row],[next move]],1))+1+VALUE(LEFT(Table132[[#This Row],[next move]],1))*3,1)</f>
        <v>V</v>
      </c>
      <c r="I1039" t="str">
        <f>Table132[[#This Row],[ÉTAT]]&amp;Table132[[#This Row],[next move]]</f>
        <v>VVMEVVEME12</v>
      </c>
    </row>
    <row r="1040" spans="2:9" x14ac:dyDescent="0.25">
      <c r="B1040" t="s">
        <v>2297</v>
      </c>
      <c r="C1040" s="22" t="s">
        <v>29</v>
      </c>
      <c r="D1040">
        <v>3</v>
      </c>
      <c r="E1040">
        <v>2</v>
      </c>
      <c r="G1040" s="30">
        <f>Table132[[#This Row],[nb win]]/Table132[[#This Row],[nb play]]</f>
        <v>0.66666666666666663</v>
      </c>
      <c r="H1040" t="str">
        <f>MID(Table132[[#This Row],[ÉTAT]],VALUE(RIGHT(Table132[[#This Row],[next move]],1))+1+VALUE(LEFT(Table132[[#This Row],[next move]],1))*3,1)</f>
        <v>V</v>
      </c>
      <c r="I1040" t="str">
        <f>Table132[[#This Row],[ÉTAT]]&amp;Table132[[#This Row],[next move]]</f>
        <v>VVMEVVEEM11</v>
      </c>
    </row>
    <row r="1041" spans="2:9" x14ac:dyDescent="0.25">
      <c r="B1041" t="s">
        <v>2045</v>
      </c>
      <c r="C1041" s="22" t="s">
        <v>35</v>
      </c>
      <c r="D1041">
        <v>2</v>
      </c>
      <c r="E1041">
        <v>2</v>
      </c>
      <c r="G1041" s="31">
        <f>Table132[[#This Row],[nb win]]/Table132[[#This Row],[nb play]]</f>
        <v>1</v>
      </c>
      <c r="H1041" t="str">
        <f>MID(Table132[[#This Row],[ÉTAT]],VALUE(RIGHT(Table132[[#This Row],[next move]],1))+1+VALUE(LEFT(Table132[[#This Row],[next move]],1))*3,1)</f>
        <v>V</v>
      </c>
      <c r="I1041" t="str">
        <f>Table132[[#This Row],[ÉTAT]]&amp;Table132[[#This Row],[next move]]</f>
        <v>VVMEVMVVE20</v>
      </c>
    </row>
    <row r="1042" spans="2:9" x14ac:dyDescent="0.25">
      <c r="B1042" t="s">
        <v>394</v>
      </c>
      <c r="C1042" s="22" t="s">
        <v>24</v>
      </c>
      <c r="D1042">
        <v>8</v>
      </c>
      <c r="E1042">
        <v>7</v>
      </c>
      <c r="G1042" s="31">
        <f>Table132[[#This Row],[nb win]]/Table132[[#This Row],[nb play]]</f>
        <v>0.875</v>
      </c>
      <c r="H1042" t="str">
        <f>MID(Table132[[#This Row],[ÉTAT]],VALUE(RIGHT(Table132[[#This Row],[next move]],1))+1+VALUE(LEFT(Table132[[#This Row],[next move]],1))*3,1)</f>
        <v>V</v>
      </c>
      <c r="I1042" t="str">
        <f>Table132[[#This Row],[ÉTAT]]&amp;Table132[[#This Row],[next move]]</f>
        <v>VVMEVMVEV00</v>
      </c>
    </row>
    <row r="1043" spans="2:9" x14ac:dyDescent="0.25">
      <c r="B1043" t="s">
        <v>394</v>
      </c>
      <c r="C1043" s="22" t="s">
        <v>26</v>
      </c>
      <c r="D1043">
        <v>2</v>
      </c>
      <c r="E1043">
        <v>2</v>
      </c>
      <c r="G1043" s="31">
        <f>Table132[[#This Row],[nb win]]/Table132[[#This Row],[nb play]]</f>
        <v>1</v>
      </c>
      <c r="H1043" t="str">
        <f>MID(Table132[[#This Row],[ÉTAT]],VALUE(RIGHT(Table132[[#This Row],[next move]],1))+1+VALUE(LEFT(Table132[[#This Row],[next move]],1))*3,1)</f>
        <v>V</v>
      </c>
      <c r="I1043" t="str">
        <f>Table132[[#This Row],[ÉTAT]]&amp;Table132[[#This Row],[next move]]</f>
        <v>VVMEVMVEV01</v>
      </c>
    </row>
    <row r="1044" spans="2:9" x14ac:dyDescent="0.25">
      <c r="B1044" t="s">
        <v>394</v>
      </c>
      <c r="C1044" s="22" t="s">
        <v>29</v>
      </c>
      <c r="D1044">
        <v>3</v>
      </c>
      <c r="E1044">
        <v>1</v>
      </c>
      <c r="G1044" s="30">
        <f>Table132[[#This Row],[nb win]]/Table132[[#This Row],[nb play]]</f>
        <v>0.33333333333333331</v>
      </c>
      <c r="H1044" t="str">
        <f>MID(Table132[[#This Row],[ÉTAT]],VALUE(RIGHT(Table132[[#This Row],[next move]],1))+1+VALUE(LEFT(Table132[[#This Row],[next move]],1))*3,1)</f>
        <v>V</v>
      </c>
      <c r="I1044" t="str">
        <f>Table132[[#This Row],[ÉTAT]]&amp;Table132[[#This Row],[next move]]</f>
        <v>VVMEVMVEV11</v>
      </c>
    </row>
    <row r="1045" spans="2:9" x14ac:dyDescent="0.25">
      <c r="B1045" t="s">
        <v>715</v>
      </c>
      <c r="C1045" s="22" t="s">
        <v>24</v>
      </c>
      <c r="D1045">
        <v>4</v>
      </c>
      <c r="E1045">
        <v>4</v>
      </c>
      <c r="G1045" s="31">
        <f>Table132[[#This Row],[nb win]]/Table132[[#This Row],[nb play]]</f>
        <v>1</v>
      </c>
      <c r="H1045" t="str">
        <f>MID(Table132[[#This Row],[ÉTAT]],VALUE(RIGHT(Table132[[#This Row],[next move]],1))+1+VALUE(LEFT(Table132[[#This Row],[next move]],1))*3,1)</f>
        <v>V</v>
      </c>
      <c r="I1045" t="str">
        <f>Table132[[#This Row],[ÉTAT]]&amp;Table132[[#This Row],[next move]]</f>
        <v>VVMEVMMEE00</v>
      </c>
    </row>
    <row r="1046" spans="2:9" x14ac:dyDescent="0.25">
      <c r="B1046" t="s">
        <v>392</v>
      </c>
      <c r="C1046" s="22" t="s">
        <v>26</v>
      </c>
      <c r="D1046">
        <v>3</v>
      </c>
      <c r="G1046" s="30">
        <f>Table132[[#This Row],[nb win]]/Table132[[#This Row],[nb play]]</f>
        <v>0</v>
      </c>
      <c r="H1046" t="str">
        <f>MID(Table132[[#This Row],[ÉTAT]],VALUE(RIGHT(Table132[[#This Row],[next move]],1))+1+VALUE(LEFT(Table132[[#This Row],[next move]],1))*3,1)</f>
        <v>V</v>
      </c>
      <c r="I1046" t="str">
        <f>Table132[[#This Row],[ÉTAT]]&amp;Table132[[#This Row],[next move]]</f>
        <v>VVMEVMEVV01</v>
      </c>
    </row>
    <row r="1047" spans="2:9" x14ac:dyDescent="0.25">
      <c r="B1047" t="s">
        <v>392</v>
      </c>
      <c r="C1047" s="22" t="s">
        <v>29</v>
      </c>
      <c r="D1047">
        <v>2</v>
      </c>
      <c r="G1047" s="25">
        <f>Table132[[#This Row],[nb win]]/Table132[[#This Row],[nb play]]</f>
        <v>0</v>
      </c>
      <c r="H1047" t="str">
        <f>MID(Table132[[#This Row],[ÉTAT]],VALUE(RIGHT(Table132[[#This Row],[next move]],1))+1+VALUE(LEFT(Table132[[#This Row],[next move]],1))*3,1)</f>
        <v>V</v>
      </c>
      <c r="I1047" t="str">
        <f>Table132[[#This Row],[ÉTAT]]&amp;Table132[[#This Row],[next move]]</f>
        <v>VVMEVMEVV11</v>
      </c>
    </row>
    <row r="1048" spans="2:9" x14ac:dyDescent="0.25">
      <c r="B1048" t="s">
        <v>392</v>
      </c>
      <c r="C1048" s="22" t="s">
        <v>31</v>
      </c>
      <c r="D1048">
        <v>7</v>
      </c>
      <c r="E1048">
        <v>7</v>
      </c>
      <c r="G1048" s="31">
        <f>Table132[[#This Row],[nb win]]/Table132[[#This Row],[nb play]]</f>
        <v>1</v>
      </c>
      <c r="H1048" t="str">
        <f>MID(Table132[[#This Row],[ÉTAT]],VALUE(RIGHT(Table132[[#This Row],[next move]],1))+1+VALUE(LEFT(Table132[[#This Row],[next move]],1))*3,1)</f>
        <v>V</v>
      </c>
      <c r="I1048" t="str">
        <f>Table132[[#This Row],[ÉTAT]]&amp;Table132[[#This Row],[next move]]</f>
        <v>VVMEVMEVV22</v>
      </c>
    </row>
    <row r="1049" spans="2:9" x14ac:dyDescent="0.25">
      <c r="B1049" t="s">
        <v>2964</v>
      </c>
      <c r="C1049" s="22" t="s">
        <v>24</v>
      </c>
      <c r="D1049">
        <v>1</v>
      </c>
      <c r="G1049" s="25">
        <f>Table132[[#This Row],[nb win]]/Table132[[#This Row],[nb play]]</f>
        <v>0</v>
      </c>
      <c r="H1049" t="str">
        <f>MID(Table132[[#This Row],[ÉTAT]],VALUE(RIGHT(Table132[[#This Row],[next move]],1))+1+VALUE(LEFT(Table132[[#This Row],[next move]],1))*3,1)</f>
        <v>V</v>
      </c>
      <c r="I1049" t="str">
        <f>Table132[[#This Row],[ÉTAT]]&amp;Table132[[#This Row],[next move]]</f>
        <v>VVMEVMEEV00</v>
      </c>
    </row>
    <row r="1050" spans="2:9" x14ac:dyDescent="0.25">
      <c r="B1050" t="s">
        <v>813</v>
      </c>
      <c r="C1050" s="22" t="s">
        <v>24</v>
      </c>
      <c r="D1050">
        <v>1</v>
      </c>
      <c r="G1050" s="25">
        <f>Table132[[#This Row],[nb win]]/Table132[[#This Row],[nb play]]</f>
        <v>0</v>
      </c>
      <c r="H1050" t="str">
        <f>MID(Table132[[#This Row],[ÉTAT]],VALUE(RIGHT(Table132[[#This Row],[next move]],1))+1+VALUE(LEFT(Table132[[#This Row],[next move]],1))*3,1)</f>
        <v>V</v>
      </c>
      <c r="I1050" t="str">
        <f>Table132[[#This Row],[ÉTAT]]&amp;Table132[[#This Row],[next move]]</f>
        <v>VVMEVEVVV00</v>
      </c>
    </row>
    <row r="1051" spans="2:9" x14ac:dyDescent="0.25">
      <c r="B1051" t="s">
        <v>813</v>
      </c>
      <c r="C1051" s="22" t="s">
        <v>26</v>
      </c>
      <c r="D1051">
        <v>2</v>
      </c>
      <c r="E1051">
        <v>1</v>
      </c>
      <c r="G1051" s="25">
        <f>Table132[[#This Row],[nb win]]/Table132[[#This Row],[nb play]]</f>
        <v>0.5</v>
      </c>
      <c r="H1051" t="str">
        <f>MID(Table132[[#This Row],[ÉTAT]],VALUE(RIGHT(Table132[[#This Row],[next move]],1))+1+VALUE(LEFT(Table132[[#This Row],[next move]],1))*3,1)</f>
        <v>V</v>
      </c>
      <c r="I1051" t="str">
        <f>Table132[[#This Row],[ÉTAT]]&amp;Table132[[#This Row],[next move]]</f>
        <v>VVMEVEVVV01</v>
      </c>
    </row>
    <row r="1052" spans="2:9" x14ac:dyDescent="0.25">
      <c r="B1052" t="s">
        <v>813</v>
      </c>
      <c r="C1052" s="22" t="s">
        <v>29</v>
      </c>
      <c r="D1052">
        <v>5</v>
      </c>
      <c r="E1052">
        <v>4</v>
      </c>
      <c r="G1052" s="31">
        <f>Table132[[#This Row],[nb win]]/Table132[[#This Row],[nb play]]</f>
        <v>0.8</v>
      </c>
      <c r="H1052" t="str">
        <f>MID(Table132[[#This Row],[ÉTAT]],VALUE(RIGHT(Table132[[#This Row],[next move]],1))+1+VALUE(LEFT(Table132[[#This Row],[next move]],1))*3,1)</f>
        <v>V</v>
      </c>
      <c r="I1052" t="str">
        <f>Table132[[#This Row],[ÉTAT]]&amp;Table132[[#This Row],[next move]]</f>
        <v>VVMEVEVVV11</v>
      </c>
    </row>
    <row r="1053" spans="2:9" x14ac:dyDescent="0.25">
      <c r="B1053" t="s">
        <v>813</v>
      </c>
      <c r="C1053" s="22" t="s">
        <v>35</v>
      </c>
      <c r="D1053">
        <v>3</v>
      </c>
      <c r="G1053" s="30">
        <f>Table132[[#This Row],[nb win]]/Table132[[#This Row],[nb play]]</f>
        <v>0</v>
      </c>
      <c r="H1053" t="str">
        <f>MID(Table132[[#This Row],[ÉTAT]],VALUE(RIGHT(Table132[[#This Row],[next move]],1))+1+VALUE(LEFT(Table132[[#This Row],[next move]],1))*3,1)</f>
        <v>V</v>
      </c>
      <c r="I1053" t="str">
        <f>Table132[[#This Row],[ÉTAT]]&amp;Table132[[#This Row],[next move]]</f>
        <v>VVMEVEVVV20</v>
      </c>
    </row>
    <row r="1054" spans="2:9" x14ac:dyDescent="0.25">
      <c r="B1054" t="s">
        <v>813</v>
      </c>
      <c r="C1054" s="22" t="s">
        <v>22</v>
      </c>
      <c r="D1054">
        <v>3</v>
      </c>
      <c r="E1054">
        <v>2</v>
      </c>
      <c r="G1054" s="30">
        <f>Table132[[#This Row],[nb win]]/Table132[[#This Row],[nb play]]</f>
        <v>0.66666666666666663</v>
      </c>
      <c r="H1054" t="str">
        <f>MID(Table132[[#This Row],[ÉTAT]],VALUE(RIGHT(Table132[[#This Row],[next move]],1))+1+VALUE(LEFT(Table132[[#This Row],[next move]],1))*3,1)</f>
        <v>V</v>
      </c>
      <c r="I1054" t="str">
        <f>Table132[[#This Row],[ÉTAT]]&amp;Table132[[#This Row],[next move]]</f>
        <v>VVMEVEVVV21</v>
      </c>
    </row>
    <row r="1055" spans="2:9" x14ac:dyDescent="0.25">
      <c r="B1055" t="s">
        <v>3361</v>
      </c>
      <c r="C1055" s="22" t="s">
        <v>29</v>
      </c>
      <c r="D1055">
        <v>1</v>
      </c>
      <c r="E1055">
        <v>1</v>
      </c>
      <c r="G1055" s="31">
        <f>Table132[[#This Row],[nb win]]/Table132[[#This Row],[nb play]]</f>
        <v>1</v>
      </c>
      <c r="H1055" t="str">
        <f>MID(Table132[[#This Row],[ÉTAT]],VALUE(RIGHT(Table132[[#This Row],[next move]],1))+1+VALUE(LEFT(Table132[[#This Row],[next move]],1))*3,1)</f>
        <v>V</v>
      </c>
      <c r="I1055" t="str">
        <f>Table132[[#This Row],[ÉTAT]]&amp;Table132[[#This Row],[next move]]</f>
        <v>VVMEVEVVM11</v>
      </c>
    </row>
    <row r="1056" spans="2:9" x14ac:dyDescent="0.25">
      <c r="B1056" t="s">
        <v>839</v>
      </c>
      <c r="C1056" s="22" t="s">
        <v>26</v>
      </c>
      <c r="D1056">
        <v>1</v>
      </c>
      <c r="G1056" s="25">
        <f>Table132[[#This Row],[nb win]]/Table132[[#This Row],[nb play]]</f>
        <v>0</v>
      </c>
      <c r="H1056" t="str">
        <f>MID(Table132[[#This Row],[ÉTAT]],VALUE(RIGHT(Table132[[#This Row],[next move]],1))+1+VALUE(LEFT(Table132[[#This Row],[next move]],1))*3,1)</f>
        <v>V</v>
      </c>
      <c r="I1056" t="str">
        <f>Table132[[#This Row],[ÉTAT]]&amp;Table132[[#This Row],[next move]]</f>
        <v>VVMEVEVMV01</v>
      </c>
    </row>
    <row r="1057" spans="2:9" x14ac:dyDescent="0.25">
      <c r="B1057" t="s">
        <v>839</v>
      </c>
      <c r="C1057" s="22" t="s">
        <v>29</v>
      </c>
      <c r="D1057">
        <v>1</v>
      </c>
      <c r="E1057">
        <v>1</v>
      </c>
      <c r="G1057" s="31">
        <f>Table132[[#This Row],[nb win]]/Table132[[#This Row],[nb play]]</f>
        <v>1</v>
      </c>
      <c r="H1057" t="str">
        <f>MID(Table132[[#This Row],[ÉTAT]],VALUE(RIGHT(Table132[[#This Row],[next move]],1))+1+VALUE(LEFT(Table132[[#This Row],[next move]],1))*3,1)</f>
        <v>V</v>
      </c>
      <c r="I1057" t="str">
        <f>Table132[[#This Row],[ÉTAT]]&amp;Table132[[#This Row],[next move]]</f>
        <v>VVMEVEVMV11</v>
      </c>
    </row>
    <row r="1058" spans="2:9" x14ac:dyDescent="0.25">
      <c r="B1058" t="s">
        <v>839</v>
      </c>
      <c r="C1058" s="22" t="s">
        <v>35</v>
      </c>
      <c r="D1058">
        <v>1</v>
      </c>
      <c r="G1058" s="30">
        <f>Table132[[#This Row],[nb win]]/Table132[[#This Row],[nb play]]</f>
        <v>0</v>
      </c>
      <c r="H1058" t="str">
        <f>MID(Table132[[#This Row],[ÉTAT]],VALUE(RIGHT(Table132[[#This Row],[next move]],1))+1+VALUE(LEFT(Table132[[#This Row],[next move]],1))*3,1)</f>
        <v>V</v>
      </c>
      <c r="I1058" t="str">
        <f>Table132[[#This Row],[ÉTAT]]&amp;Table132[[#This Row],[next move]]</f>
        <v>VVMEVEVMV20</v>
      </c>
    </row>
    <row r="1059" spans="2:9" x14ac:dyDescent="0.25">
      <c r="B1059" t="s">
        <v>839</v>
      </c>
      <c r="C1059" s="22" t="s">
        <v>31</v>
      </c>
      <c r="D1059">
        <v>4</v>
      </c>
      <c r="G1059" s="30">
        <f>Table132[[#This Row],[nb win]]/Table132[[#This Row],[nb play]]</f>
        <v>0</v>
      </c>
      <c r="H1059" t="str">
        <f>MID(Table132[[#This Row],[ÉTAT]],VALUE(RIGHT(Table132[[#This Row],[next move]],1))+1+VALUE(LEFT(Table132[[#This Row],[next move]],1))*3,1)</f>
        <v>V</v>
      </c>
      <c r="I1059" t="str">
        <f>Table132[[#This Row],[ÉTAT]]&amp;Table132[[#This Row],[next move]]</f>
        <v>VVMEVEVMV22</v>
      </c>
    </row>
    <row r="1060" spans="2:9" x14ac:dyDescent="0.25">
      <c r="B1060" t="s">
        <v>883</v>
      </c>
      <c r="C1060" s="22" t="s">
        <v>29</v>
      </c>
      <c r="D1060">
        <v>3</v>
      </c>
      <c r="E1060">
        <v>3</v>
      </c>
      <c r="G1060" s="25">
        <f>Table132[[#This Row],[nb win]]/Table132[[#This Row],[nb play]]</f>
        <v>1</v>
      </c>
      <c r="H1060" t="str">
        <f>MID(Table132[[#This Row],[ÉTAT]],VALUE(RIGHT(Table132[[#This Row],[next move]],1))+1+VALUE(LEFT(Table132[[#This Row],[next move]],1))*3,1)</f>
        <v>V</v>
      </c>
      <c r="I1060" t="str">
        <f>Table132[[#This Row],[ÉTAT]]&amp;Table132[[#This Row],[next move]]</f>
        <v>VVMEVEVME11</v>
      </c>
    </row>
    <row r="1061" spans="2:9" x14ac:dyDescent="0.25">
      <c r="B1061" t="s">
        <v>1519</v>
      </c>
      <c r="C1061" s="22" t="s">
        <v>24</v>
      </c>
      <c r="D1061">
        <v>2</v>
      </c>
      <c r="E1061">
        <v>1</v>
      </c>
      <c r="G1061" s="25">
        <f>Table132[[#This Row],[nb win]]/Table132[[#This Row],[nb play]]</f>
        <v>0.5</v>
      </c>
      <c r="H1061" t="str">
        <f>MID(Table132[[#This Row],[ÉTAT]],VALUE(RIGHT(Table132[[#This Row],[next move]],1))+1+VALUE(LEFT(Table132[[#This Row],[next move]],1))*3,1)</f>
        <v>V</v>
      </c>
      <c r="I1061" t="str">
        <f>Table132[[#This Row],[ÉTAT]]&amp;Table132[[#This Row],[next move]]</f>
        <v>VVMEVEVEM00</v>
      </c>
    </row>
    <row r="1062" spans="2:9" x14ac:dyDescent="0.25">
      <c r="B1062" t="s">
        <v>1519</v>
      </c>
      <c r="C1062" s="22" t="s">
        <v>29</v>
      </c>
      <c r="D1062">
        <v>1</v>
      </c>
      <c r="E1062">
        <v>1</v>
      </c>
      <c r="G1062" s="31">
        <f>Table132[[#This Row],[nb win]]/Table132[[#This Row],[nb play]]</f>
        <v>1</v>
      </c>
      <c r="H1062" t="str">
        <f>MID(Table132[[#This Row],[ÉTAT]],VALUE(RIGHT(Table132[[#This Row],[next move]],1))+1+VALUE(LEFT(Table132[[#This Row],[next move]],1))*3,1)</f>
        <v>V</v>
      </c>
      <c r="I1062" t="str">
        <f>Table132[[#This Row],[ÉTAT]]&amp;Table132[[#This Row],[next move]]</f>
        <v>VVMEVEVEM11</v>
      </c>
    </row>
    <row r="1063" spans="2:9" x14ac:dyDescent="0.25">
      <c r="B1063" t="s">
        <v>433</v>
      </c>
      <c r="C1063" s="22" t="s">
        <v>24</v>
      </c>
      <c r="D1063">
        <v>5</v>
      </c>
      <c r="G1063" s="25">
        <f>Table132[[#This Row],[nb win]]/Table132[[#This Row],[nb play]]</f>
        <v>0</v>
      </c>
      <c r="H1063" t="str">
        <f>MID(Table132[[#This Row],[ÉTAT]],VALUE(RIGHT(Table132[[#This Row],[next move]],1))+1+VALUE(LEFT(Table132[[#This Row],[next move]],1))*3,1)</f>
        <v>V</v>
      </c>
      <c r="I1063" t="str">
        <f>Table132[[#This Row],[ÉTAT]]&amp;Table132[[#This Row],[next move]]</f>
        <v>VVMEVEMVV00</v>
      </c>
    </row>
    <row r="1064" spans="2:9" x14ac:dyDescent="0.25">
      <c r="B1064" t="s">
        <v>433</v>
      </c>
      <c r="C1064" s="22" t="s">
        <v>26</v>
      </c>
      <c r="D1064">
        <v>3</v>
      </c>
      <c r="E1064">
        <v>3</v>
      </c>
      <c r="G1064" s="31">
        <f>Table132[[#This Row],[nb win]]/Table132[[#This Row],[nb play]]</f>
        <v>1</v>
      </c>
      <c r="H1064" t="str">
        <f>MID(Table132[[#This Row],[ÉTAT]],VALUE(RIGHT(Table132[[#This Row],[next move]],1))+1+VALUE(LEFT(Table132[[#This Row],[next move]],1))*3,1)</f>
        <v>V</v>
      </c>
      <c r="I1064" t="str">
        <f>Table132[[#This Row],[ÉTAT]]&amp;Table132[[#This Row],[next move]]</f>
        <v>VVMEVEMVV01</v>
      </c>
    </row>
    <row r="1065" spans="2:9" x14ac:dyDescent="0.25">
      <c r="B1065" t="s">
        <v>1125</v>
      </c>
      <c r="C1065" s="22" t="s">
        <v>24</v>
      </c>
      <c r="D1065">
        <v>1</v>
      </c>
      <c r="E1065">
        <v>1</v>
      </c>
      <c r="G1065" s="31">
        <f>Table132[[#This Row],[nb win]]/Table132[[#This Row],[nb play]]</f>
        <v>1</v>
      </c>
      <c r="H1065" t="str">
        <f>MID(Table132[[#This Row],[ÉTAT]],VALUE(RIGHT(Table132[[#This Row],[next move]],1))+1+VALUE(LEFT(Table132[[#This Row],[next move]],1))*3,1)</f>
        <v>V</v>
      </c>
      <c r="I1065" t="str">
        <f>Table132[[#This Row],[ÉTAT]]&amp;Table132[[#This Row],[next move]]</f>
        <v>VVMEVEMVE00</v>
      </c>
    </row>
    <row r="1066" spans="2:9" x14ac:dyDescent="0.25">
      <c r="B1066" t="s">
        <v>1125</v>
      </c>
      <c r="C1066" s="22" t="s">
        <v>22</v>
      </c>
      <c r="D1066">
        <v>1</v>
      </c>
      <c r="G1066" s="25">
        <f>Table132[[#This Row],[nb win]]/Table132[[#This Row],[nb play]]</f>
        <v>0</v>
      </c>
      <c r="H1066" t="str">
        <f>MID(Table132[[#This Row],[ÉTAT]],VALUE(RIGHT(Table132[[#This Row],[next move]],1))+1+VALUE(LEFT(Table132[[#This Row],[next move]],1))*3,1)</f>
        <v>V</v>
      </c>
      <c r="I1066" t="str">
        <f>Table132[[#This Row],[ÉTAT]]&amp;Table132[[#This Row],[next move]]</f>
        <v>VVMEVEMVE21</v>
      </c>
    </row>
    <row r="1067" spans="2:9" x14ac:dyDescent="0.25">
      <c r="B1067" t="s">
        <v>3069</v>
      </c>
      <c r="C1067" s="22" t="s">
        <v>26</v>
      </c>
      <c r="D1067">
        <v>2</v>
      </c>
      <c r="G1067" s="30">
        <f>Table132[[#This Row],[nb win]]/Table132[[#This Row],[nb play]]</f>
        <v>0</v>
      </c>
      <c r="H1067" t="str">
        <f>MID(Table132[[#This Row],[ÉTAT]],VALUE(RIGHT(Table132[[#This Row],[next move]],1))+1+VALUE(LEFT(Table132[[#This Row],[next move]],1))*3,1)</f>
        <v>V</v>
      </c>
      <c r="I1067" t="str">
        <f>Table132[[#This Row],[ÉTAT]]&amp;Table132[[#This Row],[next move]]</f>
        <v>VVMEVEMME01</v>
      </c>
    </row>
    <row r="1068" spans="2:9" x14ac:dyDescent="0.25">
      <c r="B1068" t="s">
        <v>3069</v>
      </c>
      <c r="C1068" s="22" t="s">
        <v>29</v>
      </c>
      <c r="D1068">
        <v>1</v>
      </c>
      <c r="E1068">
        <v>1</v>
      </c>
      <c r="G1068" s="31">
        <f>Table132[[#This Row],[nb win]]/Table132[[#This Row],[nb play]]</f>
        <v>1</v>
      </c>
      <c r="H1068" t="str">
        <f>MID(Table132[[#This Row],[ÉTAT]],VALUE(RIGHT(Table132[[#This Row],[next move]],1))+1+VALUE(LEFT(Table132[[#This Row],[next move]],1))*3,1)</f>
        <v>V</v>
      </c>
      <c r="I1068" t="str">
        <f>Table132[[#This Row],[ÉTAT]]&amp;Table132[[#This Row],[next move]]</f>
        <v>VVMEVEMME11</v>
      </c>
    </row>
    <row r="1069" spans="2:9" x14ac:dyDescent="0.25">
      <c r="B1069" t="s">
        <v>3507</v>
      </c>
      <c r="C1069" s="22" t="s">
        <v>31</v>
      </c>
      <c r="D1069">
        <v>1</v>
      </c>
      <c r="G1069" s="30">
        <f>Table132[[#This Row],[nb win]]/Table132[[#This Row],[nb play]]</f>
        <v>0</v>
      </c>
      <c r="H1069" t="str">
        <f>MID(Table132[[#This Row],[ÉTAT]],VALUE(RIGHT(Table132[[#This Row],[next move]],1))+1+VALUE(LEFT(Table132[[#This Row],[next move]],1))*3,1)</f>
        <v>V</v>
      </c>
      <c r="I1069" t="str">
        <f>Table132[[#This Row],[ÉTAT]]&amp;Table132[[#This Row],[next move]]</f>
        <v>VVMEVEMEV22</v>
      </c>
    </row>
    <row r="1070" spans="2:9" x14ac:dyDescent="0.25">
      <c r="B1070" t="s">
        <v>1595</v>
      </c>
      <c r="C1070" s="22" t="s">
        <v>29</v>
      </c>
      <c r="D1070">
        <v>2</v>
      </c>
      <c r="E1070">
        <v>2</v>
      </c>
      <c r="G1070" s="31">
        <f>Table132[[#This Row],[nb win]]/Table132[[#This Row],[nb play]]</f>
        <v>1</v>
      </c>
      <c r="H1070" t="str">
        <f>MID(Table132[[#This Row],[ÉTAT]],VALUE(RIGHT(Table132[[#This Row],[next move]],1))+1+VALUE(LEFT(Table132[[#This Row],[next move]],1))*3,1)</f>
        <v>V</v>
      </c>
      <c r="I1070" t="str">
        <f>Table132[[#This Row],[ÉTAT]]&amp;Table132[[#This Row],[next move]]</f>
        <v>VVMEVEMEM11</v>
      </c>
    </row>
    <row r="1071" spans="2:9" x14ac:dyDescent="0.25">
      <c r="B1071" t="s">
        <v>1584</v>
      </c>
      <c r="C1071" s="22" t="s">
        <v>24</v>
      </c>
      <c r="D1071">
        <v>1</v>
      </c>
      <c r="E1071">
        <v>1</v>
      </c>
      <c r="G1071" s="25">
        <f>Table132[[#This Row],[nb win]]/Table132[[#This Row],[nb play]]</f>
        <v>1</v>
      </c>
      <c r="H1071" t="str">
        <f>MID(Table132[[#This Row],[ÉTAT]],VALUE(RIGHT(Table132[[#This Row],[next move]],1))+1+VALUE(LEFT(Table132[[#This Row],[next move]],1))*3,1)</f>
        <v>V</v>
      </c>
      <c r="I1071" t="str">
        <f>Table132[[#This Row],[ÉTAT]]&amp;Table132[[#This Row],[next move]]</f>
        <v>VVMEVEEVM00</v>
      </c>
    </row>
    <row r="1072" spans="2:9" x14ac:dyDescent="0.25">
      <c r="B1072" t="s">
        <v>1584</v>
      </c>
      <c r="C1072" s="22" t="s">
        <v>26</v>
      </c>
      <c r="D1072">
        <v>2</v>
      </c>
      <c r="G1072" s="25">
        <f>Table132[[#This Row],[nb win]]/Table132[[#This Row],[nb play]]</f>
        <v>0</v>
      </c>
      <c r="H1072" t="str">
        <f>MID(Table132[[#This Row],[ÉTAT]],VALUE(RIGHT(Table132[[#This Row],[next move]],1))+1+VALUE(LEFT(Table132[[#This Row],[next move]],1))*3,1)</f>
        <v>V</v>
      </c>
      <c r="I1072" t="str">
        <f>Table132[[#This Row],[ÉTAT]]&amp;Table132[[#This Row],[next move]]</f>
        <v>VVMEVEEVM01</v>
      </c>
    </row>
    <row r="1073" spans="2:9" x14ac:dyDescent="0.25">
      <c r="B1073" t="s">
        <v>1584</v>
      </c>
      <c r="C1073" s="22" t="s">
        <v>22</v>
      </c>
      <c r="D1073">
        <v>4</v>
      </c>
      <c r="G1073" s="30">
        <f>Table132[[#This Row],[nb win]]/Table132[[#This Row],[nb play]]</f>
        <v>0</v>
      </c>
      <c r="H1073" t="str">
        <f>MID(Table132[[#This Row],[ÉTAT]],VALUE(RIGHT(Table132[[#This Row],[next move]],1))+1+VALUE(LEFT(Table132[[#This Row],[next move]],1))*3,1)</f>
        <v>V</v>
      </c>
      <c r="I1073" t="str">
        <f>Table132[[#This Row],[ÉTAT]]&amp;Table132[[#This Row],[next move]]</f>
        <v>VVMEVEEVM21</v>
      </c>
    </row>
    <row r="1074" spans="2:9" x14ac:dyDescent="0.25">
      <c r="B1074" t="s">
        <v>2195</v>
      </c>
      <c r="C1074" s="22" t="s">
        <v>24</v>
      </c>
      <c r="D1074">
        <v>1</v>
      </c>
      <c r="G1074" s="30">
        <f>Table132[[#This Row],[nb win]]/Table132[[#This Row],[nb play]]</f>
        <v>0</v>
      </c>
      <c r="H1074" t="str">
        <f>MID(Table132[[#This Row],[ÉTAT]],VALUE(RIGHT(Table132[[#This Row],[next move]],1))+1+VALUE(LEFT(Table132[[#This Row],[next move]],1))*3,1)</f>
        <v>V</v>
      </c>
      <c r="I1074" t="str">
        <f>Table132[[#This Row],[ÉTAT]]&amp;Table132[[#This Row],[next move]]</f>
        <v>VVMEVEEMV00</v>
      </c>
    </row>
    <row r="1075" spans="2:9" x14ac:dyDescent="0.25">
      <c r="B1075" t="s">
        <v>2195</v>
      </c>
      <c r="C1075" s="22" t="s">
        <v>26</v>
      </c>
      <c r="D1075">
        <v>1</v>
      </c>
      <c r="G1075" s="30">
        <f>Table132[[#This Row],[nb win]]/Table132[[#This Row],[nb play]]</f>
        <v>0</v>
      </c>
      <c r="H1075" t="str">
        <f>MID(Table132[[#This Row],[ÉTAT]],VALUE(RIGHT(Table132[[#This Row],[next move]],1))+1+VALUE(LEFT(Table132[[#This Row],[next move]],1))*3,1)</f>
        <v>V</v>
      </c>
      <c r="I1075" t="str">
        <f>Table132[[#This Row],[ÉTAT]]&amp;Table132[[#This Row],[next move]]</f>
        <v>VVMEVEEMV01</v>
      </c>
    </row>
    <row r="1076" spans="2:9" x14ac:dyDescent="0.25">
      <c r="B1076" t="s">
        <v>2195</v>
      </c>
      <c r="C1076" s="22" t="s">
        <v>31</v>
      </c>
      <c r="D1076">
        <v>1</v>
      </c>
      <c r="G1076" s="25">
        <f>Table132[[#This Row],[nb win]]/Table132[[#This Row],[nb play]]</f>
        <v>0</v>
      </c>
      <c r="H1076" t="str">
        <f>MID(Table132[[#This Row],[ÉTAT]],VALUE(RIGHT(Table132[[#This Row],[next move]],1))+1+VALUE(LEFT(Table132[[#This Row],[next move]],1))*3,1)</f>
        <v>V</v>
      </c>
      <c r="I1076" t="str">
        <f>Table132[[#This Row],[ÉTAT]]&amp;Table132[[#This Row],[next move]]</f>
        <v>VVMEVEEMV22</v>
      </c>
    </row>
    <row r="1077" spans="2:9" x14ac:dyDescent="0.25">
      <c r="B1077" t="s">
        <v>301</v>
      </c>
      <c r="C1077" s="22" t="s">
        <v>24</v>
      </c>
      <c r="D1077">
        <v>1</v>
      </c>
      <c r="G1077" s="25">
        <f>Table132[[#This Row],[nb win]]/Table132[[#This Row],[nb play]]</f>
        <v>0</v>
      </c>
      <c r="H1077" t="str">
        <f>MID(Table132[[#This Row],[ÉTAT]],VALUE(RIGHT(Table132[[#This Row],[next move]],1))+1+VALUE(LEFT(Table132[[#This Row],[next move]],1))*3,1)</f>
        <v>V</v>
      </c>
      <c r="I1077" t="str">
        <f>Table132[[#This Row],[ÉTAT]]&amp;Table132[[#This Row],[next move]]</f>
        <v>VVMEMVVVE00</v>
      </c>
    </row>
    <row r="1078" spans="2:9" x14ac:dyDescent="0.25">
      <c r="B1078" t="s">
        <v>301</v>
      </c>
      <c r="C1078" s="22" t="s">
        <v>28</v>
      </c>
      <c r="D1078">
        <v>2</v>
      </c>
      <c r="G1078" s="25">
        <f>Table132[[#This Row],[nb win]]/Table132[[#This Row],[nb play]]</f>
        <v>0</v>
      </c>
      <c r="H1078" t="str">
        <f>MID(Table132[[#This Row],[ÉTAT]],VALUE(RIGHT(Table132[[#This Row],[next move]],1))+1+VALUE(LEFT(Table132[[#This Row],[next move]],1))*3,1)</f>
        <v>V</v>
      </c>
      <c r="I1078" t="str">
        <f>Table132[[#This Row],[ÉTAT]]&amp;Table132[[#This Row],[next move]]</f>
        <v>VVMEMVVVE12</v>
      </c>
    </row>
    <row r="1079" spans="2:9" x14ac:dyDescent="0.25">
      <c r="B1079" t="s">
        <v>301</v>
      </c>
      <c r="C1079" s="22" t="s">
        <v>35</v>
      </c>
      <c r="D1079">
        <v>4</v>
      </c>
      <c r="E1079">
        <v>4</v>
      </c>
      <c r="G1079" s="31">
        <f>Table132[[#This Row],[nb win]]/Table132[[#This Row],[nb play]]</f>
        <v>1</v>
      </c>
      <c r="H1079" t="str">
        <f>MID(Table132[[#This Row],[ÉTAT]],VALUE(RIGHT(Table132[[#This Row],[next move]],1))+1+VALUE(LEFT(Table132[[#This Row],[next move]],1))*3,1)</f>
        <v>V</v>
      </c>
      <c r="I1079" t="str">
        <f>Table132[[#This Row],[ÉTAT]]&amp;Table132[[#This Row],[next move]]</f>
        <v>VVMEMVVVE20</v>
      </c>
    </row>
    <row r="1080" spans="2:9" x14ac:dyDescent="0.25">
      <c r="B1080" t="s">
        <v>2714</v>
      </c>
      <c r="C1080" s="22" t="s">
        <v>31</v>
      </c>
      <c r="D1080">
        <v>5</v>
      </c>
      <c r="E1080">
        <v>5</v>
      </c>
      <c r="G1080" s="31">
        <f>Table132[[#This Row],[nb win]]/Table132[[#This Row],[nb play]]</f>
        <v>1</v>
      </c>
      <c r="H1080" t="str">
        <f>MID(Table132[[#This Row],[ÉTAT]],VALUE(RIGHT(Table132[[#This Row],[next move]],1))+1+VALUE(LEFT(Table132[[#This Row],[next move]],1))*3,1)</f>
        <v>V</v>
      </c>
      <c r="I1080" t="str">
        <f>Table132[[#This Row],[ÉTAT]]&amp;Table132[[#This Row],[next move]]</f>
        <v>VVMEMVVEV22</v>
      </c>
    </row>
    <row r="1081" spans="2:9" x14ac:dyDescent="0.25">
      <c r="B1081" t="s">
        <v>2148</v>
      </c>
      <c r="C1081" s="22" t="s">
        <v>26</v>
      </c>
      <c r="D1081">
        <v>1</v>
      </c>
      <c r="G1081" s="30">
        <f>Table132[[#This Row],[nb win]]/Table132[[#This Row],[nb play]]</f>
        <v>0</v>
      </c>
      <c r="H1081" t="str">
        <f>MID(Table132[[#This Row],[ÉTAT]],VALUE(RIGHT(Table132[[#This Row],[next move]],1))+1+VALUE(LEFT(Table132[[#This Row],[next move]],1))*3,1)</f>
        <v>V</v>
      </c>
      <c r="I1081" t="str">
        <f>Table132[[#This Row],[ÉTAT]]&amp;Table132[[#This Row],[next move]]</f>
        <v>VVMEMVEVV01</v>
      </c>
    </row>
    <row r="1082" spans="2:9" x14ac:dyDescent="0.25">
      <c r="B1082" t="s">
        <v>2148</v>
      </c>
      <c r="C1082" s="22" t="s">
        <v>28</v>
      </c>
      <c r="D1082">
        <v>1</v>
      </c>
      <c r="G1082" s="30">
        <f>Table132[[#This Row],[nb win]]/Table132[[#This Row],[nb play]]</f>
        <v>0</v>
      </c>
      <c r="H1082" t="str">
        <f>MID(Table132[[#This Row],[ÉTAT]],VALUE(RIGHT(Table132[[#This Row],[next move]],1))+1+VALUE(LEFT(Table132[[#This Row],[next move]],1))*3,1)</f>
        <v>V</v>
      </c>
      <c r="I1082" t="str">
        <f>Table132[[#This Row],[ÉTAT]]&amp;Table132[[#This Row],[next move]]</f>
        <v>VVMEMVEVV12</v>
      </c>
    </row>
    <row r="1083" spans="2:9" x14ac:dyDescent="0.25">
      <c r="B1083" t="s">
        <v>2148</v>
      </c>
      <c r="C1083" s="22" t="s">
        <v>22</v>
      </c>
      <c r="D1083">
        <v>3</v>
      </c>
      <c r="E1083">
        <v>2</v>
      </c>
      <c r="G1083" s="30">
        <f>Table132[[#This Row],[nb win]]/Table132[[#This Row],[nb play]]</f>
        <v>0.66666666666666663</v>
      </c>
      <c r="H1083" t="str">
        <f>MID(Table132[[#This Row],[ÉTAT]],VALUE(RIGHT(Table132[[#This Row],[next move]],1))+1+VALUE(LEFT(Table132[[#This Row],[next move]],1))*3,1)</f>
        <v>V</v>
      </c>
      <c r="I1083" t="str">
        <f>Table132[[#This Row],[ÉTAT]]&amp;Table132[[#This Row],[next move]]</f>
        <v>VVMEMVEVV21</v>
      </c>
    </row>
    <row r="1084" spans="2:9" x14ac:dyDescent="0.25">
      <c r="B1084" t="s">
        <v>2751</v>
      </c>
      <c r="C1084" s="22" t="s">
        <v>24</v>
      </c>
      <c r="D1084">
        <v>3</v>
      </c>
      <c r="G1084" s="30">
        <f>Table132[[#This Row],[nb win]]/Table132[[#This Row],[nb play]]</f>
        <v>0</v>
      </c>
      <c r="H1084" t="str">
        <f>MID(Table132[[#This Row],[ÉTAT]],VALUE(RIGHT(Table132[[#This Row],[next move]],1))+1+VALUE(LEFT(Table132[[#This Row],[next move]],1))*3,1)</f>
        <v>V</v>
      </c>
      <c r="I1084" t="str">
        <f>Table132[[#This Row],[ÉTAT]]&amp;Table132[[#This Row],[next move]]</f>
        <v>VVMEMVEVE00</v>
      </c>
    </row>
    <row r="1085" spans="2:9" x14ac:dyDescent="0.25">
      <c r="B1085" t="s">
        <v>2751</v>
      </c>
      <c r="C1085" s="22" t="s">
        <v>26</v>
      </c>
      <c r="D1085">
        <v>1</v>
      </c>
      <c r="G1085" s="30">
        <f>Table132[[#This Row],[nb win]]/Table132[[#This Row],[nb play]]</f>
        <v>0</v>
      </c>
      <c r="H1085" t="str">
        <f>MID(Table132[[#This Row],[ÉTAT]],VALUE(RIGHT(Table132[[#This Row],[next move]],1))+1+VALUE(LEFT(Table132[[#This Row],[next move]],1))*3,1)</f>
        <v>V</v>
      </c>
      <c r="I1085" t="str">
        <f>Table132[[#This Row],[ÉTAT]]&amp;Table132[[#This Row],[next move]]</f>
        <v>VVMEMVEVE01</v>
      </c>
    </row>
    <row r="1086" spans="2:9" x14ac:dyDescent="0.25">
      <c r="B1086" t="s">
        <v>2751</v>
      </c>
      <c r="C1086" s="22" t="s">
        <v>28</v>
      </c>
      <c r="D1086">
        <v>1</v>
      </c>
      <c r="G1086" s="25">
        <f>Table132[[#This Row],[nb win]]/Table132[[#This Row],[nb play]]</f>
        <v>0</v>
      </c>
      <c r="H1086" t="str">
        <f>MID(Table132[[#This Row],[ÉTAT]],VALUE(RIGHT(Table132[[#This Row],[next move]],1))+1+VALUE(LEFT(Table132[[#This Row],[next move]],1))*3,1)</f>
        <v>V</v>
      </c>
      <c r="I1086" t="str">
        <f>Table132[[#This Row],[ÉTAT]]&amp;Table132[[#This Row],[next move]]</f>
        <v>VVMEMVEVE12</v>
      </c>
    </row>
    <row r="1087" spans="2:9" x14ac:dyDescent="0.25">
      <c r="B1087" t="s">
        <v>2751</v>
      </c>
      <c r="C1087" s="22" t="s">
        <v>22</v>
      </c>
      <c r="D1087">
        <v>2</v>
      </c>
      <c r="G1087" s="30">
        <f>Table132[[#This Row],[nb win]]/Table132[[#This Row],[nb play]]</f>
        <v>0</v>
      </c>
      <c r="H1087" t="str">
        <f>MID(Table132[[#This Row],[ÉTAT]],VALUE(RIGHT(Table132[[#This Row],[next move]],1))+1+VALUE(LEFT(Table132[[#This Row],[next move]],1))*3,1)</f>
        <v>V</v>
      </c>
      <c r="I1087" t="str">
        <f>Table132[[#This Row],[ÉTAT]]&amp;Table132[[#This Row],[next move]]</f>
        <v>VVMEMVEVE21</v>
      </c>
    </row>
    <row r="1088" spans="2:9" x14ac:dyDescent="0.25">
      <c r="B1088" t="s">
        <v>2527</v>
      </c>
      <c r="C1088" s="22" t="s">
        <v>26</v>
      </c>
      <c r="D1088">
        <v>2</v>
      </c>
      <c r="E1088">
        <v>2</v>
      </c>
      <c r="G1088" s="31">
        <f>Table132[[#This Row],[nb win]]/Table132[[#This Row],[nb play]]</f>
        <v>1</v>
      </c>
      <c r="H1088" t="str">
        <f>MID(Table132[[#This Row],[ÉTAT]],VALUE(RIGHT(Table132[[#This Row],[next move]],1))+1+VALUE(LEFT(Table132[[#This Row],[next move]],1))*3,1)</f>
        <v>V</v>
      </c>
      <c r="I1088" t="str">
        <f>Table132[[#This Row],[ÉTAT]]&amp;Table132[[#This Row],[next move]]</f>
        <v>VVMEMVEME01</v>
      </c>
    </row>
    <row r="1089" spans="2:9" x14ac:dyDescent="0.25">
      <c r="B1089" t="s">
        <v>2527</v>
      </c>
      <c r="C1089" s="22" t="s">
        <v>28</v>
      </c>
      <c r="D1089">
        <v>1</v>
      </c>
      <c r="G1089" s="25">
        <f>Table132[[#This Row],[nb win]]/Table132[[#This Row],[nb play]]</f>
        <v>0</v>
      </c>
      <c r="H1089" t="str">
        <f>MID(Table132[[#This Row],[ÉTAT]],VALUE(RIGHT(Table132[[#This Row],[next move]],1))+1+VALUE(LEFT(Table132[[#This Row],[next move]],1))*3,1)</f>
        <v>V</v>
      </c>
      <c r="I1089" t="str">
        <f>Table132[[#This Row],[ÉTAT]]&amp;Table132[[#This Row],[next move]]</f>
        <v>VVMEMVEME12</v>
      </c>
    </row>
    <row r="1090" spans="2:9" x14ac:dyDescent="0.25">
      <c r="B1090" t="s">
        <v>3116</v>
      </c>
      <c r="C1090" s="22" t="s">
        <v>26</v>
      </c>
      <c r="D1090">
        <v>1</v>
      </c>
      <c r="G1090" s="30">
        <f>Table132[[#This Row],[nb win]]/Table132[[#This Row],[nb play]]</f>
        <v>0</v>
      </c>
      <c r="H1090" t="str">
        <f>MID(Table132[[#This Row],[ÉTAT]],VALUE(RIGHT(Table132[[#This Row],[next move]],1))+1+VALUE(LEFT(Table132[[#This Row],[next move]],1))*3,1)</f>
        <v>V</v>
      </c>
      <c r="I1090" t="str">
        <f>Table132[[#This Row],[ÉTAT]]&amp;Table132[[#This Row],[next move]]</f>
        <v>VVMEMVEEV01</v>
      </c>
    </row>
    <row r="1091" spans="2:9" x14ac:dyDescent="0.25">
      <c r="B1091" t="s">
        <v>3116</v>
      </c>
      <c r="C1091" s="22" t="s">
        <v>31</v>
      </c>
      <c r="D1091">
        <v>1</v>
      </c>
      <c r="E1091">
        <v>1</v>
      </c>
      <c r="G1091" s="31">
        <f>Table132[[#This Row],[nb win]]/Table132[[#This Row],[nb play]]</f>
        <v>1</v>
      </c>
      <c r="H1091" t="str">
        <f>MID(Table132[[#This Row],[ÉTAT]],VALUE(RIGHT(Table132[[#This Row],[next move]],1))+1+VALUE(LEFT(Table132[[#This Row],[next move]],1))*3,1)</f>
        <v>V</v>
      </c>
      <c r="I1091" t="str">
        <f>Table132[[#This Row],[ÉTAT]]&amp;Table132[[#This Row],[next move]]</f>
        <v>VVMEMVEEV22</v>
      </c>
    </row>
    <row r="1092" spans="2:9" x14ac:dyDescent="0.25">
      <c r="B1092" t="s">
        <v>2612</v>
      </c>
      <c r="C1092" s="22" t="s">
        <v>24</v>
      </c>
      <c r="D1092">
        <v>3</v>
      </c>
      <c r="E1092">
        <v>3</v>
      </c>
      <c r="G1092" s="31">
        <f>Table132[[#This Row],[nb win]]/Table132[[#This Row],[nb play]]</f>
        <v>1</v>
      </c>
      <c r="H1092" t="str">
        <f>MID(Table132[[#This Row],[ÉTAT]],VALUE(RIGHT(Table132[[#This Row],[next move]],1))+1+VALUE(LEFT(Table132[[#This Row],[next move]],1))*3,1)</f>
        <v>V</v>
      </c>
      <c r="I1092" t="str">
        <f>Table132[[#This Row],[ÉTAT]]&amp;Table132[[#This Row],[next move]]</f>
        <v>VVMEMVEEM00</v>
      </c>
    </row>
    <row r="1093" spans="2:9" x14ac:dyDescent="0.25">
      <c r="B1093" t="s">
        <v>2600</v>
      </c>
      <c r="C1093" s="22" t="s">
        <v>24</v>
      </c>
      <c r="D1093">
        <v>1</v>
      </c>
      <c r="G1093" s="25">
        <f>Table132[[#This Row],[nb win]]/Table132[[#This Row],[nb play]]</f>
        <v>0</v>
      </c>
      <c r="H1093" t="str">
        <f>MID(Table132[[#This Row],[ÉTAT]],VALUE(RIGHT(Table132[[#This Row],[next move]],1))+1+VALUE(LEFT(Table132[[#This Row],[next move]],1))*3,1)</f>
        <v>V</v>
      </c>
      <c r="I1093" t="str">
        <f>Table132[[#This Row],[ÉTAT]]&amp;Table132[[#This Row],[next move]]</f>
        <v>VVMEMMVEE00</v>
      </c>
    </row>
    <row r="1094" spans="2:9" x14ac:dyDescent="0.25">
      <c r="B1094" t="s">
        <v>2600</v>
      </c>
      <c r="C1094" s="22" t="s">
        <v>35</v>
      </c>
      <c r="D1094">
        <v>1</v>
      </c>
      <c r="E1094">
        <v>1</v>
      </c>
      <c r="G1094" s="31">
        <f>Table132[[#This Row],[nb win]]/Table132[[#This Row],[nb play]]</f>
        <v>1</v>
      </c>
      <c r="H1094" t="str">
        <f>MID(Table132[[#This Row],[ÉTAT]],VALUE(RIGHT(Table132[[#This Row],[next move]],1))+1+VALUE(LEFT(Table132[[#This Row],[next move]],1))*3,1)</f>
        <v>V</v>
      </c>
      <c r="I1094" t="str">
        <f>Table132[[#This Row],[ÉTAT]]&amp;Table132[[#This Row],[next move]]</f>
        <v>VVMEMMVEE20</v>
      </c>
    </row>
    <row r="1095" spans="2:9" x14ac:dyDescent="0.25">
      <c r="B1095" t="s">
        <v>978</v>
      </c>
      <c r="C1095" s="22" t="s">
        <v>24</v>
      </c>
      <c r="D1095">
        <v>1</v>
      </c>
      <c r="G1095" s="25">
        <f>Table132[[#This Row],[nb win]]/Table132[[#This Row],[nb play]]</f>
        <v>0</v>
      </c>
      <c r="H1095" t="str">
        <f>MID(Table132[[#This Row],[ÉTAT]],VALUE(RIGHT(Table132[[#This Row],[next move]],1))+1+VALUE(LEFT(Table132[[#This Row],[next move]],1))*3,1)</f>
        <v>V</v>
      </c>
      <c r="I1095" t="str">
        <f>Table132[[#This Row],[ÉTAT]]&amp;Table132[[#This Row],[next move]]</f>
        <v>VVMEMMEVE00</v>
      </c>
    </row>
    <row r="1096" spans="2:9" x14ac:dyDescent="0.25">
      <c r="B1096" t="s">
        <v>978</v>
      </c>
      <c r="C1096" s="22" t="s">
        <v>26</v>
      </c>
      <c r="D1096">
        <v>1</v>
      </c>
      <c r="G1096" s="25">
        <f>Table132[[#This Row],[nb win]]/Table132[[#This Row],[nb play]]</f>
        <v>0</v>
      </c>
      <c r="H1096" t="str">
        <f>MID(Table132[[#This Row],[ÉTAT]],VALUE(RIGHT(Table132[[#This Row],[next move]],1))+1+VALUE(LEFT(Table132[[#This Row],[next move]],1))*3,1)</f>
        <v>V</v>
      </c>
      <c r="I1096" t="str">
        <f>Table132[[#This Row],[ÉTAT]]&amp;Table132[[#This Row],[next move]]</f>
        <v>VVMEMMEVE01</v>
      </c>
    </row>
    <row r="1097" spans="2:9" x14ac:dyDescent="0.25">
      <c r="B1097" t="s">
        <v>2207</v>
      </c>
      <c r="C1097" s="22" t="s">
        <v>24</v>
      </c>
      <c r="D1097">
        <v>2</v>
      </c>
      <c r="E1097">
        <v>1</v>
      </c>
      <c r="G1097" s="30">
        <f>Table132[[#This Row],[nb win]]/Table132[[#This Row],[nb play]]</f>
        <v>0.5</v>
      </c>
      <c r="H1097" t="str">
        <f>MID(Table132[[#This Row],[ÉTAT]],VALUE(RIGHT(Table132[[#This Row],[next move]],1))+1+VALUE(LEFT(Table132[[#This Row],[next move]],1))*3,1)</f>
        <v>V</v>
      </c>
      <c r="I1097" t="str">
        <f>Table132[[#This Row],[ÉTAT]]&amp;Table132[[#This Row],[next move]]</f>
        <v>VVMEMMEEV00</v>
      </c>
    </row>
    <row r="1098" spans="2:9" x14ac:dyDescent="0.25">
      <c r="B1098" t="s">
        <v>337</v>
      </c>
      <c r="C1098" s="22" t="s">
        <v>24</v>
      </c>
      <c r="D1098">
        <v>15</v>
      </c>
      <c r="E1098">
        <v>15</v>
      </c>
      <c r="G1098" s="31">
        <f>Table132[[#This Row],[nb win]]/Table132[[#This Row],[nb play]]</f>
        <v>1</v>
      </c>
      <c r="H1098" t="str">
        <f>MID(Table132[[#This Row],[ÉTAT]],VALUE(RIGHT(Table132[[#This Row],[next move]],1))+1+VALUE(LEFT(Table132[[#This Row],[next move]],1))*3,1)</f>
        <v>V</v>
      </c>
      <c r="I1098" t="str">
        <f>Table132[[#This Row],[ÉTAT]]&amp;Table132[[#This Row],[next move]]</f>
        <v>VVMEMEVVV00</v>
      </c>
    </row>
    <row r="1099" spans="2:9" x14ac:dyDescent="0.25">
      <c r="B1099" t="s">
        <v>2138</v>
      </c>
      <c r="C1099" s="22" t="s">
        <v>35</v>
      </c>
      <c r="D1099">
        <v>3</v>
      </c>
      <c r="E1099">
        <v>3</v>
      </c>
      <c r="G1099" s="31">
        <f>Table132[[#This Row],[nb win]]/Table132[[#This Row],[nb play]]</f>
        <v>1</v>
      </c>
      <c r="H1099" t="str">
        <f>MID(Table132[[#This Row],[ÉTAT]],VALUE(RIGHT(Table132[[#This Row],[next move]],1))+1+VALUE(LEFT(Table132[[#This Row],[next move]],1))*3,1)</f>
        <v>V</v>
      </c>
      <c r="I1099" t="str">
        <f>Table132[[#This Row],[ÉTAT]]&amp;Table132[[#This Row],[next move]]</f>
        <v>VVMEMEVVE20</v>
      </c>
    </row>
    <row r="1100" spans="2:9" x14ac:dyDescent="0.25">
      <c r="B1100" t="s">
        <v>3252</v>
      </c>
      <c r="C1100" s="22" t="s">
        <v>35</v>
      </c>
      <c r="D1100">
        <v>1</v>
      </c>
      <c r="E1100">
        <v>1</v>
      </c>
      <c r="G1100" s="31">
        <f>Table132[[#This Row],[nb win]]/Table132[[#This Row],[nb play]]</f>
        <v>1</v>
      </c>
      <c r="H1100" t="str">
        <f>MID(Table132[[#This Row],[ÉTAT]],VALUE(RIGHT(Table132[[#This Row],[next move]],1))+1+VALUE(LEFT(Table132[[#This Row],[next move]],1))*3,1)</f>
        <v>V</v>
      </c>
      <c r="I1100" t="str">
        <f>Table132[[#This Row],[ÉTAT]]&amp;Table132[[#This Row],[next move]]</f>
        <v>VVMEMEVME20</v>
      </c>
    </row>
    <row r="1101" spans="2:9" x14ac:dyDescent="0.25">
      <c r="B1101" t="s">
        <v>815</v>
      </c>
      <c r="C1101" s="22" t="s">
        <v>24</v>
      </c>
      <c r="D1101">
        <v>2</v>
      </c>
      <c r="E1101">
        <v>2</v>
      </c>
      <c r="G1101" s="31">
        <f>Table132[[#This Row],[nb win]]/Table132[[#This Row],[nb play]]</f>
        <v>1</v>
      </c>
      <c r="H1101" t="str">
        <f>MID(Table132[[#This Row],[ÉTAT]],VALUE(RIGHT(Table132[[#This Row],[next move]],1))+1+VALUE(LEFT(Table132[[#This Row],[next move]],1))*3,1)</f>
        <v>V</v>
      </c>
      <c r="I1101" t="str">
        <f>Table132[[#This Row],[ÉTAT]]&amp;Table132[[#This Row],[next move]]</f>
        <v>VVMEMEVEV00</v>
      </c>
    </row>
    <row r="1102" spans="2:9" x14ac:dyDescent="0.25">
      <c r="B1102" t="s">
        <v>1879</v>
      </c>
      <c r="C1102" s="22" t="s">
        <v>26</v>
      </c>
      <c r="D1102">
        <v>5</v>
      </c>
      <c r="E1102">
        <v>5</v>
      </c>
      <c r="G1102" s="31">
        <f>Table132[[#This Row],[nb win]]/Table132[[#This Row],[nb play]]</f>
        <v>1</v>
      </c>
      <c r="H1102" t="str">
        <f>MID(Table132[[#This Row],[ÉTAT]],VALUE(RIGHT(Table132[[#This Row],[next move]],1))+1+VALUE(LEFT(Table132[[#This Row],[next move]],1))*3,1)</f>
        <v>V</v>
      </c>
      <c r="I1102" t="str">
        <f>Table132[[#This Row],[ÉTAT]]&amp;Table132[[#This Row],[next move]]</f>
        <v>VVMEMEVEM01</v>
      </c>
    </row>
    <row r="1103" spans="2:9" x14ac:dyDescent="0.25">
      <c r="B1103" t="s">
        <v>2430</v>
      </c>
      <c r="C1103" s="22" t="s">
        <v>22</v>
      </c>
      <c r="D1103">
        <v>1</v>
      </c>
      <c r="G1103" s="25">
        <f>Table132[[#This Row],[nb win]]/Table132[[#This Row],[nb play]]</f>
        <v>0</v>
      </c>
      <c r="H1103" t="str">
        <f>MID(Table132[[#This Row],[ÉTAT]],VALUE(RIGHT(Table132[[#This Row],[next move]],1))+1+VALUE(LEFT(Table132[[#This Row],[next move]],1))*3,1)</f>
        <v>V</v>
      </c>
      <c r="I1103" t="str">
        <f>Table132[[#This Row],[ÉTAT]]&amp;Table132[[#This Row],[next move]]</f>
        <v>VVMEMEEVV21</v>
      </c>
    </row>
    <row r="1104" spans="2:9" x14ac:dyDescent="0.25">
      <c r="B1104" t="s">
        <v>3363</v>
      </c>
      <c r="C1104" s="22" t="s">
        <v>26</v>
      </c>
      <c r="D1104">
        <v>1</v>
      </c>
      <c r="E1104">
        <v>1</v>
      </c>
      <c r="G1104" s="31">
        <f>Table132[[#This Row],[nb win]]/Table132[[#This Row],[nb play]]</f>
        <v>1</v>
      </c>
      <c r="H1104" t="str">
        <f>MID(Table132[[#This Row],[ÉTAT]],VALUE(RIGHT(Table132[[#This Row],[next move]],1))+1+VALUE(LEFT(Table132[[#This Row],[next move]],1))*3,1)</f>
        <v>V</v>
      </c>
      <c r="I1104" t="str">
        <f>Table132[[#This Row],[ÉTAT]]&amp;Table132[[#This Row],[next move]]</f>
        <v>VVMEMEEVM01</v>
      </c>
    </row>
    <row r="1105" spans="2:9" x14ac:dyDescent="0.25">
      <c r="B1105" t="s">
        <v>3303</v>
      </c>
      <c r="C1105" s="22" t="s">
        <v>24</v>
      </c>
      <c r="D1105">
        <v>1</v>
      </c>
      <c r="E1105">
        <v>1</v>
      </c>
      <c r="G1105" s="31">
        <f>Table132[[#This Row],[nb win]]/Table132[[#This Row],[nb play]]</f>
        <v>1</v>
      </c>
      <c r="H1105" t="str">
        <f>MID(Table132[[#This Row],[ÉTAT]],VALUE(RIGHT(Table132[[#This Row],[next move]],1))+1+VALUE(LEFT(Table132[[#This Row],[next move]],1))*3,1)</f>
        <v>V</v>
      </c>
      <c r="I1105" t="str">
        <f>Table132[[#This Row],[ÉTAT]]&amp;Table132[[#This Row],[next move]]</f>
        <v>VVMEMEEMV00</v>
      </c>
    </row>
    <row r="1106" spans="2:9" x14ac:dyDescent="0.25">
      <c r="B1106" t="s">
        <v>1010</v>
      </c>
      <c r="C1106" s="22" t="s">
        <v>26</v>
      </c>
      <c r="D1106">
        <v>2</v>
      </c>
      <c r="E1106">
        <v>2</v>
      </c>
      <c r="G1106" s="25">
        <f>Table132[[#This Row],[nb win]]/Table132[[#This Row],[nb play]]</f>
        <v>1</v>
      </c>
      <c r="H1106" t="str">
        <f>MID(Table132[[#This Row],[ÉTAT]],VALUE(RIGHT(Table132[[#This Row],[next move]],1))+1+VALUE(LEFT(Table132[[#This Row],[next move]],1))*3,1)</f>
        <v>V</v>
      </c>
      <c r="I1106" t="str">
        <f>Table132[[#This Row],[ÉTAT]]&amp;Table132[[#This Row],[next move]]</f>
        <v>VVMEMEEME01</v>
      </c>
    </row>
    <row r="1107" spans="2:9" x14ac:dyDescent="0.25">
      <c r="B1107" t="s">
        <v>1580</v>
      </c>
      <c r="C1107" s="22" t="s">
        <v>24</v>
      </c>
      <c r="D1107">
        <v>4</v>
      </c>
      <c r="E1107">
        <v>4</v>
      </c>
      <c r="G1107" s="31">
        <f>Table132[[#This Row],[nb win]]/Table132[[#This Row],[nb play]]</f>
        <v>1</v>
      </c>
      <c r="H1107" t="str">
        <f>MID(Table132[[#This Row],[ÉTAT]],VALUE(RIGHT(Table132[[#This Row],[next move]],1))+1+VALUE(LEFT(Table132[[#This Row],[next move]],1))*3,1)</f>
        <v>V</v>
      </c>
      <c r="I1107" t="str">
        <f>Table132[[#This Row],[ÉTAT]]&amp;Table132[[#This Row],[next move]]</f>
        <v>VVMEMEEEM00</v>
      </c>
    </row>
    <row r="1108" spans="2:9" x14ac:dyDescent="0.25">
      <c r="B1108" t="s">
        <v>470</v>
      </c>
      <c r="C1108" s="22" t="s">
        <v>24</v>
      </c>
      <c r="D1108">
        <v>4</v>
      </c>
      <c r="E1108">
        <v>2</v>
      </c>
      <c r="G1108" s="30">
        <f>Table132[[#This Row],[nb win]]/Table132[[#This Row],[nb play]]</f>
        <v>0.5</v>
      </c>
      <c r="H1108" t="str">
        <f>MID(Table132[[#This Row],[ÉTAT]],VALUE(RIGHT(Table132[[#This Row],[next move]],1))+1+VALUE(LEFT(Table132[[#This Row],[next move]],1))*3,1)</f>
        <v>V</v>
      </c>
      <c r="I1108" t="str">
        <f>Table132[[#This Row],[ÉTAT]]&amp;Table132[[#This Row],[next move]]</f>
        <v>VVMEEVVVV00</v>
      </c>
    </row>
    <row r="1109" spans="2:9" x14ac:dyDescent="0.25">
      <c r="B1109" t="s">
        <v>470</v>
      </c>
      <c r="C1109" s="22" t="s">
        <v>26</v>
      </c>
      <c r="D1109">
        <v>3</v>
      </c>
      <c r="G1109" s="30">
        <f>Table132[[#This Row],[nb win]]/Table132[[#This Row],[nb play]]</f>
        <v>0</v>
      </c>
      <c r="H1109" t="str">
        <f>MID(Table132[[#This Row],[ÉTAT]],VALUE(RIGHT(Table132[[#This Row],[next move]],1))+1+VALUE(LEFT(Table132[[#This Row],[next move]],1))*3,1)</f>
        <v>V</v>
      </c>
      <c r="I1109" t="str">
        <f>Table132[[#This Row],[ÉTAT]]&amp;Table132[[#This Row],[next move]]</f>
        <v>VVMEEVVVV01</v>
      </c>
    </row>
    <row r="1110" spans="2:9" x14ac:dyDescent="0.25">
      <c r="B1110" t="s">
        <v>470</v>
      </c>
      <c r="C1110" s="22" t="s">
        <v>28</v>
      </c>
      <c r="D1110">
        <v>3</v>
      </c>
      <c r="E1110">
        <v>1</v>
      </c>
      <c r="G1110" s="25">
        <f>Table132[[#This Row],[nb win]]/Table132[[#This Row],[nb play]]</f>
        <v>0.33333333333333331</v>
      </c>
      <c r="H1110" t="str">
        <f>MID(Table132[[#This Row],[ÉTAT]],VALUE(RIGHT(Table132[[#This Row],[next move]],1))+1+VALUE(LEFT(Table132[[#This Row],[next move]],1))*3,1)</f>
        <v>V</v>
      </c>
      <c r="I1110" t="str">
        <f>Table132[[#This Row],[ÉTAT]]&amp;Table132[[#This Row],[next move]]</f>
        <v>VVMEEVVVV12</v>
      </c>
    </row>
    <row r="1111" spans="2:9" x14ac:dyDescent="0.25">
      <c r="B1111" t="s">
        <v>470</v>
      </c>
      <c r="C1111" s="22" t="s">
        <v>35</v>
      </c>
      <c r="D1111">
        <v>2</v>
      </c>
      <c r="G1111" s="25">
        <f>Table132[[#This Row],[nb win]]/Table132[[#This Row],[nb play]]</f>
        <v>0</v>
      </c>
      <c r="H1111" t="str">
        <f>MID(Table132[[#This Row],[ÉTAT]],VALUE(RIGHT(Table132[[#This Row],[next move]],1))+1+VALUE(LEFT(Table132[[#This Row],[next move]],1))*3,1)</f>
        <v>V</v>
      </c>
      <c r="I1111" t="str">
        <f>Table132[[#This Row],[ÉTAT]]&amp;Table132[[#This Row],[next move]]</f>
        <v>VVMEEVVVV20</v>
      </c>
    </row>
    <row r="1112" spans="2:9" x14ac:dyDescent="0.25">
      <c r="B1112" t="s">
        <v>470</v>
      </c>
      <c r="C1112" s="22" t="s">
        <v>22</v>
      </c>
      <c r="D1112">
        <v>5</v>
      </c>
      <c r="E1112">
        <v>3</v>
      </c>
      <c r="G1112" s="30">
        <f>Table132[[#This Row],[nb win]]/Table132[[#This Row],[nb play]]</f>
        <v>0.6</v>
      </c>
      <c r="H1112" t="str">
        <f>MID(Table132[[#This Row],[ÉTAT]],VALUE(RIGHT(Table132[[#This Row],[next move]],1))+1+VALUE(LEFT(Table132[[#This Row],[next move]],1))*3,1)</f>
        <v>V</v>
      </c>
      <c r="I1112" t="str">
        <f>Table132[[#This Row],[ÉTAT]]&amp;Table132[[#This Row],[next move]]</f>
        <v>VVMEEVVVV21</v>
      </c>
    </row>
    <row r="1113" spans="2:9" x14ac:dyDescent="0.25">
      <c r="B1113" t="s">
        <v>470</v>
      </c>
      <c r="C1113" s="22" t="s">
        <v>31</v>
      </c>
      <c r="D1113">
        <v>5</v>
      </c>
      <c r="E1113">
        <v>2</v>
      </c>
      <c r="G1113" s="30">
        <f>Table132[[#This Row],[nb win]]/Table132[[#This Row],[nb play]]</f>
        <v>0.4</v>
      </c>
      <c r="H1113" t="str">
        <f>MID(Table132[[#This Row],[ÉTAT]],VALUE(RIGHT(Table132[[#This Row],[next move]],1))+1+VALUE(LEFT(Table132[[#This Row],[next move]],1))*3,1)</f>
        <v>V</v>
      </c>
      <c r="I1113" t="str">
        <f>Table132[[#This Row],[ÉTAT]]&amp;Table132[[#This Row],[next move]]</f>
        <v>VVMEEVVVV22</v>
      </c>
    </row>
    <row r="1114" spans="2:9" x14ac:dyDescent="0.25">
      <c r="B1114" t="s">
        <v>3475</v>
      </c>
      <c r="C1114" s="22" t="s">
        <v>24</v>
      </c>
      <c r="D1114">
        <v>2</v>
      </c>
      <c r="E1114">
        <v>1</v>
      </c>
      <c r="G1114" s="30">
        <f>Table132[[#This Row],[nb win]]/Table132[[#This Row],[nb play]]</f>
        <v>0.5</v>
      </c>
      <c r="H1114" t="str">
        <f>MID(Table132[[#This Row],[ÉTAT]],VALUE(RIGHT(Table132[[#This Row],[next move]],1))+1+VALUE(LEFT(Table132[[#This Row],[next move]],1))*3,1)</f>
        <v>V</v>
      </c>
      <c r="I1114" t="str">
        <f>Table132[[#This Row],[ÉTAT]]&amp;Table132[[#This Row],[next move]]</f>
        <v>VVMEEVVVM00</v>
      </c>
    </row>
    <row r="1115" spans="2:9" x14ac:dyDescent="0.25">
      <c r="B1115" t="s">
        <v>409</v>
      </c>
      <c r="C1115" s="22" t="s">
        <v>24</v>
      </c>
      <c r="D1115">
        <v>1</v>
      </c>
      <c r="E1115">
        <v>1</v>
      </c>
      <c r="G1115" s="31">
        <f>Table132[[#This Row],[nb win]]/Table132[[#This Row],[nb play]]</f>
        <v>1</v>
      </c>
      <c r="H1115" t="str">
        <f>MID(Table132[[#This Row],[ÉTAT]],VALUE(RIGHT(Table132[[#This Row],[next move]],1))+1+VALUE(LEFT(Table132[[#This Row],[next move]],1))*3,1)</f>
        <v>V</v>
      </c>
      <c r="I1115" t="str">
        <f>Table132[[#This Row],[ÉTAT]]&amp;Table132[[#This Row],[next move]]</f>
        <v>VVMEEVVMV00</v>
      </c>
    </row>
    <row r="1116" spans="2:9" x14ac:dyDescent="0.25">
      <c r="B1116" t="s">
        <v>409</v>
      </c>
      <c r="C1116" s="22" t="s">
        <v>26</v>
      </c>
      <c r="D1116">
        <v>4</v>
      </c>
      <c r="E1116">
        <v>2</v>
      </c>
      <c r="G1116" s="30">
        <f>Table132[[#This Row],[nb win]]/Table132[[#This Row],[nb play]]</f>
        <v>0.5</v>
      </c>
      <c r="H1116" t="str">
        <f>MID(Table132[[#This Row],[ÉTAT]],VALUE(RIGHT(Table132[[#This Row],[next move]],1))+1+VALUE(LEFT(Table132[[#This Row],[next move]],1))*3,1)</f>
        <v>V</v>
      </c>
      <c r="I1116" t="str">
        <f>Table132[[#This Row],[ÉTAT]]&amp;Table132[[#This Row],[next move]]</f>
        <v>VVMEEVVMV01</v>
      </c>
    </row>
    <row r="1117" spans="2:9" x14ac:dyDescent="0.25">
      <c r="B1117" t="s">
        <v>2827</v>
      </c>
      <c r="C1117" s="22" t="s">
        <v>26</v>
      </c>
      <c r="D1117">
        <v>1</v>
      </c>
      <c r="G1117" s="25">
        <f>Table132[[#This Row],[nb win]]/Table132[[#This Row],[nb play]]</f>
        <v>0</v>
      </c>
      <c r="H1117" t="str">
        <f>MID(Table132[[#This Row],[ÉTAT]],VALUE(RIGHT(Table132[[#This Row],[next move]],1))+1+VALUE(LEFT(Table132[[#This Row],[next move]],1))*3,1)</f>
        <v>V</v>
      </c>
      <c r="I1117" t="str">
        <f>Table132[[#This Row],[ÉTAT]]&amp;Table132[[#This Row],[next move]]</f>
        <v>VVMEEVVME01</v>
      </c>
    </row>
    <row r="1118" spans="2:9" x14ac:dyDescent="0.25">
      <c r="B1118" t="s">
        <v>779</v>
      </c>
      <c r="C1118" s="22" t="s">
        <v>24</v>
      </c>
      <c r="D1118">
        <v>1</v>
      </c>
      <c r="G1118" s="30">
        <f>Table132[[#This Row],[nb win]]/Table132[[#This Row],[nb play]]</f>
        <v>0</v>
      </c>
      <c r="H1118" t="str">
        <f>MID(Table132[[#This Row],[ÉTAT]],VALUE(RIGHT(Table132[[#This Row],[next move]],1))+1+VALUE(LEFT(Table132[[#This Row],[next move]],1))*3,1)</f>
        <v>V</v>
      </c>
      <c r="I1118" t="str">
        <f>Table132[[#This Row],[ÉTAT]]&amp;Table132[[#This Row],[next move]]</f>
        <v>VVMEEVVEM00</v>
      </c>
    </row>
    <row r="1119" spans="2:9" x14ac:dyDescent="0.25">
      <c r="B1119" t="s">
        <v>779</v>
      </c>
      <c r="C1119" s="22" t="s">
        <v>28</v>
      </c>
      <c r="D1119">
        <v>1</v>
      </c>
      <c r="E1119">
        <v>1</v>
      </c>
      <c r="G1119" s="31">
        <f>Table132[[#This Row],[nb win]]/Table132[[#This Row],[nb play]]</f>
        <v>1</v>
      </c>
      <c r="H1119" t="str">
        <f>MID(Table132[[#This Row],[ÉTAT]],VALUE(RIGHT(Table132[[#This Row],[next move]],1))+1+VALUE(LEFT(Table132[[#This Row],[next move]],1))*3,1)</f>
        <v>V</v>
      </c>
      <c r="I1119" t="str">
        <f>Table132[[#This Row],[ÉTAT]]&amp;Table132[[#This Row],[next move]]</f>
        <v>VVMEEVVEM12</v>
      </c>
    </row>
    <row r="1120" spans="2:9" x14ac:dyDescent="0.25">
      <c r="B1120" t="s">
        <v>779</v>
      </c>
      <c r="C1120" s="22" t="s">
        <v>35</v>
      </c>
      <c r="D1120">
        <v>2</v>
      </c>
      <c r="E1120">
        <v>1</v>
      </c>
      <c r="G1120" s="25">
        <f>Table132[[#This Row],[nb win]]/Table132[[#This Row],[nb play]]</f>
        <v>0.5</v>
      </c>
      <c r="H1120" t="str">
        <f>MID(Table132[[#This Row],[ÉTAT]],VALUE(RIGHT(Table132[[#This Row],[next move]],1))+1+VALUE(LEFT(Table132[[#This Row],[next move]],1))*3,1)</f>
        <v>V</v>
      </c>
      <c r="I1120" t="str">
        <f>Table132[[#This Row],[ÉTAT]]&amp;Table132[[#This Row],[next move]]</f>
        <v>VVMEEVVEM20</v>
      </c>
    </row>
    <row r="1121" spans="2:9" x14ac:dyDescent="0.25">
      <c r="B1121" t="s">
        <v>2034</v>
      </c>
      <c r="C1121" s="22" t="s">
        <v>22</v>
      </c>
      <c r="D1121">
        <v>1</v>
      </c>
      <c r="G1121" s="25">
        <f>Table132[[#This Row],[nb win]]/Table132[[#This Row],[nb play]]</f>
        <v>0</v>
      </c>
      <c r="H1121" t="str">
        <f>MID(Table132[[#This Row],[ÉTAT]],VALUE(RIGHT(Table132[[#This Row],[next move]],1))+1+VALUE(LEFT(Table132[[#This Row],[next move]],1))*3,1)</f>
        <v>V</v>
      </c>
      <c r="I1121" t="str">
        <f>Table132[[#This Row],[ÉTAT]]&amp;Table132[[#This Row],[next move]]</f>
        <v>VVMEEVMVV21</v>
      </c>
    </row>
    <row r="1122" spans="2:9" x14ac:dyDescent="0.25">
      <c r="B1122" t="s">
        <v>2034</v>
      </c>
      <c r="C1122" s="22" t="s">
        <v>31</v>
      </c>
      <c r="D1122">
        <v>2</v>
      </c>
      <c r="E1122">
        <v>1</v>
      </c>
      <c r="G1122" s="31">
        <f>Table132[[#This Row],[nb win]]/Table132[[#This Row],[nb play]]</f>
        <v>0.5</v>
      </c>
      <c r="H1122" t="str">
        <f>MID(Table132[[#This Row],[ÉTAT]],VALUE(RIGHT(Table132[[#This Row],[next move]],1))+1+VALUE(LEFT(Table132[[#This Row],[next move]],1))*3,1)</f>
        <v>V</v>
      </c>
      <c r="I1122" t="str">
        <f>Table132[[#This Row],[ÉTAT]]&amp;Table132[[#This Row],[next move]]</f>
        <v>VVMEEVMVV22</v>
      </c>
    </row>
    <row r="1123" spans="2:9" x14ac:dyDescent="0.25">
      <c r="B1123" t="s">
        <v>2847</v>
      </c>
      <c r="C1123" s="22" t="s">
        <v>28</v>
      </c>
      <c r="D1123">
        <v>1</v>
      </c>
      <c r="G1123" s="25">
        <f>Table132[[#This Row],[nb win]]/Table132[[#This Row],[nb play]]</f>
        <v>0</v>
      </c>
      <c r="H1123" t="str">
        <f>MID(Table132[[#This Row],[ÉTAT]],VALUE(RIGHT(Table132[[#This Row],[next move]],1))+1+VALUE(LEFT(Table132[[#This Row],[next move]],1))*3,1)</f>
        <v>V</v>
      </c>
      <c r="I1123" t="str">
        <f>Table132[[#This Row],[ÉTAT]]&amp;Table132[[#This Row],[next move]]</f>
        <v>VVMEEVMVE12</v>
      </c>
    </row>
    <row r="1124" spans="2:9" x14ac:dyDescent="0.25">
      <c r="B1124" t="s">
        <v>1901</v>
      </c>
      <c r="C1124" s="22" t="s">
        <v>24</v>
      </c>
      <c r="D1124">
        <v>1</v>
      </c>
      <c r="G1124" s="25">
        <f>Table132[[#This Row],[nb win]]/Table132[[#This Row],[nb play]]</f>
        <v>0</v>
      </c>
      <c r="H1124" t="str">
        <f>MID(Table132[[#This Row],[ÉTAT]],VALUE(RIGHT(Table132[[#This Row],[next move]],1))+1+VALUE(LEFT(Table132[[#This Row],[next move]],1))*3,1)</f>
        <v>V</v>
      </c>
      <c r="I1124" t="str">
        <f>Table132[[#This Row],[ÉTAT]]&amp;Table132[[#This Row],[next move]]</f>
        <v>VVMEEVMME00</v>
      </c>
    </row>
    <row r="1125" spans="2:9" x14ac:dyDescent="0.25">
      <c r="B1125" t="s">
        <v>1955</v>
      </c>
      <c r="C1125" s="22" t="s">
        <v>26</v>
      </c>
      <c r="D1125">
        <v>1</v>
      </c>
      <c r="G1125" s="25">
        <f>Table132[[#This Row],[nb win]]/Table132[[#This Row],[nb play]]</f>
        <v>0</v>
      </c>
      <c r="H1125" t="str">
        <f>MID(Table132[[#This Row],[ÉTAT]],VALUE(RIGHT(Table132[[#This Row],[next move]],1))+1+VALUE(LEFT(Table132[[#This Row],[next move]],1))*3,1)</f>
        <v>V</v>
      </c>
      <c r="I1125" t="str">
        <f>Table132[[#This Row],[ÉTAT]]&amp;Table132[[#This Row],[next move]]</f>
        <v>VVMEEVMEV01</v>
      </c>
    </row>
    <row r="1126" spans="2:9" x14ac:dyDescent="0.25">
      <c r="B1126" t="s">
        <v>1955</v>
      </c>
      <c r="C1126" s="22" t="s">
        <v>28</v>
      </c>
      <c r="D1126">
        <v>1</v>
      </c>
      <c r="E1126">
        <v>1</v>
      </c>
      <c r="G1126" s="31">
        <f>Table132[[#This Row],[nb win]]/Table132[[#This Row],[nb play]]</f>
        <v>1</v>
      </c>
      <c r="H1126" t="str">
        <f>MID(Table132[[#This Row],[ÉTAT]],VALUE(RIGHT(Table132[[#This Row],[next move]],1))+1+VALUE(LEFT(Table132[[#This Row],[next move]],1))*3,1)</f>
        <v>V</v>
      </c>
      <c r="I1126" t="str">
        <f>Table132[[#This Row],[ÉTAT]]&amp;Table132[[#This Row],[next move]]</f>
        <v>VVMEEVMEV12</v>
      </c>
    </row>
    <row r="1127" spans="2:9" x14ac:dyDescent="0.25">
      <c r="B1127" t="s">
        <v>2126</v>
      </c>
      <c r="C1127" s="22" t="s">
        <v>26</v>
      </c>
      <c r="D1127">
        <v>2</v>
      </c>
      <c r="E1127">
        <v>1</v>
      </c>
      <c r="G1127" s="25">
        <f>Table132[[#This Row],[nb win]]/Table132[[#This Row],[nb play]]</f>
        <v>0.5</v>
      </c>
      <c r="H1127" t="str">
        <f>MID(Table132[[#This Row],[ÉTAT]],VALUE(RIGHT(Table132[[#This Row],[next move]],1))+1+VALUE(LEFT(Table132[[#This Row],[next move]],1))*3,1)</f>
        <v>V</v>
      </c>
      <c r="I1127" t="str">
        <f>Table132[[#This Row],[ÉTAT]]&amp;Table132[[#This Row],[next move]]</f>
        <v>VVMEEVMEM01</v>
      </c>
    </row>
    <row r="1128" spans="2:9" x14ac:dyDescent="0.25">
      <c r="B1128" t="s">
        <v>50</v>
      </c>
      <c r="C1128" s="22" t="s">
        <v>26</v>
      </c>
      <c r="D1128">
        <v>2</v>
      </c>
      <c r="E1128">
        <v>1</v>
      </c>
      <c r="G1128" s="25">
        <f>Table132[[#This Row],[nb win]]/Table132[[#This Row],[nb play]]</f>
        <v>0.5</v>
      </c>
      <c r="H1128" t="str">
        <f>MID(Table132[[#This Row],[ÉTAT]],VALUE(RIGHT(Table132[[#This Row],[next move]],1))+1+VALUE(LEFT(Table132[[#This Row],[next move]],1))*3,1)</f>
        <v>V</v>
      </c>
      <c r="I1128" t="str">
        <f>Table132[[#This Row],[ÉTAT]]&amp;Table132[[#This Row],[next move]]</f>
        <v>VVMEEVEVM01</v>
      </c>
    </row>
    <row r="1129" spans="2:9" x14ac:dyDescent="0.25">
      <c r="B1129" t="s">
        <v>50</v>
      </c>
      <c r="C1129" s="22" t="s">
        <v>22</v>
      </c>
      <c r="D1129">
        <v>2</v>
      </c>
      <c r="E1129">
        <v>1</v>
      </c>
      <c r="G1129" s="30">
        <f>Table132[[#This Row],[nb win]]/Table132[[#This Row],[nb play]]</f>
        <v>0.5</v>
      </c>
      <c r="H1129" t="str">
        <f>MID(Table132[[#This Row],[ÉTAT]],VALUE(RIGHT(Table132[[#This Row],[next move]],1))+1+VALUE(LEFT(Table132[[#This Row],[next move]],1))*3,1)</f>
        <v>V</v>
      </c>
      <c r="I1129" t="str">
        <f>Table132[[#This Row],[ÉTAT]]&amp;Table132[[#This Row],[next move]]</f>
        <v>VVMEEVEVM21</v>
      </c>
    </row>
    <row r="1130" spans="2:9" x14ac:dyDescent="0.25">
      <c r="B1130" t="s">
        <v>167</v>
      </c>
      <c r="C1130" s="22" t="s">
        <v>24</v>
      </c>
      <c r="D1130">
        <v>1</v>
      </c>
      <c r="E1130">
        <v>1</v>
      </c>
      <c r="G1130" s="25">
        <f>Table132[[#This Row],[nb win]]/Table132[[#This Row],[nb play]]</f>
        <v>1</v>
      </c>
      <c r="H1130" t="str">
        <f>MID(Table132[[#This Row],[ÉTAT]],VALUE(RIGHT(Table132[[#This Row],[next move]],1))+1+VALUE(LEFT(Table132[[#This Row],[next move]],1))*3,1)</f>
        <v>V</v>
      </c>
      <c r="I1130" t="str">
        <f>Table132[[#This Row],[ÉTAT]]&amp;Table132[[#This Row],[next move]]</f>
        <v>VVMEEVEMV00</v>
      </c>
    </row>
    <row r="1131" spans="2:9" x14ac:dyDescent="0.25">
      <c r="B1131" t="s">
        <v>167</v>
      </c>
      <c r="C1131" s="22" t="s">
        <v>26</v>
      </c>
      <c r="D1131">
        <v>1</v>
      </c>
      <c r="G1131" s="25">
        <f>Table132[[#This Row],[nb win]]/Table132[[#This Row],[nb play]]</f>
        <v>0</v>
      </c>
      <c r="H1131" t="str">
        <f>MID(Table132[[#This Row],[ÉTAT]],VALUE(RIGHT(Table132[[#This Row],[next move]],1))+1+VALUE(LEFT(Table132[[#This Row],[next move]],1))*3,1)</f>
        <v>V</v>
      </c>
      <c r="I1131" t="str">
        <f>Table132[[#This Row],[ÉTAT]]&amp;Table132[[#This Row],[next move]]</f>
        <v>VVMEEVEMV01</v>
      </c>
    </row>
    <row r="1132" spans="2:9" x14ac:dyDescent="0.25">
      <c r="B1132" t="s">
        <v>167</v>
      </c>
      <c r="C1132" s="22" t="s">
        <v>28</v>
      </c>
      <c r="D1132">
        <v>1</v>
      </c>
      <c r="G1132" s="25">
        <f>Table132[[#This Row],[nb win]]/Table132[[#This Row],[nb play]]</f>
        <v>0</v>
      </c>
      <c r="H1132" t="str">
        <f>MID(Table132[[#This Row],[ÉTAT]],VALUE(RIGHT(Table132[[#This Row],[next move]],1))+1+VALUE(LEFT(Table132[[#This Row],[next move]],1))*3,1)</f>
        <v>V</v>
      </c>
      <c r="I1132" t="str">
        <f>Table132[[#This Row],[ÉTAT]]&amp;Table132[[#This Row],[next move]]</f>
        <v>VVMEEVEMV12</v>
      </c>
    </row>
    <row r="1133" spans="2:9" x14ac:dyDescent="0.25">
      <c r="B1133" t="s">
        <v>167</v>
      </c>
      <c r="C1133" s="22" t="s">
        <v>31</v>
      </c>
      <c r="D1133">
        <v>1</v>
      </c>
      <c r="G1133" s="25">
        <f>Table132[[#This Row],[nb win]]/Table132[[#This Row],[nb play]]</f>
        <v>0</v>
      </c>
      <c r="H1133" t="str">
        <f>MID(Table132[[#This Row],[ÉTAT]],VALUE(RIGHT(Table132[[#This Row],[next move]],1))+1+VALUE(LEFT(Table132[[#This Row],[next move]],1))*3,1)</f>
        <v>V</v>
      </c>
      <c r="I1133" t="str">
        <f>Table132[[#This Row],[ÉTAT]]&amp;Table132[[#This Row],[next move]]</f>
        <v>VVMEEVEMV22</v>
      </c>
    </row>
    <row r="1134" spans="2:9" x14ac:dyDescent="0.25">
      <c r="B1134" t="s">
        <v>401</v>
      </c>
      <c r="C1134" s="22" t="s">
        <v>24</v>
      </c>
      <c r="D1134">
        <v>1</v>
      </c>
      <c r="E1134">
        <v>1</v>
      </c>
      <c r="G1134" s="25">
        <f>Table132[[#This Row],[nb win]]/Table132[[#This Row],[nb play]]</f>
        <v>1</v>
      </c>
      <c r="H1134" t="str">
        <f>MID(Table132[[#This Row],[ÉTAT]],VALUE(RIGHT(Table132[[#This Row],[next move]],1))+1+VALUE(LEFT(Table132[[#This Row],[next move]],1))*3,1)</f>
        <v>V</v>
      </c>
      <c r="I1134" t="str">
        <f>Table132[[#This Row],[ÉTAT]]&amp;Table132[[#This Row],[next move]]</f>
        <v>VVMEEMVVV00</v>
      </c>
    </row>
    <row r="1135" spans="2:9" x14ac:dyDescent="0.25">
      <c r="B1135" t="s">
        <v>1693</v>
      </c>
      <c r="C1135" s="22" t="s">
        <v>26</v>
      </c>
      <c r="D1135">
        <v>1</v>
      </c>
      <c r="G1135" s="25">
        <f>Table132[[#This Row],[nb win]]/Table132[[#This Row],[nb play]]</f>
        <v>0</v>
      </c>
      <c r="H1135" t="str">
        <f>MID(Table132[[#This Row],[ÉTAT]],VALUE(RIGHT(Table132[[#This Row],[next move]],1))+1+VALUE(LEFT(Table132[[#This Row],[next move]],1))*3,1)</f>
        <v>V</v>
      </c>
      <c r="I1135" t="str">
        <f>Table132[[#This Row],[ÉTAT]]&amp;Table132[[#This Row],[next move]]</f>
        <v>VVMEEMVVE01</v>
      </c>
    </row>
    <row r="1136" spans="2:9" x14ac:dyDescent="0.25">
      <c r="B1136" t="s">
        <v>1693</v>
      </c>
      <c r="C1136" s="22" t="s">
        <v>22</v>
      </c>
      <c r="D1136">
        <v>1</v>
      </c>
      <c r="G1136" s="25">
        <f>Table132[[#This Row],[nb win]]/Table132[[#This Row],[nb play]]</f>
        <v>0</v>
      </c>
      <c r="H1136" t="str">
        <f>MID(Table132[[#This Row],[ÉTAT]],VALUE(RIGHT(Table132[[#This Row],[next move]],1))+1+VALUE(LEFT(Table132[[#This Row],[next move]],1))*3,1)</f>
        <v>V</v>
      </c>
      <c r="I1136" t="str">
        <f>Table132[[#This Row],[ÉTAT]]&amp;Table132[[#This Row],[next move]]</f>
        <v>VVMEEMVVE21</v>
      </c>
    </row>
    <row r="1137" spans="2:9" x14ac:dyDescent="0.25">
      <c r="B1137" t="s">
        <v>1676</v>
      </c>
      <c r="C1137" s="22" t="s">
        <v>31</v>
      </c>
      <c r="D1137">
        <v>2</v>
      </c>
      <c r="E1137">
        <v>2</v>
      </c>
      <c r="G1137" s="31">
        <f>Table132[[#This Row],[nb win]]/Table132[[#This Row],[nb play]]</f>
        <v>1</v>
      </c>
      <c r="H1137" t="str">
        <f>MID(Table132[[#This Row],[ÉTAT]],VALUE(RIGHT(Table132[[#This Row],[next move]],1))+1+VALUE(LEFT(Table132[[#This Row],[next move]],1))*3,1)</f>
        <v>V</v>
      </c>
      <c r="I1137" t="str">
        <f>Table132[[#This Row],[ÉTAT]]&amp;Table132[[#This Row],[next move]]</f>
        <v>VVMEEMVEV22</v>
      </c>
    </row>
    <row r="1138" spans="2:9" x14ac:dyDescent="0.25">
      <c r="B1138" t="s">
        <v>456</v>
      </c>
      <c r="C1138" s="22" t="s">
        <v>24</v>
      </c>
      <c r="D1138">
        <v>1</v>
      </c>
      <c r="E1138">
        <v>1</v>
      </c>
      <c r="G1138" s="25">
        <f>Table132[[#This Row],[nb win]]/Table132[[#This Row],[nb play]]</f>
        <v>1</v>
      </c>
      <c r="H1138" t="str">
        <f>MID(Table132[[#This Row],[ÉTAT]],VALUE(RIGHT(Table132[[#This Row],[next move]],1))+1+VALUE(LEFT(Table132[[#This Row],[next move]],1))*3,1)</f>
        <v>V</v>
      </c>
      <c r="I1138" t="str">
        <f>Table132[[#This Row],[ÉTAT]]&amp;Table132[[#This Row],[next move]]</f>
        <v>VVMEEMMVE00</v>
      </c>
    </row>
    <row r="1139" spans="2:9" x14ac:dyDescent="0.25">
      <c r="B1139" t="s">
        <v>456</v>
      </c>
      <c r="C1139" s="22" t="s">
        <v>22</v>
      </c>
      <c r="D1139">
        <v>2</v>
      </c>
      <c r="G1139" s="25">
        <f>Table132[[#This Row],[nb win]]/Table132[[#This Row],[nb play]]</f>
        <v>0</v>
      </c>
      <c r="H1139" t="str">
        <f>MID(Table132[[#This Row],[ÉTAT]],VALUE(RIGHT(Table132[[#This Row],[next move]],1))+1+VALUE(LEFT(Table132[[#This Row],[next move]],1))*3,1)</f>
        <v>V</v>
      </c>
      <c r="I1139" t="str">
        <f>Table132[[#This Row],[ÉTAT]]&amp;Table132[[#This Row],[next move]]</f>
        <v>VVMEEMMVE21</v>
      </c>
    </row>
    <row r="1140" spans="2:9" x14ac:dyDescent="0.25">
      <c r="B1140" t="s">
        <v>1984</v>
      </c>
      <c r="C1140" s="22" t="s">
        <v>26</v>
      </c>
      <c r="D1140">
        <v>1</v>
      </c>
      <c r="E1140">
        <v>1</v>
      </c>
      <c r="G1140" s="25">
        <f>Table132[[#This Row],[nb win]]/Table132[[#This Row],[nb play]]</f>
        <v>1</v>
      </c>
      <c r="H1140" t="str">
        <f>MID(Table132[[#This Row],[ÉTAT]],VALUE(RIGHT(Table132[[#This Row],[next move]],1))+1+VALUE(LEFT(Table132[[#This Row],[next move]],1))*3,1)</f>
        <v>V</v>
      </c>
      <c r="I1140" t="str">
        <f>Table132[[#This Row],[ÉTAT]]&amp;Table132[[#This Row],[next move]]</f>
        <v>VVMEEMMEV01</v>
      </c>
    </row>
    <row r="1141" spans="2:9" x14ac:dyDescent="0.25">
      <c r="B1141" t="s">
        <v>2825</v>
      </c>
      <c r="C1141" s="22" t="s">
        <v>24</v>
      </c>
      <c r="D1141">
        <v>2</v>
      </c>
      <c r="G1141" s="30">
        <f>Table132[[#This Row],[nb win]]/Table132[[#This Row],[nb play]]</f>
        <v>0</v>
      </c>
      <c r="H1141" t="str">
        <f>MID(Table132[[#This Row],[ÉTAT]],VALUE(RIGHT(Table132[[#This Row],[next move]],1))+1+VALUE(LEFT(Table132[[#This Row],[next move]],1))*3,1)</f>
        <v>V</v>
      </c>
      <c r="I1141" t="str">
        <f>Table132[[#This Row],[ÉTAT]]&amp;Table132[[#This Row],[next move]]</f>
        <v>VVMEEMMEE00</v>
      </c>
    </row>
    <row r="1142" spans="2:9" x14ac:dyDescent="0.25">
      <c r="B1142" t="s">
        <v>2825</v>
      </c>
      <c r="C1142" s="22" t="s">
        <v>26</v>
      </c>
      <c r="D1142">
        <v>1</v>
      </c>
      <c r="G1142" s="25">
        <f>Table132[[#This Row],[nb win]]/Table132[[#This Row],[nb play]]</f>
        <v>0</v>
      </c>
      <c r="H1142" t="str">
        <f>MID(Table132[[#This Row],[ÉTAT]],VALUE(RIGHT(Table132[[#This Row],[next move]],1))+1+VALUE(LEFT(Table132[[#This Row],[next move]],1))*3,1)</f>
        <v>V</v>
      </c>
      <c r="I1142" t="str">
        <f>Table132[[#This Row],[ÉTAT]]&amp;Table132[[#This Row],[next move]]</f>
        <v>VVMEEMMEE01</v>
      </c>
    </row>
    <row r="1143" spans="2:9" x14ac:dyDescent="0.25">
      <c r="B1143" t="s">
        <v>2711</v>
      </c>
      <c r="C1143" s="22" t="s">
        <v>31</v>
      </c>
      <c r="D1143">
        <v>1</v>
      </c>
      <c r="E1143">
        <v>1</v>
      </c>
      <c r="G1143" s="25">
        <f>Table132[[#This Row],[nb win]]/Table132[[#This Row],[nb play]]</f>
        <v>1</v>
      </c>
      <c r="H1143" t="str">
        <f>MID(Table132[[#This Row],[ÉTAT]],VALUE(RIGHT(Table132[[#This Row],[next move]],1))+1+VALUE(LEFT(Table132[[#This Row],[next move]],1))*3,1)</f>
        <v>V</v>
      </c>
      <c r="I1143" t="str">
        <f>Table132[[#This Row],[ÉTAT]]&amp;Table132[[#This Row],[next move]]</f>
        <v>VVMEEMEVV22</v>
      </c>
    </row>
    <row r="1144" spans="2:9" x14ac:dyDescent="0.25">
      <c r="B1144" t="s">
        <v>168</v>
      </c>
      <c r="C1144" s="22" t="s">
        <v>26</v>
      </c>
      <c r="D1144">
        <v>1</v>
      </c>
      <c r="G1144" s="25">
        <f>Table132[[#This Row],[nb win]]/Table132[[#This Row],[nb play]]</f>
        <v>0</v>
      </c>
      <c r="H1144" t="str">
        <f>MID(Table132[[#This Row],[ÉTAT]],VALUE(RIGHT(Table132[[#This Row],[next move]],1))+1+VALUE(LEFT(Table132[[#This Row],[next move]],1))*3,1)</f>
        <v>V</v>
      </c>
      <c r="I1144" t="str">
        <f>Table132[[#This Row],[ÉTAT]]&amp;Table132[[#This Row],[next move]]</f>
        <v>VVMEEMEME01</v>
      </c>
    </row>
    <row r="1145" spans="2:9" x14ac:dyDescent="0.25">
      <c r="B1145" t="s">
        <v>21</v>
      </c>
      <c r="C1145" s="22" t="s">
        <v>24</v>
      </c>
      <c r="D1145">
        <v>41</v>
      </c>
      <c r="E1145">
        <v>15</v>
      </c>
      <c r="G1145" s="30">
        <f>Table132[[#This Row],[nb win]]/Table132[[#This Row],[nb play]]</f>
        <v>0.36585365853658536</v>
      </c>
      <c r="H1145" t="str">
        <f>MID(Table132[[#This Row],[ÉTAT]],VALUE(RIGHT(Table132[[#This Row],[next move]],1))+1+VALUE(LEFT(Table132[[#This Row],[next move]],1))*3,1)</f>
        <v>V</v>
      </c>
      <c r="I1145" t="str">
        <f>Table132[[#This Row],[ÉTAT]]&amp;Table132[[#This Row],[next move]]</f>
        <v>VVEVVVVVV00</v>
      </c>
    </row>
    <row r="1146" spans="2:9" x14ac:dyDescent="0.25">
      <c r="B1146" t="s">
        <v>21</v>
      </c>
      <c r="C1146" s="22" t="s">
        <v>26</v>
      </c>
      <c r="D1146">
        <v>32</v>
      </c>
      <c r="E1146">
        <v>11</v>
      </c>
      <c r="G1146" s="31">
        <f>Table132[[#This Row],[nb win]]/Table132[[#This Row],[nb play]]</f>
        <v>0.34375</v>
      </c>
      <c r="H1146" t="str">
        <f>MID(Table132[[#This Row],[ÉTAT]],VALUE(RIGHT(Table132[[#This Row],[next move]],1))+1+VALUE(LEFT(Table132[[#This Row],[next move]],1))*3,1)</f>
        <v>V</v>
      </c>
      <c r="I1146" t="str">
        <f>Table132[[#This Row],[ÉTAT]]&amp;Table132[[#This Row],[next move]]</f>
        <v>VVEVVVVVV01</v>
      </c>
    </row>
    <row r="1147" spans="2:9" x14ac:dyDescent="0.25">
      <c r="B1147" t="s">
        <v>21</v>
      </c>
      <c r="C1147" s="22" t="s">
        <v>30</v>
      </c>
      <c r="D1147">
        <v>54</v>
      </c>
      <c r="E1147">
        <v>18</v>
      </c>
      <c r="G1147" s="30">
        <f>Table132[[#This Row],[nb win]]/Table132[[#This Row],[nb play]]</f>
        <v>0.33333333333333331</v>
      </c>
      <c r="H1147" t="str">
        <f>MID(Table132[[#This Row],[ÉTAT]],VALUE(RIGHT(Table132[[#This Row],[next move]],1))+1+VALUE(LEFT(Table132[[#This Row],[next move]],1))*3,1)</f>
        <v>V</v>
      </c>
      <c r="I1147" t="str">
        <f>Table132[[#This Row],[ÉTAT]]&amp;Table132[[#This Row],[next move]]</f>
        <v>VVEVVVVVV10</v>
      </c>
    </row>
    <row r="1148" spans="2:9" x14ac:dyDescent="0.25">
      <c r="B1148" t="s">
        <v>21</v>
      </c>
      <c r="C1148" s="22" t="s">
        <v>29</v>
      </c>
      <c r="D1148">
        <v>68</v>
      </c>
      <c r="E1148">
        <v>33</v>
      </c>
      <c r="G1148" s="30">
        <f>Table132[[#This Row],[nb win]]/Table132[[#This Row],[nb play]]</f>
        <v>0.48529411764705882</v>
      </c>
      <c r="H1148" t="str">
        <f>MID(Table132[[#This Row],[ÉTAT]],VALUE(RIGHT(Table132[[#This Row],[next move]],1))+1+VALUE(LEFT(Table132[[#This Row],[next move]],1))*3,1)</f>
        <v>V</v>
      </c>
      <c r="I1148" t="str">
        <f>Table132[[#This Row],[ÉTAT]]&amp;Table132[[#This Row],[next move]]</f>
        <v>VVEVVVVVV11</v>
      </c>
    </row>
    <row r="1149" spans="2:9" x14ac:dyDescent="0.25">
      <c r="B1149" t="s">
        <v>21</v>
      </c>
      <c r="C1149" s="22" t="s">
        <v>28</v>
      </c>
      <c r="D1149">
        <v>42</v>
      </c>
      <c r="E1149">
        <v>9</v>
      </c>
      <c r="G1149" s="30">
        <f>Table132[[#This Row],[nb win]]/Table132[[#This Row],[nb play]]</f>
        <v>0.21428571428571427</v>
      </c>
      <c r="H1149" t="str">
        <f>MID(Table132[[#This Row],[ÉTAT]],VALUE(RIGHT(Table132[[#This Row],[next move]],1))+1+VALUE(LEFT(Table132[[#This Row],[next move]],1))*3,1)</f>
        <v>V</v>
      </c>
      <c r="I1149" t="str">
        <f>Table132[[#This Row],[ÉTAT]]&amp;Table132[[#This Row],[next move]]</f>
        <v>VVEVVVVVV12</v>
      </c>
    </row>
    <row r="1150" spans="2:9" x14ac:dyDescent="0.25">
      <c r="B1150" t="s">
        <v>21</v>
      </c>
      <c r="C1150" s="22" t="s">
        <v>35</v>
      </c>
      <c r="D1150">
        <v>50</v>
      </c>
      <c r="E1150">
        <v>20</v>
      </c>
      <c r="G1150" s="30">
        <f>Table132[[#This Row],[nb win]]/Table132[[#This Row],[nb play]]</f>
        <v>0.4</v>
      </c>
      <c r="H1150" t="str">
        <f>MID(Table132[[#This Row],[ÉTAT]],VALUE(RIGHT(Table132[[#This Row],[next move]],1))+1+VALUE(LEFT(Table132[[#This Row],[next move]],1))*3,1)</f>
        <v>V</v>
      </c>
      <c r="I1150" t="str">
        <f>Table132[[#This Row],[ÉTAT]]&amp;Table132[[#This Row],[next move]]</f>
        <v>VVEVVVVVV20</v>
      </c>
    </row>
    <row r="1151" spans="2:9" x14ac:dyDescent="0.25">
      <c r="B1151" t="s">
        <v>21</v>
      </c>
      <c r="C1151" s="22" t="s">
        <v>22</v>
      </c>
      <c r="D1151">
        <v>61</v>
      </c>
      <c r="E1151">
        <v>9</v>
      </c>
      <c r="G1151" s="30">
        <f>Table132[[#This Row],[nb win]]/Table132[[#This Row],[nb play]]</f>
        <v>0.14754098360655737</v>
      </c>
      <c r="H1151" t="str">
        <f>MID(Table132[[#This Row],[ÉTAT]],VALUE(RIGHT(Table132[[#This Row],[next move]],1))+1+VALUE(LEFT(Table132[[#This Row],[next move]],1))*3,1)</f>
        <v>V</v>
      </c>
      <c r="I1151" t="str">
        <f>Table132[[#This Row],[ÉTAT]]&amp;Table132[[#This Row],[next move]]</f>
        <v>VVEVVVVVV21</v>
      </c>
    </row>
    <row r="1152" spans="2:9" x14ac:dyDescent="0.25">
      <c r="B1152" t="s">
        <v>21</v>
      </c>
      <c r="C1152" s="22" t="s">
        <v>31</v>
      </c>
      <c r="D1152">
        <v>56</v>
      </c>
      <c r="E1152">
        <v>24</v>
      </c>
      <c r="G1152" s="30">
        <f>Table132[[#This Row],[nb win]]/Table132[[#This Row],[nb play]]</f>
        <v>0.42857142857142855</v>
      </c>
      <c r="H1152" t="str">
        <f>MID(Table132[[#This Row],[ÉTAT]],VALUE(RIGHT(Table132[[#This Row],[next move]],1))+1+VALUE(LEFT(Table132[[#This Row],[next move]],1))*3,1)</f>
        <v>V</v>
      </c>
      <c r="I1152" t="str">
        <f>Table132[[#This Row],[ÉTAT]]&amp;Table132[[#This Row],[next move]]</f>
        <v>VVEVVVVVV22</v>
      </c>
    </row>
    <row r="1153" spans="2:9" x14ac:dyDescent="0.25">
      <c r="B1153" t="s">
        <v>252</v>
      </c>
      <c r="C1153" s="22" t="s">
        <v>24</v>
      </c>
      <c r="D1153">
        <v>13</v>
      </c>
      <c r="E1153">
        <v>8</v>
      </c>
      <c r="G1153" s="31">
        <f>Table132[[#This Row],[nb win]]/Table132[[#This Row],[nb play]]</f>
        <v>0.61538461538461542</v>
      </c>
      <c r="H1153" t="str">
        <f>MID(Table132[[#This Row],[ÉTAT]],VALUE(RIGHT(Table132[[#This Row],[next move]],1))+1+VALUE(LEFT(Table132[[#This Row],[next move]],1))*3,1)</f>
        <v>V</v>
      </c>
      <c r="I1153" t="str">
        <f>Table132[[#This Row],[ÉTAT]]&amp;Table132[[#This Row],[next move]]</f>
        <v>VVEVVVVVM00</v>
      </c>
    </row>
    <row r="1154" spans="2:9" x14ac:dyDescent="0.25">
      <c r="B1154" t="s">
        <v>252</v>
      </c>
      <c r="C1154" s="22" t="s">
        <v>26</v>
      </c>
      <c r="D1154">
        <v>7</v>
      </c>
      <c r="E1154">
        <v>6</v>
      </c>
      <c r="G1154" s="31">
        <f>Table132[[#This Row],[nb win]]/Table132[[#This Row],[nb play]]</f>
        <v>0.8571428571428571</v>
      </c>
      <c r="H1154" t="str">
        <f>MID(Table132[[#This Row],[ÉTAT]],VALUE(RIGHT(Table132[[#This Row],[next move]],1))+1+VALUE(LEFT(Table132[[#This Row],[next move]],1))*3,1)</f>
        <v>V</v>
      </c>
      <c r="I1154" t="str">
        <f>Table132[[#This Row],[ÉTAT]]&amp;Table132[[#This Row],[next move]]</f>
        <v>VVEVVVVVM01</v>
      </c>
    </row>
    <row r="1155" spans="2:9" x14ac:dyDescent="0.25">
      <c r="B1155" t="s">
        <v>252</v>
      </c>
      <c r="C1155" s="22" t="s">
        <v>35</v>
      </c>
      <c r="D1155">
        <v>14</v>
      </c>
      <c r="E1155">
        <v>9</v>
      </c>
      <c r="G1155" s="30">
        <f>Table132[[#This Row],[nb win]]/Table132[[#This Row],[nb play]]</f>
        <v>0.6428571428571429</v>
      </c>
      <c r="H1155" t="str">
        <f>MID(Table132[[#This Row],[ÉTAT]],VALUE(RIGHT(Table132[[#This Row],[next move]],1))+1+VALUE(LEFT(Table132[[#This Row],[next move]],1))*3,1)</f>
        <v>V</v>
      </c>
      <c r="I1155" t="str">
        <f>Table132[[#This Row],[ÉTAT]]&amp;Table132[[#This Row],[next move]]</f>
        <v>VVEVVVVVM20</v>
      </c>
    </row>
    <row r="1156" spans="2:9" x14ac:dyDescent="0.25">
      <c r="B1156" t="s">
        <v>252</v>
      </c>
      <c r="C1156" s="22" t="s">
        <v>22</v>
      </c>
      <c r="D1156">
        <v>5</v>
      </c>
      <c r="E1156">
        <v>5</v>
      </c>
      <c r="G1156" s="31">
        <f>Table132[[#This Row],[nb win]]/Table132[[#This Row],[nb play]]</f>
        <v>1</v>
      </c>
      <c r="H1156" t="str">
        <f>MID(Table132[[#This Row],[ÉTAT]],VALUE(RIGHT(Table132[[#This Row],[next move]],1))+1+VALUE(LEFT(Table132[[#This Row],[next move]],1))*3,1)</f>
        <v>V</v>
      </c>
      <c r="I1156" t="str">
        <f>Table132[[#This Row],[ÉTAT]]&amp;Table132[[#This Row],[next move]]</f>
        <v>VVEVVVVVM21</v>
      </c>
    </row>
    <row r="1157" spans="2:9" x14ac:dyDescent="0.25">
      <c r="B1157" t="s">
        <v>411</v>
      </c>
      <c r="C1157" s="22" t="s">
        <v>24</v>
      </c>
      <c r="D1157">
        <v>2</v>
      </c>
      <c r="G1157" s="30">
        <f>Table132[[#This Row],[nb win]]/Table132[[#This Row],[nb play]]</f>
        <v>0</v>
      </c>
      <c r="H1157" t="str">
        <f>MID(Table132[[#This Row],[ÉTAT]],VALUE(RIGHT(Table132[[#This Row],[next move]],1))+1+VALUE(LEFT(Table132[[#This Row],[next move]],1))*3,1)</f>
        <v>V</v>
      </c>
      <c r="I1157" t="str">
        <f>Table132[[#This Row],[ÉTAT]]&amp;Table132[[#This Row],[next move]]</f>
        <v>VVEVVVVMV00</v>
      </c>
    </row>
    <row r="1158" spans="2:9" x14ac:dyDescent="0.25">
      <c r="B1158" t="s">
        <v>411</v>
      </c>
      <c r="C1158" s="22" t="s">
        <v>26</v>
      </c>
      <c r="D1158">
        <v>7</v>
      </c>
      <c r="E1158">
        <v>5</v>
      </c>
      <c r="G1158" s="31">
        <f>Table132[[#This Row],[nb win]]/Table132[[#This Row],[nb play]]</f>
        <v>0.7142857142857143</v>
      </c>
      <c r="H1158" t="str">
        <f>MID(Table132[[#This Row],[ÉTAT]],VALUE(RIGHT(Table132[[#This Row],[next move]],1))+1+VALUE(LEFT(Table132[[#This Row],[next move]],1))*3,1)</f>
        <v>V</v>
      </c>
      <c r="I1158" t="str">
        <f>Table132[[#This Row],[ÉTAT]]&amp;Table132[[#This Row],[next move]]</f>
        <v>VVEVVVVMV01</v>
      </c>
    </row>
    <row r="1159" spans="2:9" x14ac:dyDescent="0.25">
      <c r="B1159" t="s">
        <v>411</v>
      </c>
      <c r="C1159" s="22" t="s">
        <v>30</v>
      </c>
      <c r="D1159">
        <v>9</v>
      </c>
      <c r="E1159">
        <v>4</v>
      </c>
      <c r="G1159" s="30">
        <f>Table132[[#This Row],[nb win]]/Table132[[#This Row],[nb play]]</f>
        <v>0.44444444444444442</v>
      </c>
      <c r="H1159" t="str">
        <f>MID(Table132[[#This Row],[ÉTAT]],VALUE(RIGHT(Table132[[#This Row],[next move]],1))+1+VALUE(LEFT(Table132[[#This Row],[next move]],1))*3,1)</f>
        <v>V</v>
      </c>
      <c r="I1159" t="str">
        <f>Table132[[#This Row],[ÉTAT]]&amp;Table132[[#This Row],[next move]]</f>
        <v>VVEVVVVMV10</v>
      </c>
    </row>
    <row r="1160" spans="2:9" x14ac:dyDescent="0.25">
      <c r="B1160" t="s">
        <v>411</v>
      </c>
      <c r="C1160" s="22" t="s">
        <v>29</v>
      </c>
      <c r="D1160">
        <v>9</v>
      </c>
      <c r="E1160">
        <v>4</v>
      </c>
      <c r="G1160" s="31">
        <f>Table132[[#This Row],[nb win]]/Table132[[#This Row],[nb play]]</f>
        <v>0.44444444444444442</v>
      </c>
      <c r="H1160" t="str">
        <f>MID(Table132[[#This Row],[ÉTAT]],VALUE(RIGHT(Table132[[#This Row],[next move]],1))+1+VALUE(LEFT(Table132[[#This Row],[next move]],1))*3,1)</f>
        <v>V</v>
      </c>
      <c r="I1160" t="str">
        <f>Table132[[#This Row],[ÉTAT]]&amp;Table132[[#This Row],[next move]]</f>
        <v>VVEVVVVMV11</v>
      </c>
    </row>
    <row r="1161" spans="2:9" x14ac:dyDescent="0.25">
      <c r="B1161" t="s">
        <v>411</v>
      </c>
      <c r="C1161" s="22" t="s">
        <v>28</v>
      </c>
      <c r="D1161">
        <v>7</v>
      </c>
      <c r="E1161">
        <v>5</v>
      </c>
      <c r="G1161" s="30">
        <f>Table132[[#This Row],[nb win]]/Table132[[#This Row],[nb play]]</f>
        <v>0.7142857142857143</v>
      </c>
      <c r="H1161" t="str">
        <f>MID(Table132[[#This Row],[ÉTAT]],VALUE(RIGHT(Table132[[#This Row],[next move]],1))+1+VALUE(LEFT(Table132[[#This Row],[next move]],1))*3,1)</f>
        <v>V</v>
      </c>
      <c r="I1161" t="str">
        <f>Table132[[#This Row],[ÉTAT]]&amp;Table132[[#This Row],[next move]]</f>
        <v>VVEVVVVMV12</v>
      </c>
    </row>
    <row r="1162" spans="2:9" x14ac:dyDescent="0.25">
      <c r="B1162" t="s">
        <v>411</v>
      </c>
      <c r="C1162" s="22" t="s">
        <v>35</v>
      </c>
      <c r="D1162">
        <v>9</v>
      </c>
      <c r="E1162">
        <v>5</v>
      </c>
      <c r="G1162" s="30">
        <f>Table132[[#This Row],[nb win]]/Table132[[#This Row],[nb play]]</f>
        <v>0.55555555555555558</v>
      </c>
      <c r="H1162" t="str">
        <f>MID(Table132[[#This Row],[ÉTAT]],VALUE(RIGHT(Table132[[#This Row],[next move]],1))+1+VALUE(LEFT(Table132[[#This Row],[next move]],1))*3,1)</f>
        <v>V</v>
      </c>
      <c r="I1162" t="str">
        <f>Table132[[#This Row],[ÉTAT]]&amp;Table132[[#This Row],[next move]]</f>
        <v>VVEVVVVMV20</v>
      </c>
    </row>
    <row r="1163" spans="2:9" x14ac:dyDescent="0.25">
      <c r="B1163" t="s">
        <v>411</v>
      </c>
      <c r="C1163" s="22" t="s">
        <v>31</v>
      </c>
      <c r="D1163">
        <v>9</v>
      </c>
      <c r="E1163">
        <v>5</v>
      </c>
      <c r="G1163" s="31">
        <f>Table132[[#This Row],[nb win]]/Table132[[#This Row],[nb play]]</f>
        <v>0.55555555555555558</v>
      </c>
      <c r="H1163" t="str">
        <f>MID(Table132[[#This Row],[ÉTAT]],VALUE(RIGHT(Table132[[#This Row],[next move]],1))+1+VALUE(LEFT(Table132[[#This Row],[next move]],1))*3,1)</f>
        <v>V</v>
      </c>
      <c r="I1163" t="str">
        <f>Table132[[#This Row],[ÉTAT]]&amp;Table132[[#This Row],[next move]]</f>
        <v>VVEVVVVMV22</v>
      </c>
    </row>
    <row r="1164" spans="2:9" x14ac:dyDescent="0.25">
      <c r="B1164" t="s">
        <v>412</v>
      </c>
      <c r="C1164" s="22" t="s">
        <v>24</v>
      </c>
      <c r="D1164">
        <v>3</v>
      </c>
      <c r="G1164" s="30">
        <f>Table132[[#This Row],[nb win]]/Table132[[#This Row],[nb play]]</f>
        <v>0</v>
      </c>
      <c r="H1164" t="str">
        <f>MID(Table132[[#This Row],[ÉTAT]],VALUE(RIGHT(Table132[[#This Row],[next move]],1))+1+VALUE(LEFT(Table132[[#This Row],[next move]],1))*3,1)</f>
        <v>V</v>
      </c>
      <c r="I1164" t="str">
        <f>Table132[[#This Row],[ÉTAT]]&amp;Table132[[#This Row],[next move]]</f>
        <v>VVEVVVVME00</v>
      </c>
    </row>
    <row r="1165" spans="2:9" x14ac:dyDescent="0.25">
      <c r="B1165" t="s">
        <v>412</v>
      </c>
      <c r="C1165" s="22" t="s">
        <v>26</v>
      </c>
      <c r="D1165">
        <v>5</v>
      </c>
      <c r="E1165">
        <v>2</v>
      </c>
      <c r="G1165" s="25">
        <f>Table132[[#This Row],[nb win]]/Table132[[#This Row],[nb play]]</f>
        <v>0.4</v>
      </c>
      <c r="H1165" t="str">
        <f>MID(Table132[[#This Row],[ÉTAT]],VALUE(RIGHT(Table132[[#This Row],[next move]],1))+1+VALUE(LEFT(Table132[[#This Row],[next move]],1))*3,1)</f>
        <v>V</v>
      </c>
      <c r="I1165" t="str">
        <f>Table132[[#This Row],[ÉTAT]]&amp;Table132[[#This Row],[next move]]</f>
        <v>VVEVVVVME01</v>
      </c>
    </row>
    <row r="1166" spans="2:9" x14ac:dyDescent="0.25">
      <c r="B1166" t="s">
        <v>412</v>
      </c>
      <c r="C1166" s="22" t="s">
        <v>30</v>
      </c>
      <c r="D1166">
        <v>2</v>
      </c>
      <c r="G1166" s="30">
        <f>Table132[[#This Row],[nb win]]/Table132[[#This Row],[nb play]]</f>
        <v>0</v>
      </c>
      <c r="H1166" t="str">
        <f>MID(Table132[[#This Row],[ÉTAT]],VALUE(RIGHT(Table132[[#This Row],[next move]],1))+1+VALUE(LEFT(Table132[[#This Row],[next move]],1))*3,1)</f>
        <v>V</v>
      </c>
      <c r="I1166" t="str">
        <f>Table132[[#This Row],[ÉTAT]]&amp;Table132[[#This Row],[next move]]</f>
        <v>VVEVVVVME10</v>
      </c>
    </row>
    <row r="1167" spans="2:9" x14ac:dyDescent="0.25">
      <c r="B1167" t="s">
        <v>412</v>
      </c>
      <c r="C1167" s="22" t="s">
        <v>29</v>
      </c>
      <c r="D1167">
        <v>3</v>
      </c>
      <c r="E1167">
        <v>2</v>
      </c>
      <c r="G1167" s="31">
        <f>Table132[[#This Row],[nb win]]/Table132[[#This Row],[nb play]]</f>
        <v>0.66666666666666663</v>
      </c>
      <c r="H1167" t="str">
        <f>MID(Table132[[#This Row],[ÉTAT]],VALUE(RIGHT(Table132[[#This Row],[next move]],1))+1+VALUE(LEFT(Table132[[#This Row],[next move]],1))*3,1)</f>
        <v>V</v>
      </c>
      <c r="I1167" t="str">
        <f>Table132[[#This Row],[ÉTAT]]&amp;Table132[[#This Row],[next move]]</f>
        <v>VVEVVVVME11</v>
      </c>
    </row>
    <row r="1168" spans="2:9" x14ac:dyDescent="0.25">
      <c r="B1168" t="s">
        <v>412</v>
      </c>
      <c r="C1168" s="22" t="s">
        <v>28</v>
      </c>
      <c r="D1168">
        <v>5</v>
      </c>
      <c r="G1168" s="30">
        <f>Table132[[#This Row],[nb win]]/Table132[[#This Row],[nb play]]</f>
        <v>0</v>
      </c>
      <c r="H1168" t="str">
        <f>MID(Table132[[#This Row],[ÉTAT]],VALUE(RIGHT(Table132[[#This Row],[next move]],1))+1+VALUE(LEFT(Table132[[#This Row],[next move]],1))*3,1)</f>
        <v>V</v>
      </c>
      <c r="I1168" t="str">
        <f>Table132[[#This Row],[ÉTAT]]&amp;Table132[[#This Row],[next move]]</f>
        <v>VVEVVVVME12</v>
      </c>
    </row>
    <row r="1169" spans="2:9" x14ac:dyDescent="0.25">
      <c r="B1169" t="s">
        <v>412</v>
      </c>
      <c r="C1169" s="22" t="s">
        <v>35</v>
      </c>
      <c r="D1169">
        <v>2</v>
      </c>
      <c r="E1169">
        <v>1</v>
      </c>
      <c r="G1169" s="30">
        <f>Table132[[#This Row],[nb win]]/Table132[[#This Row],[nb play]]</f>
        <v>0.5</v>
      </c>
      <c r="H1169" t="str">
        <f>MID(Table132[[#This Row],[ÉTAT]],VALUE(RIGHT(Table132[[#This Row],[next move]],1))+1+VALUE(LEFT(Table132[[#This Row],[next move]],1))*3,1)</f>
        <v>V</v>
      </c>
      <c r="I1169" t="str">
        <f>Table132[[#This Row],[ÉTAT]]&amp;Table132[[#This Row],[next move]]</f>
        <v>VVEVVVVME20</v>
      </c>
    </row>
    <row r="1170" spans="2:9" x14ac:dyDescent="0.25">
      <c r="B1170" t="s">
        <v>368</v>
      </c>
      <c r="C1170" s="22" t="s">
        <v>24</v>
      </c>
      <c r="D1170">
        <v>3</v>
      </c>
      <c r="G1170" s="30">
        <f>Table132[[#This Row],[nb win]]/Table132[[#This Row],[nb play]]</f>
        <v>0</v>
      </c>
      <c r="H1170" t="str">
        <f>MID(Table132[[#This Row],[ÉTAT]],VALUE(RIGHT(Table132[[#This Row],[next move]],1))+1+VALUE(LEFT(Table132[[#This Row],[next move]],1))*3,1)</f>
        <v>V</v>
      </c>
      <c r="I1170" t="str">
        <f>Table132[[#This Row],[ÉTAT]]&amp;Table132[[#This Row],[next move]]</f>
        <v>VVEVVVVEM00</v>
      </c>
    </row>
    <row r="1171" spans="2:9" x14ac:dyDescent="0.25">
      <c r="B1171" t="s">
        <v>368</v>
      </c>
      <c r="C1171" s="22" t="s">
        <v>26</v>
      </c>
      <c r="D1171">
        <v>6</v>
      </c>
      <c r="E1171">
        <v>2</v>
      </c>
      <c r="G1171" s="30">
        <f>Table132[[#This Row],[nb win]]/Table132[[#This Row],[nb play]]</f>
        <v>0.33333333333333331</v>
      </c>
      <c r="H1171" t="str">
        <f>MID(Table132[[#This Row],[ÉTAT]],VALUE(RIGHT(Table132[[#This Row],[next move]],1))+1+VALUE(LEFT(Table132[[#This Row],[next move]],1))*3,1)</f>
        <v>V</v>
      </c>
      <c r="I1171" t="str">
        <f>Table132[[#This Row],[ÉTAT]]&amp;Table132[[#This Row],[next move]]</f>
        <v>VVEVVVVEM01</v>
      </c>
    </row>
    <row r="1172" spans="2:9" x14ac:dyDescent="0.25">
      <c r="B1172" t="s">
        <v>368</v>
      </c>
      <c r="C1172" s="22" t="s">
        <v>28</v>
      </c>
      <c r="D1172">
        <v>8</v>
      </c>
      <c r="E1172">
        <v>3</v>
      </c>
      <c r="G1172" s="31">
        <f>Table132[[#This Row],[nb win]]/Table132[[#This Row],[nb play]]</f>
        <v>0.375</v>
      </c>
      <c r="H1172" t="str">
        <f>MID(Table132[[#This Row],[ÉTAT]],VALUE(RIGHT(Table132[[#This Row],[next move]],1))+1+VALUE(LEFT(Table132[[#This Row],[next move]],1))*3,1)</f>
        <v>V</v>
      </c>
      <c r="I1172" t="str">
        <f>Table132[[#This Row],[ÉTAT]]&amp;Table132[[#This Row],[next move]]</f>
        <v>VVEVVVVEM12</v>
      </c>
    </row>
    <row r="1173" spans="2:9" x14ac:dyDescent="0.25">
      <c r="B1173" t="s">
        <v>368</v>
      </c>
      <c r="C1173" s="22" t="s">
        <v>35</v>
      </c>
      <c r="D1173">
        <v>4</v>
      </c>
      <c r="E1173">
        <v>4</v>
      </c>
      <c r="G1173" s="31">
        <f>Table132[[#This Row],[nb win]]/Table132[[#This Row],[nb play]]</f>
        <v>1</v>
      </c>
      <c r="H1173" t="str">
        <f>MID(Table132[[#This Row],[ÉTAT]],VALUE(RIGHT(Table132[[#This Row],[next move]],1))+1+VALUE(LEFT(Table132[[#This Row],[next move]],1))*3,1)</f>
        <v>V</v>
      </c>
      <c r="I1173" t="str">
        <f>Table132[[#This Row],[ÉTAT]]&amp;Table132[[#This Row],[next move]]</f>
        <v>VVEVVVVEM20</v>
      </c>
    </row>
    <row r="1174" spans="2:9" x14ac:dyDescent="0.25">
      <c r="B1174" t="s">
        <v>465</v>
      </c>
      <c r="C1174" s="22" t="s">
        <v>29</v>
      </c>
      <c r="D1174">
        <v>6</v>
      </c>
      <c r="E1174">
        <v>2</v>
      </c>
      <c r="G1174" s="30">
        <f>Table132[[#This Row],[nb win]]/Table132[[#This Row],[nb play]]</f>
        <v>0.33333333333333331</v>
      </c>
      <c r="H1174" t="str">
        <f>MID(Table132[[#This Row],[ÉTAT]],VALUE(RIGHT(Table132[[#This Row],[next move]],1))+1+VALUE(LEFT(Table132[[#This Row],[next move]],1))*3,1)</f>
        <v>V</v>
      </c>
      <c r="I1174" t="str">
        <f>Table132[[#This Row],[ÉTAT]]&amp;Table132[[#This Row],[next move]]</f>
        <v>VVEVVVMVV11</v>
      </c>
    </row>
    <row r="1175" spans="2:9" x14ac:dyDescent="0.25">
      <c r="B1175" t="s">
        <v>465</v>
      </c>
      <c r="C1175" s="22" t="s">
        <v>28</v>
      </c>
      <c r="D1175">
        <v>8</v>
      </c>
      <c r="E1175">
        <v>6</v>
      </c>
      <c r="G1175" s="31">
        <f>Table132[[#This Row],[nb win]]/Table132[[#This Row],[nb play]]</f>
        <v>0.75</v>
      </c>
      <c r="H1175" t="str">
        <f>MID(Table132[[#This Row],[ÉTAT]],VALUE(RIGHT(Table132[[#This Row],[next move]],1))+1+VALUE(LEFT(Table132[[#This Row],[next move]],1))*3,1)</f>
        <v>V</v>
      </c>
      <c r="I1175" t="str">
        <f>Table132[[#This Row],[ÉTAT]]&amp;Table132[[#This Row],[next move]]</f>
        <v>VVEVVVMVV12</v>
      </c>
    </row>
    <row r="1176" spans="2:9" x14ac:dyDescent="0.25">
      <c r="B1176" t="s">
        <v>465</v>
      </c>
      <c r="C1176" s="22" t="s">
        <v>22</v>
      </c>
      <c r="D1176">
        <v>4</v>
      </c>
      <c r="E1176">
        <v>4</v>
      </c>
      <c r="G1176" s="31">
        <f>Table132[[#This Row],[nb win]]/Table132[[#This Row],[nb play]]</f>
        <v>1</v>
      </c>
      <c r="H1176" t="str">
        <f>MID(Table132[[#This Row],[ÉTAT]],VALUE(RIGHT(Table132[[#This Row],[next move]],1))+1+VALUE(LEFT(Table132[[#This Row],[next move]],1))*3,1)</f>
        <v>V</v>
      </c>
      <c r="I1176" t="str">
        <f>Table132[[#This Row],[ÉTAT]]&amp;Table132[[#This Row],[next move]]</f>
        <v>VVEVVVMVV21</v>
      </c>
    </row>
    <row r="1177" spans="2:9" x14ac:dyDescent="0.25">
      <c r="B1177" t="s">
        <v>465</v>
      </c>
      <c r="C1177" s="22" t="s">
        <v>31</v>
      </c>
      <c r="D1177">
        <v>15</v>
      </c>
      <c r="E1177">
        <v>13</v>
      </c>
      <c r="G1177" s="31">
        <f>Table132[[#This Row],[nb win]]/Table132[[#This Row],[nb play]]</f>
        <v>0.8666666666666667</v>
      </c>
      <c r="H1177" t="str">
        <f>MID(Table132[[#This Row],[ÉTAT]],VALUE(RIGHT(Table132[[#This Row],[next move]],1))+1+VALUE(LEFT(Table132[[#This Row],[next move]],1))*3,1)</f>
        <v>V</v>
      </c>
      <c r="I1177" t="str">
        <f>Table132[[#This Row],[ÉTAT]]&amp;Table132[[#This Row],[next move]]</f>
        <v>VVEVVVMVV22</v>
      </c>
    </row>
    <row r="1178" spans="2:9" x14ac:dyDescent="0.25">
      <c r="B1178" t="s">
        <v>611</v>
      </c>
      <c r="C1178" s="22" t="s">
        <v>24</v>
      </c>
      <c r="D1178">
        <v>1</v>
      </c>
      <c r="G1178" s="30">
        <f>Table132[[#This Row],[nb win]]/Table132[[#This Row],[nb play]]</f>
        <v>0</v>
      </c>
      <c r="H1178" t="str">
        <f>MID(Table132[[#This Row],[ÉTAT]],VALUE(RIGHT(Table132[[#This Row],[next move]],1))+1+VALUE(LEFT(Table132[[#This Row],[next move]],1))*3,1)</f>
        <v>V</v>
      </c>
      <c r="I1178" t="str">
        <f>Table132[[#This Row],[ÉTAT]]&amp;Table132[[#This Row],[next move]]</f>
        <v>VVEVVVMVE00</v>
      </c>
    </row>
    <row r="1179" spans="2:9" x14ac:dyDescent="0.25">
      <c r="B1179" t="s">
        <v>611</v>
      </c>
      <c r="C1179" s="22" t="s">
        <v>26</v>
      </c>
      <c r="D1179">
        <v>2</v>
      </c>
      <c r="G1179" s="30">
        <f>Table132[[#This Row],[nb win]]/Table132[[#This Row],[nb play]]</f>
        <v>0</v>
      </c>
      <c r="H1179" t="str">
        <f>MID(Table132[[#This Row],[ÉTAT]],VALUE(RIGHT(Table132[[#This Row],[next move]],1))+1+VALUE(LEFT(Table132[[#This Row],[next move]],1))*3,1)</f>
        <v>V</v>
      </c>
      <c r="I1179" t="str">
        <f>Table132[[#This Row],[ÉTAT]]&amp;Table132[[#This Row],[next move]]</f>
        <v>VVEVVVMVE01</v>
      </c>
    </row>
    <row r="1180" spans="2:9" x14ac:dyDescent="0.25">
      <c r="B1180" t="s">
        <v>611</v>
      </c>
      <c r="C1180" s="22" t="s">
        <v>30</v>
      </c>
      <c r="D1180">
        <v>6</v>
      </c>
      <c r="G1180" s="30">
        <f>Table132[[#This Row],[nb win]]/Table132[[#This Row],[nb play]]</f>
        <v>0</v>
      </c>
      <c r="H1180" t="str">
        <f>MID(Table132[[#This Row],[ÉTAT]],VALUE(RIGHT(Table132[[#This Row],[next move]],1))+1+VALUE(LEFT(Table132[[#This Row],[next move]],1))*3,1)</f>
        <v>V</v>
      </c>
      <c r="I1180" t="str">
        <f>Table132[[#This Row],[ÉTAT]]&amp;Table132[[#This Row],[next move]]</f>
        <v>VVEVVVMVE10</v>
      </c>
    </row>
    <row r="1181" spans="2:9" x14ac:dyDescent="0.25">
      <c r="B1181" t="s">
        <v>611</v>
      </c>
      <c r="C1181" s="22" t="s">
        <v>29</v>
      </c>
      <c r="D1181">
        <v>3</v>
      </c>
      <c r="E1181">
        <v>1</v>
      </c>
      <c r="G1181" s="25">
        <f>Table132[[#This Row],[nb win]]/Table132[[#This Row],[nb play]]</f>
        <v>0.33333333333333331</v>
      </c>
      <c r="H1181" t="str">
        <f>MID(Table132[[#This Row],[ÉTAT]],VALUE(RIGHT(Table132[[#This Row],[next move]],1))+1+VALUE(LEFT(Table132[[#This Row],[next move]],1))*3,1)</f>
        <v>V</v>
      </c>
      <c r="I1181" t="str">
        <f>Table132[[#This Row],[ÉTAT]]&amp;Table132[[#This Row],[next move]]</f>
        <v>VVEVVVMVE11</v>
      </c>
    </row>
    <row r="1182" spans="2:9" x14ac:dyDescent="0.25">
      <c r="B1182" t="s">
        <v>611</v>
      </c>
      <c r="C1182" s="22" t="s">
        <v>28</v>
      </c>
      <c r="D1182">
        <v>2</v>
      </c>
      <c r="E1182">
        <v>1</v>
      </c>
      <c r="G1182" s="25">
        <f>Table132[[#This Row],[nb win]]/Table132[[#This Row],[nb play]]</f>
        <v>0.5</v>
      </c>
      <c r="H1182" t="str">
        <f>MID(Table132[[#This Row],[ÉTAT]],VALUE(RIGHT(Table132[[#This Row],[next move]],1))+1+VALUE(LEFT(Table132[[#This Row],[next move]],1))*3,1)</f>
        <v>V</v>
      </c>
      <c r="I1182" t="str">
        <f>Table132[[#This Row],[ÉTAT]]&amp;Table132[[#This Row],[next move]]</f>
        <v>VVEVVVMVE12</v>
      </c>
    </row>
    <row r="1183" spans="2:9" x14ac:dyDescent="0.25">
      <c r="B1183" t="s">
        <v>611</v>
      </c>
      <c r="C1183" s="22" t="s">
        <v>22</v>
      </c>
      <c r="D1183">
        <v>4</v>
      </c>
      <c r="G1183" s="25">
        <f>Table132[[#This Row],[nb win]]/Table132[[#This Row],[nb play]]</f>
        <v>0</v>
      </c>
      <c r="H1183" t="str">
        <f>MID(Table132[[#This Row],[ÉTAT]],VALUE(RIGHT(Table132[[#This Row],[next move]],1))+1+VALUE(LEFT(Table132[[#This Row],[next move]],1))*3,1)</f>
        <v>V</v>
      </c>
      <c r="I1183" t="str">
        <f>Table132[[#This Row],[ÉTAT]]&amp;Table132[[#This Row],[next move]]</f>
        <v>VVEVVVMVE21</v>
      </c>
    </row>
    <row r="1184" spans="2:9" x14ac:dyDescent="0.25">
      <c r="B1184" t="s">
        <v>2359</v>
      </c>
      <c r="C1184" s="22" t="s">
        <v>26</v>
      </c>
      <c r="D1184">
        <v>1</v>
      </c>
      <c r="G1184" s="25">
        <f>Table132[[#This Row],[nb win]]/Table132[[#This Row],[nb play]]</f>
        <v>0</v>
      </c>
      <c r="H1184" t="str">
        <f>MID(Table132[[#This Row],[ÉTAT]],VALUE(RIGHT(Table132[[#This Row],[next move]],1))+1+VALUE(LEFT(Table132[[#This Row],[next move]],1))*3,1)</f>
        <v>V</v>
      </c>
      <c r="I1184" t="str">
        <f>Table132[[#This Row],[ÉTAT]]&amp;Table132[[#This Row],[next move]]</f>
        <v>VVEVVVMME01</v>
      </c>
    </row>
    <row r="1185" spans="2:9" x14ac:dyDescent="0.25">
      <c r="B1185" t="s">
        <v>371</v>
      </c>
      <c r="C1185" s="22" t="s">
        <v>30</v>
      </c>
      <c r="D1185">
        <v>4</v>
      </c>
      <c r="E1185">
        <v>4</v>
      </c>
      <c r="G1185" s="31">
        <f>Table132[[#This Row],[nb win]]/Table132[[#This Row],[nb play]]</f>
        <v>1</v>
      </c>
      <c r="H1185" t="str">
        <f>MID(Table132[[#This Row],[ÉTAT]],VALUE(RIGHT(Table132[[#This Row],[next move]],1))+1+VALUE(LEFT(Table132[[#This Row],[next move]],1))*3,1)</f>
        <v>V</v>
      </c>
      <c r="I1185" t="str">
        <f>Table132[[#This Row],[ÉTAT]]&amp;Table132[[#This Row],[next move]]</f>
        <v>VVEVVVMEV10</v>
      </c>
    </row>
    <row r="1186" spans="2:9" x14ac:dyDescent="0.25">
      <c r="B1186" t="s">
        <v>371</v>
      </c>
      <c r="C1186" s="22" t="s">
        <v>29</v>
      </c>
      <c r="D1186">
        <v>1</v>
      </c>
      <c r="G1186" s="25">
        <f>Table132[[#This Row],[nb win]]/Table132[[#This Row],[nb play]]</f>
        <v>0</v>
      </c>
      <c r="H1186" t="str">
        <f>MID(Table132[[#This Row],[ÉTAT]],VALUE(RIGHT(Table132[[#This Row],[next move]],1))+1+VALUE(LEFT(Table132[[#This Row],[next move]],1))*3,1)</f>
        <v>V</v>
      </c>
      <c r="I1186" t="str">
        <f>Table132[[#This Row],[ÉTAT]]&amp;Table132[[#This Row],[next move]]</f>
        <v>VVEVVVMEV11</v>
      </c>
    </row>
    <row r="1187" spans="2:9" x14ac:dyDescent="0.25">
      <c r="B1187" t="s">
        <v>371</v>
      </c>
      <c r="C1187" s="22" t="s">
        <v>31</v>
      </c>
      <c r="D1187">
        <v>8</v>
      </c>
      <c r="E1187">
        <v>6</v>
      </c>
      <c r="G1187" s="31">
        <f>Table132[[#This Row],[nb win]]/Table132[[#This Row],[nb play]]</f>
        <v>0.75</v>
      </c>
      <c r="H1187" t="str">
        <f>MID(Table132[[#This Row],[ÉTAT]],VALUE(RIGHT(Table132[[#This Row],[next move]],1))+1+VALUE(LEFT(Table132[[#This Row],[next move]],1))*3,1)</f>
        <v>V</v>
      </c>
      <c r="I1187" t="str">
        <f>Table132[[#This Row],[ÉTAT]]&amp;Table132[[#This Row],[next move]]</f>
        <v>VVEVVVMEV22</v>
      </c>
    </row>
    <row r="1188" spans="2:9" x14ac:dyDescent="0.25">
      <c r="B1188" t="s">
        <v>612</v>
      </c>
      <c r="C1188" s="22" t="s">
        <v>24</v>
      </c>
      <c r="D1188">
        <v>1</v>
      </c>
      <c r="G1188" s="30">
        <f>Table132[[#This Row],[nb win]]/Table132[[#This Row],[nb play]]</f>
        <v>0</v>
      </c>
      <c r="H1188" t="str">
        <f>MID(Table132[[#This Row],[ÉTAT]],VALUE(RIGHT(Table132[[#This Row],[next move]],1))+1+VALUE(LEFT(Table132[[#This Row],[next move]],1))*3,1)</f>
        <v>V</v>
      </c>
      <c r="I1188" t="str">
        <f>Table132[[#This Row],[ÉTAT]]&amp;Table132[[#This Row],[next move]]</f>
        <v>VVEVVVMEM00</v>
      </c>
    </row>
    <row r="1189" spans="2:9" x14ac:dyDescent="0.25">
      <c r="B1189" t="s">
        <v>612</v>
      </c>
      <c r="C1189" s="22" t="s">
        <v>30</v>
      </c>
      <c r="D1189">
        <v>3</v>
      </c>
      <c r="E1189">
        <v>2</v>
      </c>
      <c r="G1189" s="25">
        <f>Table132[[#This Row],[nb win]]/Table132[[#This Row],[nb play]]</f>
        <v>0.66666666666666663</v>
      </c>
      <c r="H1189" t="str">
        <f>MID(Table132[[#This Row],[ÉTAT]],VALUE(RIGHT(Table132[[#This Row],[next move]],1))+1+VALUE(LEFT(Table132[[#This Row],[next move]],1))*3,1)</f>
        <v>V</v>
      </c>
      <c r="I1189" t="str">
        <f>Table132[[#This Row],[ÉTAT]]&amp;Table132[[#This Row],[next move]]</f>
        <v>VVEVVVMEM10</v>
      </c>
    </row>
    <row r="1190" spans="2:9" x14ac:dyDescent="0.25">
      <c r="B1190" t="s">
        <v>598</v>
      </c>
      <c r="C1190" s="22" t="s">
        <v>24</v>
      </c>
      <c r="D1190">
        <v>6</v>
      </c>
      <c r="E1190">
        <v>5</v>
      </c>
      <c r="G1190" s="31">
        <f>Table132[[#This Row],[nb win]]/Table132[[#This Row],[nb play]]</f>
        <v>0.83333333333333337</v>
      </c>
      <c r="H1190" t="str">
        <f>MID(Table132[[#This Row],[ÉTAT]],VALUE(RIGHT(Table132[[#This Row],[next move]],1))+1+VALUE(LEFT(Table132[[#This Row],[next move]],1))*3,1)</f>
        <v>V</v>
      </c>
      <c r="I1190" t="str">
        <f>Table132[[#This Row],[ÉTAT]]&amp;Table132[[#This Row],[next move]]</f>
        <v>VVEVVVEVM00</v>
      </c>
    </row>
    <row r="1191" spans="2:9" x14ac:dyDescent="0.25">
      <c r="B1191" t="s">
        <v>598</v>
      </c>
      <c r="C1191" s="22" t="s">
        <v>26</v>
      </c>
      <c r="D1191">
        <v>2</v>
      </c>
      <c r="G1191" s="25">
        <f>Table132[[#This Row],[nb win]]/Table132[[#This Row],[nb play]]</f>
        <v>0</v>
      </c>
      <c r="H1191" t="str">
        <f>MID(Table132[[#This Row],[ÉTAT]],VALUE(RIGHT(Table132[[#This Row],[next move]],1))+1+VALUE(LEFT(Table132[[#This Row],[next move]],1))*3,1)</f>
        <v>V</v>
      </c>
      <c r="I1191" t="str">
        <f>Table132[[#This Row],[ÉTAT]]&amp;Table132[[#This Row],[next move]]</f>
        <v>VVEVVVEVM01</v>
      </c>
    </row>
    <row r="1192" spans="2:9" x14ac:dyDescent="0.25">
      <c r="B1192" t="s">
        <v>598</v>
      </c>
      <c r="C1192" s="22" t="s">
        <v>30</v>
      </c>
      <c r="D1192">
        <v>5</v>
      </c>
      <c r="G1192" s="30">
        <f>Table132[[#This Row],[nb win]]/Table132[[#This Row],[nb play]]</f>
        <v>0</v>
      </c>
      <c r="H1192" t="str">
        <f>MID(Table132[[#This Row],[ÉTAT]],VALUE(RIGHT(Table132[[#This Row],[next move]],1))+1+VALUE(LEFT(Table132[[#This Row],[next move]],1))*3,1)</f>
        <v>V</v>
      </c>
      <c r="I1192" t="str">
        <f>Table132[[#This Row],[ÉTAT]]&amp;Table132[[#This Row],[next move]]</f>
        <v>VVEVVVEVM10</v>
      </c>
    </row>
    <row r="1193" spans="2:9" x14ac:dyDescent="0.25">
      <c r="B1193" t="s">
        <v>598</v>
      </c>
      <c r="C1193" s="22" t="s">
        <v>29</v>
      </c>
      <c r="D1193">
        <v>3</v>
      </c>
      <c r="E1193">
        <v>1</v>
      </c>
      <c r="G1193" s="30">
        <f>Table132[[#This Row],[nb win]]/Table132[[#This Row],[nb play]]</f>
        <v>0.33333333333333331</v>
      </c>
      <c r="H1193" t="str">
        <f>MID(Table132[[#This Row],[ÉTAT]],VALUE(RIGHT(Table132[[#This Row],[next move]],1))+1+VALUE(LEFT(Table132[[#This Row],[next move]],1))*3,1)</f>
        <v>V</v>
      </c>
      <c r="I1193" t="str">
        <f>Table132[[#This Row],[ÉTAT]]&amp;Table132[[#This Row],[next move]]</f>
        <v>VVEVVVEVM11</v>
      </c>
    </row>
    <row r="1194" spans="2:9" x14ac:dyDescent="0.25">
      <c r="B1194" t="s">
        <v>598</v>
      </c>
      <c r="C1194" s="22" t="s">
        <v>28</v>
      </c>
      <c r="D1194">
        <v>1</v>
      </c>
      <c r="G1194" s="25">
        <f>Table132[[#This Row],[nb win]]/Table132[[#This Row],[nb play]]</f>
        <v>0</v>
      </c>
      <c r="H1194" t="str">
        <f>MID(Table132[[#This Row],[ÉTAT]],VALUE(RIGHT(Table132[[#This Row],[next move]],1))+1+VALUE(LEFT(Table132[[#This Row],[next move]],1))*3,1)</f>
        <v>V</v>
      </c>
      <c r="I1194" t="str">
        <f>Table132[[#This Row],[ÉTAT]]&amp;Table132[[#This Row],[next move]]</f>
        <v>VVEVVVEVM12</v>
      </c>
    </row>
    <row r="1195" spans="2:9" x14ac:dyDescent="0.25">
      <c r="B1195" t="s">
        <v>598</v>
      </c>
      <c r="C1195" s="22" t="s">
        <v>22</v>
      </c>
      <c r="D1195">
        <v>2</v>
      </c>
      <c r="G1195" s="30">
        <f>Table132[[#This Row],[nb win]]/Table132[[#This Row],[nb play]]</f>
        <v>0</v>
      </c>
      <c r="H1195" t="str">
        <f>MID(Table132[[#This Row],[ÉTAT]],VALUE(RIGHT(Table132[[#This Row],[next move]],1))+1+VALUE(LEFT(Table132[[#This Row],[next move]],1))*3,1)</f>
        <v>V</v>
      </c>
      <c r="I1195" t="str">
        <f>Table132[[#This Row],[ÉTAT]]&amp;Table132[[#This Row],[next move]]</f>
        <v>VVEVVVEVM21</v>
      </c>
    </row>
    <row r="1196" spans="2:9" x14ac:dyDescent="0.25">
      <c r="B1196" t="s">
        <v>326</v>
      </c>
      <c r="C1196" s="22" t="s">
        <v>26</v>
      </c>
      <c r="D1196">
        <v>2</v>
      </c>
      <c r="E1196">
        <v>1</v>
      </c>
      <c r="G1196" s="30">
        <f>Table132[[#This Row],[nb win]]/Table132[[#This Row],[nb play]]</f>
        <v>0.5</v>
      </c>
      <c r="H1196" t="str">
        <f>MID(Table132[[#This Row],[ÉTAT]],VALUE(RIGHT(Table132[[#This Row],[next move]],1))+1+VALUE(LEFT(Table132[[#This Row],[next move]],1))*3,1)</f>
        <v>V</v>
      </c>
      <c r="I1196" t="str">
        <f>Table132[[#This Row],[ÉTAT]]&amp;Table132[[#This Row],[next move]]</f>
        <v>VVEVVVEMV01</v>
      </c>
    </row>
    <row r="1197" spans="2:9" x14ac:dyDescent="0.25">
      <c r="B1197" t="s">
        <v>326</v>
      </c>
      <c r="C1197" s="22" t="s">
        <v>30</v>
      </c>
      <c r="D1197">
        <v>4</v>
      </c>
      <c r="G1197" s="25">
        <f>Table132[[#This Row],[nb win]]/Table132[[#This Row],[nb play]]</f>
        <v>0</v>
      </c>
      <c r="H1197" t="str">
        <f>MID(Table132[[#This Row],[ÉTAT]],VALUE(RIGHT(Table132[[#This Row],[next move]],1))+1+VALUE(LEFT(Table132[[#This Row],[next move]],1))*3,1)</f>
        <v>V</v>
      </c>
      <c r="I1197" t="str">
        <f>Table132[[#This Row],[ÉTAT]]&amp;Table132[[#This Row],[next move]]</f>
        <v>VVEVVVEMV10</v>
      </c>
    </row>
    <row r="1198" spans="2:9" x14ac:dyDescent="0.25">
      <c r="B1198" t="s">
        <v>326</v>
      </c>
      <c r="C1198" s="22" t="s">
        <v>28</v>
      </c>
      <c r="D1198">
        <v>1</v>
      </c>
      <c r="G1198" s="25">
        <f>Table132[[#This Row],[nb win]]/Table132[[#This Row],[nb play]]</f>
        <v>0</v>
      </c>
      <c r="H1198" t="str">
        <f>MID(Table132[[#This Row],[ÉTAT]],VALUE(RIGHT(Table132[[#This Row],[next move]],1))+1+VALUE(LEFT(Table132[[#This Row],[next move]],1))*3,1)</f>
        <v>V</v>
      </c>
      <c r="I1198" t="str">
        <f>Table132[[#This Row],[ÉTAT]]&amp;Table132[[#This Row],[next move]]</f>
        <v>VVEVVVEMV12</v>
      </c>
    </row>
    <row r="1199" spans="2:9" x14ac:dyDescent="0.25">
      <c r="B1199" t="s">
        <v>326</v>
      </c>
      <c r="C1199" s="22" t="s">
        <v>31</v>
      </c>
      <c r="D1199">
        <v>2</v>
      </c>
      <c r="G1199" s="25">
        <f>Table132[[#This Row],[nb win]]/Table132[[#This Row],[nb play]]</f>
        <v>0</v>
      </c>
      <c r="H1199" t="str">
        <f>MID(Table132[[#This Row],[ÉTAT]],VALUE(RIGHT(Table132[[#This Row],[next move]],1))+1+VALUE(LEFT(Table132[[#This Row],[next move]],1))*3,1)</f>
        <v>V</v>
      </c>
      <c r="I1199" t="str">
        <f>Table132[[#This Row],[ÉTAT]]&amp;Table132[[#This Row],[next move]]</f>
        <v>VVEVVVEMV22</v>
      </c>
    </row>
    <row r="1200" spans="2:9" x14ac:dyDescent="0.25">
      <c r="B1200" t="s">
        <v>2402</v>
      </c>
      <c r="C1200" s="22" t="s">
        <v>24</v>
      </c>
      <c r="D1200">
        <v>3</v>
      </c>
      <c r="E1200">
        <v>2</v>
      </c>
      <c r="G1200" s="30">
        <f>Table132[[#This Row],[nb win]]/Table132[[#This Row],[nb play]]</f>
        <v>0.66666666666666663</v>
      </c>
      <c r="H1200" t="str">
        <f>MID(Table132[[#This Row],[ÉTAT]],VALUE(RIGHT(Table132[[#This Row],[next move]],1))+1+VALUE(LEFT(Table132[[#This Row],[next move]],1))*3,1)</f>
        <v>V</v>
      </c>
      <c r="I1200" t="str">
        <f>Table132[[#This Row],[ÉTAT]]&amp;Table132[[#This Row],[next move]]</f>
        <v>VVEVVVEMM00</v>
      </c>
    </row>
    <row r="1201" spans="2:9" x14ac:dyDescent="0.25">
      <c r="B1201" t="s">
        <v>2402</v>
      </c>
      <c r="C1201" s="22" t="s">
        <v>29</v>
      </c>
      <c r="D1201">
        <v>2</v>
      </c>
      <c r="E1201">
        <v>1</v>
      </c>
      <c r="G1201" s="31">
        <f>Table132[[#This Row],[nb win]]/Table132[[#This Row],[nb play]]</f>
        <v>0.5</v>
      </c>
      <c r="H1201" t="str">
        <f>MID(Table132[[#This Row],[ÉTAT]],VALUE(RIGHT(Table132[[#This Row],[next move]],1))+1+VALUE(LEFT(Table132[[#This Row],[next move]],1))*3,1)</f>
        <v>V</v>
      </c>
      <c r="I1201" t="str">
        <f>Table132[[#This Row],[ÉTAT]]&amp;Table132[[#This Row],[next move]]</f>
        <v>VVEVVVEMM11</v>
      </c>
    </row>
    <row r="1202" spans="2:9" x14ac:dyDescent="0.25">
      <c r="B1202" t="s">
        <v>2402</v>
      </c>
      <c r="C1202" s="22" t="s">
        <v>28</v>
      </c>
      <c r="D1202">
        <v>4</v>
      </c>
      <c r="E1202">
        <v>1</v>
      </c>
      <c r="G1202" s="30">
        <f>Table132[[#This Row],[nb win]]/Table132[[#This Row],[nb play]]</f>
        <v>0.25</v>
      </c>
      <c r="H1202" t="str">
        <f>MID(Table132[[#This Row],[ÉTAT]],VALUE(RIGHT(Table132[[#This Row],[next move]],1))+1+VALUE(LEFT(Table132[[#This Row],[next move]],1))*3,1)</f>
        <v>V</v>
      </c>
      <c r="I1202" t="str">
        <f>Table132[[#This Row],[ÉTAT]]&amp;Table132[[#This Row],[next move]]</f>
        <v>VVEVVVEMM12</v>
      </c>
    </row>
    <row r="1203" spans="2:9" x14ac:dyDescent="0.25">
      <c r="B1203" t="s">
        <v>265</v>
      </c>
      <c r="C1203" s="22" t="s">
        <v>24</v>
      </c>
      <c r="D1203">
        <v>10</v>
      </c>
      <c r="E1203">
        <v>5</v>
      </c>
      <c r="G1203" s="30">
        <f>Table132[[#This Row],[nb win]]/Table132[[#This Row],[nb play]]</f>
        <v>0.5</v>
      </c>
      <c r="H1203" t="str">
        <f>MID(Table132[[#This Row],[ÉTAT]],VALUE(RIGHT(Table132[[#This Row],[next move]],1))+1+VALUE(LEFT(Table132[[#This Row],[next move]],1))*3,1)</f>
        <v>V</v>
      </c>
      <c r="I1203" t="str">
        <f>Table132[[#This Row],[ÉTAT]]&amp;Table132[[#This Row],[next move]]</f>
        <v>VVEVVMVVV00</v>
      </c>
    </row>
    <row r="1204" spans="2:9" x14ac:dyDescent="0.25">
      <c r="B1204" t="s">
        <v>265</v>
      </c>
      <c r="C1204" s="22" t="s">
        <v>26</v>
      </c>
      <c r="D1204">
        <v>4</v>
      </c>
      <c r="E1204">
        <v>2</v>
      </c>
      <c r="G1204" s="31">
        <f>Table132[[#This Row],[nb win]]/Table132[[#This Row],[nb play]]</f>
        <v>0.5</v>
      </c>
      <c r="H1204" t="str">
        <f>MID(Table132[[#This Row],[ÉTAT]],VALUE(RIGHT(Table132[[#This Row],[next move]],1))+1+VALUE(LEFT(Table132[[#This Row],[next move]],1))*3,1)</f>
        <v>V</v>
      </c>
      <c r="I1204" t="str">
        <f>Table132[[#This Row],[ÉTAT]]&amp;Table132[[#This Row],[next move]]</f>
        <v>VVEVVMVVV01</v>
      </c>
    </row>
    <row r="1205" spans="2:9" x14ac:dyDescent="0.25">
      <c r="B1205" t="s">
        <v>265</v>
      </c>
      <c r="C1205" s="22" t="s">
        <v>30</v>
      </c>
      <c r="D1205">
        <v>9</v>
      </c>
      <c r="E1205">
        <v>4</v>
      </c>
      <c r="G1205" s="30">
        <f>Table132[[#This Row],[nb win]]/Table132[[#This Row],[nb play]]</f>
        <v>0.44444444444444442</v>
      </c>
      <c r="H1205" t="str">
        <f>MID(Table132[[#This Row],[ÉTAT]],VALUE(RIGHT(Table132[[#This Row],[next move]],1))+1+VALUE(LEFT(Table132[[#This Row],[next move]],1))*3,1)</f>
        <v>V</v>
      </c>
      <c r="I1205" t="str">
        <f>Table132[[#This Row],[ÉTAT]]&amp;Table132[[#This Row],[next move]]</f>
        <v>VVEVVMVVV10</v>
      </c>
    </row>
    <row r="1206" spans="2:9" x14ac:dyDescent="0.25">
      <c r="B1206" t="s">
        <v>265</v>
      </c>
      <c r="C1206" s="22" t="s">
        <v>29</v>
      </c>
      <c r="D1206">
        <v>8</v>
      </c>
      <c r="E1206">
        <v>7</v>
      </c>
      <c r="G1206" s="31">
        <f>Table132[[#This Row],[nb win]]/Table132[[#This Row],[nb play]]</f>
        <v>0.875</v>
      </c>
      <c r="H1206" t="str">
        <f>MID(Table132[[#This Row],[ÉTAT]],VALUE(RIGHT(Table132[[#This Row],[next move]],1))+1+VALUE(LEFT(Table132[[#This Row],[next move]],1))*3,1)</f>
        <v>V</v>
      </c>
      <c r="I1206" t="str">
        <f>Table132[[#This Row],[ÉTAT]]&amp;Table132[[#This Row],[next move]]</f>
        <v>VVEVVMVVV11</v>
      </c>
    </row>
    <row r="1207" spans="2:9" x14ac:dyDescent="0.25">
      <c r="B1207" t="s">
        <v>265</v>
      </c>
      <c r="C1207" s="22" t="s">
        <v>35</v>
      </c>
      <c r="D1207">
        <v>7</v>
      </c>
      <c r="E1207">
        <v>3</v>
      </c>
      <c r="G1207" s="30">
        <f>Table132[[#This Row],[nb win]]/Table132[[#This Row],[nb play]]</f>
        <v>0.42857142857142855</v>
      </c>
      <c r="H1207" t="str">
        <f>MID(Table132[[#This Row],[ÉTAT]],VALUE(RIGHT(Table132[[#This Row],[next move]],1))+1+VALUE(LEFT(Table132[[#This Row],[next move]],1))*3,1)</f>
        <v>V</v>
      </c>
      <c r="I1207" t="str">
        <f>Table132[[#This Row],[ÉTAT]]&amp;Table132[[#This Row],[next move]]</f>
        <v>VVEVVMVVV20</v>
      </c>
    </row>
    <row r="1208" spans="2:9" x14ac:dyDescent="0.25">
      <c r="B1208" t="s">
        <v>265</v>
      </c>
      <c r="C1208" s="22" t="s">
        <v>22</v>
      </c>
      <c r="D1208">
        <v>9</v>
      </c>
      <c r="E1208">
        <v>4</v>
      </c>
      <c r="G1208" s="31">
        <f>Table132[[#This Row],[nb win]]/Table132[[#This Row],[nb play]]</f>
        <v>0.44444444444444442</v>
      </c>
      <c r="H1208" t="str">
        <f>MID(Table132[[#This Row],[ÉTAT]],VALUE(RIGHT(Table132[[#This Row],[next move]],1))+1+VALUE(LEFT(Table132[[#This Row],[next move]],1))*3,1)</f>
        <v>V</v>
      </c>
      <c r="I1208" t="str">
        <f>Table132[[#This Row],[ÉTAT]]&amp;Table132[[#This Row],[next move]]</f>
        <v>VVEVVMVVV21</v>
      </c>
    </row>
    <row r="1209" spans="2:9" x14ac:dyDescent="0.25">
      <c r="B1209" t="s">
        <v>265</v>
      </c>
      <c r="C1209" s="22" t="s">
        <v>31</v>
      </c>
      <c r="D1209">
        <v>5</v>
      </c>
      <c r="E1209">
        <v>2</v>
      </c>
      <c r="G1209" s="31">
        <f>Table132[[#This Row],[nb win]]/Table132[[#This Row],[nb play]]</f>
        <v>0.4</v>
      </c>
      <c r="H1209" t="str">
        <f>MID(Table132[[#This Row],[ÉTAT]],VALUE(RIGHT(Table132[[#This Row],[next move]],1))+1+VALUE(LEFT(Table132[[#This Row],[next move]],1))*3,1)</f>
        <v>V</v>
      </c>
      <c r="I1209" t="str">
        <f>Table132[[#This Row],[ÉTAT]]&amp;Table132[[#This Row],[next move]]</f>
        <v>VVEVVMVVV22</v>
      </c>
    </row>
    <row r="1210" spans="2:9" x14ac:dyDescent="0.25">
      <c r="B1210" t="s">
        <v>2016</v>
      </c>
      <c r="C1210" s="22" t="s">
        <v>26</v>
      </c>
      <c r="D1210">
        <v>2</v>
      </c>
      <c r="E1210">
        <v>1</v>
      </c>
      <c r="G1210" s="25">
        <f>Table132[[#This Row],[nb win]]/Table132[[#This Row],[nb play]]</f>
        <v>0.5</v>
      </c>
      <c r="H1210" t="str">
        <f>MID(Table132[[#This Row],[ÉTAT]],VALUE(RIGHT(Table132[[#This Row],[next move]],1))+1+VALUE(LEFT(Table132[[#This Row],[next move]],1))*3,1)</f>
        <v>V</v>
      </c>
      <c r="I1210" t="str">
        <f>Table132[[#This Row],[ÉTAT]]&amp;Table132[[#This Row],[next move]]</f>
        <v>VVEVVMVVE01</v>
      </c>
    </row>
    <row r="1211" spans="2:9" x14ac:dyDescent="0.25">
      <c r="B1211" t="s">
        <v>2016</v>
      </c>
      <c r="C1211" s="22" t="s">
        <v>29</v>
      </c>
      <c r="D1211">
        <v>6</v>
      </c>
      <c r="E1211">
        <v>6</v>
      </c>
      <c r="G1211" s="31">
        <f>Table132[[#This Row],[nb win]]/Table132[[#This Row],[nb play]]</f>
        <v>1</v>
      </c>
      <c r="H1211" t="str">
        <f>MID(Table132[[#This Row],[ÉTAT]],VALUE(RIGHT(Table132[[#This Row],[next move]],1))+1+VALUE(LEFT(Table132[[#This Row],[next move]],1))*3,1)</f>
        <v>V</v>
      </c>
      <c r="I1211" t="str">
        <f>Table132[[#This Row],[ÉTAT]]&amp;Table132[[#This Row],[next move]]</f>
        <v>VVEVVMVVE11</v>
      </c>
    </row>
    <row r="1212" spans="2:9" x14ac:dyDescent="0.25">
      <c r="B1212" t="s">
        <v>2321</v>
      </c>
      <c r="C1212" s="22" t="s">
        <v>30</v>
      </c>
      <c r="D1212">
        <v>1</v>
      </c>
      <c r="E1212">
        <v>1</v>
      </c>
      <c r="G1212" s="25">
        <f>Table132[[#This Row],[nb win]]/Table132[[#This Row],[nb play]]</f>
        <v>1</v>
      </c>
      <c r="H1212" t="str">
        <f>MID(Table132[[#This Row],[ÉTAT]],VALUE(RIGHT(Table132[[#This Row],[next move]],1))+1+VALUE(LEFT(Table132[[#This Row],[next move]],1))*3,1)</f>
        <v>V</v>
      </c>
      <c r="I1212" t="str">
        <f>Table132[[#This Row],[ÉTAT]]&amp;Table132[[#This Row],[next move]]</f>
        <v>VVEVVMVME10</v>
      </c>
    </row>
    <row r="1213" spans="2:9" x14ac:dyDescent="0.25">
      <c r="B1213" t="s">
        <v>2321</v>
      </c>
      <c r="C1213" s="22" t="s">
        <v>35</v>
      </c>
      <c r="D1213">
        <v>3</v>
      </c>
      <c r="E1213">
        <v>1</v>
      </c>
      <c r="G1213" s="25">
        <f>Table132[[#This Row],[nb win]]/Table132[[#This Row],[nb play]]</f>
        <v>0.33333333333333331</v>
      </c>
      <c r="H1213" t="str">
        <f>MID(Table132[[#This Row],[ÉTAT]],VALUE(RIGHT(Table132[[#This Row],[next move]],1))+1+VALUE(LEFT(Table132[[#This Row],[next move]],1))*3,1)</f>
        <v>V</v>
      </c>
      <c r="I1213" t="str">
        <f>Table132[[#This Row],[ÉTAT]]&amp;Table132[[#This Row],[next move]]</f>
        <v>VVEVVMVME20</v>
      </c>
    </row>
    <row r="1214" spans="2:9" x14ac:dyDescent="0.25">
      <c r="B1214" t="s">
        <v>358</v>
      </c>
      <c r="C1214" s="22" t="s">
        <v>24</v>
      </c>
      <c r="D1214">
        <v>8</v>
      </c>
      <c r="E1214">
        <v>1</v>
      </c>
      <c r="G1214" s="30">
        <f>Table132[[#This Row],[nb win]]/Table132[[#This Row],[nb play]]</f>
        <v>0.125</v>
      </c>
      <c r="H1214" t="str">
        <f>MID(Table132[[#This Row],[ÉTAT]],VALUE(RIGHT(Table132[[#This Row],[next move]],1))+1+VALUE(LEFT(Table132[[#This Row],[next move]],1))*3,1)</f>
        <v>V</v>
      </c>
      <c r="I1214" t="str">
        <f>Table132[[#This Row],[ÉTAT]]&amp;Table132[[#This Row],[next move]]</f>
        <v>VVEVVMVEV00</v>
      </c>
    </row>
    <row r="1215" spans="2:9" x14ac:dyDescent="0.25">
      <c r="B1215" t="s">
        <v>358</v>
      </c>
      <c r="C1215" s="22" t="s">
        <v>26</v>
      </c>
      <c r="D1215">
        <v>5</v>
      </c>
      <c r="E1215">
        <v>2</v>
      </c>
      <c r="G1215" s="31">
        <f>Table132[[#This Row],[nb win]]/Table132[[#This Row],[nb play]]</f>
        <v>0.4</v>
      </c>
      <c r="H1215" t="str">
        <f>MID(Table132[[#This Row],[ÉTAT]],VALUE(RIGHT(Table132[[#This Row],[next move]],1))+1+VALUE(LEFT(Table132[[#This Row],[next move]],1))*3,1)</f>
        <v>V</v>
      </c>
      <c r="I1215" t="str">
        <f>Table132[[#This Row],[ÉTAT]]&amp;Table132[[#This Row],[next move]]</f>
        <v>VVEVVMVEV01</v>
      </c>
    </row>
    <row r="1216" spans="2:9" x14ac:dyDescent="0.25">
      <c r="B1216" t="s">
        <v>358</v>
      </c>
      <c r="C1216" s="22" t="s">
        <v>30</v>
      </c>
      <c r="D1216">
        <v>5</v>
      </c>
      <c r="E1216">
        <v>3</v>
      </c>
      <c r="G1216" s="30">
        <f>Table132[[#This Row],[nb win]]/Table132[[#This Row],[nb play]]</f>
        <v>0.6</v>
      </c>
      <c r="H1216" t="str">
        <f>MID(Table132[[#This Row],[ÉTAT]],VALUE(RIGHT(Table132[[#This Row],[next move]],1))+1+VALUE(LEFT(Table132[[#This Row],[next move]],1))*3,1)</f>
        <v>V</v>
      </c>
      <c r="I1216" t="str">
        <f>Table132[[#This Row],[ÉTAT]]&amp;Table132[[#This Row],[next move]]</f>
        <v>VVEVVMVEV10</v>
      </c>
    </row>
    <row r="1217" spans="2:9" x14ac:dyDescent="0.25">
      <c r="B1217" t="s">
        <v>358</v>
      </c>
      <c r="C1217" s="22" t="s">
        <v>29</v>
      </c>
      <c r="D1217">
        <v>2</v>
      </c>
      <c r="E1217">
        <v>1</v>
      </c>
      <c r="G1217" s="30">
        <f>Table132[[#This Row],[nb win]]/Table132[[#This Row],[nb play]]</f>
        <v>0.5</v>
      </c>
      <c r="H1217" t="str">
        <f>MID(Table132[[#This Row],[ÉTAT]],VALUE(RIGHT(Table132[[#This Row],[next move]],1))+1+VALUE(LEFT(Table132[[#This Row],[next move]],1))*3,1)</f>
        <v>V</v>
      </c>
      <c r="I1217" t="str">
        <f>Table132[[#This Row],[ÉTAT]]&amp;Table132[[#This Row],[next move]]</f>
        <v>VVEVVMVEV11</v>
      </c>
    </row>
    <row r="1218" spans="2:9" x14ac:dyDescent="0.25">
      <c r="B1218" t="s">
        <v>358</v>
      </c>
      <c r="C1218" s="22" t="s">
        <v>35</v>
      </c>
      <c r="D1218">
        <v>6</v>
      </c>
      <c r="G1218" s="25">
        <f>Table132[[#This Row],[nb win]]/Table132[[#This Row],[nb play]]</f>
        <v>0</v>
      </c>
      <c r="H1218" t="str">
        <f>MID(Table132[[#This Row],[ÉTAT]],VALUE(RIGHT(Table132[[#This Row],[next move]],1))+1+VALUE(LEFT(Table132[[#This Row],[next move]],1))*3,1)</f>
        <v>V</v>
      </c>
      <c r="I1218" t="str">
        <f>Table132[[#This Row],[ÉTAT]]&amp;Table132[[#This Row],[next move]]</f>
        <v>VVEVVMVEV20</v>
      </c>
    </row>
    <row r="1219" spans="2:9" x14ac:dyDescent="0.25">
      <c r="B1219" t="s">
        <v>1728</v>
      </c>
      <c r="C1219" s="22" t="s">
        <v>24</v>
      </c>
      <c r="D1219">
        <v>2</v>
      </c>
      <c r="E1219">
        <v>2</v>
      </c>
      <c r="G1219" s="31">
        <f>Table132[[#This Row],[nb win]]/Table132[[#This Row],[nb play]]</f>
        <v>1</v>
      </c>
      <c r="H1219" t="str">
        <f>MID(Table132[[#This Row],[ÉTAT]],VALUE(RIGHT(Table132[[#This Row],[next move]],1))+1+VALUE(LEFT(Table132[[#This Row],[next move]],1))*3,1)</f>
        <v>V</v>
      </c>
      <c r="I1219" t="str">
        <f>Table132[[#This Row],[ÉTAT]]&amp;Table132[[#This Row],[next move]]</f>
        <v>VVEVVMVEM00</v>
      </c>
    </row>
    <row r="1220" spans="2:9" x14ac:dyDescent="0.25">
      <c r="B1220" t="s">
        <v>1728</v>
      </c>
      <c r="C1220" s="22" t="s">
        <v>29</v>
      </c>
      <c r="D1220">
        <v>3</v>
      </c>
      <c r="E1220">
        <v>2</v>
      </c>
      <c r="G1220" s="31">
        <f>Table132[[#This Row],[nb win]]/Table132[[#This Row],[nb play]]</f>
        <v>0.66666666666666663</v>
      </c>
      <c r="H1220" t="str">
        <f>MID(Table132[[#This Row],[ÉTAT]],VALUE(RIGHT(Table132[[#This Row],[next move]],1))+1+VALUE(LEFT(Table132[[#This Row],[next move]],1))*3,1)</f>
        <v>V</v>
      </c>
      <c r="I1220" t="str">
        <f>Table132[[#This Row],[ÉTAT]]&amp;Table132[[#This Row],[next move]]</f>
        <v>VVEVVMVEM11</v>
      </c>
    </row>
    <row r="1221" spans="2:9" x14ac:dyDescent="0.25">
      <c r="B1221" t="s">
        <v>1583</v>
      </c>
      <c r="C1221" s="22" t="s">
        <v>30</v>
      </c>
      <c r="D1221">
        <v>6</v>
      </c>
      <c r="E1221">
        <v>6</v>
      </c>
      <c r="G1221" s="31">
        <f>Table132[[#This Row],[nb win]]/Table132[[#This Row],[nb play]]</f>
        <v>1</v>
      </c>
      <c r="H1221" t="str">
        <f>MID(Table132[[#This Row],[ÉTAT]],VALUE(RIGHT(Table132[[#This Row],[next move]],1))+1+VALUE(LEFT(Table132[[#This Row],[next move]],1))*3,1)</f>
        <v>V</v>
      </c>
      <c r="I1221" t="str">
        <f>Table132[[#This Row],[ÉTAT]]&amp;Table132[[#This Row],[next move]]</f>
        <v>VVEVVMMVE10</v>
      </c>
    </row>
    <row r="1222" spans="2:9" x14ac:dyDescent="0.25">
      <c r="B1222" t="s">
        <v>2224</v>
      </c>
      <c r="C1222" s="22" t="s">
        <v>30</v>
      </c>
      <c r="D1222">
        <v>2</v>
      </c>
      <c r="E1222">
        <v>2</v>
      </c>
      <c r="G1222" s="31">
        <f>Table132[[#This Row],[nb win]]/Table132[[#This Row],[nb play]]</f>
        <v>1</v>
      </c>
      <c r="H1222" t="str">
        <f>MID(Table132[[#This Row],[ÉTAT]],VALUE(RIGHT(Table132[[#This Row],[next move]],1))+1+VALUE(LEFT(Table132[[#This Row],[next move]],1))*3,1)</f>
        <v>V</v>
      </c>
      <c r="I1222" t="str">
        <f>Table132[[#This Row],[ÉTAT]]&amp;Table132[[#This Row],[next move]]</f>
        <v>VVEVVMMEV10</v>
      </c>
    </row>
    <row r="1223" spans="2:9" x14ac:dyDescent="0.25">
      <c r="B1223" t="s">
        <v>2224</v>
      </c>
      <c r="C1223" s="22" t="s">
        <v>29</v>
      </c>
      <c r="D1223">
        <v>1</v>
      </c>
      <c r="G1223" s="30">
        <f>Table132[[#This Row],[nb win]]/Table132[[#This Row],[nb play]]</f>
        <v>0</v>
      </c>
      <c r="H1223" t="str">
        <f>MID(Table132[[#This Row],[ÉTAT]],VALUE(RIGHT(Table132[[#This Row],[next move]],1))+1+VALUE(LEFT(Table132[[#This Row],[next move]],1))*3,1)</f>
        <v>V</v>
      </c>
      <c r="I1223" t="str">
        <f>Table132[[#This Row],[ÉTAT]]&amp;Table132[[#This Row],[next move]]</f>
        <v>VVEVVMMEV11</v>
      </c>
    </row>
    <row r="1224" spans="2:9" x14ac:dyDescent="0.25">
      <c r="B1224" t="s">
        <v>2224</v>
      </c>
      <c r="C1224" s="22" t="s">
        <v>31</v>
      </c>
      <c r="D1224">
        <v>1</v>
      </c>
      <c r="G1224" s="25">
        <f>Table132[[#This Row],[nb win]]/Table132[[#This Row],[nb play]]</f>
        <v>0</v>
      </c>
      <c r="H1224" t="str">
        <f>MID(Table132[[#This Row],[ÉTAT]],VALUE(RIGHT(Table132[[#This Row],[next move]],1))+1+VALUE(LEFT(Table132[[#This Row],[next move]],1))*3,1)</f>
        <v>V</v>
      </c>
      <c r="I1224" t="str">
        <f>Table132[[#This Row],[ÉTAT]]&amp;Table132[[#This Row],[next move]]</f>
        <v>VVEVVMMEV22</v>
      </c>
    </row>
    <row r="1225" spans="2:9" x14ac:dyDescent="0.25">
      <c r="B1225" t="s">
        <v>2943</v>
      </c>
      <c r="C1225" s="22" t="s">
        <v>30</v>
      </c>
      <c r="D1225">
        <v>3</v>
      </c>
      <c r="E1225">
        <v>2</v>
      </c>
      <c r="G1225" s="30">
        <f>Table132[[#This Row],[nb win]]/Table132[[#This Row],[nb play]]</f>
        <v>0.66666666666666663</v>
      </c>
      <c r="H1225" t="str">
        <f>MID(Table132[[#This Row],[ÉTAT]],VALUE(RIGHT(Table132[[#This Row],[next move]],1))+1+VALUE(LEFT(Table132[[#This Row],[next move]],1))*3,1)</f>
        <v>V</v>
      </c>
      <c r="I1225" t="str">
        <f>Table132[[#This Row],[ÉTAT]]&amp;Table132[[#This Row],[next move]]</f>
        <v>VVEVVMEVV10</v>
      </c>
    </row>
    <row r="1226" spans="2:9" x14ac:dyDescent="0.25">
      <c r="B1226" t="s">
        <v>2943</v>
      </c>
      <c r="C1226" s="22" t="s">
        <v>22</v>
      </c>
      <c r="D1226">
        <v>5</v>
      </c>
      <c r="G1226" s="30">
        <f>Table132[[#This Row],[nb win]]/Table132[[#This Row],[nb play]]</f>
        <v>0</v>
      </c>
      <c r="H1226" t="str">
        <f>MID(Table132[[#This Row],[ÉTAT]],VALUE(RIGHT(Table132[[#This Row],[next move]],1))+1+VALUE(LEFT(Table132[[#This Row],[next move]],1))*3,1)</f>
        <v>V</v>
      </c>
      <c r="I1226" t="str">
        <f>Table132[[#This Row],[ÉTAT]]&amp;Table132[[#This Row],[next move]]</f>
        <v>VVEVVMEVV21</v>
      </c>
    </row>
    <row r="1227" spans="2:9" x14ac:dyDescent="0.25">
      <c r="B1227" t="s">
        <v>2705</v>
      </c>
      <c r="C1227" s="22" t="s">
        <v>24</v>
      </c>
      <c r="D1227">
        <v>1</v>
      </c>
      <c r="G1227" s="25">
        <f>Table132[[#This Row],[nb win]]/Table132[[#This Row],[nb play]]</f>
        <v>0</v>
      </c>
      <c r="H1227" t="str">
        <f>MID(Table132[[#This Row],[ÉTAT]],VALUE(RIGHT(Table132[[#This Row],[next move]],1))+1+VALUE(LEFT(Table132[[#This Row],[next move]],1))*3,1)</f>
        <v>V</v>
      </c>
      <c r="I1227" t="str">
        <f>Table132[[#This Row],[ÉTAT]]&amp;Table132[[#This Row],[next move]]</f>
        <v>VVEVVMEVM00</v>
      </c>
    </row>
    <row r="1228" spans="2:9" x14ac:dyDescent="0.25">
      <c r="B1228" t="s">
        <v>2705</v>
      </c>
      <c r="C1228" s="22" t="s">
        <v>30</v>
      </c>
      <c r="D1228">
        <v>1</v>
      </c>
      <c r="G1228" s="30">
        <f>Table132[[#This Row],[nb win]]/Table132[[#This Row],[nb play]]</f>
        <v>0</v>
      </c>
      <c r="H1228" t="str">
        <f>MID(Table132[[#This Row],[ÉTAT]],VALUE(RIGHT(Table132[[#This Row],[next move]],1))+1+VALUE(LEFT(Table132[[#This Row],[next move]],1))*3,1)</f>
        <v>V</v>
      </c>
      <c r="I1228" t="str">
        <f>Table132[[#This Row],[ÉTAT]]&amp;Table132[[#This Row],[next move]]</f>
        <v>VVEVVMEVM10</v>
      </c>
    </row>
    <row r="1229" spans="2:9" x14ac:dyDescent="0.25">
      <c r="B1229" t="s">
        <v>1294</v>
      </c>
      <c r="C1229" s="22" t="s">
        <v>29</v>
      </c>
      <c r="D1229">
        <v>3</v>
      </c>
      <c r="E1229">
        <v>3</v>
      </c>
      <c r="G1229" s="25">
        <f>Table132[[#This Row],[nb win]]/Table132[[#This Row],[nb play]]</f>
        <v>1</v>
      </c>
      <c r="H1229" t="str">
        <f>MID(Table132[[#This Row],[ÉTAT]],VALUE(RIGHT(Table132[[#This Row],[next move]],1))+1+VALUE(LEFT(Table132[[#This Row],[next move]],1))*3,1)</f>
        <v>V</v>
      </c>
      <c r="I1229" t="str">
        <f>Table132[[#This Row],[ÉTAT]]&amp;Table132[[#This Row],[next move]]</f>
        <v>VVEVVMEMV11</v>
      </c>
    </row>
    <row r="1230" spans="2:9" x14ac:dyDescent="0.25">
      <c r="B1230" t="s">
        <v>1294</v>
      </c>
      <c r="C1230" s="22" t="s">
        <v>31</v>
      </c>
      <c r="D1230">
        <v>2</v>
      </c>
      <c r="G1230" s="25">
        <f>Table132[[#This Row],[nb win]]/Table132[[#This Row],[nb play]]</f>
        <v>0</v>
      </c>
      <c r="H1230" t="str">
        <f>MID(Table132[[#This Row],[ÉTAT]],VALUE(RIGHT(Table132[[#This Row],[next move]],1))+1+VALUE(LEFT(Table132[[#This Row],[next move]],1))*3,1)</f>
        <v>V</v>
      </c>
      <c r="I1230" t="str">
        <f>Table132[[#This Row],[ÉTAT]]&amp;Table132[[#This Row],[next move]]</f>
        <v>VVEVVMEMV22</v>
      </c>
    </row>
    <row r="1231" spans="2:9" x14ac:dyDescent="0.25">
      <c r="B1231" t="s">
        <v>3068</v>
      </c>
      <c r="C1231" s="22" t="s">
        <v>30</v>
      </c>
      <c r="D1231">
        <v>3</v>
      </c>
      <c r="E1231">
        <v>2</v>
      </c>
      <c r="G1231" s="31">
        <f>Table132[[#This Row],[nb win]]/Table132[[#This Row],[nb play]]</f>
        <v>0.66666666666666663</v>
      </c>
      <c r="H1231" t="str">
        <f>MID(Table132[[#This Row],[ÉTAT]],VALUE(RIGHT(Table132[[#This Row],[next move]],1))+1+VALUE(LEFT(Table132[[#This Row],[next move]],1))*3,1)</f>
        <v>V</v>
      </c>
      <c r="I1231" t="str">
        <f>Table132[[#This Row],[ÉTAT]]&amp;Table132[[#This Row],[next move]]</f>
        <v>VVEVVMEEM10</v>
      </c>
    </row>
    <row r="1232" spans="2:9" x14ac:dyDescent="0.25">
      <c r="B1232" t="s">
        <v>3068</v>
      </c>
      <c r="C1232" s="22" t="s">
        <v>29</v>
      </c>
      <c r="D1232">
        <v>1</v>
      </c>
      <c r="E1232">
        <v>1</v>
      </c>
      <c r="G1232" s="31">
        <f>Table132[[#This Row],[nb win]]/Table132[[#This Row],[nb play]]</f>
        <v>1</v>
      </c>
      <c r="H1232" t="str">
        <f>MID(Table132[[#This Row],[ÉTAT]],VALUE(RIGHT(Table132[[#This Row],[next move]],1))+1+VALUE(LEFT(Table132[[#This Row],[next move]],1))*3,1)</f>
        <v>V</v>
      </c>
      <c r="I1232" t="str">
        <f>Table132[[#This Row],[ÉTAT]]&amp;Table132[[#This Row],[next move]]</f>
        <v>VVEVVMEEM11</v>
      </c>
    </row>
    <row r="1233" spans="2:9" x14ac:dyDescent="0.25">
      <c r="B1233" t="s">
        <v>2575</v>
      </c>
      <c r="C1233" s="22" t="s">
        <v>35</v>
      </c>
      <c r="D1233">
        <v>2</v>
      </c>
      <c r="E1233">
        <v>2</v>
      </c>
      <c r="G1233" s="31">
        <f>Table132[[#This Row],[nb win]]/Table132[[#This Row],[nb play]]</f>
        <v>1</v>
      </c>
      <c r="H1233" t="str">
        <f>MID(Table132[[#This Row],[ÉTAT]],VALUE(RIGHT(Table132[[#This Row],[next move]],1))+1+VALUE(LEFT(Table132[[#This Row],[next move]],1))*3,1)</f>
        <v>V</v>
      </c>
      <c r="I1233" t="str">
        <f>Table132[[#This Row],[ÉTAT]]&amp;Table132[[#This Row],[next move]]</f>
        <v>VVEVVEVVM20</v>
      </c>
    </row>
    <row r="1234" spans="2:9" x14ac:dyDescent="0.25">
      <c r="B1234" t="s">
        <v>2575</v>
      </c>
      <c r="C1234" s="22" t="s">
        <v>22</v>
      </c>
      <c r="D1234">
        <v>10</v>
      </c>
      <c r="E1234">
        <v>8</v>
      </c>
      <c r="G1234" s="30">
        <f>Table132[[#This Row],[nb win]]/Table132[[#This Row],[nb play]]</f>
        <v>0.8</v>
      </c>
      <c r="H1234" t="str">
        <f>MID(Table132[[#This Row],[ÉTAT]],VALUE(RIGHT(Table132[[#This Row],[next move]],1))+1+VALUE(LEFT(Table132[[#This Row],[next move]],1))*3,1)</f>
        <v>V</v>
      </c>
      <c r="I1234" t="str">
        <f>Table132[[#This Row],[ÉTAT]]&amp;Table132[[#This Row],[next move]]</f>
        <v>VVEVVEVVM21</v>
      </c>
    </row>
    <row r="1235" spans="2:9" x14ac:dyDescent="0.25">
      <c r="B1235" t="s">
        <v>385</v>
      </c>
      <c r="C1235" s="22" t="s">
        <v>24</v>
      </c>
      <c r="D1235">
        <v>2</v>
      </c>
      <c r="E1235">
        <v>1</v>
      </c>
      <c r="G1235" s="31">
        <f>Table132[[#This Row],[nb win]]/Table132[[#This Row],[nb play]]</f>
        <v>0.5</v>
      </c>
      <c r="H1235" t="str">
        <f>MID(Table132[[#This Row],[ÉTAT]],VALUE(RIGHT(Table132[[#This Row],[next move]],1))+1+VALUE(LEFT(Table132[[#This Row],[next move]],1))*3,1)</f>
        <v>V</v>
      </c>
      <c r="I1235" t="str">
        <f>Table132[[#This Row],[ÉTAT]]&amp;Table132[[#This Row],[next move]]</f>
        <v>VVEVVEVMV00</v>
      </c>
    </row>
    <row r="1236" spans="2:9" x14ac:dyDescent="0.25">
      <c r="B1236" t="s">
        <v>385</v>
      </c>
      <c r="C1236" s="22" t="s">
        <v>26</v>
      </c>
      <c r="D1236">
        <v>5</v>
      </c>
      <c r="G1236" s="30">
        <f>Table132[[#This Row],[nb win]]/Table132[[#This Row],[nb play]]</f>
        <v>0</v>
      </c>
      <c r="H1236" t="str">
        <f>MID(Table132[[#This Row],[ÉTAT]],VALUE(RIGHT(Table132[[#This Row],[next move]],1))+1+VALUE(LEFT(Table132[[#This Row],[next move]],1))*3,1)</f>
        <v>V</v>
      </c>
      <c r="I1236" t="str">
        <f>Table132[[#This Row],[ÉTAT]]&amp;Table132[[#This Row],[next move]]</f>
        <v>VVEVVEVMV01</v>
      </c>
    </row>
    <row r="1237" spans="2:9" x14ac:dyDescent="0.25">
      <c r="B1237" t="s">
        <v>385</v>
      </c>
      <c r="C1237" s="22" t="s">
        <v>30</v>
      </c>
      <c r="D1237">
        <v>5</v>
      </c>
      <c r="E1237">
        <v>1</v>
      </c>
      <c r="G1237" s="30">
        <f>Table132[[#This Row],[nb win]]/Table132[[#This Row],[nb play]]</f>
        <v>0.2</v>
      </c>
      <c r="H1237" t="str">
        <f>MID(Table132[[#This Row],[ÉTAT]],VALUE(RIGHT(Table132[[#This Row],[next move]],1))+1+VALUE(LEFT(Table132[[#This Row],[next move]],1))*3,1)</f>
        <v>V</v>
      </c>
      <c r="I1237" t="str">
        <f>Table132[[#This Row],[ÉTAT]]&amp;Table132[[#This Row],[next move]]</f>
        <v>VVEVVEVMV10</v>
      </c>
    </row>
    <row r="1238" spans="2:9" x14ac:dyDescent="0.25">
      <c r="B1238" t="s">
        <v>385</v>
      </c>
      <c r="C1238" s="22" t="s">
        <v>29</v>
      </c>
      <c r="D1238">
        <v>4</v>
      </c>
      <c r="E1238">
        <v>2</v>
      </c>
      <c r="G1238" s="30">
        <f>Table132[[#This Row],[nb win]]/Table132[[#This Row],[nb play]]</f>
        <v>0.5</v>
      </c>
      <c r="H1238" t="str">
        <f>MID(Table132[[#This Row],[ÉTAT]],VALUE(RIGHT(Table132[[#This Row],[next move]],1))+1+VALUE(LEFT(Table132[[#This Row],[next move]],1))*3,1)</f>
        <v>V</v>
      </c>
      <c r="I1238" t="str">
        <f>Table132[[#This Row],[ÉTAT]]&amp;Table132[[#This Row],[next move]]</f>
        <v>VVEVVEVMV11</v>
      </c>
    </row>
    <row r="1239" spans="2:9" x14ac:dyDescent="0.25">
      <c r="B1239" t="s">
        <v>385</v>
      </c>
      <c r="C1239" s="22" t="s">
        <v>35</v>
      </c>
      <c r="D1239">
        <v>5</v>
      </c>
      <c r="G1239" s="30">
        <f>Table132[[#This Row],[nb win]]/Table132[[#This Row],[nb play]]</f>
        <v>0</v>
      </c>
      <c r="H1239" t="str">
        <f>MID(Table132[[#This Row],[ÉTAT]],VALUE(RIGHT(Table132[[#This Row],[next move]],1))+1+VALUE(LEFT(Table132[[#This Row],[next move]],1))*3,1)</f>
        <v>V</v>
      </c>
      <c r="I1239" t="str">
        <f>Table132[[#This Row],[ÉTAT]]&amp;Table132[[#This Row],[next move]]</f>
        <v>VVEVVEVMV20</v>
      </c>
    </row>
    <row r="1240" spans="2:9" x14ac:dyDescent="0.25">
      <c r="B1240" t="s">
        <v>385</v>
      </c>
      <c r="C1240" s="22" t="s">
        <v>31</v>
      </c>
      <c r="D1240">
        <v>1</v>
      </c>
      <c r="G1240" s="30">
        <f>Table132[[#This Row],[nb win]]/Table132[[#This Row],[nb play]]</f>
        <v>0</v>
      </c>
      <c r="H1240" t="str">
        <f>MID(Table132[[#This Row],[ÉTAT]],VALUE(RIGHT(Table132[[#This Row],[next move]],1))+1+VALUE(LEFT(Table132[[#This Row],[next move]],1))*3,1)</f>
        <v>V</v>
      </c>
      <c r="I1240" t="str">
        <f>Table132[[#This Row],[ÉTAT]]&amp;Table132[[#This Row],[next move]]</f>
        <v>VVEVVEVMV22</v>
      </c>
    </row>
    <row r="1241" spans="2:9" x14ac:dyDescent="0.25">
      <c r="B1241" t="s">
        <v>1103</v>
      </c>
      <c r="C1241" s="22" t="s">
        <v>35</v>
      </c>
      <c r="D1241">
        <v>4</v>
      </c>
      <c r="E1241">
        <v>4</v>
      </c>
      <c r="G1241" s="31">
        <f>Table132[[#This Row],[nb win]]/Table132[[#This Row],[nb play]]</f>
        <v>1</v>
      </c>
      <c r="H1241" t="str">
        <f>MID(Table132[[#This Row],[ÉTAT]],VALUE(RIGHT(Table132[[#This Row],[next move]],1))+1+VALUE(LEFT(Table132[[#This Row],[next move]],1))*3,1)</f>
        <v>V</v>
      </c>
      <c r="I1241" t="str">
        <f>Table132[[#This Row],[ÉTAT]]&amp;Table132[[#This Row],[next move]]</f>
        <v>VVEVVEVMM20</v>
      </c>
    </row>
    <row r="1242" spans="2:9" x14ac:dyDescent="0.25">
      <c r="B1242" t="s">
        <v>1601</v>
      </c>
      <c r="C1242" s="22" t="s">
        <v>24</v>
      </c>
      <c r="D1242">
        <v>6</v>
      </c>
      <c r="E1242">
        <v>4</v>
      </c>
      <c r="G1242" s="31">
        <f>Table132[[#This Row],[nb win]]/Table132[[#This Row],[nb play]]</f>
        <v>0.66666666666666663</v>
      </c>
      <c r="H1242" t="str">
        <f>MID(Table132[[#This Row],[ÉTAT]],VALUE(RIGHT(Table132[[#This Row],[next move]],1))+1+VALUE(LEFT(Table132[[#This Row],[next move]],1))*3,1)</f>
        <v>V</v>
      </c>
      <c r="I1242" t="str">
        <f>Table132[[#This Row],[ÉTAT]]&amp;Table132[[#This Row],[next move]]</f>
        <v>VVEVVEMVV00</v>
      </c>
    </row>
    <row r="1243" spans="2:9" x14ac:dyDescent="0.25">
      <c r="B1243" t="s">
        <v>1601</v>
      </c>
      <c r="C1243" s="22" t="s">
        <v>26</v>
      </c>
      <c r="D1243">
        <v>2</v>
      </c>
      <c r="E1243">
        <v>1</v>
      </c>
      <c r="G1243" s="31">
        <f>Table132[[#This Row],[nb win]]/Table132[[#This Row],[nb play]]</f>
        <v>0.5</v>
      </c>
      <c r="H1243" t="str">
        <f>MID(Table132[[#This Row],[ÉTAT]],VALUE(RIGHT(Table132[[#This Row],[next move]],1))+1+VALUE(LEFT(Table132[[#This Row],[next move]],1))*3,1)</f>
        <v>V</v>
      </c>
      <c r="I1243" t="str">
        <f>Table132[[#This Row],[ÉTAT]]&amp;Table132[[#This Row],[next move]]</f>
        <v>VVEVVEMVV01</v>
      </c>
    </row>
    <row r="1244" spans="2:9" x14ac:dyDescent="0.25">
      <c r="B1244" t="s">
        <v>1601</v>
      </c>
      <c r="C1244" s="22" t="s">
        <v>30</v>
      </c>
      <c r="D1244">
        <v>4</v>
      </c>
      <c r="E1244">
        <v>1</v>
      </c>
      <c r="G1244" s="30">
        <f>Table132[[#This Row],[nb win]]/Table132[[#This Row],[nb play]]</f>
        <v>0.25</v>
      </c>
      <c r="H1244" t="str">
        <f>MID(Table132[[#This Row],[ÉTAT]],VALUE(RIGHT(Table132[[#This Row],[next move]],1))+1+VALUE(LEFT(Table132[[#This Row],[next move]],1))*3,1)</f>
        <v>V</v>
      </c>
      <c r="I1244" t="str">
        <f>Table132[[#This Row],[ÉTAT]]&amp;Table132[[#This Row],[next move]]</f>
        <v>VVEVVEMVV10</v>
      </c>
    </row>
    <row r="1245" spans="2:9" x14ac:dyDescent="0.25">
      <c r="B1245" t="s">
        <v>1601</v>
      </c>
      <c r="C1245" s="22" t="s">
        <v>29</v>
      </c>
      <c r="D1245">
        <v>5</v>
      </c>
      <c r="G1245" s="30">
        <f>Table132[[#This Row],[nb win]]/Table132[[#This Row],[nb play]]</f>
        <v>0</v>
      </c>
      <c r="H1245" t="str">
        <f>MID(Table132[[#This Row],[ÉTAT]],VALUE(RIGHT(Table132[[#This Row],[next move]],1))+1+VALUE(LEFT(Table132[[#This Row],[next move]],1))*3,1)</f>
        <v>V</v>
      </c>
      <c r="I1245" t="str">
        <f>Table132[[#This Row],[ÉTAT]]&amp;Table132[[#This Row],[next move]]</f>
        <v>VVEVVEMVV11</v>
      </c>
    </row>
    <row r="1246" spans="2:9" x14ac:dyDescent="0.25">
      <c r="B1246" t="s">
        <v>1601</v>
      </c>
      <c r="C1246" s="22" t="s">
        <v>22</v>
      </c>
      <c r="D1246">
        <v>3</v>
      </c>
      <c r="G1246" s="30">
        <f>Table132[[#This Row],[nb win]]/Table132[[#This Row],[nb play]]</f>
        <v>0</v>
      </c>
      <c r="H1246" t="str">
        <f>MID(Table132[[#This Row],[ÉTAT]],VALUE(RIGHT(Table132[[#This Row],[next move]],1))+1+VALUE(LEFT(Table132[[#This Row],[next move]],1))*3,1)</f>
        <v>V</v>
      </c>
      <c r="I1246" t="str">
        <f>Table132[[#This Row],[ÉTAT]]&amp;Table132[[#This Row],[next move]]</f>
        <v>VVEVVEMVV21</v>
      </c>
    </row>
    <row r="1247" spans="2:9" x14ac:dyDescent="0.25">
      <c r="B1247" t="s">
        <v>1601</v>
      </c>
      <c r="C1247" s="22" t="s">
        <v>31</v>
      </c>
      <c r="D1247">
        <v>2</v>
      </c>
      <c r="E1247">
        <v>2</v>
      </c>
      <c r="G1247" s="31">
        <f>Table132[[#This Row],[nb win]]/Table132[[#This Row],[nb play]]</f>
        <v>1</v>
      </c>
      <c r="H1247" t="str">
        <f>MID(Table132[[#This Row],[ÉTAT]],VALUE(RIGHT(Table132[[#This Row],[next move]],1))+1+VALUE(LEFT(Table132[[#This Row],[next move]],1))*3,1)</f>
        <v>V</v>
      </c>
      <c r="I1247" t="str">
        <f>Table132[[#This Row],[ÉTAT]]&amp;Table132[[#This Row],[next move]]</f>
        <v>VVEVVEMVV22</v>
      </c>
    </row>
    <row r="1248" spans="2:9" x14ac:dyDescent="0.25">
      <c r="B1248" t="s">
        <v>657</v>
      </c>
      <c r="C1248" s="22" t="s">
        <v>29</v>
      </c>
      <c r="D1248">
        <v>4</v>
      </c>
      <c r="E1248">
        <v>4</v>
      </c>
      <c r="G1248" s="31">
        <f>Table132[[#This Row],[nb win]]/Table132[[#This Row],[nb play]]</f>
        <v>1</v>
      </c>
      <c r="H1248" t="str">
        <f>MID(Table132[[#This Row],[ÉTAT]],VALUE(RIGHT(Table132[[#This Row],[next move]],1))+1+VALUE(LEFT(Table132[[#This Row],[next move]],1))*3,1)</f>
        <v>V</v>
      </c>
      <c r="I1248" t="str">
        <f>Table132[[#This Row],[ÉTAT]]&amp;Table132[[#This Row],[next move]]</f>
        <v>VVEVVEMVM11</v>
      </c>
    </row>
    <row r="1249" spans="2:9" x14ac:dyDescent="0.25">
      <c r="B1249" t="s">
        <v>1797</v>
      </c>
      <c r="C1249" s="22" t="s">
        <v>26</v>
      </c>
      <c r="D1249">
        <v>3</v>
      </c>
      <c r="E1249">
        <v>2</v>
      </c>
      <c r="G1249" s="30">
        <f>Table132[[#This Row],[nb win]]/Table132[[#This Row],[nb play]]</f>
        <v>0.66666666666666663</v>
      </c>
      <c r="H1249" t="str">
        <f>MID(Table132[[#This Row],[ÉTAT]],VALUE(RIGHT(Table132[[#This Row],[next move]],1))+1+VALUE(LEFT(Table132[[#This Row],[next move]],1))*3,1)</f>
        <v>V</v>
      </c>
      <c r="I1249" t="str">
        <f>Table132[[#This Row],[ÉTAT]]&amp;Table132[[#This Row],[next move]]</f>
        <v>VVEVVEMMV01</v>
      </c>
    </row>
    <row r="1250" spans="2:9" x14ac:dyDescent="0.25">
      <c r="B1250" t="s">
        <v>843</v>
      </c>
      <c r="C1250" s="22" t="s">
        <v>24</v>
      </c>
      <c r="D1250">
        <v>10</v>
      </c>
      <c r="E1250">
        <v>10</v>
      </c>
      <c r="G1250" s="31">
        <f>Table132[[#This Row],[nb win]]/Table132[[#This Row],[nb play]]</f>
        <v>1</v>
      </c>
      <c r="H1250" t="str">
        <f>MID(Table132[[#This Row],[ÉTAT]],VALUE(RIGHT(Table132[[#This Row],[next move]],1))+1+VALUE(LEFT(Table132[[#This Row],[next move]],1))*3,1)</f>
        <v>V</v>
      </c>
      <c r="I1250" t="str">
        <f>Table132[[#This Row],[ÉTAT]]&amp;Table132[[#This Row],[next move]]</f>
        <v>VVEVVEMEM00</v>
      </c>
    </row>
    <row r="1251" spans="2:9" x14ac:dyDescent="0.25">
      <c r="B1251" t="s">
        <v>2904</v>
      </c>
      <c r="C1251" s="22" t="s">
        <v>29</v>
      </c>
      <c r="D1251">
        <v>6</v>
      </c>
      <c r="E1251">
        <v>6</v>
      </c>
      <c r="G1251" s="31">
        <f>Table132[[#This Row],[nb win]]/Table132[[#This Row],[nb play]]</f>
        <v>1</v>
      </c>
      <c r="H1251" t="str">
        <f>MID(Table132[[#This Row],[ÉTAT]],VALUE(RIGHT(Table132[[#This Row],[next move]],1))+1+VALUE(LEFT(Table132[[#This Row],[next move]],1))*3,1)</f>
        <v>V</v>
      </c>
      <c r="I1251" t="str">
        <f>Table132[[#This Row],[ÉTAT]]&amp;Table132[[#This Row],[next move]]</f>
        <v>VVEVVEEMM11</v>
      </c>
    </row>
    <row r="1252" spans="2:9" x14ac:dyDescent="0.25">
      <c r="B1252" t="s">
        <v>95</v>
      </c>
      <c r="C1252" s="22" t="s">
        <v>24</v>
      </c>
      <c r="D1252">
        <v>8</v>
      </c>
      <c r="E1252">
        <v>6</v>
      </c>
      <c r="G1252" s="31">
        <f>Table132[[#This Row],[nb win]]/Table132[[#This Row],[nb play]]</f>
        <v>0.75</v>
      </c>
      <c r="H1252" t="str">
        <f>MID(Table132[[#This Row],[ÉTAT]],VALUE(RIGHT(Table132[[#This Row],[next move]],1))+1+VALUE(LEFT(Table132[[#This Row],[next move]],1))*3,1)</f>
        <v>V</v>
      </c>
      <c r="I1252" t="str">
        <f>Table132[[#This Row],[ÉTAT]]&amp;Table132[[#This Row],[next move]]</f>
        <v>VVEVMVVVV00</v>
      </c>
    </row>
    <row r="1253" spans="2:9" x14ac:dyDescent="0.25">
      <c r="B1253" t="s">
        <v>95</v>
      </c>
      <c r="C1253" s="22" t="s">
        <v>26</v>
      </c>
      <c r="D1253">
        <v>21</v>
      </c>
      <c r="E1253">
        <v>18</v>
      </c>
      <c r="G1253" s="31">
        <f>Table132[[#This Row],[nb win]]/Table132[[#This Row],[nb play]]</f>
        <v>0.8571428571428571</v>
      </c>
      <c r="H1253" t="str">
        <f>MID(Table132[[#This Row],[ÉTAT]],VALUE(RIGHT(Table132[[#This Row],[next move]],1))+1+VALUE(LEFT(Table132[[#This Row],[next move]],1))*3,1)</f>
        <v>V</v>
      </c>
      <c r="I1253" t="str">
        <f>Table132[[#This Row],[ÉTAT]]&amp;Table132[[#This Row],[next move]]</f>
        <v>VVEVMVVVV01</v>
      </c>
    </row>
    <row r="1254" spans="2:9" x14ac:dyDescent="0.25">
      <c r="B1254" t="s">
        <v>95</v>
      </c>
      <c r="C1254" s="22" t="s">
        <v>30</v>
      </c>
      <c r="D1254">
        <v>11</v>
      </c>
      <c r="E1254">
        <v>7</v>
      </c>
      <c r="G1254" s="31">
        <f>Table132[[#This Row],[nb win]]/Table132[[#This Row],[nb play]]</f>
        <v>0.63636363636363635</v>
      </c>
      <c r="H1254" t="str">
        <f>MID(Table132[[#This Row],[ÉTAT]],VALUE(RIGHT(Table132[[#This Row],[next move]],1))+1+VALUE(LEFT(Table132[[#This Row],[next move]],1))*3,1)</f>
        <v>V</v>
      </c>
      <c r="I1254" t="str">
        <f>Table132[[#This Row],[ÉTAT]]&amp;Table132[[#This Row],[next move]]</f>
        <v>VVEVMVVVV10</v>
      </c>
    </row>
    <row r="1255" spans="2:9" x14ac:dyDescent="0.25">
      <c r="B1255" t="s">
        <v>95</v>
      </c>
      <c r="C1255" s="22" t="s">
        <v>28</v>
      </c>
      <c r="D1255">
        <v>9</v>
      </c>
      <c r="E1255">
        <v>6</v>
      </c>
      <c r="G1255" s="30">
        <f>Table132[[#This Row],[nb win]]/Table132[[#This Row],[nb play]]</f>
        <v>0.66666666666666663</v>
      </c>
      <c r="H1255" t="str">
        <f>MID(Table132[[#This Row],[ÉTAT]],VALUE(RIGHT(Table132[[#This Row],[next move]],1))+1+VALUE(LEFT(Table132[[#This Row],[next move]],1))*3,1)</f>
        <v>V</v>
      </c>
      <c r="I1255" t="str">
        <f>Table132[[#This Row],[ÉTAT]]&amp;Table132[[#This Row],[next move]]</f>
        <v>VVEVMVVVV12</v>
      </c>
    </row>
    <row r="1256" spans="2:9" x14ac:dyDescent="0.25">
      <c r="B1256" t="s">
        <v>95</v>
      </c>
      <c r="C1256" s="22" t="s">
        <v>35</v>
      </c>
      <c r="D1256">
        <v>9</v>
      </c>
      <c r="E1256">
        <v>4</v>
      </c>
      <c r="G1256" s="31">
        <f>Table132[[#This Row],[nb win]]/Table132[[#This Row],[nb play]]</f>
        <v>0.44444444444444442</v>
      </c>
      <c r="H1256" t="str">
        <f>MID(Table132[[#This Row],[ÉTAT]],VALUE(RIGHT(Table132[[#This Row],[next move]],1))+1+VALUE(LEFT(Table132[[#This Row],[next move]],1))*3,1)</f>
        <v>V</v>
      </c>
      <c r="I1256" t="str">
        <f>Table132[[#This Row],[ÉTAT]]&amp;Table132[[#This Row],[next move]]</f>
        <v>VVEVMVVVV20</v>
      </c>
    </row>
    <row r="1257" spans="2:9" x14ac:dyDescent="0.25">
      <c r="B1257" t="s">
        <v>95</v>
      </c>
      <c r="C1257" s="22" t="s">
        <v>22</v>
      </c>
      <c r="D1257">
        <v>10</v>
      </c>
      <c r="E1257">
        <v>6</v>
      </c>
      <c r="G1257" s="30">
        <f>Table132[[#This Row],[nb win]]/Table132[[#This Row],[nb play]]</f>
        <v>0.6</v>
      </c>
      <c r="H1257" t="str">
        <f>MID(Table132[[#This Row],[ÉTAT]],VALUE(RIGHT(Table132[[#This Row],[next move]],1))+1+VALUE(LEFT(Table132[[#This Row],[next move]],1))*3,1)</f>
        <v>V</v>
      </c>
      <c r="I1257" t="str">
        <f>Table132[[#This Row],[ÉTAT]]&amp;Table132[[#This Row],[next move]]</f>
        <v>VVEVMVVVV21</v>
      </c>
    </row>
    <row r="1258" spans="2:9" x14ac:dyDescent="0.25">
      <c r="B1258" t="s">
        <v>95</v>
      </c>
      <c r="C1258" s="22" t="s">
        <v>31</v>
      </c>
      <c r="D1258">
        <v>10</v>
      </c>
      <c r="E1258">
        <v>6</v>
      </c>
      <c r="G1258" s="30">
        <f>Table132[[#This Row],[nb win]]/Table132[[#This Row],[nb play]]</f>
        <v>0.6</v>
      </c>
      <c r="H1258" t="str">
        <f>MID(Table132[[#This Row],[ÉTAT]],VALUE(RIGHT(Table132[[#This Row],[next move]],1))+1+VALUE(LEFT(Table132[[#This Row],[next move]],1))*3,1)</f>
        <v>V</v>
      </c>
      <c r="I1258" t="str">
        <f>Table132[[#This Row],[ÉTAT]]&amp;Table132[[#This Row],[next move]]</f>
        <v>VVEVMVVVV22</v>
      </c>
    </row>
    <row r="1259" spans="2:9" x14ac:dyDescent="0.25">
      <c r="B1259" t="s">
        <v>615</v>
      </c>
      <c r="C1259" s="22" t="s">
        <v>24</v>
      </c>
      <c r="D1259">
        <v>5</v>
      </c>
      <c r="E1259">
        <v>1</v>
      </c>
      <c r="G1259" s="31">
        <f>Table132[[#This Row],[nb win]]/Table132[[#This Row],[nb play]]</f>
        <v>0.2</v>
      </c>
      <c r="H1259" t="str">
        <f>MID(Table132[[#This Row],[ÉTAT]],VALUE(RIGHT(Table132[[#This Row],[next move]],1))+1+VALUE(LEFT(Table132[[#This Row],[next move]],1))*3,1)</f>
        <v>V</v>
      </c>
      <c r="I1259" t="str">
        <f>Table132[[#This Row],[ÉTAT]]&amp;Table132[[#This Row],[next move]]</f>
        <v>VVEVMVVVE00</v>
      </c>
    </row>
    <row r="1260" spans="2:9" x14ac:dyDescent="0.25">
      <c r="B1260" t="s">
        <v>615</v>
      </c>
      <c r="C1260" s="22" t="s">
        <v>26</v>
      </c>
      <c r="D1260">
        <v>3</v>
      </c>
      <c r="E1260">
        <v>2</v>
      </c>
      <c r="G1260" s="30">
        <f>Table132[[#This Row],[nb win]]/Table132[[#This Row],[nb play]]</f>
        <v>0.66666666666666663</v>
      </c>
      <c r="H1260" t="str">
        <f>MID(Table132[[#This Row],[ÉTAT]],VALUE(RIGHT(Table132[[#This Row],[next move]],1))+1+VALUE(LEFT(Table132[[#This Row],[next move]],1))*3,1)</f>
        <v>V</v>
      </c>
      <c r="I1260" t="str">
        <f>Table132[[#This Row],[ÉTAT]]&amp;Table132[[#This Row],[next move]]</f>
        <v>VVEVMVVVE01</v>
      </c>
    </row>
    <row r="1261" spans="2:9" x14ac:dyDescent="0.25">
      <c r="B1261" t="s">
        <v>615</v>
      </c>
      <c r="C1261" s="22" t="s">
        <v>28</v>
      </c>
      <c r="D1261">
        <v>4</v>
      </c>
      <c r="E1261">
        <v>3</v>
      </c>
      <c r="G1261" s="31">
        <f>Table132[[#This Row],[nb win]]/Table132[[#This Row],[nb play]]</f>
        <v>0.75</v>
      </c>
      <c r="H1261" t="str">
        <f>MID(Table132[[#This Row],[ÉTAT]],VALUE(RIGHT(Table132[[#This Row],[next move]],1))+1+VALUE(LEFT(Table132[[#This Row],[next move]],1))*3,1)</f>
        <v>V</v>
      </c>
      <c r="I1261" t="str">
        <f>Table132[[#This Row],[ÉTAT]]&amp;Table132[[#This Row],[next move]]</f>
        <v>VVEVMVVVE12</v>
      </c>
    </row>
    <row r="1262" spans="2:9" x14ac:dyDescent="0.25">
      <c r="B1262" t="s">
        <v>615</v>
      </c>
      <c r="C1262" s="22" t="s">
        <v>35</v>
      </c>
      <c r="D1262">
        <v>2</v>
      </c>
      <c r="G1262" s="25">
        <f>Table132[[#This Row],[nb win]]/Table132[[#This Row],[nb play]]</f>
        <v>0</v>
      </c>
      <c r="H1262" t="str">
        <f>MID(Table132[[#This Row],[ÉTAT]],VALUE(RIGHT(Table132[[#This Row],[next move]],1))+1+VALUE(LEFT(Table132[[#This Row],[next move]],1))*3,1)</f>
        <v>V</v>
      </c>
      <c r="I1262" t="str">
        <f>Table132[[#This Row],[ÉTAT]]&amp;Table132[[#This Row],[next move]]</f>
        <v>VVEVMVVVE20</v>
      </c>
    </row>
    <row r="1263" spans="2:9" x14ac:dyDescent="0.25">
      <c r="B1263" t="s">
        <v>615</v>
      </c>
      <c r="C1263" s="22" t="s">
        <v>22</v>
      </c>
      <c r="D1263">
        <v>3</v>
      </c>
      <c r="E1263">
        <v>2</v>
      </c>
      <c r="G1263" s="30">
        <f>Table132[[#This Row],[nb win]]/Table132[[#This Row],[nb play]]</f>
        <v>0.66666666666666663</v>
      </c>
      <c r="H1263" t="str">
        <f>MID(Table132[[#This Row],[ÉTAT]],VALUE(RIGHT(Table132[[#This Row],[next move]],1))+1+VALUE(LEFT(Table132[[#This Row],[next move]],1))*3,1)</f>
        <v>V</v>
      </c>
      <c r="I1263" t="str">
        <f>Table132[[#This Row],[ÉTAT]]&amp;Table132[[#This Row],[next move]]</f>
        <v>VVEVMVVVE21</v>
      </c>
    </row>
    <row r="1264" spans="2:9" x14ac:dyDescent="0.25">
      <c r="B1264" t="s">
        <v>1334</v>
      </c>
      <c r="C1264" s="22" t="s">
        <v>26</v>
      </c>
      <c r="D1264">
        <v>6</v>
      </c>
      <c r="E1264">
        <v>6</v>
      </c>
      <c r="G1264" s="31">
        <f>Table132[[#This Row],[nb win]]/Table132[[#This Row],[nb play]]</f>
        <v>1</v>
      </c>
      <c r="H1264" t="str">
        <f>MID(Table132[[#This Row],[ÉTAT]],VALUE(RIGHT(Table132[[#This Row],[next move]],1))+1+VALUE(LEFT(Table132[[#This Row],[next move]],1))*3,1)</f>
        <v>V</v>
      </c>
      <c r="I1264" t="str">
        <f>Table132[[#This Row],[ÉTAT]]&amp;Table132[[#This Row],[next move]]</f>
        <v>VVEVMVVME01</v>
      </c>
    </row>
    <row r="1265" spans="2:9" x14ac:dyDescent="0.25">
      <c r="B1265" t="s">
        <v>373</v>
      </c>
      <c r="C1265" s="22" t="s">
        <v>26</v>
      </c>
      <c r="D1265">
        <v>2</v>
      </c>
      <c r="G1265" s="25">
        <f>Table132[[#This Row],[nb win]]/Table132[[#This Row],[nb play]]</f>
        <v>0</v>
      </c>
      <c r="H1265" t="str">
        <f>MID(Table132[[#This Row],[ÉTAT]],VALUE(RIGHT(Table132[[#This Row],[next move]],1))+1+VALUE(LEFT(Table132[[#This Row],[next move]],1))*3,1)</f>
        <v>V</v>
      </c>
      <c r="I1265" t="str">
        <f>Table132[[#This Row],[ÉTAT]]&amp;Table132[[#This Row],[next move]]</f>
        <v>VVEVMVVEV01</v>
      </c>
    </row>
    <row r="1266" spans="2:9" x14ac:dyDescent="0.25">
      <c r="B1266" t="s">
        <v>373</v>
      </c>
      <c r="C1266" s="22" t="s">
        <v>30</v>
      </c>
      <c r="D1266">
        <v>3</v>
      </c>
      <c r="E1266">
        <v>1</v>
      </c>
      <c r="G1266" s="30">
        <f>Table132[[#This Row],[nb win]]/Table132[[#This Row],[nb play]]</f>
        <v>0.33333333333333331</v>
      </c>
      <c r="H1266" t="str">
        <f>MID(Table132[[#This Row],[ÉTAT]],VALUE(RIGHT(Table132[[#This Row],[next move]],1))+1+VALUE(LEFT(Table132[[#This Row],[next move]],1))*3,1)</f>
        <v>V</v>
      </c>
      <c r="I1266" t="str">
        <f>Table132[[#This Row],[ÉTAT]]&amp;Table132[[#This Row],[next move]]</f>
        <v>VVEVMVVEV10</v>
      </c>
    </row>
    <row r="1267" spans="2:9" x14ac:dyDescent="0.25">
      <c r="B1267" t="s">
        <v>373</v>
      </c>
      <c r="C1267" s="22" t="s">
        <v>28</v>
      </c>
      <c r="D1267">
        <v>4</v>
      </c>
      <c r="E1267">
        <v>3</v>
      </c>
      <c r="G1267" s="30">
        <f>Table132[[#This Row],[nb win]]/Table132[[#This Row],[nb play]]</f>
        <v>0.75</v>
      </c>
      <c r="H1267" t="str">
        <f>MID(Table132[[#This Row],[ÉTAT]],VALUE(RIGHT(Table132[[#This Row],[next move]],1))+1+VALUE(LEFT(Table132[[#This Row],[next move]],1))*3,1)</f>
        <v>V</v>
      </c>
      <c r="I1267" t="str">
        <f>Table132[[#This Row],[ÉTAT]]&amp;Table132[[#This Row],[next move]]</f>
        <v>VVEVMVVEV12</v>
      </c>
    </row>
    <row r="1268" spans="2:9" x14ac:dyDescent="0.25">
      <c r="B1268" t="s">
        <v>3337</v>
      </c>
      <c r="C1268" s="22" t="s">
        <v>24</v>
      </c>
      <c r="D1268">
        <v>3</v>
      </c>
      <c r="E1268">
        <v>3</v>
      </c>
      <c r="G1268" s="31">
        <f>Table132[[#This Row],[nb win]]/Table132[[#This Row],[nb play]]</f>
        <v>1</v>
      </c>
      <c r="H1268" t="str">
        <f>MID(Table132[[#This Row],[ÉTAT]],VALUE(RIGHT(Table132[[#This Row],[next move]],1))+1+VALUE(LEFT(Table132[[#This Row],[next move]],1))*3,1)</f>
        <v>V</v>
      </c>
      <c r="I1268" t="str">
        <f>Table132[[#This Row],[ÉTAT]]&amp;Table132[[#This Row],[next move]]</f>
        <v>VVEVMVVEM00</v>
      </c>
    </row>
    <row r="1269" spans="2:9" x14ac:dyDescent="0.25">
      <c r="B1269" t="s">
        <v>1699</v>
      </c>
      <c r="C1269" s="22" t="s">
        <v>24</v>
      </c>
      <c r="D1269">
        <v>3</v>
      </c>
      <c r="G1269" s="30">
        <f>Table132[[#This Row],[nb win]]/Table132[[#This Row],[nb play]]</f>
        <v>0</v>
      </c>
      <c r="H1269" t="str">
        <f>MID(Table132[[#This Row],[ÉTAT]],VALUE(RIGHT(Table132[[#This Row],[next move]],1))+1+VALUE(LEFT(Table132[[#This Row],[next move]],1))*3,1)</f>
        <v>V</v>
      </c>
      <c r="I1269" t="str">
        <f>Table132[[#This Row],[ÉTAT]]&amp;Table132[[#This Row],[next move]]</f>
        <v>VVEVMVMVE00</v>
      </c>
    </row>
    <row r="1270" spans="2:9" x14ac:dyDescent="0.25">
      <c r="B1270" t="s">
        <v>1699</v>
      </c>
      <c r="C1270" s="22" t="s">
        <v>30</v>
      </c>
      <c r="D1270">
        <v>2</v>
      </c>
      <c r="E1270">
        <v>1</v>
      </c>
      <c r="G1270" s="30">
        <f>Table132[[#This Row],[nb win]]/Table132[[#This Row],[nb play]]</f>
        <v>0.5</v>
      </c>
      <c r="H1270" t="str">
        <f>MID(Table132[[#This Row],[ÉTAT]],VALUE(RIGHT(Table132[[#This Row],[next move]],1))+1+VALUE(LEFT(Table132[[#This Row],[next move]],1))*3,1)</f>
        <v>V</v>
      </c>
      <c r="I1270" t="str">
        <f>Table132[[#This Row],[ÉTAT]]&amp;Table132[[#This Row],[next move]]</f>
        <v>VVEVMVMVE10</v>
      </c>
    </row>
    <row r="1271" spans="2:9" x14ac:dyDescent="0.25">
      <c r="B1271" t="s">
        <v>467</v>
      </c>
      <c r="C1271" s="22" t="s">
        <v>26</v>
      </c>
      <c r="D1271">
        <v>3</v>
      </c>
      <c r="E1271">
        <v>1</v>
      </c>
      <c r="G1271" s="31">
        <f>Table132[[#This Row],[nb win]]/Table132[[#This Row],[nb play]]</f>
        <v>0.33333333333333331</v>
      </c>
      <c r="H1271" t="str">
        <f>MID(Table132[[#This Row],[ÉTAT]],VALUE(RIGHT(Table132[[#This Row],[next move]],1))+1+VALUE(LEFT(Table132[[#This Row],[next move]],1))*3,1)</f>
        <v>V</v>
      </c>
      <c r="I1271" t="str">
        <f>Table132[[#This Row],[ÉTAT]]&amp;Table132[[#This Row],[next move]]</f>
        <v>VVEVMVMEV01</v>
      </c>
    </row>
    <row r="1272" spans="2:9" x14ac:dyDescent="0.25">
      <c r="B1272" t="s">
        <v>467</v>
      </c>
      <c r="C1272" s="22" t="s">
        <v>30</v>
      </c>
      <c r="D1272">
        <v>2</v>
      </c>
      <c r="E1272">
        <v>2</v>
      </c>
      <c r="G1272" s="25">
        <f>Table132[[#This Row],[nb win]]/Table132[[#This Row],[nb play]]</f>
        <v>1</v>
      </c>
      <c r="H1272" t="str">
        <f>MID(Table132[[#This Row],[ÉTAT]],VALUE(RIGHT(Table132[[#This Row],[next move]],1))+1+VALUE(LEFT(Table132[[#This Row],[next move]],1))*3,1)</f>
        <v>V</v>
      </c>
      <c r="I1272" t="str">
        <f>Table132[[#This Row],[ÉTAT]]&amp;Table132[[#This Row],[next move]]</f>
        <v>VVEVMVMEV10</v>
      </c>
    </row>
    <row r="1273" spans="2:9" x14ac:dyDescent="0.25">
      <c r="B1273" t="s">
        <v>1347</v>
      </c>
      <c r="C1273" s="22" t="s">
        <v>24</v>
      </c>
      <c r="D1273">
        <v>6</v>
      </c>
      <c r="E1273">
        <v>4</v>
      </c>
      <c r="G1273" s="30">
        <f>Table132[[#This Row],[nb win]]/Table132[[#This Row],[nb play]]</f>
        <v>0.66666666666666663</v>
      </c>
      <c r="H1273" t="str">
        <f>MID(Table132[[#This Row],[ÉTAT]],VALUE(RIGHT(Table132[[#This Row],[next move]],1))+1+VALUE(LEFT(Table132[[#This Row],[next move]],1))*3,1)</f>
        <v>V</v>
      </c>
      <c r="I1273" t="str">
        <f>Table132[[#This Row],[ÉTAT]]&amp;Table132[[#This Row],[next move]]</f>
        <v>VVEVMVEVV00</v>
      </c>
    </row>
    <row r="1274" spans="2:9" x14ac:dyDescent="0.25">
      <c r="B1274" t="s">
        <v>1347</v>
      </c>
      <c r="C1274" s="22" t="s">
        <v>26</v>
      </c>
      <c r="D1274">
        <v>3</v>
      </c>
      <c r="E1274">
        <v>1</v>
      </c>
      <c r="G1274" s="31">
        <f>Table132[[#This Row],[nb win]]/Table132[[#This Row],[nb play]]</f>
        <v>0.33333333333333331</v>
      </c>
      <c r="H1274" t="str">
        <f>MID(Table132[[#This Row],[ÉTAT]],VALUE(RIGHT(Table132[[#This Row],[next move]],1))+1+VALUE(LEFT(Table132[[#This Row],[next move]],1))*3,1)</f>
        <v>V</v>
      </c>
      <c r="I1274" t="str">
        <f>Table132[[#This Row],[ÉTAT]]&amp;Table132[[#This Row],[next move]]</f>
        <v>VVEVMVEVV01</v>
      </c>
    </row>
    <row r="1275" spans="2:9" x14ac:dyDescent="0.25">
      <c r="B1275" t="s">
        <v>1347</v>
      </c>
      <c r="C1275" s="22" t="s">
        <v>31</v>
      </c>
      <c r="D1275">
        <v>5</v>
      </c>
      <c r="E1275">
        <v>4</v>
      </c>
      <c r="G1275" s="30">
        <f>Table132[[#This Row],[nb win]]/Table132[[#This Row],[nb play]]</f>
        <v>0.8</v>
      </c>
      <c r="H1275" t="str">
        <f>MID(Table132[[#This Row],[ÉTAT]],VALUE(RIGHT(Table132[[#This Row],[next move]],1))+1+VALUE(LEFT(Table132[[#This Row],[next move]],1))*3,1)</f>
        <v>V</v>
      </c>
      <c r="I1275" t="str">
        <f>Table132[[#This Row],[ÉTAT]]&amp;Table132[[#This Row],[next move]]</f>
        <v>VVEVMVEVV22</v>
      </c>
    </row>
    <row r="1276" spans="2:9" x14ac:dyDescent="0.25">
      <c r="B1276" t="s">
        <v>2966</v>
      </c>
      <c r="C1276" s="22" t="s">
        <v>28</v>
      </c>
      <c r="D1276">
        <v>1</v>
      </c>
      <c r="E1276">
        <v>1</v>
      </c>
      <c r="G1276" s="31">
        <f>Table132[[#This Row],[nb win]]/Table132[[#This Row],[nb play]]</f>
        <v>1</v>
      </c>
      <c r="H1276" t="str">
        <f>MID(Table132[[#This Row],[ÉTAT]],VALUE(RIGHT(Table132[[#This Row],[next move]],1))+1+VALUE(LEFT(Table132[[#This Row],[next move]],1))*3,1)</f>
        <v>V</v>
      </c>
      <c r="I1276" t="str">
        <f>Table132[[#This Row],[ÉTAT]]&amp;Table132[[#This Row],[next move]]</f>
        <v>VVEVMVEVM12</v>
      </c>
    </row>
    <row r="1277" spans="2:9" x14ac:dyDescent="0.25">
      <c r="B1277" t="s">
        <v>2966</v>
      </c>
      <c r="C1277" s="22" t="s">
        <v>22</v>
      </c>
      <c r="D1277">
        <v>2</v>
      </c>
      <c r="E1277">
        <v>1</v>
      </c>
      <c r="G1277" s="30">
        <f>Table132[[#This Row],[nb win]]/Table132[[#This Row],[nb play]]</f>
        <v>0.5</v>
      </c>
      <c r="H1277" t="str">
        <f>MID(Table132[[#This Row],[ÉTAT]],VALUE(RIGHT(Table132[[#This Row],[next move]],1))+1+VALUE(LEFT(Table132[[#This Row],[next move]],1))*3,1)</f>
        <v>V</v>
      </c>
      <c r="I1277" t="str">
        <f>Table132[[#This Row],[ÉTAT]]&amp;Table132[[#This Row],[next move]]</f>
        <v>VVEVMVEVM21</v>
      </c>
    </row>
    <row r="1278" spans="2:9" x14ac:dyDescent="0.25">
      <c r="B1278" t="s">
        <v>1328</v>
      </c>
      <c r="C1278" s="22" t="s">
        <v>26</v>
      </c>
      <c r="D1278">
        <v>4</v>
      </c>
      <c r="E1278">
        <v>4</v>
      </c>
      <c r="G1278" s="25">
        <f>Table132[[#This Row],[nb win]]/Table132[[#This Row],[nb play]]</f>
        <v>1</v>
      </c>
      <c r="H1278" t="str">
        <f>MID(Table132[[#This Row],[ÉTAT]],VALUE(RIGHT(Table132[[#This Row],[next move]],1))+1+VALUE(LEFT(Table132[[#This Row],[next move]],1))*3,1)</f>
        <v>V</v>
      </c>
      <c r="I1278" t="str">
        <f>Table132[[#This Row],[ÉTAT]]&amp;Table132[[#This Row],[next move]]</f>
        <v>VVEVMVEMV01</v>
      </c>
    </row>
    <row r="1279" spans="2:9" x14ac:dyDescent="0.25">
      <c r="B1279" t="s">
        <v>2727</v>
      </c>
      <c r="C1279" s="22" t="s">
        <v>24</v>
      </c>
      <c r="D1279">
        <v>2</v>
      </c>
      <c r="E1279">
        <v>1</v>
      </c>
      <c r="G1279" s="30">
        <f>Table132[[#This Row],[nb win]]/Table132[[#This Row],[nb play]]</f>
        <v>0.5</v>
      </c>
      <c r="H1279" t="str">
        <f>MID(Table132[[#This Row],[ÉTAT]],VALUE(RIGHT(Table132[[#This Row],[next move]],1))+1+VALUE(LEFT(Table132[[#This Row],[next move]],1))*3,1)</f>
        <v>V</v>
      </c>
      <c r="I1279" t="str">
        <f>Table132[[#This Row],[ÉTAT]]&amp;Table132[[#This Row],[next move]]</f>
        <v>VVEVMVEME00</v>
      </c>
    </row>
    <row r="1280" spans="2:9" x14ac:dyDescent="0.25">
      <c r="B1280" t="s">
        <v>1371</v>
      </c>
      <c r="C1280" s="22" t="s">
        <v>24</v>
      </c>
      <c r="D1280">
        <v>1</v>
      </c>
      <c r="E1280">
        <v>1</v>
      </c>
      <c r="G1280" s="25">
        <f>Table132[[#This Row],[nb win]]/Table132[[#This Row],[nb play]]</f>
        <v>1</v>
      </c>
      <c r="H1280" t="str">
        <f>MID(Table132[[#This Row],[ÉTAT]],VALUE(RIGHT(Table132[[#This Row],[next move]],1))+1+VALUE(LEFT(Table132[[#This Row],[next move]],1))*3,1)</f>
        <v>V</v>
      </c>
      <c r="I1280" t="str">
        <f>Table132[[#This Row],[ÉTAT]]&amp;Table132[[#This Row],[next move]]</f>
        <v>VVEVMVEEM00</v>
      </c>
    </row>
    <row r="1281" spans="2:9" x14ac:dyDescent="0.25">
      <c r="B1281" t="s">
        <v>1371</v>
      </c>
      <c r="C1281" s="22" t="s">
        <v>28</v>
      </c>
      <c r="D1281">
        <v>4</v>
      </c>
      <c r="E1281">
        <v>4</v>
      </c>
      <c r="G1281" s="31">
        <f>Table132[[#This Row],[nb win]]/Table132[[#This Row],[nb play]]</f>
        <v>1</v>
      </c>
      <c r="H1281" t="str">
        <f>MID(Table132[[#This Row],[ÉTAT]],VALUE(RIGHT(Table132[[#This Row],[next move]],1))+1+VALUE(LEFT(Table132[[#This Row],[next move]],1))*3,1)</f>
        <v>V</v>
      </c>
      <c r="I1281" t="str">
        <f>Table132[[#This Row],[ÉTAT]]&amp;Table132[[#This Row],[next move]]</f>
        <v>VVEVMVEEM12</v>
      </c>
    </row>
    <row r="1282" spans="2:9" x14ac:dyDescent="0.25">
      <c r="B1282" t="s">
        <v>537</v>
      </c>
      <c r="C1282" s="22" t="s">
        <v>26</v>
      </c>
      <c r="D1282">
        <v>3</v>
      </c>
      <c r="E1282">
        <v>3</v>
      </c>
      <c r="G1282" s="31">
        <f>Table132[[#This Row],[nb win]]/Table132[[#This Row],[nb play]]</f>
        <v>1</v>
      </c>
      <c r="H1282" t="str">
        <f>MID(Table132[[#This Row],[ÉTAT]],VALUE(RIGHT(Table132[[#This Row],[next move]],1))+1+VALUE(LEFT(Table132[[#This Row],[next move]],1))*3,1)</f>
        <v>V</v>
      </c>
      <c r="I1282" t="str">
        <f>Table132[[#This Row],[ÉTAT]]&amp;Table132[[#This Row],[next move]]</f>
        <v>VVEVMMVVE01</v>
      </c>
    </row>
    <row r="1283" spans="2:9" x14ac:dyDescent="0.25">
      <c r="B1283" t="s">
        <v>2806</v>
      </c>
      <c r="C1283" s="22" t="s">
        <v>31</v>
      </c>
      <c r="D1283">
        <v>2</v>
      </c>
      <c r="E1283">
        <v>1</v>
      </c>
      <c r="G1283" s="30">
        <f>Table132[[#This Row],[nb win]]/Table132[[#This Row],[nb play]]</f>
        <v>0.5</v>
      </c>
      <c r="H1283" t="str">
        <f>MID(Table132[[#This Row],[ÉTAT]],VALUE(RIGHT(Table132[[#This Row],[next move]],1))+1+VALUE(LEFT(Table132[[#This Row],[next move]],1))*3,1)</f>
        <v>V</v>
      </c>
      <c r="I1283" t="str">
        <f>Table132[[#This Row],[ÉTAT]]&amp;Table132[[#This Row],[next move]]</f>
        <v>VVEVMMVEV22</v>
      </c>
    </row>
    <row r="1284" spans="2:9" x14ac:dyDescent="0.25">
      <c r="B1284" t="s">
        <v>1865</v>
      </c>
      <c r="C1284" s="22" t="s">
        <v>30</v>
      </c>
      <c r="D1284">
        <v>2</v>
      </c>
      <c r="E1284">
        <v>2</v>
      </c>
      <c r="G1284" s="25">
        <f>Table132[[#This Row],[nb win]]/Table132[[#This Row],[nb play]]</f>
        <v>1</v>
      </c>
      <c r="H1284" t="str">
        <f>MID(Table132[[#This Row],[ÉTAT]],VALUE(RIGHT(Table132[[#This Row],[next move]],1))+1+VALUE(LEFT(Table132[[#This Row],[next move]],1))*3,1)</f>
        <v>V</v>
      </c>
      <c r="I1284" t="str">
        <f>Table132[[#This Row],[ÉTAT]]&amp;Table132[[#This Row],[next move]]</f>
        <v>VVEVMMVEE10</v>
      </c>
    </row>
    <row r="1285" spans="2:9" x14ac:dyDescent="0.25">
      <c r="B1285" t="s">
        <v>3102</v>
      </c>
      <c r="C1285" s="22" t="s">
        <v>30</v>
      </c>
      <c r="D1285">
        <v>1</v>
      </c>
      <c r="E1285">
        <v>1</v>
      </c>
      <c r="G1285" s="31">
        <f>Table132[[#This Row],[nb win]]/Table132[[#This Row],[nb play]]</f>
        <v>1</v>
      </c>
      <c r="H1285" t="str">
        <f>MID(Table132[[#This Row],[ÉTAT]],VALUE(RIGHT(Table132[[#This Row],[next move]],1))+1+VALUE(LEFT(Table132[[#This Row],[next move]],1))*3,1)</f>
        <v>V</v>
      </c>
      <c r="I1285" t="str">
        <f>Table132[[#This Row],[ÉTAT]]&amp;Table132[[#This Row],[next move]]</f>
        <v>VVEVMMMEE10</v>
      </c>
    </row>
    <row r="1286" spans="2:9" x14ac:dyDescent="0.25">
      <c r="B1286" t="s">
        <v>1275</v>
      </c>
      <c r="C1286" s="22" t="s">
        <v>22</v>
      </c>
      <c r="D1286">
        <v>4</v>
      </c>
      <c r="E1286">
        <v>4</v>
      </c>
      <c r="G1286" s="31">
        <f>Table132[[#This Row],[nb win]]/Table132[[#This Row],[nb play]]</f>
        <v>1</v>
      </c>
      <c r="H1286" t="str">
        <f>MID(Table132[[#This Row],[ÉTAT]],VALUE(RIGHT(Table132[[#This Row],[next move]],1))+1+VALUE(LEFT(Table132[[#This Row],[next move]],1))*3,1)</f>
        <v>V</v>
      </c>
      <c r="I1286" t="str">
        <f>Table132[[#This Row],[ÉTAT]]&amp;Table132[[#This Row],[next move]]</f>
        <v>VVEVMMEVV21</v>
      </c>
    </row>
    <row r="1287" spans="2:9" x14ac:dyDescent="0.25">
      <c r="B1287" t="s">
        <v>3052</v>
      </c>
      <c r="C1287" s="22" t="s">
        <v>30</v>
      </c>
      <c r="D1287">
        <v>3</v>
      </c>
      <c r="E1287">
        <v>3</v>
      </c>
      <c r="G1287" s="31">
        <f>Table132[[#This Row],[nb win]]/Table132[[#This Row],[nb play]]</f>
        <v>1</v>
      </c>
      <c r="H1287" t="str">
        <f>MID(Table132[[#This Row],[ÉTAT]],VALUE(RIGHT(Table132[[#This Row],[next move]],1))+1+VALUE(LEFT(Table132[[#This Row],[next move]],1))*3,1)</f>
        <v>V</v>
      </c>
      <c r="I1287" t="str">
        <f>Table132[[#This Row],[ÉTAT]]&amp;Table132[[#This Row],[next move]]</f>
        <v>VVEVMMEVE10</v>
      </c>
    </row>
    <row r="1288" spans="2:9" x14ac:dyDescent="0.25">
      <c r="B1288" t="s">
        <v>502</v>
      </c>
      <c r="C1288" s="22" t="s">
        <v>24</v>
      </c>
      <c r="D1288">
        <v>3</v>
      </c>
      <c r="E1288">
        <v>3</v>
      </c>
      <c r="G1288" s="31">
        <f>Table132[[#This Row],[nb win]]/Table132[[#This Row],[nb play]]</f>
        <v>1</v>
      </c>
      <c r="H1288" t="str">
        <f>MID(Table132[[#This Row],[ÉTAT]],VALUE(RIGHT(Table132[[#This Row],[next move]],1))+1+VALUE(LEFT(Table132[[#This Row],[next move]],1))*3,1)</f>
        <v>V</v>
      </c>
      <c r="I1288" t="str">
        <f>Table132[[#This Row],[ÉTAT]]&amp;Table132[[#This Row],[next move]]</f>
        <v>VVEVMMEME00</v>
      </c>
    </row>
    <row r="1289" spans="2:9" x14ac:dyDescent="0.25">
      <c r="B1289" t="s">
        <v>2609</v>
      </c>
      <c r="C1289" s="22" t="s">
        <v>30</v>
      </c>
      <c r="D1289">
        <v>2</v>
      </c>
      <c r="E1289">
        <v>2</v>
      </c>
      <c r="G1289" s="25">
        <f>Table132[[#This Row],[nb win]]/Table132[[#This Row],[nb play]]</f>
        <v>1</v>
      </c>
      <c r="H1289" t="str">
        <f>MID(Table132[[#This Row],[ÉTAT]],VALUE(RIGHT(Table132[[#This Row],[next move]],1))+1+VALUE(LEFT(Table132[[#This Row],[next move]],1))*3,1)</f>
        <v>V</v>
      </c>
      <c r="I1289" t="str">
        <f>Table132[[#This Row],[ÉTAT]]&amp;Table132[[#This Row],[next move]]</f>
        <v>VVEVMMEEV10</v>
      </c>
    </row>
    <row r="1290" spans="2:9" x14ac:dyDescent="0.25">
      <c r="B1290" t="s">
        <v>1040</v>
      </c>
      <c r="C1290" s="22" t="s">
        <v>30</v>
      </c>
      <c r="D1290">
        <v>6</v>
      </c>
      <c r="E1290">
        <v>6</v>
      </c>
      <c r="G1290" s="31">
        <f>Table132[[#This Row],[nb win]]/Table132[[#This Row],[nb play]]</f>
        <v>1</v>
      </c>
      <c r="H1290" t="str">
        <f>MID(Table132[[#This Row],[ÉTAT]],VALUE(RIGHT(Table132[[#This Row],[next move]],1))+1+VALUE(LEFT(Table132[[#This Row],[next move]],1))*3,1)</f>
        <v>V</v>
      </c>
      <c r="I1290" t="str">
        <f>Table132[[#This Row],[ÉTAT]]&amp;Table132[[#This Row],[next move]]</f>
        <v>VVEVMMEEM10</v>
      </c>
    </row>
    <row r="1291" spans="2:9" x14ac:dyDescent="0.25">
      <c r="B1291" t="s">
        <v>1338</v>
      </c>
      <c r="C1291" s="22" t="s">
        <v>26</v>
      </c>
      <c r="D1291">
        <v>2</v>
      </c>
      <c r="G1291" s="30">
        <f>Table132[[#This Row],[nb win]]/Table132[[#This Row],[nb play]]</f>
        <v>0</v>
      </c>
      <c r="H1291" t="str">
        <f>MID(Table132[[#This Row],[ÉTAT]],VALUE(RIGHT(Table132[[#This Row],[next move]],1))+1+VALUE(LEFT(Table132[[#This Row],[next move]],1))*3,1)</f>
        <v>V</v>
      </c>
      <c r="I1291" t="str">
        <f>Table132[[#This Row],[ÉTAT]]&amp;Table132[[#This Row],[next move]]</f>
        <v>VVEVMEVVV01</v>
      </c>
    </row>
    <row r="1292" spans="2:9" x14ac:dyDescent="0.25">
      <c r="B1292" t="s">
        <v>1338</v>
      </c>
      <c r="C1292" s="22" t="s">
        <v>35</v>
      </c>
      <c r="D1292">
        <v>1</v>
      </c>
      <c r="G1292" s="30">
        <f>Table132[[#This Row],[nb win]]/Table132[[#This Row],[nb play]]</f>
        <v>0</v>
      </c>
      <c r="H1292" t="str">
        <f>MID(Table132[[#This Row],[ÉTAT]],VALUE(RIGHT(Table132[[#This Row],[next move]],1))+1+VALUE(LEFT(Table132[[#This Row],[next move]],1))*3,1)</f>
        <v>V</v>
      </c>
      <c r="I1292" t="str">
        <f>Table132[[#This Row],[ÉTAT]]&amp;Table132[[#This Row],[next move]]</f>
        <v>VVEVMEVVV20</v>
      </c>
    </row>
    <row r="1293" spans="2:9" x14ac:dyDescent="0.25">
      <c r="B1293" t="s">
        <v>1338</v>
      </c>
      <c r="C1293" s="22" t="s">
        <v>22</v>
      </c>
      <c r="D1293">
        <v>1</v>
      </c>
      <c r="E1293">
        <v>1</v>
      </c>
      <c r="G1293" s="31">
        <f>Table132[[#This Row],[nb win]]/Table132[[#This Row],[nb play]]</f>
        <v>1</v>
      </c>
      <c r="H1293" t="str">
        <f>MID(Table132[[#This Row],[ÉTAT]],VALUE(RIGHT(Table132[[#This Row],[next move]],1))+1+VALUE(LEFT(Table132[[#This Row],[next move]],1))*3,1)</f>
        <v>V</v>
      </c>
      <c r="I1293" t="str">
        <f>Table132[[#This Row],[ÉTAT]]&amp;Table132[[#This Row],[next move]]</f>
        <v>VVEVMEVVV21</v>
      </c>
    </row>
    <row r="1294" spans="2:9" x14ac:dyDescent="0.25">
      <c r="B1294" t="s">
        <v>1338</v>
      </c>
      <c r="C1294" s="22" t="s">
        <v>31</v>
      </c>
      <c r="D1294">
        <v>8</v>
      </c>
      <c r="E1294">
        <v>7</v>
      </c>
      <c r="G1294" s="31">
        <f>Table132[[#This Row],[nb win]]/Table132[[#This Row],[nb play]]</f>
        <v>0.875</v>
      </c>
      <c r="H1294" t="str">
        <f>MID(Table132[[#This Row],[ÉTAT]],VALUE(RIGHT(Table132[[#This Row],[next move]],1))+1+VALUE(LEFT(Table132[[#This Row],[next move]],1))*3,1)</f>
        <v>V</v>
      </c>
      <c r="I1294" t="str">
        <f>Table132[[#This Row],[ÉTAT]]&amp;Table132[[#This Row],[next move]]</f>
        <v>VVEVMEVVV22</v>
      </c>
    </row>
    <row r="1295" spans="2:9" x14ac:dyDescent="0.25">
      <c r="B1295" t="s">
        <v>1563</v>
      </c>
      <c r="C1295" s="22" t="s">
        <v>24</v>
      </c>
      <c r="D1295">
        <v>7</v>
      </c>
      <c r="E1295">
        <v>7</v>
      </c>
      <c r="G1295" s="31">
        <f>Table132[[#This Row],[nb win]]/Table132[[#This Row],[nb play]]</f>
        <v>1</v>
      </c>
      <c r="H1295" t="str">
        <f>MID(Table132[[#This Row],[ÉTAT]],VALUE(RIGHT(Table132[[#This Row],[next move]],1))+1+VALUE(LEFT(Table132[[#This Row],[next move]],1))*3,1)</f>
        <v>V</v>
      </c>
      <c r="I1295" t="str">
        <f>Table132[[#This Row],[ÉTAT]]&amp;Table132[[#This Row],[next move]]</f>
        <v>VVEVMEVVM00</v>
      </c>
    </row>
    <row r="1296" spans="2:9" x14ac:dyDescent="0.25">
      <c r="B1296" t="s">
        <v>3281</v>
      </c>
      <c r="C1296" s="22" t="s">
        <v>30</v>
      </c>
      <c r="D1296">
        <v>1</v>
      </c>
      <c r="G1296" s="30">
        <f>Table132[[#This Row],[nb win]]/Table132[[#This Row],[nb play]]</f>
        <v>0</v>
      </c>
      <c r="H1296" t="str">
        <f>MID(Table132[[#This Row],[ÉTAT]],VALUE(RIGHT(Table132[[#This Row],[next move]],1))+1+VALUE(LEFT(Table132[[#This Row],[next move]],1))*3,1)</f>
        <v>V</v>
      </c>
      <c r="I1296" t="str">
        <f>Table132[[#This Row],[ÉTAT]]&amp;Table132[[#This Row],[next move]]</f>
        <v>VVEVMEVMV10</v>
      </c>
    </row>
    <row r="1297" spans="2:9" x14ac:dyDescent="0.25">
      <c r="B1297" t="s">
        <v>2809</v>
      </c>
      <c r="C1297" s="22" t="s">
        <v>24</v>
      </c>
      <c r="D1297">
        <v>3</v>
      </c>
      <c r="E1297">
        <v>3</v>
      </c>
      <c r="G1297" s="31">
        <f>Table132[[#This Row],[nb win]]/Table132[[#This Row],[nb play]]</f>
        <v>1</v>
      </c>
      <c r="H1297" t="str">
        <f>MID(Table132[[#This Row],[ÉTAT]],VALUE(RIGHT(Table132[[#This Row],[next move]],1))+1+VALUE(LEFT(Table132[[#This Row],[next move]],1))*3,1)</f>
        <v>V</v>
      </c>
      <c r="I1297" t="str">
        <f>Table132[[#This Row],[ÉTAT]]&amp;Table132[[#This Row],[next move]]</f>
        <v>VVEVMEVEM00</v>
      </c>
    </row>
    <row r="1298" spans="2:9" x14ac:dyDescent="0.25">
      <c r="B1298" t="s">
        <v>1321</v>
      </c>
      <c r="C1298" s="22" t="s">
        <v>26</v>
      </c>
      <c r="D1298">
        <v>1</v>
      </c>
      <c r="G1298" s="25">
        <f>Table132[[#This Row],[nb win]]/Table132[[#This Row],[nb play]]</f>
        <v>0</v>
      </c>
      <c r="H1298" t="str">
        <f>MID(Table132[[#This Row],[ÉTAT]],VALUE(RIGHT(Table132[[#This Row],[next move]],1))+1+VALUE(LEFT(Table132[[#This Row],[next move]],1))*3,1)</f>
        <v>V</v>
      </c>
      <c r="I1298" t="str">
        <f>Table132[[#This Row],[ÉTAT]]&amp;Table132[[#This Row],[next move]]</f>
        <v>VVEVMEMVV01</v>
      </c>
    </row>
    <row r="1299" spans="2:9" x14ac:dyDescent="0.25">
      <c r="B1299" t="s">
        <v>1321</v>
      </c>
      <c r="C1299" s="22" t="s">
        <v>31</v>
      </c>
      <c r="D1299">
        <v>1</v>
      </c>
      <c r="E1299">
        <v>1</v>
      </c>
      <c r="G1299" s="25">
        <f>Table132[[#This Row],[nb win]]/Table132[[#This Row],[nb play]]</f>
        <v>1</v>
      </c>
      <c r="H1299" t="str">
        <f>MID(Table132[[#This Row],[ÉTAT]],VALUE(RIGHT(Table132[[#This Row],[next move]],1))+1+VALUE(LEFT(Table132[[#This Row],[next move]],1))*3,1)</f>
        <v>V</v>
      </c>
      <c r="I1299" t="str">
        <f>Table132[[#This Row],[ÉTAT]]&amp;Table132[[#This Row],[next move]]</f>
        <v>VVEVMEMVV22</v>
      </c>
    </row>
    <row r="1300" spans="2:9" x14ac:dyDescent="0.25">
      <c r="B1300" t="s">
        <v>2410</v>
      </c>
      <c r="C1300" s="22" t="s">
        <v>26</v>
      </c>
      <c r="D1300">
        <v>1</v>
      </c>
      <c r="E1300">
        <v>1</v>
      </c>
      <c r="G1300" s="25">
        <f>Table132[[#This Row],[nb win]]/Table132[[#This Row],[nb play]]</f>
        <v>1</v>
      </c>
      <c r="H1300" t="str">
        <f>MID(Table132[[#This Row],[ÉTAT]],VALUE(RIGHT(Table132[[#This Row],[next move]],1))+1+VALUE(LEFT(Table132[[#This Row],[next move]],1))*3,1)</f>
        <v>V</v>
      </c>
      <c r="I1300" t="str">
        <f>Table132[[#This Row],[ÉTAT]]&amp;Table132[[#This Row],[next move]]</f>
        <v>VVEVMEMEM01</v>
      </c>
    </row>
    <row r="1301" spans="2:9" x14ac:dyDescent="0.25">
      <c r="B1301" t="s">
        <v>643</v>
      </c>
      <c r="C1301" s="22" t="s">
        <v>30</v>
      </c>
      <c r="D1301">
        <v>2</v>
      </c>
      <c r="E1301">
        <v>2</v>
      </c>
      <c r="G1301" s="25">
        <f>Table132[[#This Row],[nb win]]/Table132[[#This Row],[nb play]]</f>
        <v>1</v>
      </c>
      <c r="H1301" t="str">
        <f>MID(Table132[[#This Row],[ÉTAT]],VALUE(RIGHT(Table132[[#This Row],[next move]],1))+1+VALUE(LEFT(Table132[[#This Row],[next move]],1))*3,1)</f>
        <v>V</v>
      </c>
      <c r="I1301" t="str">
        <f>Table132[[#This Row],[ÉTAT]]&amp;Table132[[#This Row],[next move]]</f>
        <v>VVEVMEEVM10</v>
      </c>
    </row>
    <row r="1302" spans="2:9" x14ac:dyDescent="0.25">
      <c r="B1302" t="s">
        <v>923</v>
      </c>
      <c r="C1302" s="22" t="s">
        <v>26</v>
      </c>
      <c r="D1302">
        <v>1</v>
      </c>
      <c r="E1302">
        <v>1</v>
      </c>
      <c r="G1302" s="25">
        <f>Table132[[#This Row],[nb win]]/Table132[[#This Row],[nb play]]</f>
        <v>1</v>
      </c>
      <c r="H1302" t="str">
        <f>MID(Table132[[#This Row],[ÉTAT]],VALUE(RIGHT(Table132[[#This Row],[next move]],1))+1+VALUE(LEFT(Table132[[#This Row],[next move]],1))*3,1)</f>
        <v>V</v>
      </c>
      <c r="I1302" t="str">
        <f>Table132[[#This Row],[ÉTAT]]&amp;Table132[[#This Row],[next move]]</f>
        <v>VVEVMEEMV01</v>
      </c>
    </row>
    <row r="1303" spans="2:9" x14ac:dyDescent="0.25">
      <c r="B1303" t="s">
        <v>105</v>
      </c>
      <c r="C1303" s="22" t="s">
        <v>24</v>
      </c>
      <c r="D1303">
        <v>1</v>
      </c>
      <c r="G1303" s="25">
        <f>Table132[[#This Row],[nb win]]/Table132[[#This Row],[nb play]]</f>
        <v>0</v>
      </c>
      <c r="H1303" t="str">
        <f>MID(Table132[[#This Row],[ÉTAT]],VALUE(RIGHT(Table132[[#This Row],[next move]],1))+1+VALUE(LEFT(Table132[[#This Row],[next move]],1))*3,1)</f>
        <v>V</v>
      </c>
      <c r="I1303" t="str">
        <f>Table132[[#This Row],[ÉTAT]]&amp;Table132[[#This Row],[next move]]</f>
        <v>VVEVEVVVM00</v>
      </c>
    </row>
    <row r="1304" spans="2:9" x14ac:dyDescent="0.25">
      <c r="B1304" t="s">
        <v>105</v>
      </c>
      <c r="C1304" s="22" t="s">
        <v>26</v>
      </c>
      <c r="D1304">
        <v>3</v>
      </c>
      <c r="G1304" s="30">
        <f>Table132[[#This Row],[nb win]]/Table132[[#This Row],[nb play]]</f>
        <v>0</v>
      </c>
      <c r="H1304" t="str">
        <f>MID(Table132[[#This Row],[ÉTAT]],VALUE(RIGHT(Table132[[#This Row],[next move]],1))+1+VALUE(LEFT(Table132[[#This Row],[next move]],1))*3,1)</f>
        <v>V</v>
      </c>
      <c r="I1304" t="str">
        <f>Table132[[#This Row],[ÉTAT]]&amp;Table132[[#This Row],[next move]]</f>
        <v>VVEVEVVVM01</v>
      </c>
    </row>
    <row r="1305" spans="2:9" x14ac:dyDescent="0.25">
      <c r="B1305" t="s">
        <v>105</v>
      </c>
      <c r="C1305" s="22" t="s">
        <v>30</v>
      </c>
      <c r="D1305">
        <v>2</v>
      </c>
      <c r="G1305" s="30">
        <f>Table132[[#This Row],[nb win]]/Table132[[#This Row],[nb play]]</f>
        <v>0</v>
      </c>
      <c r="H1305" t="str">
        <f>MID(Table132[[#This Row],[ÉTAT]],VALUE(RIGHT(Table132[[#This Row],[next move]],1))+1+VALUE(LEFT(Table132[[#This Row],[next move]],1))*3,1)</f>
        <v>V</v>
      </c>
      <c r="I1305" t="str">
        <f>Table132[[#This Row],[ÉTAT]]&amp;Table132[[#This Row],[next move]]</f>
        <v>VVEVEVVVM10</v>
      </c>
    </row>
    <row r="1306" spans="2:9" x14ac:dyDescent="0.25">
      <c r="B1306" t="s">
        <v>105</v>
      </c>
      <c r="C1306" s="22" t="s">
        <v>28</v>
      </c>
      <c r="D1306">
        <v>3</v>
      </c>
      <c r="G1306" s="30">
        <f>Table132[[#This Row],[nb win]]/Table132[[#This Row],[nb play]]</f>
        <v>0</v>
      </c>
      <c r="H1306" t="str">
        <f>MID(Table132[[#This Row],[ÉTAT]],VALUE(RIGHT(Table132[[#This Row],[next move]],1))+1+VALUE(LEFT(Table132[[#This Row],[next move]],1))*3,1)</f>
        <v>V</v>
      </c>
      <c r="I1306" t="str">
        <f>Table132[[#This Row],[ÉTAT]]&amp;Table132[[#This Row],[next move]]</f>
        <v>VVEVEVVVM12</v>
      </c>
    </row>
    <row r="1307" spans="2:9" x14ac:dyDescent="0.25">
      <c r="B1307" t="s">
        <v>105</v>
      </c>
      <c r="C1307" s="22" t="s">
        <v>35</v>
      </c>
      <c r="D1307">
        <v>6</v>
      </c>
      <c r="E1307">
        <v>4</v>
      </c>
      <c r="G1307" s="31">
        <f>Table132[[#This Row],[nb win]]/Table132[[#This Row],[nb play]]</f>
        <v>0.66666666666666663</v>
      </c>
      <c r="H1307" t="str">
        <f>MID(Table132[[#This Row],[ÉTAT]],VALUE(RIGHT(Table132[[#This Row],[next move]],1))+1+VALUE(LEFT(Table132[[#This Row],[next move]],1))*3,1)</f>
        <v>V</v>
      </c>
      <c r="I1307" t="str">
        <f>Table132[[#This Row],[ÉTAT]]&amp;Table132[[#This Row],[next move]]</f>
        <v>VVEVEVVVM20</v>
      </c>
    </row>
    <row r="1308" spans="2:9" x14ac:dyDescent="0.25">
      <c r="B1308" t="s">
        <v>105</v>
      </c>
      <c r="C1308" s="22" t="s">
        <v>22</v>
      </c>
      <c r="D1308">
        <v>4</v>
      </c>
      <c r="G1308" s="30">
        <f>Table132[[#This Row],[nb win]]/Table132[[#This Row],[nb play]]</f>
        <v>0</v>
      </c>
      <c r="H1308" t="str">
        <f>MID(Table132[[#This Row],[ÉTAT]],VALUE(RIGHT(Table132[[#This Row],[next move]],1))+1+VALUE(LEFT(Table132[[#This Row],[next move]],1))*3,1)</f>
        <v>V</v>
      </c>
      <c r="I1308" t="str">
        <f>Table132[[#This Row],[ÉTAT]]&amp;Table132[[#This Row],[next move]]</f>
        <v>VVEVEVVVM21</v>
      </c>
    </row>
    <row r="1309" spans="2:9" x14ac:dyDescent="0.25">
      <c r="B1309" t="s">
        <v>1681</v>
      </c>
      <c r="C1309" s="22" t="s">
        <v>24</v>
      </c>
      <c r="D1309">
        <v>1</v>
      </c>
      <c r="G1309" s="25">
        <f>Table132[[#This Row],[nb win]]/Table132[[#This Row],[nb play]]</f>
        <v>0</v>
      </c>
      <c r="H1309" t="str">
        <f>MID(Table132[[#This Row],[ÉTAT]],VALUE(RIGHT(Table132[[#This Row],[next move]],1))+1+VALUE(LEFT(Table132[[#This Row],[next move]],1))*3,1)</f>
        <v>V</v>
      </c>
      <c r="I1309" t="str">
        <f>Table132[[#This Row],[ÉTAT]]&amp;Table132[[#This Row],[next move]]</f>
        <v>VVEVEVVMV00</v>
      </c>
    </row>
    <row r="1310" spans="2:9" x14ac:dyDescent="0.25">
      <c r="B1310" t="s">
        <v>1681</v>
      </c>
      <c r="C1310" s="22" t="s">
        <v>26</v>
      </c>
      <c r="D1310">
        <v>4</v>
      </c>
      <c r="G1310" s="30">
        <f>Table132[[#This Row],[nb win]]/Table132[[#This Row],[nb play]]</f>
        <v>0</v>
      </c>
      <c r="H1310" t="str">
        <f>MID(Table132[[#This Row],[ÉTAT]],VALUE(RIGHT(Table132[[#This Row],[next move]],1))+1+VALUE(LEFT(Table132[[#This Row],[next move]],1))*3,1)</f>
        <v>V</v>
      </c>
      <c r="I1310" t="str">
        <f>Table132[[#This Row],[ÉTAT]]&amp;Table132[[#This Row],[next move]]</f>
        <v>VVEVEVVMV01</v>
      </c>
    </row>
    <row r="1311" spans="2:9" x14ac:dyDescent="0.25">
      <c r="B1311" t="s">
        <v>1681</v>
      </c>
      <c r="C1311" s="22" t="s">
        <v>30</v>
      </c>
      <c r="D1311">
        <v>4</v>
      </c>
      <c r="G1311" s="30">
        <f>Table132[[#This Row],[nb win]]/Table132[[#This Row],[nb play]]</f>
        <v>0</v>
      </c>
      <c r="H1311" t="str">
        <f>MID(Table132[[#This Row],[ÉTAT]],VALUE(RIGHT(Table132[[#This Row],[next move]],1))+1+VALUE(LEFT(Table132[[#This Row],[next move]],1))*3,1)</f>
        <v>V</v>
      </c>
      <c r="I1311" t="str">
        <f>Table132[[#This Row],[ÉTAT]]&amp;Table132[[#This Row],[next move]]</f>
        <v>VVEVEVVMV10</v>
      </c>
    </row>
    <row r="1312" spans="2:9" x14ac:dyDescent="0.25">
      <c r="B1312" t="s">
        <v>1681</v>
      </c>
      <c r="C1312" s="22" t="s">
        <v>28</v>
      </c>
      <c r="D1312">
        <v>4</v>
      </c>
      <c r="G1312" s="30">
        <f>Table132[[#This Row],[nb win]]/Table132[[#This Row],[nb play]]</f>
        <v>0</v>
      </c>
      <c r="H1312" t="str">
        <f>MID(Table132[[#This Row],[ÉTAT]],VALUE(RIGHT(Table132[[#This Row],[next move]],1))+1+VALUE(LEFT(Table132[[#This Row],[next move]],1))*3,1)</f>
        <v>V</v>
      </c>
      <c r="I1312" t="str">
        <f>Table132[[#This Row],[ÉTAT]]&amp;Table132[[#This Row],[next move]]</f>
        <v>VVEVEVVMV12</v>
      </c>
    </row>
    <row r="1313" spans="2:9" x14ac:dyDescent="0.25">
      <c r="B1313" t="s">
        <v>1681</v>
      </c>
      <c r="C1313" s="22" t="s">
        <v>35</v>
      </c>
      <c r="D1313">
        <v>4</v>
      </c>
      <c r="E1313">
        <v>2</v>
      </c>
      <c r="G1313" s="31">
        <f>Table132[[#This Row],[nb win]]/Table132[[#This Row],[nb play]]</f>
        <v>0.5</v>
      </c>
      <c r="H1313" t="str">
        <f>MID(Table132[[#This Row],[ÉTAT]],VALUE(RIGHT(Table132[[#This Row],[next move]],1))+1+VALUE(LEFT(Table132[[#This Row],[next move]],1))*3,1)</f>
        <v>V</v>
      </c>
      <c r="I1313" t="str">
        <f>Table132[[#This Row],[ÉTAT]]&amp;Table132[[#This Row],[next move]]</f>
        <v>VVEVEVVMV20</v>
      </c>
    </row>
    <row r="1314" spans="2:9" x14ac:dyDescent="0.25">
      <c r="B1314" t="s">
        <v>1681</v>
      </c>
      <c r="C1314" s="22" t="s">
        <v>31</v>
      </c>
      <c r="D1314">
        <v>3</v>
      </c>
      <c r="G1314" s="30">
        <f>Table132[[#This Row],[nb win]]/Table132[[#This Row],[nb play]]</f>
        <v>0</v>
      </c>
      <c r="H1314" t="str">
        <f>MID(Table132[[#This Row],[ÉTAT]],VALUE(RIGHT(Table132[[#This Row],[next move]],1))+1+VALUE(LEFT(Table132[[#This Row],[next move]],1))*3,1)</f>
        <v>V</v>
      </c>
      <c r="I1314" t="str">
        <f>Table132[[#This Row],[ÉTAT]]&amp;Table132[[#This Row],[next move]]</f>
        <v>VVEVEVVMV22</v>
      </c>
    </row>
    <row r="1315" spans="2:9" x14ac:dyDescent="0.25">
      <c r="B1315" t="s">
        <v>2472</v>
      </c>
      <c r="C1315" s="22" t="s">
        <v>24</v>
      </c>
      <c r="D1315">
        <v>2</v>
      </c>
      <c r="G1315" s="30">
        <f>Table132[[#This Row],[nb win]]/Table132[[#This Row],[nb play]]</f>
        <v>0</v>
      </c>
      <c r="H1315" t="str">
        <f>MID(Table132[[#This Row],[ÉTAT]],VALUE(RIGHT(Table132[[#This Row],[next move]],1))+1+VALUE(LEFT(Table132[[#This Row],[next move]],1))*3,1)</f>
        <v>V</v>
      </c>
      <c r="I1315" t="str">
        <f>Table132[[#This Row],[ÉTAT]]&amp;Table132[[#This Row],[next move]]</f>
        <v>VVEVEVVMM00</v>
      </c>
    </row>
    <row r="1316" spans="2:9" x14ac:dyDescent="0.25">
      <c r="B1316" t="s">
        <v>2472</v>
      </c>
      <c r="C1316" s="22" t="s">
        <v>28</v>
      </c>
      <c r="D1316">
        <v>3</v>
      </c>
      <c r="G1316" s="30">
        <f>Table132[[#This Row],[nb win]]/Table132[[#This Row],[nb play]]</f>
        <v>0</v>
      </c>
      <c r="H1316" t="str">
        <f>MID(Table132[[#This Row],[ÉTAT]],VALUE(RIGHT(Table132[[#This Row],[next move]],1))+1+VALUE(LEFT(Table132[[#This Row],[next move]],1))*3,1)</f>
        <v>V</v>
      </c>
      <c r="I1316" t="str">
        <f>Table132[[#This Row],[ÉTAT]]&amp;Table132[[#This Row],[next move]]</f>
        <v>VVEVEVVMM12</v>
      </c>
    </row>
    <row r="1317" spans="2:9" x14ac:dyDescent="0.25">
      <c r="B1317" t="s">
        <v>2472</v>
      </c>
      <c r="C1317" s="22" t="s">
        <v>35</v>
      </c>
      <c r="D1317">
        <v>3</v>
      </c>
      <c r="E1317">
        <v>3</v>
      </c>
      <c r="G1317" s="31">
        <f>Table132[[#This Row],[nb win]]/Table132[[#This Row],[nb play]]</f>
        <v>1</v>
      </c>
      <c r="H1317" t="str">
        <f>MID(Table132[[#This Row],[ÉTAT]],VALUE(RIGHT(Table132[[#This Row],[next move]],1))+1+VALUE(LEFT(Table132[[#This Row],[next move]],1))*3,1)</f>
        <v>V</v>
      </c>
      <c r="I1317" t="str">
        <f>Table132[[#This Row],[ÉTAT]]&amp;Table132[[#This Row],[next move]]</f>
        <v>VVEVEVVMM20</v>
      </c>
    </row>
    <row r="1318" spans="2:9" x14ac:dyDescent="0.25">
      <c r="B1318" t="s">
        <v>1531</v>
      </c>
      <c r="C1318" s="22" t="s">
        <v>24</v>
      </c>
      <c r="D1318">
        <v>4</v>
      </c>
      <c r="E1318">
        <v>3</v>
      </c>
      <c r="G1318" s="31">
        <f>Table132[[#This Row],[nb win]]/Table132[[#This Row],[nb play]]</f>
        <v>0.75</v>
      </c>
      <c r="H1318" t="str">
        <f>MID(Table132[[#This Row],[ÉTAT]],VALUE(RIGHT(Table132[[#This Row],[next move]],1))+1+VALUE(LEFT(Table132[[#This Row],[next move]],1))*3,1)</f>
        <v>V</v>
      </c>
      <c r="I1318" t="str">
        <f>Table132[[#This Row],[ÉTAT]]&amp;Table132[[#This Row],[next move]]</f>
        <v>VVEVEVMVV00</v>
      </c>
    </row>
    <row r="1319" spans="2:9" x14ac:dyDescent="0.25">
      <c r="B1319" t="s">
        <v>1531</v>
      </c>
      <c r="C1319" s="22" t="s">
        <v>26</v>
      </c>
      <c r="D1319">
        <v>1</v>
      </c>
      <c r="G1319" s="25">
        <f>Table132[[#This Row],[nb win]]/Table132[[#This Row],[nb play]]</f>
        <v>0</v>
      </c>
      <c r="H1319" t="str">
        <f>MID(Table132[[#This Row],[ÉTAT]],VALUE(RIGHT(Table132[[#This Row],[next move]],1))+1+VALUE(LEFT(Table132[[#This Row],[next move]],1))*3,1)</f>
        <v>V</v>
      </c>
      <c r="I1319" t="str">
        <f>Table132[[#This Row],[ÉTAT]]&amp;Table132[[#This Row],[next move]]</f>
        <v>VVEVEVMVV01</v>
      </c>
    </row>
    <row r="1320" spans="2:9" x14ac:dyDescent="0.25">
      <c r="B1320" t="s">
        <v>1531</v>
      </c>
      <c r="C1320" s="22" t="s">
        <v>30</v>
      </c>
      <c r="D1320">
        <v>3</v>
      </c>
      <c r="E1320">
        <v>1</v>
      </c>
      <c r="G1320" s="31">
        <f>Table132[[#This Row],[nb win]]/Table132[[#This Row],[nb play]]</f>
        <v>0.33333333333333331</v>
      </c>
      <c r="H1320" t="str">
        <f>MID(Table132[[#This Row],[ÉTAT]],VALUE(RIGHT(Table132[[#This Row],[next move]],1))+1+VALUE(LEFT(Table132[[#This Row],[next move]],1))*3,1)</f>
        <v>V</v>
      </c>
      <c r="I1320" t="str">
        <f>Table132[[#This Row],[ÉTAT]]&amp;Table132[[#This Row],[next move]]</f>
        <v>VVEVEVMVV10</v>
      </c>
    </row>
    <row r="1321" spans="2:9" x14ac:dyDescent="0.25">
      <c r="B1321" t="s">
        <v>1531</v>
      </c>
      <c r="C1321" s="22" t="s">
        <v>28</v>
      </c>
      <c r="D1321">
        <v>3</v>
      </c>
      <c r="G1321" s="30">
        <f>Table132[[#This Row],[nb win]]/Table132[[#This Row],[nb play]]</f>
        <v>0</v>
      </c>
      <c r="H1321" t="str">
        <f>MID(Table132[[#This Row],[ÉTAT]],VALUE(RIGHT(Table132[[#This Row],[next move]],1))+1+VALUE(LEFT(Table132[[#This Row],[next move]],1))*3,1)</f>
        <v>V</v>
      </c>
      <c r="I1321" t="str">
        <f>Table132[[#This Row],[ÉTAT]]&amp;Table132[[#This Row],[next move]]</f>
        <v>VVEVEVMVV12</v>
      </c>
    </row>
    <row r="1322" spans="2:9" x14ac:dyDescent="0.25">
      <c r="B1322" t="s">
        <v>1531</v>
      </c>
      <c r="C1322" s="22" t="s">
        <v>22</v>
      </c>
      <c r="D1322">
        <v>4</v>
      </c>
      <c r="E1322">
        <v>3</v>
      </c>
      <c r="G1322" s="31">
        <f>Table132[[#This Row],[nb win]]/Table132[[#This Row],[nb play]]</f>
        <v>0.75</v>
      </c>
      <c r="H1322" t="str">
        <f>MID(Table132[[#This Row],[ÉTAT]],VALUE(RIGHT(Table132[[#This Row],[next move]],1))+1+VALUE(LEFT(Table132[[#This Row],[next move]],1))*3,1)</f>
        <v>V</v>
      </c>
      <c r="I1322" t="str">
        <f>Table132[[#This Row],[ÉTAT]]&amp;Table132[[#This Row],[next move]]</f>
        <v>VVEVEVMVV21</v>
      </c>
    </row>
    <row r="1323" spans="2:9" x14ac:dyDescent="0.25">
      <c r="B1323" t="s">
        <v>1531</v>
      </c>
      <c r="C1323" s="22" t="s">
        <v>31</v>
      </c>
      <c r="D1323">
        <v>1</v>
      </c>
      <c r="G1323" s="25">
        <f>Table132[[#This Row],[nb win]]/Table132[[#This Row],[nb play]]</f>
        <v>0</v>
      </c>
      <c r="H1323" t="str">
        <f>MID(Table132[[#This Row],[ÉTAT]],VALUE(RIGHT(Table132[[#This Row],[next move]],1))+1+VALUE(LEFT(Table132[[#This Row],[next move]],1))*3,1)</f>
        <v>V</v>
      </c>
      <c r="I1323" t="str">
        <f>Table132[[#This Row],[ÉTAT]]&amp;Table132[[#This Row],[next move]]</f>
        <v>VVEVEVMVV22</v>
      </c>
    </row>
    <row r="1324" spans="2:9" x14ac:dyDescent="0.25">
      <c r="B1324" t="s">
        <v>435</v>
      </c>
      <c r="C1324" s="22" t="s">
        <v>22</v>
      </c>
      <c r="D1324">
        <v>7</v>
      </c>
      <c r="E1324">
        <v>7</v>
      </c>
      <c r="G1324" s="31">
        <f>Table132[[#This Row],[nb win]]/Table132[[#This Row],[nb play]]</f>
        <v>1</v>
      </c>
      <c r="H1324" t="str">
        <f>MID(Table132[[#This Row],[ÉTAT]],VALUE(RIGHT(Table132[[#This Row],[next move]],1))+1+VALUE(LEFT(Table132[[#This Row],[next move]],1))*3,1)</f>
        <v>V</v>
      </c>
      <c r="I1324" t="str">
        <f>Table132[[#This Row],[ÉTAT]]&amp;Table132[[#This Row],[next move]]</f>
        <v>VVEVEVMVM21</v>
      </c>
    </row>
    <row r="1325" spans="2:9" x14ac:dyDescent="0.25">
      <c r="B1325" t="s">
        <v>2400</v>
      </c>
      <c r="C1325" s="22" t="s">
        <v>31</v>
      </c>
      <c r="D1325">
        <v>5</v>
      </c>
      <c r="E1325">
        <v>5</v>
      </c>
      <c r="G1325" s="31">
        <f>Table132[[#This Row],[nb win]]/Table132[[#This Row],[nb play]]</f>
        <v>1</v>
      </c>
      <c r="H1325" t="str">
        <f>MID(Table132[[#This Row],[ÉTAT]],VALUE(RIGHT(Table132[[#This Row],[next move]],1))+1+VALUE(LEFT(Table132[[#This Row],[next move]],1))*3,1)</f>
        <v>V</v>
      </c>
      <c r="I1325" t="str">
        <f>Table132[[#This Row],[ÉTAT]]&amp;Table132[[#This Row],[next move]]</f>
        <v>VVEVEVMMV22</v>
      </c>
    </row>
    <row r="1326" spans="2:9" x14ac:dyDescent="0.25">
      <c r="B1326" t="s">
        <v>2541</v>
      </c>
      <c r="C1326" s="22" t="s">
        <v>24</v>
      </c>
      <c r="D1326">
        <v>1</v>
      </c>
      <c r="G1326" s="25">
        <f>Table132[[#This Row],[nb win]]/Table132[[#This Row],[nb play]]</f>
        <v>0</v>
      </c>
      <c r="H1326" t="str">
        <f>MID(Table132[[#This Row],[ÉTAT]],VALUE(RIGHT(Table132[[#This Row],[next move]],1))+1+VALUE(LEFT(Table132[[#This Row],[next move]],1))*3,1)</f>
        <v>V</v>
      </c>
      <c r="I1326" t="str">
        <f>Table132[[#This Row],[ÉTAT]]&amp;Table132[[#This Row],[next move]]</f>
        <v>VVEVEVMME00</v>
      </c>
    </row>
    <row r="1327" spans="2:9" x14ac:dyDescent="0.25">
      <c r="B1327" t="s">
        <v>2541</v>
      </c>
      <c r="C1327" s="22" t="s">
        <v>26</v>
      </c>
      <c r="D1327">
        <v>1</v>
      </c>
      <c r="G1327" s="25">
        <f>Table132[[#This Row],[nb win]]/Table132[[#This Row],[nb play]]</f>
        <v>0</v>
      </c>
      <c r="H1327" t="str">
        <f>MID(Table132[[#This Row],[ÉTAT]],VALUE(RIGHT(Table132[[#This Row],[next move]],1))+1+VALUE(LEFT(Table132[[#This Row],[next move]],1))*3,1)</f>
        <v>V</v>
      </c>
      <c r="I1327" t="str">
        <f>Table132[[#This Row],[ÉTAT]]&amp;Table132[[#This Row],[next move]]</f>
        <v>VVEVEVMME01</v>
      </c>
    </row>
    <row r="1328" spans="2:9" x14ac:dyDescent="0.25">
      <c r="B1328" t="s">
        <v>2541</v>
      </c>
      <c r="C1328" s="22" t="s">
        <v>30</v>
      </c>
      <c r="D1328">
        <v>1</v>
      </c>
      <c r="G1328" s="25">
        <f>Table132[[#This Row],[nb win]]/Table132[[#This Row],[nb play]]</f>
        <v>0</v>
      </c>
      <c r="H1328" t="str">
        <f>MID(Table132[[#This Row],[ÉTAT]],VALUE(RIGHT(Table132[[#This Row],[next move]],1))+1+VALUE(LEFT(Table132[[#This Row],[next move]],1))*3,1)</f>
        <v>V</v>
      </c>
      <c r="I1328" t="str">
        <f>Table132[[#This Row],[ÉTAT]]&amp;Table132[[#This Row],[next move]]</f>
        <v>VVEVEVMME10</v>
      </c>
    </row>
    <row r="1329" spans="2:9" x14ac:dyDescent="0.25">
      <c r="B1329" t="s">
        <v>2541</v>
      </c>
      <c r="C1329" s="22" t="s">
        <v>28</v>
      </c>
      <c r="D1329">
        <v>1</v>
      </c>
      <c r="G1329" s="25">
        <f>Table132[[#This Row],[nb win]]/Table132[[#This Row],[nb play]]</f>
        <v>0</v>
      </c>
      <c r="H1329" t="str">
        <f>MID(Table132[[#This Row],[ÉTAT]],VALUE(RIGHT(Table132[[#This Row],[next move]],1))+1+VALUE(LEFT(Table132[[#This Row],[next move]],1))*3,1)</f>
        <v>V</v>
      </c>
      <c r="I1329" t="str">
        <f>Table132[[#This Row],[ÉTAT]]&amp;Table132[[#This Row],[next move]]</f>
        <v>VVEVEVMME12</v>
      </c>
    </row>
    <row r="1330" spans="2:9" x14ac:dyDescent="0.25">
      <c r="B1330" t="s">
        <v>1532</v>
      </c>
      <c r="C1330" s="22" t="s">
        <v>26</v>
      </c>
      <c r="D1330">
        <v>1</v>
      </c>
      <c r="G1330" s="25">
        <f>Table132[[#This Row],[nb win]]/Table132[[#This Row],[nb play]]</f>
        <v>0</v>
      </c>
      <c r="H1330" t="str">
        <f>MID(Table132[[#This Row],[ÉTAT]],VALUE(RIGHT(Table132[[#This Row],[next move]],1))+1+VALUE(LEFT(Table132[[#This Row],[next move]],1))*3,1)</f>
        <v>V</v>
      </c>
      <c r="I1330" t="str">
        <f>Table132[[#This Row],[ÉTAT]]&amp;Table132[[#This Row],[next move]]</f>
        <v>VVEVEVMEM01</v>
      </c>
    </row>
    <row r="1331" spans="2:9" x14ac:dyDescent="0.25">
      <c r="B1331" t="s">
        <v>566</v>
      </c>
      <c r="C1331" s="22" t="s">
        <v>24</v>
      </c>
      <c r="D1331">
        <v>10</v>
      </c>
      <c r="E1331">
        <v>1</v>
      </c>
      <c r="G1331" s="30">
        <f>Table132[[#This Row],[nb win]]/Table132[[#This Row],[nb play]]</f>
        <v>0.1</v>
      </c>
      <c r="H1331" t="str">
        <f>MID(Table132[[#This Row],[ÉTAT]],VALUE(RIGHT(Table132[[#This Row],[next move]],1))+1+VALUE(LEFT(Table132[[#This Row],[next move]],1))*3,1)</f>
        <v>V</v>
      </c>
      <c r="I1331" t="str">
        <f>Table132[[#This Row],[ÉTAT]]&amp;Table132[[#This Row],[next move]]</f>
        <v>VVEVEMVVV00</v>
      </c>
    </row>
    <row r="1332" spans="2:9" x14ac:dyDescent="0.25">
      <c r="B1332" t="s">
        <v>566</v>
      </c>
      <c r="C1332" s="22" t="s">
        <v>26</v>
      </c>
      <c r="D1332">
        <v>3</v>
      </c>
      <c r="G1332" s="25">
        <f>Table132[[#This Row],[nb win]]/Table132[[#This Row],[nb play]]</f>
        <v>0</v>
      </c>
      <c r="H1332" t="str">
        <f>MID(Table132[[#This Row],[ÉTAT]],VALUE(RIGHT(Table132[[#This Row],[next move]],1))+1+VALUE(LEFT(Table132[[#This Row],[next move]],1))*3,1)</f>
        <v>V</v>
      </c>
      <c r="I1332" t="str">
        <f>Table132[[#This Row],[ÉTAT]]&amp;Table132[[#This Row],[next move]]</f>
        <v>VVEVEMVVV01</v>
      </c>
    </row>
    <row r="1333" spans="2:9" x14ac:dyDescent="0.25">
      <c r="B1333" t="s">
        <v>566</v>
      </c>
      <c r="C1333" s="22" t="s">
        <v>30</v>
      </c>
      <c r="D1333">
        <v>11</v>
      </c>
      <c r="G1333" s="30">
        <f>Table132[[#This Row],[nb win]]/Table132[[#This Row],[nb play]]</f>
        <v>0</v>
      </c>
      <c r="H1333" t="str">
        <f>MID(Table132[[#This Row],[ÉTAT]],VALUE(RIGHT(Table132[[#This Row],[next move]],1))+1+VALUE(LEFT(Table132[[#This Row],[next move]],1))*3,1)</f>
        <v>V</v>
      </c>
      <c r="I1333" t="str">
        <f>Table132[[#This Row],[ÉTAT]]&amp;Table132[[#This Row],[next move]]</f>
        <v>VVEVEMVVV10</v>
      </c>
    </row>
    <row r="1334" spans="2:9" x14ac:dyDescent="0.25">
      <c r="B1334" t="s">
        <v>566</v>
      </c>
      <c r="C1334" s="22" t="s">
        <v>35</v>
      </c>
      <c r="D1334">
        <v>8</v>
      </c>
      <c r="G1334" s="30">
        <f>Table132[[#This Row],[nb win]]/Table132[[#This Row],[nb play]]</f>
        <v>0</v>
      </c>
      <c r="H1334" t="str">
        <f>MID(Table132[[#This Row],[ÉTAT]],VALUE(RIGHT(Table132[[#This Row],[next move]],1))+1+VALUE(LEFT(Table132[[#This Row],[next move]],1))*3,1)</f>
        <v>V</v>
      </c>
      <c r="I1334" t="str">
        <f>Table132[[#This Row],[ÉTAT]]&amp;Table132[[#This Row],[next move]]</f>
        <v>VVEVEMVVV20</v>
      </c>
    </row>
    <row r="1335" spans="2:9" x14ac:dyDescent="0.25">
      <c r="B1335" t="s">
        <v>566</v>
      </c>
      <c r="C1335" s="22" t="s">
        <v>22</v>
      </c>
      <c r="D1335">
        <v>10</v>
      </c>
      <c r="G1335" s="30">
        <f>Table132[[#This Row],[nb win]]/Table132[[#This Row],[nb play]]</f>
        <v>0</v>
      </c>
      <c r="H1335" t="str">
        <f>MID(Table132[[#This Row],[ÉTAT]],VALUE(RIGHT(Table132[[#This Row],[next move]],1))+1+VALUE(LEFT(Table132[[#This Row],[next move]],1))*3,1)</f>
        <v>V</v>
      </c>
      <c r="I1335" t="str">
        <f>Table132[[#This Row],[ÉTAT]]&amp;Table132[[#This Row],[next move]]</f>
        <v>VVEVEMVVV21</v>
      </c>
    </row>
    <row r="1336" spans="2:9" x14ac:dyDescent="0.25">
      <c r="B1336" t="s">
        <v>566</v>
      </c>
      <c r="C1336" s="22" t="s">
        <v>31</v>
      </c>
      <c r="D1336">
        <v>10</v>
      </c>
      <c r="G1336" s="30">
        <f>Table132[[#This Row],[nb win]]/Table132[[#This Row],[nb play]]</f>
        <v>0</v>
      </c>
      <c r="H1336" t="str">
        <f>MID(Table132[[#This Row],[ÉTAT]],VALUE(RIGHT(Table132[[#This Row],[next move]],1))+1+VALUE(LEFT(Table132[[#This Row],[next move]],1))*3,1)</f>
        <v>V</v>
      </c>
      <c r="I1336" t="str">
        <f>Table132[[#This Row],[ÉTAT]]&amp;Table132[[#This Row],[next move]]</f>
        <v>VVEVEMVVV22</v>
      </c>
    </row>
    <row r="1337" spans="2:9" x14ac:dyDescent="0.25">
      <c r="B1337" t="s">
        <v>3226</v>
      </c>
      <c r="C1337" s="22" t="s">
        <v>24</v>
      </c>
      <c r="D1337">
        <v>2</v>
      </c>
      <c r="E1337">
        <v>1</v>
      </c>
      <c r="G1337" s="30">
        <f>Table132[[#This Row],[nb win]]/Table132[[#This Row],[nb play]]</f>
        <v>0.5</v>
      </c>
      <c r="H1337" t="str">
        <f>MID(Table132[[#This Row],[ÉTAT]],VALUE(RIGHT(Table132[[#This Row],[next move]],1))+1+VALUE(LEFT(Table132[[#This Row],[next move]],1))*3,1)</f>
        <v>V</v>
      </c>
      <c r="I1337" t="str">
        <f>Table132[[#This Row],[ÉTAT]]&amp;Table132[[#This Row],[next move]]</f>
        <v>VVEVEMVVM00</v>
      </c>
    </row>
    <row r="1338" spans="2:9" x14ac:dyDescent="0.25">
      <c r="B1338" t="s">
        <v>3156</v>
      </c>
      <c r="C1338" s="22" t="s">
        <v>35</v>
      </c>
      <c r="D1338">
        <v>3</v>
      </c>
      <c r="E1338">
        <v>2</v>
      </c>
      <c r="G1338" s="30">
        <f>Table132[[#This Row],[nb win]]/Table132[[#This Row],[nb play]]</f>
        <v>0.66666666666666663</v>
      </c>
      <c r="H1338" t="str">
        <f>MID(Table132[[#This Row],[ÉTAT]],VALUE(RIGHT(Table132[[#This Row],[next move]],1))+1+VALUE(LEFT(Table132[[#This Row],[next move]],1))*3,1)</f>
        <v>V</v>
      </c>
      <c r="I1338" t="str">
        <f>Table132[[#This Row],[ÉTAT]]&amp;Table132[[#This Row],[next move]]</f>
        <v>VVEVEMVMV20</v>
      </c>
    </row>
    <row r="1339" spans="2:9" x14ac:dyDescent="0.25">
      <c r="B1339" t="s">
        <v>1878</v>
      </c>
      <c r="C1339" s="22" t="s">
        <v>24</v>
      </c>
      <c r="D1339">
        <v>1</v>
      </c>
      <c r="G1339" s="25">
        <f>Table132[[#This Row],[nb win]]/Table132[[#This Row],[nb play]]</f>
        <v>0</v>
      </c>
      <c r="H1339" t="str">
        <f>MID(Table132[[#This Row],[ÉTAT]],VALUE(RIGHT(Table132[[#This Row],[next move]],1))+1+VALUE(LEFT(Table132[[#This Row],[next move]],1))*3,1)</f>
        <v>V</v>
      </c>
      <c r="I1339" t="str">
        <f>Table132[[#This Row],[ÉTAT]]&amp;Table132[[#This Row],[next move]]</f>
        <v>VVEVEMVME00</v>
      </c>
    </row>
    <row r="1340" spans="2:9" x14ac:dyDescent="0.25">
      <c r="B1340" t="s">
        <v>1878</v>
      </c>
      <c r="C1340" s="22" t="s">
        <v>26</v>
      </c>
      <c r="D1340">
        <v>3</v>
      </c>
      <c r="G1340" s="30">
        <f>Table132[[#This Row],[nb win]]/Table132[[#This Row],[nb play]]</f>
        <v>0</v>
      </c>
      <c r="H1340" t="str">
        <f>MID(Table132[[#This Row],[ÉTAT]],VALUE(RIGHT(Table132[[#This Row],[next move]],1))+1+VALUE(LEFT(Table132[[#This Row],[next move]],1))*3,1)</f>
        <v>V</v>
      </c>
      <c r="I1340" t="str">
        <f>Table132[[#This Row],[ÉTAT]]&amp;Table132[[#This Row],[next move]]</f>
        <v>VVEVEMVME01</v>
      </c>
    </row>
    <row r="1341" spans="2:9" x14ac:dyDescent="0.25">
      <c r="B1341" t="s">
        <v>1878</v>
      </c>
      <c r="C1341" s="22" t="s">
        <v>30</v>
      </c>
      <c r="D1341">
        <v>4</v>
      </c>
      <c r="G1341" s="30">
        <f>Table132[[#This Row],[nb win]]/Table132[[#This Row],[nb play]]</f>
        <v>0</v>
      </c>
      <c r="H1341" t="str">
        <f>MID(Table132[[#This Row],[ÉTAT]],VALUE(RIGHT(Table132[[#This Row],[next move]],1))+1+VALUE(LEFT(Table132[[#This Row],[next move]],1))*3,1)</f>
        <v>V</v>
      </c>
      <c r="I1341" t="str">
        <f>Table132[[#This Row],[ÉTAT]]&amp;Table132[[#This Row],[next move]]</f>
        <v>VVEVEMVME10</v>
      </c>
    </row>
    <row r="1342" spans="2:9" x14ac:dyDescent="0.25">
      <c r="B1342" t="s">
        <v>1878</v>
      </c>
      <c r="C1342" s="22" t="s">
        <v>35</v>
      </c>
      <c r="D1342">
        <v>1</v>
      </c>
      <c r="G1342" s="25">
        <f>Table132[[#This Row],[nb win]]/Table132[[#This Row],[nb play]]</f>
        <v>0</v>
      </c>
      <c r="H1342" t="str">
        <f>MID(Table132[[#This Row],[ÉTAT]],VALUE(RIGHT(Table132[[#This Row],[next move]],1))+1+VALUE(LEFT(Table132[[#This Row],[next move]],1))*3,1)</f>
        <v>V</v>
      </c>
      <c r="I1342" t="str">
        <f>Table132[[#This Row],[ÉTAT]]&amp;Table132[[#This Row],[next move]]</f>
        <v>VVEVEMVME20</v>
      </c>
    </row>
    <row r="1343" spans="2:9" x14ac:dyDescent="0.25">
      <c r="B1343" t="s">
        <v>820</v>
      </c>
      <c r="C1343" s="22" t="s">
        <v>24</v>
      </c>
      <c r="D1343">
        <v>2</v>
      </c>
      <c r="E1343">
        <v>2</v>
      </c>
      <c r="G1343" s="25">
        <f>Table132[[#This Row],[nb win]]/Table132[[#This Row],[nb play]]</f>
        <v>1</v>
      </c>
      <c r="H1343" t="str">
        <f>MID(Table132[[#This Row],[ÉTAT]],VALUE(RIGHT(Table132[[#This Row],[next move]],1))+1+VALUE(LEFT(Table132[[#This Row],[next move]],1))*3,1)</f>
        <v>V</v>
      </c>
      <c r="I1343" t="str">
        <f>Table132[[#This Row],[ÉTAT]]&amp;Table132[[#This Row],[next move]]</f>
        <v>VVEVEMMVV00</v>
      </c>
    </row>
    <row r="1344" spans="2:9" x14ac:dyDescent="0.25">
      <c r="B1344" t="s">
        <v>1579</v>
      </c>
      <c r="C1344" s="22" t="s">
        <v>24</v>
      </c>
      <c r="D1344">
        <v>1</v>
      </c>
      <c r="E1344">
        <v>1</v>
      </c>
      <c r="G1344" s="25">
        <f>Table132[[#This Row],[nb win]]/Table132[[#This Row],[nb play]]</f>
        <v>1</v>
      </c>
      <c r="H1344" t="str">
        <f>MID(Table132[[#This Row],[ÉTAT]],VALUE(RIGHT(Table132[[#This Row],[next move]],1))+1+VALUE(LEFT(Table132[[#This Row],[next move]],1))*3,1)</f>
        <v>V</v>
      </c>
      <c r="I1344" t="str">
        <f>Table132[[#This Row],[ÉTAT]]&amp;Table132[[#This Row],[next move]]</f>
        <v>VVEVEMMME00</v>
      </c>
    </row>
    <row r="1345" spans="2:9" x14ac:dyDescent="0.25">
      <c r="B1345" t="s">
        <v>1579</v>
      </c>
      <c r="C1345" s="22" t="s">
        <v>26</v>
      </c>
      <c r="D1345">
        <v>2</v>
      </c>
      <c r="G1345" s="30">
        <f>Table132[[#This Row],[nb win]]/Table132[[#This Row],[nb play]]</f>
        <v>0</v>
      </c>
      <c r="H1345" t="str">
        <f>MID(Table132[[#This Row],[ÉTAT]],VALUE(RIGHT(Table132[[#This Row],[next move]],1))+1+VALUE(LEFT(Table132[[#This Row],[next move]],1))*3,1)</f>
        <v>V</v>
      </c>
      <c r="I1345" t="str">
        <f>Table132[[#This Row],[ÉTAT]]&amp;Table132[[#This Row],[next move]]</f>
        <v>VVEVEMMME01</v>
      </c>
    </row>
    <row r="1346" spans="2:9" x14ac:dyDescent="0.25">
      <c r="B1346" t="s">
        <v>1579</v>
      </c>
      <c r="C1346" s="22" t="s">
        <v>30</v>
      </c>
      <c r="D1346">
        <v>2</v>
      </c>
      <c r="G1346" s="25">
        <f>Table132[[#This Row],[nb win]]/Table132[[#This Row],[nb play]]</f>
        <v>0</v>
      </c>
      <c r="H1346" t="str">
        <f>MID(Table132[[#This Row],[ÉTAT]],VALUE(RIGHT(Table132[[#This Row],[next move]],1))+1+VALUE(LEFT(Table132[[#This Row],[next move]],1))*3,1)</f>
        <v>V</v>
      </c>
      <c r="I1346" t="str">
        <f>Table132[[#This Row],[ÉTAT]]&amp;Table132[[#This Row],[next move]]</f>
        <v>VVEVEMMME10</v>
      </c>
    </row>
    <row r="1347" spans="2:9" x14ac:dyDescent="0.25">
      <c r="B1347" t="s">
        <v>2226</v>
      </c>
      <c r="C1347" s="22" t="s">
        <v>30</v>
      </c>
      <c r="D1347">
        <v>1</v>
      </c>
      <c r="G1347" s="25">
        <f>Table132[[#This Row],[nb win]]/Table132[[#This Row],[nb play]]</f>
        <v>0</v>
      </c>
      <c r="H1347" t="str">
        <f>MID(Table132[[#This Row],[ÉTAT]],VALUE(RIGHT(Table132[[#This Row],[next move]],1))+1+VALUE(LEFT(Table132[[#This Row],[next move]],1))*3,1)</f>
        <v>V</v>
      </c>
      <c r="I1347" t="str">
        <f>Table132[[#This Row],[ÉTAT]]&amp;Table132[[#This Row],[next move]]</f>
        <v>VVEVEMMEM10</v>
      </c>
    </row>
    <row r="1348" spans="2:9" x14ac:dyDescent="0.25">
      <c r="B1348" t="s">
        <v>3217</v>
      </c>
      <c r="C1348" s="22" t="s">
        <v>24</v>
      </c>
      <c r="D1348">
        <v>1</v>
      </c>
      <c r="E1348">
        <v>1</v>
      </c>
      <c r="G1348" s="31">
        <f>Table132[[#This Row],[nb win]]/Table132[[#This Row],[nb play]]</f>
        <v>1</v>
      </c>
      <c r="H1348" t="str">
        <f>MID(Table132[[#This Row],[ÉTAT]],VALUE(RIGHT(Table132[[#This Row],[next move]],1))+1+VALUE(LEFT(Table132[[#This Row],[next move]],1))*3,1)</f>
        <v>V</v>
      </c>
      <c r="I1348" t="str">
        <f>Table132[[#This Row],[ÉTAT]]&amp;Table132[[#This Row],[next move]]</f>
        <v>VVEVEEVMM00</v>
      </c>
    </row>
    <row r="1349" spans="2:9" x14ac:dyDescent="0.25">
      <c r="B1349" t="s">
        <v>3217</v>
      </c>
      <c r="C1349" s="22" t="s">
        <v>30</v>
      </c>
      <c r="D1349">
        <v>1</v>
      </c>
      <c r="G1349" s="30">
        <f>Table132[[#This Row],[nb win]]/Table132[[#This Row],[nb play]]</f>
        <v>0</v>
      </c>
      <c r="H1349" t="str">
        <f>MID(Table132[[#This Row],[ÉTAT]],VALUE(RIGHT(Table132[[#This Row],[next move]],1))+1+VALUE(LEFT(Table132[[#This Row],[next move]],1))*3,1)</f>
        <v>V</v>
      </c>
      <c r="I1349" t="str">
        <f>Table132[[#This Row],[ÉTAT]]&amp;Table132[[#This Row],[next move]]</f>
        <v>VVEVEEVMM10</v>
      </c>
    </row>
    <row r="1350" spans="2:9" x14ac:dyDescent="0.25">
      <c r="B1350" t="s">
        <v>2631</v>
      </c>
      <c r="C1350" s="22" t="s">
        <v>22</v>
      </c>
      <c r="D1350">
        <v>2</v>
      </c>
      <c r="E1350">
        <v>2</v>
      </c>
      <c r="G1350" s="31">
        <f>Table132[[#This Row],[nb win]]/Table132[[#This Row],[nb play]]</f>
        <v>1</v>
      </c>
      <c r="H1350" t="str">
        <f>MID(Table132[[#This Row],[ÉTAT]],VALUE(RIGHT(Table132[[#This Row],[next move]],1))+1+VALUE(LEFT(Table132[[#This Row],[next move]],1))*3,1)</f>
        <v>V</v>
      </c>
      <c r="I1350" t="str">
        <f>Table132[[#This Row],[ÉTAT]]&amp;Table132[[#This Row],[next move]]</f>
        <v>VVEVEEMVM21</v>
      </c>
    </row>
    <row r="1351" spans="2:9" x14ac:dyDescent="0.25">
      <c r="B1351" t="s">
        <v>1577</v>
      </c>
      <c r="C1351" s="22" t="s">
        <v>31</v>
      </c>
      <c r="D1351">
        <v>1</v>
      </c>
      <c r="E1351">
        <v>1</v>
      </c>
      <c r="G1351" s="25">
        <f>Table132[[#This Row],[nb win]]/Table132[[#This Row],[nb play]]</f>
        <v>1</v>
      </c>
      <c r="H1351" t="str">
        <f>MID(Table132[[#This Row],[ÉTAT]],VALUE(RIGHT(Table132[[#This Row],[next move]],1))+1+VALUE(LEFT(Table132[[#This Row],[next move]],1))*3,1)</f>
        <v>V</v>
      </c>
      <c r="I1351" t="str">
        <f>Table132[[#This Row],[ÉTAT]]&amp;Table132[[#This Row],[next move]]</f>
        <v>VVEVEEMMV22</v>
      </c>
    </row>
    <row r="1352" spans="2:9" x14ac:dyDescent="0.25">
      <c r="B1352" t="s">
        <v>51</v>
      </c>
      <c r="C1352" s="22" t="s">
        <v>24</v>
      </c>
      <c r="D1352">
        <v>7</v>
      </c>
      <c r="E1352">
        <v>6</v>
      </c>
      <c r="G1352" s="31">
        <f>Table132[[#This Row],[nb win]]/Table132[[#This Row],[nb play]]</f>
        <v>0.8571428571428571</v>
      </c>
      <c r="H1352" t="str">
        <f>MID(Table132[[#This Row],[ÉTAT]],VALUE(RIGHT(Table132[[#This Row],[next move]],1))+1+VALUE(LEFT(Table132[[#This Row],[next move]],1))*3,1)</f>
        <v>V</v>
      </c>
      <c r="I1352" t="str">
        <f>Table132[[#This Row],[ÉTAT]]&amp;Table132[[#This Row],[next move]]</f>
        <v>VVEMVVVVV00</v>
      </c>
    </row>
    <row r="1353" spans="2:9" x14ac:dyDescent="0.25">
      <c r="B1353" t="s">
        <v>51</v>
      </c>
      <c r="C1353" s="22" t="s">
        <v>26</v>
      </c>
      <c r="D1353">
        <v>8</v>
      </c>
      <c r="E1353">
        <v>5</v>
      </c>
      <c r="G1353" s="30">
        <f>Table132[[#This Row],[nb win]]/Table132[[#This Row],[nb play]]</f>
        <v>0.625</v>
      </c>
      <c r="H1353" t="str">
        <f>MID(Table132[[#This Row],[ÉTAT]],VALUE(RIGHT(Table132[[#This Row],[next move]],1))+1+VALUE(LEFT(Table132[[#This Row],[next move]],1))*3,1)</f>
        <v>V</v>
      </c>
      <c r="I1353" t="str">
        <f>Table132[[#This Row],[ÉTAT]]&amp;Table132[[#This Row],[next move]]</f>
        <v>VVEMVVVVV01</v>
      </c>
    </row>
    <row r="1354" spans="2:9" x14ac:dyDescent="0.25">
      <c r="B1354" t="s">
        <v>51</v>
      </c>
      <c r="C1354" s="22" t="s">
        <v>29</v>
      </c>
      <c r="D1354">
        <v>11</v>
      </c>
      <c r="E1354">
        <v>7</v>
      </c>
      <c r="G1354" s="30">
        <f>Table132[[#This Row],[nb win]]/Table132[[#This Row],[nb play]]</f>
        <v>0.63636363636363635</v>
      </c>
      <c r="H1354" t="str">
        <f>MID(Table132[[#This Row],[ÉTAT]],VALUE(RIGHT(Table132[[#This Row],[next move]],1))+1+VALUE(LEFT(Table132[[#This Row],[next move]],1))*3,1)</f>
        <v>V</v>
      </c>
      <c r="I1354" t="str">
        <f>Table132[[#This Row],[ÉTAT]]&amp;Table132[[#This Row],[next move]]</f>
        <v>VVEMVVVVV11</v>
      </c>
    </row>
    <row r="1355" spans="2:9" x14ac:dyDescent="0.25">
      <c r="B1355" t="s">
        <v>51</v>
      </c>
      <c r="C1355" s="22" t="s">
        <v>28</v>
      </c>
      <c r="D1355">
        <v>6</v>
      </c>
      <c r="E1355">
        <v>4</v>
      </c>
      <c r="G1355" s="30">
        <f>Table132[[#This Row],[nb win]]/Table132[[#This Row],[nb play]]</f>
        <v>0.66666666666666663</v>
      </c>
      <c r="H1355" t="str">
        <f>MID(Table132[[#This Row],[ÉTAT]],VALUE(RIGHT(Table132[[#This Row],[next move]],1))+1+VALUE(LEFT(Table132[[#This Row],[next move]],1))*3,1)</f>
        <v>V</v>
      </c>
      <c r="I1355" t="str">
        <f>Table132[[#This Row],[ÉTAT]]&amp;Table132[[#This Row],[next move]]</f>
        <v>VVEMVVVVV12</v>
      </c>
    </row>
    <row r="1356" spans="2:9" x14ac:dyDescent="0.25">
      <c r="B1356" t="s">
        <v>51</v>
      </c>
      <c r="C1356" s="22" t="s">
        <v>35</v>
      </c>
      <c r="D1356">
        <v>6</v>
      </c>
      <c r="E1356">
        <v>3</v>
      </c>
      <c r="G1356" s="31">
        <f>Table132[[#This Row],[nb win]]/Table132[[#This Row],[nb play]]</f>
        <v>0.5</v>
      </c>
      <c r="H1356" t="str">
        <f>MID(Table132[[#This Row],[ÉTAT]],VALUE(RIGHT(Table132[[#This Row],[next move]],1))+1+VALUE(LEFT(Table132[[#This Row],[next move]],1))*3,1)</f>
        <v>V</v>
      </c>
      <c r="I1356" t="str">
        <f>Table132[[#This Row],[ÉTAT]]&amp;Table132[[#This Row],[next move]]</f>
        <v>VVEMVVVVV20</v>
      </c>
    </row>
    <row r="1357" spans="2:9" x14ac:dyDescent="0.25">
      <c r="B1357" t="s">
        <v>51</v>
      </c>
      <c r="C1357" s="22" t="s">
        <v>22</v>
      </c>
      <c r="D1357">
        <v>13</v>
      </c>
      <c r="E1357">
        <v>5</v>
      </c>
      <c r="G1357" s="31">
        <f>Table132[[#This Row],[nb win]]/Table132[[#This Row],[nb play]]</f>
        <v>0.38461538461538464</v>
      </c>
      <c r="H1357" t="str">
        <f>MID(Table132[[#This Row],[ÉTAT]],VALUE(RIGHT(Table132[[#This Row],[next move]],1))+1+VALUE(LEFT(Table132[[#This Row],[next move]],1))*3,1)</f>
        <v>V</v>
      </c>
      <c r="I1357" t="str">
        <f>Table132[[#This Row],[ÉTAT]]&amp;Table132[[#This Row],[next move]]</f>
        <v>VVEMVVVVV21</v>
      </c>
    </row>
    <row r="1358" spans="2:9" x14ac:dyDescent="0.25">
      <c r="B1358" t="s">
        <v>51</v>
      </c>
      <c r="C1358" s="22" t="s">
        <v>31</v>
      </c>
      <c r="D1358">
        <v>10</v>
      </c>
      <c r="E1358">
        <v>7</v>
      </c>
      <c r="G1358" s="31">
        <f>Table132[[#This Row],[nb win]]/Table132[[#This Row],[nb play]]</f>
        <v>0.7</v>
      </c>
      <c r="H1358" t="str">
        <f>MID(Table132[[#This Row],[ÉTAT]],VALUE(RIGHT(Table132[[#This Row],[next move]],1))+1+VALUE(LEFT(Table132[[#This Row],[next move]],1))*3,1)</f>
        <v>V</v>
      </c>
      <c r="I1358" t="str">
        <f>Table132[[#This Row],[ÉTAT]]&amp;Table132[[#This Row],[next move]]</f>
        <v>VVEMVVVVV22</v>
      </c>
    </row>
    <row r="1359" spans="2:9" x14ac:dyDescent="0.25">
      <c r="B1359" t="s">
        <v>3086</v>
      </c>
      <c r="C1359" s="22" t="s">
        <v>24</v>
      </c>
      <c r="D1359">
        <v>1</v>
      </c>
      <c r="G1359" s="30">
        <f>Table132[[#This Row],[nb win]]/Table132[[#This Row],[nb play]]</f>
        <v>0</v>
      </c>
      <c r="H1359" t="str">
        <f>MID(Table132[[#This Row],[ÉTAT]],VALUE(RIGHT(Table132[[#This Row],[next move]],1))+1+VALUE(LEFT(Table132[[#This Row],[next move]],1))*3,1)</f>
        <v>V</v>
      </c>
      <c r="I1359" t="str">
        <f>Table132[[#This Row],[ÉTAT]]&amp;Table132[[#This Row],[next move]]</f>
        <v>VVEMVVVVE00</v>
      </c>
    </row>
    <row r="1360" spans="2:9" x14ac:dyDescent="0.25">
      <c r="B1360" t="s">
        <v>3086</v>
      </c>
      <c r="C1360" s="22" t="s">
        <v>26</v>
      </c>
      <c r="D1360">
        <v>4</v>
      </c>
      <c r="E1360">
        <v>1</v>
      </c>
      <c r="G1360" s="30">
        <f>Table132[[#This Row],[nb win]]/Table132[[#This Row],[nb play]]</f>
        <v>0.25</v>
      </c>
      <c r="H1360" t="str">
        <f>MID(Table132[[#This Row],[ÉTAT]],VALUE(RIGHT(Table132[[#This Row],[next move]],1))+1+VALUE(LEFT(Table132[[#This Row],[next move]],1))*3,1)</f>
        <v>V</v>
      </c>
      <c r="I1360" t="str">
        <f>Table132[[#This Row],[ÉTAT]]&amp;Table132[[#This Row],[next move]]</f>
        <v>VVEMVVVVE01</v>
      </c>
    </row>
    <row r="1361" spans="2:9" x14ac:dyDescent="0.25">
      <c r="B1361" t="s">
        <v>3086</v>
      </c>
      <c r="C1361" s="22" t="s">
        <v>29</v>
      </c>
      <c r="D1361">
        <v>1</v>
      </c>
      <c r="G1361" s="30">
        <f>Table132[[#This Row],[nb win]]/Table132[[#This Row],[nb play]]</f>
        <v>0</v>
      </c>
      <c r="H1361" t="str">
        <f>MID(Table132[[#This Row],[ÉTAT]],VALUE(RIGHT(Table132[[#This Row],[next move]],1))+1+VALUE(LEFT(Table132[[#This Row],[next move]],1))*3,1)</f>
        <v>V</v>
      </c>
      <c r="I1361" t="str">
        <f>Table132[[#This Row],[ÉTAT]]&amp;Table132[[#This Row],[next move]]</f>
        <v>VVEMVVVVE11</v>
      </c>
    </row>
    <row r="1362" spans="2:9" x14ac:dyDescent="0.25">
      <c r="B1362" t="s">
        <v>3086</v>
      </c>
      <c r="C1362" s="22" t="s">
        <v>28</v>
      </c>
      <c r="D1362">
        <v>1</v>
      </c>
      <c r="G1362" s="30">
        <f>Table132[[#This Row],[nb win]]/Table132[[#This Row],[nb play]]</f>
        <v>0</v>
      </c>
      <c r="H1362" t="str">
        <f>MID(Table132[[#This Row],[ÉTAT]],VALUE(RIGHT(Table132[[#This Row],[next move]],1))+1+VALUE(LEFT(Table132[[#This Row],[next move]],1))*3,1)</f>
        <v>V</v>
      </c>
      <c r="I1362" t="str">
        <f>Table132[[#This Row],[ÉTAT]]&amp;Table132[[#This Row],[next move]]</f>
        <v>VVEMVVVVE12</v>
      </c>
    </row>
    <row r="1363" spans="2:9" x14ac:dyDescent="0.25">
      <c r="B1363" t="s">
        <v>3086</v>
      </c>
      <c r="C1363" s="22" t="s">
        <v>35</v>
      </c>
      <c r="D1363">
        <v>1</v>
      </c>
      <c r="G1363" s="30">
        <f>Table132[[#This Row],[nb win]]/Table132[[#This Row],[nb play]]</f>
        <v>0</v>
      </c>
      <c r="H1363" t="str">
        <f>MID(Table132[[#This Row],[ÉTAT]],VALUE(RIGHT(Table132[[#This Row],[next move]],1))+1+VALUE(LEFT(Table132[[#This Row],[next move]],1))*3,1)</f>
        <v>V</v>
      </c>
      <c r="I1363" t="str">
        <f>Table132[[#This Row],[ÉTAT]]&amp;Table132[[#This Row],[next move]]</f>
        <v>VVEMVVVVE20</v>
      </c>
    </row>
    <row r="1364" spans="2:9" x14ac:dyDescent="0.25">
      <c r="B1364" t="s">
        <v>3086</v>
      </c>
      <c r="C1364" s="22" t="s">
        <v>22</v>
      </c>
      <c r="D1364">
        <v>2</v>
      </c>
      <c r="E1364">
        <v>1</v>
      </c>
      <c r="G1364" s="30">
        <f>Table132[[#This Row],[nb win]]/Table132[[#This Row],[nb play]]</f>
        <v>0.5</v>
      </c>
      <c r="H1364" t="str">
        <f>MID(Table132[[#This Row],[ÉTAT]],VALUE(RIGHT(Table132[[#This Row],[next move]],1))+1+VALUE(LEFT(Table132[[#This Row],[next move]],1))*3,1)</f>
        <v>V</v>
      </c>
      <c r="I1364" t="str">
        <f>Table132[[#This Row],[ÉTAT]]&amp;Table132[[#This Row],[next move]]</f>
        <v>VVEMVVVVE21</v>
      </c>
    </row>
    <row r="1365" spans="2:9" x14ac:dyDescent="0.25">
      <c r="B1365" t="s">
        <v>2296</v>
      </c>
      <c r="C1365" s="22" t="s">
        <v>26</v>
      </c>
      <c r="D1365">
        <v>2</v>
      </c>
      <c r="E1365">
        <v>1</v>
      </c>
      <c r="G1365" s="25">
        <f>Table132[[#This Row],[nb win]]/Table132[[#This Row],[nb play]]</f>
        <v>0.5</v>
      </c>
      <c r="H1365" t="str">
        <f>MID(Table132[[#This Row],[ÉTAT]],VALUE(RIGHT(Table132[[#This Row],[next move]],1))+1+VALUE(LEFT(Table132[[#This Row],[next move]],1))*3,1)</f>
        <v>V</v>
      </c>
      <c r="I1365" t="str">
        <f>Table132[[#This Row],[ÉTAT]]&amp;Table132[[#This Row],[next move]]</f>
        <v>VVEMVVVME01</v>
      </c>
    </row>
    <row r="1366" spans="2:9" x14ac:dyDescent="0.25">
      <c r="B1366" t="s">
        <v>2296</v>
      </c>
      <c r="C1366" s="22" t="s">
        <v>29</v>
      </c>
      <c r="D1366">
        <v>3</v>
      </c>
      <c r="E1366">
        <v>2</v>
      </c>
      <c r="G1366" s="30">
        <f>Table132[[#This Row],[nb win]]/Table132[[#This Row],[nb play]]</f>
        <v>0.66666666666666663</v>
      </c>
      <c r="H1366" t="str">
        <f>MID(Table132[[#This Row],[ÉTAT]],VALUE(RIGHT(Table132[[#This Row],[next move]],1))+1+VALUE(LEFT(Table132[[#This Row],[next move]],1))*3,1)</f>
        <v>V</v>
      </c>
      <c r="I1366" t="str">
        <f>Table132[[#This Row],[ÉTAT]]&amp;Table132[[#This Row],[next move]]</f>
        <v>VVEMVVVME11</v>
      </c>
    </row>
    <row r="1367" spans="2:9" x14ac:dyDescent="0.25">
      <c r="B1367" t="s">
        <v>2296</v>
      </c>
      <c r="C1367" s="22" t="s">
        <v>28</v>
      </c>
      <c r="D1367">
        <v>1</v>
      </c>
      <c r="G1367" s="30">
        <f>Table132[[#This Row],[nb win]]/Table132[[#This Row],[nb play]]</f>
        <v>0</v>
      </c>
      <c r="H1367" t="str">
        <f>MID(Table132[[#This Row],[ÉTAT]],VALUE(RIGHT(Table132[[#This Row],[next move]],1))+1+VALUE(LEFT(Table132[[#This Row],[next move]],1))*3,1)</f>
        <v>V</v>
      </c>
      <c r="I1367" t="str">
        <f>Table132[[#This Row],[ÉTAT]]&amp;Table132[[#This Row],[next move]]</f>
        <v>VVEMVVVME12</v>
      </c>
    </row>
    <row r="1368" spans="2:9" x14ac:dyDescent="0.25">
      <c r="B1368" t="s">
        <v>2296</v>
      </c>
      <c r="C1368" s="22" t="s">
        <v>35</v>
      </c>
      <c r="D1368">
        <v>2</v>
      </c>
      <c r="E1368">
        <v>1</v>
      </c>
      <c r="G1368" s="31">
        <f>Table132[[#This Row],[nb win]]/Table132[[#This Row],[nb play]]</f>
        <v>0.5</v>
      </c>
      <c r="H1368" t="str">
        <f>MID(Table132[[#This Row],[ÉTAT]],VALUE(RIGHT(Table132[[#This Row],[next move]],1))+1+VALUE(LEFT(Table132[[#This Row],[next move]],1))*3,1)</f>
        <v>V</v>
      </c>
      <c r="I1368" t="str">
        <f>Table132[[#This Row],[ÉTAT]]&amp;Table132[[#This Row],[next move]]</f>
        <v>VVEMVVVME20</v>
      </c>
    </row>
    <row r="1369" spans="2:9" x14ac:dyDescent="0.25">
      <c r="B1369" t="s">
        <v>2538</v>
      </c>
      <c r="C1369" s="22" t="s">
        <v>26</v>
      </c>
      <c r="D1369">
        <v>2</v>
      </c>
      <c r="G1369" s="30">
        <f>Table132[[#This Row],[nb win]]/Table132[[#This Row],[nb play]]</f>
        <v>0</v>
      </c>
      <c r="H1369" t="str">
        <f>MID(Table132[[#This Row],[ÉTAT]],VALUE(RIGHT(Table132[[#This Row],[next move]],1))+1+VALUE(LEFT(Table132[[#This Row],[next move]],1))*3,1)</f>
        <v>V</v>
      </c>
      <c r="I1369" t="str">
        <f>Table132[[#This Row],[ÉTAT]]&amp;Table132[[#This Row],[next move]]</f>
        <v>VVEMVVVEV01</v>
      </c>
    </row>
    <row r="1370" spans="2:9" x14ac:dyDescent="0.25">
      <c r="B1370" t="s">
        <v>2538</v>
      </c>
      <c r="C1370" s="22" t="s">
        <v>29</v>
      </c>
      <c r="D1370">
        <v>2</v>
      </c>
      <c r="E1370">
        <v>1</v>
      </c>
      <c r="G1370" s="31">
        <f>Table132[[#This Row],[nb win]]/Table132[[#This Row],[nb play]]</f>
        <v>0.5</v>
      </c>
      <c r="H1370" t="str">
        <f>MID(Table132[[#This Row],[ÉTAT]],VALUE(RIGHT(Table132[[#This Row],[next move]],1))+1+VALUE(LEFT(Table132[[#This Row],[next move]],1))*3,1)</f>
        <v>V</v>
      </c>
      <c r="I1370" t="str">
        <f>Table132[[#This Row],[ÉTAT]]&amp;Table132[[#This Row],[next move]]</f>
        <v>VVEMVVVEV11</v>
      </c>
    </row>
    <row r="1371" spans="2:9" x14ac:dyDescent="0.25">
      <c r="B1371" t="s">
        <v>2538</v>
      </c>
      <c r="C1371" s="22" t="s">
        <v>28</v>
      </c>
      <c r="D1371">
        <v>4</v>
      </c>
      <c r="E1371">
        <v>3</v>
      </c>
      <c r="G1371" s="30">
        <f>Table132[[#This Row],[nb win]]/Table132[[#This Row],[nb play]]</f>
        <v>0.75</v>
      </c>
      <c r="H1371" t="str">
        <f>MID(Table132[[#This Row],[ÉTAT]],VALUE(RIGHT(Table132[[#This Row],[next move]],1))+1+VALUE(LEFT(Table132[[#This Row],[next move]],1))*3,1)</f>
        <v>V</v>
      </c>
      <c r="I1371" t="str">
        <f>Table132[[#This Row],[ÉTAT]]&amp;Table132[[#This Row],[next move]]</f>
        <v>VVEMVVVEV12</v>
      </c>
    </row>
    <row r="1372" spans="2:9" x14ac:dyDescent="0.25">
      <c r="B1372" t="s">
        <v>2538</v>
      </c>
      <c r="C1372" s="22" t="s">
        <v>31</v>
      </c>
      <c r="D1372">
        <v>2</v>
      </c>
      <c r="G1372" s="30">
        <f>Table132[[#This Row],[nb win]]/Table132[[#This Row],[nb play]]</f>
        <v>0</v>
      </c>
      <c r="H1372" t="str">
        <f>MID(Table132[[#This Row],[ÉTAT]],VALUE(RIGHT(Table132[[#This Row],[next move]],1))+1+VALUE(LEFT(Table132[[#This Row],[next move]],1))*3,1)</f>
        <v>V</v>
      </c>
      <c r="I1372" t="str">
        <f>Table132[[#This Row],[ÉTAT]]&amp;Table132[[#This Row],[next move]]</f>
        <v>VVEMVVVEV22</v>
      </c>
    </row>
    <row r="1373" spans="2:9" x14ac:dyDescent="0.25">
      <c r="B1373" t="s">
        <v>3089</v>
      </c>
      <c r="C1373" s="22" t="s">
        <v>24</v>
      </c>
      <c r="D1373">
        <v>1</v>
      </c>
      <c r="E1373">
        <v>1</v>
      </c>
      <c r="G1373" s="31">
        <f>Table132[[#This Row],[nb win]]/Table132[[#This Row],[nb play]]</f>
        <v>1</v>
      </c>
      <c r="H1373" t="str">
        <f>MID(Table132[[#This Row],[ÉTAT]],VALUE(RIGHT(Table132[[#This Row],[next move]],1))+1+VALUE(LEFT(Table132[[#This Row],[next move]],1))*3,1)</f>
        <v>V</v>
      </c>
      <c r="I1373" t="str">
        <f>Table132[[#This Row],[ÉTAT]]&amp;Table132[[#This Row],[next move]]</f>
        <v>VVEMVVVEM00</v>
      </c>
    </row>
    <row r="1374" spans="2:9" x14ac:dyDescent="0.25">
      <c r="B1374" t="s">
        <v>2414</v>
      </c>
      <c r="C1374" s="22" t="s">
        <v>26</v>
      </c>
      <c r="D1374">
        <v>1</v>
      </c>
      <c r="G1374" s="25">
        <f>Table132[[#This Row],[nb win]]/Table132[[#This Row],[nb play]]</f>
        <v>0</v>
      </c>
      <c r="H1374" t="str">
        <f>MID(Table132[[#This Row],[ÉTAT]],VALUE(RIGHT(Table132[[#This Row],[next move]],1))+1+VALUE(LEFT(Table132[[#This Row],[next move]],1))*3,1)</f>
        <v>V</v>
      </c>
      <c r="I1374" t="str">
        <f>Table132[[#This Row],[ÉTAT]]&amp;Table132[[#This Row],[next move]]</f>
        <v>VVEMVVMVE01</v>
      </c>
    </row>
    <row r="1375" spans="2:9" x14ac:dyDescent="0.25">
      <c r="B1375" t="s">
        <v>2414</v>
      </c>
      <c r="C1375" s="22" t="s">
        <v>28</v>
      </c>
      <c r="D1375">
        <v>1</v>
      </c>
      <c r="G1375" s="25">
        <f>Table132[[#This Row],[nb win]]/Table132[[#This Row],[nb play]]</f>
        <v>0</v>
      </c>
      <c r="H1375" t="str">
        <f>MID(Table132[[#This Row],[ÉTAT]],VALUE(RIGHT(Table132[[#This Row],[next move]],1))+1+VALUE(LEFT(Table132[[#This Row],[next move]],1))*3,1)</f>
        <v>V</v>
      </c>
      <c r="I1375" t="str">
        <f>Table132[[#This Row],[ÉTAT]]&amp;Table132[[#This Row],[next move]]</f>
        <v>VVEMVVMVE12</v>
      </c>
    </row>
    <row r="1376" spans="2:9" x14ac:dyDescent="0.25">
      <c r="B1376" t="s">
        <v>2414</v>
      </c>
      <c r="C1376" s="22" t="s">
        <v>22</v>
      </c>
      <c r="D1376">
        <v>1</v>
      </c>
      <c r="G1376" s="25">
        <f>Table132[[#This Row],[nb win]]/Table132[[#This Row],[nb play]]</f>
        <v>0</v>
      </c>
      <c r="H1376" t="str">
        <f>MID(Table132[[#This Row],[ÉTAT]],VALUE(RIGHT(Table132[[#This Row],[next move]],1))+1+VALUE(LEFT(Table132[[#This Row],[next move]],1))*3,1)</f>
        <v>V</v>
      </c>
      <c r="I1376" t="str">
        <f>Table132[[#This Row],[ÉTAT]]&amp;Table132[[#This Row],[next move]]</f>
        <v>VVEMVVMVE21</v>
      </c>
    </row>
    <row r="1377" spans="2:9" x14ac:dyDescent="0.25">
      <c r="B1377" t="s">
        <v>1479</v>
      </c>
      <c r="C1377" s="22" t="s">
        <v>24</v>
      </c>
      <c r="D1377">
        <v>7</v>
      </c>
      <c r="E1377">
        <v>7</v>
      </c>
      <c r="G1377" s="31">
        <f>Table132[[#This Row],[nb win]]/Table132[[#This Row],[nb play]]</f>
        <v>1</v>
      </c>
      <c r="H1377" t="str">
        <f>MID(Table132[[#This Row],[ÉTAT]],VALUE(RIGHT(Table132[[#This Row],[next move]],1))+1+VALUE(LEFT(Table132[[#This Row],[next move]],1))*3,1)</f>
        <v>V</v>
      </c>
      <c r="I1377" t="str">
        <f>Table132[[#This Row],[ÉTAT]]&amp;Table132[[#This Row],[next move]]</f>
        <v>VVEMVVMEV00</v>
      </c>
    </row>
    <row r="1378" spans="2:9" x14ac:dyDescent="0.25">
      <c r="B1378" t="s">
        <v>1812</v>
      </c>
      <c r="C1378" s="22" t="s">
        <v>24</v>
      </c>
      <c r="D1378">
        <v>1</v>
      </c>
      <c r="E1378">
        <v>1</v>
      </c>
      <c r="G1378" s="25">
        <f>Table132[[#This Row],[nb win]]/Table132[[#This Row],[nb play]]</f>
        <v>1</v>
      </c>
      <c r="H1378" t="str">
        <f>MID(Table132[[#This Row],[ÉTAT]],VALUE(RIGHT(Table132[[#This Row],[next move]],1))+1+VALUE(LEFT(Table132[[#This Row],[next move]],1))*3,1)</f>
        <v>V</v>
      </c>
      <c r="I1378" t="str">
        <f>Table132[[#This Row],[ÉTAT]]&amp;Table132[[#This Row],[next move]]</f>
        <v>VVEMVVMEE00</v>
      </c>
    </row>
    <row r="1379" spans="2:9" x14ac:dyDescent="0.25">
      <c r="B1379" t="s">
        <v>72</v>
      </c>
      <c r="C1379" s="22" t="s">
        <v>26</v>
      </c>
      <c r="D1379">
        <v>4</v>
      </c>
      <c r="E1379">
        <v>1</v>
      </c>
      <c r="G1379" s="31">
        <f>Table132[[#This Row],[nb win]]/Table132[[#This Row],[nb play]]</f>
        <v>0.25</v>
      </c>
      <c r="H1379" t="str">
        <f>MID(Table132[[#This Row],[ÉTAT]],VALUE(RIGHT(Table132[[#This Row],[next move]],1))+1+VALUE(LEFT(Table132[[#This Row],[next move]],1))*3,1)</f>
        <v>V</v>
      </c>
      <c r="I1379" t="str">
        <f>Table132[[#This Row],[ÉTAT]]&amp;Table132[[#This Row],[next move]]</f>
        <v>VVEMVVEVV01</v>
      </c>
    </row>
    <row r="1380" spans="2:9" x14ac:dyDescent="0.25">
      <c r="B1380" t="s">
        <v>72</v>
      </c>
      <c r="C1380" s="22" t="s">
        <v>29</v>
      </c>
      <c r="D1380">
        <v>2</v>
      </c>
      <c r="E1380">
        <v>2</v>
      </c>
      <c r="G1380" s="25">
        <f>Table132[[#This Row],[nb win]]/Table132[[#This Row],[nb play]]</f>
        <v>1</v>
      </c>
      <c r="H1380" t="str">
        <f>MID(Table132[[#This Row],[ÉTAT]],VALUE(RIGHT(Table132[[#This Row],[next move]],1))+1+VALUE(LEFT(Table132[[#This Row],[next move]],1))*3,1)</f>
        <v>V</v>
      </c>
      <c r="I1380" t="str">
        <f>Table132[[#This Row],[ÉTAT]]&amp;Table132[[#This Row],[next move]]</f>
        <v>VVEMVVEVV11</v>
      </c>
    </row>
    <row r="1381" spans="2:9" x14ac:dyDescent="0.25">
      <c r="B1381" t="s">
        <v>72</v>
      </c>
      <c r="C1381" s="22" t="s">
        <v>28</v>
      </c>
      <c r="D1381">
        <v>5</v>
      </c>
      <c r="E1381">
        <v>3</v>
      </c>
      <c r="G1381" s="30">
        <f>Table132[[#This Row],[nb win]]/Table132[[#This Row],[nb play]]</f>
        <v>0.6</v>
      </c>
      <c r="H1381" t="str">
        <f>MID(Table132[[#This Row],[ÉTAT]],VALUE(RIGHT(Table132[[#This Row],[next move]],1))+1+VALUE(LEFT(Table132[[#This Row],[next move]],1))*3,1)</f>
        <v>V</v>
      </c>
      <c r="I1381" t="str">
        <f>Table132[[#This Row],[ÉTAT]]&amp;Table132[[#This Row],[next move]]</f>
        <v>VVEMVVEVV12</v>
      </c>
    </row>
    <row r="1382" spans="2:9" x14ac:dyDescent="0.25">
      <c r="B1382" t="s">
        <v>72</v>
      </c>
      <c r="C1382" s="22" t="s">
        <v>22</v>
      </c>
      <c r="D1382">
        <v>5</v>
      </c>
      <c r="E1382">
        <v>1</v>
      </c>
      <c r="G1382" s="30">
        <f>Table132[[#This Row],[nb win]]/Table132[[#This Row],[nb play]]</f>
        <v>0.2</v>
      </c>
      <c r="H1382" t="str">
        <f>MID(Table132[[#This Row],[ÉTAT]],VALUE(RIGHT(Table132[[#This Row],[next move]],1))+1+VALUE(LEFT(Table132[[#This Row],[next move]],1))*3,1)</f>
        <v>V</v>
      </c>
      <c r="I1382" t="str">
        <f>Table132[[#This Row],[ÉTAT]]&amp;Table132[[#This Row],[next move]]</f>
        <v>VVEMVVEVV21</v>
      </c>
    </row>
    <row r="1383" spans="2:9" x14ac:dyDescent="0.25">
      <c r="B1383" t="s">
        <v>72</v>
      </c>
      <c r="C1383" s="22" t="s">
        <v>31</v>
      </c>
      <c r="D1383">
        <v>1</v>
      </c>
      <c r="G1383" s="25">
        <f>Table132[[#This Row],[nb win]]/Table132[[#This Row],[nb play]]</f>
        <v>0</v>
      </c>
      <c r="H1383" t="str">
        <f>MID(Table132[[#This Row],[ÉTAT]],VALUE(RIGHT(Table132[[#This Row],[next move]],1))+1+VALUE(LEFT(Table132[[#This Row],[next move]],1))*3,1)</f>
        <v>V</v>
      </c>
      <c r="I1383" t="str">
        <f>Table132[[#This Row],[ÉTAT]]&amp;Table132[[#This Row],[next move]]</f>
        <v>VVEMVVEVV22</v>
      </c>
    </row>
    <row r="1384" spans="2:9" x14ac:dyDescent="0.25">
      <c r="B1384" t="s">
        <v>1124</v>
      </c>
      <c r="C1384" s="22" t="s">
        <v>28</v>
      </c>
      <c r="D1384">
        <v>1</v>
      </c>
      <c r="E1384">
        <v>1</v>
      </c>
      <c r="G1384" s="25">
        <f>Table132[[#This Row],[nb win]]/Table132[[#This Row],[nb play]]</f>
        <v>1</v>
      </c>
      <c r="H1384" t="str">
        <f>MID(Table132[[#This Row],[ÉTAT]],VALUE(RIGHT(Table132[[#This Row],[next move]],1))+1+VALUE(LEFT(Table132[[#This Row],[next move]],1))*3,1)</f>
        <v>V</v>
      </c>
      <c r="I1384" t="str">
        <f>Table132[[#This Row],[ÉTAT]]&amp;Table132[[#This Row],[next move]]</f>
        <v>VVEMVVEVM12</v>
      </c>
    </row>
    <row r="1385" spans="2:9" x14ac:dyDescent="0.25">
      <c r="B1385" t="s">
        <v>1387</v>
      </c>
      <c r="C1385" s="22" t="s">
        <v>24</v>
      </c>
      <c r="D1385">
        <v>1</v>
      </c>
      <c r="G1385" s="30">
        <f>Table132[[#This Row],[nb win]]/Table132[[#This Row],[nb play]]</f>
        <v>0</v>
      </c>
      <c r="H1385" t="str">
        <f>MID(Table132[[#This Row],[ÉTAT]],VALUE(RIGHT(Table132[[#This Row],[next move]],1))+1+VALUE(LEFT(Table132[[#This Row],[next move]],1))*3,1)</f>
        <v>V</v>
      </c>
      <c r="I1385" t="str">
        <f>Table132[[#This Row],[ÉTAT]]&amp;Table132[[#This Row],[next move]]</f>
        <v>VVEMVVEMV00</v>
      </c>
    </row>
    <row r="1386" spans="2:9" x14ac:dyDescent="0.25">
      <c r="B1386" t="s">
        <v>1387</v>
      </c>
      <c r="C1386" s="22" t="s">
        <v>26</v>
      </c>
      <c r="D1386">
        <v>2</v>
      </c>
      <c r="G1386" s="25">
        <f>Table132[[#This Row],[nb win]]/Table132[[#This Row],[nb play]]</f>
        <v>0</v>
      </c>
      <c r="H1386" t="str">
        <f>MID(Table132[[#This Row],[ÉTAT]],VALUE(RIGHT(Table132[[#This Row],[next move]],1))+1+VALUE(LEFT(Table132[[#This Row],[next move]],1))*3,1)</f>
        <v>V</v>
      </c>
      <c r="I1386" t="str">
        <f>Table132[[#This Row],[ÉTAT]]&amp;Table132[[#This Row],[next move]]</f>
        <v>VVEMVVEMV01</v>
      </c>
    </row>
    <row r="1387" spans="2:9" x14ac:dyDescent="0.25">
      <c r="B1387" t="s">
        <v>1387</v>
      </c>
      <c r="C1387" s="22" t="s">
        <v>29</v>
      </c>
      <c r="D1387">
        <v>4</v>
      </c>
      <c r="E1387">
        <v>3</v>
      </c>
      <c r="G1387" s="31">
        <f>Table132[[#This Row],[nb win]]/Table132[[#This Row],[nb play]]</f>
        <v>0.75</v>
      </c>
      <c r="H1387" t="str">
        <f>MID(Table132[[#This Row],[ÉTAT]],VALUE(RIGHT(Table132[[#This Row],[next move]],1))+1+VALUE(LEFT(Table132[[#This Row],[next move]],1))*3,1)</f>
        <v>V</v>
      </c>
      <c r="I1387" t="str">
        <f>Table132[[#This Row],[ÉTAT]]&amp;Table132[[#This Row],[next move]]</f>
        <v>VVEMVVEMV11</v>
      </c>
    </row>
    <row r="1388" spans="2:9" x14ac:dyDescent="0.25">
      <c r="B1388" t="s">
        <v>1387</v>
      </c>
      <c r="C1388" s="22" t="s">
        <v>28</v>
      </c>
      <c r="D1388">
        <v>1</v>
      </c>
      <c r="E1388">
        <v>1</v>
      </c>
      <c r="G1388" s="31">
        <f>Table132[[#This Row],[nb win]]/Table132[[#This Row],[nb play]]</f>
        <v>1</v>
      </c>
      <c r="H1388" t="str">
        <f>MID(Table132[[#This Row],[ÉTAT]],VALUE(RIGHT(Table132[[#This Row],[next move]],1))+1+VALUE(LEFT(Table132[[#This Row],[next move]],1))*3,1)</f>
        <v>V</v>
      </c>
      <c r="I1388" t="str">
        <f>Table132[[#This Row],[ÉTAT]]&amp;Table132[[#This Row],[next move]]</f>
        <v>VVEMVVEMV12</v>
      </c>
    </row>
    <row r="1389" spans="2:9" x14ac:dyDescent="0.25">
      <c r="B1389" t="s">
        <v>1387</v>
      </c>
      <c r="C1389" s="22" t="s">
        <v>31</v>
      </c>
      <c r="D1389">
        <v>1</v>
      </c>
      <c r="G1389" s="30">
        <f>Table132[[#This Row],[nb win]]/Table132[[#This Row],[nb play]]</f>
        <v>0</v>
      </c>
      <c r="H1389" t="str">
        <f>MID(Table132[[#This Row],[ÉTAT]],VALUE(RIGHT(Table132[[#This Row],[next move]],1))+1+VALUE(LEFT(Table132[[#This Row],[next move]],1))*3,1)</f>
        <v>V</v>
      </c>
      <c r="I1389" t="str">
        <f>Table132[[#This Row],[ÉTAT]]&amp;Table132[[#This Row],[next move]]</f>
        <v>VVEMVVEMV22</v>
      </c>
    </row>
    <row r="1390" spans="2:9" x14ac:dyDescent="0.25">
      <c r="B1390" t="s">
        <v>69</v>
      </c>
      <c r="C1390" s="22" t="s">
        <v>24</v>
      </c>
      <c r="D1390">
        <v>4</v>
      </c>
      <c r="G1390" s="30">
        <f>Table132[[#This Row],[nb win]]/Table132[[#This Row],[nb play]]</f>
        <v>0</v>
      </c>
      <c r="H1390" t="str">
        <f>MID(Table132[[#This Row],[ÉTAT]],VALUE(RIGHT(Table132[[#This Row],[next move]],1))+1+VALUE(LEFT(Table132[[#This Row],[next move]],1))*3,1)</f>
        <v>V</v>
      </c>
      <c r="I1390" t="str">
        <f>Table132[[#This Row],[ÉTAT]]&amp;Table132[[#This Row],[next move]]</f>
        <v>VVEMVVEME00</v>
      </c>
    </row>
    <row r="1391" spans="2:9" x14ac:dyDescent="0.25">
      <c r="B1391" t="s">
        <v>69</v>
      </c>
      <c r="C1391" s="22" t="s">
        <v>26</v>
      </c>
      <c r="D1391">
        <v>2</v>
      </c>
      <c r="E1391">
        <v>1</v>
      </c>
      <c r="G1391" s="31">
        <f>Table132[[#This Row],[nb win]]/Table132[[#This Row],[nb play]]</f>
        <v>0.5</v>
      </c>
      <c r="H1391" t="str">
        <f>MID(Table132[[#This Row],[ÉTAT]],VALUE(RIGHT(Table132[[#This Row],[next move]],1))+1+VALUE(LEFT(Table132[[#This Row],[next move]],1))*3,1)</f>
        <v>V</v>
      </c>
      <c r="I1391" t="str">
        <f>Table132[[#This Row],[ÉTAT]]&amp;Table132[[#This Row],[next move]]</f>
        <v>VVEMVVEME01</v>
      </c>
    </row>
    <row r="1392" spans="2:9" x14ac:dyDescent="0.25">
      <c r="B1392" t="s">
        <v>69</v>
      </c>
      <c r="C1392" s="22" t="s">
        <v>29</v>
      </c>
      <c r="D1392">
        <v>2</v>
      </c>
      <c r="E1392">
        <v>1</v>
      </c>
      <c r="G1392" s="25">
        <f>Table132[[#This Row],[nb win]]/Table132[[#This Row],[nb play]]</f>
        <v>0.5</v>
      </c>
      <c r="H1392" t="str">
        <f>MID(Table132[[#This Row],[ÉTAT]],VALUE(RIGHT(Table132[[#This Row],[next move]],1))+1+VALUE(LEFT(Table132[[#This Row],[next move]],1))*3,1)</f>
        <v>V</v>
      </c>
      <c r="I1392" t="str">
        <f>Table132[[#This Row],[ÉTAT]]&amp;Table132[[#This Row],[next move]]</f>
        <v>VVEMVVEME11</v>
      </c>
    </row>
    <row r="1393" spans="2:9" x14ac:dyDescent="0.25">
      <c r="B1393" t="s">
        <v>69</v>
      </c>
      <c r="C1393" s="22" t="s">
        <v>28</v>
      </c>
      <c r="D1393">
        <v>2</v>
      </c>
      <c r="G1393" s="30">
        <f>Table132[[#This Row],[nb win]]/Table132[[#This Row],[nb play]]</f>
        <v>0</v>
      </c>
      <c r="H1393" t="str">
        <f>MID(Table132[[#This Row],[ÉTAT]],VALUE(RIGHT(Table132[[#This Row],[next move]],1))+1+VALUE(LEFT(Table132[[#This Row],[next move]],1))*3,1)</f>
        <v>V</v>
      </c>
      <c r="I1393" t="str">
        <f>Table132[[#This Row],[ÉTAT]]&amp;Table132[[#This Row],[next move]]</f>
        <v>VVEMVVEME12</v>
      </c>
    </row>
    <row r="1394" spans="2:9" x14ac:dyDescent="0.25">
      <c r="B1394" t="s">
        <v>1538</v>
      </c>
      <c r="C1394" s="22" t="s">
        <v>24</v>
      </c>
      <c r="D1394">
        <v>2</v>
      </c>
      <c r="G1394" s="30">
        <f>Table132[[#This Row],[nb win]]/Table132[[#This Row],[nb play]]</f>
        <v>0</v>
      </c>
      <c r="H1394" t="str">
        <f>MID(Table132[[#This Row],[ÉTAT]],VALUE(RIGHT(Table132[[#This Row],[next move]],1))+1+VALUE(LEFT(Table132[[#This Row],[next move]],1))*3,1)</f>
        <v>V</v>
      </c>
      <c r="I1394" t="str">
        <f>Table132[[#This Row],[ÉTAT]]&amp;Table132[[#This Row],[next move]]</f>
        <v>VVEMVVEEM00</v>
      </c>
    </row>
    <row r="1395" spans="2:9" x14ac:dyDescent="0.25">
      <c r="B1395" t="s">
        <v>1538</v>
      </c>
      <c r="C1395" s="22" t="s">
        <v>26</v>
      </c>
      <c r="D1395">
        <v>2</v>
      </c>
      <c r="G1395" s="25">
        <f>Table132[[#This Row],[nb win]]/Table132[[#This Row],[nb play]]</f>
        <v>0</v>
      </c>
      <c r="H1395" t="str">
        <f>MID(Table132[[#This Row],[ÉTAT]],VALUE(RIGHT(Table132[[#This Row],[next move]],1))+1+VALUE(LEFT(Table132[[#This Row],[next move]],1))*3,1)</f>
        <v>V</v>
      </c>
      <c r="I1395" t="str">
        <f>Table132[[#This Row],[ÉTAT]]&amp;Table132[[#This Row],[next move]]</f>
        <v>VVEMVVEEM01</v>
      </c>
    </row>
    <row r="1396" spans="2:9" x14ac:dyDescent="0.25">
      <c r="B1396" t="s">
        <v>1538</v>
      </c>
      <c r="C1396" s="22" t="s">
        <v>29</v>
      </c>
      <c r="D1396">
        <v>1</v>
      </c>
      <c r="E1396">
        <v>1</v>
      </c>
      <c r="G1396" s="25">
        <f>Table132[[#This Row],[nb win]]/Table132[[#This Row],[nb play]]</f>
        <v>1</v>
      </c>
      <c r="H1396" t="str">
        <f>MID(Table132[[#This Row],[ÉTAT]],VALUE(RIGHT(Table132[[#This Row],[next move]],1))+1+VALUE(LEFT(Table132[[#This Row],[next move]],1))*3,1)</f>
        <v>V</v>
      </c>
      <c r="I1396" t="str">
        <f>Table132[[#This Row],[ÉTAT]]&amp;Table132[[#This Row],[next move]]</f>
        <v>VVEMVVEEM11</v>
      </c>
    </row>
    <row r="1397" spans="2:9" x14ac:dyDescent="0.25">
      <c r="B1397" t="s">
        <v>1518</v>
      </c>
      <c r="C1397" s="22" t="s">
        <v>26</v>
      </c>
      <c r="D1397">
        <v>1</v>
      </c>
      <c r="E1397">
        <v>1</v>
      </c>
      <c r="G1397" s="25">
        <f>Table132[[#This Row],[nb win]]/Table132[[#This Row],[nb play]]</f>
        <v>1</v>
      </c>
      <c r="H1397" t="str">
        <f>MID(Table132[[#This Row],[ÉTAT]],VALUE(RIGHT(Table132[[#This Row],[next move]],1))+1+VALUE(LEFT(Table132[[#This Row],[next move]],1))*3,1)</f>
        <v>V</v>
      </c>
      <c r="I1397" t="str">
        <f>Table132[[#This Row],[ÉTAT]]&amp;Table132[[#This Row],[next move]]</f>
        <v>VVEMVMVVE01</v>
      </c>
    </row>
    <row r="1398" spans="2:9" x14ac:dyDescent="0.25">
      <c r="B1398" t="s">
        <v>1518</v>
      </c>
      <c r="C1398" s="22" t="s">
        <v>22</v>
      </c>
      <c r="D1398">
        <v>1</v>
      </c>
      <c r="G1398" s="25">
        <f>Table132[[#This Row],[nb win]]/Table132[[#This Row],[nb play]]</f>
        <v>0</v>
      </c>
      <c r="H1398" t="str">
        <f>MID(Table132[[#This Row],[ÉTAT]],VALUE(RIGHT(Table132[[#This Row],[next move]],1))+1+VALUE(LEFT(Table132[[#This Row],[next move]],1))*3,1)</f>
        <v>V</v>
      </c>
      <c r="I1398" t="str">
        <f>Table132[[#This Row],[ÉTAT]]&amp;Table132[[#This Row],[next move]]</f>
        <v>VVEMVMVVE21</v>
      </c>
    </row>
    <row r="1399" spans="2:9" x14ac:dyDescent="0.25">
      <c r="B1399" t="s">
        <v>1009</v>
      </c>
      <c r="C1399" s="22" t="s">
        <v>35</v>
      </c>
      <c r="D1399">
        <v>3</v>
      </c>
      <c r="E1399">
        <v>3</v>
      </c>
      <c r="G1399" s="31">
        <f>Table132[[#This Row],[nb win]]/Table132[[#This Row],[nb play]]</f>
        <v>1</v>
      </c>
      <c r="H1399" t="str">
        <f>MID(Table132[[#This Row],[ÉTAT]],VALUE(RIGHT(Table132[[#This Row],[next move]],1))+1+VALUE(LEFT(Table132[[#This Row],[next move]],1))*3,1)</f>
        <v>V</v>
      </c>
      <c r="I1399" t="str">
        <f>Table132[[#This Row],[ÉTAT]]&amp;Table132[[#This Row],[next move]]</f>
        <v>VVEMVMVEV20</v>
      </c>
    </row>
    <row r="1400" spans="2:9" x14ac:dyDescent="0.25">
      <c r="B1400" t="s">
        <v>1009</v>
      </c>
      <c r="C1400" s="22" t="s">
        <v>31</v>
      </c>
      <c r="D1400">
        <v>3</v>
      </c>
      <c r="G1400" s="25">
        <f>Table132[[#This Row],[nb win]]/Table132[[#This Row],[nb play]]</f>
        <v>0</v>
      </c>
      <c r="H1400" t="str">
        <f>MID(Table132[[#This Row],[ÉTAT]],VALUE(RIGHT(Table132[[#This Row],[next move]],1))+1+VALUE(LEFT(Table132[[#This Row],[next move]],1))*3,1)</f>
        <v>V</v>
      </c>
      <c r="I1400" t="str">
        <f>Table132[[#This Row],[ÉTAT]]&amp;Table132[[#This Row],[next move]]</f>
        <v>VVEMVMVEV22</v>
      </c>
    </row>
    <row r="1401" spans="2:9" x14ac:dyDescent="0.25">
      <c r="B1401" t="s">
        <v>630</v>
      </c>
      <c r="C1401" s="22" t="s">
        <v>29</v>
      </c>
      <c r="D1401">
        <v>4</v>
      </c>
      <c r="E1401">
        <v>4</v>
      </c>
      <c r="G1401" s="31">
        <f>Table132[[#This Row],[nb win]]/Table132[[#This Row],[nb play]]</f>
        <v>1</v>
      </c>
      <c r="H1401" t="str">
        <f>MID(Table132[[#This Row],[ÉTAT]],VALUE(RIGHT(Table132[[#This Row],[next move]],1))+1+VALUE(LEFT(Table132[[#This Row],[next move]],1))*3,1)</f>
        <v>V</v>
      </c>
      <c r="I1401" t="str">
        <f>Table132[[#This Row],[ÉTAT]]&amp;Table132[[#This Row],[next move]]</f>
        <v>VVEMVMVEE11</v>
      </c>
    </row>
    <row r="1402" spans="2:9" x14ac:dyDescent="0.25">
      <c r="B1402" t="s">
        <v>2093</v>
      </c>
      <c r="C1402" s="22" t="s">
        <v>29</v>
      </c>
      <c r="D1402">
        <v>6</v>
      </c>
      <c r="E1402">
        <v>6</v>
      </c>
      <c r="G1402" s="31">
        <f>Table132[[#This Row],[nb win]]/Table132[[#This Row],[nb play]]</f>
        <v>1</v>
      </c>
      <c r="H1402" t="str">
        <f>MID(Table132[[#This Row],[ÉTAT]],VALUE(RIGHT(Table132[[#This Row],[next move]],1))+1+VALUE(LEFT(Table132[[#This Row],[next move]],1))*3,1)</f>
        <v>V</v>
      </c>
      <c r="I1402" t="str">
        <f>Table132[[#This Row],[ÉTAT]]&amp;Table132[[#This Row],[next move]]</f>
        <v>VVEMVMMEE11</v>
      </c>
    </row>
    <row r="1403" spans="2:9" x14ac:dyDescent="0.25">
      <c r="B1403" t="s">
        <v>1121</v>
      </c>
      <c r="C1403" s="22" t="s">
        <v>29</v>
      </c>
      <c r="D1403">
        <v>5</v>
      </c>
      <c r="E1403">
        <v>5</v>
      </c>
      <c r="G1403" s="31">
        <f>Table132[[#This Row],[nb win]]/Table132[[#This Row],[nb play]]</f>
        <v>1</v>
      </c>
      <c r="H1403" t="str">
        <f>MID(Table132[[#This Row],[ÉTAT]],VALUE(RIGHT(Table132[[#This Row],[next move]],1))+1+VALUE(LEFT(Table132[[#This Row],[next move]],1))*3,1)</f>
        <v>V</v>
      </c>
      <c r="I1403" t="str">
        <f>Table132[[#This Row],[ÉTAT]]&amp;Table132[[#This Row],[next move]]</f>
        <v>VVEMVMEVV11</v>
      </c>
    </row>
    <row r="1404" spans="2:9" x14ac:dyDescent="0.25">
      <c r="B1404" t="s">
        <v>3508</v>
      </c>
      <c r="C1404" s="22" t="s">
        <v>24</v>
      </c>
      <c r="D1404">
        <v>1</v>
      </c>
      <c r="E1404">
        <v>1</v>
      </c>
      <c r="G1404" s="31">
        <f>Table132[[#This Row],[nb win]]/Table132[[#This Row],[nb play]]</f>
        <v>1</v>
      </c>
      <c r="H1404" t="str">
        <f>MID(Table132[[#This Row],[ÉTAT]],VALUE(RIGHT(Table132[[#This Row],[next move]],1))+1+VALUE(LEFT(Table132[[#This Row],[next move]],1))*3,1)</f>
        <v>V</v>
      </c>
      <c r="I1404" t="str">
        <f>Table132[[#This Row],[ÉTAT]]&amp;Table132[[#This Row],[next move]]</f>
        <v>VVEMVMEME00</v>
      </c>
    </row>
    <row r="1405" spans="2:9" x14ac:dyDescent="0.25">
      <c r="B1405" t="s">
        <v>3074</v>
      </c>
      <c r="C1405" s="22" t="s">
        <v>29</v>
      </c>
      <c r="D1405">
        <v>1</v>
      </c>
      <c r="E1405">
        <v>1</v>
      </c>
      <c r="G1405" s="31">
        <f>Table132[[#This Row],[nb win]]/Table132[[#This Row],[nb play]]</f>
        <v>1</v>
      </c>
      <c r="H1405" t="str">
        <f>MID(Table132[[#This Row],[ÉTAT]],VALUE(RIGHT(Table132[[#This Row],[next move]],1))+1+VALUE(LEFT(Table132[[#This Row],[next move]],1))*3,1)</f>
        <v>V</v>
      </c>
      <c r="I1405" t="str">
        <f>Table132[[#This Row],[ÉTAT]]&amp;Table132[[#This Row],[next move]]</f>
        <v>VVEMVMEEV11</v>
      </c>
    </row>
    <row r="1406" spans="2:9" x14ac:dyDescent="0.25">
      <c r="B1406" t="s">
        <v>1126</v>
      </c>
      <c r="C1406" s="22" t="s">
        <v>29</v>
      </c>
      <c r="D1406">
        <v>2</v>
      </c>
      <c r="E1406">
        <v>2</v>
      </c>
      <c r="G1406" s="25">
        <f>Table132[[#This Row],[nb win]]/Table132[[#This Row],[nb play]]</f>
        <v>1</v>
      </c>
      <c r="H1406" t="str">
        <f>MID(Table132[[#This Row],[ÉTAT]],VALUE(RIGHT(Table132[[#This Row],[next move]],1))+1+VALUE(LEFT(Table132[[#This Row],[next move]],1))*3,1)</f>
        <v>V</v>
      </c>
      <c r="I1406" t="str">
        <f>Table132[[#This Row],[ÉTAT]]&amp;Table132[[#This Row],[next move]]</f>
        <v>VVEMVMEEM11</v>
      </c>
    </row>
    <row r="1407" spans="2:9" x14ac:dyDescent="0.25">
      <c r="B1407" t="s">
        <v>391</v>
      </c>
      <c r="C1407" s="22" t="s">
        <v>24</v>
      </c>
      <c r="D1407">
        <v>3</v>
      </c>
      <c r="E1407">
        <v>1</v>
      </c>
      <c r="G1407" s="30">
        <f>Table132[[#This Row],[nb win]]/Table132[[#This Row],[nb play]]</f>
        <v>0.33333333333333331</v>
      </c>
      <c r="H1407" t="str">
        <f>MID(Table132[[#This Row],[ÉTAT]],VALUE(RIGHT(Table132[[#This Row],[next move]],1))+1+VALUE(LEFT(Table132[[#This Row],[next move]],1))*3,1)</f>
        <v>V</v>
      </c>
      <c r="I1407" t="str">
        <f>Table132[[#This Row],[ÉTAT]]&amp;Table132[[#This Row],[next move]]</f>
        <v>VVEMVEVVV00</v>
      </c>
    </row>
    <row r="1408" spans="2:9" x14ac:dyDescent="0.25">
      <c r="B1408" t="s">
        <v>391</v>
      </c>
      <c r="C1408" s="22" t="s">
        <v>26</v>
      </c>
      <c r="D1408">
        <v>3</v>
      </c>
      <c r="G1408" s="30">
        <f>Table132[[#This Row],[nb win]]/Table132[[#This Row],[nb play]]</f>
        <v>0</v>
      </c>
      <c r="H1408" t="str">
        <f>MID(Table132[[#This Row],[ÉTAT]],VALUE(RIGHT(Table132[[#This Row],[next move]],1))+1+VALUE(LEFT(Table132[[#This Row],[next move]],1))*3,1)</f>
        <v>V</v>
      </c>
      <c r="I1408" t="str">
        <f>Table132[[#This Row],[ÉTAT]]&amp;Table132[[#This Row],[next move]]</f>
        <v>VVEMVEVVV01</v>
      </c>
    </row>
    <row r="1409" spans="2:9" x14ac:dyDescent="0.25">
      <c r="B1409" t="s">
        <v>391</v>
      </c>
      <c r="C1409" s="22" t="s">
        <v>29</v>
      </c>
      <c r="D1409">
        <v>1</v>
      </c>
      <c r="G1409" s="25">
        <f>Table132[[#This Row],[nb win]]/Table132[[#This Row],[nb play]]</f>
        <v>0</v>
      </c>
      <c r="H1409" t="str">
        <f>MID(Table132[[#This Row],[ÉTAT]],VALUE(RIGHT(Table132[[#This Row],[next move]],1))+1+VALUE(LEFT(Table132[[#This Row],[next move]],1))*3,1)</f>
        <v>V</v>
      </c>
      <c r="I1409" t="str">
        <f>Table132[[#This Row],[ÉTAT]]&amp;Table132[[#This Row],[next move]]</f>
        <v>VVEMVEVVV11</v>
      </c>
    </row>
    <row r="1410" spans="2:9" x14ac:dyDescent="0.25">
      <c r="B1410" t="s">
        <v>391</v>
      </c>
      <c r="C1410" s="22" t="s">
        <v>35</v>
      </c>
      <c r="D1410">
        <v>8</v>
      </c>
      <c r="E1410">
        <v>4</v>
      </c>
      <c r="G1410" s="30">
        <f>Table132[[#This Row],[nb win]]/Table132[[#This Row],[nb play]]</f>
        <v>0.5</v>
      </c>
      <c r="H1410" t="str">
        <f>MID(Table132[[#This Row],[ÉTAT]],VALUE(RIGHT(Table132[[#This Row],[next move]],1))+1+VALUE(LEFT(Table132[[#This Row],[next move]],1))*3,1)</f>
        <v>V</v>
      </c>
      <c r="I1410" t="str">
        <f>Table132[[#This Row],[ÉTAT]]&amp;Table132[[#This Row],[next move]]</f>
        <v>VVEMVEVVV20</v>
      </c>
    </row>
    <row r="1411" spans="2:9" x14ac:dyDescent="0.25">
      <c r="B1411" t="s">
        <v>391</v>
      </c>
      <c r="C1411" s="22" t="s">
        <v>22</v>
      </c>
      <c r="D1411">
        <v>8</v>
      </c>
      <c r="E1411">
        <v>2</v>
      </c>
      <c r="G1411" s="30">
        <f>Table132[[#This Row],[nb win]]/Table132[[#This Row],[nb play]]</f>
        <v>0.25</v>
      </c>
      <c r="H1411" t="str">
        <f>MID(Table132[[#This Row],[ÉTAT]],VALUE(RIGHT(Table132[[#This Row],[next move]],1))+1+VALUE(LEFT(Table132[[#This Row],[next move]],1))*3,1)</f>
        <v>V</v>
      </c>
      <c r="I1411" t="str">
        <f>Table132[[#This Row],[ÉTAT]]&amp;Table132[[#This Row],[next move]]</f>
        <v>VVEMVEVVV21</v>
      </c>
    </row>
    <row r="1412" spans="2:9" x14ac:dyDescent="0.25">
      <c r="B1412" t="s">
        <v>391</v>
      </c>
      <c r="C1412" s="22" t="s">
        <v>31</v>
      </c>
      <c r="D1412">
        <v>2</v>
      </c>
      <c r="G1412" s="30">
        <f>Table132[[#This Row],[nb win]]/Table132[[#This Row],[nb play]]</f>
        <v>0</v>
      </c>
      <c r="H1412" t="str">
        <f>MID(Table132[[#This Row],[ÉTAT]],VALUE(RIGHT(Table132[[#This Row],[next move]],1))+1+VALUE(LEFT(Table132[[#This Row],[next move]],1))*3,1)</f>
        <v>V</v>
      </c>
      <c r="I1412" t="str">
        <f>Table132[[#This Row],[ÉTAT]]&amp;Table132[[#This Row],[next move]]</f>
        <v>VVEMVEVVV22</v>
      </c>
    </row>
    <row r="1413" spans="2:9" x14ac:dyDescent="0.25">
      <c r="B1413" t="s">
        <v>1230</v>
      </c>
      <c r="C1413" s="22" t="s">
        <v>26</v>
      </c>
      <c r="D1413">
        <v>4</v>
      </c>
      <c r="E1413">
        <v>3</v>
      </c>
      <c r="G1413" s="30">
        <f>Table132[[#This Row],[nb win]]/Table132[[#This Row],[nb play]]</f>
        <v>0.75</v>
      </c>
      <c r="H1413" t="str">
        <f>MID(Table132[[#This Row],[ÉTAT]],VALUE(RIGHT(Table132[[#This Row],[next move]],1))+1+VALUE(LEFT(Table132[[#This Row],[next move]],1))*3,1)</f>
        <v>V</v>
      </c>
      <c r="I1413" t="str">
        <f>Table132[[#This Row],[ÉTAT]]&amp;Table132[[#This Row],[next move]]</f>
        <v>VVEMVEVMV01</v>
      </c>
    </row>
    <row r="1414" spans="2:9" x14ac:dyDescent="0.25">
      <c r="B1414" t="s">
        <v>2456</v>
      </c>
      <c r="C1414" s="22" t="s">
        <v>26</v>
      </c>
      <c r="D1414">
        <v>1</v>
      </c>
      <c r="G1414" s="25">
        <f>Table132[[#This Row],[nb win]]/Table132[[#This Row],[nb play]]</f>
        <v>0</v>
      </c>
      <c r="H1414" t="str">
        <f>MID(Table132[[#This Row],[ÉTAT]],VALUE(RIGHT(Table132[[#This Row],[next move]],1))+1+VALUE(LEFT(Table132[[#This Row],[next move]],1))*3,1)</f>
        <v>V</v>
      </c>
      <c r="I1414" t="str">
        <f>Table132[[#This Row],[ÉTAT]]&amp;Table132[[#This Row],[next move]]</f>
        <v>VVEMVEMVV01</v>
      </c>
    </row>
    <row r="1415" spans="2:9" x14ac:dyDescent="0.25">
      <c r="B1415" t="s">
        <v>2456</v>
      </c>
      <c r="C1415" s="22" t="s">
        <v>29</v>
      </c>
      <c r="D1415">
        <v>1</v>
      </c>
      <c r="G1415" s="25">
        <f>Table132[[#This Row],[nb win]]/Table132[[#This Row],[nb play]]</f>
        <v>0</v>
      </c>
      <c r="H1415" t="str">
        <f>MID(Table132[[#This Row],[ÉTAT]],VALUE(RIGHT(Table132[[#This Row],[next move]],1))+1+VALUE(LEFT(Table132[[#This Row],[next move]],1))*3,1)</f>
        <v>V</v>
      </c>
      <c r="I1415" t="str">
        <f>Table132[[#This Row],[ÉTAT]]&amp;Table132[[#This Row],[next move]]</f>
        <v>VVEMVEMVV11</v>
      </c>
    </row>
    <row r="1416" spans="2:9" x14ac:dyDescent="0.25">
      <c r="B1416" t="s">
        <v>2456</v>
      </c>
      <c r="C1416" s="22" t="s">
        <v>22</v>
      </c>
      <c r="D1416">
        <v>1</v>
      </c>
      <c r="E1416">
        <v>1</v>
      </c>
      <c r="G1416" s="25">
        <f>Table132[[#This Row],[nb win]]/Table132[[#This Row],[nb play]]</f>
        <v>1</v>
      </c>
      <c r="H1416" t="str">
        <f>MID(Table132[[#This Row],[ÉTAT]],VALUE(RIGHT(Table132[[#This Row],[next move]],1))+1+VALUE(LEFT(Table132[[#This Row],[next move]],1))*3,1)</f>
        <v>V</v>
      </c>
      <c r="I1416" t="str">
        <f>Table132[[#This Row],[ÉTAT]]&amp;Table132[[#This Row],[next move]]</f>
        <v>VVEMVEMVV21</v>
      </c>
    </row>
    <row r="1417" spans="2:9" x14ac:dyDescent="0.25">
      <c r="B1417" t="s">
        <v>571</v>
      </c>
      <c r="C1417" s="22" t="s">
        <v>24</v>
      </c>
      <c r="D1417">
        <v>1</v>
      </c>
      <c r="E1417">
        <v>1</v>
      </c>
      <c r="G1417" s="25">
        <f>Table132[[#This Row],[nb win]]/Table132[[#This Row],[nb play]]</f>
        <v>1</v>
      </c>
      <c r="H1417" t="str">
        <f>MID(Table132[[#This Row],[ÉTAT]],VALUE(RIGHT(Table132[[#This Row],[next move]],1))+1+VALUE(LEFT(Table132[[#This Row],[next move]],1))*3,1)</f>
        <v>V</v>
      </c>
      <c r="I1417" t="str">
        <f>Table132[[#This Row],[ÉTAT]]&amp;Table132[[#This Row],[next move]]</f>
        <v>VVEMVEMEV00</v>
      </c>
    </row>
    <row r="1418" spans="2:9" x14ac:dyDescent="0.25">
      <c r="B1418" t="s">
        <v>1079</v>
      </c>
      <c r="C1418" s="22" t="s">
        <v>29</v>
      </c>
      <c r="D1418">
        <v>1</v>
      </c>
      <c r="E1418">
        <v>1</v>
      </c>
      <c r="G1418" s="25">
        <f>Table132[[#This Row],[nb win]]/Table132[[#This Row],[nb play]]</f>
        <v>1</v>
      </c>
      <c r="H1418" t="str">
        <f>MID(Table132[[#This Row],[ÉTAT]],VALUE(RIGHT(Table132[[#This Row],[next move]],1))+1+VALUE(LEFT(Table132[[#This Row],[next move]],1))*3,1)</f>
        <v>V</v>
      </c>
      <c r="I1418" t="str">
        <f>Table132[[#This Row],[ÉTAT]]&amp;Table132[[#This Row],[next move]]</f>
        <v>VVEMVEMEM11</v>
      </c>
    </row>
    <row r="1419" spans="2:9" x14ac:dyDescent="0.25">
      <c r="B1419" t="s">
        <v>398</v>
      </c>
      <c r="C1419" s="22" t="s">
        <v>24</v>
      </c>
      <c r="D1419">
        <v>3</v>
      </c>
      <c r="E1419">
        <v>1</v>
      </c>
      <c r="G1419" s="31">
        <f>Table132[[#This Row],[nb win]]/Table132[[#This Row],[nb play]]</f>
        <v>0.33333333333333331</v>
      </c>
      <c r="H1419" t="str">
        <f>MID(Table132[[#This Row],[ÉTAT]],VALUE(RIGHT(Table132[[#This Row],[next move]],1))+1+VALUE(LEFT(Table132[[#This Row],[next move]],1))*3,1)</f>
        <v>V</v>
      </c>
      <c r="I1419" t="str">
        <f>Table132[[#This Row],[ÉTAT]]&amp;Table132[[#This Row],[next move]]</f>
        <v>VVEMVEEVM00</v>
      </c>
    </row>
    <row r="1420" spans="2:9" x14ac:dyDescent="0.25">
      <c r="B1420" t="s">
        <v>398</v>
      </c>
      <c r="C1420" s="22" t="s">
        <v>26</v>
      </c>
      <c r="D1420">
        <v>5</v>
      </c>
      <c r="G1420" s="30">
        <f>Table132[[#This Row],[nb win]]/Table132[[#This Row],[nb play]]</f>
        <v>0</v>
      </c>
      <c r="H1420" t="str">
        <f>MID(Table132[[#This Row],[ÉTAT]],VALUE(RIGHT(Table132[[#This Row],[next move]],1))+1+VALUE(LEFT(Table132[[#This Row],[next move]],1))*3,1)</f>
        <v>V</v>
      </c>
      <c r="I1420" t="str">
        <f>Table132[[#This Row],[ÉTAT]]&amp;Table132[[#This Row],[next move]]</f>
        <v>VVEMVEEVM01</v>
      </c>
    </row>
    <row r="1421" spans="2:9" x14ac:dyDescent="0.25">
      <c r="B1421" t="s">
        <v>398</v>
      </c>
      <c r="C1421" s="22" t="s">
        <v>29</v>
      </c>
      <c r="D1421">
        <v>1</v>
      </c>
      <c r="G1421" s="25">
        <f>Table132[[#This Row],[nb win]]/Table132[[#This Row],[nb play]]</f>
        <v>0</v>
      </c>
      <c r="H1421" t="str">
        <f>MID(Table132[[#This Row],[ÉTAT]],VALUE(RIGHT(Table132[[#This Row],[next move]],1))+1+VALUE(LEFT(Table132[[#This Row],[next move]],1))*3,1)</f>
        <v>V</v>
      </c>
      <c r="I1421" t="str">
        <f>Table132[[#This Row],[ÉTAT]]&amp;Table132[[#This Row],[next move]]</f>
        <v>VVEMVEEVM11</v>
      </c>
    </row>
    <row r="1422" spans="2:9" x14ac:dyDescent="0.25">
      <c r="B1422" t="s">
        <v>398</v>
      </c>
      <c r="C1422" s="22" t="s">
        <v>22</v>
      </c>
      <c r="D1422">
        <v>4</v>
      </c>
      <c r="G1422" s="30">
        <f>Table132[[#This Row],[nb win]]/Table132[[#This Row],[nb play]]</f>
        <v>0</v>
      </c>
      <c r="H1422" t="str">
        <f>MID(Table132[[#This Row],[ÉTAT]],VALUE(RIGHT(Table132[[#This Row],[next move]],1))+1+VALUE(LEFT(Table132[[#This Row],[next move]],1))*3,1)</f>
        <v>V</v>
      </c>
      <c r="I1422" t="str">
        <f>Table132[[#This Row],[ÉTAT]]&amp;Table132[[#This Row],[next move]]</f>
        <v>VVEMVEEVM21</v>
      </c>
    </row>
    <row r="1423" spans="2:9" x14ac:dyDescent="0.25">
      <c r="B1423" t="s">
        <v>49</v>
      </c>
      <c r="C1423" s="22" t="s">
        <v>26</v>
      </c>
      <c r="D1423">
        <v>3</v>
      </c>
      <c r="E1423">
        <v>3</v>
      </c>
      <c r="G1423" s="31">
        <f>Table132[[#This Row],[nb win]]/Table132[[#This Row],[nb play]]</f>
        <v>1</v>
      </c>
      <c r="H1423" t="str">
        <f>MID(Table132[[#This Row],[ÉTAT]],VALUE(RIGHT(Table132[[#This Row],[next move]],1))+1+VALUE(LEFT(Table132[[#This Row],[next move]],1))*3,1)</f>
        <v>V</v>
      </c>
      <c r="I1423" t="str">
        <f>Table132[[#This Row],[ÉTAT]]&amp;Table132[[#This Row],[next move]]</f>
        <v>VVEMMVVVE01</v>
      </c>
    </row>
    <row r="1424" spans="2:9" x14ac:dyDescent="0.25">
      <c r="B1424" t="s">
        <v>49</v>
      </c>
      <c r="C1424" s="22" t="s">
        <v>35</v>
      </c>
      <c r="D1424">
        <v>2</v>
      </c>
      <c r="E1424">
        <v>1</v>
      </c>
      <c r="G1424" s="31">
        <f>Table132[[#This Row],[nb win]]/Table132[[#This Row],[nb play]]</f>
        <v>0.5</v>
      </c>
      <c r="H1424" t="str">
        <f>MID(Table132[[#This Row],[ÉTAT]],VALUE(RIGHT(Table132[[#This Row],[next move]],1))+1+VALUE(LEFT(Table132[[#This Row],[next move]],1))*3,1)</f>
        <v>V</v>
      </c>
      <c r="I1424" t="str">
        <f>Table132[[#This Row],[ÉTAT]]&amp;Table132[[#This Row],[next move]]</f>
        <v>VVEMMVVVE20</v>
      </c>
    </row>
    <row r="1425" spans="2:9" x14ac:dyDescent="0.25">
      <c r="B1425" t="s">
        <v>49</v>
      </c>
      <c r="C1425" s="22" t="s">
        <v>22</v>
      </c>
      <c r="D1425">
        <v>1</v>
      </c>
      <c r="G1425" s="25">
        <f>Table132[[#This Row],[nb win]]/Table132[[#This Row],[nb play]]</f>
        <v>0</v>
      </c>
      <c r="H1425" t="str">
        <f>MID(Table132[[#This Row],[ÉTAT]],VALUE(RIGHT(Table132[[#This Row],[next move]],1))+1+VALUE(LEFT(Table132[[#This Row],[next move]],1))*3,1)</f>
        <v>V</v>
      </c>
      <c r="I1425" t="str">
        <f>Table132[[#This Row],[ÉTAT]]&amp;Table132[[#This Row],[next move]]</f>
        <v>VVEMMVVVE21</v>
      </c>
    </row>
    <row r="1426" spans="2:9" x14ac:dyDescent="0.25">
      <c r="B1426" t="s">
        <v>159</v>
      </c>
      <c r="C1426" s="22" t="s">
        <v>26</v>
      </c>
      <c r="D1426">
        <v>3</v>
      </c>
      <c r="E1426">
        <v>1</v>
      </c>
      <c r="G1426" s="30">
        <f>Table132[[#This Row],[nb win]]/Table132[[#This Row],[nb play]]</f>
        <v>0.33333333333333331</v>
      </c>
      <c r="H1426" t="str">
        <f>MID(Table132[[#This Row],[ÉTAT]],VALUE(RIGHT(Table132[[#This Row],[next move]],1))+1+VALUE(LEFT(Table132[[#This Row],[next move]],1))*3,1)</f>
        <v>V</v>
      </c>
      <c r="I1426" t="str">
        <f>Table132[[#This Row],[ÉTAT]]&amp;Table132[[#This Row],[next move]]</f>
        <v>VVEMMVVEV01</v>
      </c>
    </row>
    <row r="1427" spans="2:9" x14ac:dyDescent="0.25">
      <c r="B1427" t="s">
        <v>159</v>
      </c>
      <c r="C1427" s="22" t="s">
        <v>35</v>
      </c>
      <c r="D1427">
        <v>2</v>
      </c>
      <c r="E1427">
        <v>1</v>
      </c>
      <c r="G1427" s="25">
        <f>Table132[[#This Row],[nb win]]/Table132[[#This Row],[nb play]]</f>
        <v>0.5</v>
      </c>
      <c r="H1427" t="str">
        <f>MID(Table132[[#This Row],[ÉTAT]],VALUE(RIGHT(Table132[[#This Row],[next move]],1))+1+VALUE(LEFT(Table132[[#This Row],[next move]],1))*3,1)</f>
        <v>V</v>
      </c>
      <c r="I1427" t="str">
        <f>Table132[[#This Row],[ÉTAT]]&amp;Table132[[#This Row],[next move]]</f>
        <v>VVEMMVVEV20</v>
      </c>
    </row>
    <row r="1428" spans="2:9" x14ac:dyDescent="0.25">
      <c r="B1428" t="s">
        <v>159</v>
      </c>
      <c r="C1428" s="22" t="s">
        <v>31</v>
      </c>
      <c r="D1428">
        <v>1</v>
      </c>
      <c r="E1428">
        <v>1</v>
      </c>
      <c r="G1428" s="25">
        <f>Table132[[#This Row],[nb win]]/Table132[[#This Row],[nb play]]</f>
        <v>1</v>
      </c>
      <c r="H1428" t="str">
        <f>MID(Table132[[#This Row],[ÉTAT]],VALUE(RIGHT(Table132[[#This Row],[next move]],1))+1+VALUE(LEFT(Table132[[#This Row],[next move]],1))*3,1)</f>
        <v>V</v>
      </c>
      <c r="I1428" t="str">
        <f>Table132[[#This Row],[ÉTAT]]&amp;Table132[[#This Row],[next move]]</f>
        <v>VVEMMVVEV22</v>
      </c>
    </row>
    <row r="1429" spans="2:9" x14ac:dyDescent="0.25">
      <c r="B1429" t="s">
        <v>1588</v>
      </c>
      <c r="C1429" s="22" t="s">
        <v>26</v>
      </c>
      <c r="D1429">
        <v>3</v>
      </c>
      <c r="G1429" s="30">
        <f>Table132[[#This Row],[nb win]]/Table132[[#This Row],[nb play]]</f>
        <v>0</v>
      </c>
      <c r="H1429" t="str">
        <f>MID(Table132[[#This Row],[ÉTAT]],VALUE(RIGHT(Table132[[#This Row],[next move]],1))+1+VALUE(LEFT(Table132[[#This Row],[next move]],1))*3,1)</f>
        <v>V</v>
      </c>
      <c r="I1429" t="str">
        <f>Table132[[#This Row],[ÉTAT]]&amp;Table132[[#This Row],[next move]]</f>
        <v>VVEMMVMEE01</v>
      </c>
    </row>
    <row r="1430" spans="2:9" x14ac:dyDescent="0.25">
      <c r="B1430" t="s">
        <v>1588</v>
      </c>
      <c r="C1430" s="22" t="s">
        <v>28</v>
      </c>
      <c r="D1430">
        <v>2</v>
      </c>
      <c r="E1430">
        <v>2</v>
      </c>
      <c r="G1430" s="31">
        <f>Table132[[#This Row],[nb win]]/Table132[[#This Row],[nb play]]</f>
        <v>1</v>
      </c>
      <c r="H1430" t="str">
        <f>MID(Table132[[#This Row],[ÉTAT]],VALUE(RIGHT(Table132[[#This Row],[next move]],1))+1+VALUE(LEFT(Table132[[#This Row],[next move]],1))*3,1)</f>
        <v>V</v>
      </c>
      <c r="I1430" t="str">
        <f>Table132[[#This Row],[ÉTAT]]&amp;Table132[[#This Row],[next move]]</f>
        <v>VVEMMVMEE12</v>
      </c>
    </row>
    <row r="1431" spans="2:9" x14ac:dyDescent="0.25">
      <c r="B1431" t="s">
        <v>1957</v>
      </c>
      <c r="C1431" s="22" t="s">
        <v>24</v>
      </c>
      <c r="D1431">
        <v>2</v>
      </c>
      <c r="E1431">
        <v>1</v>
      </c>
      <c r="G1431" s="25">
        <f>Table132[[#This Row],[nb win]]/Table132[[#This Row],[nb play]]</f>
        <v>0.5</v>
      </c>
      <c r="H1431" t="str">
        <f>MID(Table132[[#This Row],[ÉTAT]],VALUE(RIGHT(Table132[[#This Row],[next move]],1))+1+VALUE(LEFT(Table132[[#This Row],[next move]],1))*3,1)</f>
        <v>V</v>
      </c>
      <c r="I1431" t="str">
        <f>Table132[[#This Row],[ÉTAT]]&amp;Table132[[#This Row],[next move]]</f>
        <v>VVEMMVEVV00</v>
      </c>
    </row>
    <row r="1432" spans="2:9" x14ac:dyDescent="0.25">
      <c r="B1432" t="s">
        <v>1957</v>
      </c>
      <c r="C1432" s="22" t="s">
        <v>31</v>
      </c>
      <c r="D1432">
        <v>2</v>
      </c>
      <c r="E1432">
        <v>2</v>
      </c>
      <c r="G1432" s="31">
        <f>Table132[[#This Row],[nb win]]/Table132[[#This Row],[nb play]]</f>
        <v>1</v>
      </c>
      <c r="H1432" t="str">
        <f>MID(Table132[[#This Row],[ÉTAT]],VALUE(RIGHT(Table132[[#This Row],[next move]],1))+1+VALUE(LEFT(Table132[[#This Row],[next move]],1))*3,1)</f>
        <v>V</v>
      </c>
      <c r="I1432" t="str">
        <f>Table132[[#This Row],[ÉTAT]]&amp;Table132[[#This Row],[next move]]</f>
        <v>VVEMMVEVV22</v>
      </c>
    </row>
    <row r="1433" spans="2:9" x14ac:dyDescent="0.25">
      <c r="B1433" t="s">
        <v>2035</v>
      </c>
      <c r="C1433" s="22" t="s">
        <v>26</v>
      </c>
      <c r="D1433">
        <v>2</v>
      </c>
      <c r="E1433">
        <v>1</v>
      </c>
      <c r="G1433" s="30">
        <f>Table132[[#This Row],[nb win]]/Table132[[#This Row],[nb play]]</f>
        <v>0.5</v>
      </c>
      <c r="H1433" t="str">
        <f>MID(Table132[[#This Row],[ÉTAT]],VALUE(RIGHT(Table132[[#This Row],[next move]],1))+1+VALUE(LEFT(Table132[[#This Row],[next move]],1))*3,1)</f>
        <v>V</v>
      </c>
      <c r="I1433" t="str">
        <f>Table132[[#This Row],[ÉTAT]]&amp;Table132[[#This Row],[next move]]</f>
        <v>VVEMMVEVE01</v>
      </c>
    </row>
    <row r="1434" spans="2:9" x14ac:dyDescent="0.25">
      <c r="B1434" t="s">
        <v>173</v>
      </c>
      <c r="C1434" s="22" t="s">
        <v>24</v>
      </c>
      <c r="D1434">
        <v>1</v>
      </c>
      <c r="G1434" s="25">
        <f>Table132[[#This Row],[nb win]]/Table132[[#This Row],[nb play]]</f>
        <v>0</v>
      </c>
      <c r="H1434" t="str">
        <f>MID(Table132[[#This Row],[ÉTAT]],VALUE(RIGHT(Table132[[#This Row],[next move]],1))+1+VALUE(LEFT(Table132[[#This Row],[next move]],1))*3,1)</f>
        <v>V</v>
      </c>
      <c r="I1434" t="str">
        <f>Table132[[#This Row],[ÉTAT]]&amp;Table132[[#This Row],[next move]]</f>
        <v>VVEMMVEME00</v>
      </c>
    </row>
    <row r="1435" spans="2:9" x14ac:dyDescent="0.25">
      <c r="B1435" t="s">
        <v>173</v>
      </c>
      <c r="C1435" s="22" t="s">
        <v>28</v>
      </c>
      <c r="D1435">
        <v>1</v>
      </c>
      <c r="E1435">
        <v>1</v>
      </c>
      <c r="G1435" s="25">
        <f>Table132[[#This Row],[nb win]]/Table132[[#This Row],[nb play]]</f>
        <v>1</v>
      </c>
      <c r="H1435" t="str">
        <f>MID(Table132[[#This Row],[ÉTAT]],VALUE(RIGHT(Table132[[#This Row],[next move]],1))+1+VALUE(LEFT(Table132[[#This Row],[next move]],1))*3,1)</f>
        <v>V</v>
      </c>
      <c r="I1435" t="str">
        <f>Table132[[#This Row],[ÉTAT]]&amp;Table132[[#This Row],[next move]]</f>
        <v>VVEMMVEME12</v>
      </c>
    </row>
    <row r="1436" spans="2:9" x14ac:dyDescent="0.25">
      <c r="B1436" t="s">
        <v>2064</v>
      </c>
      <c r="C1436" s="22" t="s">
        <v>28</v>
      </c>
      <c r="D1436">
        <v>1</v>
      </c>
      <c r="E1436">
        <v>1</v>
      </c>
      <c r="G1436" s="25">
        <f>Table132[[#This Row],[nb win]]/Table132[[#This Row],[nb play]]</f>
        <v>1</v>
      </c>
      <c r="H1436" t="str">
        <f>MID(Table132[[#This Row],[ÉTAT]],VALUE(RIGHT(Table132[[#This Row],[next move]],1))+1+VALUE(LEFT(Table132[[#This Row],[next move]],1))*3,1)</f>
        <v>V</v>
      </c>
      <c r="I1436" t="str">
        <f>Table132[[#This Row],[ÉTAT]]&amp;Table132[[#This Row],[next move]]</f>
        <v>VVEMMVEEV12</v>
      </c>
    </row>
    <row r="1437" spans="2:9" x14ac:dyDescent="0.25">
      <c r="B1437" t="s">
        <v>2731</v>
      </c>
      <c r="C1437" s="22" t="s">
        <v>28</v>
      </c>
      <c r="D1437">
        <v>1</v>
      </c>
      <c r="E1437">
        <v>1</v>
      </c>
      <c r="G1437" s="25">
        <f>Table132[[#This Row],[nb win]]/Table132[[#This Row],[nb play]]</f>
        <v>1</v>
      </c>
      <c r="H1437" t="str">
        <f>MID(Table132[[#This Row],[ÉTAT]],VALUE(RIGHT(Table132[[#This Row],[next move]],1))+1+VALUE(LEFT(Table132[[#This Row],[next move]],1))*3,1)</f>
        <v>V</v>
      </c>
      <c r="I1437" t="str">
        <f>Table132[[#This Row],[ÉTAT]]&amp;Table132[[#This Row],[next move]]</f>
        <v>VVEMMVEEM12</v>
      </c>
    </row>
    <row r="1438" spans="2:9" x14ac:dyDescent="0.25">
      <c r="B1438" t="s">
        <v>1675</v>
      </c>
      <c r="C1438" s="22" t="s">
        <v>22</v>
      </c>
      <c r="D1438">
        <v>1</v>
      </c>
      <c r="G1438" s="25">
        <f>Table132[[#This Row],[nb win]]/Table132[[#This Row],[nb play]]</f>
        <v>0</v>
      </c>
      <c r="H1438" t="str">
        <f>MID(Table132[[#This Row],[ÉTAT]],VALUE(RIGHT(Table132[[#This Row],[next move]],1))+1+VALUE(LEFT(Table132[[#This Row],[next move]],1))*3,1)</f>
        <v>V</v>
      </c>
      <c r="I1438" t="str">
        <f>Table132[[#This Row],[ÉTAT]]&amp;Table132[[#This Row],[next move]]</f>
        <v>VVEMMEVVV21</v>
      </c>
    </row>
    <row r="1439" spans="2:9" x14ac:dyDescent="0.25">
      <c r="B1439" t="s">
        <v>1675</v>
      </c>
      <c r="C1439" s="22" t="s">
        <v>31</v>
      </c>
      <c r="D1439">
        <v>2</v>
      </c>
      <c r="E1439">
        <v>2</v>
      </c>
      <c r="G1439" s="25">
        <f>Table132[[#This Row],[nb win]]/Table132[[#This Row],[nb play]]</f>
        <v>1</v>
      </c>
      <c r="H1439" t="str">
        <f>MID(Table132[[#This Row],[ÉTAT]],VALUE(RIGHT(Table132[[#This Row],[next move]],1))+1+VALUE(LEFT(Table132[[#This Row],[next move]],1))*3,1)</f>
        <v>V</v>
      </c>
      <c r="I1439" t="str">
        <f>Table132[[#This Row],[ÉTAT]]&amp;Table132[[#This Row],[next move]]</f>
        <v>VVEMMEVVV22</v>
      </c>
    </row>
    <row r="1440" spans="2:9" x14ac:dyDescent="0.25">
      <c r="B1440" t="s">
        <v>2548</v>
      </c>
      <c r="C1440" s="22" t="s">
        <v>24</v>
      </c>
      <c r="D1440">
        <v>1</v>
      </c>
      <c r="E1440">
        <v>1</v>
      </c>
      <c r="G1440" s="25">
        <f>Table132[[#This Row],[nb win]]/Table132[[#This Row],[nb play]]</f>
        <v>1</v>
      </c>
      <c r="H1440" t="str">
        <f>MID(Table132[[#This Row],[ÉTAT]],VALUE(RIGHT(Table132[[#This Row],[next move]],1))+1+VALUE(LEFT(Table132[[#This Row],[next move]],1))*3,1)</f>
        <v>V</v>
      </c>
      <c r="I1440" t="str">
        <f>Table132[[#This Row],[ÉTAT]]&amp;Table132[[#This Row],[next move]]</f>
        <v>VVEMMEVEV00</v>
      </c>
    </row>
    <row r="1441" spans="2:9" x14ac:dyDescent="0.25">
      <c r="B1441" t="s">
        <v>2928</v>
      </c>
      <c r="C1441" s="22" t="s">
        <v>24</v>
      </c>
      <c r="D1441">
        <v>2</v>
      </c>
      <c r="E1441">
        <v>2</v>
      </c>
      <c r="G1441" s="31">
        <f>Table132[[#This Row],[nb win]]/Table132[[#This Row],[nb play]]</f>
        <v>1</v>
      </c>
      <c r="H1441" t="str">
        <f>MID(Table132[[#This Row],[ÉTAT]],VALUE(RIGHT(Table132[[#This Row],[next move]],1))+1+VALUE(LEFT(Table132[[#This Row],[next move]],1))*3,1)</f>
        <v>V</v>
      </c>
      <c r="I1441" t="str">
        <f>Table132[[#This Row],[ÉTAT]]&amp;Table132[[#This Row],[next move]]</f>
        <v>VVEMMEVEM00</v>
      </c>
    </row>
    <row r="1442" spans="2:9" x14ac:dyDescent="0.25">
      <c r="B1442" t="s">
        <v>1331</v>
      </c>
      <c r="C1442" s="22" t="s">
        <v>24</v>
      </c>
      <c r="D1442">
        <v>1</v>
      </c>
      <c r="E1442">
        <v>1</v>
      </c>
      <c r="G1442" s="25">
        <f>Table132[[#This Row],[nb win]]/Table132[[#This Row],[nb play]]</f>
        <v>1</v>
      </c>
      <c r="H1442" t="str">
        <f>MID(Table132[[#This Row],[ÉTAT]],VALUE(RIGHT(Table132[[#This Row],[next move]],1))+1+VALUE(LEFT(Table132[[#This Row],[next move]],1))*3,1)</f>
        <v>V</v>
      </c>
      <c r="I1442" t="str">
        <f>Table132[[#This Row],[ÉTAT]]&amp;Table132[[#This Row],[next move]]</f>
        <v>VVEMMEMEV00</v>
      </c>
    </row>
    <row r="1443" spans="2:9" x14ac:dyDescent="0.25">
      <c r="B1443" t="s">
        <v>998</v>
      </c>
      <c r="C1443" s="22" t="s">
        <v>24</v>
      </c>
      <c r="D1443">
        <v>1</v>
      </c>
      <c r="E1443">
        <v>1</v>
      </c>
      <c r="G1443" s="31">
        <f>Table132[[#This Row],[nb win]]/Table132[[#This Row],[nb play]]</f>
        <v>1</v>
      </c>
      <c r="H1443" t="str">
        <f>MID(Table132[[#This Row],[ÉTAT]],VALUE(RIGHT(Table132[[#This Row],[next move]],1))+1+VALUE(LEFT(Table132[[#This Row],[next move]],1))*3,1)</f>
        <v>V</v>
      </c>
      <c r="I1443" t="str">
        <f>Table132[[#This Row],[ÉTAT]]&amp;Table132[[#This Row],[next move]]</f>
        <v>VVEMMEEVV00</v>
      </c>
    </row>
    <row r="1444" spans="2:9" x14ac:dyDescent="0.25">
      <c r="B1444" t="s">
        <v>998</v>
      </c>
      <c r="C1444" s="22" t="s">
        <v>26</v>
      </c>
      <c r="D1444">
        <v>1</v>
      </c>
      <c r="G1444" s="25">
        <f>Table132[[#This Row],[nb win]]/Table132[[#This Row],[nb play]]</f>
        <v>0</v>
      </c>
      <c r="H1444" t="str">
        <f>MID(Table132[[#This Row],[ÉTAT]],VALUE(RIGHT(Table132[[#This Row],[next move]],1))+1+VALUE(LEFT(Table132[[#This Row],[next move]],1))*3,1)</f>
        <v>V</v>
      </c>
      <c r="I1444" t="str">
        <f>Table132[[#This Row],[ÉTAT]]&amp;Table132[[#This Row],[next move]]</f>
        <v>VVEMMEEVV01</v>
      </c>
    </row>
    <row r="1445" spans="2:9" x14ac:dyDescent="0.25">
      <c r="B1445" t="s">
        <v>998</v>
      </c>
      <c r="C1445" s="22" t="s">
        <v>22</v>
      </c>
      <c r="D1445">
        <v>1</v>
      </c>
      <c r="G1445" s="25">
        <f>Table132[[#This Row],[nb win]]/Table132[[#This Row],[nb play]]</f>
        <v>0</v>
      </c>
      <c r="H1445" t="str">
        <f>MID(Table132[[#This Row],[ÉTAT]],VALUE(RIGHT(Table132[[#This Row],[next move]],1))+1+VALUE(LEFT(Table132[[#This Row],[next move]],1))*3,1)</f>
        <v>V</v>
      </c>
      <c r="I1445" t="str">
        <f>Table132[[#This Row],[ÉTAT]]&amp;Table132[[#This Row],[next move]]</f>
        <v>VVEMMEEVV21</v>
      </c>
    </row>
    <row r="1446" spans="2:9" x14ac:dyDescent="0.25">
      <c r="B1446" t="s">
        <v>2824</v>
      </c>
      <c r="C1446" s="22" t="s">
        <v>22</v>
      </c>
      <c r="D1446">
        <v>2</v>
      </c>
      <c r="E1446">
        <v>2</v>
      </c>
      <c r="G1446" s="25">
        <f>Table132[[#This Row],[nb win]]/Table132[[#This Row],[nb play]]</f>
        <v>1</v>
      </c>
      <c r="H1446" t="str">
        <f>MID(Table132[[#This Row],[ÉTAT]],VALUE(RIGHT(Table132[[#This Row],[next move]],1))+1+VALUE(LEFT(Table132[[#This Row],[next move]],1))*3,1)</f>
        <v>V</v>
      </c>
      <c r="I1446" t="str">
        <f>Table132[[#This Row],[ÉTAT]]&amp;Table132[[#This Row],[next move]]</f>
        <v>VVEMMEEVM21</v>
      </c>
    </row>
    <row r="1447" spans="2:9" x14ac:dyDescent="0.25">
      <c r="B1447" t="s">
        <v>2350</v>
      </c>
      <c r="C1447" s="22" t="s">
        <v>24</v>
      </c>
      <c r="D1447">
        <v>2</v>
      </c>
      <c r="E1447">
        <v>1</v>
      </c>
      <c r="G1447" s="30">
        <f>Table132[[#This Row],[nb win]]/Table132[[#This Row],[nb play]]</f>
        <v>0.5</v>
      </c>
      <c r="H1447" t="str">
        <f>MID(Table132[[#This Row],[ÉTAT]],VALUE(RIGHT(Table132[[#This Row],[next move]],1))+1+VALUE(LEFT(Table132[[#This Row],[next move]],1))*3,1)</f>
        <v>V</v>
      </c>
      <c r="I1447" t="str">
        <f>Table132[[#This Row],[ÉTAT]]&amp;Table132[[#This Row],[next move]]</f>
        <v>VVEMMEEMV00</v>
      </c>
    </row>
    <row r="1448" spans="2:9" x14ac:dyDescent="0.25">
      <c r="B1448" t="s">
        <v>457</v>
      </c>
      <c r="C1448" s="22" t="s">
        <v>24</v>
      </c>
      <c r="D1448">
        <v>2</v>
      </c>
      <c r="E1448">
        <v>2</v>
      </c>
      <c r="G1448" s="25">
        <f>Table132[[#This Row],[nb win]]/Table132[[#This Row],[nb play]]</f>
        <v>1</v>
      </c>
      <c r="H1448" t="str">
        <f>MID(Table132[[#This Row],[ÉTAT]],VALUE(RIGHT(Table132[[#This Row],[next move]],1))+1+VALUE(LEFT(Table132[[#This Row],[next move]],1))*3,1)</f>
        <v>V</v>
      </c>
      <c r="I1448" t="str">
        <f>Table132[[#This Row],[ÉTAT]]&amp;Table132[[#This Row],[next move]]</f>
        <v>VVEMMEEEM00</v>
      </c>
    </row>
    <row r="1449" spans="2:9" x14ac:dyDescent="0.25">
      <c r="B1449" t="s">
        <v>195</v>
      </c>
      <c r="C1449" s="22" t="s">
        <v>24</v>
      </c>
      <c r="D1449">
        <v>5</v>
      </c>
      <c r="E1449">
        <v>3</v>
      </c>
      <c r="G1449" s="30">
        <f>Table132[[#This Row],[nb win]]/Table132[[#This Row],[nb play]]</f>
        <v>0.6</v>
      </c>
      <c r="H1449" t="str">
        <f>MID(Table132[[#This Row],[ÉTAT]],VALUE(RIGHT(Table132[[#This Row],[next move]],1))+1+VALUE(LEFT(Table132[[#This Row],[next move]],1))*3,1)</f>
        <v>V</v>
      </c>
      <c r="I1449" t="str">
        <f>Table132[[#This Row],[ÉTAT]]&amp;Table132[[#This Row],[next move]]</f>
        <v>VVEMEVVVV00</v>
      </c>
    </row>
    <row r="1450" spans="2:9" x14ac:dyDescent="0.25">
      <c r="B1450" t="s">
        <v>195</v>
      </c>
      <c r="C1450" s="22" t="s">
        <v>26</v>
      </c>
      <c r="D1450">
        <v>2</v>
      </c>
      <c r="G1450" s="30">
        <f>Table132[[#This Row],[nb win]]/Table132[[#This Row],[nb play]]</f>
        <v>0</v>
      </c>
      <c r="H1450" t="str">
        <f>MID(Table132[[#This Row],[ÉTAT]],VALUE(RIGHT(Table132[[#This Row],[next move]],1))+1+VALUE(LEFT(Table132[[#This Row],[next move]],1))*3,1)</f>
        <v>V</v>
      </c>
      <c r="I1450" t="str">
        <f>Table132[[#This Row],[ÉTAT]]&amp;Table132[[#This Row],[next move]]</f>
        <v>VVEMEVVVV01</v>
      </c>
    </row>
    <row r="1451" spans="2:9" x14ac:dyDescent="0.25">
      <c r="B1451" t="s">
        <v>195</v>
      </c>
      <c r="C1451" s="22" t="s">
        <v>28</v>
      </c>
      <c r="D1451">
        <v>4</v>
      </c>
      <c r="G1451" s="30">
        <f>Table132[[#This Row],[nb win]]/Table132[[#This Row],[nb play]]</f>
        <v>0</v>
      </c>
      <c r="H1451" t="str">
        <f>MID(Table132[[#This Row],[ÉTAT]],VALUE(RIGHT(Table132[[#This Row],[next move]],1))+1+VALUE(LEFT(Table132[[#This Row],[next move]],1))*3,1)</f>
        <v>V</v>
      </c>
      <c r="I1451" t="str">
        <f>Table132[[#This Row],[ÉTAT]]&amp;Table132[[#This Row],[next move]]</f>
        <v>VVEMEVVVV12</v>
      </c>
    </row>
    <row r="1452" spans="2:9" x14ac:dyDescent="0.25">
      <c r="B1452" t="s">
        <v>195</v>
      </c>
      <c r="C1452" s="22" t="s">
        <v>35</v>
      </c>
      <c r="D1452">
        <v>3</v>
      </c>
      <c r="E1452">
        <v>3</v>
      </c>
      <c r="G1452" s="31">
        <f>Table132[[#This Row],[nb win]]/Table132[[#This Row],[nb play]]</f>
        <v>1</v>
      </c>
      <c r="H1452" t="str">
        <f>MID(Table132[[#This Row],[ÉTAT]],VALUE(RIGHT(Table132[[#This Row],[next move]],1))+1+VALUE(LEFT(Table132[[#This Row],[next move]],1))*3,1)</f>
        <v>V</v>
      </c>
      <c r="I1452" t="str">
        <f>Table132[[#This Row],[ÉTAT]]&amp;Table132[[#This Row],[next move]]</f>
        <v>VVEMEVVVV20</v>
      </c>
    </row>
    <row r="1453" spans="2:9" x14ac:dyDescent="0.25">
      <c r="B1453" t="s">
        <v>195</v>
      </c>
      <c r="C1453" s="22" t="s">
        <v>22</v>
      </c>
      <c r="D1453">
        <v>1</v>
      </c>
      <c r="G1453" s="30">
        <f>Table132[[#This Row],[nb win]]/Table132[[#This Row],[nb play]]</f>
        <v>0</v>
      </c>
      <c r="H1453" t="str">
        <f>MID(Table132[[#This Row],[ÉTAT]],VALUE(RIGHT(Table132[[#This Row],[next move]],1))+1+VALUE(LEFT(Table132[[#This Row],[next move]],1))*3,1)</f>
        <v>V</v>
      </c>
      <c r="I1453" t="str">
        <f>Table132[[#This Row],[ÉTAT]]&amp;Table132[[#This Row],[next move]]</f>
        <v>VVEMEVVVV21</v>
      </c>
    </row>
    <row r="1454" spans="2:9" x14ac:dyDescent="0.25">
      <c r="B1454" t="s">
        <v>195</v>
      </c>
      <c r="C1454" s="22" t="s">
        <v>31</v>
      </c>
      <c r="D1454">
        <v>5</v>
      </c>
      <c r="E1454">
        <v>3</v>
      </c>
      <c r="G1454" s="30">
        <f>Table132[[#This Row],[nb win]]/Table132[[#This Row],[nb play]]</f>
        <v>0.6</v>
      </c>
      <c r="H1454" t="str">
        <f>MID(Table132[[#This Row],[ÉTAT]],VALUE(RIGHT(Table132[[#This Row],[next move]],1))+1+VALUE(LEFT(Table132[[#This Row],[next move]],1))*3,1)</f>
        <v>V</v>
      </c>
      <c r="I1454" t="str">
        <f>Table132[[#This Row],[ÉTAT]]&amp;Table132[[#This Row],[next move]]</f>
        <v>VVEMEVVVV22</v>
      </c>
    </row>
    <row r="1455" spans="2:9" x14ac:dyDescent="0.25">
      <c r="B1455" t="s">
        <v>717</v>
      </c>
      <c r="C1455" s="22" t="s">
        <v>26</v>
      </c>
      <c r="D1455">
        <v>3</v>
      </c>
      <c r="E1455">
        <v>2</v>
      </c>
      <c r="G1455" s="31">
        <f>Table132[[#This Row],[nb win]]/Table132[[#This Row],[nb play]]</f>
        <v>0.66666666666666663</v>
      </c>
      <c r="H1455" t="str">
        <f>MID(Table132[[#This Row],[ÉTAT]],VALUE(RIGHT(Table132[[#This Row],[next move]],1))+1+VALUE(LEFT(Table132[[#This Row],[next move]],1))*3,1)</f>
        <v>V</v>
      </c>
      <c r="I1455" t="str">
        <f>Table132[[#This Row],[ÉTAT]]&amp;Table132[[#This Row],[next move]]</f>
        <v>VVEMEVVVM01</v>
      </c>
    </row>
    <row r="1456" spans="2:9" x14ac:dyDescent="0.25">
      <c r="B1456" t="s">
        <v>717</v>
      </c>
      <c r="C1456" s="22" t="s">
        <v>28</v>
      </c>
      <c r="D1456">
        <v>2</v>
      </c>
      <c r="G1456" s="30">
        <f>Table132[[#This Row],[nb win]]/Table132[[#This Row],[nb play]]</f>
        <v>0</v>
      </c>
      <c r="H1456" t="str">
        <f>MID(Table132[[#This Row],[ÉTAT]],VALUE(RIGHT(Table132[[#This Row],[next move]],1))+1+VALUE(LEFT(Table132[[#This Row],[next move]],1))*3,1)</f>
        <v>V</v>
      </c>
      <c r="I1456" t="str">
        <f>Table132[[#This Row],[ÉTAT]]&amp;Table132[[#This Row],[next move]]</f>
        <v>VVEMEVVVM12</v>
      </c>
    </row>
    <row r="1457" spans="2:9" x14ac:dyDescent="0.25">
      <c r="B1457" t="s">
        <v>717</v>
      </c>
      <c r="C1457" s="22" t="s">
        <v>35</v>
      </c>
      <c r="D1457">
        <v>6</v>
      </c>
      <c r="E1457">
        <v>6</v>
      </c>
      <c r="G1457" s="31">
        <f>Table132[[#This Row],[nb win]]/Table132[[#This Row],[nb play]]</f>
        <v>1</v>
      </c>
      <c r="H1457" t="str">
        <f>MID(Table132[[#This Row],[ÉTAT]],VALUE(RIGHT(Table132[[#This Row],[next move]],1))+1+VALUE(LEFT(Table132[[#This Row],[next move]],1))*3,1)</f>
        <v>V</v>
      </c>
      <c r="I1457" t="str">
        <f>Table132[[#This Row],[ÉTAT]]&amp;Table132[[#This Row],[next move]]</f>
        <v>VVEMEVVVM20</v>
      </c>
    </row>
    <row r="1458" spans="2:9" x14ac:dyDescent="0.25">
      <c r="B1458" t="s">
        <v>3115</v>
      </c>
      <c r="C1458" s="22" t="s">
        <v>35</v>
      </c>
      <c r="D1458">
        <v>2</v>
      </c>
      <c r="E1458">
        <v>1</v>
      </c>
      <c r="G1458" s="30">
        <f>Table132[[#This Row],[nb win]]/Table132[[#This Row],[nb play]]</f>
        <v>0.5</v>
      </c>
      <c r="H1458" t="str">
        <f>MID(Table132[[#This Row],[ÉTAT]],VALUE(RIGHT(Table132[[#This Row],[next move]],1))+1+VALUE(LEFT(Table132[[#This Row],[next move]],1))*3,1)</f>
        <v>V</v>
      </c>
      <c r="I1458" t="str">
        <f>Table132[[#This Row],[ÉTAT]]&amp;Table132[[#This Row],[next move]]</f>
        <v>VVEMEVVMV20</v>
      </c>
    </row>
    <row r="1459" spans="2:9" x14ac:dyDescent="0.25">
      <c r="B1459" t="s">
        <v>2715</v>
      </c>
      <c r="C1459" s="22" t="s">
        <v>24</v>
      </c>
      <c r="D1459">
        <v>2</v>
      </c>
      <c r="G1459" s="30">
        <f>Table132[[#This Row],[nb win]]/Table132[[#This Row],[nb play]]</f>
        <v>0</v>
      </c>
      <c r="H1459" t="str">
        <f>MID(Table132[[#This Row],[ÉTAT]],VALUE(RIGHT(Table132[[#This Row],[next move]],1))+1+VALUE(LEFT(Table132[[#This Row],[next move]],1))*3,1)</f>
        <v>V</v>
      </c>
      <c r="I1459" t="str">
        <f>Table132[[#This Row],[ÉTAT]]&amp;Table132[[#This Row],[next move]]</f>
        <v>VVEMEVVME00</v>
      </c>
    </row>
    <row r="1460" spans="2:9" x14ac:dyDescent="0.25">
      <c r="B1460" t="s">
        <v>2715</v>
      </c>
      <c r="C1460" s="22" t="s">
        <v>26</v>
      </c>
      <c r="D1460">
        <v>1</v>
      </c>
      <c r="G1460" s="30">
        <f>Table132[[#This Row],[nb win]]/Table132[[#This Row],[nb play]]</f>
        <v>0</v>
      </c>
      <c r="H1460" t="str">
        <f>MID(Table132[[#This Row],[ÉTAT]],VALUE(RIGHT(Table132[[#This Row],[next move]],1))+1+VALUE(LEFT(Table132[[#This Row],[next move]],1))*3,1)</f>
        <v>V</v>
      </c>
      <c r="I1460" t="str">
        <f>Table132[[#This Row],[ÉTAT]]&amp;Table132[[#This Row],[next move]]</f>
        <v>VVEMEVVME01</v>
      </c>
    </row>
    <row r="1461" spans="2:9" x14ac:dyDescent="0.25">
      <c r="B1461" t="s">
        <v>2715</v>
      </c>
      <c r="C1461" s="22" t="s">
        <v>28</v>
      </c>
      <c r="D1461">
        <v>1</v>
      </c>
      <c r="G1461" s="30">
        <f>Table132[[#This Row],[nb win]]/Table132[[#This Row],[nb play]]</f>
        <v>0</v>
      </c>
      <c r="H1461" t="str">
        <f>MID(Table132[[#This Row],[ÉTAT]],VALUE(RIGHT(Table132[[#This Row],[next move]],1))+1+VALUE(LEFT(Table132[[#This Row],[next move]],1))*3,1)</f>
        <v>V</v>
      </c>
      <c r="I1461" t="str">
        <f>Table132[[#This Row],[ÉTAT]]&amp;Table132[[#This Row],[next move]]</f>
        <v>VVEMEVVME12</v>
      </c>
    </row>
    <row r="1462" spans="2:9" x14ac:dyDescent="0.25">
      <c r="B1462" t="s">
        <v>2715</v>
      </c>
      <c r="C1462" s="22" t="s">
        <v>35</v>
      </c>
      <c r="D1462">
        <v>2</v>
      </c>
      <c r="G1462" s="30">
        <f>Table132[[#This Row],[nb win]]/Table132[[#This Row],[nb play]]</f>
        <v>0</v>
      </c>
      <c r="H1462" t="str">
        <f>MID(Table132[[#This Row],[ÉTAT]],VALUE(RIGHT(Table132[[#This Row],[next move]],1))+1+VALUE(LEFT(Table132[[#This Row],[next move]],1))*3,1)</f>
        <v>V</v>
      </c>
      <c r="I1462" t="str">
        <f>Table132[[#This Row],[ÉTAT]]&amp;Table132[[#This Row],[next move]]</f>
        <v>VVEMEVVME20</v>
      </c>
    </row>
    <row r="1463" spans="2:9" x14ac:dyDescent="0.25">
      <c r="B1463" t="s">
        <v>3328</v>
      </c>
      <c r="C1463" s="22" t="s">
        <v>31</v>
      </c>
      <c r="D1463">
        <v>1</v>
      </c>
      <c r="E1463">
        <v>1</v>
      </c>
      <c r="G1463" s="31">
        <f>Table132[[#This Row],[nb win]]/Table132[[#This Row],[nb play]]</f>
        <v>1</v>
      </c>
      <c r="H1463" t="str">
        <f>MID(Table132[[#This Row],[ÉTAT]],VALUE(RIGHT(Table132[[#This Row],[next move]],1))+1+VALUE(LEFT(Table132[[#This Row],[next move]],1))*3,1)</f>
        <v>V</v>
      </c>
      <c r="I1463" t="str">
        <f>Table132[[#This Row],[ÉTAT]]&amp;Table132[[#This Row],[next move]]</f>
        <v>VVEMEVMVV22</v>
      </c>
    </row>
    <row r="1464" spans="2:9" x14ac:dyDescent="0.25">
      <c r="B1464" t="s">
        <v>2298</v>
      </c>
      <c r="C1464" s="22" t="s">
        <v>24</v>
      </c>
      <c r="D1464">
        <v>2</v>
      </c>
      <c r="E1464">
        <v>2</v>
      </c>
      <c r="G1464" s="31">
        <f>Table132[[#This Row],[nb win]]/Table132[[#This Row],[nb play]]</f>
        <v>1</v>
      </c>
      <c r="H1464" t="str">
        <f>MID(Table132[[#This Row],[ÉTAT]],VALUE(RIGHT(Table132[[#This Row],[next move]],1))+1+VALUE(LEFT(Table132[[#This Row],[next move]],1))*3,1)</f>
        <v>V</v>
      </c>
      <c r="I1464" t="str">
        <f>Table132[[#This Row],[ÉTAT]]&amp;Table132[[#This Row],[next move]]</f>
        <v>VVEMEVMME00</v>
      </c>
    </row>
    <row r="1465" spans="2:9" x14ac:dyDescent="0.25">
      <c r="B1465" t="s">
        <v>2298</v>
      </c>
      <c r="C1465" s="22" t="s">
        <v>26</v>
      </c>
      <c r="D1465">
        <v>1</v>
      </c>
      <c r="G1465" s="25">
        <f>Table132[[#This Row],[nb win]]/Table132[[#This Row],[nb play]]</f>
        <v>0</v>
      </c>
      <c r="H1465" t="str">
        <f>MID(Table132[[#This Row],[ÉTAT]],VALUE(RIGHT(Table132[[#This Row],[next move]],1))+1+VALUE(LEFT(Table132[[#This Row],[next move]],1))*3,1)</f>
        <v>V</v>
      </c>
      <c r="I1465" t="str">
        <f>Table132[[#This Row],[ÉTAT]]&amp;Table132[[#This Row],[next move]]</f>
        <v>VVEMEVMME01</v>
      </c>
    </row>
    <row r="1466" spans="2:9" x14ac:dyDescent="0.25">
      <c r="B1466" t="s">
        <v>2298</v>
      </c>
      <c r="C1466" s="22" t="s">
        <v>28</v>
      </c>
      <c r="D1466">
        <v>2</v>
      </c>
      <c r="G1466" s="30">
        <f>Table132[[#This Row],[nb win]]/Table132[[#This Row],[nb play]]</f>
        <v>0</v>
      </c>
      <c r="H1466" t="str">
        <f>MID(Table132[[#This Row],[ÉTAT]],VALUE(RIGHT(Table132[[#This Row],[next move]],1))+1+VALUE(LEFT(Table132[[#This Row],[next move]],1))*3,1)</f>
        <v>V</v>
      </c>
      <c r="I1466" t="str">
        <f>Table132[[#This Row],[ÉTAT]]&amp;Table132[[#This Row],[next move]]</f>
        <v>VVEMEVMME12</v>
      </c>
    </row>
    <row r="1467" spans="2:9" x14ac:dyDescent="0.25">
      <c r="B1467" t="s">
        <v>2526</v>
      </c>
      <c r="C1467" s="22" t="s">
        <v>24</v>
      </c>
      <c r="D1467">
        <v>1</v>
      </c>
      <c r="E1467">
        <v>1</v>
      </c>
      <c r="G1467" s="31">
        <f>Table132[[#This Row],[nb win]]/Table132[[#This Row],[nb play]]</f>
        <v>1</v>
      </c>
      <c r="H1467" t="str">
        <f>MID(Table132[[#This Row],[ÉTAT]],VALUE(RIGHT(Table132[[#This Row],[next move]],1))+1+VALUE(LEFT(Table132[[#This Row],[next move]],1))*3,1)</f>
        <v>V</v>
      </c>
      <c r="I1467" t="str">
        <f>Table132[[#This Row],[ÉTAT]]&amp;Table132[[#This Row],[next move]]</f>
        <v>VVEMEVMEV00</v>
      </c>
    </row>
    <row r="1468" spans="2:9" x14ac:dyDescent="0.25">
      <c r="B1468" t="s">
        <v>2526</v>
      </c>
      <c r="C1468" s="22" t="s">
        <v>28</v>
      </c>
      <c r="D1468">
        <v>1</v>
      </c>
      <c r="G1468" s="30">
        <f>Table132[[#This Row],[nb win]]/Table132[[#This Row],[nb play]]</f>
        <v>0</v>
      </c>
      <c r="H1468" t="str">
        <f>MID(Table132[[#This Row],[ÉTAT]],VALUE(RIGHT(Table132[[#This Row],[next move]],1))+1+VALUE(LEFT(Table132[[#This Row],[next move]],1))*3,1)</f>
        <v>V</v>
      </c>
      <c r="I1468" t="str">
        <f>Table132[[#This Row],[ÉTAT]]&amp;Table132[[#This Row],[next move]]</f>
        <v>VVEMEVMEV12</v>
      </c>
    </row>
    <row r="1469" spans="2:9" x14ac:dyDescent="0.25">
      <c r="B1469" t="s">
        <v>2526</v>
      </c>
      <c r="C1469" s="22" t="s">
        <v>31</v>
      </c>
      <c r="D1469">
        <v>2</v>
      </c>
      <c r="E1469">
        <v>1</v>
      </c>
      <c r="G1469" s="30">
        <f>Table132[[#This Row],[nb win]]/Table132[[#This Row],[nb play]]</f>
        <v>0.5</v>
      </c>
      <c r="H1469" t="str">
        <f>MID(Table132[[#This Row],[ÉTAT]],VALUE(RIGHT(Table132[[#This Row],[next move]],1))+1+VALUE(LEFT(Table132[[#This Row],[next move]],1))*3,1)</f>
        <v>V</v>
      </c>
      <c r="I1469" t="str">
        <f>Table132[[#This Row],[ÉTAT]]&amp;Table132[[#This Row],[next move]]</f>
        <v>VVEMEVMEV22</v>
      </c>
    </row>
    <row r="1470" spans="2:9" x14ac:dyDescent="0.25">
      <c r="B1470" t="s">
        <v>1496</v>
      </c>
      <c r="C1470" s="22" t="s">
        <v>24</v>
      </c>
      <c r="D1470">
        <v>3</v>
      </c>
      <c r="E1470">
        <v>3</v>
      </c>
      <c r="G1470" s="31">
        <f>Table132[[#This Row],[nb win]]/Table132[[#This Row],[nb play]]</f>
        <v>1</v>
      </c>
      <c r="H1470" t="str">
        <f>MID(Table132[[#This Row],[ÉTAT]],VALUE(RIGHT(Table132[[#This Row],[next move]],1))+1+VALUE(LEFT(Table132[[#This Row],[next move]],1))*3,1)</f>
        <v>V</v>
      </c>
      <c r="I1470" t="str">
        <f>Table132[[#This Row],[ÉTAT]]&amp;Table132[[#This Row],[next move]]</f>
        <v>VVEMEVMEM00</v>
      </c>
    </row>
    <row r="1471" spans="2:9" x14ac:dyDescent="0.25">
      <c r="B1471" t="s">
        <v>814</v>
      </c>
      <c r="C1471" s="22" t="s">
        <v>35</v>
      </c>
      <c r="D1471">
        <v>3</v>
      </c>
      <c r="E1471">
        <v>2</v>
      </c>
      <c r="G1471" s="30">
        <f>Table132[[#This Row],[nb win]]/Table132[[#This Row],[nb play]]</f>
        <v>0.66666666666666663</v>
      </c>
      <c r="H1471" t="str">
        <f>MID(Table132[[#This Row],[ÉTAT]],VALUE(RIGHT(Table132[[#This Row],[next move]],1))+1+VALUE(LEFT(Table132[[#This Row],[next move]],1))*3,1)</f>
        <v>V</v>
      </c>
      <c r="I1471" t="str">
        <f>Table132[[#This Row],[ÉTAT]]&amp;Table132[[#This Row],[next move]]</f>
        <v>VVEMEMVVV20</v>
      </c>
    </row>
    <row r="1472" spans="2:9" x14ac:dyDescent="0.25">
      <c r="B1472" t="s">
        <v>814</v>
      </c>
      <c r="C1472" s="22" t="s">
        <v>22</v>
      </c>
      <c r="D1472">
        <v>2</v>
      </c>
      <c r="G1472" s="30">
        <f>Table132[[#This Row],[nb win]]/Table132[[#This Row],[nb play]]</f>
        <v>0</v>
      </c>
      <c r="H1472" t="str">
        <f>MID(Table132[[#This Row],[ÉTAT]],VALUE(RIGHT(Table132[[#This Row],[next move]],1))+1+VALUE(LEFT(Table132[[#This Row],[next move]],1))*3,1)</f>
        <v>V</v>
      </c>
      <c r="I1472" t="str">
        <f>Table132[[#This Row],[ÉTAT]]&amp;Table132[[#This Row],[next move]]</f>
        <v>VVEMEMVVV21</v>
      </c>
    </row>
    <row r="1473" spans="2:9" x14ac:dyDescent="0.25">
      <c r="B1473" t="s">
        <v>3362</v>
      </c>
      <c r="C1473" s="22" t="s">
        <v>35</v>
      </c>
      <c r="D1473">
        <v>1</v>
      </c>
      <c r="G1473" s="30">
        <f>Table132[[#This Row],[nb win]]/Table132[[#This Row],[nb play]]</f>
        <v>0</v>
      </c>
      <c r="H1473" t="str">
        <f>MID(Table132[[#This Row],[ÉTAT]],VALUE(RIGHT(Table132[[#This Row],[next move]],1))+1+VALUE(LEFT(Table132[[#This Row],[next move]],1))*3,1)</f>
        <v>V</v>
      </c>
      <c r="I1473" t="str">
        <f>Table132[[#This Row],[ÉTAT]]&amp;Table132[[#This Row],[next move]]</f>
        <v>VVEMEMVVE20</v>
      </c>
    </row>
    <row r="1474" spans="2:9" x14ac:dyDescent="0.25">
      <c r="B1474" t="s">
        <v>3487</v>
      </c>
      <c r="C1474" s="22" t="s">
        <v>24</v>
      </c>
      <c r="D1474">
        <v>1</v>
      </c>
      <c r="G1474" s="30">
        <f>Table132[[#This Row],[nb win]]/Table132[[#This Row],[nb play]]</f>
        <v>0</v>
      </c>
      <c r="H1474" t="str">
        <f>MID(Table132[[#This Row],[ÉTAT]],VALUE(RIGHT(Table132[[#This Row],[next move]],1))+1+VALUE(LEFT(Table132[[#This Row],[next move]],1))*3,1)</f>
        <v>V</v>
      </c>
      <c r="I1474" t="str">
        <f>Table132[[#This Row],[ÉTAT]]&amp;Table132[[#This Row],[next move]]</f>
        <v>VVEMEMVME00</v>
      </c>
    </row>
    <row r="1475" spans="2:9" x14ac:dyDescent="0.25">
      <c r="B1475" t="s">
        <v>3251</v>
      </c>
      <c r="C1475" s="22" t="s">
        <v>31</v>
      </c>
      <c r="D1475">
        <v>1</v>
      </c>
      <c r="G1475" s="30">
        <f>Table132[[#This Row],[nb win]]/Table132[[#This Row],[nb play]]</f>
        <v>0</v>
      </c>
      <c r="H1475" t="str">
        <f>MID(Table132[[#This Row],[ÉTAT]],VALUE(RIGHT(Table132[[#This Row],[next move]],1))+1+VALUE(LEFT(Table132[[#This Row],[next move]],1))*3,1)</f>
        <v>V</v>
      </c>
      <c r="I1475" t="str">
        <f>Table132[[#This Row],[ÉTAT]]&amp;Table132[[#This Row],[next move]]</f>
        <v>VVEMEMVEV22</v>
      </c>
    </row>
    <row r="1476" spans="2:9" x14ac:dyDescent="0.25">
      <c r="B1476" t="s">
        <v>884</v>
      </c>
      <c r="C1476" s="22" t="s">
        <v>24</v>
      </c>
      <c r="D1476">
        <v>1</v>
      </c>
      <c r="G1476" s="25">
        <f>Table132[[#This Row],[nb win]]/Table132[[#This Row],[nb play]]</f>
        <v>0</v>
      </c>
      <c r="H1476" t="str">
        <f>MID(Table132[[#This Row],[ÉTAT]],VALUE(RIGHT(Table132[[#This Row],[next move]],1))+1+VALUE(LEFT(Table132[[#This Row],[next move]],1))*3,1)</f>
        <v>V</v>
      </c>
      <c r="I1476" t="str">
        <f>Table132[[#This Row],[ÉTAT]]&amp;Table132[[#This Row],[next move]]</f>
        <v>VVEMEMVEM00</v>
      </c>
    </row>
    <row r="1477" spans="2:9" x14ac:dyDescent="0.25">
      <c r="B1477" t="s">
        <v>884</v>
      </c>
      <c r="C1477" s="22" t="s">
        <v>26</v>
      </c>
      <c r="D1477">
        <v>1</v>
      </c>
      <c r="G1477" s="25">
        <f>Table132[[#This Row],[nb win]]/Table132[[#This Row],[nb play]]</f>
        <v>0</v>
      </c>
      <c r="H1477" t="str">
        <f>MID(Table132[[#This Row],[ÉTAT]],VALUE(RIGHT(Table132[[#This Row],[next move]],1))+1+VALUE(LEFT(Table132[[#This Row],[next move]],1))*3,1)</f>
        <v>V</v>
      </c>
      <c r="I1477" t="str">
        <f>Table132[[#This Row],[ÉTAT]]&amp;Table132[[#This Row],[next move]]</f>
        <v>VVEMEMVEM01</v>
      </c>
    </row>
    <row r="1478" spans="2:9" x14ac:dyDescent="0.25">
      <c r="B1478" t="s">
        <v>884</v>
      </c>
      <c r="C1478" s="22" t="s">
        <v>35</v>
      </c>
      <c r="D1478">
        <v>1</v>
      </c>
      <c r="G1478" s="25">
        <f>Table132[[#This Row],[nb win]]/Table132[[#This Row],[nb play]]</f>
        <v>0</v>
      </c>
      <c r="H1478" t="str">
        <f>MID(Table132[[#This Row],[ÉTAT]],VALUE(RIGHT(Table132[[#This Row],[next move]],1))+1+VALUE(LEFT(Table132[[#This Row],[next move]],1))*3,1)</f>
        <v>V</v>
      </c>
      <c r="I1478" t="str">
        <f>Table132[[#This Row],[ÉTAT]]&amp;Table132[[#This Row],[next move]]</f>
        <v>VVEMEMVEM20</v>
      </c>
    </row>
    <row r="1479" spans="2:9" x14ac:dyDescent="0.25">
      <c r="B1479" t="s">
        <v>2431</v>
      </c>
      <c r="C1479" s="22" t="s">
        <v>24</v>
      </c>
      <c r="D1479">
        <v>3</v>
      </c>
      <c r="E1479">
        <v>3</v>
      </c>
      <c r="G1479" s="31">
        <f>Table132[[#This Row],[nb win]]/Table132[[#This Row],[nb play]]</f>
        <v>1</v>
      </c>
      <c r="H1479" t="str">
        <f>MID(Table132[[#This Row],[ÉTAT]],VALUE(RIGHT(Table132[[#This Row],[next move]],1))+1+VALUE(LEFT(Table132[[#This Row],[next move]],1))*3,1)</f>
        <v>V</v>
      </c>
      <c r="I1479" t="str">
        <f>Table132[[#This Row],[ÉTAT]]&amp;Table132[[#This Row],[next move]]</f>
        <v>VVEMEMMEV00</v>
      </c>
    </row>
    <row r="1480" spans="2:9" x14ac:dyDescent="0.25">
      <c r="B1480" t="s">
        <v>2123</v>
      </c>
      <c r="C1480" s="22" t="s">
        <v>24</v>
      </c>
      <c r="D1480">
        <v>1</v>
      </c>
      <c r="E1480">
        <v>1</v>
      </c>
      <c r="G1480" s="25">
        <f>Table132[[#This Row],[nb win]]/Table132[[#This Row],[nb play]]</f>
        <v>1</v>
      </c>
      <c r="H1480" t="str">
        <f>MID(Table132[[#This Row],[ÉTAT]],VALUE(RIGHT(Table132[[#This Row],[next move]],1))+1+VALUE(LEFT(Table132[[#This Row],[next move]],1))*3,1)</f>
        <v>V</v>
      </c>
      <c r="I1480" t="str">
        <f>Table132[[#This Row],[ÉTAT]]&amp;Table132[[#This Row],[next move]]</f>
        <v>VVEMEMMEE00</v>
      </c>
    </row>
    <row r="1481" spans="2:9" x14ac:dyDescent="0.25">
      <c r="B1481" t="s">
        <v>2123</v>
      </c>
      <c r="C1481" s="22" t="s">
        <v>26</v>
      </c>
      <c r="D1481">
        <v>1</v>
      </c>
      <c r="G1481" s="25">
        <f>Table132[[#This Row],[nb win]]/Table132[[#This Row],[nb play]]</f>
        <v>0</v>
      </c>
      <c r="H1481" t="str">
        <f>MID(Table132[[#This Row],[ÉTAT]],VALUE(RIGHT(Table132[[#This Row],[next move]],1))+1+VALUE(LEFT(Table132[[#This Row],[next move]],1))*3,1)</f>
        <v>V</v>
      </c>
      <c r="I1481" t="str">
        <f>Table132[[#This Row],[ÉTAT]]&amp;Table132[[#This Row],[next move]]</f>
        <v>VVEMEMMEE01</v>
      </c>
    </row>
    <row r="1482" spans="2:9" x14ac:dyDescent="0.25">
      <c r="B1482" t="s">
        <v>302</v>
      </c>
      <c r="C1482" s="22" t="s">
        <v>35</v>
      </c>
      <c r="D1482">
        <v>2</v>
      </c>
      <c r="E1482">
        <v>2</v>
      </c>
      <c r="G1482" s="25">
        <f>Table132[[#This Row],[nb win]]/Table132[[#This Row],[nb play]]</f>
        <v>1</v>
      </c>
      <c r="H1482" t="str">
        <f>MID(Table132[[#This Row],[ÉTAT]],VALUE(RIGHT(Table132[[#This Row],[next move]],1))+1+VALUE(LEFT(Table132[[#This Row],[next move]],1))*3,1)</f>
        <v>V</v>
      </c>
      <c r="I1482" t="str">
        <f>Table132[[#This Row],[ÉTAT]]&amp;Table132[[#This Row],[next move]]</f>
        <v>VVEMEEVVM20</v>
      </c>
    </row>
    <row r="1483" spans="2:9" x14ac:dyDescent="0.25">
      <c r="B1483" t="s">
        <v>312</v>
      </c>
      <c r="C1483" s="22" t="s">
        <v>24</v>
      </c>
      <c r="D1483">
        <v>2</v>
      </c>
      <c r="E1483">
        <v>1</v>
      </c>
      <c r="G1483" s="31">
        <f>Table132[[#This Row],[nb win]]/Table132[[#This Row],[nb play]]</f>
        <v>0.5</v>
      </c>
      <c r="H1483" t="str">
        <f>MID(Table132[[#This Row],[ÉTAT]],VALUE(RIGHT(Table132[[#This Row],[next move]],1))+1+VALUE(LEFT(Table132[[#This Row],[next move]],1))*3,1)</f>
        <v>V</v>
      </c>
      <c r="I1483" t="str">
        <f>Table132[[#This Row],[ÉTAT]]&amp;Table132[[#This Row],[next move]]</f>
        <v>VVEMEEVMV00</v>
      </c>
    </row>
    <row r="1484" spans="2:9" x14ac:dyDescent="0.25">
      <c r="B1484" t="s">
        <v>312</v>
      </c>
      <c r="C1484" s="22" t="s">
        <v>35</v>
      </c>
      <c r="D1484">
        <v>2</v>
      </c>
      <c r="E1484">
        <v>1</v>
      </c>
      <c r="G1484" s="31">
        <f>Table132[[#This Row],[nb win]]/Table132[[#This Row],[nb play]]</f>
        <v>0.5</v>
      </c>
      <c r="H1484" t="str">
        <f>MID(Table132[[#This Row],[ÉTAT]],VALUE(RIGHT(Table132[[#This Row],[next move]],1))+1+VALUE(LEFT(Table132[[#This Row],[next move]],1))*3,1)</f>
        <v>V</v>
      </c>
      <c r="I1484" t="str">
        <f>Table132[[#This Row],[ÉTAT]]&amp;Table132[[#This Row],[next move]]</f>
        <v>VVEMEEVMV20</v>
      </c>
    </row>
    <row r="1485" spans="2:9" x14ac:dyDescent="0.25">
      <c r="B1485" t="s">
        <v>312</v>
      </c>
      <c r="C1485" s="22" t="s">
        <v>31</v>
      </c>
      <c r="D1485">
        <v>1</v>
      </c>
      <c r="E1485">
        <v>1</v>
      </c>
      <c r="G1485" s="25">
        <f>Table132[[#This Row],[nb win]]/Table132[[#This Row],[nb play]]</f>
        <v>1</v>
      </c>
      <c r="H1485" t="str">
        <f>MID(Table132[[#This Row],[ÉTAT]],VALUE(RIGHT(Table132[[#This Row],[next move]],1))+1+VALUE(LEFT(Table132[[#This Row],[next move]],1))*3,1)</f>
        <v>V</v>
      </c>
      <c r="I1485" t="str">
        <f>Table132[[#This Row],[ÉTAT]]&amp;Table132[[#This Row],[next move]]</f>
        <v>VVEMEEVMV22</v>
      </c>
    </row>
    <row r="1486" spans="2:9" x14ac:dyDescent="0.25">
      <c r="B1486" t="s">
        <v>2963</v>
      </c>
      <c r="C1486" s="22" t="s">
        <v>35</v>
      </c>
      <c r="D1486">
        <v>1</v>
      </c>
      <c r="E1486">
        <v>1</v>
      </c>
      <c r="G1486" s="25">
        <f>Table132[[#This Row],[nb win]]/Table132[[#This Row],[nb play]]</f>
        <v>1</v>
      </c>
      <c r="H1486" t="str">
        <f>MID(Table132[[#This Row],[ÉTAT]],VALUE(RIGHT(Table132[[#This Row],[next move]],1))+1+VALUE(LEFT(Table132[[#This Row],[next move]],1))*3,1)</f>
        <v>V</v>
      </c>
      <c r="I1486" t="str">
        <f>Table132[[#This Row],[ÉTAT]]&amp;Table132[[#This Row],[next move]]</f>
        <v>VVEMEEVMM20</v>
      </c>
    </row>
    <row r="1487" spans="2:9" x14ac:dyDescent="0.25">
      <c r="B1487" t="s">
        <v>561</v>
      </c>
      <c r="C1487" s="22" t="s">
        <v>24</v>
      </c>
      <c r="D1487">
        <v>4</v>
      </c>
      <c r="E1487">
        <v>4</v>
      </c>
      <c r="G1487" s="31">
        <f>Table132[[#This Row],[nb win]]/Table132[[#This Row],[nb play]]</f>
        <v>1</v>
      </c>
      <c r="H1487" t="str">
        <f>MID(Table132[[#This Row],[ÉTAT]],VALUE(RIGHT(Table132[[#This Row],[next move]],1))+1+VALUE(LEFT(Table132[[#This Row],[next move]],1))*3,1)</f>
        <v>V</v>
      </c>
      <c r="I1487" t="str">
        <f>Table132[[#This Row],[ÉTAT]]&amp;Table132[[#This Row],[next move]]</f>
        <v>VVEMEEMVV00</v>
      </c>
    </row>
    <row r="1488" spans="2:9" x14ac:dyDescent="0.25">
      <c r="B1488" t="s">
        <v>2773</v>
      </c>
      <c r="C1488" s="22" t="s">
        <v>22</v>
      </c>
      <c r="D1488">
        <v>1</v>
      </c>
      <c r="E1488">
        <v>1</v>
      </c>
      <c r="G1488" s="25">
        <f>Table132[[#This Row],[nb win]]/Table132[[#This Row],[nb play]]</f>
        <v>1</v>
      </c>
      <c r="H1488" t="str">
        <f>MID(Table132[[#This Row],[ÉTAT]],VALUE(RIGHT(Table132[[#This Row],[next move]],1))+1+VALUE(LEFT(Table132[[#This Row],[next move]],1))*3,1)</f>
        <v>V</v>
      </c>
      <c r="I1488" t="str">
        <f>Table132[[#This Row],[ÉTAT]]&amp;Table132[[#This Row],[next move]]</f>
        <v>VVEMEEMVM21</v>
      </c>
    </row>
    <row r="1489" spans="2:9" x14ac:dyDescent="0.25">
      <c r="B1489" t="s">
        <v>2255</v>
      </c>
      <c r="C1489" s="22" t="s">
        <v>24</v>
      </c>
      <c r="D1489">
        <v>2</v>
      </c>
      <c r="E1489">
        <v>2</v>
      </c>
      <c r="G1489" s="25">
        <f>Table132[[#This Row],[nb win]]/Table132[[#This Row],[nb play]]</f>
        <v>1</v>
      </c>
      <c r="H1489" t="str">
        <f>MID(Table132[[#This Row],[ÉTAT]],VALUE(RIGHT(Table132[[#This Row],[next move]],1))+1+VALUE(LEFT(Table132[[#This Row],[next move]],1))*3,1)</f>
        <v>V</v>
      </c>
      <c r="I1489" t="str">
        <f>Table132[[#This Row],[ÉTAT]]&amp;Table132[[#This Row],[next move]]</f>
        <v>VVEMEEMEM00</v>
      </c>
    </row>
    <row r="1490" spans="2:9" x14ac:dyDescent="0.25">
      <c r="B1490" t="s">
        <v>1424</v>
      </c>
      <c r="C1490" s="22" t="s">
        <v>24</v>
      </c>
      <c r="D1490">
        <v>8</v>
      </c>
      <c r="E1490">
        <v>7</v>
      </c>
      <c r="G1490" s="31">
        <f>Table132[[#This Row],[nb win]]/Table132[[#This Row],[nb play]]</f>
        <v>0.875</v>
      </c>
      <c r="H1490" t="str">
        <f>MID(Table132[[#This Row],[ÉTAT]],VALUE(RIGHT(Table132[[#This Row],[next move]],1))+1+VALUE(LEFT(Table132[[#This Row],[next move]],1))*3,1)</f>
        <v>V</v>
      </c>
      <c r="I1490" t="str">
        <f>Table132[[#This Row],[ÉTAT]]&amp;Table132[[#This Row],[next move]]</f>
        <v>VVEEVVVVM00</v>
      </c>
    </row>
    <row r="1491" spans="2:9" x14ac:dyDescent="0.25">
      <c r="B1491" t="s">
        <v>1424</v>
      </c>
      <c r="C1491" s="22" t="s">
        <v>28</v>
      </c>
      <c r="D1491">
        <v>5</v>
      </c>
      <c r="E1491">
        <v>1</v>
      </c>
      <c r="G1491" s="31">
        <f>Table132[[#This Row],[nb win]]/Table132[[#This Row],[nb play]]</f>
        <v>0.2</v>
      </c>
      <c r="H1491" t="str">
        <f>MID(Table132[[#This Row],[ÉTAT]],VALUE(RIGHT(Table132[[#This Row],[next move]],1))+1+VALUE(LEFT(Table132[[#This Row],[next move]],1))*3,1)</f>
        <v>V</v>
      </c>
      <c r="I1491" t="str">
        <f>Table132[[#This Row],[ÉTAT]]&amp;Table132[[#This Row],[next move]]</f>
        <v>VVEEVVVVM12</v>
      </c>
    </row>
    <row r="1492" spans="2:9" x14ac:dyDescent="0.25">
      <c r="B1492" t="s">
        <v>1424</v>
      </c>
      <c r="C1492" s="22" t="s">
        <v>35</v>
      </c>
      <c r="D1492">
        <v>3</v>
      </c>
      <c r="E1492">
        <v>3</v>
      </c>
      <c r="G1492" s="31">
        <f>Table132[[#This Row],[nb win]]/Table132[[#This Row],[nb play]]</f>
        <v>1</v>
      </c>
      <c r="H1492" t="str">
        <f>MID(Table132[[#This Row],[ÉTAT]],VALUE(RIGHT(Table132[[#This Row],[next move]],1))+1+VALUE(LEFT(Table132[[#This Row],[next move]],1))*3,1)</f>
        <v>V</v>
      </c>
      <c r="I1492" t="str">
        <f>Table132[[#This Row],[ÉTAT]]&amp;Table132[[#This Row],[next move]]</f>
        <v>VVEEVVVVM20</v>
      </c>
    </row>
    <row r="1493" spans="2:9" x14ac:dyDescent="0.25">
      <c r="B1493" t="s">
        <v>1424</v>
      </c>
      <c r="C1493" s="22" t="s">
        <v>22</v>
      </c>
      <c r="D1493">
        <v>4</v>
      </c>
      <c r="E1493">
        <v>2</v>
      </c>
      <c r="G1493" s="30">
        <f>Table132[[#This Row],[nb win]]/Table132[[#This Row],[nb play]]</f>
        <v>0.5</v>
      </c>
      <c r="H1493" t="str">
        <f>MID(Table132[[#This Row],[ÉTAT]],VALUE(RIGHT(Table132[[#This Row],[next move]],1))+1+VALUE(LEFT(Table132[[#This Row],[next move]],1))*3,1)</f>
        <v>V</v>
      </c>
      <c r="I1493" t="str">
        <f>Table132[[#This Row],[ÉTAT]]&amp;Table132[[#This Row],[next move]]</f>
        <v>VVEEVVVVM21</v>
      </c>
    </row>
    <row r="1494" spans="2:9" x14ac:dyDescent="0.25">
      <c r="B1494" t="s">
        <v>1755</v>
      </c>
      <c r="C1494" s="22" t="s">
        <v>24</v>
      </c>
      <c r="D1494">
        <v>2</v>
      </c>
      <c r="E1494">
        <v>1</v>
      </c>
      <c r="G1494" s="25">
        <f>Table132[[#This Row],[nb win]]/Table132[[#This Row],[nb play]]</f>
        <v>0.5</v>
      </c>
      <c r="H1494" t="str">
        <f>MID(Table132[[#This Row],[ÉTAT]],VALUE(RIGHT(Table132[[#This Row],[next move]],1))+1+VALUE(LEFT(Table132[[#This Row],[next move]],1))*3,1)</f>
        <v>V</v>
      </c>
      <c r="I1494" t="str">
        <f>Table132[[#This Row],[ÉTAT]]&amp;Table132[[#This Row],[next move]]</f>
        <v>VVEEVVVMV00</v>
      </c>
    </row>
    <row r="1495" spans="2:9" x14ac:dyDescent="0.25">
      <c r="B1495" t="s">
        <v>1755</v>
      </c>
      <c r="C1495" s="22" t="s">
        <v>29</v>
      </c>
      <c r="D1495">
        <v>6</v>
      </c>
      <c r="E1495">
        <v>1</v>
      </c>
      <c r="G1495" s="30">
        <f>Table132[[#This Row],[nb win]]/Table132[[#This Row],[nb play]]</f>
        <v>0.16666666666666666</v>
      </c>
      <c r="H1495" t="str">
        <f>MID(Table132[[#This Row],[ÉTAT]],VALUE(RIGHT(Table132[[#This Row],[next move]],1))+1+VALUE(LEFT(Table132[[#This Row],[next move]],1))*3,1)</f>
        <v>V</v>
      </c>
      <c r="I1495" t="str">
        <f>Table132[[#This Row],[ÉTAT]]&amp;Table132[[#This Row],[next move]]</f>
        <v>VVEEVVVMV11</v>
      </c>
    </row>
    <row r="1496" spans="2:9" x14ac:dyDescent="0.25">
      <c r="B1496" t="s">
        <v>1755</v>
      </c>
      <c r="C1496" s="22" t="s">
        <v>28</v>
      </c>
      <c r="D1496">
        <v>1</v>
      </c>
      <c r="E1496">
        <v>1</v>
      </c>
      <c r="G1496" s="25">
        <f>Table132[[#This Row],[nb win]]/Table132[[#This Row],[nb play]]</f>
        <v>1</v>
      </c>
      <c r="H1496" t="str">
        <f>MID(Table132[[#This Row],[ÉTAT]],VALUE(RIGHT(Table132[[#This Row],[next move]],1))+1+VALUE(LEFT(Table132[[#This Row],[next move]],1))*3,1)</f>
        <v>V</v>
      </c>
      <c r="I1496" t="str">
        <f>Table132[[#This Row],[ÉTAT]]&amp;Table132[[#This Row],[next move]]</f>
        <v>VVEEVVVMV12</v>
      </c>
    </row>
    <row r="1497" spans="2:9" x14ac:dyDescent="0.25">
      <c r="B1497" t="s">
        <v>256</v>
      </c>
      <c r="C1497" s="22" t="s">
        <v>24</v>
      </c>
      <c r="D1497">
        <v>3</v>
      </c>
      <c r="E1497">
        <v>3</v>
      </c>
      <c r="G1497" s="31">
        <f>Table132[[#This Row],[nb win]]/Table132[[#This Row],[nb play]]</f>
        <v>1</v>
      </c>
      <c r="H1497" t="str">
        <f>MID(Table132[[#This Row],[ÉTAT]],VALUE(RIGHT(Table132[[#This Row],[next move]],1))+1+VALUE(LEFT(Table132[[#This Row],[next move]],1))*3,1)</f>
        <v>V</v>
      </c>
      <c r="I1497" t="str">
        <f>Table132[[#This Row],[ÉTAT]]&amp;Table132[[#This Row],[next move]]</f>
        <v>VVEEVVVMM00</v>
      </c>
    </row>
    <row r="1498" spans="2:9" x14ac:dyDescent="0.25">
      <c r="B1498" t="s">
        <v>82</v>
      </c>
      <c r="C1498" s="22" t="s">
        <v>24</v>
      </c>
      <c r="D1498">
        <v>3</v>
      </c>
      <c r="E1498">
        <v>2</v>
      </c>
      <c r="G1498" s="30">
        <f>Table132[[#This Row],[nb win]]/Table132[[#This Row],[nb play]]</f>
        <v>0.66666666666666663</v>
      </c>
      <c r="H1498" t="str">
        <f>MID(Table132[[#This Row],[ÉTAT]],VALUE(RIGHT(Table132[[#This Row],[next move]],1))+1+VALUE(LEFT(Table132[[#This Row],[next move]],1))*3,1)</f>
        <v>V</v>
      </c>
      <c r="I1498" t="str">
        <f>Table132[[#This Row],[ÉTAT]]&amp;Table132[[#This Row],[next move]]</f>
        <v>VVEEVVMVV00</v>
      </c>
    </row>
    <row r="1499" spans="2:9" x14ac:dyDescent="0.25">
      <c r="B1499" t="s">
        <v>82</v>
      </c>
      <c r="C1499" s="22" t="s">
        <v>29</v>
      </c>
      <c r="D1499">
        <v>2</v>
      </c>
      <c r="E1499">
        <v>1</v>
      </c>
      <c r="G1499" s="30">
        <f>Table132[[#This Row],[nb win]]/Table132[[#This Row],[nb play]]</f>
        <v>0.5</v>
      </c>
      <c r="H1499" t="str">
        <f>MID(Table132[[#This Row],[ÉTAT]],VALUE(RIGHT(Table132[[#This Row],[next move]],1))+1+VALUE(LEFT(Table132[[#This Row],[next move]],1))*3,1)</f>
        <v>V</v>
      </c>
      <c r="I1499" t="str">
        <f>Table132[[#This Row],[ÉTAT]]&amp;Table132[[#This Row],[next move]]</f>
        <v>VVEEVVMVV11</v>
      </c>
    </row>
    <row r="1500" spans="2:9" x14ac:dyDescent="0.25">
      <c r="B1500" t="s">
        <v>82</v>
      </c>
      <c r="C1500" s="22" t="s">
        <v>28</v>
      </c>
      <c r="D1500">
        <v>2</v>
      </c>
      <c r="E1500">
        <v>1</v>
      </c>
      <c r="G1500" s="25">
        <f>Table132[[#This Row],[nb win]]/Table132[[#This Row],[nb play]]</f>
        <v>0.5</v>
      </c>
      <c r="H1500" t="str">
        <f>MID(Table132[[#This Row],[ÉTAT]],VALUE(RIGHT(Table132[[#This Row],[next move]],1))+1+VALUE(LEFT(Table132[[#This Row],[next move]],1))*3,1)</f>
        <v>V</v>
      </c>
      <c r="I1500" t="str">
        <f>Table132[[#This Row],[ÉTAT]]&amp;Table132[[#This Row],[next move]]</f>
        <v>VVEEVVMVV12</v>
      </c>
    </row>
    <row r="1501" spans="2:9" x14ac:dyDescent="0.25">
      <c r="B1501" t="s">
        <v>82</v>
      </c>
      <c r="C1501" s="22" t="s">
        <v>22</v>
      </c>
      <c r="D1501">
        <v>1</v>
      </c>
      <c r="E1501">
        <v>1</v>
      </c>
      <c r="G1501" s="31">
        <f>Table132[[#This Row],[nb win]]/Table132[[#This Row],[nb play]]</f>
        <v>1</v>
      </c>
      <c r="H1501" t="str">
        <f>MID(Table132[[#This Row],[ÉTAT]],VALUE(RIGHT(Table132[[#This Row],[next move]],1))+1+VALUE(LEFT(Table132[[#This Row],[next move]],1))*3,1)</f>
        <v>V</v>
      </c>
      <c r="I1501" t="str">
        <f>Table132[[#This Row],[ÉTAT]]&amp;Table132[[#This Row],[next move]]</f>
        <v>VVEEVVMVV21</v>
      </c>
    </row>
    <row r="1502" spans="2:9" x14ac:dyDescent="0.25">
      <c r="B1502" t="s">
        <v>82</v>
      </c>
      <c r="C1502" s="22" t="s">
        <v>31</v>
      </c>
      <c r="D1502">
        <v>5</v>
      </c>
      <c r="E1502">
        <v>4</v>
      </c>
      <c r="G1502" s="31">
        <f>Table132[[#This Row],[nb win]]/Table132[[#This Row],[nb play]]</f>
        <v>0.8</v>
      </c>
      <c r="H1502" t="str">
        <f>MID(Table132[[#This Row],[ÉTAT]],VALUE(RIGHT(Table132[[#This Row],[next move]],1))+1+VALUE(LEFT(Table132[[#This Row],[next move]],1))*3,1)</f>
        <v>V</v>
      </c>
      <c r="I1502" t="str">
        <f>Table132[[#This Row],[ÉTAT]]&amp;Table132[[#This Row],[next move]]</f>
        <v>VVEEVVMVV22</v>
      </c>
    </row>
    <row r="1503" spans="2:9" x14ac:dyDescent="0.25">
      <c r="B1503" t="s">
        <v>591</v>
      </c>
      <c r="C1503" s="22" t="s">
        <v>28</v>
      </c>
      <c r="D1503">
        <v>3</v>
      </c>
      <c r="E1503">
        <v>2</v>
      </c>
      <c r="G1503" s="31">
        <f>Table132[[#This Row],[nb win]]/Table132[[#This Row],[nb play]]</f>
        <v>0.66666666666666663</v>
      </c>
      <c r="H1503" t="str">
        <f>MID(Table132[[#This Row],[ÉTAT]],VALUE(RIGHT(Table132[[#This Row],[next move]],1))+1+VALUE(LEFT(Table132[[#This Row],[next move]],1))*3,1)</f>
        <v>V</v>
      </c>
      <c r="I1503" t="str">
        <f>Table132[[#This Row],[ÉTAT]]&amp;Table132[[#This Row],[next move]]</f>
        <v>VVEEVVMVM12</v>
      </c>
    </row>
    <row r="1504" spans="2:9" x14ac:dyDescent="0.25">
      <c r="B1504" t="s">
        <v>591</v>
      </c>
      <c r="C1504" s="22" t="s">
        <v>22</v>
      </c>
      <c r="D1504">
        <v>4</v>
      </c>
      <c r="E1504">
        <v>4</v>
      </c>
      <c r="G1504" s="31">
        <f>Table132[[#This Row],[nb win]]/Table132[[#This Row],[nb play]]</f>
        <v>1</v>
      </c>
      <c r="H1504" t="str">
        <f>MID(Table132[[#This Row],[ÉTAT]],VALUE(RIGHT(Table132[[#This Row],[next move]],1))+1+VALUE(LEFT(Table132[[#This Row],[next move]],1))*3,1)</f>
        <v>V</v>
      </c>
      <c r="I1504" t="str">
        <f>Table132[[#This Row],[ÉTAT]]&amp;Table132[[#This Row],[next move]]</f>
        <v>VVEEVVMVM21</v>
      </c>
    </row>
    <row r="1505" spans="2:9" x14ac:dyDescent="0.25">
      <c r="B1505" t="s">
        <v>1253</v>
      </c>
      <c r="C1505" s="22" t="s">
        <v>24</v>
      </c>
      <c r="D1505">
        <v>3</v>
      </c>
      <c r="E1505">
        <v>1</v>
      </c>
      <c r="G1505" s="30">
        <f>Table132[[#This Row],[nb win]]/Table132[[#This Row],[nb play]]</f>
        <v>0.33333333333333331</v>
      </c>
      <c r="H1505" t="str">
        <f>MID(Table132[[#This Row],[ÉTAT]],VALUE(RIGHT(Table132[[#This Row],[next move]],1))+1+VALUE(LEFT(Table132[[#This Row],[next move]],1))*3,1)</f>
        <v>V</v>
      </c>
      <c r="I1505" t="str">
        <f>Table132[[#This Row],[ÉTAT]]&amp;Table132[[#This Row],[next move]]</f>
        <v>VVEEVVMMV00</v>
      </c>
    </row>
    <row r="1506" spans="2:9" x14ac:dyDescent="0.25">
      <c r="B1506" t="s">
        <v>1253</v>
      </c>
      <c r="C1506" s="22" t="s">
        <v>26</v>
      </c>
      <c r="D1506">
        <v>1</v>
      </c>
      <c r="E1506">
        <v>1</v>
      </c>
      <c r="G1506" s="31">
        <f>Table132[[#This Row],[nb win]]/Table132[[#This Row],[nb play]]</f>
        <v>1</v>
      </c>
      <c r="H1506" t="str">
        <f>MID(Table132[[#This Row],[ÉTAT]],VALUE(RIGHT(Table132[[#This Row],[next move]],1))+1+VALUE(LEFT(Table132[[#This Row],[next move]],1))*3,1)</f>
        <v>V</v>
      </c>
      <c r="I1506" t="str">
        <f>Table132[[#This Row],[ÉTAT]]&amp;Table132[[#This Row],[next move]]</f>
        <v>VVEEVVMMV01</v>
      </c>
    </row>
    <row r="1507" spans="2:9" x14ac:dyDescent="0.25">
      <c r="B1507" t="s">
        <v>1253</v>
      </c>
      <c r="C1507" s="22" t="s">
        <v>29</v>
      </c>
      <c r="D1507">
        <v>4</v>
      </c>
      <c r="E1507">
        <v>3</v>
      </c>
      <c r="G1507" s="25">
        <f>Table132[[#This Row],[nb win]]/Table132[[#This Row],[nb play]]</f>
        <v>0.75</v>
      </c>
      <c r="H1507" t="str">
        <f>MID(Table132[[#This Row],[ÉTAT]],VALUE(RIGHT(Table132[[#This Row],[next move]],1))+1+VALUE(LEFT(Table132[[#This Row],[next move]],1))*3,1)</f>
        <v>V</v>
      </c>
      <c r="I1507" t="str">
        <f>Table132[[#This Row],[ÉTAT]]&amp;Table132[[#This Row],[next move]]</f>
        <v>VVEEVVMMV11</v>
      </c>
    </row>
    <row r="1508" spans="2:9" x14ac:dyDescent="0.25">
      <c r="B1508" t="s">
        <v>328</v>
      </c>
      <c r="C1508" s="22" t="s">
        <v>24</v>
      </c>
      <c r="D1508">
        <v>1</v>
      </c>
      <c r="G1508" s="25">
        <f>Table132[[#This Row],[nb win]]/Table132[[#This Row],[nb play]]</f>
        <v>0</v>
      </c>
      <c r="H1508" t="str">
        <f>MID(Table132[[#This Row],[ÉTAT]],VALUE(RIGHT(Table132[[#This Row],[next move]],1))+1+VALUE(LEFT(Table132[[#This Row],[next move]],1))*3,1)</f>
        <v>V</v>
      </c>
      <c r="I1508" t="str">
        <f>Table132[[#This Row],[ÉTAT]]&amp;Table132[[#This Row],[next move]]</f>
        <v>VVEEVMVVV00</v>
      </c>
    </row>
    <row r="1509" spans="2:9" x14ac:dyDescent="0.25">
      <c r="B1509" t="s">
        <v>328</v>
      </c>
      <c r="C1509" s="22" t="s">
        <v>26</v>
      </c>
      <c r="D1509">
        <v>1</v>
      </c>
      <c r="G1509" s="25">
        <f>Table132[[#This Row],[nb win]]/Table132[[#This Row],[nb play]]</f>
        <v>0</v>
      </c>
      <c r="H1509" t="str">
        <f>MID(Table132[[#This Row],[ÉTAT]],VALUE(RIGHT(Table132[[#This Row],[next move]],1))+1+VALUE(LEFT(Table132[[#This Row],[next move]],1))*3,1)</f>
        <v>V</v>
      </c>
      <c r="I1509" t="str">
        <f>Table132[[#This Row],[ÉTAT]]&amp;Table132[[#This Row],[next move]]</f>
        <v>VVEEVMVVV01</v>
      </c>
    </row>
    <row r="1510" spans="2:9" x14ac:dyDescent="0.25">
      <c r="B1510" t="s">
        <v>328</v>
      </c>
      <c r="C1510" s="22" t="s">
        <v>29</v>
      </c>
      <c r="D1510">
        <v>2</v>
      </c>
      <c r="E1510">
        <v>1</v>
      </c>
      <c r="G1510" s="31">
        <f>Table132[[#This Row],[nb win]]/Table132[[#This Row],[nb play]]</f>
        <v>0.5</v>
      </c>
      <c r="H1510" t="str">
        <f>MID(Table132[[#This Row],[ÉTAT]],VALUE(RIGHT(Table132[[#This Row],[next move]],1))+1+VALUE(LEFT(Table132[[#This Row],[next move]],1))*3,1)</f>
        <v>V</v>
      </c>
      <c r="I1510" t="str">
        <f>Table132[[#This Row],[ÉTAT]]&amp;Table132[[#This Row],[next move]]</f>
        <v>VVEEVMVVV11</v>
      </c>
    </row>
    <row r="1511" spans="2:9" x14ac:dyDescent="0.25">
      <c r="B1511" t="s">
        <v>328</v>
      </c>
      <c r="C1511" s="22" t="s">
        <v>35</v>
      </c>
      <c r="D1511">
        <v>2</v>
      </c>
      <c r="E1511">
        <v>1</v>
      </c>
      <c r="G1511" s="31">
        <f>Table132[[#This Row],[nb win]]/Table132[[#This Row],[nb play]]</f>
        <v>0.5</v>
      </c>
      <c r="H1511" t="str">
        <f>MID(Table132[[#This Row],[ÉTAT]],VALUE(RIGHT(Table132[[#This Row],[next move]],1))+1+VALUE(LEFT(Table132[[#This Row],[next move]],1))*3,1)</f>
        <v>V</v>
      </c>
      <c r="I1511" t="str">
        <f>Table132[[#This Row],[ÉTAT]]&amp;Table132[[#This Row],[next move]]</f>
        <v>VVEEVMVVV20</v>
      </c>
    </row>
    <row r="1512" spans="2:9" x14ac:dyDescent="0.25">
      <c r="B1512" t="s">
        <v>328</v>
      </c>
      <c r="C1512" s="22" t="s">
        <v>22</v>
      </c>
      <c r="D1512">
        <v>1</v>
      </c>
      <c r="G1512" s="25">
        <f>Table132[[#This Row],[nb win]]/Table132[[#This Row],[nb play]]</f>
        <v>0</v>
      </c>
      <c r="H1512" t="str">
        <f>MID(Table132[[#This Row],[ÉTAT]],VALUE(RIGHT(Table132[[#This Row],[next move]],1))+1+VALUE(LEFT(Table132[[#This Row],[next move]],1))*3,1)</f>
        <v>V</v>
      </c>
      <c r="I1512" t="str">
        <f>Table132[[#This Row],[ÉTAT]]&amp;Table132[[#This Row],[next move]]</f>
        <v>VVEEVMVVV21</v>
      </c>
    </row>
    <row r="1513" spans="2:9" x14ac:dyDescent="0.25">
      <c r="B1513" t="s">
        <v>328</v>
      </c>
      <c r="C1513" s="22" t="s">
        <v>31</v>
      </c>
      <c r="D1513">
        <v>4</v>
      </c>
      <c r="G1513" s="30">
        <f>Table132[[#This Row],[nb win]]/Table132[[#This Row],[nb play]]</f>
        <v>0</v>
      </c>
      <c r="H1513" t="str">
        <f>MID(Table132[[#This Row],[ÉTAT]],VALUE(RIGHT(Table132[[#This Row],[next move]],1))+1+VALUE(LEFT(Table132[[#This Row],[next move]],1))*3,1)</f>
        <v>V</v>
      </c>
      <c r="I1513" t="str">
        <f>Table132[[#This Row],[ÉTAT]]&amp;Table132[[#This Row],[next move]]</f>
        <v>VVEEVMVVV22</v>
      </c>
    </row>
    <row r="1514" spans="2:9" x14ac:dyDescent="0.25">
      <c r="B1514" t="s">
        <v>3193</v>
      </c>
      <c r="C1514" s="22" t="s">
        <v>26</v>
      </c>
      <c r="D1514">
        <v>1</v>
      </c>
      <c r="G1514" s="30">
        <f>Table132[[#This Row],[nb win]]/Table132[[#This Row],[nb play]]</f>
        <v>0</v>
      </c>
      <c r="H1514" t="str">
        <f>MID(Table132[[#This Row],[ÉTAT]],VALUE(RIGHT(Table132[[#This Row],[next move]],1))+1+VALUE(LEFT(Table132[[#This Row],[next move]],1))*3,1)</f>
        <v>V</v>
      </c>
      <c r="I1514" t="str">
        <f>Table132[[#This Row],[ÉTAT]]&amp;Table132[[#This Row],[next move]]</f>
        <v>VVEEVMVVM01</v>
      </c>
    </row>
    <row r="1515" spans="2:9" x14ac:dyDescent="0.25">
      <c r="B1515" t="s">
        <v>3193</v>
      </c>
      <c r="C1515" s="22" t="s">
        <v>29</v>
      </c>
      <c r="D1515">
        <v>1</v>
      </c>
      <c r="G1515" s="30">
        <f>Table132[[#This Row],[nb win]]/Table132[[#This Row],[nb play]]</f>
        <v>0</v>
      </c>
      <c r="H1515" t="str">
        <f>MID(Table132[[#This Row],[ÉTAT]],VALUE(RIGHT(Table132[[#This Row],[next move]],1))+1+VALUE(LEFT(Table132[[#This Row],[next move]],1))*3,1)</f>
        <v>V</v>
      </c>
      <c r="I1515" t="str">
        <f>Table132[[#This Row],[ÉTAT]]&amp;Table132[[#This Row],[next move]]</f>
        <v>VVEEVMVVM11</v>
      </c>
    </row>
    <row r="1516" spans="2:9" x14ac:dyDescent="0.25">
      <c r="B1516" t="s">
        <v>3193</v>
      </c>
      <c r="C1516" s="22" t="s">
        <v>22</v>
      </c>
      <c r="D1516">
        <v>1</v>
      </c>
      <c r="G1516" s="30">
        <f>Table132[[#This Row],[nb win]]/Table132[[#This Row],[nb play]]</f>
        <v>0</v>
      </c>
      <c r="H1516" t="str">
        <f>MID(Table132[[#This Row],[ÉTAT]],VALUE(RIGHT(Table132[[#This Row],[next move]],1))+1+VALUE(LEFT(Table132[[#This Row],[next move]],1))*3,1)</f>
        <v>V</v>
      </c>
      <c r="I1516" t="str">
        <f>Table132[[#This Row],[ÉTAT]]&amp;Table132[[#This Row],[next move]]</f>
        <v>VVEEVMVVM21</v>
      </c>
    </row>
    <row r="1517" spans="2:9" x14ac:dyDescent="0.25">
      <c r="B1517" t="s">
        <v>3048</v>
      </c>
      <c r="C1517" s="22" t="s">
        <v>24</v>
      </c>
      <c r="D1517">
        <v>2</v>
      </c>
      <c r="E1517">
        <v>2</v>
      </c>
      <c r="G1517" s="31">
        <f>Table132[[#This Row],[nb win]]/Table132[[#This Row],[nb play]]</f>
        <v>1</v>
      </c>
      <c r="H1517" t="str">
        <f>MID(Table132[[#This Row],[ÉTAT]],VALUE(RIGHT(Table132[[#This Row],[next move]],1))+1+VALUE(LEFT(Table132[[#This Row],[next move]],1))*3,1)</f>
        <v>V</v>
      </c>
      <c r="I1517" t="str">
        <f>Table132[[#This Row],[ÉTAT]]&amp;Table132[[#This Row],[next move]]</f>
        <v>VVEEVMVMV00</v>
      </c>
    </row>
    <row r="1518" spans="2:9" x14ac:dyDescent="0.25">
      <c r="B1518" t="s">
        <v>2442</v>
      </c>
      <c r="C1518" s="22" t="s">
        <v>26</v>
      </c>
      <c r="D1518">
        <v>1</v>
      </c>
      <c r="G1518" s="25">
        <f>Table132[[#This Row],[nb win]]/Table132[[#This Row],[nb play]]</f>
        <v>0</v>
      </c>
      <c r="H1518" t="str">
        <f>MID(Table132[[#This Row],[ÉTAT]],VALUE(RIGHT(Table132[[#This Row],[next move]],1))+1+VALUE(LEFT(Table132[[#This Row],[next move]],1))*3,1)</f>
        <v>V</v>
      </c>
      <c r="I1518" t="str">
        <f>Table132[[#This Row],[ÉTAT]]&amp;Table132[[#This Row],[next move]]</f>
        <v>VVEEVMVEM01</v>
      </c>
    </row>
    <row r="1519" spans="2:9" x14ac:dyDescent="0.25">
      <c r="B1519" t="s">
        <v>2442</v>
      </c>
      <c r="C1519" s="22" t="s">
        <v>29</v>
      </c>
      <c r="D1519">
        <v>1</v>
      </c>
      <c r="E1519">
        <v>1</v>
      </c>
      <c r="G1519" s="31">
        <f>Table132[[#This Row],[nb win]]/Table132[[#This Row],[nb play]]</f>
        <v>1</v>
      </c>
      <c r="H1519" t="str">
        <f>MID(Table132[[#This Row],[ÉTAT]],VALUE(RIGHT(Table132[[#This Row],[next move]],1))+1+VALUE(LEFT(Table132[[#This Row],[next move]],1))*3,1)</f>
        <v>V</v>
      </c>
      <c r="I1519" t="str">
        <f>Table132[[#This Row],[ÉTAT]]&amp;Table132[[#This Row],[next move]]</f>
        <v>VVEEVMVEM11</v>
      </c>
    </row>
    <row r="1520" spans="2:9" x14ac:dyDescent="0.25">
      <c r="B1520" t="s">
        <v>2442</v>
      </c>
      <c r="C1520" s="22" t="s">
        <v>35</v>
      </c>
      <c r="D1520">
        <v>1</v>
      </c>
      <c r="G1520" s="25">
        <f>Table132[[#This Row],[nb win]]/Table132[[#This Row],[nb play]]</f>
        <v>0</v>
      </c>
      <c r="H1520" t="str">
        <f>MID(Table132[[#This Row],[ÉTAT]],VALUE(RIGHT(Table132[[#This Row],[next move]],1))+1+VALUE(LEFT(Table132[[#This Row],[next move]],1))*3,1)</f>
        <v>V</v>
      </c>
      <c r="I1520" t="str">
        <f>Table132[[#This Row],[ÉTAT]]&amp;Table132[[#This Row],[next move]]</f>
        <v>VVEEVMVEM20</v>
      </c>
    </row>
    <row r="1521" spans="2:9" x14ac:dyDescent="0.25">
      <c r="B1521" t="s">
        <v>1807</v>
      </c>
      <c r="C1521" s="22" t="s">
        <v>31</v>
      </c>
      <c r="D1521">
        <v>1</v>
      </c>
      <c r="E1521">
        <v>1</v>
      </c>
      <c r="G1521" s="25">
        <f>Table132[[#This Row],[nb win]]/Table132[[#This Row],[nb play]]</f>
        <v>1</v>
      </c>
      <c r="H1521" t="str">
        <f>MID(Table132[[#This Row],[ÉTAT]],VALUE(RIGHT(Table132[[#This Row],[next move]],1))+1+VALUE(LEFT(Table132[[#This Row],[next move]],1))*3,1)</f>
        <v>V</v>
      </c>
      <c r="I1521" t="str">
        <f>Table132[[#This Row],[ÉTAT]]&amp;Table132[[#This Row],[next move]]</f>
        <v>VVEEVMMVV22</v>
      </c>
    </row>
    <row r="1522" spans="2:9" x14ac:dyDescent="0.25">
      <c r="B1522" t="s">
        <v>3024</v>
      </c>
      <c r="C1522" s="22" t="s">
        <v>22</v>
      </c>
      <c r="D1522">
        <v>1</v>
      </c>
      <c r="G1522" s="25">
        <f>Table132[[#This Row],[nb win]]/Table132[[#This Row],[nb play]]</f>
        <v>0</v>
      </c>
      <c r="H1522" t="str">
        <f>MID(Table132[[#This Row],[ÉTAT]],VALUE(RIGHT(Table132[[#This Row],[next move]],1))+1+VALUE(LEFT(Table132[[#This Row],[next move]],1))*3,1)</f>
        <v>V</v>
      </c>
      <c r="I1522" t="str">
        <f>Table132[[#This Row],[ÉTAT]]&amp;Table132[[#This Row],[next move]]</f>
        <v>VVEEVMMVE21</v>
      </c>
    </row>
    <row r="1523" spans="2:9" x14ac:dyDescent="0.25">
      <c r="B1523" t="s">
        <v>2048</v>
      </c>
      <c r="C1523" s="22" t="s">
        <v>26</v>
      </c>
      <c r="D1523">
        <v>1</v>
      </c>
      <c r="E1523">
        <v>1</v>
      </c>
      <c r="G1523" s="25">
        <f>Table132[[#This Row],[nb win]]/Table132[[#This Row],[nb play]]</f>
        <v>1</v>
      </c>
      <c r="H1523" t="str">
        <f>MID(Table132[[#This Row],[ÉTAT]],VALUE(RIGHT(Table132[[#This Row],[next move]],1))+1+VALUE(LEFT(Table132[[#This Row],[next move]],1))*3,1)</f>
        <v>V</v>
      </c>
      <c r="I1523" t="str">
        <f>Table132[[#This Row],[ÉTAT]]&amp;Table132[[#This Row],[next move]]</f>
        <v>VVEEVMMME01</v>
      </c>
    </row>
    <row r="1524" spans="2:9" x14ac:dyDescent="0.25">
      <c r="B1524" t="s">
        <v>846</v>
      </c>
      <c r="C1524" s="22" t="s">
        <v>24</v>
      </c>
      <c r="D1524">
        <v>4</v>
      </c>
      <c r="E1524">
        <v>1</v>
      </c>
      <c r="G1524" s="30">
        <f>Table132[[#This Row],[nb win]]/Table132[[#This Row],[nb play]]</f>
        <v>0.25</v>
      </c>
      <c r="H1524" t="str">
        <f>MID(Table132[[#This Row],[ÉTAT]],VALUE(RIGHT(Table132[[#This Row],[next move]],1))+1+VALUE(LEFT(Table132[[#This Row],[next move]],1))*3,1)</f>
        <v>V</v>
      </c>
      <c r="I1524" t="str">
        <f>Table132[[#This Row],[ÉTAT]]&amp;Table132[[#This Row],[next move]]</f>
        <v>VVEEVMEVM00</v>
      </c>
    </row>
    <row r="1525" spans="2:9" x14ac:dyDescent="0.25">
      <c r="B1525" t="s">
        <v>846</v>
      </c>
      <c r="C1525" s="22" t="s">
        <v>26</v>
      </c>
      <c r="D1525">
        <v>2</v>
      </c>
      <c r="G1525" s="30">
        <f>Table132[[#This Row],[nb win]]/Table132[[#This Row],[nb play]]</f>
        <v>0</v>
      </c>
      <c r="H1525" t="str">
        <f>MID(Table132[[#This Row],[ÉTAT]],VALUE(RIGHT(Table132[[#This Row],[next move]],1))+1+VALUE(LEFT(Table132[[#This Row],[next move]],1))*3,1)</f>
        <v>V</v>
      </c>
      <c r="I1525" t="str">
        <f>Table132[[#This Row],[ÉTAT]]&amp;Table132[[#This Row],[next move]]</f>
        <v>VVEEVMEVM01</v>
      </c>
    </row>
    <row r="1526" spans="2:9" x14ac:dyDescent="0.25">
      <c r="B1526" t="s">
        <v>846</v>
      </c>
      <c r="C1526" s="22" t="s">
        <v>29</v>
      </c>
      <c r="D1526">
        <v>2</v>
      </c>
      <c r="G1526" s="25">
        <f>Table132[[#This Row],[nb win]]/Table132[[#This Row],[nb play]]</f>
        <v>0</v>
      </c>
      <c r="H1526" t="str">
        <f>MID(Table132[[#This Row],[ÉTAT]],VALUE(RIGHT(Table132[[#This Row],[next move]],1))+1+VALUE(LEFT(Table132[[#This Row],[next move]],1))*3,1)</f>
        <v>V</v>
      </c>
      <c r="I1526" t="str">
        <f>Table132[[#This Row],[ÉTAT]]&amp;Table132[[#This Row],[next move]]</f>
        <v>VVEEVMEVM11</v>
      </c>
    </row>
    <row r="1527" spans="2:9" x14ac:dyDescent="0.25">
      <c r="B1527" t="s">
        <v>846</v>
      </c>
      <c r="C1527" s="22" t="s">
        <v>22</v>
      </c>
      <c r="D1527">
        <v>2</v>
      </c>
      <c r="G1527" s="25">
        <f>Table132[[#This Row],[nb win]]/Table132[[#This Row],[nb play]]</f>
        <v>0</v>
      </c>
      <c r="H1527" t="str">
        <f>MID(Table132[[#This Row],[ÉTAT]],VALUE(RIGHT(Table132[[#This Row],[next move]],1))+1+VALUE(LEFT(Table132[[#This Row],[next move]],1))*3,1)</f>
        <v>V</v>
      </c>
      <c r="I1527" t="str">
        <f>Table132[[#This Row],[ÉTAT]]&amp;Table132[[#This Row],[next move]]</f>
        <v>VVEEVMEVM21</v>
      </c>
    </row>
    <row r="1528" spans="2:9" x14ac:dyDescent="0.25">
      <c r="B1528" t="s">
        <v>1296</v>
      </c>
      <c r="C1528" s="22" t="s">
        <v>24</v>
      </c>
      <c r="D1528">
        <v>1</v>
      </c>
      <c r="E1528">
        <v>1</v>
      </c>
      <c r="G1528" s="25">
        <f>Table132[[#This Row],[nb win]]/Table132[[#This Row],[nb play]]</f>
        <v>1</v>
      </c>
      <c r="H1528" t="str">
        <f>MID(Table132[[#This Row],[ÉTAT]],VALUE(RIGHT(Table132[[#This Row],[next move]],1))+1+VALUE(LEFT(Table132[[#This Row],[next move]],1))*3,1)</f>
        <v>V</v>
      </c>
      <c r="I1528" t="str">
        <f>Table132[[#This Row],[ÉTAT]]&amp;Table132[[#This Row],[next move]]</f>
        <v>VVEEVMEMM00</v>
      </c>
    </row>
    <row r="1529" spans="2:9" x14ac:dyDescent="0.25">
      <c r="B1529" t="s">
        <v>1296</v>
      </c>
      <c r="C1529" s="22" t="s">
        <v>26</v>
      </c>
      <c r="D1529">
        <v>1</v>
      </c>
      <c r="G1529" s="25">
        <f>Table132[[#This Row],[nb win]]/Table132[[#This Row],[nb play]]</f>
        <v>0</v>
      </c>
      <c r="H1529" t="str">
        <f>MID(Table132[[#This Row],[ÉTAT]],VALUE(RIGHT(Table132[[#This Row],[next move]],1))+1+VALUE(LEFT(Table132[[#This Row],[next move]],1))*3,1)</f>
        <v>V</v>
      </c>
      <c r="I1529" t="str">
        <f>Table132[[#This Row],[ÉTAT]]&amp;Table132[[#This Row],[next move]]</f>
        <v>VVEEVMEMM01</v>
      </c>
    </row>
    <row r="1530" spans="2:9" x14ac:dyDescent="0.25">
      <c r="B1530" t="s">
        <v>1296</v>
      </c>
      <c r="C1530" s="22" t="s">
        <v>29</v>
      </c>
      <c r="D1530">
        <v>1</v>
      </c>
      <c r="G1530" s="25">
        <f>Table132[[#This Row],[nb win]]/Table132[[#This Row],[nb play]]</f>
        <v>0</v>
      </c>
      <c r="H1530" t="str">
        <f>MID(Table132[[#This Row],[ÉTAT]],VALUE(RIGHT(Table132[[#This Row],[next move]],1))+1+VALUE(LEFT(Table132[[#This Row],[next move]],1))*3,1)</f>
        <v>V</v>
      </c>
      <c r="I1530" t="str">
        <f>Table132[[#This Row],[ÉTAT]]&amp;Table132[[#This Row],[next move]]</f>
        <v>VVEEVMEMM11</v>
      </c>
    </row>
    <row r="1531" spans="2:9" x14ac:dyDescent="0.25">
      <c r="B1531" t="s">
        <v>3060</v>
      </c>
      <c r="C1531" s="22" t="s">
        <v>24</v>
      </c>
      <c r="D1531">
        <v>2</v>
      </c>
      <c r="G1531" s="30">
        <f>Table132[[#This Row],[nb win]]/Table132[[#This Row],[nb play]]</f>
        <v>0</v>
      </c>
      <c r="H1531" t="str">
        <f>MID(Table132[[#This Row],[ÉTAT]],VALUE(RIGHT(Table132[[#This Row],[next move]],1))+1+VALUE(LEFT(Table132[[#This Row],[next move]],1))*3,1)</f>
        <v>V</v>
      </c>
      <c r="I1531" t="str">
        <f>Table132[[#This Row],[ÉTAT]]&amp;Table132[[#This Row],[next move]]</f>
        <v>VVEEVEVMM00</v>
      </c>
    </row>
    <row r="1532" spans="2:9" x14ac:dyDescent="0.25">
      <c r="B1532" t="s">
        <v>3060</v>
      </c>
      <c r="C1532" s="22" t="s">
        <v>29</v>
      </c>
      <c r="D1532">
        <v>1</v>
      </c>
      <c r="E1532">
        <v>1</v>
      </c>
      <c r="G1532" s="31">
        <f>Table132[[#This Row],[nb win]]/Table132[[#This Row],[nb play]]</f>
        <v>1</v>
      </c>
      <c r="H1532" t="str">
        <f>MID(Table132[[#This Row],[ÉTAT]],VALUE(RIGHT(Table132[[#This Row],[next move]],1))+1+VALUE(LEFT(Table132[[#This Row],[next move]],1))*3,1)</f>
        <v>V</v>
      </c>
      <c r="I1532" t="str">
        <f>Table132[[#This Row],[ÉTAT]]&amp;Table132[[#This Row],[next move]]</f>
        <v>VVEEVEVMM11</v>
      </c>
    </row>
    <row r="1533" spans="2:9" x14ac:dyDescent="0.25">
      <c r="B1533" t="s">
        <v>1407</v>
      </c>
      <c r="C1533" s="22" t="s">
        <v>22</v>
      </c>
      <c r="D1533">
        <v>6</v>
      </c>
      <c r="E1533">
        <v>6</v>
      </c>
      <c r="G1533" s="31">
        <f>Table132[[#This Row],[nb win]]/Table132[[#This Row],[nb play]]</f>
        <v>1</v>
      </c>
      <c r="H1533" t="str">
        <f>MID(Table132[[#This Row],[ÉTAT]],VALUE(RIGHT(Table132[[#This Row],[next move]],1))+1+VALUE(LEFT(Table132[[#This Row],[next move]],1))*3,1)</f>
        <v>V</v>
      </c>
      <c r="I1533" t="str">
        <f>Table132[[#This Row],[ÉTAT]]&amp;Table132[[#This Row],[next move]]</f>
        <v>VVEEVEMVM21</v>
      </c>
    </row>
    <row r="1534" spans="2:9" x14ac:dyDescent="0.25">
      <c r="B1534" t="s">
        <v>1420</v>
      </c>
      <c r="C1534" s="22" t="s">
        <v>24</v>
      </c>
      <c r="D1534">
        <v>4</v>
      </c>
      <c r="E1534">
        <v>1</v>
      </c>
      <c r="G1534" s="31">
        <f>Table132[[#This Row],[nb win]]/Table132[[#This Row],[nb play]]</f>
        <v>0.25</v>
      </c>
      <c r="H1534" t="str">
        <f>MID(Table132[[#This Row],[ÉTAT]],VALUE(RIGHT(Table132[[#This Row],[next move]],1))+1+VALUE(LEFT(Table132[[#This Row],[next move]],1))*3,1)</f>
        <v>V</v>
      </c>
      <c r="I1534" t="str">
        <f>Table132[[#This Row],[ÉTAT]]&amp;Table132[[#This Row],[next move]]</f>
        <v>VVEEMVVVV00</v>
      </c>
    </row>
    <row r="1535" spans="2:9" x14ac:dyDescent="0.25">
      <c r="B1535" t="s">
        <v>1420</v>
      </c>
      <c r="C1535" s="22" t="s">
        <v>26</v>
      </c>
      <c r="D1535">
        <v>1</v>
      </c>
      <c r="G1535" s="25">
        <f>Table132[[#This Row],[nb win]]/Table132[[#This Row],[nb play]]</f>
        <v>0</v>
      </c>
      <c r="H1535" t="str">
        <f>MID(Table132[[#This Row],[ÉTAT]],VALUE(RIGHT(Table132[[#This Row],[next move]],1))+1+VALUE(LEFT(Table132[[#This Row],[next move]],1))*3,1)</f>
        <v>V</v>
      </c>
      <c r="I1535" t="str">
        <f>Table132[[#This Row],[ÉTAT]]&amp;Table132[[#This Row],[next move]]</f>
        <v>VVEEMVVVV01</v>
      </c>
    </row>
    <row r="1536" spans="2:9" x14ac:dyDescent="0.25">
      <c r="B1536" t="s">
        <v>1420</v>
      </c>
      <c r="C1536" s="22" t="s">
        <v>28</v>
      </c>
      <c r="D1536">
        <v>1</v>
      </c>
      <c r="G1536" s="25">
        <f>Table132[[#This Row],[nb win]]/Table132[[#This Row],[nb play]]</f>
        <v>0</v>
      </c>
      <c r="H1536" t="str">
        <f>MID(Table132[[#This Row],[ÉTAT]],VALUE(RIGHT(Table132[[#This Row],[next move]],1))+1+VALUE(LEFT(Table132[[#This Row],[next move]],1))*3,1)</f>
        <v>V</v>
      </c>
      <c r="I1536" t="str">
        <f>Table132[[#This Row],[ÉTAT]]&amp;Table132[[#This Row],[next move]]</f>
        <v>VVEEMVVVV12</v>
      </c>
    </row>
    <row r="1537" spans="2:9" x14ac:dyDescent="0.25">
      <c r="B1537" t="s">
        <v>1420</v>
      </c>
      <c r="C1537" s="22" t="s">
        <v>35</v>
      </c>
      <c r="D1537">
        <v>3</v>
      </c>
      <c r="G1537" s="30">
        <f>Table132[[#This Row],[nb win]]/Table132[[#This Row],[nb play]]</f>
        <v>0</v>
      </c>
      <c r="H1537" t="str">
        <f>MID(Table132[[#This Row],[ÉTAT]],VALUE(RIGHT(Table132[[#This Row],[next move]],1))+1+VALUE(LEFT(Table132[[#This Row],[next move]],1))*3,1)</f>
        <v>V</v>
      </c>
      <c r="I1537" t="str">
        <f>Table132[[#This Row],[ÉTAT]]&amp;Table132[[#This Row],[next move]]</f>
        <v>VVEEMVVVV20</v>
      </c>
    </row>
    <row r="1538" spans="2:9" x14ac:dyDescent="0.25">
      <c r="B1538" t="s">
        <v>1420</v>
      </c>
      <c r="C1538" s="22" t="s">
        <v>22</v>
      </c>
      <c r="D1538">
        <v>11</v>
      </c>
      <c r="E1538">
        <v>7</v>
      </c>
      <c r="G1538" s="31">
        <f>Table132[[#This Row],[nb win]]/Table132[[#This Row],[nb play]]</f>
        <v>0.63636363636363635</v>
      </c>
      <c r="H1538" t="str">
        <f>MID(Table132[[#This Row],[ÉTAT]],VALUE(RIGHT(Table132[[#This Row],[next move]],1))+1+VALUE(LEFT(Table132[[#This Row],[next move]],1))*3,1)</f>
        <v>V</v>
      </c>
      <c r="I1538" t="str">
        <f>Table132[[#This Row],[ÉTAT]]&amp;Table132[[#This Row],[next move]]</f>
        <v>VVEEMVVVV21</v>
      </c>
    </row>
    <row r="1539" spans="2:9" x14ac:dyDescent="0.25">
      <c r="B1539" t="s">
        <v>1420</v>
      </c>
      <c r="C1539" s="22" t="s">
        <v>31</v>
      </c>
      <c r="D1539">
        <v>8</v>
      </c>
      <c r="E1539">
        <v>2</v>
      </c>
      <c r="G1539" s="30">
        <f>Table132[[#This Row],[nb win]]/Table132[[#This Row],[nb play]]</f>
        <v>0.25</v>
      </c>
      <c r="H1539" t="str">
        <f>MID(Table132[[#This Row],[ÉTAT]],VALUE(RIGHT(Table132[[#This Row],[next move]],1))+1+VALUE(LEFT(Table132[[#This Row],[next move]],1))*3,1)</f>
        <v>V</v>
      </c>
      <c r="I1539" t="str">
        <f>Table132[[#This Row],[ÉTAT]]&amp;Table132[[#This Row],[next move]]</f>
        <v>VVEEMVVVV22</v>
      </c>
    </row>
    <row r="1540" spans="2:9" x14ac:dyDescent="0.25">
      <c r="B1540" t="s">
        <v>285</v>
      </c>
      <c r="C1540" s="22" t="s">
        <v>26</v>
      </c>
      <c r="D1540">
        <v>2</v>
      </c>
      <c r="E1540">
        <v>2</v>
      </c>
      <c r="G1540" s="25">
        <f>Table132[[#This Row],[nb win]]/Table132[[#This Row],[nb play]]</f>
        <v>1</v>
      </c>
      <c r="H1540" t="str">
        <f>MID(Table132[[#This Row],[ÉTAT]],VALUE(RIGHT(Table132[[#This Row],[next move]],1))+1+VALUE(LEFT(Table132[[#This Row],[next move]],1))*3,1)</f>
        <v>V</v>
      </c>
      <c r="I1540" t="str">
        <f>Table132[[#This Row],[ÉTAT]]&amp;Table132[[#This Row],[next move]]</f>
        <v>VVEEMVVVM01</v>
      </c>
    </row>
    <row r="1541" spans="2:9" x14ac:dyDescent="0.25">
      <c r="B1541" t="s">
        <v>285</v>
      </c>
      <c r="C1541" s="22" t="s">
        <v>22</v>
      </c>
      <c r="D1541">
        <v>3</v>
      </c>
      <c r="E1541">
        <v>2</v>
      </c>
      <c r="G1541" s="25">
        <f>Table132[[#This Row],[nb win]]/Table132[[#This Row],[nb play]]</f>
        <v>0.66666666666666663</v>
      </c>
      <c r="H1541" t="str">
        <f>MID(Table132[[#This Row],[ÉTAT]],VALUE(RIGHT(Table132[[#This Row],[next move]],1))+1+VALUE(LEFT(Table132[[#This Row],[next move]],1))*3,1)</f>
        <v>V</v>
      </c>
      <c r="I1541" t="str">
        <f>Table132[[#This Row],[ÉTAT]]&amp;Table132[[#This Row],[next move]]</f>
        <v>VVEEMVVVM21</v>
      </c>
    </row>
    <row r="1542" spans="2:9" x14ac:dyDescent="0.25">
      <c r="B1542" t="s">
        <v>1176</v>
      </c>
      <c r="C1542" s="22" t="s">
        <v>24</v>
      </c>
      <c r="D1542">
        <v>1</v>
      </c>
      <c r="G1542" s="25">
        <f>Table132[[#This Row],[nb win]]/Table132[[#This Row],[nb play]]</f>
        <v>0</v>
      </c>
      <c r="H1542" t="str">
        <f>MID(Table132[[#This Row],[ÉTAT]],VALUE(RIGHT(Table132[[#This Row],[next move]],1))+1+VALUE(LEFT(Table132[[#This Row],[next move]],1))*3,1)</f>
        <v>V</v>
      </c>
      <c r="I1542" t="str">
        <f>Table132[[#This Row],[ÉTAT]]&amp;Table132[[#This Row],[next move]]</f>
        <v>VVEEMVVMV00</v>
      </c>
    </row>
    <row r="1543" spans="2:9" x14ac:dyDescent="0.25">
      <c r="B1543" t="s">
        <v>1176</v>
      </c>
      <c r="C1543" s="22" t="s">
        <v>31</v>
      </c>
      <c r="D1543">
        <v>3</v>
      </c>
      <c r="E1543">
        <v>3</v>
      </c>
      <c r="G1543" s="31">
        <f>Table132[[#This Row],[nb win]]/Table132[[#This Row],[nb play]]</f>
        <v>1</v>
      </c>
      <c r="H1543" t="str">
        <f>MID(Table132[[#This Row],[ÉTAT]],VALUE(RIGHT(Table132[[#This Row],[next move]],1))+1+VALUE(LEFT(Table132[[#This Row],[next move]],1))*3,1)</f>
        <v>V</v>
      </c>
      <c r="I1543" t="str">
        <f>Table132[[#This Row],[ÉTAT]]&amp;Table132[[#This Row],[next move]]</f>
        <v>VVEEMVVMV22</v>
      </c>
    </row>
    <row r="1544" spans="2:9" x14ac:dyDescent="0.25">
      <c r="B1544" t="s">
        <v>1626</v>
      </c>
      <c r="C1544" s="22" t="s">
        <v>26</v>
      </c>
      <c r="D1544">
        <v>3</v>
      </c>
      <c r="E1544">
        <v>3</v>
      </c>
      <c r="G1544" s="31">
        <f>Table132[[#This Row],[nb win]]/Table132[[#This Row],[nb play]]</f>
        <v>1</v>
      </c>
      <c r="H1544" t="str">
        <f>MID(Table132[[#This Row],[ÉTAT]],VALUE(RIGHT(Table132[[#This Row],[next move]],1))+1+VALUE(LEFT(Table132[[#This Row],[next move]],1))*3,1)</f>
        <v>V</v>
      </c>
      <c r="I1544" t="str">
        <f>Table132[[#This Row],[ÉTAT]]&amp;Table132[[#This Row],[next move]]</f>
        <v>VVEEMVVME01</v>
      </c>
    </row>
    <row r="1545" spans="2:9" x14ac:dyDescent="0.25">
      <c r="B1545" t="s">
        <v>1669</v>
      </c>
      <c r="C1545" s="22" t="s">
        <v>24</v>
      </c>
      <c r="D1545">
        <v>6</v>
      </c>
      <c r="E1545">
        <v>6</v>
      </c>
      <c r="G1545" s="31">
        <f>Table132[[#This Row],[nb win]]/Table132[[#This Row],[nb play]]</f>
        <v>1</v>
      </c>
      <c r="H1545" t="str">
        <f>MID(Table132[[#This Row],[ÉTAT]],VALUE(RIGHT(Table132[[#This Row],[next move]],1))+1+VALUE(LEFT(Table132[[#This Row],[next move]],1))*3,1)</f>
        <v>V</v>
      </c>
      <c r="I1545" t="str">
        <f>Table132[[#This Row],[ÉTAT]]&amp;Table132[[#This Row],[next move]]</f>
        <v>VVEEMVVEM00</v>
      </c>
    </row>
    <row r="1546" spans="2:9" x14ac:dyDescent="0.25">
      <c r="B1546" t="s">
        <v>2236</v>
      </c>
      <c r="C1546" s="22" t="s">
        <v>24</v>
      </c>
      <c r="D1546">
        <v>1</v>
      </c>
      <c r="E1546">
        <v>1</v>
      </c>
      <c r="G1546" s="25">
        <f>Table132[[#This Row],[nb win]]/Table132[[#This Row],[nb play]]</f>
        <v>1</v>
      </c>
      <c r="H1546" t="str">
        <f>MID(Table132[[#This Row],[ÉTAT]],VALUE(RIGHT(Table132[[#This Row],[next move]],1))+1+VALUE(LEFT(Table132[[#This Row],[next move]],1))*3,1)</f>
        <v>V</v>
      </c>
      <c r="I1546" t="str">
        <f>Table132[[#This Row],[ÉTAT]]&amp;Table132[[#This Row],[next move]]</f>
        <v>VVEEMVMVV00</v>
      </c>
    </row>
    <row r="1547" spans="2:9" x14ac:dyDescent="0.25">
      <c r="B1547" t="s">
        <v>532</v>
      </c>
      <c r="C1547" s="22" t="s">
        <v>26</v>
      </c>
      <c r="D1547">
        <v>2</v>
      </c>
      <c r="E1547">
        <v>2</v>
      </c>
      <c r="G1547" s="25">
        <f>Table132[[#This Row],[nb win]]/Table132[[#This Row],[nb play]]</f>
        <v>1</v>
      </c>
      <c r="H1547" t="str">
        <f>MID(Table132[[#This Row],[ÉTAT]],VALUE(RIGHT(Table132[[#This Row],[next move]],1))+1+VALUE(LEFT(Table132[[#This Row],[next move]],1))*3,1)</f>
        <v>V</v>
      </c>
      <c r="I1547" t="str">
        <f>Table132[[#This Row],[ÉTAT]]&amp;Table132[[#This Row],[next move]]</f>
        <v>VVEEMVMME01</v>
      </c>
    </row>
    <row r="1548" spans="2:9" x14ac:dyDescent="0.25">
      <c r="B1548" t="s">
        <v>2275</v>
      </c>
      <c r="C1548" s="22" t="s">
        <v>31</v>
      </c>
      <c r="D1548">
        <v>1</v>
      </c>
      <c r="G1548" s="25">
        <f>Table132[[#This Row],[nb win]]/Table132[[#This Row],[nb play]]</f>
        <v>0</v>
      </c>
      <c r="H1548" t="str">
        <f>MID(Table132[[#This Row],[ÉTAT]],VALUE(RIGHT(Table132[[#This Row],[next move]],1))+1+VALUE(LEFT(Table132[[#This Row],[next move]],1))*3,1)</f>
        <v>V</v>
      </c>
      <c r="I1548" t="str">
        <f>Table132[[#This Row],[ÉTAT]]&amp;Table132[[#This Row],[next move]]</f>
        <v>VVEEMVMEV22</v>
      </c>
    </row>
    <row r="1549" spans="2:9" x14ac:dyDescent="0.25">
      <c r="B1549" t="s">
        <v>1384</v>
      </c>
      <c r="C1549" s="22" t="s">
        <v>26</v>
      </c>
      <c r="D1549">
        <v>3</v>
      </c>
      <c r="E1549">
        <v>3</v>
      </c>
      <c r="G1549" s="31">
        <f>Table132[[#This Row],[nb win]]/Table132[[#This Row],[nb play]]</f>
        <v>1</v>
      </c>
      <c r="H1549" t="str">
        <f>MID(Table132[[#This Row],[ÉTAT]],VALUE(RIGHT(Table132[[#This Row],[next move]],1))+1+VALUE(LEFT(Table132[[#This Row],[next move]],1))*3,1)</f>
        <v>V</v>
      </c>
      <c r="I1549" t="str">
        <f>Table132[[#This Row],[ÉTAT]]&amp;Table132[[#This Row],[next move]]</f>
        <v>VVEEMVEMV01</v>
      </c>
    </row>
    <row r="1550" spans="2:9" x14ac:dyDescent="0.25">
      <c r="B1550" t="s">
        <v>1384</v>
      </c>
      <c r="C1550" s="22" t="s">
        <v>31</v>
      </c>
      <c r="D1550">
        <v>4</v>
      </c>
      <c r="E1550">
        <v>1</v>
      </c>
      <c r="G1550" s="30">
        <f>Table132[[#This Row],[nb win]]/Table132[[#This Row],[nb play]]</f>
        <v>0.25</v>
      </c>
      <c r="H1550" t="str">
        <f>MID(Table132[[#This Row],[ÉTAT]],VALUE(RIGHT(Table132[[#This Row],[next move]],1))+1+VALUE(LEFT(Table132[[#This Row],[next move]],1))*3,1)</f>
        <v>V</v>
      </c>
      <c r="I1550" t="str">
        <f>Table132[[#This Row],[ÉTAT]]&amp;Table132[[#This Row],[next move]]</f>
        <v>VVEEMVEMV22</v>
      </c>
    </row>
    <row r="1551" spans="2:9" x14ac:dyDescent="0.25">
      <c r="B1551" t="s">
        <v>321</v>
      </c>
      <c r="C1551" s="22" t="s">
        <v>26</v>
      </c>
      <c r="D1551">
        <v>3</v>
      </c>
      <c r="E1551">
        <v>3</v>
      </c>
      <c r="G1551" s="31">
        <f>Table132[[#This Row],[nb win]]/Table132[[#This Row],[nb play]]</f>
        <v>1</v>
      </c>
      <c r="H1551" t="str">
        <f>MID(Table132[[#This Row],[ÉTAT]],VALUE(RIGHT(Table132[[#This Row],[next move]],1))+1+VALUE(LEFT(Table132[[#This Row],[next move]],1))*3,1)</f>
        <v>V</v>
      </c>
      <c r="I1551" t="str">
        <f>Table132[[#This Row],[ÉTAT]]&amp;Table132[[#This Row],[next move]]</f>
        <v>VVEEMVEMM01</v>
      </c>
    </row>
    <row r="1552" spans="2:9" x14ac:dyDescent="0.25">
      <c r="B1552" t="s">
        <v>321</v>
      </c>
      <c r="C1552" s="22" t="s">
        <v>28</v>
      </c>
      <c r="D1552">
        <v>2</v>
      </c>
      <c r="G1552" s="25">
        <f>Table132[[#This Row],[nb win]]/Table132[[#This Row],[nb play]]</f>
        <v>0</v>
      </c>
      <c r="H1552" t="str">
        <f>MID(Table132[[#This Row],[ÉTAT]],VALUE(RIGHT(Table132[[#This Row],[next move]],1))+1+VALUE(LEFT(Table132[[#This Row],[next move]],1))*3,1)</f>
        <v>V</v>
      </c>
      <c r="I1552" t="str">
        <f>Table132[[#This Row],[ÉTAT]]&amp;Table132[[#This Row],[next move]]</f>
        <v>VVEEMVEMM12</v>
      </c>
    </row>
    <row r="1553" spans="2:9" x14ac:dyDescent="0.25">
      <c r="B1553" t="s">
        <v>315</v>
      </c>
      <c r="C1553" s="22" t="s">
        <v>26</v>
      </c>
      <c r="D1553">
        <v>3</v>
      </c>
      <c r="E1553">
        <v>3</v>
      </c>
      <c r="G1553" s="31">
        <f>Table132[[#This Row],[nb win]]/Table132[[#This Row],[nb play]]</f>
        <v>1</v>
      </c>
      <c r="H1553" t="str">
        <f>MID(Table132[[#This Row],[ÉTAT]],VALUE(RIGHT(Table132[[#This Row],[next move]],1))+1+VALUE(LEFT(Table132[[#This Row],[next move]],1))*3,1)</f>
        <v>V</v>
      </c>
      <c r="I1553" t="str">
        <f>Table132[[#This Row],[ÉTAT]]&amp;Table132[[#This Row],[next move]]</f>
        <v>VVEEMMVVV01</v>
      </c>
    </row>
    <row r="1554" spans="2:9" x14ac:dyDescent="0.25">
      <c r="B1554" t="s">
        <v>315</v>
      </c>
      <c r="C1554" s="22" t="s">
        <v>35</v>
      </c>
      <c r="D1554">
        <v>3</v>
      </c>
      <c r="E1554">
        <v>2</v>
      </c>
      <c r="G1554" s="25">
        <f>Table132[[#This Row],[nb win]]/Table132[[#This Row],[nb play]]</f>
        <v>0.66666666666666663</v>
      </c>
      <c r="H1554" t="str">
        <f>MID(Table132[[#This Row],[ÉTAT]],VALUE(RIGHT(Table132[[#This Row],[next move]],1))+1+VALUE(LEFT(Table132[[#This Row],[next move]],1))*3,1)</f>
        <v>V</v>
      </c>
      <c r="I1554" t="str">
        <f>Table132[[#This Row],[ÉTAT]]&amp;Table132[[#This Row],[next move]]</f>
        <v>VVEEMMVVV20</v>
      </c>
    </row>
    <row r="1555" spans="2:9" x14ac:dyDescent="0.25">
      <c r="B1555" t="s">
        <v>2285</v>
      </c>
      <c r="C1555" s="22" t="s">
        <v>35</v>
      </c>
      <c r="D1555">
        <v>1</v>
      </c>
      <c r="G1555" s="30">
        <f>Table132[[#This Row],[nb win]]/Table132[[#This Row],[nb play]]</f>
        <v>0</v>
      </c>
      <c r="H1555" t="str">
        <f>MID(Table132[[#This Row],[ÉTAT]],VALUE(RIGHT(Table132[[#This Row],[next move]],1))+1+VALUE(LEFT(Table132[[#This Row],[next move]],1))*3,1)</f>
        <v>V</v>
      </c>
      <c r="I1555" t="str">
        <f>Table132[[#This Row],[ÉTAT]]&amp;Table132[[#This Row],[next move]]</f>
        <v>VVEEMMVVE20</v>
      </c>
    </row>
    <row r="1556" spans="2:9" x14ac:dyDescent="0.25">
      <c r="B1556" t="s">
        <v>2133</v>
      </c>
      <c r="C1556" s="22" t="s">
        <v>26</v>
      </c>
      <c r="D1556">
        <v>1</v>
      </c>
      <c r="E1556">
        <v>1</v>
      </c>
      <c r="G1556" s="25">
        <f>Table132[[#This Row],[nb win]]/Table132[[#This Row],[nb play]]</f>
        <v>1</v>
      </c>
      <c r="H1556" t="str">
        <f>MID(Table132[[#This Row],[ÉTAT]],VALUE(RIGHT(Table132[[#This Row],[next move]],1))+1+VALUE(LEFT(Table132[[#This Row],[next move]],1))*3,1)</f>
        <v>V</v>
      </c>
      <c r="I1556" t="str">
        <f>Table132[[#This Row],[ÉTAT]]&amp;Table132[[#This Row],[next move]]</f>
        <v>VVEEMMVME01</v>
      </c>
    </row>
    <row r="1557" spans="2:9" x14ac:dyDescent="0.25">
      <c r="B1557" t="s">
        <v>3139</v>
      </c>
      <c r="C1557" s="22" t="s">
        <v>24</v>
      </c>
      <c r="D1557">
        <v>1</v>
      </c>
      <c r="E1557">
        <v>1</v>
      </c>
      <c r="G1557" s="31">
        <f>Table132[[#This Row],[nb win]]/Table132[[#This Row],[nb play]]</f>
        <v>1</v>
      </c>
      <c r="H1557" t="str">
        <f>MID(Table132[[#This Row],[ÉTAT]],VALUE(RIGHT(Table132[[#This Row],[next move]],1))+1+VALUE(LEFT(Table132[[#This Row],[next move]],1))*3,1)</f>
        <v>V</v>
      </c>
      <c r="I1557" t="str">
        <f>Table132[[#This Row],[ÉTAT]]&amp;Table132[[#This Row],[next move]]</f>
        <v>VVEEMMVEM00</v>
      </c>
    </row>
    <row r="1558" spans="2:9" x14ac:dyDescent="0.25">
      <c r="B1558" t="s">
        <v>3030</v>
      </c>
      <c r="C1558" s="22" t="s">
        <v>26</v>
      </c>
      <c r="D1558">
        <v>1</v>
      </c>
      <c r="E1558">
        <v>1</v>
      </c>
      <c r="G1558" s="31">
        <f>Table132[[#This Row],[nb win]]/Table132[[#This Row],[nb play]]</f>
        <v>1</v>
      </c>
      <c r="H1558" t="str">
        <f>MID(Table132[[#This Row],[ÉTAT]],VALUE(RIGHT(Table132[[#This Row],[next move]],1))+1+VALUE(LEFT(Table132[[#This Row],[next move]],1))*3,1)</f>
        <v>V</v>
      </c>
      <c r="I1558" t="str">
        <f>Table132[[#This Row],[ÉTAT]]&amp;Table132[[#This Row],[next move]]</f>
        <v>VVEEMMMVE01</v>
      </c>
    </row>
    <row r="1559" spans="2:9" x14ac:dyDescent="0.25">
      <c r="B1559" t="s">
        <v>560</v>
      </c>
      <c r="C1559" s="22" t="s">
        <v>31</v>
      </c>
      <c r="D1559">
        <v>1</v>
      </c>
      <c r="E1559">
        <v>1</v>
      </c>
      <c r="G1559" s="25">
        <f>Table132[[#This Row],[nb win]]/Table132[[#This Row],[nb play]]</f>
        <v>1</v>
      </c>
      <c r="H1559" t="str">
        <f>MID(Table132[[#This Row],[ÉTAT]],VALUE(RIGHT(Table132[[#This Row],[next move]],1))+1+VALUE(LEFT(Table132[[#This Row],[next move]],1))*3,1)</f>
        <v>V</v>
      </c>
      <c r="I1559" t="str">
        <f>Table132[[#This Row],[ÉTAT]]&amp;Table132[[#This Row],[next move]]</f>
        <v>VVEEMMMEV22</v>
      </c>
    </row>
    <row r="1560" spans="2:9" x14ac:dyDescent="0.25">
      <c r="B1560" t="s">
        <v>2849</v>
      </c>
      <c r="C1560" s="22" t="s">
        <v>24</v>
      </c>
      <c r="D1560">
        <v>1</v>
      </c>
      <c r="E1560">
        <v>1</v>
      </c>
      <c r="G1560" s="25">
        <f>Table132[[#This Row],[nb win]]/Table132[[#This Row],[nb play]]</f>
        <v>1</v>
      </c>
      <c r="H1560" t="str">
        <f>MID(Table132[[#This Row],[ÉTAT]],VALUE(RIGHT(Table132[[#This Row],[next move]],1))+1+VALUE(LEFT(Table132[[#This Row],[next move]],1))*3,1)</f>
        <v>V</v>
      </c>
      <c r="I1560" t="str">
        <f>Table132[[#This Row],[ÉTAT]]&amp;Table132[[#This Row],[next move]]</f>
        <v>VVEEMMEVM00</v>
      </c>
    </row>
    <row r="1561" spans="2:9" x14ac:dyDescent="0.25">
      <c r="B1561" t="s">
        <v>289</v>
      </c>
      <c r="C1561" s="22" t="s">
        <v>26</v>
      </c>
      <c r="D1561">
        <v>3</v>
      </c>
      <c r="E1561">
        <v>3</v>
      </c>
      <c r="G1561" s="25">
        <f>Table132[[#This Row],[nb win]]/Table132[[#This Row],[nb play]]</f>
        <v>1</v>
      </c>
      <c r="H1561" t="str">
        <f>MID(Table132[[#This Row],[ÉTAT]],VALUE(RIGHT(Table132[[#This Row],[next move]],1))+1+VALUE(LEFT(Table132[[#This Row],[next move]],1))*3,1)</f>
        <v>V</v>
      </c>
      <c r="I1561" t="str">
        <f>Table132[[#This Row],[ÉTAT]]&amp;Table132[[#This Row],[next move]]</f>
        <v>VVEEMMEMV01</v>
      </c>
    </row>
    <row r="1562" spans="2:9" x14ac:dyDescent="0.25">
      <c r="B1562" t="s">
        <v>1413</v>
      </c>
      <c r="C1562" s="22" t="s">
        <v>24</v>
      </c>
      <c r="D1562">
        <v>4</v>
      </c>
      <c r="E1562">
        <v>4</v>
      </c>
      <c r="G1562" s="31">
        <f>Table132[[#This Row],[nb win]]/Table132[[#This Row],[nb play]]</f>
        <v>1</v>
      </c>
      <c r="H1562" t="str">
        <f>MID(Table132[[#This Row],[ÉTAT]],VALUE(RIGHT(Table132[[#This Row],[next move]],1))+1+VALUE(LEFT(Table132[[#This Row],[next move]],1))*3,1)</f>
        <v>V</v>
      </c>
      <c r="I1562" t="str">
        <f>Table132[[#This Row],[ÉTAT]]&amp;Table132[[#This Row],[next move]]</f>
        <v>VVEEMMEEM00</v>
      </c>
    </row>
    <row r="1563" spans="2:9" x14ac:dyDescent="0.25">
      <c r="B1563" t="s">
        <v>3177</v>
      </c>
      <c r="C1563" s="22" t="s">
        <v>22</v>
      </c>
      <c r="D1563">
        <v>1</v>
      </c>
      <c r="E1563">
        <v>1</v>
      </c>
      <c r="G1563" s="31">
        <f>Table132[[#This Row],[nb win]]/Table132[[#This Row],[nb play]]</f>
        <v>1</v>
      </c>
      <c r="H1563" t="str">
        <f>MID(Table132[[#This Row],[ÉTAT]],VALUE(RIGHT(Table132[[#This Row],[next move]],1))+1+VALUE(LEFT(Table132[[#This Row],[next move]],1))*3,1)</f>
        <v>V</v>
      </c>
      <c r="I1563" t="str">
        <f>Table132[[#This Row],[ÉTAT]]&amp;Table132[[#This Row],[next move]]</f>
        <v>VVEEMEVVM21</v>
      </c>
    </row>
    <row r="1564" spans="2:9" x14ac:dyDescent="0.25">
      <c r="B1564" t="s">
        <v>2475</v>
      </c>
      <c r="C1564" s="22" t="s">
        <v>24</v>
      </c>
      <c r="D1564">
        <v>2</v>
      </c>
      <c r="G1564" s="30">
        <f>Table132[[#This Row],[nb win]]/Table132[[#This Row],[nb play]]</f>
        <v>0</v>
      </c>
      <c r="H1564" t="str">
        <f>MID(Table132[[#This Row],[ÉTAT]],VALUE(RIGHT(Table132[[#This Row],[next move]],1))+1+VALUE(LEFT(Table132[[#This Row],[next move]],1))*3,1)</f>
        <v>V</v>
      </c>
      <c r="I1564" t="str">
        <f>Table132[[#This Row],[ÉTAT]]&amp;Table132[[#This Row],[next move]]</f>
        <v>VVEEMEVMV00</v>
      </c>
    </row>
    <row r="1565" spans="2:9" x14ac:dyDescent="0.25">
      <c r="B1565" t="s">
        <v>2475</v>
      </c>
      <c r="C1565" s="22" t="s">
        <v>31</v>
      </c>
      <c r="D1565">
        <v>2</v>
      </c>
      <c r="E1565">
        <v>2</v>
      </c>
      <c r="G1565" s="25">
        <f>Table132[[#This Row],[nb win]]/Table132[[#This Row],[nb play]]</f>
        <v>1</v>
      </c>
      <c r="H1565" t="str">
        <f>MID(Table132[[#This Row],[ÉTAT]],VALUE(RIGHT(Table132[[#This Row],[next move]],1))+1+VALUE(LEFT(Table132[[#This Row],[next move]],1))*3,1)</f>
        <v>V</v>
      </c>
      <c r="I1565" t="str">
        <f>Table132[[#This Row],[ÉTAT]]&amp;Table132[[#This Row],[next move]]</f>
        <v>VVEEMEVMV22</v>
      </c>
    </row>
    <row r="1566" spans="2:9" x14ac:dyDescent="0.25">
      <c r="B1566" t="s">
        <v>187</v>
      </c>
      <c r="C1566" s="22" t="s">
        <v>24</v>
      </c>
      <c r="D1566">
        <v>3</v>
      </c>
      <c r="E1566">
        <v>3</v>
      </c>
      <c r="G1566" s="31">
        <f>Table132[[#This Row],[nb win]]/Table132[[#This Row],[nb play]]</f>
        <v>1</v>
      </c>
      <c r="H1566" t="str">
        <f>MID(Table132[[#This Row],[ÉTAT]],VALUE(RIGHT(Table132[[#This Row],[next move]],1))+1+VALUE(LEFT(Table132[[#This Row],[next move]],1))*3,1)</f>
        <v>V</v>
      </c>
      <c r="I1566" t="str">
        <f>Table132[[#This Row],[ÉTAT]]&amp;Table132[[#This Row],[next move]]</f>
        <v>VVEEMEVMM00</v>
      </c>
    </row>
    <row r="1567" spans="2:9" x14ac:dyDescent="0.25">
      <c r="B1567" t="s">
        <v>608</v>
      </c>
      <c r="C1567" s="22" t="s">
        <v>24</v>
      </c>
      <c r="D1567">
        <v>2</v>
      </c>
      <c r="G1567" s="30">
        <f>Table132[[#This Row],[nb win]]/Table132[[#This Row],[nb play]]</f>
        <v>0</v>
      </c>
      <c r="H1567" t="str">
        <f>MID(Table132[[#This Row],[ÉTAT]],VALUE(RIGHT(Table132[[#This Row],[next move]],1))+1+VALUE(LEFT(Table132[[#This Row],[next move]],1))*3,1)</f>
        <v>V</v>
      </c>
      <c r="I1567" t="str">
        <f>Table132[[#This Row],[ÉTAT]]&amp;Table132[[#This Row],[next move]]</f>
        <v>VVEEMEMVV00</v>
      </c>
    </row>
    <row r="1568" spans="2:9" x14ac:dyDescent="0.25">
      <c r="B1568" t="s">
        <v>608</v>
      </c>
      <c r="C1568" s="22" t="s">
        <v>26</v>
      </c>
      <c r="D1568">
        <v>1</v>
      </c>
      <c r="E1568">
        <v>1</v>
      </c>
      <c r="G1568" s="25">
        <f>Table132[[#This Row],[nb win]]/Table132[[#This Row],[nb play]]</f>
        <v>1</v>
      </c>
      <c r="H1568" t="str">
        <f>MID(Table132[[#This Row],[ÉTAT]],VALUE(RIGHT(Table132[[#This Row],[next move]],1))+1+VALUE(LEFT(Table132[[#This Row],[next move]],1))*3,1)</f>
        <v>V</v>
      </c>
      <c r="I1568" t="str">
        <f>Table132[[#This Row],[ÉTAT]]&amp;Table132[[#This Row],[next move]]</f>
        <v>VVEEMEMVV01</v>
      </c>
    </row>
    <row r="1569" spans="2:9" x14ac:dyDescent="0.25">
      <c r="B1569" t="s">
        <v>608</v>
      </c>
      <c r="C1569" s="22" t="s">
        <v>22</v>
      </c>
      <c r="D1569">
        <v>1</v>
      </c>
      <c r="G1569" s="25">
        <f>Table132[[#This Row],[nb win]]/Table132[[#This Row],[nb play]]</f>
        <v>0</v>
      </c>
      <c r="H1569" t="str">
        <f>MID(Table132[[#This Row],[ÉTAT]],VALUE(RIGHT(Table132[[#This Row],[next move]],1))+1+VALUE(LEFT(Table132[[#This Row],[next move]],1))*3,1)</f>
        <v>V</v>
      </c>
      <c r="I1569" t="str">
        <f>Table132[[#This Row],[ÉTAT]]&amp;Table132[[#This Row],[next move]]</f>
        <v>VVEEMEMVV21</v>
      </c>
    </row>
    <row r="1570" spans="2:9" x14ac:dyDescent="0.25">
      <c r="B1570" t="s">
        <v>1999</v>
      </c>
      <c r="C1570" s="22" t="s">
        <v>22</v>
      </c>
      <c r="D1570">
        <v>3</v>
      </c>
      <c r="E1570">
        <v>3</v>
      </c>
      <c r="G1570" s="31">
        <f>Table132[[#This Row],[nb win]]/Table132[[#This Row],[nb play]]</f>
        <v>1</v>
      </c>
      <c r="H1570" t="str">
        <f>MID(Table132[[#This Row],[ÉTAT]],VALUE(RIGHT(Table132[[#This Row],[next move]],1))+1+VALUE(LEFT(Table132[[#This Row],[next move]],1))*3,1)</f>
        <v>V</v>
      </c>
      <c r="I1570" t="str">
        <f>Table132[[#This Row],[ÉTAT]]&amp;Table132[[#This Row],[next move]]</f>
        <v>VVEEMEMVM21</v>
      </c>
    </row>
    <row r="1571" spans="2:9" x14ac:dyDescent="0.25">
      <c r="B1571" t="s">
        <v>2106</v>
      </c>
      <c r="C1571" s="22" t="s">
        <v>31</v>
      </c>
      <c r="D1571">
        <v>1</v>
      </c>
      <c r="E1571">
        <v>1</v>
      </c>
      <c r="G1571" s="25">
        <f>Table132[[#This Row],[nb win]]/Table132[[#This Row],[nb play]]</f>
        <v>1</v>
      </c>
      <c r="H1571" t="str">
        <f>MID(Table132[[#This Row],[ÉTAT]],VALUE(RIGHT(Table132[[#This Row],[next move]],1))+1+VALUE(LEFT(Table132[[#This Row],[next move]],1))*3,1)</f>
        <v>V</v>
      </c>
      <c r="I1571" t="str">
        <f>Table132[[#This Row],[ÉTAT]]&amp;Table132[[#This Row],[next move]]</f>
        <v>VVEEMEMMV22</v>
      </c>
    </row>
    <row r="1572" spans="2:9" x14ac:dyDescent="0.25">
      <c r="B1572" t="s">
        <v>3309</v>
      </c>
      <c r="C1572" s="22" t="s">
        <v>24</v>
      </c>
      <c r="D1572">
        <v>1</v>
      </c>
      <c r="E1572">
        <v>1</v>
      </c>
      <c r="G1572" s="31">
        <f>Table132[[#This Row],[nb win]]/Table132[[#This Row],[nb play]]</f>
        <v>1</v>
      </c>
      <c r="H1572" t="str">
        <f>MID(Table132[[#This Row],[ÉTAT]],VALUE(RIGHT(Table132[[#This Row],[next move]],1))+1+VALUE(LEFT(Table132[[#This Row],[next move]],1))*3,1)</f>
        <v>V</v>
      </c>
      <c r="I1572" t="str">
        <f>Table132[[#This Row],[ÉTAT]]&amp;Table132[[#This Row],[next move]]</f>
        <v>VVEEMEMEM00</v>
      </c>
    </row>
    <row r="1573" spans="2:9" x14ac:dyDescent="0.25">
      <c r="B1573" t="s">
        <v>1912</v>
      </c>
      <c r="C1573" s="22" t="s">
        <v>26</v>
      </c>
      <c r="D1573">
        <v>7</v>
      </c>
      <c r="E1573">
        <v>7</v>
      </c>
      <c r="G1573" s="31">
        <f>Table132[[#This Row],[nb win]]/Table132[[#This Row],[nb play]]</f>
        <v>1</v>
      </c>
      <c r="H1573" t="str">
        <f>MID(Table132[[#This Row],[ÉTAT]],VALUE(RIGHT(Table132[[#This Row],[next move]],1))+1+VALUE(LEFT(Table132[[#This Row],[next move]],1))*3,1)</f>
        <v>V</v>
      </c>
      <c r="I1573" t="str">
        <f>Table132[[#This Row],[ÉTAT]]&amp;Table132[[#This Row],[next move]]</f>
        <v>VVEEMEEMM01</v>
      </c>
    </row>
    <row r="1574" spans="2:9" x14ac:dyDescent="0.25">
      <c r="B1574" t="s">
        <v>1426</v>
      </c>
      <c r="C1574" s="22" t="s">
        <v>28</v>
      </c>
      <c r="D1574">
        <v>1</v>
      </c>
      <c r="E1574">
        <v>1</v>
      </c>
      <c r="G1574" s="25">
        <f>Table132[[#This Row],[nb win]]/Table132[[#This Row],[nb play]]</f>
        <v>1</v>
      </c>
      <c r="H1574" t="str">
        <f>MID(Table132[[#This Row],[ÉTAT]],VALUE(RIGHT(Table132[[#This Row],[next move]],1))+1+VALUE(LEFT(Table132[[#This Row],[next move]],1))*3,1)</f>
        <v>V</v>
      </c>
      <c r="I1574" t="str">
        <f>Table132[[#This Row],[ÉTAT]]&amp;Table132[[#This Row],[next move]]</f>
        <v>VVEEEVVMM12</v>
      </c>
    </row>
    <row r="1575" spans="2:9" x14ac:dyDescent="0.25">
      <c r="B1575" t="s">
        <v>2568</v>
      </c>
      <c r="C1575" s="22" t="s">
        <v>26</v>
      </c>
      <c r="D1575">
        <v>1</v>
      </c>
      <c r="G1575" s="25">
        <f>Table132[[#This Row],[nb win]]/Table132[[#This Row],[nb play]]</f>
        <v>0</v>
      </c>
      <c r="H1575" t="str">
        <f>MID(Table132[[#This Row],[ÉTAT]],VALUE(RIGHT(Table132[[#This Row],[next move]],1))+1+VALUE(LEFT(Table132[[#This Row],[next move]],1))*3,1)</f>
        <v>V</v>
      </c>
      <c r="I1575" t="str">
        <f>Table132[[#This Row],[ÉTAT]]&amp;Table132[[#This Row],[next move]]</f>
        <v>VVEEEVMVM01</v>
      </c>
    </row>
    <row r="1576" spans="2:9" x14ac:dyDescent="0.25">
      <c r="B1576" t="s">
        <v>1917</v>
      </c>
      <c r="C1576" s="22" t="s">
        <v>31</v>
      </c>
      <c r="D1576">
        <v>4</v>
      </c>
      <c r="E1576">
        <v>4</v>
      </c>
      <c r="G1576" s="31">
        <f>Table132[[#This Row],[nb win]]/Table132[[#This Row],[nb play]]</f>
        <v>1</v>
      </c>
      <c r="H1576" t="str">
        <f>MID(Table132[[#This Row],[ÉTAT]],VALUE(RIGHT(Table132[[#This Row],[next move]],1))+1+VALUE(LEFT(Table132[[#This Row],[next move]],1))*3,1)</f>
        <v>V</v>
      </c>
      <c r="I1576" t="str">
        <f>Table132[[#This Row],[ÉTAT]]&amp;Table132[[#This Row],[next move]]</f>
        <v>VVEEEVMMV22</v>
      </c>
    </row>
    <row r="1577" spans="2:9" x14ac:dyDescent="0.25">
      <c r="B1577" t="s">
        <v>3486</v>
      </c>
      <c r="C1577" s="22" t="s">
        <v>24</v>
      </c>
      <c r="D1577">
        <v>1</v>
      </c>
      <c r="G1577" s="30">
        <f>Table132[[#This Row],[nb win]]/Table132[[#This Row],[nb play]]</f>
        <v>0</v>
      </c>
      <c r="H1577" t="str">
        <f>MID(Table132[[#This Row],[ÉTAT]],VALUE(RIGHT(Table132[[#This Row],[next move]],1))+1+VALUE(LEFT(Table132[[#This Row],[next move]],1))*3,1)</f>
        <v>V</v>
      </c>
      <c r="I1577" t="str">
        <f>Table132[[#This Row],[ÉTAT]]&amp;Table132[[#This Row],[next move]]</f>
        <v>VVEEEMVVM00</v>
      </c>
    </row>
    <row r="1578" spans="2:9" x14ac:dyDescent="0.25">
      <c r="B1578" t="s">
        <v>1814</v>
      </c>
      <c r="C1578" s="22" t="s">
        <v>35</v>
      </c>
      <c r="D1578">
        <v>1</v>
      </c>
      <c r="E1578">
        <v>1</v>
      </c>
      <c r="G1578" s="25">
        <f>Table132[[#This Row],[nb win]]/Table132[[#This Row],[nb play]]</f>
        <v>1</v>
      </c>
      <c r="H1578" t="str">
        <f>MID(Table132[[#This Row],[ÉTAT]],VALUE(RIGHT(Table132[[#This Row],[next move]],1))+1+VALUE(LEFT(Table132[[#This Row],[next move]],1))*3,1)</f>
        <v>V</v>
      </c>
      <c r="I1578" t="str">
        <f>Table132[[#This Row],[ÉTAT]]&amp;Table132[[#This Row],[next move]]</f>
        <v>VVEEEMVMV20</v>
      </c>
    </row>
    <row r="1579" spans="2:9" x14ac:dyDescent="0.25">
      <c r="B1579" t="s">
        <v>1814</v>
      </c>
      <c r="C1579" s="22" t="s">
        <v>31</v>
      </c>
      <c r="D1579">
        <v>1</v>
      </c>
      <c r="G1579" s="25">
        <f>Table132[[#This Row],[nb win]]/Table132[[#This Row],[nb play]]</f>
        <v>0</v>
      </c>
      <c r="H1579" t="str">
        <f>MID(Table132[[#This Row],[ÉTAT]],VALUE(RIGHT(Table132[[#This Row],[next move]],1))+1+VALUE(LEFT(Table132[[#This Row],[next move]],1))*3,1)</f>
        <v>V</v>
      </c>
      <c r="I1579" t="str">
        <f>Table132[[#This Row],[ÉTAT]]&amp;Table132[[#This Row],[next move]]</f>
        <v>VVEEEMVMV22</v>
      </c>
    </row>
    <row r="1580" spans="2:9" x14ac:dyDescent="0.25">
      <c r="B1580" t="s">
        <v>1244</v>
      </c>
      <c r="C1580" s="22" t="s">
        <v>22</v>
      </c>
      <c r="D1580">
        <v>1</v>
      </c>
      <c r="G1580" s="25">
        <f>Table132[[#This Row],[nb win]]/Table132[[#This Row],[nb play]]</f>
        <v>0</v>
      </c>
      <c r="H1580" t="str">
        <f>MID(Table132[[#This Row],[ÉTAT]],VALUE(RIGHT(Table132[[#This Row],[next move]],1))+1+VALUE(LEFT(Table132[[#This Row],[next move]],1))*3,1)</f>
        <v>V</v>
      </c>
      <c r="I1580" t="str">
        <f>Table132[[#This Row],[ÉTAT]]&amp;Table132[[#This Row],[next move]]</f>
        <v>VVEEEMMVV21</v>
      </c>
    </row>
    <row r="1581" spans="2:9" x14ac:dyDescent="0.25">
      <c r="B1581" t="s">
        <v>1244</v>
      </c>
      <c r="C1581" s="22" t="s">
        <v>31</v>
      </c>
      <c r="D1581">
        <v>2</v>
      </c>
      <c r="E1581">
        <v>2</v>
      </c>
      <c r="G1581" s="31">
        <f>Table132[[#This Row],[nb win]]/Table132[[#This Row],[nb play]]</f>
        <v>1</v>
      </c>
      <c r="H1581" t="str">
        <f>MID(Table132[[#This Row],[ÉTAT]],VALUE(RIGHT(Table132[[#This Row],[next move]],1))+1+VALUE(LEFT(Table132[[#This Row],[next move]],1))*3,1)</f>
        <v>V</v>
      </c>
      <c r="I1581" t="str">
        <f>Table132[[#This Row],[ÉTAT]]&amp;Table132[[#This Row],[next move]]</f>
        <v>VVEEEMMVV22</v>
      </c>
    </row>
    <row r="1582" spans="2:9" x14ac:dyDescent="0.25">
      <c r="B1582" t="s">
        <v>2000</v>
      </c>
      <c r="C1582" s="22" t="s">
        <v>22</v>
      </c>
      <c r="D1582">
        <v>3</v>
      </c>
      <c r="E1582">
        <v>3</v>
      </c>
      <c r="G1582" s="31">
        <f>Table132[[#This Row],[nb win]]/Table132[[#This Row],[nb play]]</f>
        <v>1</v>
      </c>
      <c r="H1582" t="str">
        <f>MID(Table132[[#This Row],[ÉTAT]],VALUE(RIGHT(Table132[[#This Row],[next move]],1))+1+VALUE(LEFT(Table132[[#This Row],[next move]],1))*3,1)</f>
        <v>V</v>
      </c>
      <c r="I1582" t="str">
        <f>Table132[[#This Row],[ÉTAT]]&amp;Table132[[#This Row],[next move]]</f>
        <v>VVEEEMMVM21</v>
      </c>
    </row>
    <row r="1583" spans="2:9" x14ac:dyDescent="0.25">
      <c r="B1583" t="s">
        <v>3375</v>
      </c>
      <c r="C1583" s="22" t="s">
        <v>31</v>
      </c>
      <c r="D1583">
        <v>1</v>
      </c>
      <c r="E1583">
        <v>1</v>
      </c>
      <c r="G1583" s="31">
        <f>Table132[[#This Row],[nb win]]/Table132[[#This Row],[nb play]]</f>
        <v>1</v>
      </c>
      <c r="H1583" t="str">
        <f>MID(Table132[[#This Row],[ÉTAT]],VALUE(RIGHT(Table132[[#This Row],[next move]],1))+1+VALUE(LEFT(Table132[[#This Row],[next move]],1))*3,1)</f>
        <v>V</v>
      </c>
      <c r="I1583" t="str">
        <f>Table132[[#This Row],[ÉTAT]]&amp;Table132[[#This Row],[next move]]</f>
        <v>VVEEEMMMV22</v>
      </c>
    </row>
    <row r="1584" spans="2:9" x14ac:dyDescent="0.25">
      <c r="B1584" t="s">
        <v>3026</v>
      </c>
      <c r="C1584" s="22" t="s">
        <v>26</v>
      </c>
      <c r="D1584">
        <v>1</v>
      </c>
      <c r="G1584" s="25">
        <f>Table132[[#This Row],[nb win]]/Table132[[#This Row],[nb play]]</f>
        <v>0</v>
      </c>
      <c r="H1584" t="str">
        <f>MID(Table132[[#This Row],[ÉTAT]],VALUE(RIGHT(Table132[[#This Row],[next move]],1))+1+VALUE(LEFT(Table132[[#This Row],[next move]],1))*3,1)</f>
        <v>V</v>
      </c>
      <c r="I1584" t="str">
        <f>Table132[[#This Row],[ÉTAT]]&amp;Table132[[#This Row],[next move]]</f>
        <v>VVEEEMMME01</v>
      </c>
    </row>
    <row r="1585" spans="2:9" x14ac:dyDescent="0.25">
      <c r="B1585" t="s">
        <v>2444</v>
      </c>
      <c r="C1585" s="22" t="s">
        <v>24</v>
      </c>
      <c r="D1585">
        <v>1</v>
      </c>
      <c r="G1585" s="25">
        <f>Table132[[#This Row],[nb win]]/Table132[[#This Row],[nb play]]</f>
        <v>0</v>
      </c>
      <c r="H1585" t="str">
        <f>MID(Table132[[#This Row],[ÉTAT]],VALUE(RIGHT(Table132[[#This Row],[next move]],1))+1+VALUE(LEFT(Table132[[#This Row],[next move]],1))*3,1)</f>
        <v>V</v>
      </c>
      <c r="I1585" t="str">
        <f>Table132[[#This Row],[ÉTAT]]&amp;Table132[[#This Row],[next move]]</f>
        <v>VVEEEMMEM00</v>
      </c>
    </row>
    <row r="1586" spans="2:9" x14ac:dyDescent="0.25">
      <c r="B1586" t="s">
        <v>76</v>
      </c>
      <c r="C1586" s="22" t="s">
        <v>24</v>
      </c>
      <c r="D1586">
        <v>5</v>
      </c>
      <c r="E1586">
        <v>2</v>
      </c>
      <c r="G1586" s="30">
        <f>Table132[[#This Row],[nb win]]/Table132[[#This Row],[nb play]]</f>
        <v>0.4</v>
      </c>
      <c r="H1586" t="str">
        <f>MID(Table132[[#This Row],[ÉTAT]],VALUE(RIGHT(Table132[[#This Row],[next move]],1))+1+VALUE(LEFT(Table132[[#This Row],[next move]],1))*3,1)</f>
        <v>V</v>
      </c>
      <c r="I1586" t="str">
        <f>Table132[[#This Row],[ÉTAT]]&amp;Table132[[#This Row],[next move]]</f>
        <v>VMVVVVVVE00</v>
      </c>
    </row>
    <row r="1587" spans="2:9" x14ac:dyDescent="0.25">
      <c r="B1587" t="s">
        <v>76</v>
      </c>
      <c r="C1587" s="22" t="s">
        <v>20</v>
      </c>
      <c r="D1587">
        <v>10</v>
      </c>
      <c r="E1587">
        <v>5</v>
      </c>
      <c r="G1587" s="30">
        <f>Table132[[#This Row],[nb win]]/Table132[[#This Row],[nb play]]</f>
        <v>0.5</v>
      </c>
      <c r="H1587" t="str">
        <f>MID(Table132[[#This Row],[ÉTAT]],VALUE(RIGHT(Table132[[#This Row],[next move]],1))+1+VALUE(LEFT(Table132[[#This Row],[next move]],1))*3,1)</f>
        <v>V</v>
      </c>
      <c r="I1587" t="str">
        <f>Table132[[#This Row],[ÉTAT]]&amp;Table132[[#This Row],[next move]]</f>
        <v>VMVVVVVVE02</v>
      </c>
    </row>
    <row r="1588" spans="2:9" x14ac:dyDescent="0.25">
      <c r="B1588" t="s">
        <v>76</v>
      </c>
      <c r="C1588" s="22" t="s">
        <v>30</v>
      </c>
      <c r="D1588">
        <v>8</v>
      </c>
      <c r="E1588">
        <v>2</v>
      </c>
      <c r="G1588" s="30">
        <f>Table132[[#This Row],[nb win]]/Table132[[#This Row],[nb play]]</f>
        <v>0.25</v>
      </c>
      <c r="H1588" t="str">
        <f>MID(Table132[[#This Row],[ÉTAT]],VALUE(RIGHT(Table132[[#This Row],[next move]],1))+1+VALUE(LEFT(Table132[[#This Row],[next move]],1))*3,1)</f>
        <v>V</v>
      </c>
      <c r="I1588" t="str">
        <f>Table132[[#This Row],[ÉTAT]]&amp;Table132[[#This Row],[next move]]</f>
        <v>VMVVVVVVE10</v>
      </c>
    </row>
    <row r="1589" spans="2:9" x14ac:dyDescent="0.25">
      <c r="B1589" t="s">
        <v>76</v>
      </c>
      <c r="C1589" s="22" t="s">
        <v>29</v>
      </c>
      <c r="D1589">
        <v>6</v>
      </c>
      <c r="E1589">
        <v>4</v>
      </c>
      <c r="G1589" s="31">
        <f>Table132[[#This Row],[nb win]]/Table132[[#This Row],[nb play]]</f>
        <v>0.66666666666666663</v>
      </c>
      <c r="H1589" t="str">
        <f>MID(Table132[[#This Row],[ÉTAT]],VALUE(RIGHT(Table132[[#This Row],[next move]],1))+1+VALUE(LEFT(Table132[[#This Row],[next move]],1))*3,1)</f>
        <v>V</v>
      </c>
      <c r="I1589" t="str">
        <f>Table132[[#This Row],[ÉTAT]]&amp;Table132[[#This Row],[next move]]</f>
        <v>VMVVVVVVE11</v>
      </c>
    </row>
    <row r="1590" spans="2:9" x14ac:dyDescent="0.25">
      <c r="B1590" t="s">
        <v>76</v>
      </c>
      <c r="C1590" s="22" t="s">
        <v>28</v>
      </c>
      <c r="D1590">
        <v>3</v>
      </c>
      <c r="E1590">
        <v>2</v>
      </c>
      <c r="G1590" s="31">
        <f>Table132[[#This Row],[nb win]]/Table132[[#This Row],[nb play]]</f>
        <v>0.66666666666666663</v>
      </c>
      <c r="H1590" t="str">
        <f>MID(Table132[[#This Row],[ÉTAT]],VALUE(RIGHT(Table132[[#This Row],[next move]],1))+1+VALUE(LEFT(Table132[[#This Row],[next move]],1))*3,1)</f>
        <v>V</v>
      </c>
      <c r="I1590" t="str">
        <f>Table132[[#This Row],[ÉTAT]]&amp;Table132[[#This Row],[next move]]</f>
        <v>VMVVVVVVE12</v>
      </c>
    </row>
    <row r="1591" spans="2:9" x14ac:dyDescent="0.25">
      <c r="B1591" t="s">
        <v>76</v>
      </c>
      <c r="C1591" s="22" t="s">
        <v>35</v>
      </c>
      <c r="D1591">
        <v>7</v>
      </c>
      <c r="E1591">
        <v>3</v>
      </c>
      <c r="G1591" s="31">
        <f>Table132[[#This Row],[nb win]]/Table132[[#This Row],[nb play]]</f>
        <v>0.42857142857142855</v>
      </c>
      <c r="H1591" t="str">
        <f>MID(Table132[[#This Row],[ÉTAT]],VALUE(RIGHT(Table132[[#This Row],[next move]],1))+1+VALUE(LEFT(Table132[[#This Row],[next move]],1))*3,1)</f>
        <v>V</v>
      </c>
      <c r="I1591" t="str">
        <f>Table132[[#This Row],[ÉTAT]]&amp;Table132[[#This Row],[next move]]</f>
        <v>VMVVVVVVE20</v>
      </c>
    </row>
    <row r="1592" spans="2:9" x14ac:dyDescent="0.25">
      <c r="B1592" t="s">
        <v>76</v>
      </c>
      <c r="C1592" s="22" t="s">
        <v>22</v>
      </c>
      <c r="D1592">
        <v>12</v>
      </c>
      <c r="E1592">
        <v>9</v>
      </c>
      <c r="G1592" s="30">
        <f>Table132[[#This Row],[nb win]]/Table132[[#This Row],[nb play]]</f>
        <v>0.75</v>
      </c>
      <c r="H1592" t="str">
        <f>MID(Table132[[#This Row],[ÉTAT]],VALUE(RIGHT(Table132[[#This Row],[next move]],1))+1+VALUE(LEFT(Table132[[#This Row],[next move]],1))*3,1)</f>
        <v>V</v>
      </c>
      <c r="I1592" t="str">
        <f>Table132[[#This Row],[ÉTAT]]&amp;Table132[[#This Row],[next move]]</f>
        <v>VMVVVVVVE21</v>
      </c>
    </row>
    <row r="1593" spans="2:9" x14ac:dyDescent="0.25">
      <c r="B1593" t="s">
        <v>377</v>
      </c>
      <c r="C1593" s="22" t="s">
        <v>24</v>
      </c>
      <c r="D1593">
        <v>3</v>
      </c>
      <c r="E1593">
        <v>2</v>
      </c>
      <c r="G1593" s="31">
        <f>Table132[[#This Row],[nb win]]/Table132[[#This Row],[nb play]]</f>
        <v>0.66666666666666663</v>
      </c>
      <c r="H1593" t="str">
        <f>MID(Table132[[#This Row],[ÉTAT]],VALUE(RIGHT(Table132[[#This Row],[next move]],1))+1+VALUE(LEFT(Table132[[#This Row],[next move]],1))*3,1)</f>
        <v>V</v>
      </c>
      <c r="I1593" t="str">
        <f>Table132[[#This Row],[ÉTAT]]&amp;Table132[[#This Row],[next move]]</f>
        <v>VMVVVVVEV00</v>
      </c>
    </row>
    <row r="1594" spans="2:9" x14ac:dyDescent="0.25">
      <c r="B1594" t="s">
        <v>377</v>
      </c>
      <c r="C1594" s="22" t="s">
        <v>20</v>
      </c>
      <c r="D1594">
        <v>7</v>
      </c>
      <c r="E1594">
        <v>6</v>
      </c>
      <c r="G1594" s="31">
        <f>Table132[[#This Row],[nb win]]/Table132[[#This Row],[nb play]]</f>
        <v>0.8571428571428571</v>
      </c>
      <c r="H1594" t="str">
        <f>MID(Table132[[#This Row],[ÉTAT]],VALUE(RIGHT(Table132[[#This Row],[next move]],1))+1+VALUE(LEFT(Table132[[#This Row],[next move]],1))*3,1)</f>
        <v>V</v>
      </c>
      <c r="I1594" t="str">
        <f>Table132[[#This Row],[ÉTAT]]&amp;Table132[[#This Row],[next move]]</f>
        <v>VMVVVVVEV02</v>
      </c>
    </row>
    <row r="1595" spans="2:9" x14ac:dyDescent="0.25">
      <c r="B1595" t="s">
        <v>377</v>
      </c>
      <c r="C1595" s="22" t="s">
        <v>30</v>
      </c>
      <c r="D1595">
        <v>6</v>
      </c>
      <c r="E1595">
        <v>3</v>
      </c>
      <c r="G1595" s="31">
        <f>Table132[[#This Row],[nb win]]/Table132[[#This Row],[nb play]]</f>
        <v>0.5</v>
      </c>
      <c r="H1595" t="str">
        <f>MID(Table132[[#This Row],[ÉTAT]],VALUE(RIGHT(Table132[[#This Row],[next move]],1))+1+VALUE(LEFT(Table132[[#This Row],[next move]],1))*3,1)</f>
        <v>V</v>
      </c>
      <c r="I1595" t="str">
        <f>Table132[[#This Row],[ÉTAT]]&amp;Table132[[#This Row],[next move]]</f>
        <v>VMVVVVVEV10</v>
      </c>
    </row>
    <row r="1596" spans="2:9" x14ac:dyDescent="0.25">
      <c r="B1596" t="s">
        <v>377</v>
      </c>
      <c r="C1596" s="22" t="s">
        <v>29</v>
      </c>
      <c r="D1596">
        <v>4</v>
      </c>
      <c r="E1596">
        <v>2</v>
      </c>
      <c r="G1596" s="30">
        <f>Table132[[#This Row],[nb win]]/Table132[[#This Row],[nb play]]</f>
        <v>0.5</v>
      </c>
      <c r="H1596" t="str">
        <f>MID(Table132[[#This Row],[ÉTAT]],VALUE(RIGHT(Table132[[#This Row],[next move]],1))+1+VALUE(LEFT(Table132[[#This Row],[next move]],1))*3,1)</f>
        <v>V</v>
      </c>
      <c r="I1596" t="str">
        <f>Table132[[#This Row],[ÉTAT]]&amp;Table132[[#This Row],[next move]]</f>
        <v>VMVVVVVEV11</v>
      </c>
    </row>
    <row r="1597" spans="2:9" x14ac:dyDescent="0.25">
      <c r="B1597" t="s">
        <v>377</v>
      </c>
      <c r="C1597" s="22" t="s">
        <v>28</v>
      </c>
      <c r="D1597">
        <v>4</v>
      </c>
      <c r="E1597">
        <v>3</v>
      </c>
      <c r="G1597" s="31">
        <f>Table132[[#This Row],[nb win]]/Table132[[#This Row],[nb play]]</f>
        <v>0.75</v>
      </c>
      <c r="H1597" t="str">
        <f>MID(Table132[[#This Row],[ÉTAT]],VALUE(RIGHT(Table132[[#This Row],[next move]],1))+1+VALUE(LEFT(Table132[[#This Row],[next move]],1))*3,1)</f>
        <v>V</v>
      </c>
      <c r="I1597" t="str">
        <f>Table132[[#This Row],[ÉTAT]]&amp;Table132[[#This Row],[next move]]</f>
        <v>VMVVVVVEV12</v>
      </c>
    </row>
    <row r="1598" spans="2:9" x14ac:dyDescent="0.25">
      <c r="B1598" t="s">
        <v>377</v>
      </c>
      <c r="C1598" s="22" t="s">
        <v>35</v>
      </c>
      <c r="D1598">
        <v>8</v>
      </c>
      <c r="E1598">
        <v>6</v>
      </c>
      <c r="G1598" s="30">
        <f>Table132[[#This Row],[nb win]]/Table132[[#This Row],[nb play]]</f>
        <v>0.75</v>
      </c>
      <c r="H1598" t="str">
        <f>MID(Table132[[#This Row],[ÉTAT]],VALUE(RIGHT(Table132[[#This Row],[next move]],1))+1+VALUE(LEFT(Table132[[#This Row],[next move]],1))*3,1)</f>
        <v>V</v>
      </c>
      <c r="I1598" t="str">
        <f>Table132[[#This Row],[ÉTAT]]&amp;Table132[[#This Row],[next move]]</f>
        <v>VMVVVVVEV20</v>
      </c>
    </row>
    <row r="1599" spans="2:9" x14ac:dyDescent="0.25">
      <c r="B1599" t="s">
        <v>377</v>
      </c>
      <c r="C1599" s="22" t="s">
        <v>31</v>
      </c>
      <c r="D1599">
        <v>4</v>
      </c>
      <c r="E1599">
        <v>3</v>
      </c>
      <c r="G1599" s="31">
        <f>Table132[[#This Row],[nb win]]/Table132[[#This Row],[nb play]]</f>
        <v>0.75</v>
      </c>
      <c r="H1599" t="str">
        <f>MID(Table132[[#This Row],[ÉTAT]],VALUE(RIGHT(Table132[[#This Row],[next move]],1))+1+VALUE(LEFT(Table132[[#This Row],[next move]],1))*3,1)</f>
        <v>V</v>
      </c>
      <c r="I1599" t="str">
        <f>Table132[[#This Row],[ÉTAT]]&amp;Table132[[#This Row],[next move]]</f>
        <v>VMVVVVVEV22</v>
      </c>
    </row>
    <row r="1600" spans="2:9" x14ac:dyDescent="0.25">
      <c r="B1600" t="s">
        <v>2079</v>
      </c>
      <c r="C1600" s="22" t="s">
        <v>24</v>
      </c>
      <c r="D1600">
        <v>4</v>
      </c>
      <c r="E1600">
        <v>1</v>
      </c>
      <c r="G1600" s="30">
        <f>Table132[[#This Row],[nb win]]/Table132[[#This Row],[nb play]]</f>
        <v>0.25</v>
      </c>
      <c r="H1600" t="str">
        <f>MID(Table132[[#This Row],[ÉTAT]],VALUE(RIGHT(Table132[[#This Row],[next move]],1))+1+VALUE(LEFT(Table132[[#This Row],[next move]],1))*3,1)</f>
        <v>V</v>
      </c>
      <c r="I1600" t="str">
        <f>Table132[[#This Row],[ÉTAT]]&amp;Table132[[#This Row],[next move]]</f>
        <v>VMVVVVVEE00</v>
      </c>
    </row>
    <row r="1601" spans="2:9" x14ac:dyDescent="0.25">
      <c r="B1601" t="s">
        <v>2079</v>
      </c>
      <c r="C1601" s="22" t="s">
        <v>20</v>
      </c>
      <c r="D1601">
        <v>1</v>
      </c>
      <c r="G1601" s="25">
        <f>Table132[[#This Row],[nb win]]/Table132[[#This Row],[nb play]]</f>
        <v>0</v>
      </c>
      <c r="H1601" t="str">
        <f>MID(Table132[[#This Row],[ÉTAT]],VALUE(RIGHT(Table132[[#This Row],[next move]],1))+1+VALUE(LEFT(Table132[[#This Row],[next move]],1))*3,1)</f>
        <v>V</v>
      </c>
      <c r="I1601" t="str">
        <f>Table132[[#This Row],[ÉTAT]]&amp;Table132[[#This Row],[next move]]</f>
        <v>VMVVVVVEE02</v>
      </c>
    </row>
    <row r="1602" spans="2:9" x14ac:dyDescent="0.25">
      <c r="B1602" t="s">
        <v>2079</v>
      </c>
      <c r="C1602" s="22" t="s">
        <v>35</v>
      </c>
      <c r="D1602">
        <v>2</v>
      </c>
      <c r="E1602">
        <v>2</v>
      </c>
      <c r="G1602" s="31">
        <f>Table132[[#This Row],[nb win]]/Table132[[#This Row],[nb play]]</f>
        <v>1</v>
      </c>
      <c r="H1602" t="str">
        <f>MID(Table132[[#This Row],[ÉTAT]],VALUE(RIGHT(Table132[[#This Row],[next move]],1))+1+VALUE(LEFT(Table132[[#This Row],[next move]],1))*3,1)</f>
        <v>V</v>
      </c>
      <c r="I1602" t="str">
        <f>Table132[[#This Row],[ÉTAT]]&amp;Table132[[#This Row],[next move]]</f>
        <v>VMVVVVVEE20</v>
      </c>
    </row>
    <row r="1603" spans="2:9" x14ac:dyDescent="0.25">
      <c r="B1603" t="s">
        <v>603</v>
      </c>
      <c r="C1603" s="22" t="s">
        <v>20</v>
      </c>
      <c r="D1603">
        <v>4</v>
      </c>
      <c r="E1603">
        <v>4</v>
      </c>
      <c r="G1603" s="25">
        <f>Table132[[#This Row],[nb win]]/Table132[[#This Row],[nb play]]</f>
        <v>1</v>
      </c>
      <c r="H1603" t="str">
        <f>MID(Table132[[#This Row],[ÉTAT]],VALUE(RIGHT(Table132[[#This Row],[next move]],1))+1+VALUE(LEFT(Table132[[#This Row],[next move]],1))*3,1)</f>
        <v>V</v>
      </c>
      <c r="I1603" t="str">
        <f>Table132[[#This Row],[ÉTAT]]&amp;Table132[[#This Row],[next move]]</f>
        <v>VMVVVVMEE02</v>
      </c>
    </row>
    <row r="1604" spans="2:9" x14ac:dyDescent="0.25">
      <c r="B1604" t="s">
        <v>736</v>
      </c>
      <c r="C1604" s="22" t="s">
        <v>24</v>
      </c>
      <c r="D1604">
        <v>14</v>
      </c>
      <c r="E1604">
        <v>7</v>
      </c>
      <c r="G1604" s="31">
        <f>Table132[[#This Row],[nb win]]/Table132[[#This Row],[nb play]]</f>
        <v>0.5</v>
      </c>
      <c r="H1604" t="str">
        <f>MID(Table132[[#This Row],[ÉTAT]],VALUE(RIGHT(Table132[[#This Row],[next move]],1))+1+VALUE(LEFT(Table132[[#This Row],[next move]],1))*3,1)</f>
        <v>V</v>
      </c>
      <c r="I1604" t="str">
        <f>Table132[[#This Row],[ÉTAT]]&amp;Table132[[#This Row],[next move]]</f>
        <v>VMVVVVEVV00</v>
      </c>
    </row>
    <row r="1605" spans="2:9" x14ac:dyDescent="0.25">
      <c r="B1605" t="s">
        <v>736</v>
      </c>
      <c r="C1605" s="22" t="s">
        <v>30</v>
      </c>
      <c r="D1605">
        <v>4</v>
      </c>
      <c r="E1605">
        <v>3</v>
      </c>
      <c r="G1605" s="30">
        <f>Table132[[#This Row],[nb win]]/Table132[[#This Row],[nb play]]</f>
        <v>0.75</v>
      </c>
      <c r="H1605" t="str">
        <f>MID(Table132[[#This Row],[ÉTAT]],VALUE(RIGHT(Table132[[#This Row],[next move]],1))+1+VALUE(LEFT(Table132[[#This Row],[next move]],1))*3,1)</f>
        <v>V</v>
      </c>
      <c r="I1605" t="str">
        <f>Table132[[#This Row],[ÉTAT]]&amp;Table132[[#This Row],[next move]]</f>
        <v>VMVVVVEVV10</v>
      </c>
    </row>
    <row r="1606" spans="2:9" x14ac:dyDescent="0.25">
      <c r="B1606" t="s">
        <v>736</v>
      </c>
      <c r="C1606" s="22" t="s">
        <v>29</v>
      </c>
      <c r="D1606">
        <v>10</v>
      </c>
      <c r="E1606">
        <v>7</v>
      </c>
      <c r="G1606" s="31">
        <f>Table132[[#This Row],[nb win]]/Table132[[#This Row],[nb play]]</f>
        <v>0.7</v>
      </c>
      <c r="H1606" t="str">
        <f>MID(Table132[[#This Row],[ÉTAT]],VALUE(RIGHT(Table132[[#This Row],[next move]],1))+1+VALUE(LEFT(Table132[[#This Row],[next move]],1))*3,1)</f>
        <v>V</v>
      </c>
      <c r="I1606" t="str">
        <f>Table132[[#This Row],[ÉTAT]]&amp;Table132[[#This Row],[next move]]</f>
        <v>VMVVVVEVV11</v>
      </c>
    </row>
    <row r="1607" spans="2:9" x14ac:dyDescent="0.25">
      <c r="B1607" t="s">
        <v>736</v>
      </c>
      <c r="C1607" s="22" t="s">
        <v>28</v>
      </c>
      <c r="D1607">
        <v>10</v>
      </c>
      <c r="E1607">
        <v>6</v>
      </c>
      <c r="G1607" s="31">
        <f>Table132[[#This Row],[nb win]]/Table132[[#This Row],[nb play]]</f>
        <v>0.6</v>
      </c>
      <c r="H1607" t="str">
        <f>MID(Table132[[#This Row],[ÉTAT]],VALUE(RIGHT(Table132[[#This Row],[next move]],1))+1+VALUE(LEFT(Table132[[#This Row],[next move]],1))*3,1)</f>
        <v>V</v>
      </c>
      <c r="I1607" t="str">
        <f>Table132[[#This Row],[ÉTAT]]&amp;Table132[[#This Row],[next move]]</f>
        <v>VMVVVVEVV12</v>
      </c>
    </row>
    <row r="1608" spans="2:9" x14ac:dyDescent="0.25">
      <c r="B1608" t="s">
        <v>736</v>
      </c>
      <c r="C1608" s="22" t="s">
        <v>22</v>
      </c>
      <c r="D1608">
        <v>7</v>
      </c>
      <c r="E1608">
        <v>4</v>
      </c>
      <c r="G1608" s="31">
        <f>Table132[[#This Row],[nb win]]/Table132[[#This Row],[nb play]]</f>
        <v>0.5714285714285714</v>
      </c>
      <c r="H1608" t="str">
        <f>MID(Table132[[#This Row],[ÉTAT]],VALUE(RIGHT(Table132[[#This Row],[next move]],1))+1+VALUE(LEFT(Table132[[#This Row],[next move]],1))*3,1)</f>
        <v>V</v>
      </c>
      <c r="I1608" t="str">
        <f>Table132[[#This Row],[ÉTAT]]&amp;Table132[[#This Row],[next move]]</f>
        <v>VMVVVVEVV21</v>
      </c>
    </row>
    <row r="1609" spans="2:9" x14ac:dyDescent="0.25">
      <c r="B1609" t="s">
        <v>549</v>
      </c>
      <c r="C1609" s="22" t="s">
        <v>24</v>
      </c>
      <c r="D1609">
        <v>7</v>
      </c>
      <c r="E1609">
        <v>4</v>
      </c>
      <c r="G1609" s="30">
        <f>Table132[[#This Row],[nb win]]/Table132[[#This Row],[nb play]]</f>
        <v>0.5714285714285714</v>
      </c>
      <c r="H1609" t="str">
        <f>MID(Table132[[#This Row],[ÉTAT]],VALUE(RIGHT(Table132[[#This Row],[next move]],1))+1+VALUE(LEFT(Table132[[#This Row],[next move]],1))*3,1)</f>
        <v>V</v>
      </c>
      <c r="I1609" t="str">
        <f>Table132[[#This Row],[ÉTAT]]&amp;Table132[[#This Row],[next move]]</f>
        <v>VMVVVVEVE00</v>
      </c>
    </row>
    <row r="1610" spans="2:9" x14ac:dyDescent="0.25">
      <c r="B1610" t="s">
        <v>549</v>
      </c>
      <c r="C1610" s="22" t="s">
        <v>20</v>
      </c>
      <c r="D1610">
        <v>8</v>
      </c>
      <c r="E1610">
        <v>1</v>
      </c>
      <c r="G1610" s="30">
        <f>Table132[[#This Row],[nb win]]/Table132[[#This Row],[nb play]]</f>
        <v>0.125</v>
      </c>
      <c r="H1610" t="str">
        <f>MID(Table132[[#This Row],[ÉTAT]],VALUE(RIGHT(Table132[[#This Row],[next move]],1))+1+VALUE(LEFT(Table132[[#This Row],[next move]],1))*3,1)</f>
        <v>V</v>
      </c>
      <c r="I1610" t="str">
        <f>Table132[[#This Row],[ÉTAT]]&amp;Table132[[#This Row],[next move]]</f>
        <v>VMVVVVEVE02</v>
      </c>
    </row>
    <row r="1611" spans="2:9" x14ac:dyDescent="0.25">
      <c r="B1611" t="s">
        <v>549</v>
      </c>
      <c r="C1611" s="22" t="s">
        <v>30</v>
      </c>
      <c r="D1611">
        <v>4</v>
      </c>
      <c r="G1611" s="30">
        <f>Table132[[#This Row],[nb win]]/Table132[[#This Row],[nb play]]</f>
        <v>0</v>
      </c>
      <c r="H1611" t="str">
        <f>MID(Table132[[#This Row],[ÉTAT]],VALUE(RIGHT(Table132[[#This Row],[next move]],1))+1+VALUE(LEFT(Table132[[#This Row],[next move]],1))*3,1)</f>
        <v>V</v>
      </c>
      <c r="I1611" t="str">
        <f>Table132[[#This Row],[ÉTAT]]&amp;Table132[[#This Row],[next move]]</f>
        <v>VMVVVVEVE10</v>
      </c>
    </row>
    <row r="1612" spans="2:9" x14ac:dyDescent="0.25">
      <c r="B1612" t="s">
        <v>549</v>
      </c>
      <c r="C1612" s="22" t="s">
        <v>29</v>
      </c>
      <c r="D1612">
        <v>6</v>
      </c>
      <c r="G1612" s="30">
        <f>Table132[[#This Row],[nb win]]/Table132[[#This Row],[nb play]]</f>
        <v>0</v>
      </c>
      <c r="H1612" t="str">
        <f>MID(Table132[[#This Row],[ÉTAT]],VALUE(RIGHT(Table132[[#This Row],[next move]],1))+1+VALUE(LEFT(Table132[[#This Row],[next move]],1))*3,1)</f>
        <v>V</v>
      </c>
      <c r="I1612" t="str">
        <f>Table132[[#This Row],[ÉTAT]]&amp;Table132[[#This Row],[next move]]</f>
        <v>VMVVVVEVE11</v>
      </c>
    </row>
    <row r="1613" spans="2:9" x14ac:dyDescent="0.25">
      <c r="B1613" t="s">
        <v>549</v>
      </c>
      <c r="C1613" s="22" t="s">
        <v>28</v>
      </c>
      <c r="D1613">
        <v>5</v>
      </c>
      <c r="G1613" s="30">
        <f>Table132[[#This Row],[nb win]]/Table132[[#This Row],[nb play]]</f>
        <v>0</v>
      </c>
      <c r="H1613" t="str">
        <f>MID(Table132[[#This Row],[ÉTAT]],VALUE(RIGHT(Table132[[#This Row],[next move]],1))+1+VALUE(LEFT(Table132[[#This Row],[next move]],1))*3,1)</f>
        <v>V</v>
      </c>
      <c r="I1613" t="str">
        <f>Table132[[#This Row],[ÉTAT]]&amp;Table132[[#This Row],[next move]]</f>
        <v>VMVVVVEVE12</v>
      </c>
    </row>
    <row r="1614" spans="2:9" x14ac:dyDescent="0.25">
      <c r="B1614" t="s">
        <v>549</v>
      </c>
      <c r="C1614" s="22" t="s">
        <v>22</v>
      </c>
      <c r="D1614">
        <v>5</v>
      </c>
      <c r="E1614">
        <v>2</v>
      </c>
      <c r="G1614" s="30">
        <f>Table132[[#This Row],[nb win]]/Table132[[#This Row],[nb play]]</f>
        <v>0.4</v>
      </c>
      <c r="H1614" t="str">
        <f>MID(Table132[[#This Row],[ÉTAT]],VALUE(RIGHT(Table132[[#This Row],[next move]],1))+1+VALUE(LEFT(Table132[[#This Row],[next move]],1))*3,1)</f>
        <v>V</v>
      </c>
      <c r="I1614" t="str">
        <f>Table132[[#This Row],[ÉTAT]]&amp;Table132[[#This Row],[next move]]</f>
        <v>VMVVVVEVE21</v>
      </c>
    </row>
    <row r="1615" spans="2:9" x14ac:dyDescent="0.25">
      <c r="B1615" t="s">
        <v>2516</v>
      </c>
      <c r="C1615" s="22" t="s">
        <v>24</v>
      </c>
      <c r="D1615">
        <v>3</v>
      </c>
      <c r="E1615">
        <v>3</v>
      </c>
      <c r="G1615" s="31">
        <f>Table132[[#This Row],[nb win]]/Table132[[#This Row],[nb play]]</f>
        <v>1</v>
      </c>
      <c r="H1615" t="str">
        <f>MID(Table132[[#This Row],[ÉTAT]],VALUE(RIGHT(Table132[[#This Row],[next move]],1))+1+VALUE(LEFT(Table132[[#This Row],[next move]],1))*3,1)</f>
        <v>V</v>
      </c>
      <c r="I1615" t="str">
        <f>Table132[[#This Row],[ÉTAT]]&amp;Table132[[#This Row],[next move]]</f>
        <v>VMVVVVEME00</v>
      </c>
    </row>
    <row r="1616" spans="2:9" x14ac:dyDescent="0.25">
      <c r="B1616" t="s">
        <v>2516</v>
      </c>
      <c r="C1616" s="22" t="s">
        <v>30</v>
      </c>
      <c r="D1616">
        <v>1</v>
      </c>
      <c r="G1616" s="25">
        <f>Table132[[#This Row],[nb win]]/Table132[[#This Row],[nb play]]</f>
        <v>0</v>
      </c>
      <c r="H1616" t="str">
        <f>MID(Table132[[#This Row],[ÉTAT]],VALUE(RIGHT(Table132[[#This Row],[next move]],1))+1+VALUE(LEFT(Table132[[#This Row],[next move]],1))*3,1)</f>
        <v>V</v>
      </c>
      <c r="I1616" t="str">
        <f>Table132[[#This Row],[ÉTAT]]&amp;Table132[[#This Row],[next move]]</f>
        <v>VMVVVVEME10</v>
      </c>
    </row>
    <row r="1617" spans="2:9" x14ac:dyDescent="0.25">
      <c r="B1617" t="s">
        <v>2516</v>
      </c>
      <c r="C1617" s="22" t="s">
        <v>28</v>
      </c>
      <c r="D1617">
        <v>1</v>
      </c>
      <c r="G1617" s="25">
        <f>Table132[[#This Row],[nb win]]/Table132[[#This Row],[nb play]]</f>
        <v>0</v>
      </c>
      <c r="H1617" t="str">
        <f>MID(Table132[[#This Row],[ÉTAT]],VALUE(RIGHT(Table132[[#This Row],[next move]],1))+1+VALUE(LEFT(Table132[[#This Row],[next move]],1))*3,1)</f>
        <v>V</v>
      </c>
      <c r="I1617" t="str">
        <f>Table132[[#This Row],[ÉTAT]]&amp;Table132[[#This Row],[next move]]</f>
        <v>VMVVVVEME12</v>
      </c>
    </row>
    <row r="1618" spans="2:9" x14ac:dyDescent="0.25">
      <c r="B1618" t="s">
        <v>2569</v>
      </c>
      <c r="C1618" s="22" t="s">
        <v>24</v>
      </c>
      <c r="D1618">
        <v>1</v>
      </c>
      <c r="G1618" s="30">
        <f>Table132[[#This Row],[nb win]]/Table132[[#This Row],[nb play]]</f>
        <v>0</v>
      </c>
      <c r="H1618" t="str">
        <f>MID(Table132[[#This Row],[ÉTAT]],VALUE(RIGHT(Table132[[#This Row],[next move]],1))+1+VALUE(LEFT(Table132[[#This Row],[next move]],1))*3,1)</f>
        <v>V</v>
      </c>
      <c r="I1618" t="str">
        <f>Table132[[#This Row],[ÉTAT]]&amp;Table132[[#This Row],[next move]]</f>
        <v>VMVVVVEEV00</v>
      </c>
    </row>
    <row r="1619" spans="2:9" x14ac:dyDescent="0.25">
      <c r="B1619" t="s">
        <v>2569</v>
      </c>
      <c r="C1619" s="22" t="s">
        <v>20</v>
      </c>
      <c r="D1619">
        <v>4</v>
      </c>
      <c r="E1619">
        <v>1</v>
      </c>
      <c r="G1619" s="30">
        <f>Table132[[#This Row],[nb win]]/Table132[[#This Row],[nb play]]</f>
        <v>0.25</v>
      </c>
      <c r="H1619" t="str">
        <f>MID(Table132[[#This Row],[ÉTAT]],VALUE(RIGHT(Table132[[#This Row],[next move]],1))+1+VALUE(LEFT(Table132[[#This Row],[next move]],1))*3,1)</f>
        <v>V</v>
      </c>
      <c r="I1619" t="str">
        <f>Table132[[#This Row],[ÉTAT]]&amp;Table132[[#This Row],[next move]]</f>
        <v>VMVVVVEEV02</v>
      </c>
    </row>
    <row r="1620" spans="2:9" x14ac:dyDescent="0.25">
      <c r="B1620" t="s">
        <v>2569</v>
      </c>
      <c r="C1620" s="22" t="s">
        <v>30</v>
      </c>
      <c r="D1620">
        <v>1</v>
      </c>
      <c r="G1620" s="30">
        <f>Table132[[#This Row],[nb win]]/Table132[[#This Row],[nb play]]</f>
        <v>0</v>
      </c>
      <c r="H1620" t="str">
        <f>MID(Table132[[#This Row],[ÉTAT]],VALUE(RIGHT(Table132[[#This Row],[next move]],1))+1+VALUE(LEFT(Table132[[#This Row],[next move]],1))*3,1)</f>
        <v>V</v>
      </c>
      <c r="I1620" t="str">
        <f>Table132[[#This Row],[ÉTAT]]&amp;Table132[[#This Row],[next move]]</f>
        <v>VMVVVVEEV10</v>
      </c>
    </row>
    <row r="1621" spans="2:9" x14ac:dyDescent="0.25">
      <c r="B1621" t="s">
        <v>2569</v>
      </c>
      <c r="C1621" s="22" t="s">
        <v>29</v>
      </c>
      <c r="D1621">
        <v>1</v>
      </c>
      <c r="G1621" s="25">
        <f>Table132[[#This Row],[nb win]]/Table132[[#This Row],[nb play]]</f>
        <v>0</v>
      </c>
      <c r="H1621" t="str">
        <f>MID(Table132[[#This Row],[ÉTAT]],VALUE(RIGHT(Table132[[#This Row],[next move]],1))+1+VALUE(LEFT(Table132[[#This Row],[next move]],1))*3,1)</f>
        <v>V</v>
      </c>
      <c r="I1621" t="str">
        <f>Table132[[#This Row],[ÉTAT]]&amp;Table132[[#This Row],[next move]]</f>
        <v>VMVVVVEEV11</v>
      </c>
    </row>
    <row r="1622" spans="2:9" x14ac:dyDescent="0.25">
      <c r="B1622" t="s">
        <v>2569</v>
      </c>
      <c r="C1622" s="22" t="s">
        <v>28</v>
      </c>
      <c r="D1622">
        <v>4</v>
      </c>
      <c r="G1622" s="30">
        <f>Table132[[#This Row],[nb win]]/Table132[[#This Row],[nb play]]</f>
        <v>0</v>
      </c>
      <c r="H1622" t="str">
        <f>MID(Table132[[#This Row],[ÉTAT]],VALUE(RIGHT(Table132[[#This Row],[next move]],1))+1+VALUE(LEFT(Table132[[#This Row],[next move]],1))*3,1)</f>
        <v>V</v>
      </c>
      <c r="I1622" t="str">
        <f>Table132[[#This Row],[ÉTAT]]&amp;Table132[[#This Row],[next move]]</f>
        <v>VMVVVVEEV12</v>
      </c>
    </row>
    <row r="1623" spans="2:9" x14ac:dyDescent="0.25">
      <c r="B1623" t="s">
        <v>2569</v>
      </c>
      <c r="C1623" s="22" t="s">
        <v>31</v>
      </c>
      <c r="D1623">
        <v>1</v>
      </c>
      <c r="G1623" s="30">
        <f>Table132[[#This Row],[nb win]]/Table132[[#This Row],[nb play]]</f>
        <v>0</v>
      </c>
      <c r="H1623" t="str">
        <f>MID(Table132[[#This Row],[ÉTAT]],VALUE(RIGHT(Table132[[#This Row],[next move]],1))+1+VALUE(LEFT(Table132[[#This Row],[next move]],1))*3,1)</f>
        <v>V</v>
      </c>
      <c r="I1623" t="str">
        <f>Table132[[#This Row],[ÉTAT]]&amp;Table132[[#This Row],[next move]]</f>
        <v>VMVVVVEEV22</v>
      </c>
    </row>
    <row r="1624" spans="2:9" x14ac:dyDescent="0.25">
      <c r="B1624" t="s">
        <v>1122</v>
      </c>
      <c r="C1624" s="22" t="s">
        <v>24</v>
      </c>
      <c r="D1624">
        <v>1</v>
      </c>
      <c r="E1624">
        <v>1</v>
      </c>
      <c r="G1624" s="31">
        <f>Table132[[#This Row],[nb win]]/Table132[[#This Row],[nb play]]</f>
        <v>1</v>
      </c>
      <c r="H1624" t="str">
        <f>MID(Table132[[#This Row],[ÉTAT]],VALUE(RIGHT(Table132[[#This Row],[next move]],1))+1+VALUE(LEFT(Table132[[#This Row],[next move]],1))*3,1)</f>
        <v>V</v>
      </c>
      <c r="I1624" t="str">
        <f>Table132[[#This Row],[ÉTAT]]&amp;Table132[[#This Row],[next move]]</f>
        <v>VMVVVVEEM00</v>
      </c>
    </row>
    <row r="1625" spans="2:9" x14ac:dyDescent="0.25">
      <c r="B1625" t="s">
        <v>1122</v>
      </c>
      <c r="C1625" s="22" t="s">
        <v>20</v>
      </c>
      <c r="D1625">
        <v>1</v>
      </c>
      <c r="G1625" s="25">
        <f>Table132[[#This Row],[nb win]]/Table132[[#This Row],[nb play]]</f>
        <v>0</v>
      </c>
      <c r="H1625" t="str">
        <f>MID(Table132[[#This Row],[ÉTAT]],VALUE(RIGHT(Table132[[#This Row],[next move]],1))+1+VALUE(LEFT(Table132[[#This Row],[next move]],1))*3,1)</f>
        <v>V</v>
      </c>
      <c r="I1625" t="str">
        <f>Table132[[#This Row],[ÉTAT]]&amp;Table132[[#This Row],[next move]]</f>
        <v>VMVVVVEEM02</v>
      </c>
    </row>
    <row r="1626" spans="2:9" x14ac:dyDescent="0.25">
      <c r="B1626" t="s">
        <v>1122</v>
      </c>
      <c r="C1626" s="22" t="s">
        <v>29</v>
      </c>
      <c r="D1626">
        <v>2</v>
      </c>
      <c r="E1626">
        <v>1</v>
      </c>
      <c r="G1626" s="25">
        <f>Table132[[#This Row],[nb win]]/Table132[[#This Row],[nb play]]</f>
        <v>0.5</v>
      </c>
      <c r="H1626" t="str">
        <f>MID(Table132[[#This Row],[ÉTAT]],VALUE(RIGHT(Table132[[#This Row],[next move]],1))+1+VALUE(LEFT(Table132[[#This Row],[next move]],1))*3,1)</f>
        <v>V</v>
      </c>
      <c r="I1626" t="str">
        <f>Table132[[#This Row],[ÉTAT]]&amp;Table132[[#This Row],[next move]]</f>
        <v>VMVVVVEEM11</v>
      </c>
    </row>
    <row r="1627" spans="2:9" x14ac:dyDescent="0.25">
      <c r="B1627" t="s">
        <v>3415</v>
      </c>
      <c r="C1627" s="22" t="s">
        <v>29</v>
      </c>
      <c r="D1627">
        <v>1</v>
      </c>
      <c r="E1627">
        <v>1</v>
      </c>
      <c r="G1627" s="31">
        <f>Table132[[#This Row],[nb win]]/Table132[[#This Row],[nb play]]</f>
        <v>1</v>
      </c>
      <c r="H1627" t="str">
        <f>MID(Table132[[#This Row],[ÉTAT]],VALUE(RIGHT(Table132[[#This Row],[next move]],1))+1+VALUE(LEFT(Table132[[#This Row],[next move]],1))*3,1)</f>
        <v>V</v>
      </c>
      <c r="I1627" t="str">
        <f>Table132[[#This Row],[ÉTAT]]&amp;Table132[[#This Row],[next move]]</f>
        <v>VMVVVMVEE11</v>
      </c>
    </row>
    <row r="1628" spans="2:9" x14ac:dyDescent="0.25">
      <c r="B1628" t="s">
        <v>3344</v>
      </c>
      <c r="C1628" s="22" t="s">
        <v>20</v>
      </c>
      <c r="D1628">
        <v>1</v>
      </c>
      <c r="E1628">
        <v>1</v>
      </c>
      <c r="G1628" s="31">
        <f>Table132[[#This Row],[nb win]]/Table132[[#This Row],[nb play]]</f>
        <v>1</v>
      </c>
      <c r="H1628" t="str">
        <f>MID(Table132[[#This Row],[ÉTAT]],VALUE(RIGHT(Table132[[#This Row],[next move]],1))+1+VALUE(LEFT(Table132[[#This Row],[next move]],1))*3,1)</f>
        <v>V</v>
      </c>
      <c r="I1628" t="str">
        <f>Table132[[#This Row],[ÉTAT]]&amp;Table132[[#This Row],[next move]]</f>
        <v>VMVVVMEVE02</v>
      </c>
    </row>
    <row r="1629" spans="2:9" x14ac:dyDescent="0.25">
      <c r="B1629" t="s">
        <v>776</v>
      </c>
      <c r="C1629" s="22" t="s">
        <v>24</v>
      </c>
      <c r="D1629">
        <v>1</v>
      </c>
      <c r="E1629">
        <v>1</v>
      </c>
      <c r="G1629" s="25">
        <f>Table132[[#This Row],[nb win]]/Table132[[#This Row],[nb play]]</f>
        <v>1</v>
      </c>
      <c r="H1629" t="str">
        <f>MID(Table132[[#This Row],[ÉTAT]],VALUE(RIGHT(Table132[[#This Row],[next move]],1))+1+VALUE(LEFT(Table132[[#This Row],[next move]],1))*3,1)</f>
        <v>V</v>
      </c>
      <c r="I1629" t="str">
        <f>Table132[[#This Row],[ÉTAT]]&amp;Table132[[#This Row],[next move]]</f>
        <v>VMVVVMEEV00</v>
      </c>
    </row>
    <row r="1630" spans="2:9" x14ac:dyDescent="0.25">
      <c r="B1630" t="s">
        <v>776</v>
      </c>
      <c r="C1630" s="22" t="s">
        <v>30</v>
      </c>
      <c r="D1630">
        <v>4</v>
      </c>
      <c r="E1630">
        <v>2</v>
      </c>
      <c r="G1630" s="31">
        <f>Table132[[#This Row],[nb win]]/Table132[[#This Row],[nb play]]</f>
        <v>0.5</v>
      </c>
      <c r="H1630" t="str">
        <f>MID(Table132[[#This Row],[ÉTAT]],VALUE(RIGHT(Table132[[#This Row],[next move]],1))+1+VALUE(LEFT(Table132[[#This Row],[next move]],1))*3,1)</f>
        <v>V</v>
      </c>
      <c r="I1630" t="str">
        <f>Table132[[#This Row],[ÉTAT]]&amp;Table132[[#This Row],[next move]]</f>
        <v>VMVVVMEEV10</v>
      </c>
    </row>
    <row r="1631" spans="2:9" x14ac:dyDescent="0.25">
      <c r="B1631" t="s">
        <v>262</v>
      </c>
      <c r="C1631" s="22" t="s">
        <v>24</v>
      </c>
      <c r="D1631">
        <v>3</v>
      </c>
      <c r="E1631">
        <v>3</v>
      </c>
      <c r="G1631" s="31">
        <f>Table132[[#This Row],[nb win]]/Table132[[#This Row],[nb play]]</f>
        <v>1</v>
      </c>
      <c r="H1631" t="str">
        <f>MID(Table132[[#This Row],[ÉTAT]],VALUE(RIGHT(Table132[[#This Row],[next move]],1))+1+VALUE(LEFT(Table132[[#This Row],[next move]],1))*3,1)</f>
        <v>V</v>
      </c>
      <c r="I1631" t="str">
        <f>Table132[[#This Row],[ÉTAT]]&amp;Table132[[#This Row],[next move]]</f>
        <v>VMVVVEVVV00</v>
      </c>
    </row>
    <row r="1632" spans="2:9" x14ac:dyDescent="0.25">
      <c r="B1632" t="s">
        <v>262</v>
      </c>
      <c r="C1632" s="22" t="s">
        <v>20</v>
      </c>
      <c r="D1632">
        <v>6</v>
      </c>
      <c r="E1632">
        <v>4</v>
      </c>
      <c r="G1632" s="31">
        <f>Table132[[#This Row],[nb win]]/Table132[[#This Row],[nb play]]</f>
        <v>0.66666666666666663</v>
      </c>
      <c r="H1632" t="str">
        <f>MID(Table132[[#This Row],[ÉTAT]],VALUE(RIGHT(Table132[[#This Row],[next move]],1))+1+VALUE(LEFT(Table132[[#This Row],[next move]],1))*3,1)</f>
        <v>V</v>
      </c>
      <c r="I1632" t="str">
        <f>Table132[[#This Row],[ÉTAT]]&amp;Table132[[#This Row],[next move]]</f>
        <v>VMVVVEVVV02</v>
      </c>
    </row>
    <row r="1633" spans="2:9" x14ac:dyDescent="0.25">
      <c r="B1633" t="s">
        <v>262</v>
      </c>
      <c r="C1633" s="22" t="s">
        <v>30</v>
      </c>
      <c r="D1633">
        <v>3</v>
      </c>
      <c r="G1633" s="30">
        <f>Table132[[#This Row],[nb win]]/Table132[[#This Row],[nb play]]</f>
        <v>0</v>
      </c>
      <c r="H1633" t="str">
        <f>MID(Table132[[#This Row],[ÉTAT]],VALUE(RIGHT(Table132[[#This Row],[next move]],1))+1+VALUE(LEFT(Table132[[#This Row],[next move]],1))*3,1)</f>
        <v>V</v>
      </c>
      <c r="I1633" t="str">
        <f>Table132[[#This Row],[ÉTAT]]&amp;Table132[[#This Row],[next move]]</f>
        <v>VMVVVEVVV10</v>
      </c>
    </row>
    <row r="1634" spans="2:9" x14ac:dyDescent="0.25">
      <c r="B1634" t="s">
        <v>262</v>
      </c>
      <c r="C1634" s="22" t="s">
        <v>29</v>
      </c>
      <c r="D1634">
        <v>7</v>
      </c>
      <c r="E1634">
        <v>6</v>
      </c>
      <c r="G1634" s="31">
        <f>Table132[[#This Row],[nb win]]/Table132[[#This Row],[nb play]]</f>
        <v>0.8571428571428571</v>
      </c>
      <c r="H1634" t="str">
        <f>MID(Table132[[#This Row],[ÉTAT]],VALUE(RIGHT(Table132[[#This Row],[next move]],1))+1+VALUE(LEFT(Table132[[#This Row],[next move]],1))*3,1)</f>
        <v>V</v>
      </c>
      <c r="I1634" t="str">
        <f>Table132[[#This Row],[ÉTAT]]&amp;Table132[[#This Row],[next move]]</f>
        <v>VMVVVEVVV11</v>
      </c>
    </row>
    <row r="1635" spans="2:9" x14ac:dyDescent="0.25">
      <c r="B1635" t="s">
        <v>262</v>
      </c>
      <c r="C1635" s="22" t="s">
        <v>35</v>
      </c>
      <c r="D1635">
        <v>8</v>
      </c>
      <c r="E1635">
        <v>3</v>
      </c>
      <c r="G1635" s="31">
        <f>Table132[[#This Row],[nb win]]/Table132[[#This Row],[nb play]]</f>
        <v>0.375</v>
      </c>
      <c r="H1635" t="str">
        <f>MID(Table132[[#This Row],[ÉTAT]],VALUE(RIGHT(Table132[[#This Row],[next move]],1))+1+VALUE(LEFT(Table132[[#This Row],[next move]],1))*3,1)</f>
        <v>V</v>
      </c>
      <c r="I1635" t="str">
        <f>Table132[[#This Row],[ÉTAT]]&amp;Table132[[#This Row],[next move]]</f>
        <v>VMVVVEVVV20</v>
      </c>
    </row>
    <row r="1636" spans="2:9" x14ac:dyDescent="0.25">
      <c r="B1636" t="s">
        <v>262</v>
      </c>
      <c r="C1636" s="22" t="s">
        <v>22</v>
      </c>
      <c r="D1636">
        <v>16</v>
      </c>
      <c r="E1636">
        <v>9</v>
      </c>
      <c r="G1636" s="31">
        <f>Table132[[#This Row],[nb win]]/Table132[[#This Row],[nb play]]</f>
        <v>0.5625</v>
      </c>
      <c r="H1636" t="str">
        <f>MID(Table132[[#This Row],[ÉTAT]],VALUE(RIGHT(Table132[[#This Row],[next move]],1))+1+VALUE(LEFT(Table132[[#This Row],[next move]],1))*3,1)</f>
        <v>V</v>
      </c>
      <c r="I1636" t="str">
        <f>Table132[[#This Row],[ÉTAT]]&amp;Table132[[#This Row],[next move]]</f>
        <v>VMVVVEVVV21</v>
      </c>
    </row>
    <row r="1637" spans="2:9" x14ac:dyDescent="0.25">
      <c r="B1637" t="s">
        <v>262</v>
      </c>
      <c r="C1637" s="22" t="s">
        <v>31</v>
      </c>
      <c r="D1637">
        <v>9</v>
      </c>
      <c r="E1637">
        <v>5</v>
      </c>
      <c r="G1637" s="31">
        <f>Table132[[#This Row],[nb win]]/Table132[[#This Row],[nb play]]</f>
        <v>0.55555555555555558</v>
      </c>
      <c r="H1637" t="str">
        <f>MID(Table132[[#This Row],[ÉTAT]],VALUE(RIGHT(Table132[[#This Row],[next move]],1))+1+VALUE(LEFT(Table132[[#This Row],[next move]],1))*3,1)</f>
        <v>V</v>
      </c>
      <c r="I1637" t="str">
        <f>Table132[[#This Row],[ÉTAT]]&amp;Table132[[#This Row],[next move]]</f>
        <v>VMVVVEVVV22</v>
      </c>
    </row>
    <row r="1638" spans="2:9" x14ac:dyDescent="0.25">
      <c r="B1638" t="s">
        <v>677</v>
      </c>
      <c r="C1638" s="22" t="s">
        <v>24</v>
      </c>
      <c r="D1638">
        <v>3</v>
      </c>
      <c r="E1638">
        <v>2</v>
      </c>
      <c r="G1638" s="31">
        <f>Table132[[#This Row],[nb win]]/Table132[[#This Row],[nb play]]</f>
        <v>0.66666666666666663</v>
      </c>
      <c r="H1638" t="str">
        <f>MID(Table132[[#This Row],[ÉTAT]],VALUE(RIGHT(Table132[[#This Row],[next move]],1))+1+VALUE(LEFT(Table132[[#This Row],[next move]],1))*3,1)</f>
        <v>V</v>
      </c>
      <c r="I1638" t="str">
        <f>Table132[[#This Row],[ÉTAT]]&amp;Table132[[#This Row],[next move]]</f>
        <v>VMVVVEVVE00</v>
      </c>
    </row>
    <row r="1639" spans="2:9" x14ac:dyDescent="0.25">
      <c r="B1639" t="s">
        <v>677</v>
      </c>
      <c r="C1639" s="22" t="s">
        <v>20</v>
      </c>
      <c r="D1639">
        <v>8</v>
      </c>
      <c r="E1639">
        <v>7</v>
      </c>
      <c r="G1639" s="25">
        <f>Table132[[#This Row],[nb win]]/Table132[[#This Row],[nb play]]</f>
        <v>0.875</v>
      </c>
      <c r="H1639" t="str">
        <f>MID(Table132[[#This Row],[ÉTAT]],VALUE(RIGHT(Table132[[#This Row],[next move]],1))+1+VALUE(LEFT(Table132[[#This Row],[next move]],1))*3,1)</f>
        <v>V</v>
      </c>
      <c r="I1639" t="str">
        <f>Table132[[#This Row],[ÉTAT]]&amp;Table132[[#This Row],[next move]]</f>
        <v>VMVVVEVVE02</v>
      </c>
    </row>
    <row r="1640" spans="2:9" x14ac:dyDescent="0.25">
      <c r="B1640" t="s">
        <v>677</v>
      </c>
      <c r="C1640" s="22" t="s">
        <v>30</v>
      </c>
      <c r="D1640">
        <v>5</v>
      </c>
      <c r="G1640" s="30">
        <f>Table132[[#This Row],[nb win]]/Table132[[#This Row],[nb play]]</f>
        <v>0</v>
      </c>
      <c r="H1640" t="str">
        <f>MID(Table132[[#This Row],[ÉTAT]],VALUE(RIGHT(Table132[[#This Row],[next move]],1))+1+VALUE(LEFT(Table132[[#This Row],[next move]],1))*3,1)</f>
        <v>V</v>
      </c>
      <c r="I1640" t="str">
        <f>Table132[[#This Row],[ÉTAT]]&amp;Table132[[#This Row],[next move]]</f>
        <v>VMVVVEVVE10</v>
      </c>
    </row>
    <row r="1641" spans="2:9" x14ac:dyDescent="0.25">
      <c r="B1641" t="s">
        <v>677</v>
      </c>
      <c r="C1641" s="22" t="s">
        <v>29</v>
      </c>
      <c r="D1641">
        <v>2</v>
      </c>
      <c r="E1641">
        <v>1</v>
      </c>
      <c r="G1641" s="30">
        <f>Table132[[#This Row],[nb win]]/Table132[[#This Row],[nb play]]</f>
        <v>0.5</v>
      </c>
      <c r="H1641" t="str">
        <f>MID(Table132[[#This Row],[ÉTAT]],VALUE(RIGHT(Table132[[#This Row],[next move]],1))+1+VALUE(LEFT(Table132[[#This Row],[next move]],1))*3,1)</f>
        <v>V</v>
      </c>
      <c r="I1641" t="str">
        <f>Table132[[#This Row],[ÉTAT]]&amp;Table132[[#This Row],[next move]]</f>
        <v>VMVVVEVVE11</v>
      </c>
    </row>
    <row r="1642" spans="2:9" x14ac:dyDescent="0.25">
      <c r="B1642" t="s">
        <v>677</v>
      </c>
      <c r="C1642" s="22" t="s">
        <v>35</v>
      </c>
      <c r="D1642">
        <v>2</v>
      </c>
      <c r="G1642" s="30">
        <f>Table132[[#This Row],[nb win]]/Table132[[#This Row],[nb play]]</f>
        <v>0</v>
      </c>
      <c r="H1642" t="str">
        <f>MID(Table132[[#This Row],[ÉTAT]],VALUE(RIGHT(Table132[[#This Row],[next move]],1))+1+VALUE(LEFT(Table132[[#This Row],[next move]],1))*3,1)</f>
        <v>V</v>
      </c>
      <c r="I1642" t="str">
        <f>Table132[[#This Row],[ÉTAT]]&amp;Table132[[#This Row],[next move]]</f>
        <v>VMVVVEVVE20</v>
      </c>
    </row>
    <row r="1643" spans="2:9" x14ac:dyDescent="0.25">
      <c r="B1643" t="s">
        <v>677</v>
      </c>
      <c r="C1643" s="22" t="s">
        <v>22</v>
      </c>
      <c r="D1643">
        <v>1</v>
      </c>
      <c r="G1643" s="25">
        <f>Table132[[#This Row],[nb win]]/Table132[[#This Row],[nb play]]</f>
        <v>0</v>
      </c>
      <c r="H1643" t="str">
        <f>MID(Table132[[#This Row],[ÉTAT]],VALUE(RIGHT(Table132[[#This Row],[next move]],1))+1+VALUE(LEFT(Table132[[#This Row],[next move]],1))*3,1)</f>
        <v>V</v>
      </c>
      <c r="I1643" t="str">
        <f>Table132[[#This Row],[ÉTAT]]&amp;Table132[[#This Row],[next move]]</f>
        <v>VMVVVEVVE21</v>
      </c>
    </row>
    <row r="1644" spans="2:9" x14ac:dyDescent="0.25">
      <c r="B1644" t="s">
        <v>1559</v>
      </c>
      <c r="C1644" s="22" t="s">
        <v>30</v>
      </c>
      <c r="D1644">
        <v>2</v>
      </c>
      <c r="G1644" s="25">
        <f>Table132[[#This Row],[nb win]]/Table132[[#This Row],[nb play]]</f>
        <v>0</v>
      </c>
      <c r="H1644" t="str">
        <f>MID(Table132[[#This Row],[ÉTAT]],VALUE(RIGHT(Table132[[#This Row],[next move]],1))+1+VALUE(LEFT(Table132[[#This Row],[next move]],1))*3,1)</f>
        <v>V</v>
      </c>
      <c r="I1644" t="str">
        <f>Table132[[#This Row],[ÉTAT]]&amp;Table132[[#This Row],[next move]]</f>
        <v>VMVVVEVME10</v>
      </c>
    </row>
    <row r="1645" spans="2:9" x14ac:dyDescent="0.25">
      <c r="B1645" t="s">
        <v>1559</v>
      </c>
      <c r="C1645" s="22" t="s">
        <v>35</v>
      </c>
      <c r="D1645">
        <v>6</v>
      </c>
      <c r="E1645">
        <v>6</v>
      </c>
      <c r="G1645" s="31">
        <f>Table132[[#This Row],[nb win]]/Table132[[#This Row],[nb play]]</f>
        <v>1</v>
      </c>
      <c r="H1645" t="str">
        <f>MID(Table132[[#This Row],[ÉTAT]],VALUE(RIGHT(Table132[[#This Row],[next move]],1))+1+VALUE(LEFT(Table132[[#This Row],[next move]],1))*3,1)</f>
        <v>V</v>
      </c>
      <c r="I1645" t="str">
        <f>Table132[[#This Row],[ÉTAT]]&amp;Table132[[#This Row],[next move]]</f>
        <v>VMVVVEVME20</v>
      </c>
    </row>
    <row r="1646" spans="2:9" x14ac:dyDescent="0.25">
      <c r="B1646" t="s">
        <v>361</v>
      </c>
      <c r="C1646" s="22" t="s">
        <v>24</v>
      </c>
      <c r="D1646">
        <v>4</v>
      </c>
      <c r="E1646">
        <v>2</v>
      </c>
      <c r="G1646" s="31">
        <f>Table132[[#This Row],[nb win]]/Table132[[#This Row],[nb play]]</f>
        <v>0.5</v>
      </c>
      <c r="H1646" t="str">
        <f>MID(Table132[[#This Row],[ÉTAT]],VALUE(RIGHT(Table132[[#This Row],[next move]],1))+1+VALUE(LEFT(Table132[[#This Row],[next move]],1))*3,1)</f>
        <v>V</v>
      </c>
      <c r="I1646" t="str">
        <f>Table132[[#This Row],[ÉTAT]]&amp;Table132[[#This Row],[next move]]</f>
        <v>VMVVVEVEV00</v>
      </c>
    </row>
    <row r="1647" spans="2:9" x14ac:dyDescent="0.25">
      <c r="B1647" t="s">
        <v>361</v>
      </c>
      <c r="C1647" s="22" t="s">
        <v>20</v>
      </c>
      <c r="D1647">
        <v>3</v>
      </c>
      <c r="E1647">
        <v>3</v>
      </c>
      <c r="G1647" s="31">
        <f>Table132[[#This Row],[nb win]]/Table132[[#This Row],[nb play]]</f>
        <v>1</v>
      </c>
      <c r="H1647" t="str">
        <f>MID(Table132[[#This Row],[ÉTAT]],VALUE(RIGHT(Table132[[#This Row],[next move]],1))+1+VALUE(LEFT(Table132[[#This Row],[next move]],1))*3,1)</f>
        <v>V</v>
      </c>
      <c r="I1647" t="str">
        <f>Table132[[#This Row],[ÉTAT]]&amp;Table132[[#This Row],[next move]]</f>
        <v>VMVVVEVEV02</v>
      </c>
    </row>
    <row r="1648" spans="2:9" x14ac:dyDescent="0.25">
      <c r="B1648" t="s">
        <v>361</v>
      </c>
      <c r="C1648" s="22" t="s">
        <v>30</v>
      </c>
      <c r="D1648">
        <v>1</v>
      </c>
      <c r="G1648" s="25">
        <f>Table132[[#This Row],[nb win]]/Table132[[#This Row],[nb play]]</f>
        <v>0</v>
      </c>
      <c r="H1648" t="str">
        <f>MID(Table132[[#This Row],[ÉTAT]],VALUE(RIGHT(Table132[[#This Row],[next move]],1))+1+VALUE(LEFT(Table132[[#This Row],[next move]],1))*3,1)</f>
        <v>V</v>
      </c>
      <c r="I1648" t="str">
        <f>Table132[[#This Row],[ÉTAT]]&amp;Table132[[#This Row],[next move]]</f>
        <v>VMVVVEVEV10</v>
      </c>
    </row>
    <row r="1649" spans="2:9" x14ac:dyDescent="0.25">
      <c r="B1649" t="s">
        <v>361</v>
      </c>
      <c r="C1649" s="22" t="s">
        <v>29</v>
      </c>
      <c r="D1649">
        <v>4</v>
      </c>
      <c r="E1649">
        <v>2</v>
      </c>
      <c r="G1649" s="31">
        <f>Table132[[#This Row],[nb win]]/Table132[[#This Row],[nb play]]</f>
        <v>0.5</v>
      </c>
      <c r="H1649" t="str">
        <f>MID(Table132[[#This Row],[ÉTAT]],VALUE(RIGHT(Table132[[#This Row],[next move]],1))+1+VALUE(LEFT(Table132[[#This Row],[next move]],1))*3,1)</f>
        <v>V</v>
      </c>
      <c r="I1649" t="str">
        <f>Table132[[#This Row],[ÉTAT]]&amp;Table132[[#This Row],[next move]]</f>
        <v>VMVVVEVEV11</v>
      </c>
    </row>
    <row r="1650" spans="2:9" x14ac:dyDescent="0.25">
      <c r="B1650" t="s">
        <v>361</v>
      </c>
      <c r="C1650" s="22" t="s">
        <v>31</v>
      </c>
      <c r="D1650">
        <v>1</v>
      </c>
      <c r="G1650" s="25">
        <f>Table132[[#This Row],[nb win]]/Table132[[#This Row],[nb play]]</f>
        <v>0</v>
      </c>
      <c r="H1650" t="str">
        <f>MID(Table132[[#This Row],[ÉTAT]],VALUE(RIGHT(Table132[[#This Row],[next move]],1))+1+VALUE(LEFT(Table132[[#This Row],[next move]],1))*3,1)</f>
        <v>V</v>
      </c>
      <c r="I1650" t="str">
        <f>Table132[[#This Row],[ÉTAT]]&amp;Table132[[#This Row],[next move]]</f>
        <v>VMVVVEVEV22</v>
      </c>
    </row>
    <row r="1651" spans="2:9" x14ac:dyDescent="0.25">
      <c r="B1651" t="s">
        <v>915</v>
      </c>
      <c r="C1651" s="22" t="s">
        <v>24</v>
      </c>
      <c r="D1651">
        <v>5</v>
      </c>
      <c r="E1651">
        <v>5</v>
      </c>
      <c r="G1651" s="25">
        <f>Table132[[#This Row],[nb win]]/Table132[[#This Row],[nb play]]</f>
        <v>1</v>
      </c>
      <c r="H1651" t="str">
        <f>MID(Table132[[#This Row],[ÉTAT]],VALUE(RIGHT(Table132[[#This Row],[next move]],1))+1+VALUE(LEFT(Table132[[#This Row],[next move]],1))*3,1)</f>
        <v>V</v>
      </c>
      <c r="I1651" t="str">
        <f>Table132[[#This Row],[ÉTAT]]&amp;Table132[[#This Row],[next move]]</f>
        <v>VMVVVEVEM00</v>
      </c>
    </row>
    <row r="1652" spans="2:9" x14ac:dyDescent="0.25">
      <c r="B1652" t="s">
        <v>892</v>
      </c>
      <c r="C1652" s="22" t="s">
        <v>30</v>
      </c>
      <c r="D1652">
        <v>1</v>
      </c>
      <c r="G1652" s="25">
        <f>Table132[[#This Row],[nb win]]/Table132[[#This Row],[nb play]]</f>
        <v>0</v>
      </c>
      <c r="H1652" t="str">
        <f>MID(Table132[[#This Row],[ÉTAT]],VALUE(RIGHT(Table132[[#This Row],[next move]],1))+1+VALUE(LEFT(Table132[[#This Row],[next move]],1))*3,1)</f>
        <v>V</v>
      </c>
      <c r="I1652" t="str">
        <f>Table132[[#This Row],[ÉTAT]]&amp;Table132[[#This Row],[next move]]</f>
        <v>VMVVVEMVE10</v>
      </c>
    </row>
    <row r="1653" spans="2:9" x14ac:dyDescent="0.25">
      <c r="B1653" t="s">
        <v>892</v>
      </c>
      <c r="C1653" s="22" t="s">
        <v>29</v>
      </c>
      <c r="D1653">
        <v>1</v>
      </c>
      <c r="G1653" s="25">
        <f>Table132[[#This Row],[nb win]]/Table132[[#This Row],[nb play]]</f>
        <v>0</v>
      </c>
      <c r="H1653" t="str">
        <f>MID(Table132[[#This Row],[ÉTAT]],VALUE(RIGHT(Table132[[#This Row],[next move]],1))+1+VALUE(LEFT(Table132[[#This Row],[next move]],1))*3,1)</f>
        <v>V</v>
      </c>
      <c r="I1653" t="str">
        <f>Table132[[#This Row],[ÉTAT]]&amp;Table132[[#This Row],[next move]]</f>
        <v>VMVVVEMVE11</v>
      </c>
    </row>
    <row r="1654" spans="2:9" x14ac:dyDescent="0.25">
      <c r="B1654" t="s">
        <v>892</v>
      </c>
      <c r="C1654" s="22" t="s">
        <v>22</v>
      </c>
      <c r="D1654">
        <v>2</v>
      </c>
      <c r="E1654">
        <v>1</v>
      </c>
      <c r="G1654" s="25">
        <f>Table132[[#This Row],[nb win]]/Table132[[#This Row],[nb play]]</f>
        <v>0.5</v>
      </c>
      <c r="H1654" t="str">
        <f>MID(Table132[[#This Row],[ÉTAT]],VALUE(RIGHT(Table132[[#This Row],[next move]],1))+1+VALUE(LEFT(Table132[[#This Row],[next move]],1))*3,1)</f>
        <v>V</v>
      </c>
      <c r="I1654" t="str">
        <f>Table132[[#This Row],[ÉTAT]]&amp;Table132[[#This Row],[next move]]</f>
        <v>VMVVVEMVE21</v>
      </c>
    </row>
    <row r="1655" spans="2:9" x14ac:dyDescent="0.25">
      <c r="B1655" t="s">
        <v>722</v>
      </c>
      <c r="C1655" s="22" t="s">
        <v>20</v>
      </c>
      <c r="D1655">
        <v>3</v>
      </c>
      <c r="E1655">
        <v>3</v>
      </c>
      <c r="G1655" s="31">
        <f>Table132[[#This Row],[nb win]]/Table132[[#This Row],[nb play]]</f>
        <v>1</v>
      </c>
      <c r="H1655" t="str">
        <f>MID(Table132[[#This Row],[ÉTAT]],VALUE(RIGHT(Table132[[#This Row],[next move]],1))+1+VALUE(LEFT(Table132[[#This Row],[next move]],1))*3,1)</f>
        <v>V</v>
      </c>
      <c r="I1655" t="str">
        <f>Table132[[#This Row],[ÉTAT]]&amp;Table132[[#This Row],[next move]]</f>
        <v>VMVVVEMEV02</v>
      </c>
    </row>
    <row r="1656" spans="2:9" x14ac:dyDescent="0.25">
      <c r="B1656" t="s">
        <v>3314</v>
      </c>
      <c r="C1656" s="22" t="s">
        <v>29</v>
      </c>
      <c r="D1656">
        <v>1</v>
      </c>
      <c r="E1656">
        <v>1</v>
      </c>
      <c r="G1656" s="31">
        <f>Table132[[#This Row],[nb win]]/Table132[[#This Row],[nb play]]</f>
        <v>1</v>
      </c>
      <c r="H1656" t="str">
        <f>MID(Table132[[#This Row],[ÉTAT]],VALUE(RIGHT(Table132[[#This Row],[next move]],1))+1+VALUE(LEFT(Table132[[#This Row],[next move]],1))*3,1)</f>
        <v>V</v>
      </c>
      <c r="I1656" t="str">
        <f>Table132[[#This Row],[ÉTAT]]&amp;Table132[[#This Row],[next move]]</f>
        <v>VMVVVEMEE11</v>
      </c>
    </row>
    <row r="1657" spans="2:9" x14ac:dyDescent="0.25">
      <c r="B1657" t="s">
        <v>3179</v>
      </c>
      <c r="C1657" s="22" t="s">
        <v>20</v>
      </c>
      <c r="D1657">
        <v>3</v>
      </c>
      <c r="E1657">
        <v>3</v>
      </c>
      <c r="G1657" s="31">
        <f>Table132[[#This Row],[nb win]]/Table132[[#This Row],[nb play]]</f>
        <v>1</v>
      </c>
      <c r="H1657" t="str">
        <f>MID(Table132[[#This Row],[ÉTAT]],VALUE(RIGHT(Table132[[#This Row],[next move]],1))+1+VALUE(LEFT(Table132[[#This Row],[next move]],1))*3,1)</f>
        <v>V</v>
      </c>
      <c r="I1657" t="str">
        <f>Table132[[#This Row],[ÉTAT]]&amp;Table132[[#This Row],[next move]]</f>
        <v>VMVVVEEVV02</v>
      </c>
    </row>
    <row r="1658" spans="2:9" x14ac:dyDescent="0.25">
      <c r="B1658" t="s">
        <v>658</v>
      </c>
      <c r="C1658" s="22" t="s">
        <v>20</v>
      </c>
      <c r="D1658">
        <v>2</v>
      </c>
      <c r="E1658">
        <v>2</v>
      </c>
      <c r="G1658" s="25">
        <f>Table132[[#This Row],[nb win]]/Table132[[#This Row],[nb play]]</f>
        <v>1</v>
      </c>
      <c r="H1658" t="str">
        <f>MID(Table132[[#This Row],[ÉTAT]],VALUE(RIGHT(Table132[[#This Row],[next move]],1))+1+VALUE(LEFT(Table132[[#This Row],[next move]],1))*3,1)</f>
        <v>V</v>
      </c>
      <c r="I1658" t="str">
        <f>Table132[[#This Row],[ÉTAT]]&amp;Table132[[#This Row],[next move]]</f>
        <v>VMVVVEEVM02</v>
      </c>
    </row>
    <row r="1659" spans="2:9" x14ac:dyDescent="0.25">
      <c r="B1659" t="s">
        <v>658</v>
      </c>
      <c r="C1659" s="22" t="s">
        <v>22</v>
      </c>
      <c r="D1659">
        <v>4</v>
      </c>
      <c r="G1659" s="25">
        <f>Table132[[#This Row],[nb win]]/Table132[[#This Row],[nb play]]</f>
        <v>0</v>
      </c>
      <c r="H1659" t="str">
        <f>MID(Table132[[#This Row],[ÉTAT]],VALUE(RIGHT(Table132[[#This Row],[next move]],1))+1+VALUE(LEFT(Table132[[#This Row],[next move]],1))*3,1)</f>
        <v>V</v>
      </c>
      <c r="I1659" t="str">
        <f>Table132[[#This Row],[ÉTAT]]&amp;Table132[[#This Row],[next move]]</f>
        <v>VMVVVEEVM21</v>
      </c>
    </row>
    <row r="1660" spans="2:9" x14ac:dyDescent="0.25">
      <c r="B1660" t="s">
        <v>2111</v>
      </c>
      <c r="C1660" s="22" t="s">
        <v>20</v>
      </c>
      <c r="D1660">
        <v>4</v>
      </c>
      <c r="E1660">
        <v>3</v>
      </c>
      <c r="G1660" s="31">
        <f>Table132[[#This Row],[nb win]]/Table132[[#This Row],[nb play]]</f>
        <v>0.75</v>
      </c>
      <c r="H1660" t="str">
        <f>MID(Table132[[#This Row],[ÉTAT]],VALUE(RIGHT(Table132[[#This Row],[next move]],1))+1+VALUE(LEFT(Table132[[#This Row],[next move]],1))*3,1)</f>
        <v>V</v>
      </c>
      <c r="I1660" t="str">
        <f>Table132[[#This Row],[ÉTAT]]&amp;Table132[[#This Row],[next move]]</f>
        <v>VMVVVEEMV02</v>
      </c>
    </row>
    <row r="1661" spans="2:9" x14ac:dyDescent="0.25">
      <c r="B1661" t="s">
        <v>2111</v>
      </c>
      <c r="C1661" s="22" t="s">
        <v>30</v>
      </c>
      <c r="D1661">
        <v>1</v>
      </c>
      <c r="E1661">
        <v>1</v>
      </c>
      <c r="G1661" s="25">
        <f>Table132[[#This Row],[nb win]]/Table132[[#This Row],[nb play]]</f>
        <v>1</v>
      </c>
      <c r="H1661" t="str">
        <f>MID(Table132[[#This Row],[ÉTAT]],VALUE(RIGHT(Table132[[#This Row],[next move]],1))+1+VALUE(LEFT(Table132[[#This Row],[next move]],1))*3,1)</f>
        <v>V</v>
      </c>
      <c r="I1661" t="str">
        <f>Table132[[#This Row],[ÉTAT]]&amp;Table132[[#This Row],[next move]]</f>
        <v>VMVVVEEMV10</v>
      </c>
    </row>
    <row r="1662" spans="2:9" x14ac:dyDescent="0.25">
      <c r="B1662" t="s">
        <v>1809</v>
      </c>
      <c r="C1662" s="22" t="s">
        <v>20</v>
      </c>
      <c r="D1662">
        <v>1</v>
      </c>
      <c r="E1662">
        <v>1</v>
      </c>
      <c r="G1662" s="25">
        <f>Table132[[#This Row],[nb win]]/Table132[[#This Row],[nb play]]</f>
        <v>1</v>
      </c>
      <c r="H1662" t="str">
        <f>MID(Table132[[#This Row],[ÉTAT]],VALUE(RIGHT(Table132[[#This Row],[next move]],1))+1+VALUE(LEFT(Table132[[#This Row],[next move]],1))*3,1)</f>
        <v>V</v>
      </c>
      <c r="I1662" t="str">
        <f>Table132[[#This Row],[ÉTAT]]&amp;Table132[[#This Row],[next move]]</f>
        <v>VMVVVEEEM02</v>
      </c>
    </row>
    <row r="1663" spans="2:9" x14ac:dyDescent="0.25">
      <c r="B1663" t="s">
        <v>274</v>
      </c>
      <c r="C1663" s="22" t="s">
        <v>20</v>
      </c>
      <c r="D1663">
        <v>1</v>
      </c>
      <c r="E1663">
        <v>1</v>
      </c>
      <c r="G1663" s="25">
        <f>Table132[[#This Row],[nb win]]/Table132[[#This Row],[nb play]]</f>
        <v>1</v>
      </c>
      <c r="H1663" t="str">
        <f>MID(Table132[[#This Row],[ÉTAT]],VALUE(RIGHT(Table132[[#This Row],[next move]],1))+1+VALUE(LEFT(Table132[[#This Row],[next move]],1))*3,1)</f>
        <v>V</v>
      </c>
      <c r="I1663" t="str">
        <f>Table132[[#This Row],[ÉTAT]]&amp;Table132[[#This Row],[next move]]</f>
        <v>VMVVMVVEE02</v>
      </c>
    </row>
    <row r="1664" spans="2:9" x14ac:dyDescent="0.25">
      <c r="B1664" t="s">
        <v>274</v>
      </c>
      <c r="C1664" s="22" t="s">
        <v>30</v>
      </c>
      <c r="D1664">
        <v>4</v>
      </c>
      <c r="E1664">
        <v>3</v>
      </c>
      <c r="G1664" s="31">
        <f>Table132[[#This Row],[nb win]]/Table132[[#This Row],[nb play]]</f>
        <v>0.75</v>
      </c>
      <c r="H1664" t="str">
        <f>MID(Table132[[#This Row],[ÉTAT]],VALUE(RIGHT(Table132[[#This Row],[next move]],1))+1+VALUE(LEFT(Table132[[#This Row],[next move]],1))*3,1)</f>
        <v>V</v>
      </c>
      <c r="I1664" t="str">
        <f>Table132[[#This Row],[ÉTAT]]&amp;Table132[[#This Row],[next move]]</f>
        <v>VMVVMVVEE10</v>
      </c>
    </row>
    <row r="1665" spans="2:9" x14ac:dyDescent="0.25">
      <c r="B1665" t="s">
        <v>521</v>
      </c>
      <c r="C1665" s="22" t="s">
        <v>31</v>
      </c>
      <c r="D1665">
        <v>5</v>
      </c>
      <c r="E1665">
        <v>5</v>
      </c>
      <c r="G1665" s="31">
        <f>Table132[[#This Row],[nb win]]/Table132[[#This Row],[nb play]]</f>
        <v>1</v>
      </c>
      <c r="H1665" t="str">
        <f>MID(Table132[[#This Row],[ÉTAT]],VALUE(RIGHT(Table132[[#This Row],[next move]],1))+1+VALUE(LEFT(Table132[[#This Row],[next move]],1))*3,1)</f>
        <v>V</v>
      </c>
      <c r="I1665" t="str">
        <f>Table132[[#This Row],[ÉTAT]]&amp;Table132[[#This Row],[next move]]</f>
        <v>VMVVMVEEV22</v>
      </c>
    </row>
    <row r="1666" spans="2:9" x14ac:dyDescent="0.25">
      <c r="B1666" t="s">
        <v>543</v>
      </c>
      <c r="C1666" s="22" t="s">
        <v>24</v>
      </c>
      <c r="D1666">
        <v>1</v>
      </c>
      <c r="G1666" s="25">
        <f>Table132[[#This Row],[nb win]]/Table132[[#This Row],[nb play]]</f>
        <v>0</v>
      </c>
      <c r="H1666" t="str">
        <f>MID(Table132[[#This Row],[ÉTAT]],VALUE(RIGHT(Table132[[#This Row],[next move]],1))+1+VALUE(LEFT(Table132[[#This Row],[next move]],1))*3,1)</f>
        <v>V</v>
      </c>
      <c r="I1666" t="str">
        <f>Table132[[#This Row],[ÉTAT]]&amp;Table132[[#This Row],[next move]]</f>
        <v>VMVVMEVVE00</v>
      </c>
    </row>
    <row r="1667" spans="2:9" x14ac:dyDescent="0.25">
      <c r="B1667" t="s">
        <v>543</v>
      </c>
      <c r="C1667" s="22" t="s">
        <v>30</v>
      </c>
      <c r="D1667">
        <v>1</v>
      </c>
      <c r="G1667" s="25">
        <f>Table132[[#This Row],[nb win]]/Table132[[#This Row],[nb play]]</f>
        <v>0</v>
      </c>
      <c r="H1667" t="str">
        <f>MID(Table132[[#This Row],[ÉTAT]],VALUE(RIGHT(Table132[[#This Row],[next move]],1))+1+VALUE(LEFT(Table132[[#This Row],[next move]],1))*3,1)</f>
        <v>V</v>
      </c>
      <c r="I1667" t="str">
        <f>Table132[[#This Row],[ÉTAT]]&amp;Table132[[#This Row],[next move]]</f>
        <v>VMVVMEVVE10</v>
      </c>
    </row>
    <row r="1668" spans="2:9" x14ac:dyDescent="0.25">
      <c r="B1668" t="s">
        <v>543</v>
      </c>
      <c r="C1668" s="22" t="s">
        <v>35</v>
      </c>
      <c r="D1668">
        <v>1</v>
      </c>
      <c r="E1668">
        <v>1</v>
      </c>
      <c r="G1668" s="31">
        <f>Table132[[#This Row],[nb win]]/Table132[[#This Row],[nb play]]</f>
        <v>1</v>
      </c>
      <c r="H1668" t="str">
        <f>MID(Table132[[#This Row],[ÉTAT]],VALUE(RIGHT(Table132[[#This Row],[next move]],1))+1+VALUE(LEFT(Table132[[#This Row],[next move]],1))*3,1)</f>
        <v>V</v>
      </c>
      <c r="I1668" t="str">
        <f>Table132[[#This Row],[ÉTAT]]&amp;Table132[[#This Row],[next move]]</f>
        <v>VMVVMEVVE20</v>
      </c>
    </row>
    <row r="1669" spans="2:9" x14ac:dyDescent="0.25">
      <c r="B1669" t="s">
        <v>3172</v>
      </c>
      <c r="C1669" s="22" t="s">
        <v>35</v>
      </c>
      <c r="D1669">
        <v>2</v>
      </c>
      <c r="E1669">
        <v>1</v>
      </c>
      <c r="G1669" s="30">
        <f>Table132[[#This Row],[nb win]]/Table132[[#This Row],[nb play]]</f>
        <v>0.5</v>
      </c>
      <c r="H1669" t="str">
        <f>MID(Table132[[#This Row],[ÉTAT]],VALUE(RIGHT(Table132[[#This Row],[next move]],1))+1+VALUE(LEFT(Table132[[#This Row],[next move]],1))*3,1)</f>
        <v>V</v>
      </c>
      <c r="I1669" t="str">
        <f>Table132[[#This Row],[ÉTAT]]&amp;Table132[[#This Row],[next move]]</f>
        <v>VMVVMEVEV20</v>
      </c>
    </row>
    <row r="1670" spans="2:9" x14ac:dyDescent="0.25">
      <c r="B1670" t="s">
        <v>3208</v>
      </c>
      <c r="C1670" s="22" t="s">
        <v>20</v>
      </c>
      <c r="D1670">
        <v>1</v>
      </c>
      <c r="E1670">
        <v>1</v>
      </c>
      <c r="G1670" s="31">
        <f>Table132[[#This Row],[nb win]]/Table132[[#This Row],[nb play]]</f>
        <v>1</v>
      </c>
      <c r="H1670" t="str">
        <f>MID(Table132[[#This Row],[ÉTAT]],VALUE(RIGHT(Table132[[#This Row],[next move]],1))+1+VALUE(LEFT(Table132[[#This Row],[next move]],1))*3,1)</f>
        <v>V</v>
      </c>
      <c r="I1670" t="str">
        <f>Table132[[#This Row],[ÉTAT]]&amp;Table132[[#This Row],[next move]]</f>
        <v>VMVVMEVEE02</v>
      </c>
    </row>
    <row r="1671" spans="2:9" x14ac:dyDescent="0.25">
      <c r="B1671" t="s">
        <v>2364</v>
      </c>
      <c r="C1671" s="22" t="s">
        <v>24</v>
      </c>
      <c r="D1671">
        <v>2</v>
      </c>
      <c r="E1671">
        <v>1</v>
      </c>
      <c r="G1671" s="30">
        <f>Table132[[#This Row],[nb win]]/Table132[[#This Row],[nb play]]</f>
        <v>0.5</v>
      </c>
      <c r="H1671" t="str">
        <f>MID(Table132[[#This Row],[ÉTAT]],VALUE(RIGHT(Table132[[#This Row],[next move]],1))+1+VALUE(LEFT(Table132[[#This Row],[next move]],1))*3,1)</f>
        <v>V</v>
      </c>
      <c r="I1671" t="str">
        <f>Table132[[#This Row],[ÉTAT]]&amp;Table132[[#This Row],[next move]]</f>
        <v>VMVVMEMEE00</v>
      </c>
    </row>
    <row r="1672" spans="2:9" x14ac:dyDescent="0.25">
      <c r="B1672" t="s">
        <v>2364</v>
      </c>
      <c r="C1672" s="22" t="s">
        <v>30</v>
      </c>
      <c r="D1672">
        <v>1</v>
      </c>
      <c r="G1672" s="25">
        <f>Table132[[#This Row],[nb win]]/Table132[[#This Row],[nb play]]</f>
        <v>0</v>
      </c>
      <c r="H1672" t="str">
        <f>MID(Table132[[#This Row],[ÉTAT]],VALUE(RIGHT(Table132[[#This Row],[next move]],1))+1+VALUE(LEFT(Table132[[#This Row],[next move]],1))*3,1)</f>
        <v>V</v>
      </c>
      <c r="I1672" t="str">
        <f>Table132[[#This Row],[ÉTAT]]&amp;Table132[[#This Row],[next move]]</f>
        <v>VMVVMEMEE10</v>
      </c>
    </row>
    <row r="1673" spans="2:9" x14ac:dyDescent="0.25">
      <c r="B1673" t="s">
        <v>523</v>
      </c>
      <c r="C1673" s="22" t="s">
        <v>20</v>
      </c>
      <c r="D1673">
        <v>5</v>
      </c>
      <c r="E1673">
        <v>5</v>
      </c>
      <c r="G1673" s="31">
        <f>Table132[[#This Row],[nb win]]/Table132[[#This Row],[nb play]]</f>
        <v>1</v>
      </c>
      <c r="H1673" t="str">
        <f>MID(Table132[[#This Row],[ÉTAT]],VALUE(RIGHT(Table132[[#This Row],[next move]],1))+1+VALUE(LEFT(Table132[[#This Row],[next move]],1))*3,1)</f>
        <v>V</v>
      </c>
      <c r="I1673" t="str">
        <f>Table132[[#This Row],[ÉTAT]]&amp;Table132[[#This Row],[next move]]</f>
        <v>VMVVMEEVV02</v>
      </c>
    </row>
    <row r="1674" spans="2:9" x14ac:dyDescent="0.25">
      <c r="B1674" t="s">
        <v>2152</v>
      </c>
      <c r="C1674" s="22" t="s">
        <v>24</v>
      </c>
      <c r="D1674">
        <v>1</v>
      </c>
      <c r="E1674">
        <v>1</v>
      </c>
      <c r="G1674" s="31">
        <f>Table132[[#This Row],[nb win]]/Table132[[#This Row],[nb play]]</f>
        <v>1</v>
      </c>
      <c r="H1674" t="str">
        <f>MID(Table132[[#This Row],[ÉTAT]],VALUE(RIGHT(Table132[[#This Row],[next move]],1))+1+VALUE(LEFT(Table132[[#This Row],[next move]],1))*3,1)</f>
        <v>V</v>
      </c>
      <c r="I1674" t="str">
        <f>Table132[[#This Row],[ÉTAT]]&amp;Table132[[#This Row],[next move]]</f>
        <v>VMVVMEEEV00</v>
      </c>
    </row>
    <row r="1675" spans="2:9" x14ac:dyDescent="0.25">
      <c r="B1675" t="s">
        <v>2152</v>
      </c>
      <c r="C1675" s="22" t="s">
        <v>20</v>
      </c>
      <c r="D1675">
        <v>1</v>
      </c>
      <c r="G1675" s="25">
        <f>Table132[[#This Row],[nb win]]/Table132[[#This Row],[nb play]]</f>
        <v>0</v>
      </c>
      <c r="H1675" t="str">
        <f>MID(Table132[[#This Row],[ÉTAT]],VALUE(RIGHT(Table132[[#This Row],[next move]],1))+1+VALUE(LEFT(Table132[[#This Row],[next move]],1))*3,1)</f>
        <v>V</v>
      </c>
      <c r="I1675" t="str">
        <f>Table132[[#This Row],[ÉTAT]]&amp;Table132[[#This Row],[next move]]</f>
        <v>VMVVMEEEV02</v>
      </c>
    </row>
    <row r="1676" spans="2:9" x14ac:dyDescent="0.25">
      <c r="B1676" t="s">
        <v>3176</v>
      </c>
      <c r="C1676" s="22" t="s">
        <v>24</v>
      </c>
      <c r="D1676">
        <v>1</v>
      </c>
      <c r="E1676">
        <v>1</v>
      </c>
      <c r="G1676" s="31">
        <f>Table132[[#This Row],[nb win]]/Table132[[#This Row],[nb play]]</f>
        <v>1</v>
      </c>
      <c r="H1676" t="str">
        <f>MID(Table132[[#This Row],[ÉTAT]],VALUE(RIGHT(Table132[[#This Row],[next move]],1))+1+VALUE(LEFT(Table132[[#This Row],[next move]],1))*3,1)</f>
        <v>V</v>
      </c>
      <c r="I1676" t="str">
        <f>Table132[[#This Row],[ÉTAT]]&amp;Table132[[#This Row],[next move]]</f>
        <v>VMVVMEEEM00</v>
      </c>
    </row>
    <row r="1677" spans="2:9" x14ac:dyDescent="0.25">
      <c r="B1677" t="s">
        <v>198</v>
      </c>
      <c r="C1677" s="22" t="s">
        <v>24</v>
      </c>
      <c r="D1677">
        <v>6</v>
      </c>
      <c r="E1677">
        <v>3</v>
      </c>
      <c r="G1677" s="30">
        <f>Table132[[#This Row],[nb win]]/Table132[[#This Row],[nb play]]</f>
        <v>0.5</v>
      </c>
      <c r="H1677" t="str">
        <f>MID(Table132[[#This Row],[ÉTAT]],VALUE(RIGHT(Table132[[#This Row],[next move]],1))+1+VALUE(LEFT(Table132[[#This Row],[next move]],1))*3,1)</f>
        <v>V</v>
      </c>
      <c r="I1677" t="str">
        <f>Table132[[#This Row],[ÉTAT]]&amp;Table132[[#This Row],[next move]]</f>
        <v>VMVVEVVVV00</v>
      </c>
    </row>
    <row r="1678" spans="2:9" x14ac:dyDescent="0.25">
      <c r="B1678" t="s">
        <v>198</v>
      </c>
      <c r="C1678" s="22" t="s">
        <v>20</v>
      </c>
      <c r="D1678">
        <v>8</v>
      </c>
      <c r="E1678">
        <v>5</v>
      </c>
      <c r="G1678" s="31">
        <f>Table132[[#This Row],[nb win]]/Table132[[#This Row],[nb play]]</f>
        <v>0.625</v>
      </c>
      <c r="H1678" t="str">
        <f>MID(Table132[[#This Row],[ÉTAT]],VALUE(RIGHT(Table132[[#This Row],[next move]],1))+1+VALUE(LEFT(Table132[[#This Row],[next move]],1))*3,1)</f>
        <v>V</v>
      </c>
      <c r="I1678" t="str">
        <f>Table132[[#This Row],[ÉTAT]]&amp;Table132[[#This Row],[next move]]</f>
        <v>VMVVEVVVV02</v>
      </c>
    </row>
    <row r="1679" spans="2:9" x14ac:dyDescent="0.25">
      <c r="B1679" t="s">
        <v>198</v>
      </c>
      <c r="C1679" s="22" t="s">
        <v>30</v>
      </c>
      <c r="D1679">
        <v>5</v>
      </c>
      <c r="E1679">
        <v>2</v>
      </c>
      <c r="G1679" s="31">
        <f>Table132[[#This Row],[nb win]]/Table132[[#This Row],[nb play]]</f>
        <v>0.4</v>
      </c>
      <c r="H1679" t="str">
        <f>MID(Table132[[#This Row],[ÉTAT]],VALUE(RIGHT(Table132[[#This Row],[next move]],1))+1+VALUE(LEFT(Table132[[#This Row],[next move]],1))*3,1)</f>
        <v>V</v>
      </c>
      <c r="I1679" t="str">
        <f>Table132[[#This Row],[ÉTAT]]&amp;Table132[[#This Row],[next move]]</f>
        <v>VMVVEVVVV10</v>
      </c>
    </row>
    <row r="1680" spans="2:9" x14ac:dyDescent="0.25">
      <c r="B1680" t="s">
        <v>198</v>
      </c>
      <c r="C1680" s="22" t="s">
        <v>28</v>
      </c>
      <c r="D1680">
        <v>15</v>
      </c>
      <c r="E1680">
        <v>6</v>
      </c>
      <c r="G1680" s="31">
        <f>Table132[[#This Row],[nb win]]/Table132[[#This Row],[nb play]]</f>
        <v>0.4</v>
      </c>
      <c r="H1680" t="str">
        <f>MID(Table132[[#This Row],[ÉTAT]],VALUE(RIGHT(Table132[[#This Row],[next move]],1))+1+VALUE(LEFT(Table132[[#This Row],[next move]],1))*3,1)</f>
        <v>V</v>
      </c>
      <c r="I1680" t="str">
        <f>Table132[[#This Row],[ÉTAT]]&amp;Table132[[#This Row],[next move]]</f>
        <v>VMVVEVVVV12</v>
      </c>
    </row>
    <row r="1681" spans="2:9" x14ac:dyDescent="0.25">
      <c r="B1681" t="s">
        <v>198</v>
      </c>
      <c r="C1681" s="22" t="s">
        <v>35</v>
      </c>
      <c r="D1681">
        <v>8</v>
      </c>
      <c r="E1681">
        <v>1</v>
      </c>
      <c r="G1681" s="30">
        <f>Table132[[#This Row],[nb win]]/Table132[[#This Row],[nb play]]</f>
        <v>0.125</v>
      </c>
      <c r="H1681" t="str">
        <f>MID(Table132[[#This Row],[ÉTAT]],VALUE(RIGHT(Table132[[#This Row],[next move]],1))+1+VALUE(LEFT(Table132[[#This Row],[next move]],1))*3,1)</f>
        <v>V</v>
      </c>
      <c r="I1681" t="str">
        <f>Table132[[#This Row],[ÉTAT]]&amp;Table132[[#This Row],[next move]]</f>
        <v>VMVVEVVVV20</v>
      </c>
    </row>
    <row r="1682" spans="2:9" x14ac:dyDescent="0.25">
      <c r="B1682" t="s">
        <v>198</v>
      </c>
      <c r="C1682" s="22" t="s">
        <v>22</v>
      </c>
      <c r="D1682">
        <v>5</v>
      </c>
      <c r="E1682">
        <v>2</v>
      </c>
      <c r="G1682" s="31">
        <f>Table132[[#This Row],[nb win]]/Table132[[#This Row],[nb play]]</f>
        <v>0.4</v>
      </c>
      <c r="H1682" t="str">
        <f>MID(Table132[[#This Row],[ÉTAT]],VALUE(RIGHT(Table132[[#This Row],[next move]],1))+1+VALUE(LEFT(Table132[[#This Row],[next move]],1))*3,1)</f>
        <v>V</v>
      </c>
      <c r="I1682" t="str">
        <f>Table132[[#This Row],[ÉTAT]]&amp;Table132[[#This Row],[next move]]</f>
        <v>VMVVEVVVV21</v>
      </c>
    </row>
    <row r="1683" spans="2:9" x14ac:dyDescent="0.25">
      <c r="B1683" t="s">
        <v>198</v>
      </c>
      <c r="C1683" s="22" t="s">
        <v>31</v>
      </c>
      <c r="D1683">
        <v>11</v>
      </c>
      <c r="E1683">
        <v>6</v>
      </c>
      <c r="G1683" s="30">
        <f>Table132[[#This Row],[nb win]]/Table132[[#This Row],[nb play]]</f>
        <v>0.54545454545454541</v>
      </c>
      <c r="H1683" t="str">
        <f>MID(Table132[[#This Row],[ÉTAT]],VALUE(RIGHT(Table132[[#This Row],[next move]],1))+1+VALUE(LEFT(Table132[[#This Row],[next move]],1))*3,1)</f>
        <v>V</v>
      </c>
      <c r="I1683" t="str">
        <f>Table132[[#This Row],[ÉTAT]]&amp;Table132[[#This Row],[next move]]</f>
        <v>VMVVEVVVV22</v>
      </c>
    </row>
    <row r="1684" spans="2:9" x14ac:dyDescent="0.25">
      <c r="B1684" t="s">
        <v>801</v>
      </c>
      <c r="C1684" s="22" t="s">
        <v>24</v>
      </c>
      <c r="D1684">
        <v>2</v>
      </c>
      <c r="E1684">
        <v>1</v>
      </c>
      <c r="G1684" s="25">
        <f>Table132[[#This Row],[nb win]]/Table132[[#This Row],[nb play]]</f>
        <v>0.5</v>
      </c>
      <c r="H1684" t="str">
        <f>MID(Table132[[#This Row],[ÉTAT]],VALUE(RIGHT(Table132[[#This Row],[next move]],1))+1+VALUE(LEFT(Table132[[#This Row],[next move]],1))*3,1)</f>
        <v>V</v>
      </c>
      <c r="I1684" t="str">
        <f>Table132[[#This Row],[ÉTAT]]&amp;Table132[[#This Row],[next move]]</f>
        <v>VMVVEVVVE00</v>
      </c>
    </row>
    <row r="1685" spans="2:9" x14ac:dyDescent="0.25">
      <c r="B1685" t="s">
        <v>801</v>
      </c>
      <c r="C1685" s="22" t="s">
        <v>20</v>
      </c>
      <c r="D1685">
        <v>6</v>
      </c>
      <c r="E1685">
        <v>2</v>
      </c>
      <c r="G1685" s="30">
        <f>Table132[[#This Row],[nb win]]/Table132[[#This Row],[nb play]]</f>
        <v>0.33333333333333331</v>
      </c>
      <c r="H1685" t="str">
        <f>MID(Table132[[#This Row],[ÉTAT]],VALUE(RIGHT(Table132[[#This Row],[next move]],1))+1+VALUE(LEFT(Table132[[#This Row],[next move]],1))*3,1)</f>
        <v>V</v>
      </c>
      <c r="I1685" t="str">
        <f>Table132[[#This Row],[ÉTAT]]&amp;Table132[[#This Row],[next move]]</f>
        <v>VMVVEVVVE02</v>
      </c>
    </row>
    <row r="1686" spans="2:9" x14ac:dyDescent="0.25">
      <c r="B1686" t="s">
        <v>801</v>
      </c>
      <c r="C1686" s="22" t="s">
        <v>30</v>
      </c>
      <c r="D1686">
        <v>4</v>
      </c>
      <c r="G1686" s="30">
        <f>Table132[[#This Row],[nb win]]/Table132[[#This Row],[nb play]]</f>
        <v>0</v>
      </c>
      <c r="H1686" t="str">
        <f>MID(Table132[[#This Row],[ÉTAT]],VALUE(RIGHT(Table132[[#This Row],[next move]],1))+1+VALUE(LEFT(Table132[[#This Row],[next move]],1))*3,1)</f>
        <v>V</v>
      </c>
      <c r="I1686" t="str">
        <f>Table132[[#This Row],[ÉTAT]]&amp;Table132[[#This Row],[next move]]</f>
        <v>VMVVEVVVE10</v>
      </c>
    </row>
    <row r="1687" spans="2:9" x14ac:dyDescent="0.25">
      <c r="B1687" t="s">
        <v>801</v>
      </c>
      <c r="C1687" s="22" t="s">
        <v>28</v>
      </c>
      <c r="D1687">
        <v>2</v>
      </c>
      <c r="E1687">
        <v>1</v>
      </c>
      <c r="G1687" s="25">
        <f>Table132[[#This Row],[nb win]]/Table132[[#This Row],[nb play]]</f>
        <v>0.5</v>
      </c>
      <c r="H1687" t="str">
        <f>MID(Table132[[#This Row],[ÉTAT]],VALUE(RIGHT(Table132[[#This Row],[next move]],1))+1+VALUE(LEFT(Table132[[#This Row],[next move]],1))*3,1)</f>
        <v>V</v>
      </c>
      <c r="I1687" t="str">
        <f>Table132[[#This Row],[ÉTAT]]&amp;Table132[[#This Row],[next move]]</f>
        <v>VMVVEVVVE12</v>
      </c>
    </row>
    <row r="1688" spans="2:9" x14ac:dyDescent="0.25">
      <c r="B1688" t="s">
        <v>801</v>
      </c>
      <c r="C1688" s="22" t="s">
        <v>35</v>
      </c>
      <c r="D1688">
        <v>1</v>
      </c>
      <c r="G1688" s="25">
        <f>Table132[[#This Row],[nb win]]/Table132[[#This Row],[nb play]]</f>
        <v>0</v>
      </c>
      <c r="H1688" t="str">
        <f>MID(Table132[[#This Row],[ÉTAT]],VALUE(RIGHT(Table132[[#This Row],[next move]],1))+1+VALUE(LEFT(Table132[[#This Row],[next move]],1))*3,1)</f>
        <v>V</v>
      </c>
      <c r="I1688" t="str">
        <f>Table132[[#This Row],[ÉTAT]]&amp;Table132[[#This Row],[next move]]</f>
        <v>VMVVEVVVE20</v>
      </c>
    </row>
    <row r="1689" spans="2:9" x14ac:dyDescent="0.25">
      <c r="B1689" t="s">
        <v>801</v>
      </c>
      <c r="C1689" s="22" t="s">
        <v>22</v>
      </c>
      <c r="D1689">
        <v>3</v>
      </c>
      <c r="G1689" s="30">
        <f>Table132[[#This Row],[nb win]]/Table132[[#This Row],[nb play]]</f>
        <v>0</v>
      </c>
      <c r="H1689" t="str">
        <f>MID(Table132[[#This Row],[ÉTAT]],VALUE(RIGHT(Table132[[#This Row],[next move]],1))+1+VALUE(LEFT(Table132[[#This Row],[next move]],1))*3,1)</f>
        <v>V</v>
      </c>
      <c r="I1689" t="str">
        <f>Table132[[#This Row],[ÉTAT]]&amp;Table132[[#This Row],[next move]]</f>
        <v>VMVVEVVVE21</v>
      </c>
    </row>
    <row r="1690" spans="2:9" x14ac:dyDescent="0.25">
      <c r="B1690" t="s">
        <v>1510</v>
      </c>
      <c r="C1690" s="22" t="s">
        <v>24</v>
      </c>
      <c r="D1690">
        <v>3</v>
      </c>
      <c r="E1690">
        <v>2</v>
      </c>
      <c r="G1690" s="25">
        <f>Table132[[#This Row],[nb win]]/Table132[[#This Row],[nb play]]</f>
        <v>0.66666666666666663</v>
      </c>
      <c r="H1690" t="str">
        <f>MID(Table132[[#This Row],[ÉTAT]],VALUE(RIGHT(Table132[[#This Row],[next move]],1))+1+VALUE(LEFT(Table132[[#This Row],[next move]],1))*3,1)</f>
        <v>V</v>
      </c>
      <c r="I1690" t="str">
        <f>Table132[[#This Row],[ÉTAT]]&amp;Table132[[#This Row],[next move]]</f>
        <v>VMVVEVVME00</v>
      </c>
    </row>
    <row r="1691" spans="2:9" x14ac:dyDescent="0.25">
      <c r="B1691" t="s">
        <v>1510</v>
      </c>
      <c r="C1691" s="22" t="s">
        <v>20</v>
      </c>
      <c r="D1691">
        <v>2</v>
      </c>
      <c r="G1691" s="30">
        <f>Table132[[#This Row],[nb win]]/Table132[[#This Row],[nb play]]</f>
        <v>0</v>
      </c>
      <c r="H1691" t="str">
        <f>MID(Table132[[#This Row],[ÉTAT]],VALUE(RIGHT(Table132[[#This Row],[next move]],1))+1+VALUE(LEFT(Table132[[#This Row],[next move]],1))*3,1)</f>
        <v>V</v>
      </c>
      <c r="I1691" t="str">
        <f>Table132[[#This Row],[ÉTAT]]&amp;Table132[[#This Row],[next move]]</f>
        <v>VMVVEVVME02</v>
      </c>
    </row>
    <row r="1692" spans="2:9" x14ac:dyDescent="0.25">
      <c r="B1692" t="s">
        <v>1510</v>
      </c>
      <c r="C1692" s="22" t="s">
        <v>30</v>
      </c>
      <c r="D1692">
        <v>1</v>
      </c>
      <c r="E1692">
        <v>1</v>
      </c>
      <c r="G1692" s="31">
        <f>Table132[[#This Row],[nb win]]/Table132[[#This Row],[nb play]]</f>
        <v>1</v>
      </c>
      <c r="H1692" t="str">
        <f>MID(Table132[[#This Row],[ÉTAT]],VALUE(RIGHT(Table132[[#This Row],[next move]],1))+1+VALUE(LEFT(Table132[[#This Row],[next move]],1))*3,1)</f>
        <v>V</v>
      </c>
      <c r="I1692" t="str">
        <f>Table132[[#This Row],[ÉTAT]]&amp;Table132[[#This Row],[next move]]</f>
        <v>VMVVEVVME10</v>
      </c>
    </row>
    <row r="1693" spans="2:9" x14ac:dyDescent="0.25">
      <c r="B1693" t="s">
        <v>1510</v>
      </c>
      <c r="C1693" s="22" t="s">
        <v>35</v>
      </c>
      <c r="D1693">
        <v>1</v>
      </c>
      <c r="G1693" s="25">
        <f>Table132[[#This Row],[nb win]]/Table132[[#This Row],[nb play]]</f>
        <v>0</v>
      </c>
      <c r="H1693" t="str">
        <f>MID(Table132[[#This Row],[ÉTAT]],VALUE(RIGHT(Table132[[#This Row],[next move]],1))+1+VALUE(LEFT(Table132[[#This Row],[next move]],1))*3,1)</f>
        <v>V</v>
      </c>
      <c r="I1693" t="str">
        <f>Table132[[#This Row],[ÉTAT]]&amp;Table132[[#This Row],[next move]]</f>
        <v>VMVVEVVME20</v>
      </c>
    </row>
    <row r="1694" spans="2:9" x14ac:dyDescent="0.25">
      <c r="B1694" t="s">
        <v>2306</v>
      </c>
      <c r="C1694" s="22" t="s">
        <v>20</v>
      </c>
      <c r="D1694">
        <v>4</v>
      </c>
      <c r="E1694">
        <v>3</v>
      </c>
      <c r="G1694" s="30">
        <f>Table132[[#This Row],[nb win]]/Table132[[#This Row],[nb play]]</f>
        <v>0.75</v>
      </c>
      <c r="H1694" t="str">
        <f>MID(Table132[[#This Row],[ÉTAT]],VALUE(RIGHT(Table132[[#This Row],[next move]],1))+1+VALUE(LEFT(Table132[[#This Row],[next move]],1))*3,1)</f>
        <v>V</v>
      </c>
      <c r="I1694" t="str">
        <f>Table132[[#This Row],[ÉTAT]]&amp;Table132[[#This Row],[next move]]</f>
        <v>VMVVEVVEV02</v>
      </c>
    </row>
    <row r="1695" spans="2:9" x14ac:dyDescent="0.25">
      <c r="B1695" t="s">
        <v>2306</v>
      </c>
      <c r="C1695" s="22" t="s">
        <v>30</v>
      </c>
      <c r="D1695">
        <v>2</v>
      </c>
      <c r="E1695">
        <v>1</v>
      </c>
      <c r="G1695" s="31">
        <f>Table132[[#This Row],[nb win]]/Table132[[#This Row],[nb play]]</f>
        <v>0.5</v>
      </c>
      <c r="H1695" t="str">
        <f>MID(Table132[[#This Row],[ÉTAT]],VALUE(RIGHT(Table132[[#This Row],[next move]],1))+1+VALUE(LEFT(Table132[[#This Row],[next move]],1))*3,1)</f>
        <v>V</v>
      </c>
      <c r="I1695" t="str">
        <f>Table132[[#This Row],[ÉTAT]]&amp;Table132[[#This Row],[next move]]</f>
        <v>VMVVEVVEV10</v>
      </c>
    </row>
    <row r="1696" spans="2:9" x14ac:dyDescent="0.25">
      <c r="B1696" t="s">
        <v>1196</v>
      </c>
      <c r="C1696" s="22" t="s">
        <v>24</v>
      </c>
      <c r="D1696">
        <v>1</v>
      </c>
      <c r="G1696" s="25">
        <f>Table132[[#This Row],[nb win]]/Table132[[#This Row],[nb play]]</f>
        <v>0</v>
      </c>
      <c r="H1696" t="str">
        <f>MID(Table132[[#This Row],[ÉTAT]],VALUE(RIGHT(Table132[[#This Row],[next move]],1))+1+VALUE(LEFT(Table132[[#This Row],[next move]],1))*3,1)</f>
        <v>V</v>
      </c>
      <c r="I1696" t="str">
        <f>Table132[[#This Row],[ÉTAT]]&amp;Table132[[#This Row],[next move]]</f>
        <v>VMVVEVVEM00</v>
      </c>
    </row>
    <row r="1697" spans="2:9" x14ac:dyDescent="0.25">
      <c r="B1697" t="s">
        <v>1196</v>
      </c>
      <c r="C1697" s="22" t="s">
        <v>30</v>
      </c>
      <c r="D1697">
        <v>1</v>
      </c>
      <c r="G1697" s="25">
        <f>Table132[[#This Row],[nb win]]/Table132[[#This Row],[nb play]]</f>
        <v>0</v>
      </c>
      <c r="H1697" t="str">
        <f>MID(Table132[[#This Row],[ÉTAT]],VALUE(RIGHT(Table132[[#This Row],[next move]],1))+1+VALUE(LEFT(Table132[[#This Row],[next move]],1))*3,1)</f>
        <v>V</v>
      </c>
      <c r="I1697" t="str">
        <f>Table132[[#This Row],[ÉTAT]]&amp;Table132[[#This Row],[next move]]</f>
        <v>VMVVEVVEM10</v>
      </c>
    </row>
    <row r="1698" spans="2:9" x14ac:dyDescent="0.25">
      <c r="B1698" t="s">
        <v>1196</v>
      </c>
      <c r="C1698" s="22" t="s">
        <v>35</v>
      </c>
      <c r="D1698">
        <v>1</v>
      </c>
      <c r="E1698">
        <v>1</v>
      </c>
      <c r="G1698" s="31">
        <f>Table132[[#This Row],[nb win]]/Table132[[#This Row],[nb play]]</f>
        <v>1</v>
      </c>
      <c r="H1698" t="str">
        <f>MID(Table132[[#This Row],[ÉTAT]],VALUE(RIGHT(Table132[[#This Row],[next move]],1))+1+VALUE(LEFT(Table132[[#This Row],[next move]],1))*3,1)</f>
        <v>V</v>
      </c>
      <c r="I1698" t="str">
        <f>Table132[[#This Row],[ÉTAT]]&amp;Table132[[#This Row],[next move]]</f>
        <v>VMVVEVVEM20</v>
      </c>
    </row>
    <row r="1699" spans="2:9" x14ac:dyDescent="0.25">
      <c r="B1699" t="s">
        <v>2938</v>
      </c>
      <c r="C1699" s="22" t="s">
        <v>24</v>
      </c>
      <c r="D1699">
        <v>1</v>
      </c>
      <c r="G1699" s="30">
        <f>Table132[[#This Row],[nb win]]/Table132[[#This Row],[nb play]]</f>
        <v>0</v>
      </c>
      <c r="H1699" t="str">
        <f>MID(Table132[[#This Row],[ÉTAT]],VALUE(RIGHT(Table132[[#This Row],[next move]],1))+1+VALUE(LEFT(Table132[[#This Row],[next move]],1))*3,1)</f>
        <v>V</v>
      </c>
      <c r="I1699" t="str">
        <f>Table132[[#This Row],[ÉTAT]]&amp;Table132[[#This Row],[next move]]</f>
        <v>VMVVEVMVE00</v>
      </c>
    </row>
    <row r="1700" spans="2:9" x14ac:dyDescent="0.25">
      <c r="B1700" t="s">
        <v>2938</v>
      </c>
      <c r="C1700" s="22" t="s">
        <v>20</v>
      </c>
      <c r="D1700">
        <v>1</v>
      </c>
      <c r="E1700">
        <v>1</v>
      </c>
      <c r="G1700" s="31">
        <f>Table132[[#This Row],[nb win]]/Table132[[#This Row],[nb play]]</f>
        <v>1</v>
      </c>
      <c r="H1700" t="str">
        <f>MID(Table132[[#This Row],[ÉTAT]],VALUE(RIGHT(Table132[[#This Row],[next move]],1))+1+VALUE(LEFT(Table132[[#This Row],[next move]],1))*3,1)</f>
        <v>V</v>
      </c>
      <c r="I1700" t="str">
        <f>Table132[[#This Row],[ÉTAT]]&amp;Table132[[#This Row],[next move]]</f>
        <v>VMVVEVMVE02</v>
      </c>
    </row>
    <row r="1701" spans="2:9" x14ac:dyDescent="0.25">
      <c r="B1701" t="s">
        <v>2938</v>
      </c>
      <c r="C1701" s="22" t="s">
        <v>30</v>
      </c>
      <c r="D1701">
        <v>1</v>
      </c>
      <c r="G1701" s="25">
        <f>Table132[[#This Row],[nb win]]/Table132[[#This Row],[nb play]]</f>
        <v>0</v>
      </c>
      <c r="H1701" t="str">
        <f>MID(Table132[[#This Row],[ÉTAT]],VALUE(RIGHT(Table132[[#This Row],[next move]],1))+1+VALUE(LEFT(Table132[[#This Row],[next move]],1))*3,1)</f>
        <v>V</v>
      </c>
      <c r="I1701" t="str">
        <f>Table132[[#This Row],[ÉTAT]]&amp;Table132[[#This Row],[next move]]</f>
        <v>VMVVEVMVE10</v>
      </c>
    </row>
    <row r="1702" spans="2:9" x14ac:dyDescent="0.25">
      <c r="B1702" t="s">
        <v>2938</v>
      </c>
      <c r="C1702" s="22" t="s">
        <v>28</v>
      </c>
      <c r="D1702">
        <v>1</v>
      </c>
      <c r="G1702" s="25">
        <f>Table132[[#This Row],[nb win]]/Table132[[#This Row],[nb play]]</f>
        <v>0</v>
      </c>
      <c r="H1702" t="str">
        <f>MID(Table132[[#This Row],[ÉTAT]],VALUE(RIGHT(Table132[[#This Row],[next move]],1))+1+VALUE(LEFT(Table132[[#This Row],[next move]],1))*3,1)</f>
        <v>V</v>
      </c>
      <c r="I1702" t="str">
        <f>Table132[[#This Row],[ÉTAT]]&amp;Table132[[#This Row],[next move]]</f>
        <v>VMVVEVMVE12</v>
      </c>
    </row>
    <row r="1703" spans="2:9" x14ac:dyDescent="0.25">
      <c r="B1703" t="s">
        <v>2938</v>
      </c>
      <c r="C1703" s="22" t="s">
        <v>22</v>
      </c>
      <c r="D1703">
        <v>2</v>
      </c>
      <c r="G1703" s="30">
        <f>Table132[[#This Row],[nb win]]/Table132[[#This Row],[nb play]]</f>
        <v>0</v>
      </c>
      <c r="H1703" t="str">
        <f>MID(Table132[[#This Row],[ÉTAT]],VALUE(RIGHT(Table132[[#This Row],[next move]],1))+1+VALUE(LEFT(Table132[[#This Row],[next move]],1))*3,1)</f>
        <v>V</v>
      </c>
      <c r="I1703" t="str">
        <f>Table132[[#This Row],[ÉTAT]]&amp;Table132[[#This Row],[next move]]</f>
        <v>VMVVEVMVE21</v>
      </c>
    </row>
    <row r="1704" spans="2:9" x14ac:dyDescent="0.25">
      <c r="B1704" t="s">
        <v>2191</v>
      </c>
      <c r="C1704" s="22" t="s">
        <v>24</v>
      </c>
      <c r="D1704">
        <v>1</v>
      </c>
      <c r="E1704">
        <v>1</v>
      </c>
      <c r="G1704" s="25">
        <f>Table132[[#This Row],[nb win]]/Table132[[#This Row],[nb play]]</f>
        <v>1</v>
      </c>
      <c r="H1704" t="str">
        <f>MID(Table132[[#This Row],[ÉTAT]],VALUE(RIGHT(Table132[[#This Row],[next move]],1))+1+VALUE(LEFT(Table132[[#This Row],[next move]],1))*3,1)</f>
        <v>V</v>
      </c>
      <c r="I1704" t="str">
        <f>Table132[[#This Row],[ÉTAT]]&amp;Table132[[#This Row],[next move]]</f>
        <v>VMVVEVMEE00</v>
      </c>
    </row>
    <row r="1705" spans="2:9" x14ac:dyDescent="0.25">
      <c r="B1705" t="s">
        <v>1399</v>
      </c>
      <c r="C1705" s="22" t="s">
        <v>20</v>
      </c>
      <c r="D1705">
        <v>8</v>
      </c>
      <c r="E1705">
        <v>7</v>
      </c>
      <c r="G1705" s="31">
        <f>Table132[[#This Row],[nb win]]/Table132[[#This Row],[nb play]]</f>
        <v>0.875</v>
      </c>
      <c r="H1705" t="str">
        <f>MID(Table132[[#This Row],[ÉTAT]],VALUE(RIGHT(Table132[[#This Row],[next move]],1))+1+VALUE(LEFT(Table132[[#This Row],[next move]],1))*3,1)</f>
        <v>V</v>
      </c>
      <c r="I1705" t="str">
        <f>Table132[[#This Row],[ÉTAT]]&amp;Table132[[#This Row],[next move]]</f>
        <v>VMVVEVEVM02</v>
      </c>
    </row>
    <row r="1706" spans="2:9" x14ac:dyDescent="0.25">
      <c r="B1706" t="s">
        <v>1399</v>
      </c>
      <c r="C1706" s="22" t="s">
        <v>30</v>
      </c>
      <c r="D1706">
        <v>1</v>
      </c>
      <c r="G1706" s="25">
        <f>Table132[[#This Row],[nb win]]/Table132[[#This Row],[nb play]]</f>
        <v>0</v>
      </c>
      <c r="H1706" t="str">
        <f>MID(Table132[[#This Row],[ÉTAT]],VALUE(RIGHT(Table132[[#This Row],[next move]],1))+1+VALUE(LEFT(Table132[[#This Row],[next move]],1))*3,1)</f>
        <v>V</v>
      </c>
      <c r="I1706" t="str">
        <f>Table132[[#This Row],[ÉTAT]]&amp;Table132[[#This Row],[next move]]</f>
        <v>VMVVEVEVM10</v>
      </c>
    </row>
    <row r="1707" spans="2:9" x14ac:dyDescent="0.25">
      <c r="B1707" t="s">
        <v>774</v>
      </c>
      <c r="C1707" s="22" t="s">
        <v>24</v>
      </c>
      <c r="D1707">
        <v>1</v>
      </c>
      <c r="G1707" s="25">
        <f>Table132[[#This Row],[nb win]]/Table132[[#This Row],[nb play]]</f>
        <v>0</v>
      </c>
      <c r="H1707" t="str">
        <f>MID(Table132[[#This Row],[ÉTAT]],VALUE(RIGHT(Table132[[#This Row],[next move]],1))+1+VALUE(LEFT(Table132[[#This Row],[next move]],1))*3,1)</f>
        <v>V</v>
      </c>
      <c r="I1707" t="str">
        <f>Table132[[#This Row],[ÉTAT]]&amp;Table132[[#This Row],[next move]]</f>
        <v>VMVVEVEMV00</v>
      </c>
    </row>
    <row r="1708" spans="2:9" x14ac:dyDescent="0.25">
      <c r="B1708" t="s">
        <v>774</v>
      </c>
      <c r="C1708" s="22" t="s">
        <v>20</v>
      </c>
      <c r="D1708">
        <v>1</v>
      </c>
      <c r="E1708">
        <v>1</v>
      </c>
      <c r="G1708" s="25">
        <f>Table132[[#This Row],[nb win]]/Table132[[#This Row],[nb play]]</f>
        <v>1</v>
      </c>
      <c r="H1708" t="str">
        <f>MID(Table132[[#This Row],[ÉTAT]],VALUE(RIGHT(Table132[[#This Row],[next move]],1))+1+VALUE(LEFT(Table132[[#This Row],[next move]],1))*3,1)</f>
        <v>V</v>
      </c>
      <c r="I1708" t="str">
        <f>Table132[[#This Row],[ÉTAT]]&amp;Table132[[#This Row],[next move]]</f>
        <v>VMVVEVEMV02</v>
      </c>
    </row>
    <row r="1709" spans="2:9" x14ac:dyDescent="0.25">
      <c r="B1709" t="s">
        <v>774</v>
      </c>
      <c r="C1709" s="22" t="s">
        <v>30</v>
      </c>
      <c r="D1709">
        <v>1</v>
      </c>
      <c r="G1709" s="25">
        <f>Table132[[#This Row],[nb win]]/Table132[[#This Row],[nb play]]</f>
        <v>0</v>
      </c>
      <c r="H1709" t="str">
        <f>MID(Table132[[#This Row],[ÉTAT]],VALUE(RIGHT(Table132[[#This Row],[next move]],1))+1+VALUE(LEFT(Table132[[#This Row],[next move]],1))*3,1)</f>
        <v>V</v>
      </c>
      <c r="I1709" t="str">
        <f>Table132[[#This Row],[ÉTAT]]&amp;Table132[[#This Row],[next move]]</f>
        <v>VMVVEVEMV10</v>
      </c>
    </row>
    <row r="1710" spans="2:9" x14ac:dyDescent="0.25">
      <c r="B1710" t="s">
        <v>774</v>
      </c>
      <c r="C1710" s="22" t="s">
        <v>28</v>
      </c>
      <c r="D1710">
        <v>1</v>
      </c>
      <c r="G1710" s="25">
        <f>Table132[[#This Row],[nb win]]/Table132[[#This Row],[nb play]]</f>
        <v>0</v>
      </c>
      <c r="H1710" t="str">
        <f>MID(Table132[[#This Row],[ÉTAT]],VALUE(RIGHT(Table132[[#This Row],[next move]],1))+1+VALUE(LEFT(Table132[[#This Row],[next move]],1))*3,1)</f>
        <v>V</v>
      </c>
      <c r="I1710" t="str">
        <f>Table132[[#This Row],[ÉTAT]]&amp;Table132[[#This Row],[next move]]</f>
        <v>VMVVEVEMV12</v>
      </c>
    </row>
    <row r="1711" spans="2:9" x14ac:dyDescent="0.25">
      <c r="B1711" t="s">
        <v>774</v>
      </c>
      <c r="C1711" s="22" t="s">
        <v>31</v>
      </c>
      <c r="D1711">
        <v>1</v>
      </c>
      <c r="G1711" s="25">
        <f>Table132[[#This Row],[nb win]]/Table132[[#This Row],[nb play]]</f>
        <v>0</v>
      </c>
      <c r="H1711" t="str">
        <f>MID(Table132[[#This Row],[ÉTAT]],VALUE(RIGHT(Table132[[#This Row],[next move]],1))+1+VALUE(LEFT(Table132[[#This Row],[next move]],1))*3,1)</f>
        <v>V</v>
      </c>
      <c r="I1711" t="str">
        <f>Table132[[#This Row],[ÉTAT]]&amp;Table132[[#This Row],[next move]]</f>
        <v>VMVVEVEMV22</v>
      </c>
    </row>
    <row r="1712" spans="2:9" x14ac:dyDescent="0.25">
      <c r="B1712" t="s">
        <v>2942</v>
      </c>
      <c r="C1712" s="22" t="s">
        <v>20</v>
      </c>
      <c r="D1712">
        <v>1</v>
      </c>
      <c r="G1712" s="25">
        <f>Table132[[#This Row],[nb win]]/Table132[[#This Row],[nb play]]</f>
        <v>0</v>
      </c>
      <c r="H1712" t="str">
        <f>MID(Table132[[#This Row],[ÉTAT]],VALUE(RIGHT(Table132[[#This Row],[next move]],1))+1+VALUE(LEFT(Table132[[#This Row],[next move]],1))*3,1)</f>
        <v>V</v>
      </c>
      <c r="I1712" t="str">
        <f>Table132[[#This Row],[ÉTAT]]&amp;Table132[[#This Row],[next move]]</f>
        <v>VMVVEVEME02</v>
      </c>
    </row>
    <row r="1713" spans="2:9" x14ac:dyDescent="0.25">
      <c r="B1713" t="s">
        <v>2942</v>
      </c>
      <c r="C1713" s="22" t="s">
        <v>28</v>
      </c>
      <c r="D1713">
        <v>1</v>
      </c>
      <c r="G1713" s="30">
        <f>Table132[[#This Row],[nb win]]/Table132[[#This Row],[nb play]]</f>
        <v>0</v>
      </c>
      <c r="H1713" t="str">
        <f>MID(Table132[[#This Row],[ÉTAT]],VALUE(RIGHT(Table132[[#This Row],[next move]],1))+1+VALUE(LEFT(Table132[[#This Row],[next move]],1))*3,1)</f>
        <v>V</v>
      </c>
      <c r="I1713" t="str">
        <f>Table132[[#This Row],[ÉTAT]]&amp;Table132[[#This Row],[next move]]</f>
        <v>VMVVEVEME12</v>
      </c>
    </row>
    <row r="1714" spans="2:9" x14ac:dyDescent="0.25">
      <c r="B1714" t="s">
        <v>1663</v>
      </c>
      <c r="C1714" s="22" t="s">
        <v>24</v>
      </c>
      <c r="D1714">
        <v>1</v>
      </c>
      <c r="G1714" s="25">
        <f>Table132[[#This Row],[nb win]]/Table132[[#This Row],[nb play]]</f>
        <v>0</v>
      </c>
      <c r="H1714" t="str">
        <f>MID(Table132[[#This Row],[ÉTAT]],VALUE(RIGHT(Table132[[#This Row],[next move]],1))+1+VALUE(LEFT(Table132[[#This Row],[next move]],1))*3,1)</f>
        <v>V</v>
      </c>
      <c r="I1714" t="str">
        <f>Table132[[#This Row],[ÉTAT]]&amp;Table132[[#This Row],[next move]]</f>
        <v>VMVVEVEEM00</v>
      </c>
    </row>
    <row r="1715" spans="2:9" x14ac:dyDescent="0.25">
      <c r="B1715" t="s">
        <v>1663</v>
      </c>
      <c r="C1715" s="22" t="s">
        <v>30</v>
      </c>
      <c r="D1715">
        <v>1</v>
      </c>
      <c r="G1715" s="30">
        <f>Table132[[#This Row],[nb win]]/Table132[[#This Row],[nb play]]</f>
        <v>0</v>
      </c>
      <c r="H1715" t="str">
        <f>MID(Table132[[#This Row],[ÉTAT]],VALUE(RIGHT(Table132[[#This Row],[next move]],1))+1+VALUE(LEFT(Table132[[#This Row],[next move]],1))*3,1)</f>
        <v>V</v>
      </c>
      <c r="I1715" t="str">
        <f>Table132[[#This Row],[ÉTAT]]&amp;Table132[[#This Row],[next move]]</f>
        <v>VMVVEVEEM10</v>
      </c>
    </row>
    <row r="1716" spans="2:9" x14ac:dyDescent="0.25">
      <c r="B1716" t="s">
        <v>1663</v>
      </c>
      <c r="C1716" s="22" t="s">
        <v>28</v>
      </c>
      <c r="D1716">
        <v>1</v>
      </c>
      <c r="E1716">
        <v>1</v>
      </c>
      <c r="G1716" s="31">
        <f>Table132[[#This Row],[nb win]]/Table132[[#This Row],[nb play]]</f>
        <v>1</v>
      </c>
      <c r="H1716" t="str">
        <f>MID(Table132[[#This Row],[ÉTAT]],VALUE(RIGHT(Table132[[#This Row],[next move]],1))+1+VALUE(LEFT(Table132[[#This Row],[next move]],1))*3,1)</f>
        <v>V</v>
      </c>
      <c r="I1716" t="str">
        <f>Table132[[#This Row],[ÉTAT]]&amp;Table132[[#This Row],[next move]]</f>
        <v>VMVVEVEEM12</v>
      </c>
    </row>
    <row r="1717" spans="2:9" x14ac:dyDescent="0.25">
      <c r="B1717" t="s">
        <v>1789</v>
      </c>
      <c r="C1717" s="22" t="s">
        <v>35</v>
      </c>
      <c r="D1717">
        <v>2</v>
      </c>
      <c r="E1717">
        <v>1</v>
      </c>
      <c r="G1717" s="25">
        <f>Table132[[#This Row],[nb win]]/Table132[[#This Row],[nb play]]</f>
        <v>0.5</v>
      </c>
      <c r="H1717" t="str">
        <f>MID(Table132[[#This Row],[ÉTAT]],VALUE(RIGHT(Table132[[#This Row],[next move]],1))+1+VALUE(LEFT(Table132[[#This Row],[next move]],1))*3,1)</f>
        <v>V</v>
      </c>
      <c r="I1717" t="str">
        <f>Table132[[#This Row],[ÉTAT]]&amp;Table132[[#This Row],[next move]]</f>
        <v>VMVVEMVEV20</v>
      </c>
    </row>
    <row r="1718" spans="2:9" x14ac:dyDescent="0.25">
      <c r="B1718" t="s">
        <v>140</v>
      </c>
      <c r="C1718" s="22" t="s">
        <v>24</v>
      </c>
      <c r="D1718">
        <v>2</v>
      </c>
      <c r="E1718">
        <v>1</v>
      </c>
      <c r="G1718" s="25">
        <f>Table132[[#This Row],[nb win]]/Table132[[#This Row],[nb play]]</f>
        <v>0.5</v>
      </c>
      <c r="H1718" t="str">
        <f>MID(Table132[[#This Row],[ÉTAT]],VALUE(RIGHT(Table132[[#This Row],[next move]],1))+1+VALUE(LEFT(Table132[[#This Row],[next move]],1))*3,1)</f>
        <v>V</v>
      </c>
      <c r="I1718" t="str">
        <f>Table132[[#This Row],[ÉTAT]]&amp;Table132[[#This Row],[next move]]</f>
        <v>VMVVEMVEE00</v>
      </c>
    </row>
    <row r="1719" spans="2:9" x14ac:dyDescent="0.25">
      <c r="B1719" t="s">
        <v>140</v>
      </c>
      <c r="C1719" s="22" t="s">
        <v>20</v>
      </c>
      <c r="D1719">
        <v>1</v>
      </c>
      <c r="G1719" s="25">
        <f>Table132[[#This Row],[nb win]]/Table132[[#This Row],[nb play]]</f>
        <v>0</v>
      </c>
      <c r="H1719" t="str">
        <f>MID(Table132[[#This Row],[ÉTAT]],VALUE(RIGHT(Table132[[#This Row],[next move]],1))+1+VALUE(LEFT(Table132[[#This Row],[next move]],1))*3,1)</f>
        <v>V</v>
      </c>
      <c r="I1719" t="str">
        <f>Table132[[#This Row],[ÉTAT]]&amp;Table132[[#This Row],[next move]]</f>
        <v>VMVVEMVEE02</v>
      </c>
    </row>
    <row r="1720" spans="2:9" x14ac:dyDescent="0.25">
      <c r="B1720" t="s">
        <v>140</v>
      </c>
      <c r="C1720" s="22" t="s">
        <v>30</v>
      </c>
      <c r="D1720">
        <v>3</v>
      </c>
      <c r="G1720" s="30">
        <f>Table132[[#This Row],[nb win]]/Table132[[#This Row],[nb play]]</f>
        <v>0</v>
      </c>
      <c r="H1720" t="str">
        <f>MID(Table132[[#This Row],[ÉTAT]],VALUE(RIGHT(Table132[[#This Row],[next move]],1))+1+VALUE(LEFT(Table132[[#This Row],[next move]],1))*3,1)</f>
        <v>V</v>
      </c>
      <c r="I1720" t="str">
        <f>Table132[[#This Row],[ÉTAT]]&amp;Table132[[#This Row],[next move]]</f>
        <v>VMVVEMVEE10</v>
      </c>
    </row>
    <row r="1721" spans="2:9" x14ac:dyDescent="0.25">
      <c r="B1721" t="s">
        <v>140</v>
      </c>
      <c r="C1721" s="22" t="s">
        <v>35</v>
      </c>
      <c r="D1721">
        <v>1</v>
      </c>
      <c r="G1721" s="25">
        <f>Table132[[#This Row],[nb win]]/Table132[[#This Row],[nb play]]</f>
        <v>0</v>
      </c>
      <c r="H1721" t="str">
        <f>MID(Table132[[#This Row],[ÉTAT]],VALUE(RIGHT(Table132[[#This Row],[next move]],1))+1+VALUE(LEFT(Table132[[#This Row],[next move]],1))*3,1)</f>
        <v>V</v>
      </c>
      <c r="I1721" t="str">
        <f>Table132[[#This Row],[ÉTAT]]&amp;Table132[[#This Row],[next move]]</f>
        <v>VMVVEMVEE20</v>
      </c>
    </row>
    <row r="1722" spans="2:9" x14ac:dyDescent="0.25">
      <c r="B1722" t="s">
        <v>2971</v>
      </c>
      <c r="C1722" s="22" t="s">
        <v>20</v>
      </c>
      <c r="D1722">
        <v>1</v>
      </c>
      <c r="G1722" s="25">
        <f>Table132[[#This Row],[nb win]]/Table132[[#This Row],[nb play]]</f>
        <v>0</v>
      </c>
      <c r="H1722" t="str">
        <f>MID(Table132[[#This Row],[ÉTAT]],VALUE(RIGHT(Table132[[#This Row],[next move]],1))+1+VALUE(LEFT(Table132[[#This Row],[next move]],1))*3,1)</f>
        <v>V</v>
      </c>
      <c r="I1722" t="str">
        <f>Table132[[#This Row],[ÉTAT]]&amp;Table132[[#This Row],[next move]]</f>
        <v>VMVVEMMEE02</v>
      </c>
    </row>
    <row r="1723" spans="2:9" x14ac:dyDescent="0.25">
      <c r="B1723" t="s">
        <v>811</v>
      </c>
      <c r="C1723" s="22" t="s">
        <v>24</v>
      </c>
      <c r="D1723">
        <v>3</v>
      </c>
      <c r="E1723">
        <v>2</v>
      </c>
      <c r="G1723" s="30">
        <f>Table132[[#This Row],[nb win]]/Table132[[#This Row],[nb play]]</f>
        <v>0.66666666666666663</v>
      </c>
      <c r="H1723" t="str">
        <f>MID(Table132[[#This Row],[ÉTAT]],VALUE(RIGHT(Table132[[#This Row],[next move]],1))+1+VALUE(LEFT(Table132[[#This Row],[next move]],1))*3,1)</f>
        <v>V</v>
      </c>
      <c r="I1723" t="str">
        <f>Table132[[#This Row],[ÉTAT]]&amp;Table132[[#This Row],[next move]]</f>
        <v>VMVVEMEVV00</v>
      </c>
    </row>
    <row r="1724" spans="2:9" x14ac:dyDescent="0.25">
      <c r="B1724" t="s">
        <v>811</v>
      </c>
      <c r="C1724" s="22" t="s">
        <v>30</v>
      </c>
      <c r="D1724">
        <v>1</v>
      </c>
      <c r="G1724" s="30">
        <f>Table132[[#This Row],[nb win]]/Table132[[#This Row],[nb play]]</f>
        <v>0</v>
      </c>
      <c r="H1724" t="str">
        <f>MID(Table132[[#This Row],[ÉTAT]],VALUE(RIGHT(Table132[[#This Row],[next move]],1))+1+VALUE(LEFT(Table132[[#This Row],[next move]],1))*3,1)</f>
        <v>V</v>
      </c>
      <c r="I1724" t="str">
        <f>Table132[[#This Row],[ÉTAT]]&amp;Table132[[#This Row],[next move]]</f>
        <v>VMVVEMEVV10</v>
      </c>
    </row>
    <row r="1725" spans="2:9" x14ac:dyDescent="0.25">
      <c r="B1725" t="s">
        <v>811</v>
      </c>
      <c r="C1725" s="22" t="s">
        <v>22</v>
      </c>
      <c r="D1725">
        <v>4</v>
      </c>
      <c r="G1725" s="25">
        <f>Table132[[#This Row],[nb win]]/Table132[[#This Row],[nb play]]</f>
        <v>0</v>
      </c>
      <c r="H1725" t="str">
        <f>MID(Table132[[#This Row],[ÉTAT]],VALUE(RIGHT(Table132[[#This Row],[next move]],1))+1+VALUE(LEFT(Table132[[#This Row],[next move]],1))*3,1)</f>
        <v>V</v>
      </c>
      <c r="I1725" t="str">
        <f>Table132[[#This Row],[ÉTAT]]&amp;Table132[[#This Row],[next move]]</f>
        <v>VMVVEMEVV21</v>
      </c>
    </row>
    <row r="1726" spans="2:9" x14ac:dyDescent="0.25">
      <c r="B1726" t="s">
        <v>811</v>
      </c>
      <c r="C1726" s="22" t="s">
        <v>31</v>
      </c>
      <c r="D1726">
        <v>4</v>
      </c>
      <c r="E1726">
        <v>1</v>
      </c>
      <c r="G1726" s="30">
        <f>Table132[[#This Row],[nb win]]/Table132[[#This Row],[nb play]]</f>
        <v>0.25</v>
      </c>
      <c r="H1726" t="str">
        <f>MID(Table132[[#This Row],[ÉTAT]],VALUE(RIGHT(Table132[[#This Row],[next move]],1))+1+VALUE(LEFT(Table132[[#This Row],[next move]],1))*3,1)</f>
        <v>V</v>
      </c>
      <c r="I1726" t="str">
        <f>Table132[[#This Row],[ÉTAT]]&amp;Table132[[#This Row],[next move]]</f>
        <v>VMVVEMEVV22</v>
      </c>
    </row>
    <row r="1727" spans="2:9" x14ac:dyDescent="0.25">
      <c r="B1727" t="s">
        <v>1872</v>
      </c>
      <c r="C1727" s="22" t="s">
        <v>24</v>
      </c>
      <c r="D1727">
        <v>3</v>
      </c>
      <c r="G1727" s="30">
        <f>Table132[[#This Row],[nb win]]/Table132[[#This Row],[nb play]]</f>
        <v>0</v>
      </c>
      <c r="H1727" t="str">
        <f>MID(Table132[[#This Row],[ÉTAT]],VALUE(RIGHT(Table132[[#This Row],[next move]],1))+1+VALUE(LEFT(Table132[[#This Row],[next move]],1))*3,1)</f>
        <v>V</v>
      </c>
      <c r="I1727" t="str">
        <f>Table132[[#This Row],[ÉTAT]]&amp;Table132[[#This Row],[next move]]</f>
        <v>VMVVEMEVE00</v>
      </c>
    </row>
    <row r="1728" spans="2:9" x14ac:dyDescent="0.25">
      <c r="B1728" t="s">
        <v>1872</v>
      </c>
      <c r="C1728" s="22" t="s">
        <v>20</v>
      </c>
      <c r="D1728">
        <v>1</v>
      </c>
      <c r="G1728" s="25">
        <f>Table132[[#This Row],[nb win]]/Table132[[#This Row],[nb play]]</f>
        <v>0</v>
      </c>
      <c r="H1728" t="str">
        <f>MID(Table132[[#This Row],[ÉTAT]],VALUE(RIGHT(Table132[[#This Row],[next move]],1))+1+VALUE(LEFT(Table132[[#This Row],[next move]],1))*3,1)</f>
        <v>V</v>
      </c>
      <c r="I1728" t="str">
        <f>Table132[[#This Row],[ÉTAT]]&amp;Table132[[#This Row],[next move]]</f>
        <v>VMVVEMEVE02</v>
      </c>
    </row>
    <row r="1729" spans="2:9" x14ac:dyDescent="0.25">
      <c r="B1729" t="s">
        <v>1872</v>
      </c>
      <c r="C1729" s="22" t="s">
        <v>30</v>
      </c>
      <c r="D1729">
        <v>1</v>
      </c>
      <c r="G1729" s="30">
        <f>Table132[[#This Row],[nb win]]/Table132[[#This Row],[nb play]]</f>
        <v>0</v>
      </c>
      <c r="H1729" t="str">
        <f>MID(Table132[[#This Row],[ÉTAT]],VALUE(RIGHT(Table132[[#This Row],[next move]],1))+1+VALUE(LEFT(Table132[[#This Row],[next move]],1))*3,1)</f>
        <v>V</v>
      </c>
      <c r="I1729" t="str">
        <f>Table132[[#This Row],[ÉTAT]]&amp;Table132[[#This Row],[next move]]</f>
        <v>VMVVEMEVE10</v>
      </c>
    </row>
    <row r="1730" spans="2:9" x14ac:dyDescent="0.25">
      <c r="B1730" t="s">
        <v>1872</v>
      </c>
      <c r="C1730" s="22" t="s">
        <v>22</v>
      </c>
      <c r="D1730">
        <v>1</v>
      </c>
      <c r="G1730" s="30">
        <f>Table132[[#This Row],[nb win]]/Table132[[#This Row],[nb play]]</f>
        <v>0</v>
      </c>
      <c r="H1730" t="str">
        <f>MID(Table132[[#This Row],[ÉTAT]],VALUE(RIGHT(Table132[[#This Row],[next move]],1))+1+VALUE(LEFT(Table132[[#This Row],[next move]],1))*3,1)</f>
        <v>V</v>
      </c>
      <c r="I1730" t="str">
        <f>Table132[[#This Row],[ÉTAT]]&amp;Table132[[#This Row],[next move]]</f>
        <v>VMVVEMEVE21</v>
      </c>
    </row>
    <row r="1731" spans="2:9" x14ac:dyDescent="0.25">
      <c r="B1731" t="s">
        <v>1066</v>
      </c>
      <c r="C1731" s="22" t="s">
        <v>20</v>
      </c>
      <c r="D1731">
        <v>1</v>
      </c>
      <c r="E1731">
        <v>1</v>
      </c>
      <c r="G1731" s="31">
        <f>Table132[[#This Row],[nb win]]/Table132[[#This Row],[nb play]]</f>
        <v>1</v>
      </c>
      <c r="H1731" t="str">
        <f>MID(Table132[[#This Row],[ÉTAT]],VALUE(RIGHT(Table132[[#This Row],[next move]],1))+1+VALUE(LEFT(Table132[[#This Row],[next move]],1))*3,1)</f>
        <v>V</v>
      </c>
      <c r="I1731" t="str">
        <f>Table132[[#This Row],[ÉTAT]]&amp;Table132[[#This Row],[next move]]</f>
        <v>VMVVEMEME02</v>
      </c>
    </row>
    <row r="1732" spans="2:9" x14ac:dyDescent="0.25">
      <c r="B1732" t="s">
        <v>1066</v>
      </c>
      <c r="C1732" s="22" t="s">
        <v>30</v>
      </c>
      <c r="D1732">
        <v>1</v>
      </c>
      <c r="G1732" s="25">
        <f>Table132[[#This Row],[nb win]]/Table132[[#This Row],[nb play]]</f>
        <v>0</v>
      </c>
      <c r="H1732" t="str">
        <f>MID(Table132[[#This Row],[ÉTAT]],VALUE(RIGHT(Table132[[#This Row],[next move]],1))+1+VALUE(LEFT(Table132[[#This Row],[next move]],1))*3,1)</f>
        <v>V</v>
      </c>
      <c r="I1732" t="str">
        <f>Table132[[#This Row],[ÉTAT]]&amp;Table132[[#This Row],[next move]]</f>
        <v>VMVVEMEME10</v>
      </c>
    </row>
    <row r="1733" spans="2:9" x14ac:dyDescent="0.25">
      <c r="B1733" t="s">
        <v>3247</v>
      </c>
      <c r="C1733" s="22" t="s">
        <v>30</v>
      </c>
      <c r="D1733">
        <v>1</v>
      </c>
      <c r="G1733" s="30">
        <f>Table132[[#This Row],[nb win]]/Table132[[#This Row],[nb play]]</f>
        <v>0</v>
      </c>
      <c r="H1733" t="str">
        <f>MID(Table132[[#This Row],[ÉTAT]],VALUE(RIGHT(Table132[[#This Row],[next move]],1))+1+VALUE(LEFT(Table132[[#This Row],[next move]],1))*3,1)</f>
        <v>V</v>
      </c>
      <c r="I1733" t="str">
        <f>Table132[[#This Row],[ÉTAT]]&amp;Table132[[#This Row],[next move]]</f>
        <v>VMVVEMEEM10</v>
      </c>
    </row>
    <row r="1734" spans="2:9" x14ac:dyDescent="0.25">
      <c r="B1734" t="s">
        <v>1656</v>
      </c>
      <c r="C1734" s="22" t="s">
        <v>24</v>
      </c>
      <c r="D1734">
        <v>2</v>
      </c>
      <c r="E1734">
        <v>1</v>
      </c>
      <c r="G1734" s="31">
        <f>Table132[[#This Row],[nb win]]/Table132[[#This Row],[nb play]]</f>
        <v>0.5</v>
      </c>
      <c r="H1734" t="str">
        <f>MID(Table132[[#This Row],[ÉTAT]],VALUE(RIGHT(Table132[[#This Row],[next move]],1))+1+VALUE(LEFT(Table132[[#This Row],[next move]],1))*3,1)</f>
        <v>V</v>
      </c>
      <c r="I1734" t="str">
        <f>Table132[[#This Row],[ÉTAT]]&amp;Table132[[#This Row],[next move]]</f>
        <v>VMVVEEVVV00</v>
      </c>
    </row>
    <row r="1735" spans="2:9" x14ac:dyDescent="0.25">
      <c r="B1735" t="s">
        <v>1656</v>
      </c>
      <c r="C1735" s="22" t="s">
        <v>20</v>
      </c>
      <c r="D1735">
        <v>2</v>
      </c>
      <c r="E1735">
        <v>1</v>
      </c>
      <c r="G1735" s="25">
        <f>Table132[[#This Row],[nb win]]/Table132[[#This Row],[nb play]]</f>
        <v>0.5</v>
      </c>
      <c r="H1735" t="str">
        <f>MID(Table132[[#This Row],[ÉTAT]],VALUE(RIGHT(Table132[[#This Row],[next move]],1))+1+VALUE(LEFT(Table132[[#This Row],[next move]],1))*3,1)</f>
        <v>V</v>
      </c>
      <c r="I1735" t="str">
        <f>Table132[[#This Row],[ÉTAT]]&amp;Table132[[#This Row],[next move]]</f>
        <v>VMVVEEVVV02</v>
      </c>
    </row>
    <row r="1736" spans="2:9" x14ac:dyDescent="0.25">
      <c r="B1736" t="s">
        <v>1656</v>
      </c>
      <c r="C1736" s="22" t="s">
        <v>30</v>
      </c>
      <c r="D1736">
        <v>1</v>
      </c>
      <c r="G1736" s="25">
        <f>Table132[[#This Row],[nb win]]/Table132[[#This Row],[nb play]]</f>
        <v>0</v>
      </c>
      <c r="H1736" t="str">
        <f>MID(Table132[[#This Row],[ÉTAT]],VALUE(RIGHT(Table132[[#This Row],[next move]],1))+1+VALUE(LEFT(Table132[[#This Row],[next move]],1))*3,1)</f>
        <v>V</v>
      </c>
      <c r="I1736" t="str">
        <f>Table132[[#This Row],[ÉTAT]]&amp;Table132[[#This Row],[next move]]</f>
        <v>VMVVEEVVV10</v>
      </c>
    </row>
    <row r="1737" spans="2:9" x14ac:dyDescent="0.25">
      <c r="B1737" t="s">
        <v>1656</v>
      </c>
      <c r="C1737" s="22" t="s">
        <v>35</v>
      </c>
      <c r="D1737">
        <v>1</v>
      </c>
      <c r="G1737" s="30">
        <f>Table132[[#This Row],[nb win]]/Table132[[#This Row],[nb play]]</f>
        <v>0</v>
      </c>
      <c r="H1737" t="str">
        <f>MID(Table132[[#This Row],[ÉTAT]],VALUE(RIGHT(Table132[[#This Row],[next move]],1))+1+VALUE(LEFT(Table132[[#This Row],[next move]],1))*3,1)</f>
        <v>V</v>
      </c>
      <c r="I1737" t="str">
        <f>Table132[[#This Row],[ÉTAT]]&amp;Table132[[#This Row],[next move]]</f>
        <v>VMVVEEVVV20</v>
      </c>
    </row>
    <row r="1738" spans="2:9" x14ac:dyDescent="0.25">
      <c r="B1738" t="s">
        <v>1656</v>
      </c>
      <c r="C1738" s="22" t="s">
        <v>22</v>
      </c>
      <c r="D1738">
        <v>1</v>
      </c>
      <c r="G1738" s="30">
        <f>Table132[[#This Row],[nb win]]/Table132[[#This Row],[nb play]]</f>
        <v>0</v>
      </c>
      <c r="H1738" t="str">
        <f>MID(Table132[[#This Row],[ÉTAT]],VALUE(RIGHT(Table132[[#This Row],[next move]],1))+1+VALUE(LEFT(Table132[[#This Row],[next move]],1))*3,1)</f>
        <v>V</v>
      </c>
      <c r="I1738" t="str">
        <f>Table132[[#This Row],[ÉTAT]]&amp;Table132[[#This Row],[next move]]</f>
        <v>VMVVEEVVV21</v>
      </c>
    </row>
    <row r="1739" spans="2:9" x14ac:dyDescent="0.25">
      <c r="B1739" t="s">
        <v>1656</v>
      </c>
      <c r="C1739" s="22" t="s">
        <v>31</v>
      </c>
      <c r="D1739">
        <v>1</v>
      </c>
      <c r="G1739" s="30">
        <f>Table132[[#This Row],[nb win]]/Table132[[#This Row],[nb play]]</f>
        <v>0</v>
      </c>
      <c r="H1739" t="str">
        <f>MID(Table132[[#This Row],[ÉTAT]],VALUE(RIGHT(Table132[[#This Row],[next move]],1))+1+VALUE(LEFT(Table132[[#This Row],[next move]],1))*3,1)</f>
        <v>V</v>
      </c>
      <c r="I1739" t="str">
        <f>Table132[[#This Row],[ÉTAT]]&amp;Table132[[#This Row],[next move]]</f>
        <v>VMVVEEVVV22</v>
      </c>
    </row>
    <row r="1740" spans="2:9" x14ac:dyDescent="0.25">
      <c r="B1740" t="s">
        <v>1712</v>
      </c>
      <c r="C1740" s="22" t="s">
        <v>24</v>
      </c>
      <c r="D1740">
        <v>1</v>
      </c>
      <c r="G1740" s="25">
        <f>Table132[[#This Row],[nb win]]/Table132[[#This Row],[nb play]]</f>
        <v>0</v>
      </c>
      <c r="H1740" t="str">
        <f>MID(Table132[[#This Row],[ÉTAT]],VALUE(RIGHT(Table132[[#This Row],[next move]],1))+1+VALUE(LEFT(Table132[[#This Row],[next move]],1))*3,1)</f>
        <v>V</v>
      </c>
      <c r="I1740" t="str">
        <f>Table132[[#This Row],[ÉTAT]]&amp;Table132[[#This Row],[next move]]</f>
        <v>VMVVEEVVM00</v>
      </c>
    </row>
    <row r="1741" spans="2:9" x14ac:dyDescent="0.25">
      <c r="B1741" t="s">
        <v>1712</v>
      </c>
      <c r="C1741" s="22" t="s">
        <v>20</v>
      </c>
      <c r="D1741">
        <v>1</v>
      </c>
      <c r="G1741" s="25">
        <f>Table132[[#This Row],[nb win]]/Table132[[#This Row],[nb play]]</f>
        <v>0</v>
      </c>
      <c r="H1741" t="str">
        <f>MID(Table132[[#This Row],[ÉTAT]],VALUE(RIGHT(Table132[[#This Row],[next move]],1))+1+VALUE(LEFT(Table132[[#This Row],[next move]],1))*3,1)</f>
        <v>V</v>
      </c>
      <c r="I1741" t="str">
        <f>Table132[[#This Row],[ÉTAT]]&amp;Table132[[#This Row],[next move]]</f>
        <v>VMVVEEVVM02</v>
      </c>
    </row>
    <row r="1742" spans="2:9" x14ac:dyDescent="0.25">
      <c r="B1742" t="s">
        <v>1712</v>
      </c>
      <c r="C1742" s="22" t="s">
        <v>35</v>
      </c>
      <c r="D1742">
        <v>2</v>
      </c>
      <c r="E1742">
        <v>1</v>
      </c>
      <c r="G1742" s="30">
        <f>Table132[[#This Row],[nb win]]/Table132[[#This Row],[nb play]]</f>
        <v>0.5</v>
      </c>
      <c r="H1742" t="str">
        <f>MID(Table132[[#This Row],[ÉTAT]],VALUE(RIGHT(Table132[[#This Row],[next move]],1))+1+VALUE(LEFT(Table132[[#This Row],[next move]],1))*3,1)</f>
        <v>V</v>
      </c>
      <c r="I1742" t="str">
        <f>Table132[[#This Row],[ÉTAT]]&amp;Table132[[#This Row],[next move]]</f>
        <v>VMVVEEVVM20</v>
      </c>
    </row>
    <row r="1743" spans="2:9" x14ac:dyDescent="0.25">
      <c r="B1743" t="s">
        <v>1712</v>
      </c>
      <c r="C1743" s="22" t="s">
        <v>22</v>
      </c>
      <c r="D1743">
        <v>1</v>
      </c>
      <c r="G1743" s="25">
        <f>Table132[[#This Row],[nb win]]/Table132[[#This Row],[nb play]]</f>
        <v>0</v>
      </c>
      <c r="H1743" t="str">
        <f>MID(Table132[[#This Row],[ÉTAT]],VALUE(RIGHT(Table132[[#This Row],[next move]],1))+1+VALUE(LEFT(Table132[[#This Row],[next move]],1))*3,1)</f>
        <v>V</v>
      </c>
      <c r="I1743" t="str">
        <f>Table132[[#This Row],[ÉTAT]]&amp;Table132[[#This Row],[next move]]</f>
        <v>VMVVEEVVM21</v>
      </c>
    </row>
    <row r="1744" spans="2:9" x14ac:dyDescent="0.25">
      <c r="B1744" t="s">
        <v>1225</v>
      </c>
      <c r="C1744" s="22" t="s">
        <v>24</v>
      </c>
      <c r="D1744">
        <v>2</v>
      </c>
      <c r="E1744">
        <v>2</v>
      </c>
      <c r="G1744" s="25">
        <f>Table132[[#This Row],[nb win]]/Table132[[#This Row],[nb play]]</f>
        <v>1</v>
      </c>
      <c r="H1744" t="str">
        <f>MID(Table132[[#This Row],[ÉTAT]],VALUE(RIGHT(Table132[[#This Row],[next move]],1))+1+VALUE(LEFT(Table132[[#This Row],[next move]],1))*3,1)</f>
        <v>V</v>
      </c>
      <c r="I1744" t="str">
        <f>Table132[[#This Row],[ÉTAT]]&amp;Table132[[#This Row],[next move]]</f>
        <v>VMVVEEVMV00</v>
      </c>
    </row>
    <row r="1745" spans="2:9" x14ac:dyDescent="0.25">
      <c r="B1745" t="s">
        <v>1225</v>
      </c>
      <c r="C1745" s="22" t="s">
        <v>20</v>
      </c>
      <c r="D1745">
        <v>2</v>
      </c>
      <c r="G1745" s="30">
        <f>Table132[[#This Row],[nb win]]/Table132[[#This Row],[nb play]]</f>
        <v>0</v>
      </c>
      <c r="H1745" t="str">
        <f>MID(Table132[[#This Row],[ÉTAT]],VALUE(RIGHT(Table132[[#This Row],[next move]],1))+1+VALUE(LEFT(Table132[[#This Row],[next move]],1))*3,1)</f>
        <v>V</v>
      </c>
      <c r="I1745" t="str">
        <f>Table132[[#This Row],[ÉTAT]]&amp;Table132[[#This Row],[next move]]</f>
        <v>VMVVEEVMV02</v>
      </c>
    </row>
    <row r="1746" spans="2:9" x14ac:dyDescent="0.25">
      <c r="B1746" t="s">
        <v>1225</v>
      </c>
      <c r="C1746" s="22" t="s">
        <v>30</v>
      </c>
      <c r="D1746">
        <v>1</v>
      </c>
      <c r="G1746" s="25">
        <f>Table132[[#This Row],[nb win]]/Table132[[#This Row],[nb play]]</f>
        <v>0</v>
      </c>
      <c r="H1746" t="str">
        <f>MID(Table132[[#This Row],[ÉTAT]],VALUE(RIGHT(Table132[[#This Row],[next move]],1))+1+VALUE(LEFT(Table132[[#This Row],[next move]],1))*3,1)</f>
        <v>V</v>
      </c>
      <c r="I1746" t="str">
        <f>Table132[[#This Row],[ÉTAT]]&amp;Table132[[#This Row],[next move]]</f>
        <v>VMVVEEVMV10</v>
      </c>
    </row>
    <row r="1747" spans="2:9" x14ac:dyDescent="0.25">
      <c r="B1747" t="s">
        <v>1225</v>
      </c>
      <c r="C1747" s="22" t="s">
        <v>35</v>
      </c>
      <c r="D1747">
        <v>1</v>
      </c>
      <c r="G1747" s="25">
        <f>Table132[[#This Row],[nb win]]/Table132[[#This Row],[nb play]]</f>
        <v>0</v>
      </c>
      <c r="H1747" t="str">
        <f>MID(Table132[[#This Row],[ÉTAT]],VALUE(RIGHT(Table132[[#This Row],[next move]],1))+1+VALUE(LEFT(Table132[[#This Row],[next move]],1))*3,1)</f>
        <v>V</v>
      </c>
      <c r="I1747" t="str">
        <f>Table132[[#This Row],[ÉTAT]]&amp;Table132[[#This Row],[next move]]</f>
        <v>VMVVEEVMV20</v>
      </c>
    </row>
    <row r="1748" spans="2:9" x14ac:dyDescent="0.25">
      <c r="B1748" t="s">
        <v>1098</v>
      </c>
      <c r="C1748" s="22" t="s">
        <v>24</v>
      </c>
      <c r="D1748">
        <v>3</v>
      </c>
      <c r="G1748" s="30">
        <f>Table132[[#This Row],[nb win]]/Table132[[#This Row],[nb play]]</f>
        <v>0</v>
      </c>
      <c r="H1748" t="str">
        <f>MID(Table132[[#This Row],[ÉTAT]],VALUE(RIGHT(Table132[[#This Row],[next move]],1))+1+VALUE(LEFT(Table132[[#This Row],[next move]],1))*3,1)</f>
        <v>V</v>
      </c>
      <c r="I1748" t="str">
        <f>Table132[[#This Row],[ÉTAT]]&amp;Table132[[#This Row],[next move]]</f>
        <v>VMVVEEVME00</v>
      </c>
    </row>
    <row r="1749" spans="2:9" x14ac:dyDescent="0.25">
      <c r="B1749" t="s">
        <v>1098</v>
      </c>
      <c r="C1749" s="22" t="s">
        <v>20</v>
      </c>
      <c r="D1749">
        <v>1</v>
      </c>
      <c r="G1749" s="25">
        <f>Table132[[#This Row],[nb win]]/Table132[[#This Row],[nb play]]</f>
        <v>0</v>
      </c>
      <c r="H1749" t="str">
        <f>MID(Table132[[#This Row],[ÉTAT]],VALUE(RIGHT(Table132[[#This Row],[next move]],1))+1+VALUE(LEFT(Table132[[#This Row],[next move]],1))*3,1)</f>
        <v>V</v>
      </c>
      <c r="I1749" t="str">
        <f>Table132[[#This Row],[ÉTAT]]&amp;Table132[[#This Row],[next move]]</f>
        <v>VMVVEEVME02</v>
      </c>
    </row>
    <row r="1750" spans="2:9" x14ac:dyDescent="0.25">
      <c r="B1750" t="s">
        <v>1098</v>
      </c>
      <c r="C1750" s="22" t="s">
        <v>30</v>
      </c>
      <c r="D1750">
        <v>1</v>
      </c>
      <c r="G1750" s="25">
        <f>Table132[[#This Row],[nb win]]/Table132[[#This Row],[nb play]]</f>
        <v>0</v>
      </c>
      <c r="H1750" t="str">
        <f>MID(Table132[[#This Row],[ÉTAT]],VALUE(RIGHT(Table132[[#This Row],[next move]],1))+1+VALUE(LEFT(Table132[[#This Row],[next move]],1))*3,1)</f>
        <v>V</v>
      </c>
      <c r="I1750" t="str">
        <f>Table132[[#This Row],[ÉTAT]]&amp;Table132[[#This Row],[next move]]</f>
        <v>VMVVEEVME10</v>
      </c>
    </row>
    <row r="1751" spans="2:9" x14ac:dyDescent="0.25">
      <c r="B1751" t="s">
        <v>1098</v>
      </c>
      <c r="C1751" s="22" t="s">
        <v>35</v>
      </c>
      <c r="D1751">
        <v>1</v>
      </c>
      <c r="G1751" s="25">
        <f>Table132[[#This Row],[nb win]]/Table132[[#This Row],[nb play]]</f>
        <v>0</v>
      </c>
      <c r="H1751" t="str">
        <f>MID(Table132[[#This Row],[ÉTAT]],VALUE(RIGHT(Table132[[#This Row],[next move]],1))+1+VALUE(LEFT(Table132[[#This Row],[next move]],1))*3,1)</f>
        <v>V</v>
      </c>
      <c r="I1751" t="str">
        <f>Table132[[#This Row],[ÉTAT]]&amp;Table132[[#This Row],[next move]]</f>
        <v>VMVVEEVME20</v>
      </c>
    </row>
    <row r="1752" spans="2:9" x14ac:dyDescent="0.25">
      <c r="B1752" t="s">
        <v>1884</v>
      </c>
      <c r="C1752" s="22" t="s">
        <v>24</v>
      </c>
      <c r="D1752">
        <v>2</v>
      </c>
      <c r="G1752" s="30">
        <f>Table132[[#This Row],[nb win]]/Table132[[#This Row],[nb play]]</f>
        <v>0</v>
      </c>
      <c r="H1752" t="str">
        <f>MID(Table132[[#This Row],[ÉTAT]],VALUE(RIGHT(Table132[[#This Row],[next move]],1))+1+VALUE(LEFT(Table132[[#This Row],[next move]],1))*3,1)</f>
        <v>V</v>
      </c>
      <c r="I1752" t="str">
        <f>Table132[[#This Row],[ÉTAT]]&amp;Table132[[#This Row],[next move]]</f>
        <v>VMVVEEMVV00</v>
      </c>
    </row>
    <row r="1753" spans="2:9" x14ac:dyDescent="0.25">
      <c r="B1753" t="s">
        <v>1884</v>
      </c>
      <c r="C1753" s="22" t="s">
        <v>20</v>
      </c>
      <c r="D1753">
        <v>1</v>
      </c>
      <c r="G1753" s="25">
        <f>Table132[[#This Row],[nb win]]/Table132[[#This Row],[nb play]]</f>
        <v>0</v>
      </c>
      <c r="H1753" t="str">
        <f>MID(Table132[[#This Row],[ÉTAT]],VALUE(RIGHT(Table132[[#This Row],[next move]],1))+1+VALUE(LEFT(Table132[[#This Row],[next move]],1))*3,1)</f>
        <v>V</v>
      </c>
      <c r="I1753" t="str">
        <f>Table132[[#This Row],[ÉTAT]]&amp;Table132[[#This Row],[next move]]</f>
        <v>VMVVEEMVV02</v>
      </c>
    </row>
    <row r="1754" spans="2:9" x14ac:dyDescent="0.25">
      <c r="B1754" t="s">
        <v>1884</v>
      </c>
      <c r="C1754" s="22" t="s">
        <v>30</v>
      </c>
      <c r="D1754">
        <v>1</v>
      </c>
      <c r="G1754" s="25">
        <f>Table132[[#This Row],[nb win]]/Table132[[#This Row],[nb play]]</f>
        <v>0</v>
      </c>
      <c r="H1754" t="str">
        <f>MID(Table132[[#This Row],[ÉTAT]],VALUE(RIGHT(Table132[[#This Row],[next move]],1))+1+VALUE(LEFT(Table132[[#This Row],[next move]],1))*3,1)</f>
        <v>V</v>
      </c>
      <c r="I1754" t="str">
        <f>Table132[[#This Row],[ÉTAT]]&amp;Table132[[#This Row],[next move]]</f>
        <v>VMVVEEMVV10</v>
      </c>
    </row>
    <row r="1755" spans="2:9" x14ac:dyDescent="0.25">
      <c r="B1755" t="s">
        <v>1884</v>
      </c>
      <c r="C1755" s="22" t="s">
        <v>22</v>
      </c>
      <c r="D1755">
        <v>2</v>
      </c>
      <c r="G1755" s="30">
        <f>Table132[[#This Row],[nb win]]/Table132[[#This Row],[nb play]]</f>
        <v>0</v>
      </c>
      <c r="H1755" t="str">
        <f>MID(Table132[[#This Row],[ÉTAT]],VALUE(RIGHT(Table132[[#This Row],[next move]],1))+1+VALUE(LEFT(Table132[[#This Row],[next move]],1))*3,1)</f>
        <v>V</v>
      </c>
      <c r="I1755" t="str">
        <f>Table132[[#This Row],[ÉTAT]]&amp;Table132[[#This Row],[next move]]</f>
        <v>VMVVEEMVV21</v>
      </c>
    </row>
    <row r="1756" spans="2:9" x14ac:dyDescent="0.25">
      <c r="B1756" t="s">
        <v>1884</v>
      </c>
      <c r="C1756" s="22" t="s">
        <v>31</v>
      </c>
      <c r="D1756">
        <v>2</v>
      </c>
      <c r="E1756">
        <v>1</v>
      </c>
      <c r="G1756" s="30">
        <f>Table132[[#This Row],[nb win]]/Table132[[#This Row],[nb play]]</f>
        <v>0.5</v>
      </c>
      <c r="H1756" t="str">
        <f>MID(Table132[[#This Row],[ÉTAT]],VALUE(RIGHT(Table132[[#This Row],[next move]],1))+1+VALUE(LEFT(Table132[[#This Row],[next move]],1))*3,1)</f>
        <v>V</v>
      </c>
      <c r="I1756" t="str">
        <f>Table132[[#This Row],[ÉTAT]]&amp;Table132[[#This Row],[next move]]</f>
        <v>VMVVEEMVV22</v>
      </c>
    </row>
    <row r="1757" spans="2:9" x14ac:dyDescent="0.25">
      <c r="B1757" t="s">
        <v>1867</v>
      </c>
      <c r="C1757" s="22" t="s">
        <v>24</v>
      </c>
      <c r="D1757">
        <v>1</v>
      </c>
      <c r="G1757" s="30">
        <f>Table132[[#This Row],[nb win]]/Table132[[#This Row],[nb play]]</f>
        <v>0</v>
      </c>
      <c r="H1757" t="str">
        <f>MID(Table132[[#This Row],[ÉTAT]],VALUE(RIGHT(Table132[[#This Row],[next move]],1))+1+VALUE(LEFT(Table132[[#This Row],[next move]],1))*3,1)</f>
        <v>V</v>
      </c>
      <c r="I1757" t="str">
        <f>Table132[[#This Row],[ÉTAT]]&amp;Table132[[#This Row],[next move]]</f>
        <v>VMVVEEMVE00</v>
      </c>
    </row>
    <row r="1758" spans="2:9" x14ac:dyDescent="0.25">
      <c r="B1758" t="s">
        <v>1867</v>
      </c>
      <c r="C1758" s="22" t="s">
        <v>22</v>
      </c>
      <c r="D1758">
        <v>1</v>
      </c>
      <c r="G1758" s="25">
        <f>Table132[[#This Row],[nb win]]/Table132[[#This Row],[nb play]]</f>
        <v>0</v>
      </c>
      <c r="H1758" t="str">
        <f>MID(Table132[[#This Row],[ÉTAT]],VALUE(RIGHT(Table132[[#This Row],[next move]],1))+1+VALUE(LEFT(Table132[[#This Row],[next move]],1))*3,1)</f>
        <v>V</v>
      </c>
      <c r="I1758" t="str">
        <f>Table132[[#This Row],[ÉTAT]]&amp;Table132[[#This Row],[next move]]</f>
        <v>VMVVEEMVE21</v>
      </c>
    </row>
    <row r="1759" spans="2:9" x14ac:dyDescent="0.25">
      <c r="B1759" t="s">
        <v>1638</v>
      </c>
      <c r="C1759" s="22" t="s">
        <v>20</v>
      </c>
      <c r="D1759">
        <v>1</v>
      </c>
      <c r="G1759" s="25">
        <f>Table132[[#This Row],[nb win]]/Table132[[#This Row],[nb play]]</f>
        <v>0</v>
      </c>
      <c r="H1759" t="str">
        <f>MID(Table132[[#This Row],[ÉTAT]],VALUE(RIGHT(Table132[[#This Row],[next move]],1))+1+VALUE(LEFT(Table132[[#This Row],[next move]],1))*3,1)</f>
        <v>V</v>
      </c>
      <c r="I1759" t="str">
        <f>Table132[[#This Row],[ÉTAT]]&amp;Table132[[#This Row],[next move]]</f>
        <v>VMVVEEMME02</v>
      </c>
    </row>
    <row r="1760" spans="2:9" x14ac:dyDescent="0.25">
      <c r="B1760" t="s">
        <v>2552</v>
      </c>
      <c r="C1760" s="22" t="s">
        <v>24</v>
      </c>
      <c r="D1760">
        <v>2</v>
      </c>
      <c r="E1760">
        <v>1</v>
      </c>
      <c r="G1760" s="30">
        <f>Table132[[#This Row],[nb win]]/Table132[[#This Row],[nb play]]</f>
        <v>0.5</v>
      </c>
      <c r="H1760" t="str">
        <f>MID(Table132[[#This Row],[ÉTAT]],VALUE(RIGHT(Table132[[#This Row],[next move]],1))+1+VALUE(LEFT(Table132[[#This Row],[next move]],1))*3,1)</f>
        <v>V</v>
      </c>
      <c r="I1760" t="str">
        <f>Table132[[#This Row],[ÉTAT]]&amp;Table132[[#This Row],[next move]]</f>
        <v>VMVVEEMEM00</v>
      </c>
    </row>
    <row r="1761" spans="2:9" x14ac:dyDescent="0.25">
      <c r="B1761" t="s">
        <v>2888</v>
      </c>
      <c r="C1761" s="22" t="s">
        <v>30</v>
      </c>
      <c r="D1761">
        <v>1</v>
      </c>
      <c r="G1761" s="25">
        <f>Table132[[#This Row],[nb win]]/Table132[[#This Row],[nb play]]</f>
        <v>0</v>
      </c>
      <c r="H1761" t="str">
        <f>MID(Table132[[#This Row],[ÉTAT]],VALUE(RIGHT(Table132[[#This Row],[next move]],1))+1+VALUE(LEFT(Table132[[#This Row],[next move]],1))*3,1)</f>
        <v>V</v>
      </c>
      <c r="I1761" t="str">
        <f>Table132[[#This Row],[ÉTAT]]&amp;Table132[[#This Row],[next move]]</f>
        <v>VMVVEEEMV10</v>
      </c>
    </row>
    <row r="1762" spans="2:9" x14ac:dyDescent="0.25">
      <c r="B1762" t="s">
        <v>660</v>
      </c>
      <c r="C1762" s="22" t="s">
        <v>24</v>
      </c>
      <c r="D1762">
        <v>3</v>
      </c>
      <c r="G1762" s="30">
        <f>Table132[[#This Row],[nb win]]/Table132[[#This Row],[nb play]]</f>
        <v>0</v>
      </c>
      <c r="H1762" t="str">
        <f>MID(Table132[[#This Row],[ÉTAT]],VALUE(RIGHT(Table132[[#This Row],[next move]],1))+1+VALUE(LEFT(Table132[[#This Row],[next move]],1))*3,1)</f>
        <v>V</v>
      </c>
      <c r="I1762" t="str">
        <f>Table132[[#This Row],[ÉTAT]]&amp;Table132[[#This Row],[next move]]</f>
        <v>VMVVEEEMM00</v>
      </c>
    </row>
    <row r="1763" spans="2:9" x14ac:dyDescent="0.25">
      <c r="B1763" t="s">
        <v>660</v>
      </c>
      <c r="C1763" s="22" t="s">
        <v>20</v>
      </c>
      <c r="D1763">
        <v>3</v>
      </c>
      <c r="G1763" s="30">
        <f>Table132[[#This Row],[nb win]]/Table132[[#This Row],[nb play]]</f>
        <v>0</v>
      </c>
      <c r="H1763" t="str">
        <f>MID(Table132[[#This Row],[ÉTAT]],VALUE(RIGHT(Table132[[#This Row],[next move]],1))+1+VALUE(LEFT(Table132[[#This Row],[next move]],1))*3,1)</f>
        <v>V</v>
      </c>
      <c r="I1763" t="str">
        <f>Table132[[#This Row],[ÉTAT]]&amp;Table132[[#This Row],[next move]]</f>
        <v>VMVVEEEMM02</v>
      </c>
    </row>
    <row r="1764" spans="2:9" x14ac:dyDescent="0.25">
      <c r="B1764" t="s">
        <v>660</v>
      </c>
      <c r="C1764" s="22" t="s">
        <v>30</v>
      </c>
      <c r="D1764">
        <v>1</v>
      </c>
      <c r="G1764" s="25">
        <f>Table132[[#This Row],[nb win]]/Table132[[#This Row],[nb play]]</f>
        <v>0</v>
      </c>
      <c r="H1764" t="str">
        <f>MID(Table132[[#This Row],[ÉTAT]],VALUE(RIGHT(Table132[[#This Row],[next move]],1))+1+VALUE(LEFT(Table132[[#This Row],[next move]],1))*3,1)</f>
        <v>V</v>
      </c>
      <c r="I1764" t="str">
        <f>Table132[[#This Row],[ÉTAT]]&amp;Table132[[#This Row],[next move]]</f>
        <v>VMVVEEEMM10</v>
      </c>
    </row>
    <row r="1765" spans="2:9" x14ac:dyDescent="0.25">
      <c r="B1765" t="s">
        <v>1523</v>
      </c>
      <c r="C1765" s="22" t="s">
        <v>20</v>
      </c>
      <c r="D1765">
        <v>2</v>
      </c>
      <c r="E1765">
        <v>1</v>
      </c>
      <c r="G1765" s="30">
        <f>Table132[[#This Row],[nb win]]/Table132[[#This Row],[nb play]]</f>
        <v>0.5</v>
      </c>
      <c r="H1765" t="str">
        <f>MID(Table132[[#This Row],[ÉTAT]],VALUE(RIGHT(Table132[[#This Row],[next move]],1))+1+VALUE(LEFT(Table132[[#This Row],[next move]],1))*3,1)</f>
        <v>V</v>
      </c>
      <c r="I1765" t="str">
        <f>Table132[[#This Row],[ÉTAT]]&amp;Table132[[#This Row],[next move]]</f>
        <v>VMVMVVVEE02</v>
      </c>
    </row>
    <row r="1766" spans="2:9" x14ac:dyDescent="0.25">
      <c r="B1766" t="s">
        <v>1523</v>
      </c>
      <c r="C1766" s="22" t="s">
        <v>29</v>
      </c>
      <c r="D1766">
        <v>5</v>
      </c>
      <c r="E1766">
        <v>4</v>
      </c>
      <c r="G1766" s="31">
        <f>Table132[[#This Row],[nb win]]/Table132[[#This Row],[nb play]]</f>
        <v>0.8</v>
      </c>
      <c r="H1766" t="str">
        <f>MID(Table132[[#This Row],[ÉTAT]],VALUE(RIGHT(Table132[[#This Row],[next move]],1))+1+VALUE(LEFT(Table132[[#This Row],[next move]],1))*3,1)</f>
        <v>V</v>
      </c>
      <c r="I1766" t="str">
        <f>Table132[[#This Row],[ÉTAT]]&amp;Table132[[#This Row],[next move]]</f>
        <v>VMVMVVVEE11</v>
      </c>
    </row>
    <row r="1767" spans="2:9" x14ac:dyDescent="0.25">
      <c r="B1767" t="s">
        <v>857</v>
      </c>
      <c r="C1767" s="22" t="s">
        <v>24</v>
      </c>
      <c r="D1767">
        <v>2</v>
      </c>
      <c r="E1767">
        <v>1</v>
      </c>
      <c r="G1767" s="25">
        <f>Table132[[#This Row],[nb win]]/Table132[[#This Row],[nb play]]</f>
        <v>0.5</v>
      </c>
      <c r="H1767" t="str">
        <f>MID(Table132[[#This Row],[ÉTAT]],VALUE(RIGHT(Table132[[#This Row],[next move]],1))+1+VALUE(LEFT(Table132[[#This Row],[next move]],1))*3,1)</f>
        <v>V</v>
      </c>
      <c r="I1767" t="str">
        <f>Table132[[#This Row],[ÉTAT]]&amp;Table132[[#This Row],[next move]]</f>
        <v>VMVMVVEVE00</v>
      </c>
    </row>
    <row r="1768" spans="2:9" x14ac:dyDescent="0.25">
      <c r="B1768" t="s">
        <v>857</v>
      </c>
      <c r="C1768" s="22" t="s">
        <v>20</v>
      </c>
      <c r="D1768">
        <v>2</v>
      </c>
      <c r="G1768" s="30">
        <f>Table132[[#This Row],[nb win]]/Table132[[#This Row],[nb play]]</f>
        <v>0</v>
      </c>
      <c r="H1768" t="str">
        <f>MID(Table132[[#This Row],[ÉTAT]],VALUE(RIGHT(Table132[[#This Row],[next move]],1))+1+VALUE(LEFT(Table132[[#This Row],[next move]],1))*3,1)</f>
        <v>V</v>
      </c>
      <c r="I1768" t="str">
        <f>Table132[[#This Row],[ÉTAT]]&amp;Table132[[#This Row],[next move]]</f>
        <v>VMVMVVEVE02</v>
      </c>
    </row>
    <row r="1769" spans="2:9" x14ac:dyDescent="0.25">
      <c r="B1769" t="s">
        <v>857</v>
      </c>
      <c r="C1769" s="22" t="s">
        <v>29</v>
      </c>
      <c r="D1769">
        <v>2</v>
      </c>
      <c r="E1769">
        <v>1</v>
      </c>
      <c r="G1769" s="30">
        <f>Table132[[#This Row],[nb win]]/Table132[[#This Row],[nb play]]</f>
        <v>0.5</v>
      </c>
      <c r="H1769" t="str">
        <f>MID(Table132[[#This Row],[ÉTAT]],VALUE(RIGHT(Table132[[#This Row],[next move]],1))+1+VALUE(LEFT(Table132[[#This Row],[next move]],1))*3,1)</f>
        <v>V</v>
      </c>
      <c r="I1769" t="str">
        <f>Table132[[#This Row],[ÉTAT]]&amp;Table132[[#This Row],[next move]]</f>
        <v>VMVMVVEVE11</v>
      </c>
    </row>
    <row r="1770" spans="2:9" x14ac:dyDescent="0.25">
      <c r="B1770" t="s">
        <v>857</v>
      </c>
      <c r="C1770" s="22" t="s">
        <v>28</v>
      </c>
      <c r="D1770">
        <v>1</v>
      </c>
      <c r="G1770" s="25">
        <f>Table132[[#This Row],[nb win]]/Table132[[#This Row],[nb play]]</f>
        <v>0</v>
      </c>
      <c r="H1770" t="str">
        <f>MID(Table132[[#This Row],[ÉTAT]],VALUE(RIGHT(Table132[[#This Row],[next move]],1))+1+VALUE(LEFT(Table132[[#This Row],[next move]],1))*3,1)</f>
        <v>V</v>
      </c>
      <c r="I1770" t="str">
        <f>Table132[[#This Row],[ÉTAT]]&amp;Table132[[#This Row],[next move]]</f>
        <v>VMVMVVEVE12</v>
      </c>
    </row>
    <row r="1771" spans="2:9" x14ac:dyDescent="0.25">
      <c r="B1771" t="s">
        <v>857</v>
      </c>
      <c r="C1771" s="22" t="s">
        <v>22</v>
      </c>
      <c r="D1771">
        <v>2</v>
      </c>
      <c r="G1771" s="30">
        <f>Table132[[#This Row],[nb win]]/Table132[[#This Row],[nb play]]</f>
        <v>0</v>
      </c>
      <c r="H1771" t="str">
        <f>MID(Table132[[#This Row],[ÉTAT]],VALUE(RIGHT(Table132[[#This Row],[next move]],1))+1+VALUE(LEFT(Table132[[#This Row],[next move]],1))*3,1)</f>
        <v>V</v>
      </c>
      <c r="I1771" t="str">
        <f>Table132[[#This Row],[ÉTAT]]&amp;Table132[[#This Row],[next move]]</f>
        <v>VMVMVVEVE21</v>
      </c>
    </row>
    <row r="1772" spans="2:9" x14ac:dyDescent="0.25">
      <c r="B1772" t="s">
        <v>1717</v>
      </c>
      <c r="C1772" s="22" t="s">
        <v>24</v>
      </c>
      <c r="D1772">
        <v>1</v>
      </c>
      <c r="G1772" s="30">
        <f>Table132[[#This Row],[nb win]]/Table132[[#This Row],[nb play]]</f>
        <v>0</v>
      </c>
      <c r="H1772" t="str">
        <f>MID(Table132[[#This Row],[ÉTAT]],VALUE(RIGHT(Table132[[#This Row],[next move]],1))+1+VALUE(LEFT(Table132[[#This Row],[next move]],1))*3,1)</f>
        <v>V</v>
      </c>
      <c r="I1772" t="str">
        <f>Table132[[#This Row],[ÉTAT]]&amp;Table132[[#This Row],[next move]]</f>
        <v>VMVMVVEEV00</v>
      </c>
    </row>
    <row r="1773" spans="2:9" x14ac:dyDescent="0.25">
      <c r="B1773" t="s">
        <v>1717</v>
      </c>
      <c r="C1773" s="22" t="s">
        <v>29</v>
      </c>
      <c r="D1773">
        <v>1</v>
      </c>
      <c r="G1773" s="25">
        <f>Table132[[#This Row],[nb win]]/Table132[[#This Row],[nb play]]</f>
        <v>0</v>
      </c>
      <c r="H1773" t="str">
        <f>MID(Table132[[#This Row],[ÉTAT]],VALUE(RIGHT(Table132[[#This Row],[next move]],1))+1+VALUE(LEFT(Table132[[#This Row],[next move]],1))*3,1)</f>
        <v>V</v>
      </c>
      <c r="I1773" t="str">
        <f>Table132[[#This Row],[ÉTAT]]&amp;Table132[[#This Row],[next move]]</f>
        <v>VMVMVVEEV11</v>
      </c>
    </row>
    <row r="1774" spans="2:9" x14ac:dyDescent="0.25">
      <c r="B1774" t="s">
        <v>1717</v>
      </c>
      <c r="C1774" s="22" t="s">
        <v>28</v>
      </c>
      <c r="D1774">
        <v>1</v>
      </c>
      <c r="G1774" s="25">
        <f>Table132[[#This Row],[nb win]]/Table132[[#This Row],[nb play]]</f>
        <v>0</v>
      </c>
      <c r="H1774" t="str">
        <f>MID(Table132[[#This Row],[ÉTAT]],VALUE(RIGHT(Table132[[#This Row],[next move]],1))+1+VALUE(LEFT(Table132[[#This Row],[next move]],1))*3,1)</f>
        <v>V</v>
      </c>
      <c r="I1774" t="str">
        <f>Table132[[#This Row],[ÉTAT]]&amp;Table132[[#This Row],[next move]]</f>
        <v>VMVMVVEEV12</v>
      </c>
    </row>
    <row r="1775" spans="2:9" x14ac:dyDescent="0.25">
      <c r="B1775" t="s">
        <v>1717</v>
      </c>
      <c r="C1775" s="22" t="s">
        <v>31</v>
      </c>
      <c r="D1775">
        <v>1</v>
      </c>
      <c r="E1775">
        <v>1</v>
      </c>
      <c r="G1775" s="31">
        <f>Table132[[#This Row],[nb win]]/Table132[[#This Row],[nb play]]</f>
        <v>1</v>
      </c>
      <c r="H1775" t="str">
        <f>MID(Table132[[#This Row],[ÉTAT]],VALUE(RIGHT(Table132[[#This Row],[next move]],1))+1+VALUE(LEFT(Table132[[#This Row],[next move]],1))*3,1)</f>
        <v>V</v>
      </c>
      <c r="I1775" t="str">
        <f>Table132[[#This Row],[ÉTAT]]&amp;Table132[[#This Row],[next move]]</f>
        <v>VMVMVVEEV22</v>
      </c>
    </row>
    <row r="1776" spans="2:9" x14ac:dyDescent="0.25">
      <c r="B1776" t="s">
        <v>644</v>
      </c>
      <c r="C1776" s="22" t="s">
        <v>29</v>
      </c>
      <c r="D1776">
        <v>1</v>
      </c>
      <c r="E1776">
        <v>1</v>
      </c>
      <c r="G1776" s="25">
        <f>Table132[[#This Row],[nb win]]/Table132[[#This Row],[nb play]]</f>
        <v>1</v>
      </c>
      <c r="H1776" t="str">
        <f>MID(Table132[[#This Row],[ÉTAT]],VALUE(RIGHT(Table132[[#This Row],[next move]],1))+1+VALUE(LEFT(Table132[[#This Row],[next move]],1))*3,1)</f>
        <v>V</v>
      </c>
      <c r="I1776" t="str">
        <f>Table132[[#This Row],[ÉTAT]]&amp;Table132[[#This Row],[next move]]</f>
        <v>VMVMVEVVE11</v>
      </c>
    </row>
    <row r="1777" spans="2:9" x14ac:dyDescent="0.25">
      <c r="B1777" t="s">
        <v>644</v>
      </c>
      <c r="C1777" s="22" t="s">
        <v>35</v>
      </c>
      <c r="D1777">
        <v>2</v>
      </c>
      <c r="G1777" s="25">
        <f>Table132[[#This Row],[nb win]]/Table132[[#This Row],[nb play]]</f>
        <v>0</v>
      </c>
      <c r="H1777" t="str">
        <f>MID(Table132[[#This Row],[ÉTAT]],VALUE(RIGHT(Table132[[#This Row],[next move]],1))+1+VALUE(LEFT(Table132[[#This Row],[next move]],1))*3,1)</f>
        <v>V</v>
      </c>
      <c r="I1777" t="str">
        <f>Table132[[#This Row],[ÉTAT]]&amp;Table132[[#This Row],[next move]]</f>
        <v>VMVMVEVVE20</v>
      </c>
    </row>
    <row r="1778" spans="2:9" x14ac:dyDescent="0.25">
      <c r="B1778" t="s">
        <v>3502</v>
      </c>
      <c r="C1778" s="22" t="s">
        <v>29</v>
      </c>
      <c r="D1778">
        <v>1</v>
      </c>
      <c r="G1778" s="30">
        <f>Table132[[#This Row],[nb win]]/Table132[[#This Row],[nb play]]</f>
        <v>0</v>
      </c>
      <c r="H1778" t="str">
        <f>MID(Table132[[#This Row],[ÉTAT]],VALUE(RIGHT(Table132[[#This Row],[next move]],1))+1+VALUE(LEFT(Table132[[#This Row],[next move]],1))*3,1)</f>
        <v>V</v>
      </c>
      <c r="I1778" t="str">
        <f>Table132[[#This Row],[ÉTAT]]&amp;Table132[[#This Row],[next move]]</f>
        <v>VMVMVEVEV11</v>
      </c>
    </row>
    <row r="1779" spans="2:9" x14ac:dyDescent="0.25">
      <c r="B1779" t="s">
        <v>649</v>
      </c>
      <c r="C1779" s="22" t="s">
        <v>24</v>
      </c>
      <c r="D1779">
        <v>3</v>
      </c>
      <c r="G1779" s="25">
        <f>Table132[[#This Row],[nb win]]/Table132[[#This Row],[nb play]]</f>
        <v>0</v>
      </c>
      <c r="H1779" t="str">
        <f>MID(Table132[[#This Row],[ÉTAT]],VALUE(RIGHT(Table132[[#This Row],[next move]],1))+1+VALUE(LEFT(Table132[[#This Row],[next move]],1))*3,1)</f>
        <v>V</v>
      </c>
      <c r="I1779" t="str">
        <f>Table132[[#This Row],[ÉTAT]]&amp;Table132[[#This Row],[next move]]</f>
        <v>VMVMVEVEE00</v>
      </c>
    </row>
    <row r="1780" spans="2:9" x14ac:dyDescent="0.25">
      <c r="B1780" t="s">
        <v>649</v>
      </c>
      <c r="C1780" s="22" t="s">
        <v>20</v>
      </c>
      <c r="D1780">
        <v>2</v>
      </c>
      <c r="G1780" s="25">
        <f>Table132[[#This Row],[nb win]]/Table132[[#This Row],[nb play]]</f>
        <v>0</v>
      </c>
      <c r="H1780" t="str">
        <f>MID(Table132[[#This Row],[ÉTAT]],VALUE(RIGHT(Table132[[#This Row],[next move]],1))+1+VALUE(LEFT(Table132[[#This Row],[next move]],1))*3,1)</f>
        <v>V</v>
      </c>
      <c r="I1780" t="str">
        <f>Table132[[#This Row],[ÉTAT]]&amp;Table132[[#This Row],[next move]]</f>
        <v>VMVMVEVEE02</v>
      </c>
    </row>
    <row r="1781" spans="2:9" x14ac:dyDescent="0.25">
      <c r="B1781" t="s">
        <v>649</v>
      </c>
      <c r="C1781" s="22" t="s">
        <v>29</v>
      </c>
      <c r="D1781">
        <v>5</v>
      </c>
      <c r="G1781" s="30">
        <f>Table132[[#This Row],[nb win]]/Table132[[#This Row],[nb play]]</f>
        <v>0</v>
      </c>
      <c r="H1781" t="str">
        <f>MID(Table132[[#This Row],[ÉTAT]],VALUE(RIGHT(Table132[[#This Row],[next move]],1))+1+VALUE(LEFT(Table132[[#This Row],[next move]],1))*3,1)</f>
        <v>V</v>
      </c>
      <c r="I1781" t="str">
        <f>Table132[[#This Row],[ÉTAT]]&amp;Table132[[#This Row],[next move]]</f>
        <v>VMVMVEVEE11</v>
      </c>
    </row>
    <row r="1782" spans="2:9" x14ac:dyDescent="0.25">
      <c r="B1782" t="s">
        <v>649</v>
      </c>
      <c r="C1782" s="22" t="s">
        <v>35</v>
      </c>
      <c r="D1782">
        <v>2</v>
      </c>
      <c r="E1782">
        <v>1</v>
      </c>
      <c r="G1782" s="31">
        <f>Table132[[#This Row],[nb win]]/Table132[[#This Row],[nb play]]</f>
        <v>0.5</v>
      </c>
      <c r="H1782" t="str">
        <f>MID(Table132[[#This Row],[ÉTAT]],VALUE(RIGHT(Table132[[#This Row],[next move]],1))+1+VALUE(LEFT(Table132[[#This Row],[next move]],1))*3,1)</f>
        <v>V</v>
      </c>
      <c r="I1782" t="str">
        <f>Table132[[#This Row],[ÉTAT]]&amp;Table132[[#This Row],[next move]]</f>
        <v>VMVMVEVEE20</v>
      </c>
    </row>
    <row r="1783" spans="2:9" x14ac:dyDescent="0.25">
      <c r="B1783" t="s">
        <v>1557</v>
      </c>
      <c r="C1783" s="22" t="s">
        <v>22</v>
      </c>
      <c r="D1783">
        <v>6</v>
      </c>
      <c r="E1783">
        <v>4</v>
      </c>
      <c r="G1783" s="30">
        <f>Table132[[#This Row],[nb win]]/Table132[[#This Row],[nb play]]</f>
        <v>0.66666666666666663</v>
      </c>
      <c r="H1783" t="str">
        <f>MID(Table132[[#This Row],[ÉTAT]],VALUE(RIGHT(Table132[[#This Row],[next move]],1))+1+VALUE(LEFT(Table132[[#This Row],[next move]],1))*3,1)</f>
        <v>V</v>
      </c>
      <c r="I1783" t="str">
        <f>Table132[[#This Row],[ÉTAT]]&amp;Table132[[#This Row],[next move]]</f>
        <v>VMVMVEEVV21</v>
      </c>
    </row>
    <row r="1784" spans="2:9" x14ac:dyDescent="0.25">
      <c r="B1784" t="s">
        <v>1557</v>
      </c>
      <c r="C1784" s="22" t="s">
        <v>31</v>
      </c>
      <c r="D1784">
        <v>1</v>
      </c>
      <c r="E1784">
        <v>1</v>
      </c>
      <c r="G1784" s="31">
        <f>Table132[[#This Row],[nb win]]/Table132[[#This Row],[nb play]]</f>
        <v>1</v>
      </c>
      <c r="H1784" t="str">
        <f>MID(Table132[[#This Row],[ÉTAT]],VALUE(RIGHT(Table132[[#This Row],[next move]],1))+1+VALUE(LEFT(Table132[[#This Row],[next move]],1))*3,1)</f>
        <v>V</v>
      </c>
      <c r="I1784" t="str">
        <f>Table132[[#This Row],[ÉTAT]]&amp;Table132[[#This Row],[next move]]</f>
        <v>VMVMVEEVV22</v>
      </c>
    </row>
    <row r="1785" spans="2:9" x14ac:dyDescent="0.25">
      <c r="B1785" t="s">
        <v>2325</v>
      </c>
      <c r="C1785" s="22" t="s">
        <v>24</v>
      </c>
      <c r="D1785">
        <v>1</v>
      </c>
      <c r="G1785" s="25">
        <f>Table132[[#This Row],[nb win]]/Table132[[#This Row],[nb play]]</f>
        <v>0</v>
      </c>
      <c r="H1785" t="str">
        <f>MID(Table132[[#This Row],[ÉTAT]],VALUE(RIGHT(Table132[[#This Row],[next move]],1))+1+VALUE(LEFT(Table132[[#This Row],[next move]],1))*3,1)</f>
        <v>V</v>
      </c>
      <c r="I1785" t="str">
        <f>Table132[[#This Row],[ÉTAT]]&amp;Table132[[#This Row],[next move]]</f>
        <v>VMVMVEEVE00</v>
      </c>
    </row>
    <row r="1786" spans="2:9" x14ac:dyDescent="0.25">
      <c r="B1786" t="s">
        <v>2325</v>
      </c>
      <c r="C1786" s="22" t="s">
        <v>20</v>
      </c>
      <c r="D1786">
        <v>1</v>
      </c>
      <c r="G1786" s="25">
        <f>Table132[[#This Row],[nb win]]/Table132[[#This Row],[nb play]]</f>
        <v>0</v>
      </c>
      <c r="H1786" t="str">
        <f>MID(Table132[[#This Row],[ÉTAT]],VALUE(RIGHT(Table132[[#This Row],[next move]],1))+1+VALUE(LEFT(Table132[[#This Row],[next move]],1))*3,1)</f>
        <v>V</v>
      </c>
      <c r="I1786" t="str">
        <f>Table132[[#This Row],[ÉTAT]]&amp;Table132[[#This Row],[next move]]</f>
        <v>VMVMVEEVE02</v>
      </c>
    </row>
    <row r="1787" spans="2:9" x14ac:dyDescent="0.25">
      <c r="B1787" t="s">
        <v>2325</v>
      </c>
      <c r="C1787" s="22" t="s">
        <v>22</v>
      </c>
      <c r="D1787">
        <v>1</v>
      </c>
      <c r="G1787" s="25">
        <f>Table132[[#This Row],[nb win]]/Table132[[#This Row],[nb play]]</f>
        <v>0</v>
      </c>
      <c r="H1787" t="str">
        <f>MID(Table132[[#This Row],[ÉTAT]],VALUE(RIGHT(Table132[[#This Row],[next move]],1))+1+VALUE(LEFT(Table132[[#This Row],[next move]],1))*3,1)</f>
        <v>V</v>
      </c>
      <c r="I1787" t="str">
        <f>Table132[[#This Row],[ÉTAT]]&amp;Table132[[#This Row],[next move]]</f>
        <v>VMVMVEEVE21</v>
      </c>
    </row>
    <row r="1788" spans="2:9" x14ac:dyDescent="0.25">
      <c r="B1788" t="s">
        <v>2164</v>
      </c>
      <c r="C1788" s="22" t="s">
        <v>20</v>
      </c>
      <c r="D1788">
        <v>2</v>
      </c>
      <c r="E1788">
        <v>2</v>
      </c>
      <c r="G1788" s="31">
        <f>Table132[[#This Row],[nb win]]/Table132[[#This Row],[nb play]]</f>
        <v>1</v>
      </c>
      <c r="H1788" t="str">
        <f>MID(Table132[[#This Row],[ÉTAT]],VALUE(RIGHT(Table132[[#This Row],[next move]],1))+1+VALUE(LEFT(Table132[[#This Row],[next move]],1))*3,1)</f>
        <v>V</v>
      </c>
      <c r="I1788" t="str">
        <f>Table132[[#This Row],[ÉTAT]]&amp;Table132[[#This Row],[next move]]</f>
        <v>VMVMVEEME02</v>
      </c>
    </row>
    <row r="1789" spans="2:9" x14ac:dyDescent="0.25">
      <c r="B1789" t="s">
        <v>3079</v>
      </c>
      <c r="C1789" s="22" t="s">
        <v>24</v>
      </c>
      <c r="D1789">
        <v>1</v>
      </c>
      <c r="E1789">
        <v>1</v>
      </c>
      <c r="G1789" s="31">
        <f>Table132[[#This Row],[nb win]]/Table132[[#This Row],[nb play]]</f>
        <v>1</v>
      </c>
      <c r="H1789" t="str">
        <f>MID(Table132[[#This Row],[ÉTAT]],VALUE(RIGHT(Table132[[#This Row],[next move]],1))+1+VALUE(LEFT(Table132[[#This Row],[next move]],1))*3,1)</f>
        <v>V</v>
      </c>
      <c r="I1789" t="str">
        <f>Table132[[#This Row],[ÉTAT]]&amp;Table132[[#This Row],[next move]]</f>
        <v>VMVMVEEEM00</v>
      </c>
    </row>
    <row r="1790" spans="2:9" x14ac:dyDescent="0.25">
      <c r="B1790" t="s">
        <v>133</v>
      </c>
      <c r="C1790" s="22" t="s">
        <v>24</v>
      </c>
      <c r="D1790">
        <v>2</v>
      </c>
      <c r="G1790" s="30">
        <f>Table132[[#This Row],[nb win]]/Table132[[#This Row],[nb play]]</f>
        <v>0</v>
      </c>
      <c r="H1790" t="str">
        <f>MID(Table132[[#This Row],[ÉTAT]],VALUE(RIGHT(Table132[[#This Row],[next move]],1))+1+VALUE(LEFT(Table132[[#This Row],[next move]],1))*3,1)</f>
        <v>V</v>
      </c>
      <c r="I1790" t="str">
        <f>Table132[[#This Row],[ÉTAT]]&amp;Table132[[#This Row],[next move]]</f>
        <v>VMVMMEVEE00</v>
      </c>
    </row>
    <row r="1791" spans="2:9" x14ac:dyDescent="0.25">
      <c r="B1791" t="s">
        <v>133</v>
      </c>
      <c r="C1791" s="22" t="s">
        <v>20</v>
      </c>
      <c r="D1791">
        <v>2</v>
      </c>
      <c r="G1791" s="30">
        <f>Table132[[#This Row],[nb win]]/Table132[[#This Row],[nb play]]</f>
        <v>0</v>
      </c>
      <c r="H1791" t="str">
        <f>MID(Table132[[#This Row],[ÉTAT]],VALUE(RIGHT(Table132[[#This Row],[next move]],1))+1+VALUE(LEFT(Table132[[#This Row],[next move]],1))*3,1)</f>
        <v>V</v>
      </c>
      <c r="I1791" t="str">
        <f>Table132[[#This Row],[ÉTAT]]&amp;Table132[[#This Row],[next move]]</f>
        <v>VMVMMEVEE02</v>
      </c>
    </row>
    <row r="1792" spans="2:9" x14ac:dyDescent="0.25">
      <c r="B1792" t="s">
        <v>133</v>
      </c>
      <c r="C1792" s="22" t="s">
        <v>35</v>
      </c>
      <c r="D1792">
        <v>1</v>
      </c>
      <c r="E1792">
        <v>1</v>
      </c>
      <c r="G1792" s="25">
        <f>Table132[[#This Row],[nb win]]/Table132[[#This Row],[nb play]]</f>
        <v>1</v>
      </c>
      <c r="H1792" t="str">
        <f>MID(Table132[[#This Row],[ÉTAT]],VALUE(RIGHT(Table132[[#This Row],[next move]],1))+1+VALUE(LEFT(Table132[[#This Row],[next move]],1))*3,1)</f>
        <v>V</v>
      </c>
      <c r="I1792" t="str">
        <f>Table132[[#This Row],[ÉTAT]]&amp;Table132[[#This Row],[next move]]</f>
        <v>VMVMMEVEE20</v>
      </c>
    </row>
    <row r="1793" spans="2:9" x14ac:dyDescent="0.25">
      <c r="B1793" t="s">
        <v>2209</v>
      </c>
      <c r="C1793" s="22" t="s">
        <v>24</v>
      </c>
      <c r="D1793">
        <v>1</v>
      </c>
      <c r="G1793" s="25">
        <f>Table132[[#This Row],[nb win]]/Table132[[#This Row],[nb play]]</f>
        <v>0</v>
      </c>
      <c r="H1793" t="str">
        <f>MID(Table132[[#This Row],[ÉTAT]],VALUE(RIGHT(Table132[[#This Row],[next move]],1))+1+VALUE(LEFT(Table132[[#This Row],[next move]],1))*3,1)</f>
        <v>V</v>
      </c>
      <c r="I1793" t="str">
        <f>Table132[[#This Row],[ÉTAT]]&amp;Table132[[#This Row],[next move]]</f>
        <v>VMVMEVVVE00</v>
      </c>
    </row>
    <row r="1794" spans="2:9" x14ac:dyDescent="0.25">
      <c r="B1794" t="s">
        <v>2209</v>
      </c>
      <c r="C1794" s="22" t="s">
        <v>20</v>
      </c>
      <c r="D1794">
        <v>1</v>
      </c>
      <c r="G1794" s="25">
        <f>Table132[[#This Row],[nb win]]/Table132[[#This Row],[nb play]]</f>
        <v>0</v>
      </c>
      <c r="H1794" t="str">
        <f>MID(Table132[[#This Row],[ÉTAT]],VALUE(RIGHT(Table132[[#This Row],[next move]],1))+1+VALUE(LEFT(Table132[[#This Row],[next move]],1))*3,1)</f>
        <v>V</v>
      </c>
      <c r="I1794" t="str">
        <f>Table132[[#This Row],[ÉTAT]]&amp;Table132[[#This Row],[next move]]</f>
        <v>VMVMEVVVE02</v>
      </c>
    </row>
    <row r="1795" spans="2:9" x14ac:dyDescent="0.25">
      <c r="B1795" t="s">
        <v>2209</v>
      </c>
      <c r="C1795" s="22" t="s">
        <v>28</v>
      </c>
      <c r="D1795">
        <v>1</v>
      </c>
      <c r="G1795" s="25">
        <f>Table132[[#This Row],[nb win]]/Table132[[#This Row],[nb play]]</f>
        <v>0</v>
      </c>
      <c r="H1795" t="str">
        <f>MID(Table132[[#This Row],[ÉTAT]],VALUE(RIGHT(Table132[[#This Row],[next move]],1))+1+VALUE(LEFT(Table132[[#This Row],[next move]],1))*3,1)</f>
        <v>V</v>
      </c>
      <c r="I1795" t="str">
        <f>Table132[[#This Row],[ÉTAT]]&amp;Table132[[#This Row],[next move]]</f>
        <v>VMVMEVVVE12</v>
      </c>
    </row>
    <row r="1796" spans="2:9" x14ac:dyDescent="0.25">
      <c r="B1796" t="s">
        <v>2209</v>
      </c>
      <c r="C1796" s="22" t="s">
        <v>22</v>
      </c>
      <c r="D1796">
        <v>1</v>
      </c>
      <c r="G1796" s="25">
        <f>Table132[[#This Row],[nb win]]/Table132[[#This Row],[nb play]]</f>
        <v>0</v>
      </c>
      <c r="H1796" t="str">
        <f>MID(Table132[[#This Row],[ÉTAT]],VALUE(RIGHT(Table132[[#This Row],[next move]],1))+1+VALUE(LEFT(Table132[[#This Row],[next move]],1))*3,1)</f>
        <v>V</v>
      </c>
      <c r="I1796" t="str">
        <f>Table132[[#This Row],[ÉTAT]]&amp;Table132[[#This Row],[next move]]</f>
        <v>VMVMEVVVE21</v>
      </c>
    </row>
    <row r="1797" spans="2:9" x14ac:dyDescent="0.25">
      <c r="B1797" t="s">
        <v>1443</v>
      </c>
      <c r="C1797" s="22" t="s">
        <v>24</v>
      </c>
      <c r="D1797">
        <v>2</v>
      </c>
      <c r="E1797">
        <v>2</v>
      </c>
      <c r="G1797" s="31">
        <f>Table132[[#This Row],[nb win]]/Table132[[#This Row],[nb play]]</f>
        <v>1</v>
      </c>
      <c r="H1797" t="str">
        <f>MID(Table132[[#This Row],[ÉTAT]],VALUE(RIGHT(Table132[[#This Row],[next move]],1))+1+VALUE(LEFT(Table132[[#This Row],[next move]],1))*3,1)</f>
        <v>V</v>
      </c>
      <c r="I1797" t="str">
        <f>Table132[[#This Row],[ÉTAT]]&amp;Table132[[#This Row],[next move]]</f>
        <v>VMVMEVVEV00</v>
      </c>
    </row>
    <row r="1798" spans="2:9" x14ac:dyDescent="0.25">
      <c r="B1798" t="s">
        <v>1443</v>
      </c>
      <c r="C1798" s="22" t="s">
        <v>35</v>
      </c>
      <c r="D1798">
        <v>2</v>
      </c>
      <c r="E1798">
        <v>1</v>
      </c>
      <c r="G1798" s="25">
        <f>Table132[[#This Row],[nb win]]/Table132[[#This Row],[nb play]]</f>
        <v>0.5</v>
      </c>
      <c r="H1798" t="str">
        <f>MID(Table132[[#This Row],[ÉTAT]],VALUE(RIGHT(Table132[[#This Row],[next move]],1))+1+VALUE(LEFT(Table132[[#This Row],[next move]],1))*3,1)</f>
        <v>V</v>
      </c>
      <c r="I1798" t="str">
        <f>Table132[[#This Row],[ÉTAT]]&amp;Table132[[#This Row],[next move]]</f>
        <v>VMVMEVVEV20</v>
      </c>
    </row>
    <row r="1799" spans="2:9" x14ac:dyDescent="0.25">
      <c r="B1799" t="s">
        <v>1361</v>
      </c>
      <c r="C1799" s="22" t="s">
        <v>24</v>
      </c>
      <c r="D1799">
        <v>1</v>
      </c>
      <c r="G1799" s="25">
        <f>Table132[[#This Row],[nb win]]/Table132[[#This Row],[nb play]]</f>
        <v>0</v>
      </c>
      <c r="H1799" t="str">
        <f>MID(Table132[[#This Row],[ÉTAT]],VALUE(RIGHT(Table132[[#This Row],[next move]],1))+1+VALUE(LEFT(Table132[[#This Row],[next move]],1))*3,1)</f>
        <v>V</v>
      </c>
      <c r="I1799" t="str">
        <f>Table132[[#This Row],[ÉTAT]]&amp;Table132[[#This Row],[next move]]</f>
        <v>VMVMEVVEE00</v>
      </c>
    </row>
    <row r="1800" spans="2:9" x14ac:dyDescent="0.25">
      <c r="B1800" t="s">
        <v>1361</v>
      </c>
      <c r="C1800" s="22" t="s">
        <v>20</v>
      </c>
      <c r="D1800">
        <v>1</v>
      </c>
      <c r="G1800" s="25">
        <f>Table132[[#This Row],[nb win]]/Table132[[#This Row],[nb play]]</f>
        <v>0</v>
      </c>
      <c r="H1800" t="str">
        <f>MID(Table132[[#This Row],[ÉTAT]],VALUE(RIGHT(Table132[[#This Row],[next move]],1))+1+VALUE(LEFT(Table132[[#This Row],[next move]],1))*3,1)</f>
        <v>V</v>
      </c>
      <c r="I1800" t="str">
        <f>Table132[[#This Row],[ÉTAT]]&amp;Table132[[#This Row],[next move]]</f>
        <v>VMVMEVVEE02</v>
      </c>
    </row>
    <row r="1801" spans="2:9" x14ac:dyDescent="0.25">
      <c r="B1801" t="s">
        <v>1361</v>
      </c>
      <c r="C1801" s="22" t="s">
        <v>28</v>
      </c>
      <c r="D1801">
        <v>1</v>
      </c>
      <c r="G1801" s="25">
        <f>Table132[[#This Row],[nb win]]/Table132[[#This Row],[nb play]]</f>
        <v>0</v>
      </c>
      <c r="H1801" t="str">
        <f>MID(Table132[[#This Row],[ÉTAT]],VALUE(RIGHT(Table132[[#This Row],[next move]],1))+1+VALUE(LEFT(Table132[[#This Row],[next move]],1))*3,1)</f>
        <v>V</v>
      </c>
      <c r="I1801" t="str">
        <f>Table132[[#This Row],[ÉTAT]]&amp;Table132[[#This Row],[next move]]</f>
        <v>VMVMEVVEE12</v>
      </c>
    </row>
    <row r="1802" spans="2:9" x14ac:dyDescent="0.25">
      <c r="B1802" t="s">
        <v>1361</v>
      </c>
      <c r="C1802" s="22" t="s">
        <v>35</v>
      </c>
      <c r="D1802">
        <v>1</v>
      </c>
      <c r="E1802">
        <v>1</v>
      </c>
      <c r="G1802" s="31">
        <f>Table132[[#This Row],[nb win]]/Table132[[#This Row],[nb play]]</f>
        <v>1</v>
      </c>
      <c r="H1802" t="str">
        <f>MID(Table132[[#This Row],[ÉTAT]],VALUE(RIGHT(Table132[[#This Row],[next move]],1))+1+VALUE(LEFT(Table132[[#This Row],[next move]],1))*3,1)</f>
        <v>V</v>
      </c>
      <c r="I1802" t="str">
        <f>Table132[[#This Row],[ÉTAT]]&amp;Table132[[#This Row],[next move]]</f>
        <v>VMVMEVVEE20</v>
      </c>
    </row>
    <row r="1803" spans="2:9" x14ac:dyDescent="0.25">
      <c r="B1803" t="s">
        <v>2796</v>
      </c>
      <c r="C1803" s="22" t="s">
        <v>28</v>
      </c>
      <c r="D1803">
        <v>1</v>
      </c>
      <c r="G1803" s="25">
        <f>Table132[[#This Row],[nb win]]/Table132[[#This Row],[nb play]]</f>
        <v>0</v>
      </c>
      <c r="H1803" t="str">
        <f>MID(Table132[[#This Row],[ÉTAT]],VALUE(RIGHT(Table132[[#This Row],[next move]],1))+1+VALUE(LEFT(Table132[[#This Row],[next move]],1))*3,1)</f>
        <v>V</v>
      </c>
      <c r="I1803" t="str">
        <f>Table132[[#This Row],[ÉTAT]]&amp;Table132[[#This Row],[next move]]</f>
        <v>VMVMEVMEE12</v>
      </c>
    </row>
    <row r="1804" spans="2:9" x14ac:dyDescent="0.25">
      <c r="B1804" t="s">
        <v>2693</v>
      </c>
      <c r="C1804" s="22" t="s">
        <v>20</v>
      </c>
      <c r="D1804">
        <v>2</v>
      </c>
      <c r="E1804">
        <v>1</v>
      </c>
      <c r="G1804" s="30">
        <f>Table132[[#This Row],[nb win]]/Table132[[#This Row],[nb play]]</f>
        <v>0.5</v>
      </c>
      <c r="H1804" t="str">
        <f>MID(Table132[[#This Row],[ÉTAT]],VALUE(RIGHT(Table132[[#This Row],[next move]],1))+1+VALUE(LEFT(Table132[[#This Row],[next move]],1))*3,1)</f>
        <v>V</v>
      </c>
      <c r="I1804" t="str">
        <f>Table132[[#This Row],[ÉTAT]]&amp;Table132[[#This Row],[next move]]</f>
        <v>VMVMEVEME02</v>
      </c>
    </row>
    <row r="1805" spans="2:9" x14ac:dyDescent="0.25">
      <c r="B1805" t="s">
        <v>2693</v>
      </c>
      <c r="C1805" s="22" t="s">
        <v>28</v>
      </c>
      <c r="D1805">
        <v>2</v>
      </c>
      <c r="G1805" s="30">
        <f>Table132[[#This Row],[nb win]]/Table132[[#This Row],[nb play]]</f>
        <v>0</v>
      </c>
      <c r="H1805" t="str">
        <f>MID(Table132[[#This Row],[ÉTAT]],VALUE(RIGHT(Table132[[#This Row],[next move]],1))+1+VALUE(LEFT(Table132[[#This Row],[next move]],1))*3,1)</f>
        <v>V</v>
      </c>
      <c r="I1805" t="str">
        <f>Table132[[#This Row],[ÉTAT]]&amp;Table132[[#This Row],[next move]]</f>
        <v>VMVMEVEME12</v>
      </c>
    </row>
    <row r="1806" spans="2:9" x14ac:dyDescent="0.25">
      <c r="B1806" t="s">
        <v>639</v>
      </c>
      <c r="C1806" s="22" t="s">
        <v>24</v>
      </c>
      <c r="D1806">
        <v>2</v>
      </c>
      <c r="G1806" s="30">
        <f>Table132[[#This Row],[nb win]]/Table132[[#This Row],[nb play]]</f>
        <v>0</v>
      </c>
      <c r="H1806" t="str">
        <f>MID(Table132[[#This Row],[ÉTAT]],VALUE(RIGHT(Table132[[#This Row],[next move]],1))+1+VALUE(LEFT(Table132[[#This Row],[next move]],1))*3,1)</f>
        <v>V</v>
      </c>
      <c r="I1806" t="str">
        <f>Table132[[#This Row],[ÉTAT]]&amp;Table132[[#This Row],[next move]]</f>
        <v>VMVMEVEEV00</v>
      </c>
    </row>
    <row r="1807" spans="2:9" x14ac:dyDescent="0.25">
      <c r="B1807" t="s">
        <v>639</v>
      </c>
      <c r="C1807" s="22" t="s">
        <v>20</v>
      </c>
      <c r="D1807">
        <v>3</v>
      </c>
      <c r="E1807">
        <v>1</v>
      </c>
      <c r="G1807" s="30">
        <f>Table132[[#This Row],[nb win]]/Table132[[#This Row],[nb play]]</f>
        <v>0.33333333333333331</v>
      </c>
      <c r="H1807" t="str">
        <f>MID(Table132[[#This Row],[ÉTAT]],VALUE(RIGHT(Table132[[#This Row],[next move]],1))+1+VALUE(LEFT(Table132[[#This Row],[next move]],1))*3,1)</f>
        <v>V</v>
      </c>
      <c r="I1807" t="str">
        <f>Table132[[#This Row],[ÉTAT]]&amp;Table132[[#This Row],[next move]]</f>
        <v>VMVMEVEEV02</v>
      </c>
    </row>
    <row r="1808" spans="2:9" x14ac:dyDescent="0.25">
      <c r="B1808" t="s">
        <v>639</v>
      </c>
      <c r="C1808" s="22" t="s">
        <v>28</v>
      </c>
      <c r="D1808">
        <v>2</v>
      </c>
      <c r="G1808" s="30">
        <f>Table132[[#This Row],[nb win]]/Table132[[#This Row],[nb play]]</f>
        <v>0</v>
      </c>
      <c r="H1808" t="str">
        <f>MID(Table132[[#This Row],[ÉTAT]],VALUE(RIGHT(Table132[[#This Row],[next move]],1))+1+VALUE(LEFT(Table132[[#This Row],[next move]],1))*3,1)</f>
        <v>V</v>
      </c>
      <c r="I1808" t="str">
        <f>Table132[[#This Row],[ÉTAT]]&amp;Table132[[#This Row],[next move]]</f>
        <v>VMVMEVEEV12</v>
      </c>
    </row>
    <row r="1809" spans="2:9" x14ac:dyDescent="0.25">
      <c r="B1809" t="s">
        <v>639</v>
      </c>
      <c r="C1809" s="22" t="s">
        <v>31</v>
      </c>
      <c r="D1809">
        <v>2</v>
      </c>
      <c r="G1809" s="30">
        <f>Table132[[#This Row],[nb win]]/Table132[[#This Row],[nb play]]</f>
        <v>0</v>
      </c>
      <c r="H1809" t="str">
        <f>MID(Table132[[#This Row],[ÉTAT]],VALUE(RIGHT(Table132[[#This Row],[next move]],1))+1+VALUE(LEFT(Table132[[#This Row],[next move]],1))*3,1)</f>
        <v>V</v>
      </c>
      <c r="I1809" t="str">
        <f>Table132[[#This Row],[ÉTAT]]&amp;Table132[[#This Row],[next move]]</f>
        <v>VMVMEVEEV22</v>
      </c>
    </row>
    <row r="1810" spans="2:9" x14ac:dyDescent="0.25">
      <c r="B1810" t="s">
        <v>777</v>
      </c>
      <c r="C1810" s="22" t="s">
        <v>24</v>
      </c>
      <c r="D1810">
        <v>2</v>
      </c>
      <c r="G1810" s="30">
        <f>Table132[[#This Row],[nb win]]/Table132[[#This Row],[nb play]]</f>
        <v>0</v>
      </c>
      <c r="H1810" t="str">
        <f>MID(Table132[[#This Row],[ÉTAT]],VALUE(RIGHT(Table132[[#This Row],[next move]],1))+1+VALUE(LEFT(Table132[[#This Row],[next move]],1))*3,1)</f>
        <v>V</v>
      </c>
      <c r="I1810" t="str">
        <f>Table132[[#This Row],[ÉTAT]]&amp;Table132[[#This Row],[next move]]</f>
        <v>VMVMEMEEV00</v>
      </c>
    </row>
    <row r="1811" spans="2:9" x14ac:dyDescent="0.25">
      <c r="B1811" t="s">
        <v>777</v>
      </c>
      <c r="C1811" s="22" t="s">
        <v>31</v>
      </c>
      <c r="D1811">
        <v>1</v>
      </c>
      <c r="E1811">
        <v>1</v>
      </c>
      <c r="G1811" s="25">
        <f>Table132[[#This Row],[nb win]]/Table132[[#This Row],[nb play]]</f>
        <v>1</v>
      </c>
      <c r="H1811" t="str">
        <f>MID(Table132[[#This Row],[ÉTAT]],VALUE(RIGHT(Table132[[#This Row],[next move]],1))+1+VALUE(LEFT(Table132[[#This Row],[next move]],1))*3,1)</f>
        <v>V</v>
      </c>
      <c r="I1811" t="str">
        <f>Table132[[#This Row],[ÉTAT]]&amp;Table132[[#This Row],[next move]]</f>
        <v>VMVMEMEEV22</v>
      </c>
    </row>
    <row r="1812" spans="2:9" x14ac:dyDescent="0.25">
      <c r="B1812" t="s">
        <v>1166</v>
      </c>
      <c r="C1812" s="22" t="s">
        <v>24</v>
      </c>
      <c r="D1812">
        <v>2</v>
      </c>
      <c r="E1812">
        <v>1</v>
      </c>
      <c r="G1812" s="31">
        <f>Table132[[#This Row],[nb win]]/Table132[[#This Row],[nb play]]</f>
        <v>0.5</v>
      </c>
      <c r="H1812" t="str">
        <f>MID(Table132[[#This Row],[ÉTAT]],VALUE(RIGHT(Table132[[#This Row],[next move]],1))+1+VALUE(LEFT(Table132[[#This Row],[next move]],1))*3,1)</f>
        <v>V</v>
      </c>
      <c r="I1812" t="str">
        <f>Table132[[#This Row],[ÉTAT]]&amp;Table132[[#This Row],[next move]]</f>
        <v>VMVMEEVEV00</v>
      </c>
    </row>
    <row r="1813" spans="2:9" x14ac:dyDescent="0.25">
      <c r="B1813" t="s">
        <v>1166</v>
      </c>
      <c r="C1813" s="22" t="s">
        <v>20</v>
      </c>
      <c r="D1813">
        <v>1</v>
      </c>
      <c r="G1813" s="25">
        <f>Table132[[#This Row],[nb win]]/Table132[[#This Row],[nb play]]</f>
        <v>0</v>
      </c>
      <c r="H1813" t="str">
        <f>MID(Table132[[#This Row],[ÉTAT]],VALUE(RIGHT(Table132[[#This Row],[next move]],1))+1+VALUE(LEFT(Table132[[#This Row],[next move]],1))*3,1)</f>
        <v>V</v>
      </c>
      <c r="I1813" t="str">
        <f>Table132[[#This Row],[ÉTAT]]&amp;Table132[[#This Row],[next move]]</f>
        <v>VMVMEEVEV02</v>
      </c>
    </row>
    <row r="1814" spans="2:9" x14ac:dyDescent="0.25">
      <c r="B1814" t="s">
        <v>1166</v>
      </c>
      <c r="C1814" s="22" t="s">
        <v>35</v>
      </c>
      <c r="D1814">
        <v>1</v>
      </c>
      <c r="G1814" s="30">
        <f>Table132[[#This Row],[nb win]]/Table132[[#This Row],[nb play]]</f>
        <v>0</v>
      </c>
      <c r="H1814" t="str">
        <f>MID(Table132[[#This Row],[ÉTAT]],VALUE(RIGHT(Table132[[#This Row],[next move]],1))+1+VALUE(LEFT(Table132[[#This Row],[next move]],1))*3,1)</f>
        <v>V</v>
      </c>
      <c r="I1814" t="str">
        <f>Table132[[#This Row],[ÉTAT]]&amp;Table132[[#This Row],[next move]]</f>
        <v>VMVMEEVEV20</v>
      </c>
    </row>
    <row r="1815" spans="2:9" x14ac:dyDescent="0.25">
      <c r="B1815" t="s">
        <v>1166</v>
      </c>
      <c r="C1815" s="22" t="s">
        <v>31</v>
      </c>
      <c r="D1815">
        <v>1</v>
      </c>
      <c r="G1815" s="25">
        <f>Table132[[#This Row],[nb win]]/Table132[[#This Row],[nb play]]</f>
        <v>0</v>
      </c>
      <c r="H1815" t="str">
        <f>MID(Table132[[#This Row],[ÉTAT]],VALUE(RIGHT(Table132[[#This Row],[next move]],1))+1+VALUE(LEFT(Table132[[#This Row],[next move]],1))*3,1)</f>
        <v>V</v>
      </c>
      <c r="I1815" t="str">
        <f>Table132[[#This Row],[ÉTAT]]&amp;Table132[[#This Row],[next move]]</f>
        <v>VMVMEEVEV22</v>
      </c>
    </row>
    <row r="1816" spans="2:9" x14ac:dyDescent="0.25">
      <c r="B1816" t="s">
        <v>1445</v>
      </c>
      <c r="C1816" s="22" t="s">
        <v>31</v>
      </c>
      <c r="D1816">
        <v>1</v>
      </c>
      <c r="E1816">
        <v>1</v>
      </c>
      <c r="G1816" s="25">
        <f>Table132[[#This Row],[nb win]]/Table132[[#This Row],[nb play]]</f>
        <v>1</v>
      </c>
      <c r="H1816" t="str">
        <f>MID(Table132[[#This Row],[ÉTAT]],VALUE(RIGHT(Table132[[#This Row],[next move]],1))+1+VALUE(LEFT(Table132[[#This Row],[next move]],1))*3,1)</f>
        <v>V</v>
      </c>
      <c r="I1816" t="str">
        <f>Table132[[#This Row],[ÉTAT]]&amp;Table132[[#This Row],[next move]]</f>
        <v>VMVMEEMEV22</v>
      </c>
    </row>
    <row r="1817" spans="2:9" x14ac:dyDescent="0.25">
      <c r="B1817" t="s">
        <v>269</v>
      </c>
      <c r="C1817" s="22" t="s">
        <v>24</v>
      </c>
      <c r="D1817">
        <v>2</v>
      </c>
      <c r="E1817">
        <v>2</v>
      </c>
      <c r="G1817" s="31">
        <f>Table132[[#This Row],[nb win]]/Table132[[#This Row],[nb play]]</f>
        <v>1</v>
      </c>
      <c r="H1817" t="str">
        <f>MID(Table132[[#This Row],[ÉTAT]],VALUE(RIGHT(Table132[[#This Row],[next move]],1))+1+VALUE(LEFT(Table132[[#This Row],[next move]],1))*3,1)</f>
        <v>V</v>
      </c>
      <c r="I1817" t="str">
        <f>Table132[[#This Row],[ÉTAT]]&amp;Table132[[#This Row],[next move]]</f>
        <v>VMVMEEMEE00</v>
      </c>
    </row>
    <row r="1818" spans="2:9" x14ac:dyDescent="0.25">
      <c r="B1818" t="s">
        <v>269</v>
      </c>
      <c r="C1818" s="22" t="s">
        <v>20</v>
      </c>
      <c r="D1818">
        <v>1</v>
      </c>
      <c r="G1818" s="25">
        <f>Table132[[#This Row],[nb win]]/Table132[[#This Row],[nb play]]</f>
        <v>0</v>
      </c>
      <c r="H1818" t="str">
        <f>MID(Table132[[#This Row],[ÉTAT]],VALUE(RIGHT(Table132[[#This Row],[next move]],1))+1+VALUE(LEFT(Table132[[#This Row],[next move]],1))*3,1)</f>
        <v>V</v>
      </c>
      <c r="I1818" t="str">
        <f>Table132[[#This Row],[ÉTAT]]&amp;Table132[[#This Row],[next move]]</f>
        <v>VMVMEEMEE02</v>
      </c>
    </row>
    <row r="1819" spans="2:9" x14ac:dyDescent="0.25">
      <c r="B1819" t="s">
        <v>2282</v>
      </c>
      <c r="C1819" s="22" t="s">
        <v>22</v>
      </c>
      <c r="D1819">
        <v>1</v>
      </c>
      <c r="G1819" s="25">
        <f>Table132[[#This Row],[nb win]]/Table132[[#This Row],[nb play]]</f>
        <v>0</v>
      </c>
      <c r="H1819" t="str">
        <f>MID(Table132[[#This Row],[ÉTAT]],VALUE(RIGHT(Table132[[#This Row],[next move]],1))+1+VALUE(LEFT(Table132[[#This Row],[next move]],1))*3,1)</f>
        <v>V</v>
      </c>
      <c r="I1819" t="str">
        <f>Table132[[#This Row],[ÉTAT]]&amp;Table132[[#This Row],[next move]]</f>
        <v>VMVMEEEVV21</v>
      </c>
    </row>
    <row r="1820" spans="2:9" x14ac:dyDescent="0.25">
      <c r="B1820" t="s">
        <v>1401</v>
      </c>
      <c r="C1820" s="22" t="s">
        <v>24</v>
      </c>
      <c r="D1820">
        <v>1</v>
      </c>
      <c r="G1820" s="25">
        <f>Table132[[#This Row],[nb win]]/Table132[[#This Row],[nb play]]</f>
        <v>0</v>
      </c>
      <c r="H1820" t="str">
        <f>MID(Table132[[#This Row],[ÉTAT]],VALUE(RIGHT(Table132[[#This Row],[next move]],1))+1+VALUE(LEFT(Table132[[#This Row],[next move]],1))*3,1)</f>
        <v>V</v>
      </c>
      <c r="I1820" t="str">
        <f>Table132[[#This Row],[ÉTAT]]&amp;Table132[[#This Row],[next move]]</f>
        <v>VMVMEEEVM00</v>
      </c>
    </row>
    <row r="1821" spans="2:9" x14ac:dyDescent="0.25">
      <c r="B1821" t="s">
        <v>1401</v>
      </c>
      <c r="C1821" s="22" t="s">
        <v>20</v>
      </c>
      <c r="D1821">
        <v>1</v>
      </c>
      <c r="E1821">
        <v>1</v>
      </c>
      <c r="G1821" s="31">
        <f>Table132[[#This Row],[nb win]]/Table132[[#This Row],[nb play]]</f>
        <v>1</v>
      </c>
      <c r="H1821" t="str">
        <f>MID(Table132[[#This Row],[ÉTAT]],VALUE(RIGHT(Table132[[#This Row],[next move]],1))+1+VALUE(LEFT(Table132[[#This Row],[next move]],1))*3,1)</f>
        <v>V</v>
      </c>
      <c r="I1821" t="str">
        <f>Table132[[#This Row],[ÉTAT]]&amp;Table132[[#This Row],[next move]]</f>
        <v>VMVMEEEVM02</v>
      </c>
    </row>
    <row r="1822" spans="2:9" x14ac:dyDescent="0.25">
      <c r="B1822" t="s">
        <v>1227</v>
      </c>
      <c r="C1822" s="22" t="s">
        <v>24</v>
      </c>
      <c r="D1822">
        <v>3</v>
      </c>
      <c r="G1822" s="30">
        <f>Table132[[#This Row],[nb win]]/Table132[[#This Row],[nb play]]</f>
        <v>0</v>
      </c>
      <c r="H1822" t="str">
        <f>MID(Table132[[#This Row],[ÉTAT]],VALUE(RIGHT(Table132[[#This Row],[next move]],1))+1+VALUE(LEFT(Table132[[#This Row],[next move]],1))*3,1)</f>
        <v>V</v>
      </c>
      <c r="I1822" t="str">
        <f>Table132[[#This Row],[ÉTAT]]&amp;Table132[[#This Row],[next move]]</f>
        <v>VMVMEEEMV00</v>
      </c>
    </row>
    <row r="1823" spans="2:9" x14ac:dyDescent="0.25">
      <c r="B1823" t="s">
        <v>1227</v>
      </c>
      <c r="C1823" s="22" t="s">
        <v>20</v>
      </c>
      <c r="D1823">
        <v>1</v>
      </c>
      <c r="E1823">
        <v>1</v>
      </c>
      <c r="G1823" s="25">
        <f>Table132[[#This Row],[nb win]]/Table132[[#This Row],[nb play]]</f>
        <v>1</v>
      </c>
      <c r="H1823" t="str">
        <f>MID(Table132[[#This Row],[ÉTAT]],VALUE(RIGHT(Table132[[#This Row],[next move]],1))+1+VALUE(LEFT(Table132[[#This Row],[next move]],1))*3,1)</f>
        <v>V</v>
      </c>
      <c r="I1823" t="str">
        <f>Table132[[#This Row],[ÉTAT]]&amp;Table132[[#This Row],[next move]]</f>
        <v>VMVMEEEMV02</v>
      </c>
    </row>
    <row r="1824" spans="2:9" x14ac:dyDescent="0.25">
      <c r="B1824" t="s">
        <v>937</v>
      </c>
      <c r="C1824" s="22" t="s">
        <v>24</v>
      </c>
      <c r="D1824">
        <v>1</v>
      </c>
      <c r="G1824" s="25">
        <f>Table132[[#This Row],[nb win]]/Table132[[#This Row],[nb play]]</f>
        <v>0</v>
      </c>
      <c r="H1824" t="str">
        <f>MID(Table132[[#This Row],[ÉTAT]],VALUE(RIGHT(Table132[[#This Row],[next move]],1))+1+VALUE(LEFT(Table132[[#This Row],[next move]],1))*3,1)</f>
        <v>V</v>
      </c>
      <c r="I1824" t="str">
        <f>Table132[[#This Row],[ÉTAT]]&amp;Table132[[#This Row],[next move]]</f>
        <v>VMVMEEEEM00</v>
      </c>
    </row>
    <row r="1825" spans="2:9" x14ac:dyDescent="0.25">
      <c r="B1825" t="s">
        <v>751</v>
      </c>
      <c r="C1825" s="22" t="s">
        <v>24</v>
      </c>
      <c r="D1825">
        <v>4</v>
      </c>
      <c r="E1825">
        <v>4</v>
      </c>
      <c r="G1825" s="31">
        <f>Table132[[#This Row],[nb win]]/Table132[[#This Row],[nb play]]</f>
        <v>1</v>
      </c>
      <c r="H1825" t="str">
        <f>MID(Table132[[#This Row],[ÉTAT]],VALUE(RIGHT(Table132[[#This Row],[next move]],1))+1+VALUE(LEFT(Table132[[#This Row],[next move]],1))*3,1)</f>
        <v>V</v>
      </c>
      <c r="I1825" t="str">
        <f>Table132[[#This Row],[ÉTAT]]&amp;Table132[[#This Row],[next move]]</f>
        <v>VMVEVVVVV00</v>
      </c>
    </row>
    <row r="1826" spans="2:9" x14ac:dyDescent="0.25">
      <c r="B1826" t="s">
        <v>751</v>
      </c>
      <c r="C1826" s="22" t="s">
        <v>20</v>
      </c>
      <c r="D1826">
        <v>8</v>
      </c>
      <c r="E1826">
        <v>5</v>
      </c>
      <c r="G1826" s="31">
        <f>Table132[[#This Row],[nb win]]/Table132[[#This Row],[nb play]]</f>
        <v>0.625</v>
      </c>
      <c r="H1826" t="str">
        <f>MID(Table132[[#This Row],[ÉTAT]],VALUE(RIGHT(Table132[[#This Row],[next move]],1))+1+VALUE(LEFT(Table132[[#This Row],[next move]],1))*3,1)</f>
        <v>V</v>
      </c>
      <c r="I1826" t="str">
        <f>Table132[[#This Row],[ÉTAT]]&amp;Table132[[#This Row],[next move]]</f>
        <v>VMVEVVVVV02</v>
      </c>
    </row>
    <row r="1827" spans="2:9" x14ac:dyDescent="0.25">
      <c r="B1827" t="s">
        <v>751</v>
      </c>
      <c r="C1827" s="22" t="s">
        <v>29</v>
      </c>
      <c r="D1827">
        <v>10</v>
      </c>
      <c r="E1827">
        <v>9</v>
      </c>
      <c r="G1827" s="31">
        <f>Table132[[#This Row],[nb win]]/Table132[[#This Row],[nb play]]</f>
        <v>0.9</v>
      </c>
      <c r="H1827" t="str">
        <f>MID(Table132[[#This Row],[ÉTAT]],VALUE(RIGHT(Table132[[#This Row],[next move]],1))+1+VALUE(LEFT(Table132[[#This Row],[next move]],1))*3,1)</f>
        <v>V</v>
      </c>
      <c r="I1827" t="str">
        <f>Table132[[#This Row],[ÉTAT]]&amp;Table132[[#This Row],[next move]]</f>
        <v>VMVEVVVVV11</v>
      </c>
    </row>
    <row r="1828" spans="2:9" x14ac:dyDescent="0.25">
      <c r="B1828" t="s">
        <v>751</v>
      </c>
      <c r="C1828" s="22" t="s">
        <v>28</v>
      </c>
      <c r="D1828">
        <v>10</v>
      </c>
      <c r="E1828">
        <v>4</v>
      </c>
      <c r="G1828" s="30">
        <f>Table132[[#This Row],[nb win]]/Table132[[#This Row],[nb play]]</f>
        <v>0.4</v>
      </c>
      <c r="H1828" t="str">
        <f>MID(Table132[[#This Row],[ÉTAT]],VALUE(RIGHT(Table132[[#This Row],[next move]],1))+1+VALUE(LEFT(Table132[[#This Row],[next move]],1))*3,1)</f>
        <v>V</v>
      </c>
      <c r="I1828" t="str">
        <f>Table132[[#This Row],[ÉTAT]]&amp;Table132[[#This Row],[next move]]</f>
        <v>VMVEVVVVV12</v>
      </c>
    </row>
    <row r="1829" spans="2:9" x14ac:dyDescent="0.25">
      <c r="B1829" t="s">
        <v>751</v>
      </c>
      <c r="C1829" s="22" t="s">
        <v>35</v>
      </c>
      <c r="D1829">
        <v>8</v>
      </c>
      <c r="E1829">
        <v>3</v>
      </c>
      <c r="G1829" s="31">
        <f>Table132[[#This Row],[nb win]]/Table132[[#This Row],[nb play]]</f>
        <v>0.375</v>
      </c>
      <c r="H1829" t="str">
        <f>MID(Table132[[#This Row],[ÉTAT]],VALUE(RIGHT(Table132[[#This Row],[next move]],1))+1+VALUE(LEFT(Table132[[#This Row],[next move]],1))*3,1)</f>
        <v>V</v>
      </c>
      <c r="I1829" t="str">
        <f>Table132[[#This Row],[ÉTAT]]&amp;Table132[[#This Row],[next move]]</f>
        <v>VMVEVVVVV20</v>
      </c>
    </row>
    <row r="1830" spans="2:9" x14ac:dyDescent="0.25">
      <c r="B1830" t="s">
        <v>751</v>
      </c>
      <c r="C1830" s="22" t="s">
        <v>31</v>
      </c>
      <c r="D1830">
        <v>14</v>
      </c>
      <c r="E1830">
        <v>6</v>
      </c>
      <c r="G1830" s="30">
        <f>Table132[[#This Row],[nb win]]/Table132[[#This Row],[nb play]]</f>
        <v>0.42857142857142855</v>
      </c>
      <c r="H1830" t="str">
        <f>MID(Table132[[#This Row],[ÉTAT]],VALUE(RIGHT(Table132[[#This Row],[next move]],1))+1+VALUE(LEFT(Table132[[#This Row],[next move]],1))*3,1)</f>
        <v>V</v>
      </c>
      <c r="I1830" t="str">
        <f>Table132[[#This Row],[ÉTAT]]&amp;Table132[[#This Row],[next move]]</f>
        <v>VMVEVVVVV22</v>
      </c>
    </row>
    <row r="1831" spans="2:9" x14ac:dyDescent="0.25">
      <c r="B1831" t="s">
        <v>916</v>
      </c>
      <c r="C1831" s="22" t="s">
        <v>24</v>
      </c>
      <c r="D1831">
        <v>6</v>
      </c>
      <c r="E1831">
        <v>4</v>
      </c>
      <c r="G1831" s="31">
        <f>Table132[[#This Row],[nb win]]/Table132[[#This Row],[nb play]]</f>
        <v>0.66666666666666663</v>
      </c>
      <c r="H1831" t="str">
        <f>MID(Table132[[#This Row],[ÉTAT]],VALUE(RIGHT(Table132[[#This Row],[next move]],1))+1+VALUE(LEFT(Table132[[#This Row],[next move]],1))*3,1)</f>
        <v>V</v>
      </c>
      <c r="I1831" t="str">
        <f>Table132[[#This Row],[ÉTAT]]&amp;Table132[[#This Row],[next move]]</f>
        <v>VMVEVVVVE00</v>
      </c>
    </row>
    <row r="1832" spans="2:9" x14ac:dyDescent="0.25">
      <c r="B1832" t="s">
        <v>916</v>
      </c>
      <c r="C1832" s="22" t="s">
        <v>20</v>
      </c>
      <c r="D1832">
        <v>5</v>
      </c>
      <c r="E1832">
        <v>3</v>
      </c>
      <c r="G1832" s="31">
        <f>Table132[[#This Row],[nb win]]/Table132[[#This Row],[nb play]]</f>
        <v>0.6</v>
      </c>
      <c r="H1832" t="str">
        <f>MID(Table132[[#This Row],[ÉTAT]],VALUE(RIGHT(Table132[[#This Row],[next move]],1))+1+VALUE(LEFT(Table132[[#This Row],[next move]],1))*3,1)</f>
        <v>V</v>
      </c>
      <c r="I1832" t="str">
        <f>Table132[[#This Row],[ÉTAT]]&amp;Table132[[#This Row],[next move]]</f>
        <v>VMVEVVVVE02</v>
      </c>
    </row>
    <row r="1833" spans="2:9" x14ac:dyDescent="0.25">
      <c r="B1833" t="s">
        <v>916</v>
      </c>
      <c r="C1833" s="22" t="s">
        <v>29</v>
      </c>
      <c r="D1833">
        <v>4</v>
      </c>
      <c r="E1833">
        <v>2</v>
      </c>
      <c r="G1833" s="31">
        <f>Table132[[#This Row],[nb win]]/Table132[[#This Row],[nb play]]</f>
        <v>0.5</v>
      </c>
      <c r="H1833" t="str">
        <f>MID(Table132[[#This Row],[ÉTAT]],VALUE(RIGHT(Table132[[#This Row],[next move]],1))+1+VALUE(LEFT(Table132[[#This Row],[next move]],1))*3,1)</f>
        <v>V</v>
      </c>
      <c r="I1833" t="str">
        <f>Table132[[#This Row],[ÉTAT]]&amp;Table132[[#This Row],[next move]]</f>
        <v>VMVEVVVVE11</v>
      </c>
    </row>
    <row r="1834" spans="2:9" x14ac:dyDescent="0.25">
      <c r="B1834" t="s">
        <v>916</v>
      </c>
      <c r="C1834" s="22" t="s">
        <v>28</v>
      </c>
      <c r="D1834">
        <v>7</v>
      </c>
      <c r="E1834">
        <v>2</v>
      </c>
      <c r="G1834" s="31">
        <f>Table132[[#This Row],[nb win]]/Table132[[#This Row],[nb play]]</f>
        <v>0.2857142857142857</v>
      </c>
      <c r="H1834" t="str">
        <f>MID(Table132[[#This Row],[ÉTAT]],VALUE(RIGHT(Table132[[#This Row],[next move]],1))+1+VALUE(LEFT(Table132[[#This Row],[next move]],1))*3,1)</f>
        <v>V</v>
      </c>
      <c r="I1834" t="str">
        <f>Table132[[#This Row],[ÉTAT]]&amp;Table132[[#This Row],[next move]]</f>
        <v>VMVEVVVVE12</v>
      </c>
    </row>
    <row r="1835" spans="2:9" x14ac:dyDescent="0.25">
      <c r="B1835" t="s">
        <v>916</v>
      </c>
      <c r="C1835" s="22" t="s">
        <v>35</v>
      </c>
      <c r="D1835">
        <v>5</v>
      </c>
      <c r="E1835">
        <v>1</v>
      </c>
      <c r="G1835" s="30">
        <f>Table132[[#This Row],[nb win]]/Table132[[#This Row],[nb play]]</f>
        <v>0.2</v>
      </c>
      <c r="H1835" t="str">
        <f>MID(Table132[[#This Row],[ÉTAT]],VALUE(RIGHT(Table132[[#This Row],[next move]],1))+1+VALUE(LEFT(Table132[[#This Row],[next move]],1))*3,1)</f>
        <v>V</v>
      </c>
      <c r="I1835" t="str">
        <f>Table132[[#This Row],[ÉTAT]]&amp;Table132[[#This Row],[next move]]</f>
        <v>VMVEVVVVE20</v>
      </c>
    </row>
    <row r="1836" spans="2:9" x14ac:dyDescent="0.25">
      <c r="B1836" t="s">
        <v>916</v>
      </c>
      <c r="C1836" s="22" t="s">
        <v>22</v>
      </c>
      <c r="D1836">
        <v>5</v>
      </c>
      <c r="E1836">
        <v>2</v>
      </c>
      <c r="G1836" s="30">
        <f>Table132[[#This Row],[nb win]]/Table132[[#This Row],[nb play]]</f>
        <v>0.4</v>
      </c>
      <c r="H1836" t="str">
        <f>MID(Table132[[#This Row],[ÉTAT]],VALUE(RIGHT(Table132[[#This Row],[next move]],1))+1+VALUE(LEFT(Table132[[#This Row],[next move]],1))*3,1)</f>
        <v>V</v>
      </c>
      <c r="I1836" t="str">
        <f>Table132[[#This Row],[ÉTAT]]&amp;Table132[[#This Row],[next move]]</f>
        <v>VMVEVVVVE21</v>
      </c>
    </row>
    <row r="1837" spans="2:9" x14ac:dyDescent="0.25">
      <c r="B1837" t="s">
        <v>2759</v>
      </c>
      <c r="C1837" s="22" t="s">
        <v>29</v>
      </c>
      <c r="D1837">
        <v>2</v>
      </c>
      <c r="E1837">
        <v>2</v>
      </c>
      <c r="G1837" s="31">
        <f>Table132[[#This Row],[nb win]]/Table132[[#This Row],[nb play]]</f>
        <v>1</v>
      </c>
      <c r="H1837" t="str">
        <f>MID(Table132[[#This Row],[ÉTAT]],VALUE(RIGHT(Table132[[#This Row],[next move]],1))+1+VALUE(LEFT(Table132[[#This Row],[next move]],1))*3,1)</f>
        <v>V</v>
      </c>
      <c r="I1837" t="str">
        <f>Table132[[#This Row],[ÉTAT]]&amp;Table132[[#This Row],[next move]]</f>
        <v>VMVEVVVME11</v>
      </c>
    </row>
    <row r="1838" spans="2:9" x14ac:dyDescent="0.25">
      <c r="B1838" t="s">
        <v>3040</v>
      </c>
      <c r="C1838" s="22" t="s">
        <v>24</v>
      </c>
      <c r="D1838">
        <v>1</v>
      </c>
      <c r="E1838">
        <v>1</v>
      </c>
      <c r="G1838" s="31">
        <f>Table132[[#This Row],[nb win]]/Table132[[#This Row],[nb play]]</f>
        <v>1</v>
      </c>
      <c r="H1838" t="str">
        <f>MID(Table132[[#This Row],[ÉTAT]],VALUE(RIGHT(Table132[[#This Row],[next move]],1))+1+VALUE(LEFT(Table132[[#This Row],[next move]],1))*3,1)</f>
        <v>V</v>
      </c>
      <c r="I1838" t="str">
        <f>Table132[[#This Row],[ÉTAT]]&amp;Table132[[#This Row],[next move]]</f>
        <v>VMVEVVVEV00</v>
      </c>
    </row>
    <row r="1839" spans="2:9" x14ac:dyDescent="0.25">
      <c r="B1839" t="s">
        <v>3265</v>
      </c>
      <c r="C1839" s="22" t="s">
        <v>35</v>
      </c>
      <c r="D1839">
        <v>3</v>
      </c>
      <c r="E1839">
        <v>3</v>
      </c>
      <c r="G1839" s="31">
        <f>Table132[[#This Row],[nb win]]/Table132[[#This Row],[nb play]]</f>
        <v>1</v>
      </c>
      <c r="H1839" t="str">
        <f>MID(Table132[[#This Row],[ÉTAT]],VALUE(RIGHT(Table132[[#This Row],[next move]],1))+1+VALUE(LEFT(Table132[[#This Row],[next move]],1))*3,1)</f>
        <v>V</v>
      </c>
      <c r="I1839" t="str">
        <f>Table132[[#This Row],[ÉTAT]]&amp;Table132[[#This Row],[next move]]</f>
        <v>VMVEVVVEM20</v>
      </c>
    </row>
    <row r="1840" spans="2:9" x14ac:dyDescent="0.25">
      <c r="B1840" t="s">
        <v>2536</v>
      </c>
      <c r="C1840" s="22" t="s">
        <v>24</v>
      </c>
      <c r="D1840">
        <v>1</v>
      </c>
      <c r="G1840" s="25">
        <f>Table132[[#This Row],[nb win]]/Table132[[#This Row],[nb play]]</f>
        <v>0</v>
      </c>
      <c r="H1840" t="str">
        <f>MID(Table132[[#This Row],[ÉTAT]],VALUE(RIGHT(Table132[[#This Row],[next move]],1))+1+VALUE(LEFT(Table132[[#This Row],[next move]],1))*3,1)</f>
        <v>V</v>
      </c>
      <c r="I1840" t="str">
        <f>Table132[[#This Row],[ÉTAT]]&amp;Table132[[#This Row],[next move]]</f>
        <v>VMVEVVMVE00</v>
      </c>
    </row>
    <row r="1841" spans="2:9" x14ac:dyDescent="0.25">
      <c r="B1841" t="s">
        <v>2536</v>
      </c>
      <c r="C1841" s="22" t="s">
        <v>22</v>
      </c>
      <c r="D1841">
        <v>2</v>
      </c>
      <c r="E1841">
        <v>2</v>
      </c>
      <c r="G1841" s="31">
        <f>Table132[[#This Row],[nb win]]/Table132[[#This Row],[nb play]]</f>
        <v>1</v>
      </c>
      <c r="H1841" t="str">
        <f>MID(Table132[[#This Row],[ÉTAT]],VALUE(RIGHT(Table132[[#This Row],[next move]],1))+1+VALUE(LEFT(Table132[[#This Row],[next move]],1))*3,1)</f>
        <v>V</v>
      </c>
      <c r="I1841" t="str">
        <f>Table132[[#This Row],[ÉTAT]]&amp;Table132[[#This Row],[next move]]</f>
        <v>VMVEVVMVE21</v>
      </c>
    </row>
    <row r="1842" spans="2:9" x14ac:dyDescent="0.25">
      <c r="B1842" t="s">
        <v>3168</v>
      </c>
      <c r="C1842" s="22" t="s">
        <v>28</v>
      </c>
      <c r="D1842">
        <v>1</v>
      </c>
      <c r="E1842">
        <v>1</v>
      </c>
      <c r="G1842" s="31">
        <f>Table132[[#This Row],[nb win]]/Table132[[#This Row],[nb play]]</f>
        <v>1</v>
      </c>
      <c r="H1842" t="str">
        <f>MID(Table132[[#This Row],[ÉTAT]],VALUE(RIGHT(Table132[[#This Row],[next move]],1))+1+VALUE(LEFT(Table132[[#This Row],[next move]],1))*3,1)</f>
        <v>V</v>
      </c>
      <c r="I1842" t="str">
        <f>Table132[[#This Row],[ÉTAT]]&amp;Table132[[#This Row],[next move]]</f>
        <v>VMVEVVMEV12</v>
      </c>
    </row>
    <row r="1843" spans="2:9" x14ac:dyDescent="0.25">
      <c r="B1843" t="s">
        <v>2561</v>
      </c>
      <c r="C1843" s="22" t="s">
        <v>20</v>
      </c>
      <c r="D1843">
        <v>1</v>
      </c>
      <c r="G1843" s="25">
        <f>Table132[[#This Row],[nb win]]/Table132[[#This Row],[nb play]]</f>
        <v>0</v>
      </c>
      <c r="H1843" t="str">
        <f>MID(Table132[[#This Row],[ÉTAT]],VALUE(RIGHT(Table132[[#This Row],[next move]],1))+1+VALUE(LEFT(Table132[[#This Row],[next move]],1))*3,1)</f>
        <v>V</v>
      </c>
      <c r="I1843" t="str">
        <f>Table132[[#This Row],[ÉTAT]]&amp;Table132[[#This Row],[next move]]</f>
        <v>VMVEVVMEE02</v>
      </c>
    </row>
    <row r="1844" spans="2:9" x14ac:dyDescent="0.25">
      <c r="B1844" t="s">
        <v>2561</v>
      </c>
      <c r="C1844" s="22" t="s">
        <v>28</v>
      </c>
      <c r="D1844">
        <v>1</v>
      </c>
      <c r="G1844" s="25">
        <f>Table132[[#This Row],[nb win]]/Table132[[#This Row],[nb play]]</f>
        <v>0</v>
      </c>
      <c r="H1844" t="str">
        <f>MID(Table132[[#This Row],[ÉTAT]],VALUE(RIGHT(Table132[[#This Row],[next move]],1))+1+VALUE(LEFT(Table132[[#This Row],[next move]],1))*3,1)</f>
        <v>V</v>
      </c>
      <c r="I1844" t="str">
        <f>Table132[[#This Row],[ÉTAT]]&amp;Table132[[#This Row],[next move]]</f>
        <v>VMVEVVMEE12</v>
      </c>
    </row>
    <row r="1845" spans="2:9" x14ac:dyDescent="0.25">
      <c r="B1845" t="s">
        <v>2080</v>
      </c>
      <c r="C1845" s="22" t="s">
        <v>24</v>
      </c>
      <c r="D1845">
        <v>5</v>
      </c>
      <c r="E1845">
        <v>5</v>
      </c>
      <c r="G1845" s="31">
        <f>Table132[[#This Row],[nb win]]/Table132[[#This Row],[nb play]]</f>
        <v>1</v>
      </c>
      <c r="H1845" t="str">
        <f>MID(Table132[[#This Row],[ÉTAT]],VALUE(RIGHT(Table132[[#This Row],[next move]],1))+1+VALUE(LEFT(Table132[[#This Row],[next move]],1))*3,1)</f>
        <v>V</v>
      </c>
      <c r="I1845" t="str">
        <f>Table132[[#This Row],[ÉTAT]]&amp;Table132[[#This Row],[next move]]</f>
        <v>VMVEVVEVV00</v>
      </c>
    </row>
    <row r="1846" spans="2:9" x14ac:dyDescent="0.25">
      <c r="B1846" t="s">
        <v>2080</v>
      </c>
      <c r="C1846" s="22" t="s">
        <v>29</v>
      </c>
      <c r="D1846">
        <v>6</v>
      </c>
      <c r="G1846" s="30">
        <f>Table132[[#This Row],[nb win]]/Table132[[#This Row],[nb play]]</f>
        <v>0</v>
      </c>
      <c r="H1846" t="str">
        <f>MID(Table132[[#This Row],[ÉTAT]],VALUE(RIGHT(Table132[[#This Row],[next move]],1))+1+VALUE(LEFT(Table132[[#This Row],[next move]],1))*3,1)</f>
        <v>V</v>
      </c>
      <c r="I1846" t="str">
        <f>Table132[[#This Row],[ÉTAT]]&amp;Table132[[#This Row],[next move]]</f>
        <v>VMVEVVEVV11</v>
      </c>
    </row>
    <row r="1847" spans="2:9" x14ac:dyDescent="0.25">
      <c r="B1847" t="s">
        <v>2080</v>
      </c>
      <c r="C1847" s="22" t="s">
        <v>28</v>
      </c>
      <c r="D1847">
        <v>6</v>
      </c>
      <c r="G1847" s="30">
        <f>Table132[[#This Row],[nb win]]/Table132[[#This Row],[nb play]]</f>
        <v>0</v>
      </c>
      <c r="H1847" t="str">
        <f>MID(Table132[[#This Row],[ÉTAT]],VALUE(RIGHT(Table132[[#This Row],[next move]],1))+1+VALUE(LEFT(Table132[[#This Row],[next move]],1))*3,1)</f>
        <v>V</v>
      </c>
      <c r="I1847" t="str">
        <f>Table132[[#This Row],[ÉTAT]]&amp;Table132[[#This Row],[next move]]</f>
        <v>VMVEVVEVV12</v>
      </c>
    </row>
    <row r="1848" spans="2:9" x14ac:dyDescent="0.25">
      <c r="B1848" t="s">
        <v>2881</v>
      </c>
      <c r="C1848" s="22" t="s">
        <v>24</v>
      </c>
      <c r="D1848">
        <v>1</v>
      </c>
      <c r="E1848">
        <v>1</v>
      </c>
      <c r="G1848" s="31">
        <f>Table132[[#This Row],[nb win]]/Table132[[#This Row],[nb play]]</f>
        <v>1</v>
      </c>
      <c r="H1848" t="str">
        <f>MID(Table132[[#This Row],[ÉTAT]],VALUE(RIGHT(Table132[[#This Row],[next move]],1))+1+VALUE(LEFT(Table132[[#This Row],[next move]],1))*3,1)</f>
        <v>V</v>
      </c>
      <c r="I1848" t="str">
        <f>Table132[[#This Row],[ÉTAT]]&amp;Table132[[#This Row],[next move]]</f>
        <v>VMVEVVEVM00</v>
      </c>
    </row>
    <row r="1849" spans="2:9" x14ac:dyDescent="0.25">
      <c r="B1849" t="s">
        <v>2881</v>
      </c>
      <c r="C1849" s="22" t="s">
        <v>20</v>
      </c>
      <c r="D1849">
        <v>1</v>
      </c>
      <c r="G1849" s="25">
        <f>Table132[[#This Row],[nb win]]/Table132[[#This Row],[nb play]]</f>
        <v>0</v>
      </c>
      <c r="H1849" t="str">
        <f>MID(Table132[[#This Row],[ÉTAT]],VALUE(RIGHT(Table132[[#This Row],[next move]],1))+1+VALUE(LEFT(Table132[[#This Row],[next move]],1))*3,1)</f>
        <v>V</v>
      </c>
      <c r="I1849" t="str">
        <f>Table132[[#This Row],[ÉTAT]]&amp;Table132[[#This Row],[next move]]</f>
        <v>VMVEVVEVM02</v>
      </c>
    </row>
    <row r="1850" spans="2:9" x14ac:dyDescent="0.25">
      <c r="B1850" t="s">
        <v>2881</v>
      </c>
      <c r="C1850" s="22" t="s">
        <v>29</v>
      </c>
      <c r="D1850">
        <v>1</v>
      </c>
      <c r="G1850" s="25">
        <f>Table132[[#This Row],[nb win]]/Table132[[#This Row],[nb play]]</f>
        <v>0</v>
      </c>
      <c r="H1850" t="str">
        <f>MID(Table132[[#This Row],[ÉTAT]],VALUE(RIGHT(Table132[[#This Row],[next move]],1))+1+VALUE(LEFT(Table132[[#This Row],[next move]],1))*3,1)</f>
        <v>V</v>
      </c>
      <c r="I1850" t="str">
        <f>Table132[[#This Row],[ÉTAT]]&amp;Table132[[#This Row],[next move]]</f>
        <v>VMVEVVEVM11</v>
      </c>
    </row>
    <row r="1851" spans="2:9" x14ac:dyDescent="0.25">
      <c r="B1851" t="s">
        <v>2881</v>
      </c>
      <c r="C1851" s="22" t="s">
        <v>28</v>
      </c>
      <c r="D1851">
        <v>3</v>
      </c>
      <c r="G1851" s="30">
        <f>Table132[[#This Row],[nb win]]/Table132[[#This Row],[nb play]]</f>
        <v>0</v>
      </c>
      <c r="H1851" t="str">
        <f>MID(Table132[[#This Row],[ÉTAT]],VALUE(RIGHT(Table132[[#This Row],[next move]],1))+1+VALUE(LEFT(Table132[[#This Row],[next move]],1))*3,1)</f>
        <v>V</v>
      </c>
      <c r="I1851" t="str">
        <f>Table132[[#This Row],[ÉTAT]]&amp;Table132[[#This Row],[next move]]</f>
        <v>VMVEVVEVM12</v>
      </c>
    </row>
    <row r="1852" spans="2:9" x14ac:dyDescent="0.25">
      <c r="B1852" t="s">
        <v>3142</v>
      </c>
      <c r="C1852" s="22" t="s">
        <v>20</v>
      </c>
      <c r="D1852">
        <v>1</v>
      </c>
      <c r="G1852" s="30">
        <f>Table132[[#This Row],[nb win]]/Table132[[#This Row],[nb play]]</f>
        <v>0</v>
      </c>
      <c r="H1852" t="str">
        <f>MID(Table132[[#This Row],[ÉTAT]],VALUE(RIGHT(Table132[[#This Row],[next move]],1))+1+VALUE(LEFT(Table132[[#This Row],[next move]],1))*3,1)</f>
        <v>V</v>
      </c>
      <c r="I1852" t="str">
        <f>Table132[[#This Row],[ÉTAT]]&amp;Table132[[#This Row],[next move]]</f>
        <v>VMVEVVEMV02</v>
      </c>
    </row>
    <row r="1853" spans="2:9" x14ac:dyDescent="0.25">
      <c r="B1853" t="s">
        <v>3142</v>
      </c>
      <c r="C1853" s="22" t="s">
        <v>29</v>
      </c>
      <c r="D1853">
        <v>1</v>
      </c>
      <c r="E1853">
        <v>1</v>
      </c>
      <c r="G1853" s="31">
        <f>Table132[[#This Row],[nb win]]/Table132[[#This Row],[nb play]]</f>
        <v>1</v>
      </c>
      <c r="H1853" t="str">
        <f>MID(Table132[[#This Row],[ÉTAT]],VALUE(RIGHT(Table132[[#This Row],[next move]],1))+1+VALUE(LEFT(Table132[[#This Row],[next move]],1))*3,1)</f>
        <v>V</v>
      </c>
      <c r="I1853" t="str">
        <f>Table132[[#This Row],[ÉTAT]]&amp;Table132[[#This Row],[next move]]</f>
        <v>VMVEVVEMV11</v>
      </c>
    </row>
    <row r="1854" spans="2:9" x14ac:dyDescent="0.25">
      <c r="B1854" t="s">
        <v>3142</v>
      </c>
      <c r="C1854" s="22" t="s">
        <v>28</v>
      </c>
      <c r="D1854">
        <v>1</v>
      </c>
      <c r="G1854" s="30">
        <f>Table132[[#This Row],[nb win]]/Table132[[#This Row],[nb play]]</f>
        <v>0</v>
      </c>
      <c r="H1854" t="str">
        <f>MID(Table132[[#This Row],[ÉTAT]],VALUE(RIGHT(Table132[[#This Row],[next move]],1))+1+VALUE(LEFT(Table132[[#This Row],[next move]],1))*3,1)</f>
        <v>V</v>
      </c>
      <c r="I1854" t="str">
        <f>Table132[[#This Row],[ÉTAT]]&amp;Table132[[#This Row],[next move]]</f>
        <v>VMVEVVEMV12</v>
      </c>
    </row>
    <row r="1855" spans="2:9" x14ac:dyDescent="0.25">
      <c r="B1855" t="s">
        <v>2267</v>
      </c>
      <c r="C1855" s="22" t="s">
        <v>24</v>
      </c>
      <c r="D1855">
        <v>2</v>
      </c>
      <c r="E1855">
        <v>2</v>
      </c>
      <c r="G1855" s="31">
        <f>Table132[[#This Row],[nb win]]/Table132[[#This Row],[nb play]]</f>
        <v>1</v>
      </c>
      <c r="H1855" t="str">
        <f>MID(Table132[[#This Row],[ÉTAT]],VALUE(RIGHT(Table132[[#This Row],[next move]],1))+1+VALUE(LEFT(Table132[[#This Row],[next move]],1))*3,1)</f>
        <v>V</v>
      </c>
      <c r="I1855" t="str">
        <f>Table132[[#This Row],[ÉTAT]]&amp;Table132[[#This Row],[next move]]</f>
        <v>VMVEVVEME00</v>
      </c>
    </row>
    <row r="1856" spans="2:9" x14ac:dyDescent="0.25">
      <c r="B1856" t="s">
        <v>2267</v>
      </c>
      <c r="C1856" s="22" t="s">
        <v>28</v>
      </c>
      <c r="D1856">
        <v>3</v>
      </c>
      <c r="E1856">
        <v>2</v>
      </c>
      <c r="G1856" s="25">
        <f>Table132[[#This Row],[nb win]]/Table132[[#This Row],[nb play]]</f>
        <v>0.66666666666666663</v>
      </c>
      <c r="H1856" t="str">
        <f>MID(Table132[[#This Row],[ÉTAT]],VALUE(RIGHT(Table132[[#This Row],[next move]],1))+1+VALUE(LEFT(Table132[[#This Row],[next move]],1))*3,1)</f>
        <v>V</v>
      </c>
      <c r="I1856" t="str">
        <f>Table132[[#This Row],[ÉTAT]]&amp;Table132[[#This Row],[next move]]</f>
        <v>VMVEVVEME12</v>
      </c>
    </row>
    <row r="1857" spans="2:9" x14ac:dyDescent="0.25">
      <c r="B1857" t="s">
        <v>2525</v>
      </c>
      <c r="C1857" s="22" t="s">
        <v>24</v>
      </c>
      <c r="D1857">
        <v>1</v>
      </c>
      <c r="G1857" s="25">
        <f>Table132[[#This Row],[nb win]]/Table132[[#This Row],[nb play]]</f>
        <v>0</v>
      </c>
      <c r="H1857" t="str">
        <f>MID(Table132[[#This Row],[ÉTAT]],VALUE(RIGHT(Table132[[#This Row],[next move]],1))+1+VALUE(LEFT(Table132[[#This Row],[next move]],1))*3,1)</f>
        <v>V</v>
      </c>
      <c r="I1857" t="str">
        <f>Table132[[#This Row],[ÉTAT]]&amp;Table132[[#This Row],[next move]]</f>
        <v>VMVEVVEEM00</v>
      </c>
    </row>
    <row r="1858" spans="2:9" x14ac:dyDescent="0.25">
      <c r="B1858" t="s">
        <v>2525</v>
      </c>
      <c r="C1858" s="22" t="s">
        <v>20</v>
      </c>
      <c r="D1858">
        <v>1</v>
      </c>
      <c r="E1858">
        <v>1</v>
      </c>
      <c r="G1858" s="31">
        <f>Table132[[#This Row],[nb win]]/Table132[[#This Row],[nb play]]</f>
        <v>1</v>
      </c>
      <c r="H1858" t="str">
        <f>MID(Table132[[#This Row],[ÉTAT]],VALUE(RIGHT(Table132[[#This Row],[next move]],1))+1+VALUE(LEFT(Table132[[#This Row],[next move]],1))*3,1)</f>
        <v>V</v>
      </c>
      <c r="I1858" t="str">
        <f>Table132[[#This Row],[ÉTAT]]&amp;Table132[[#This Row],[next move]]</f>
        <v>VMVEVVEEM02</v>
      </c>
    </row>
    <row r="1859" spans="2:9" x14ac:dyDescent="0.25">
      <c r="B1859" t="s">
        <v>2525</v>
      </c>
      <c r="C1859" s="22" t="s">
        <v>29</v>
      </c>
      <c r="D1859">
        <v>1</v>
      </c>
      <c r="G1859" s="30">
        <f>Table132[[#This Row],[nb win]]/Table132[[#This Row],[nb play]]</f>
        <v>0</v>
      </c>
      <c r="H1859" t="str">
        <f>MID(Table132[[#This Row],[ÉTAT]],VALUE(RIGHT(Table132[[#This Row],[next move]],1))+1+VALUE(LEFT(Table132[[#This Row],[next move]],1))*3,1)</f>
        <v>V</v>
      </c>
      <c r="I1859" t="str">
        <f>Table132[[#This Row],[ÉTAT]]&amp;Table132[[#This Row],[next move]]</f>
        <v>VMVEVVEEM11</v>
      </c>
    </row>
    <row r="1860" spans="2:9" x14ac:dyDescent="0.25">
      <c r="B1860" t="s">
        <v>2525</v>
      </c>
      <c r="C1860" s="22" t="s">
        <v>28</v>
      </c>
      <c r="D1860">
        <v>1</v>
      </c>
      <c r="G1860" s="30">
        <f>Table132[[#This Row],[nb win]]/Table132[[#This Row],[nb play]]</f>
        <v>0</v>
      </c>
      <c r="H1860" t="str">
        <f>MID(Table132[[#This Row],[ÉTAT]],VALUE(RIGHT(Table132[[#This Row],[next move]],1))+1+VALUE(LEFT(Table132[[#This Row],[next move]],1))*3,1)</f>
        <v>V</v>
      </c>
      <c r="I1860" t="str">
        <f>Table132[[#This Row],[ÉTAT]]&amp;Table132[[#This Row],[next move]]</f>
        <v>VMVEVVEEM12</v>
      </c>
    </row>
    <row r="1861" spans="2:9" x14ac:dyDescent="0.25">
      <c r="B1861" t="s">
        <v>1894</v>
      </c>
      <c r="C1861" s="22" t="s">
        <v>29</v>
      </c>
      <c r="D1861">
        <v>4</v>
      </c>
      <c r="E1861">
        <v>3</v>
      </c>
      <c r="G1861" s="30">
        <f>Table132[[#This Row],[nb win]]/Table132[[#This Row],[nb play]]</f>
        <v>0.75</v>
      </c>
      <c r="H1861" t="str">
        <f>MID(Table132[[#This Row],[ÉTAT]],VALUE(RIGHT(Table132[[#This Row],[next move]],1))+1+VALUE(LEFT(Table132[[#This Row],[next move]],1))*3,1)</f>
        <v>V</v>
      </c>
      <c r="I1861" t="str">
        <f>Table132[[#This Row],[ÉTAT]]&amp;Table132[[#This Row],[next move]]</f>
        <v>VMVEVMVVE11</v>
      </c>
    </row>
    <row r="1862" spans="2:9" x14ac:dyDescent="0.25">
      <c r="B1862" t="s">
        <v>1894</v>
      </c>
      <c r="C1862" s="22" t="s">
        <v>22</v>
      </c>
      <c r="D1862">
        <v>1</v>
      </c>
      <c r="E1862">
        <v>1</v>
      </c>
      <c r="G1862" s="31">
        <f>Table132[[#This Row],[nb win]]/Table132[[#This Row],[nb play]]</f>
        <v>1</v>
      </c>
      <c r="H1862" t="str">
        <f>MID(Table132[[#This Row],[ÉTAT]],VALUE(RIGHT(Table132[[#This Row],[next move]],1))+1+VALUE(LEFT(Table132[[#This Row],[next move]],1))*3,1)</f>
        <v>V</v>
      </c>
      <c r="I1862" t="str">
        <f>Table132[[#This Row],[ÉTAT]]&amp;Table132[[#This Row],[next move]]</f>
        <v>VMVEVMVVE21</v>
      </c>
    </row>
    <row r="1863" spans="2:9" x14ac:dyDescent="0.25">
      <c r="B1863" t="s">
        <v>2922</v>
      </c>
      <c r="C1863" s="22" t="s">
        <v>29</v>
      </c>
      <c r="D1863">
        <v>1</v>
      </c>
      <c r="G1863" s="25">
        <f>Table132[[#This Row],[nb win]]/Table132[[#This Row],[nb play]]</f>
        <v>0</v>
      </c>
      <c r="H1863" t="str">
        <f>MID(Table132[[#This Row],[ÉTAT]],VALUE(RIGHT(Table132[[#This Row],[next move]],1))+1+VALUE(LEFT(Table132[[#This Row],[next move]],1))*3,1)</f>
        <v>V</v>
      </c>
      <c r="I1863" t="str">
        <f>Table132[[#This Row],[ÉTAT]]&amp;Table132[[#This Row],[next move]]</f>
        <v>VMVEVMVEV11</v>
      </c>
    </row>
    <row r="1864" spans="2:9" x14ac:dyDescent="0.25">
      <c r="B1864" t="s">
        <v>2922</v>
      </c>
      <c r="C1864" s="22" t="s">
        <v>31</v>
      </c>
      <c r="D1864">
        <v>1</v>
      </c>
      <c r="E1864">
        <v>1</v>
      </c>
      <c r="G1864" s="31">
        <f>Table132[[#This Row],[nb win]]/Table132[[#This Row],[nb play]]</f>
        <v>1</v>
      </c>
      <c r="H1864" t="str">
        <f>MID(Table132[[#This Row],[ÉTAT]],VALUE(RIGHT(Table132[[#This Row],[next move]],1))+1+VALUE(LEFT(Table132[[#This Row],[next move]],1))*3,1)</f>
        <v>V</v>
      </c>
      <c r="I1864" t="str">
        <f>Table132[[#This Row],[ÉTAT]]&amp;Table132[[#This Row],[next move]]</f>
        <v>VMVEVMVEV22</v>
      </c>
    </row>
    <row r="1865" spans="2:9" x14ac:dyDescent="0.25">
      <c r="B1865" t="s">
        <v>442</v>
      </c>
      <c r="C1865" s="22" t="s">
        <v>24</v>
      </c>
      <c r="D1865">
        <v>1</v>
      </c>
      <c r="G1865" s="25">
        <f>Table132[[#This Row],[nb win]]/Table132[[#This Row],[nb play]]</f>
        <v>0</v>
      </c>
      <c r="H1865" t="str">
        <f>MID(Table132[[#This Row],[ÉTAT]],VALUE(RIGHT(Table132[[#This Row],[next move]],1))+1+VALUE(LEFT(Table132[[#This Row],[next move]],1))*3,1)</f>
        <v>V</v>
      </c>
      <c r="I1865" t="str">
        <f>Table132[[#This Row],[ÉTAT]]&amp;Table132[[#This Row],[next move]]</f>
        <v>VMVEVMVEE00</v>
      </c>
    </row>
    <row r="1866" spans="2:9" x14ac:dyDescent="0.25">
      <c r="B1866" t="s">
        <v>442</v>
      </c>
      <c r="C1866" s="22" t="s">
        <v>20</v>
      </c>
      <c r="D1866">
        <v>1</v>
      </c>
      <c r="G1866" s="25">
        <f>Table132[[#This Row],[nb win]]/Table132[[#This Row],[nb play]]</f>
        <v>0</v>
      </c>
      <c r="H1866" t="str">
        <f>MID(Table132[[#This Row],[ÉTAT]],VALUE(RIGHT(Table132[[#This Row],[next move]],1))+1+VALUE(LEFT(Table132[[#This Row],[next move]],1))*3,1)</f>
        <v>V</v>
      </c>
      <c r="I1866" t="str">
        <f>Table132[[#This Row],[ÉTAT]]&amp;Table132[[#This Row],[next move]]</f>
        <v>VMVEVMVEE02</v>
      </c>
    </row>
    <row r="1867" spans="2:9" x14ac:dyDescent="0.25">
      <c r="B1867" t="s">
        <v>2222</v>
      </c>
      <c r="C1867" s="22" t="s">
        <v>20</v>
      </c>
      <c r="D1867">
        <v>1</v>
      </c>
      <c r="E1867">
        <v>1</v>
      </c>
      <c r="G1867" s="25">
        <f>Table132[[#This Row],[nb win]]/Table132[[#This Row],[nb play]]</f>
        <v>1</v>
      </c>
      <c r="H1867" t="str">
        <f>MID(Table132[[#This Row],[ÉTAT]],VALUE(RIGHT(Table132[[#This Row],[next move]],1))+1+VALUE(LEFT(Table132[[#This Row],[next move]],1))*3,1)</f>
        <v>V</v>
      </c>
      <c r="I1867" t="str">
        <f>Table132[[#This Row],[ÉTAT]]&amp;Table132[[#This Row],[next move]]</f>
        <v>VMVEVMMEE02</v>
      </c>
    </row>
    <row r="1868" spans="2:9" x14ac:dyDescent="0.25">
      <c r="B1868" t="s">
        <v>738</v>
      </c>
      <c r="C1868" s="22" t="s">
        <v>24</v>
      </c>
      <c r="D1868">
        <v>2</v>
      </c>
      <c r="E1868">
        <v>2</v>
      </c>
      <c r="G1868" s="31">
        <f>Table132[[#This Row],[nb win]]/Table132[[#This Row],[nb play]]</f>
        <v>1</v>
      </c>
      <c r="H1868" t="str">
        <f>MID(Table132[[#This Row],[ÉTAT]],VALUE(RIGHT(Table132[[#This Row],[next move]],1))+1+VALUE(LEFT(Table132[[#This Row],[next move]],1))*3,1)</f>
        <v>V</v>
      </c>
      <c r="I1868" t="str">
        <f>Table132[[#This Row],[ÉTAT]]&amp;Table132[[#This Row],[next move]]</f>
        <v>VMVEVMEVV00</v>
      </c>
    </row>
    <row r="1869" spans="2:9" x14ac:dyDescent="0.25">
      <c r="B1869" t="s">
        <v>738</v>
      </c>
      <c r="C1869" s="22" t="s">
        <v>29</v>
      </c>
      <c r="D1869">
        <v>1</v>
      </c>
      <c r="G1869" s="25">
        <f>Table132[[#This Row],[nb win]]/Table132[[#This Row],[nb play]]</f>
        <v>0</v>
      </c>
      <c r="H1869" t="str">
        <f>MID(Table132[[#This Row],[ÉTAT]],VALUE(RIGHT(Table132[[#This Row],[next move]],1))+1+VALUE(LEFT(Table132[[#This Row],[next move]],1))*3,1)</f>
        <v>V</v>
      </c>
      <c r="I1869" t="str">
        <f>Table132[[#This Row],[ÉTAT]]&amp;Table132[[#This Row],[next move]]</f>
        <v>VMVEVMEVV11</v>
      </c>
    </row>
    <row r="1870" spans="2:9" x14ac:dyDescent="0.25">
      <c r="B1870" t="s">
        <v>738</v>
      </c>
      <c r="C1870" s="22" t="s">
        <v>22</v>
      </c>
      <c r="D1870">
        <v>2</v>
      </c>
      <c r="E1870">
        <v>1</v>
      </c>
      <c r="G1870" s="25">
        <f>Table132[[#This Row],[nb win]]/Table132[[#This Row],[nb play]]</f>
        <v>0.5</v>
      </c>
      <c r="H1870" t="str">
        <f>MID(Table132[[#This Row],[ÉTAT]],VALUE(RIGHT(Table132[[#This Row],[next move]],1))+1+VALUE(LEFT(Table132[[#This Row],[next move]],1))*3,1)</f>
        <v>V</v>
      </c>
      <c r="I1870" t="str">
        <f>Table132[[#This Row],[ÉTAT]]&amp;Table132[[#This Row],[next move]]</f>
        <v>VMVEVMEVV21</v>
      </c>
    </row>
    <row r="1871" spans="2:9" x14ac:dyDescent="0.25">
      <c r="B1871" t="s">
        <v>738</v>
      </c>
      <c r="C1871" s="22" t="s">
        <v>31</v>
      </c>
      <c r="D1871">
        <v>1</v>
      </c>
      <c r="G1871" s="25">
        <f>Table132[[#This Row],[nb win]]/Table132[[#This Row],[nb play]]</f>
        <v>0</v>
      </c>
      <c r="H1871" t="str">
        <f>MID(Table132[[#This Row],[ÉTAT]],VALUE(RIGHT(Table132[[#This Row],[next move]],1))+1+VALUE(LEFT(Table132[[#This Row],[next move]],1))*3,1)</f>
        <v>V</v>
      </c>
      <c r="I1871" t="str">
        <f>Table132[[#This Row],[ÉTAT]]&amp;Table132[[#This Row],[next move]]</f>
        <v>VMVEVMEVV22</v>
      </c>
    </row>
    <row r="1872" spans="2:9" x14ac:dyDescent="0.25">
      <c r="B1872" t="s">
        <v>740</v>
      </c>
      <c r="C1872" s="22" t="s">
        <v>24</v>
      </c>
      <c r="D1872">
        <v>1</v>
      </c>
      <c r="E1872">
        <v>1</v>
      </c>
      <c r="G1872" s="25">
        <f>Table132[[#This Row],[nb win]]/Table132[[#This Row],[nb play]]</f>
        <v>1</v>
      </c>
      <c r="H1872" t="str">
        <f>MID(Table132[[#This Row],[ÉTAT]],VALUE(RIGHT(Table132[[#This Row],[next move]],1))+1+VALUE(LEFT(Table132[[#This Row],[next move]],1))*3,1)</f>
        <v>V</v>
      </c>
      <c r="I1872" t="str">
        <f>Table132[[#This Row],[ÉTAT]]&amp;Table132[[#This Row],[next move]]</f>
        <v>VMVEVMEME00</v>
      </c>
    </row>
    <row r="1873" spans="2:9" x14ac:dyDescent="0.25">
      <c r="B1873" t="s">
        <v>740</v>
      </c>
      <c r="C1873" s="22" t="s">
        <v>20</v>
      </c>
      <c r="D1873">
        <v>5</v>
      </c>
      <c r="E1873">
        <v>3</v>
      </c>
      <c r="G1873" s="31">
        <f>Table132[[#This Row],[nb win]]/Table132[[#This Row],[nb play]]</f>
        <v>0.6</v>
      </c>
      <c r="H1873" t="str">
        <f>MID(Table132[[#This Row],[ÉTAT]],VALUE(RIGHT(Table132[[#This Row],[next move]],1))+1+VALUE(LEFT(Table132[[#This Row],[next move]],1))*3,1)</f>
        <v>V</v>
      </c>
      <c r="I1873" t="str">
        <f>Table132[[#This Row],[ÉTAT]]&amp;Table132[[#This Row],[next move]]</f>
        <v>VMVEVMEME02</v>
      </c>
    </row>
    <row r="1874" spans="2:9" x14ac:dyDescent="0.25">
      <c r="B1874" t="s">
        <v>3258</v>
      </c>
      <c r="C1874" s="22" t="s">
        <v>24</v>
      </c>
      <c r="D1874">
        <v>1</v>
      </c>
      <c r="E1874">
        <v>1</v>
      </c>
      <c r="G1874" s="31">
        <f>Table132[[#This Row],[nb win]]/Table132[[#This Row],[nb play]]</f>
        <v>1</v>
      </c>
      <c r="H1874" t="str">
        <f>MID(Table132[[#This Row],[ÉTAT]],VALUE(RIGHT(Table132[[#This Row],[next move]],1))+1+VALUE(LEFT(Table132[[#This Row],[next move]],1))*3,1)</f>
        <v>V</v>
      </c>
      <c r="I1874" t="str">
        <f>Table132[[#This Row],[ÉTAT]]&amp;Table132[[#This Row],[next move]]</f>
        <v>VMVEVMEEM00</v>
      </c>
    </row>
    <row r="1875" spans="2:9" x14ac:dyDescent="0.25">
      <c r="B1875" t="s">
        <v>2604</v>
      </c>
      <c r="C1875" s="22" t="s">
        <v>24</v>
      </c>
      <c r="D1875">
        <v>1</v>
      </c>
      <c r="G1875" s="30">
        <f>Table132[[#This Row],[nb win]]/Table132[[#This Row],[nb play]]</f>
        <v>0</v>
      </c>
      <c r="H1875" t="str">
        <f>MID(Table132[[#This Row],[ÉTAT]],VALUE(RIGHT(Table132[[#This Row],[next move]],1))+1+VALUE(LEFT(Table132[[#This Row],[next move]],1))*3,1)</f>
        <v>V</v>
      </c>
      <c r="I1875" t="str">
        <f>Table132[[#This Row],[ÉTAT]]&amp;Table132[[#This Row],[next move]]</f>
        <v>VMVEVEVVV00</v>
      </c>
    </row>
    <row r="1876" spans="2:9" x14ac:dyDescent="0.25">
      <c r="B1876" t="s">
        <v>2604</v>
      </c>
      <c r="C1876" s="22" t="s">
        <v>20</v>
      </c>
      <c r="D1876">
        <v>1</v>
      </c>
      <c r="E1876">
        <v>1</v>
      </c>
      <c r="G1876" s="31">
        <f>Table132[[#This Row],[nb win]]/Table132[[#This Row],[nb play]]</f>
        <v>1</v>
      </c>
      <c r="H1876" t="str">
        <f>MID(Table132[[#This Row],[ÉTAT]],VALUE(RIGHT(Table132[[#This Row],[next move]],1))+1+VALUE(LEFT(Table132[[#This Row],[next move]],1))*3,1)</f>
        <v>V</v>
      </c>
      <c r="I1876" t="str">
        <f>Table132[[#This Row],[ÉTAT]]&amp;Table132[[#This Row],[next move]]</f>
        <v>VMVEVEVVV02</v>
      </c>
    </row>
    <row r="1877" spans="2:9" x14ac:dyDescent="0.25">
      <c r="B1877" t="s">
        <v>2604</v>
      </c>
      <c r="C1877" s="22" t="s">
        <v>35</v>
      </c>
      <c r="D1877">
        <v>2</v>
      </c>
      <c r="E1877">
        <v>1</v>
      </c>
      <c r="G1877" s="31">
        <f>Table132[[#This Row],[nb win]]/Table132[[#This Row],[nb play]]</f>
        <v>0.5</v>
      </c>
      <c r="H1877" t="str">
        <f>MID(Table132[[#This Row],[ÉTAT]],VALUE(RIGHT(Table132[[#This Row],[next move]],1))+1+VALUE(LEFT(Table132[[#This Row],[next move]],1))*3,1)</f>
        <v>V</v>
      </c>
      <c r="I1877" t="str">
        <f>Table132[[#This Row],[ÉTAT]]&amp;Table132[[#This Row],[next move]]</f>
        <v>VMVEVEVVV20</v>
      </c>
    </row>
    <row r="1878" spans="2:9" x14ac:dyDescent="0.25">
      <c r="B1878" t="s">
        <v>2604</v>
      </c>
      <c r="C1878" s="22" t="s">
        <v>22</v>
      </c>
      <c r="D1878">
        <v>4</v>
      </c>
      <c r="E1878">
        <v>3</v>
      </c>
      <c r="G1878" s="30">
        <f>Table132[[#This Row],[nb win]]/Table132[[#This Row],[nb play]]</f>
        <v>0.75</v>
      </c>
      <c r="H1878" t="str">
        <f>MID(Table132[[#This Row],[ÉTAT]],VALUE(RIGHT(Table132[[#This Row],[next move]],1))+1+VALUE(LEFT(Table132[[#This Row],[next move]],1))*3,1)</f>
        <v>V</v>
      </c>
      <c r="I1878" t="str">
        <f>Table132[[#This Row],[ÉTAT]]&amp;Table132[[#This Row],[next move]]</f>
        <v>VMVEVEVVV21</v>
      </c>
    </row>
    <row r="1879" spans="2:9" x14ac:dyDescent="0.25">
      <c r="B1879" t="s">
        <v>2604</v>
      </c>
      <c r="C1879" s="22" t="s">
        <v>31</v>
      </c>
      <c r="D1879">
        <v>1</v>
      </c>
      <c r="G1879" s="30">
        <f>Table132[[#This Row],[nb win]]/Table132[[#This Row],[nb play]]</f>
        <v>0</v>
      </c>
      <c r="H1879" t="str">
        <f>MID(Table132[[#This Row],[ÉTAT]],VALUE(RIGHT(Table132[[#This Row],[next move]],1))+1+VALUE(LEFT(Table132[[#This Row],[next move]],1))*3,1)</f>
        <v>V</v>
      </c>
      <c r="I1879" t="str">
        <f>Table132[[#This Row],[ÉTAT]]&amp;Table132[[#This Row],[next move]]</f>
        <v>VMVEVEVVV22</v>
      </c>
    </row>
    <row r="1880" spans="2:9" x14ac:dyDescent="0.25">
      <c r="B1880" t="s">
        <v>716</v>
      </c>
      <c r="C1880" s="22" t="s">
        <v>24</v>
      </c>
      <c r="D1880">
        <v>2</v>
      </c>
      <c r="E1880">
        <v>1</v>
      </c>
      <c r="G1880" s="30">
        <f>Table132[[#This Row],[nb win]]/Table132[[#This Row],[nb play]]</f>
        <v>0.5</v>
      </c>
      <c r="H1880" t="str">
        <f>MID(Table132[[#This Row],[ÉTAT]],VALUE(RIGHT(Table132[[#This Row],[next move]],1))+1+VALUE(LEFT(Table132[[#This Row],[next move]],1))*3,1)</f>
        <v>V</v>
      </c>
      <c r="I1880" t="str">
        <f>Table132[[#This Row],[ÉTAT]]&amp;Table132[[#This Row],[next move]]</f>
        <v>VMVEVEVVM00</v>
      </c>
    </row>
    <row r="1881" spans="2:9" x14ac:dyDescent="0.25">
      <c r="B1881" t="s">
        <v>716</v>
      </c>
      <c r="C1881" s="22" t="s">
        <v>20</v>
      </c>
      <c r="D1881">
        <v>1</v>
      </c>
      <c r="G1881" s="25">
        <f>Table132[[#This Row],[nb win]]/Table132[[#This Row],[nb play]]</f>
        <v>0</v>
      </c>
      <c r="H1881" t="str">
        <f>MID(Table132[[#This Row],[ÉTAT]],VALUE(RIGHT(Table132[[#This Row],[next move]],1))+1+VALUE(LEFT(Table132[[#This Row],[next move]],1))*3,1)</f>
        <v>V</v>
      </c>
      <c r="I1881" t="str">
        <f>Table132[[#This Row],[ÉTAT]]&amp;Table132[[#This Row],[next move]]</f>
        <v>VMVEVEVVM02</v>
      </c>
    </row>
    <row r="1882" spans="2:9" x14ac:dyDescent="0.25">
      <c r="B1882" t="s">
        <v>716</v>
      </c>
      <c r="C1882" s="22" t="s">
        <v>29</v>
      </c>
      <c r="D1882">
        <v>2</v>
      </c>
      <c r="E1882">
        <v>2</v>
      </c>
      <c r="G1882" s="31">
        <f>Table132[[#This Row],[nb win]]/Table132[[#This Row],[nb play]]</f>
        <v>1</v>
      </c>
      <c r="H1882" t="str">
        <f>MID(Table132[[#This Row],[ÉTAT]],VALUE(RIGHT(Table132[[#This Row],[next move]],1))+1+VALUE(LEFT(Table132[[#This Row],[next move]],1))*3,1)</f>
        <v>V</v>
      </c>
      <c r="I1882" t="str">
        <f>Table132[[#This Row],[ÉTAT]]&amp;Table132[[#This Row],[next move]]</f>
        <v>VMVEVEVVM11</v>
      </c>
    </row>
    <row r="1883" spans="2:9" x14ac:dyDescent="0.25">
      <c r="B1883" t="s">
        <v>716</v>
      </c>
      <c r="C1883" s="22" t="s">
        <v>22</v>
      </c>
      <c r="D1883">
        <v>2</v>
      </c>
      <c r="E1883">
        <v>1</v>
      </c>
      <c r="G1883" s="25">
        <f>Table132[[#This Row],[nb win]]/Table132[[#This Row],[nb play]]</f>
        <v>0.5</v>
      </c>
      <c r="H1883" t="str">
        <f>MID(Table132[[#This Row],[ÉTAT]],VALUE(RIGHT(Table132[[#This Row],[next move]],1))+1+VALUE(LEFT(Table132[[#This Row],[next move]],1))*3,1)</f>
        <v>V</v>
      </c>
      <c r="I1883" t="str">
        <f>Table132[[#This Row],[ÉTAT]]&amp;Table132[[#This Row],[next move]]</f>
        <v>VMVEVEVVM21</v>
      </c>
    </row>
    <row r="1884" spans="2:9" x14ac:dyDescent="0.25">
      <c r="B1884" t="s">
        <v>688</v>
      </c>
      <c r="C1884" s="22" t="s">
        <v>24</v>
      </c>
      <c r="D1884">
        <v>2</v>
      </c>
      <c r="G1884" s="25">
        <f>Table132[[#This Row],[nb win]]/Table132[[#This Row],[nb play]]</f>
        <v>0</v>
      </c>
      <c r="H1884" t="str">
        <f>MID(Table132[[#This Row],[ÉTAT]],VALUE(RIGHT(Table132[[#This Row],[next move]],1))+1+VALUE(LEFT(Table132[[#This Row],[next move]],1))*3,1)</f>
        <v>V</v>
      </c>
      <c r="I1884" t="str">
        <f>Table132[[#This Row],[ÉTAT]]&amp;Table132[[#This Row],[next move]]</f>
        <v>VMVEVEVMV00</v>
      </c>
    </row>
    <row r="1885" spans="2:9" x14ac:dyDescent="0.25">
      <c r="B1885" t="s">
        <v>688</v>
      </c>
      <c r="C1885" s="22" t="s">
        <v>20</v>
      </c>
      <c r="D1885">
        <v>2</v>
      </c>
      <c r="G1885" s="30">
        <f>Table132[[#This Row],[nb win]]/Table132[[#This Row],[nb play]]</f>
        <v>0</v>
      </c>
      <c r="H1885" t="str">
        <f>MID(Table132[[#This Row],[ÉTAT]],VALUE(RIGHT(Table132[[#This Row],[next move]],1))+1+VALUE(LEFT(Table132[[#This Row],[next move]],1))*3,1)</f>
        <v>V</v>
      </c>
      <c r="I1885" t="str">
        <f>Table132[[#This Row],[ÉTAT]]&amp;Table132[[#This Row],[next move]]</f>
        <v>VMVEVEVMV02</v>
      </c>
    </row>
    <row r="1886" spans="2:9" x14ac:dyDescent="0.25">
      <c r="B1886" t="s">
        <v>688</v>
      </c>
      <c r="C1886" s="22" t="s">
        <v>29</v>
      </c>
      <c r="D1886">
        <v>3</v>
      </c>
      <c r="E1886">
        <v>3</v>
      </c>
      <c r="G1886" s="31">
        <f>Table132[[#This Row],[nb win]]/Table132[[#This Row],[nb play]]</f>
        <v>1</v>
      </c>
      <c r="H1886" t="str">
        <f>MID(Table132[[#This Row],[ÉTAT]],VALUE(RIGHT(Table132[[#This Row],[next move]],1))+1+VALUE(LEFT(Table132[[#This Row],[next move]],1))*3,1)</f>
        <v>V</v>
      </c>
      <c r="I1886" t="str">
        <f>Table132[[#This Row],[ÉTAT]]&amp;Table132[[#This Row],[next move]]</f>
        <v>VMVEVEVMV11</v>
      </c>
    </row>
    <row r="1887" spans="2:9" x14ac:dyDescent="0.25">
      <c r="B1887" t="s">
        <v>688</v>
      </c>
      <c r="C1887" s="22" t="s">
        <v>35</v>
      </c>
      <c r="D1887">
        <v>3</v>
      </c>
      <c r="E1887">
        <v>2</v>
      </c>
      <c r="G1887" s="25">
        <f>Table132[[#This Row],[nb win]]/Table132[[#This Row],[nb play]]</f>
        <v>0.66666666666666663</v>
      </c>
      <c r="H1887" t="str">
        <f>MID(Table132[[#This Row],[ÉTAT]],VALUE(RIGHT(Table132[[#This Row],[next move]],1))+1+VALUE(LEFT(Table132[[#This Row],[next move]],1))*3,1)</f>
        <v>V</v>
      </c>
      <c r="I1887" t="str">
        <f>Table132[[#This Row],[ÉTAT]]&amp;Table132[[#This Row],[next move]]</f>
        <v>VMVEVEVMV20</v>
      </c>
    </row>
    <row r="1888" spans="2:9" x14ac:dyDescent="0.25">
      <c r="B1888" t="s">
        <v>2054</v>
      </c>
      <c r="C1888" s="22" t="s">
        <v>24</v>
      </c>
      <c r="D1888">
        <v>3</v>
      </c>
      <c r="G1888" s="30">
        <f>Table132[[#This Row],[nb win]]/Table132[[#This Row],[nb play]]</f>
        <v>0</v>
      </c>
      <c r="H1888" t="str">
        <f>MID(Table132[[#This Row],[ÉTAT]],VALUE(RIGHT(Table132[[#This Row],[next move]],1))+1+VALUE(LEFT(Table132[[#This Row],[next move]],1))*3,1)</f>
        <v>V</v>
      </c>
      <c r="I1888" t="str">
        <f>Table132[[#This Row],[ÉTAT]]&amp;Table132[[#This Row],[next move]]</f>
        <v>VMVEVEVME00</v>
      </c>
    </row>
    <row r="1889" spans="2:9" x14ac:dyDescent="0.25">
      <c r="B1889" t="s">
        <v>2054</v>
      </c>
      <c r="C1889" s="22" t="s">
        <v>20</v>
      </c>
      <c r="D1889">
        <v>3</v>
      </c>
      <c r="G1889" s="30">
        <f>Table132[[#This Row],[nb win]]/Table132[[#This Row],[nb play]]</f>
        <v>0</v>
      </c>
      <c r="H1889" t="str">
        <f>MID(Table132[[#This Row],[ÉTAT]],VALUE(RIGHT(Table132[[#This Row],[next move]],1))+1+VALUE(LEFT(Table132[[#This Row],[next move]],1))*3,1)</f>
        <v>V</v>
      </c>
      <c r="I1889" t="str">
        <f>Table132[[#This Row],[ÉTAT]]&amp;Table132[[#This Row],[next move]]</f>
        <v>VMVEVEVME02</v>
      </c>
    </row>
    <row r="1890" spans="2:9" x14ac:dyDescent="0.25">
      <c r="B1890" t="s">
        <v>2054</v>
      </c>
      <c r="C1890" s="22" t="s">
        <v>29</v>
      </c>
      <c r="D1890">
        <v>4</v>
      </c>
      <c r="E1890">
        <v>4</v>
      </c>
      <c r="G1890" s="25">
        <f>Table132[[#This Row],[nb win]]/Table132[[#This Row],[nb play]]</f>
        <v>1</v>
      </c>
      <c r="H1890" t="str">
        <f>MID(Table132[[#This Row],[ÉTAT]],VALUE(RIGHT(Table132[[#This Row],[next move]],1))+1+VALUE(LEFT(Table132[[#This Row],[next move]],1))*3,1)</f>
        <v>V</v>
      </c>
      <c r="I1890" t="str">
        <f>Table132[[#This Row],[ÉTAT]]&amp;Table132[[#This Row],[next move]]</f>
        <v>VMVEVEVME11</v>
      </c>
    </row>
    <row r="1891" spans="2:9" x14ac:dyDescent="0.25">
      <c r="B1891" t="s">
        <v>3237</v>
      </c>
      <c r="C1891" s="22" t="s">
        <v>24</v>
      </c>
      <c r="D1891">
        <v>2</v>
      </c>
      <c r="E1891">
        <v>2</v>
      </c>
      <c r="G1891" s="31">
        <f>Table132[[#This Row],[nb win]]/Table132[[#This Row],[nb play]]</f>
        <v>1</v>
      </c>
      <c r="H1891" t="str">
        <f>MID(Table132[[#This Row],[ÉTAT]],VALUE(RIGHT(Table132[[#This Row],[next move]],1))+1+VALUE(LEFT(Table132[[#This Row],[next move]],1))*3,1)</f>
        <v>V</v>
      </c>
      <c r="I1891" t="str">
        <f>Table132[[#This Row],[ÉTAT]]&amp;Table132[[#This Row],[next move]]</f>
        <v>VMVEVEMVV00</v>
      </c>
    </row>
    <row r="1892" spans="2:9" x14ac:dyDescent="0.25">
      <c r="B1892" t="s">
        <v>3237</v>
      </c>
      <c r="C1892" s="22" t="s">
        <v>20</v>
      </c>
      <c r="D1892">
        <v>1</v>
      </c>
      <c r="G1892" s="30">
        <f>Table132[[#This Row],[nb win]]/Table132[[#This Row],[nb play]]</f>
        <v>0</v>
      </c>
      <c r="H1892" t="str">
        <f>MID(Table132[[#This Row],[ÉTAT]],VALUE(RIGHT(Table132[[#This Row],[next move]],1))+1+VALUE(LEFT(Table132[[#This Row],[next move]],1))*3,1)</f>
        <v>V</v>
      </c>
      <c r="I1892" t="str">
        <f>Table132[[#This Row],[ÉTAT]]&amp;Table132[[#This Row],[next move]]</f>
        <v>VMVEVEMVV02</v>
      </c>
    </row>
    <row r="1893" spans="2:9" x14ac:dyDescent="0.25">
      <c r="B1893" t="s">
        <v>3237</v>
      </c>
      <c r="C1893" s="22" t="s">
        <v>31</v>
      </c>
      <c r="D1893">
        <v>1</v>
      </c>
      <c r="G1893" s="30">
        <f>Table132[[#This Row],[nb win]]/Table132[[#This Row],[nb play]]</f>
        <v>0</v>
      </c>
      <c r="H1893" t="str">
        <f>MID(Table132[[#This Row],[ÉTAT]],VALUE(RIGHT(Table132[[#This Row],[next move]],1))+1+VALUE(LEFT(Table132[[#This Row],[next move]],1))*3,1)</f>
        <v>V</v>
      </c>
      <c r="I1893" t="str">
        <f>Table132[[#This Row],[ÉTAT]]&amp;Table132[[#This Row],[next move]]</f>
        <v>VMVEVEMVV22</v>
      </c>
    </row>
    <row r="1894" spans="2:9" x14ac:dyDescent="0.25">
      <c r="B1894" t="s">
        <v>875</v>
      </c>
      <c r="C1894" s="22" t="s">
        <v>29</v>
      </c>
      <c r="D1894">
        <v>10</v>
      </c>
      <c r="E1894">
        <v>10</v>
      </c>
      <c r="G1894" s="31">
        <f>Table132[[#This Row],[nb win]]/Table132[[#This Row],[nb play]]</f>
        <v>1</v>
      </c>
      <c r="H1894" t="str">
        <f>MID(Table132[[#This Row],[ÉTAT]],VALUE(RIGHT(Table132[[#This Row],[next move]],1))+1+VALUE(LEFT(Table132[[#This Row],[next move]],1))*3,1)</f>
        <v>V</v>
      </c>
      <c r="I1894" t="str">
        <f>Table132[[#This Row],[ÉTAT]]&amp;Table132[[#This Row],[next move]]</f>
        <v>VMVEVEMME11</v>
      </c>
    </row>
    <row r="1895" spans="2:9" x14ac:dyDescent="0.25">
      <c r="B1895" t="s">
        <v>2217</v>
      </c>
      <c r="C1895" s="22" t="s">
        <v>20</v>
      </c>
      <c r="D1895">
        <v>1</v>
      </c>
      <c r="E1895">
        <v>1</v>
      </c>
      <c r="G1895" s="25">
        <f>Table132[[#This Row],[nb win]]/Table132[[#This Row],[nb play]]</f>
        <v>1</v>
      </c>
      <c r="H1895" t="str">
        <f>MID(Table132[[#This Row],[ÉTAT]],VALUE(RIGHT(Table132[[#This Row],[next move]],1))+1+VALUE(LEFT(Table132[[#This Row],[next move]],1))*3,1)</f>
        <v>V</v>
      </c>
      <c r="I1895" t="str">
        <f>Table132[[#This Row],[ÉTAT]]&amp;Table132[[#This Row],[next move]]</f>
        <v>VMVEVEMEV02</v>
      </c>
    </row>
    <row r="1896" spans="2:9" x14ac:dyDescent="0.25">
      <c r="B1896" t="s">
        <v>3322</v>
      </c>
      <c r="C1896" s="22" t="s">
        <v>24</v>
      </c>
      <c r="D1896">
        <v>1</v>
      </c>
      <c r="E1896">
        <v>1</v>
      </c>
      <c r="G1896" s="31">
        <f>Table132[[#This Row],[nb win]]/Table132[[#This Row],[nb play]]</f>
        <v>1</v>
      </c>
      <c r="H1896" t="str">
        <f>MID(Table132[[#This Row],[ÉTAT]],VALUE(RIGHT(Table132[[#This Row],[next move]],1))+1+VALUE(LEFT(Table132[[#This Row],[next move]],1))*3,1)</f>
        <v>V</v>
      </c>
      <c r="I1896" t="str">
        <f>Table132[[#This Row],[ÉTAT]]&amp;Table132[[#This Row],[next move]]</f>
        <v>VMVEVEMEM00</v>
      </c>
    </row>
    <row r="1897" spans="2:9" x14ac:dyDescent="0.25">
      <c r="B1897" t="s">
        <v>3434</v>
      </c>
      <c r="C1897" s="22" t="s">
        <v>22</v>
      </c>
      <c r="D1897">
        <v>1</v>
      </c>
      <c r="G1897" s="30">
        <f>Table132[[#This Row],[nb win]]/Table132[[#This Row],[nb play]]</f>
        <v>0</v>
      </c>
      <c r="H1897" t="str">
        <f>MID(Table132[[#This Row],[ÉTAT]],VALUE(RIGHT(Table132[[#This Row],[next move]],1))+1+VALUE(LEFT(Table132[[#This Row],[next move]],1))*3,1)</f>
        <v>V</v>
      </c>
      <c r="I1897" t="str">
        <f>Table132[[#This Row],[ÉTAT]]&amp;Table132[[#This Row],[next move]]</f>
        <v>VMVEVEEVM21</v>
      </c>
    </row>
    <row r="1898" spans="2:9" x14ac:dyDescent="0.25">
      <c r="B1898" t="s">
        <v>2867</v>
      </c>
      <c r="C1898" s="22" t="s">
        <v>29</v>
      </c>
      <c r="D1898">
        <v>2</v>
      </c>
      <c r="E1898">
        <v>2</v>
      </c>
      <c r="G1898" s="31">
        <f>Table132[[#This Row],[nb win]]/Table132[[#This Row],[nb play]]</f>
        <v>1</v>
      </c>
      <c r="H1898" t="str">
        <f>MID(Table132[[#This Row],[ÉTAT]],VALUE(RIGHT(Table132[[#This Row],[next move]],1))+1+VALUE(LEFT(Table132[[#This Row],[next move]],1))*3,1)</f>
        <v>V</v>
      </c>
      <c r="I1898" t="str">
        <f>Table132[[#This Row],[ÉTAT]]&amp;Table132[[#This Row],[next move]]</f>
        <v>VMVEVEEMV11</v>
      </c>
    </row>
    <row r="1899" spans="2:9" x14ac:dyDescent="0.25">
      <c r="B1899" t="s">
        <v>2369</v>
      </c>
      <c r="C1899" s="22" t="s">
        <v>20</v>
      </c>
      <c r="D1899">
        <v>1</v>
      </c>
      <c r="E1899">
        <v>1</v>
      </c>
      <c r="G1899" s="25">
        <f>Table132[[#This Row],[nb win]]/Table132[[#This Row],[nb play]]</f>
        <v>1</v>
      </c>
      <c r="H1899" t="str">
        <f>MID(Table132[[#This Row],[ÉTAT]],VALUE(RIGHT(Table132[[#This Row],[next move]],1))+1+VALUE(LEFT(Table132[[#This Row],[next move]],1))*3,1)</f>
        <v>V</v>
      </c>
      <c r="I1899" t="str">
        <f>Table132[[#This Row],[ÉTAT]]&amp;Table132[[#This Row],[next move]]</f>
        <v>VMVEMVVVE02</v>
      </c>
    </row>
    <row r="1900" spans="2:9" x14ac:dyDescent="0.25">
      <c r="B1900" t="s">
        <v>1022</v>
      </c>
      <c r="C1900" s="22" t="s">
        <v>28</v>
      </c>
      <c r="D1900">
        <v>5</v>
      </c>
      <c r="G1900" s="30">
        <f>Table132[[#This Row],[nb win]]/Table132[[#This Row],[nb play]]</f>
        <v>0</v>
      </c>
      <c r="H1900" t="str">
        <f>MID(Table132[[#This Row],[ÉTAT]],VALUE(RIGHT(Table132[[#This Row],[next move]],1))+1+VALUE(LEFT(Table132[[#This Row],[next move]],1))*3,1)</f>
        <v>V</v>
      </c>
      <c r="I1900" t="str">
        <f>Table132[[#This Row],[ÉTAT]]&amp;Table132[[#This Row],[next move]]</f>
        <v>VMVEMVVEV12</v>
      </c>
    </row>
    <row r="1901" spans="2:9" x14ac:dyDescent="0.25">
      <c r="B1901" t="s">
        <v>1022</v>
      </c>
      <c r="C1901" s="22" t="s">
        <v>31</v>
      </c>
      <c r="D1901">
        <v>3</v>
      </c>
      <c r="E1901">
        <v>2</v>
      </c>
      <c r="G1901" s="30">
        <f>Table132[[#This Row],[nb win]]/Table132[[#This Row],[nb play]]</f>
        <v>0.66666666666666663</v>
      </c>
      <c r="H1901" t="str">
        <f>MID(Table132[[#This Row],[ÉTAT]],VALUE(RIGHT(Table132[[#This Row],[next move]],1))+1+VALUE(LEFT(Table132[[#This Row],[next move]],1))*3,1)</f>
        <v>V</v>
      </c>
      <c r="I1901" t="str">
        <f>Table132[[#This Row],[ÉTAT]]&amp;Table132[[#This Row],[next move]]</f>
        <v>VMVEMVVEV22</v>
      </c>
    </row>
    <row r="1902" spans="2:9" x14ac:dyDescent="0.25">
      <c r="B1902" t="s">
        <v>1274</v>
      </c>
      <c r="C1902" s="22" t="s">
        <v>20</v>
      </c>
      <c r="D1902">
        <v>1</v>
      </c>
      <c r="E1902">
        <v>1</v>
      </c>
      <c r="G1902" s="25">
        <f>Table132[[#This Row],[nb win]]/Table132[[#This Row],[nb play]]</f>
        <v>1</v>
      </c>
      <c r="H1902" t="str">
        <f>MID(Table132[[#This Row],[ÉTAT]],VALUE(RIGHT(Table132[[#This Row],[next move]],1))+1+VALUE(LEFT(Table132[[#This Row],[next move]],1))*3,1)</f>
        <v>V</v>
      </c>
      <c r="I1902" t="str">
        <f>Table132[[#This Row],[ÉTAT]]&amp;Table132[[#This Row],[next move]]</f>
        <v>VMVEMVVEE02</v>
      </c>
    </row>
    <row r="1903" spans="2:9" x14ac:dyDescent="0.25">
      <c r="B1903" t="s">
        <v>1274</v>
      </c>
      <c r="C1903" s="22" t="s">
        <v>28</v>
      </c>
      <c r="D1903">
        <v>2</v>
      </c>
      <c r="G1903" s="25">
        <f>Table132[[#This Row],[nb win]]/Table132[[#This Row],[nb play]]</f>
        <v>0</v>
      </c>
      <c r="H1903" t="str">
        <f>MID(Table132[[#This Row],[ÉTAT]],VALUE(RIGHT(Table132[[#This Row],[next move]],1))+1+VALUE(LEFT(Table132[[#This Row],[next move]],1))*3,1)</f>
        <v>V</v>
      </c>
      <c r="I1903" t="str">
        <f>Table132[[#This Row],[ÉTAT]]&amp;Table132[[#This Row],[next move]]</f>
        <v>VMVEMVVEE12</v>
      </c>
    </row>
    <row r="1904" spans="2:9" x14ac:dyDescent="0.25">
      <c r="B1904" t="s">
        <v>1274</v>
      </c>
      <c r="C1904" s="22" t="s">
        <v>35</v>
      </c>
      <c r="D1904">
        <v>1</v>
      </c>
      <c r="G1904" s="25">
        <f>Table132[[#This Row],[nb win]]/Table132[[#This Row],[nb play]]</f>
        <v>0</v>
      </c>
      <c r="H1904" t="str">
        <f>MID(Table132[[#This Row],[ÉTAT]],VALUE(RIGHT(Table132[[#This Row],[next move]],1))+1+VALUE(LEFT(Table132[[#This Row],[next move]],1))*3,1)</f>
        <v>V</v>
      </c>
      <c r="I1904" t="str">
        <f>Table132[[#This Row],[ÉTAT]]&amp;Table132[[#This Row],[next move]]</f>
        <v>VMVEMVVEE20</v>
      </c>
    </row>
    <row r="1905" spans="2:9" x14ac:dyDescent="0.25">
      <c r="B1905" t="s">
        <v>1205</v>
      </c>
      <c r="C1905" s="22" t="s">
        <v>24</v>
      </c>
      <c r="D1905">
        <v>6</v>
      </c>
      <c r="E1905">
        <v>5</v>
      </c>
      <c r="G1905" s="31">
        <f>Table132[[#This Row],[nb win]]/Table132[[#This Row],[nb play]]</f>
        <v>0.83333333333333337</v>
      </c>
      <c r="H1905" t="str">
        <f>MID(Table132[[#This Row],[ÉTAT]],VALUE(RIGHT(Table132[[#This Row],[next move]],1))+1+VALUE(LEFT(Table132[[#This Row],[next move]],1))*3,1)</f>
        <v>V</v>
      </c>
      <c r="I1905" t="str">
        <f>Table132[[#This Row],[ÉTAT]]&amp;Table132[[#This Row],[next move]]</f>
        <v>VMVEMVEVV00</v>
      </c>
    </row>
    <row r="1906" spans="2:9" x14ac:dyDescent="0.25">
      <c r="B1906" t="s">
        <v>1205</v>
      </c>
      <c r="C1906" s="22" t="s">
        <v>20</v>
      </c>
      <c r="D1906">
        <v>1</v>
      </c>
      <c r="E1906">
        <v>1</v>
      </c>
      <c r="G1906" s="31">
        <f>Table132[[#This Row],[nb win]]/Table132[[#This Row],[nb play]]</f>
        <v>1</v>
      </c>
      <c r="H1906" t="str">
        <f>MID(Table132[[#This Row],[ÉTAT]],VALUE(RIGHT(Table132[[#This Row],[next move]],1))+1+VALUE(LEFT(Table132[[#This Row],[next move]],1))*3,1)</f>
        <v>V</v>
      </c>
      <c r="I1906" t="str">
        <f>Table132[[#This Row],[ÉTAT]]&amp;Table132[[#This Row],[next move]]</f>
        <v>VMVEMVEVV02</v>
      </c>
    </row>
    <row r="1907" spans="2:9" x14ac:dyDescent="0.25">
      <c r="B1907" t="s">
        <v>1205</v>
      </c>
      <c r="C1907" s="22" t="s">
        <v>28</v>
      </c>
      <c r="D1907">
        <v>2</v>
      </c>
      <c r="G1907" s="25">
        <f>Table132[[#This Row],[nb win]]/Table132[[#This Row],[nb play]]</f>
        <v>0</v>
      </c>
      <c r="H1907" t="str">
        <f>MID(Table132[[#This Row],[ÉTAT]],VALUE(RIGHT(Table132[[#This Row],[next move]],1))+1+VALUE(LEFT(Table132[[#This Row],[next move]],1))*3,1)</f>
        <v>V</v>
      </c>
      <c r="I1907" t="str">
        <f>Table132[[#This Row],[ÉTAT]]&amp;Table132[[#This Row],[next move]]</f>
        <v>VMVEMVEVV12</v>
      </c>
    </row>
    <row r="1908" spans="2:9" x14ac:dyDescent="0.25">
      <c r="B1908" t="s">
        <v>3109</v>
      </c>
      <c r="C1908" s="22" t="s">
        <v>20</v>
      </c>
      <c r="D1908">
        <v>1</v>
      </c>
      <c r="G1908" s="30">
        <f>Table132[[#This Row],[nb win]]/Table132[[#This Row],[nb play]]</f>
        <v>0</v>
      </c>
      <c r="H1908" t="str">
        <f>MID(Table132[[#This Row],[ÉTAT]],VALUE(RIGHT(Table132[[#This Row],[next move]],1))+1+VALUE(LEFT(Table132[[#This Row],[next move]],1))*3,1)</f>
        <v>V</v>
      </c>
      <c r="I1908" t="str">
        <f>Table132[[#This Row],[ÉTAT]]&amp;Table132[[#This Row],[next move]]</f>
        <v>VMVEMVEVE02</v>
      </c>
    </row>
    <row r="1909" spans="2:9" x14ac:dyDescent="0.25">
      <c r="B1909" t="s">
        <v>3109</v>
      </c>
      <c r="C1909" s="22" t="s">
        <v>22</v>
      </c>
      <c r="D1909">
        <v>1</v>
      </c>
      <c r="E1909">
        <v>1</v>
      </c>
      <c r="G1909" s="31">
        <f>Table132[[#This Row],[nb win]]/Table132[[#This Row],[nb play]]</f>
        <v>1</v>
      </c>
      <c r="H1909" t="str">
        <f>MID(Table132[[#This Row],[ÉTAT]],VALUE(RIGHT(Table132[[#This Row],[next move]],1))+1+VALUE(LEFT(Table132[[#This Row],[next move]],1))*3,1)</f>
        <v>V</v>
      </c>
      <c r="I1909" t="str">
        <f>Table132[[#This Row],[ÉTAT]]&amp;Table132[[#This Row],[next move]]</f>
        <v>VMVEMVEVE21</v>
      </c>
    </row>
    <row r="1910" spans="2:9" x14ac:dyDescent="0.25">
      <c r="B1910" t="s">
        <v>1760</v>
      </c>
      <c r="C1910" s="22" t="s">
        <v>24</v>
      </c>
      <c r="D1910">
        <v>4</v>
      </c>
      <c r="E1910">
        <v>4</v>
      </c>
      <c r="G1910" s="31">
        <f>Table132[[#This Row],[nb win]]/Table132[[#This Row],[nb play]]</f>
        <v>1</v>
      </c>
      <c r="H1910" t="str">
        <f>MID(Table132[[#This Row],[ÉTAT]],VALUE(RIGHT(Table132[[#This Row],[next move]],1))+1+VALUE(LEFT(Table132[[#This Row],[next move]],1))*3,1)</f>
        <v>V</v>
      </c>
      <c r="I1910" t="str">
        <f>Table132[[#This Row],[ÉTAT]]&amp;Table132[[#This Row],[next move]]</f>
        <v>VMVEMVEEM00</v>
      </c>
    </row>
    <row r="1911" spans="2:9" x14ac:dyDescent="0.25">
      <c r="B1911" t="s">
        <v>1760</v>
      </c>
      <c r="C1911" s="22" t="s">
        <v>20</v>
      </c>
      <c r="D1911">
        <v>3</v>
      </c>
      <c r="G1911" s="30">
        <f>Table132[[#This Row],[nb win]]/Table132[[#This Row],[nb play]]</f>
        <v>0</v>
      </c>
      <c r="H1911" t="str">
        <f>MID(Table132[[#This Row],[ÉTAT]],VALUE(RIGHT(Table132[[#This Row],[next move]],1))+1+VALUE(LEFT(Table132[[#This Row],[next move]],1))*3,1)</f>
        <v>V</v>
      </c>
      <c r="I1911" t="str">
        <f>Table132[[#This Row],[ÉTAT]]&amp;Table132[[#This Row],[next move]]</f>
        <v>VMVEMVEEM02</v>
      </c>
    </row>
    <row r="1912" spans="2:9" x14ac:dyDescent="0.25">
      <c r="B1912" t="s">
        <v>1760</v>
      </c>
      <c r="C1912" s="22" t="s">
        <v>28</v>
      </c>
      <c r="D1912">
        <v>1</v>
      </c>
      <c r="G1912" s="25">
        <f>Table132[[#This Row],[nb win]]/Table132[[#This Row],[nb play]]</f>
        <v>0</v>
      </c>
      <c r="H1912" t="str">
        <f>MID(Table132[[#This Row],[ÉTAT]],VALUE(RIGHT(Table132[[#This Row],[next move]],1))+1+VALUE(LEFT(Table132[[#This Row],[next move]],1))*3,1)</f>
        <v>V</v>
      </c>
      <c r="I1912" t="str">
        <f>Table132[[#This Row],[ÉTAT]]&amp;Table132[[#This Row],[next move]]</f>
        <v>VMVEMVEEM12</v>
      </c>
    </row>
    <row r="1913" spans="2:9" x14ac:dyDescent="0.25">
      <c r="B1913" t="s">
        <v>2370</v>
      </c>
      <c r="C1913" s="22" t="s">
        <v>20</v>
      </c>
      <c r="D1913">
        <v>1</v>
      </c>
      <c r="G1913" s="30">
        <f>Table132[[#This Row],[nb win]]/Table132[[#This Row],[nb play]]</f>
        <v>0</v>
      </c>
      <c r="H1913" t="str">
        <f>MID(Table132[[#This Row],[ÉTAT]],VALUE(RIGHT(Table132[[#This Row],[next move]],1))+1+VALUE(LEFT(Table132[[#This Row],[next move]],1))*3,1)</f>
        <v>V</v>
      </c>
      <c r="I1913" t="str">
        <f>Table132[[#This Row],[ÉTAT]]&amp;Table132[[#This Row],[next move]]</f>
        <v>VMVEMMVEE02</v>
      </c>
    </row>
    <row r="1914" spans="2:9" x14ac:dyDescent="0.25">
      <c r="B1914" t="s">
        <v>2910</v>
      </c>
      <c r="C1914" s="22" t="s">
        <v>24</v>
      </c>
      <c r="D1914">
        <v>1</v>
      </c>
      <c r="G1914" s="25">
        <f>Table132[[#This Row],[nb win]]/Table132[[#This Row],[nb play]]</f>
        <v>0</v>
      </c>
      <c r="H1914" t="str">
        <f>MID(Table132[[#This Row],[ÉTAT]],VALUE(RIGHT(Table132[[#This Row],[next move]],1))+1+VALUE(LEFT(Table132[[#This Row],[next move]],1))*3,1)</f>
        <v>V</v>
      </c>
      <c r="I1914" t="str">
        <f>Table132[[#This Row],[ÉTAT]]&amp;Table132[[#This Row],[next move]]</f>
        <v>VMVEMMEVE00</v>
      </c>
    </row>
    <row r="1915" spans="2:9" x14ac:dyDescent="0.25">
      <c r="B1915" t="s">
        <v>2910</v>
      </c>
      <c r="C1915" s="22" t="s">
        <v>22</v>
      </c>
      <c r="D1915">
        <v>1</v>
      </c>
      <c r="E1915">
        <v>1</v>
      </c>
      <c r="G1915" s="25">
        <f>Table132[[#This Row],[nb win]]/Table132[[#This Row],[nb play]]</f>
        <v>1</v>
      </c>
      <c r="H1915" t="str">
        <f>MID(Table132[[#This Row],[ÉTAT]],VALUE(RIGHT(Table132[[#This Row],[next move]],1))+1+VALUE(LEFT(Table132[[#This Row],[next move]],1))*3,1)</f>
        <v>V</v>
      </c>
      <c r="I1915" t="str">
        <f>Table132[[#This Row],[ÉTAT]]&amp;Table132[[#This Row],[next move]]</f>
        <v>VMVEMMEVE21</v>
      </c>
    </row>
    <row r="1916" spans="2:9" x14ac:dyDescent="0.25">
      <c r="B1916" t="s">
        <v>1024</v>
      </c>
      <c r="C1916" s="22" t="s">
        <v>24</v>
      </c>
      <c r="D1916">
        <v>1</v>
      </c>
      <c r="G1916" s="25">
        <f>Table132[[#This Row],[nb win]]/Table132[[#This Row],[nb play]]</f>
        <v>0</v>
      </c>
      <c r="H1916" t="str">
        <f>MID(Table132[[#This Row],[ÉTAT]],VALUE(RIGHT(Table132[[#This Row],[next move]],1))+1+VALUE(LEFT(Table132[[#This Row],[next move]],1))*3,1)</f>
        <v>V</v>
      </c>
      <c r="I1916" t="str">
        <f>Table132[[#This Row],[ÉTAT]]&amp;Table132[[#This Row],[next move]]</f>
        <v>VMVEMMEEV00</v>
      </c>
    </row>
    <row r="1917" spans="2:9" x14ac:dyDescent="0.25">
      <c r="B1917" t="s">
        <v>1024</v>
      </c>
      <c r="C1917" s="22" t="s">
        <v>20</v>
      </c>
      <c r="D1917">
        <v>4</v>
      </c>
      <c r="G1917" s="30">
        <f>Table132[[#This Row],[nb win]]/Table132[[#This Row],[nb play]]</f>
        <v>0</v>
      </c>
      <c r="H1917" t="str">
        <f>MID(Table132[[#This Row],[ÉTAT]],VALUE(RIGHT(Table132[[#This Row],[next move]],1))+1+VALUE(LEFT(Table132[[#This Row],[next move]],1))*3,1)</f>
        <v>V</v>
      </c>
      <c r="I1917" t="str">
        <f>Table132[[#This Row],[ÉTAT]]&amp;Table132[[#This Row],[next move]]</f>
        <v>VMVEMMEEV02</v>
      </c>
    </row>
    <row r="1918" spans="2:9" x14ac:dyDescent="0.25">
      <c r="B1918" t="s">
        <v>1024</v>
      </c>
      <c r="C1918" s="22" t="s">
        <v>31</v>
      </c>
      <c r="D1918">
        <v>2</v>
      </c>
      <c r="G1918" s="30">
        <f>Table132[[#This Row],[nb win]]/Table132[[#This Row],[nb play]]</f>
        <v>0</v>
      </c>
      <c r="H1918" t="str">
        <f>MID(Table132[[#This Row],[ÉTAT]],VALUE(RIGHT(Table132[[#This Row],[next move]],1))+1+VALUE(LEFT(Table132[[#This Row],[next move]],1))*3,1)</f>
        <v>V</v>
      </c>
      <c r="I1918" t="str">
        <f>Table132[[#This Row],[ÉTAT]]&amp;Table132[[#This Row],[next move]]</f>
        <v>VMVEMMEEV22</v>
      </c>
    </row>
    <row r="1919" spans="2:9" x14ac:dyDescent="0.25">
      <c r="B1919" t="s">
        <v>2022</v>
      </c>
      <c r="C1919" s="22" t="s">
        <v>20</v>
      </c>
      <c r="D1919">
        <v>3</v>
      </c>
      <c r="E1919">
        <v>3</v>
      </c>
      <c r="G1919" s="31">
        <f>Table132[[#This Row],[nb win]]/Table132[[#This Row],[nb play]]</f>
        <v>1</v>
      </c>
      <c r="H1919" t="str">
        <f>MID(Table132[[#This Row],[ÉTAT]],VALUE(RIGHT(Table132[[#This Row],[next move]],1))+1+VALUE(LEFT(Table132[[#This Row],[next move]],1))*3,1)</f>
        <v>V</v>
      </c>
      <c r="I1919" t="str">
        <f>Table132[[#This Row],[ÉTAT]]&amp;Table132[[#This Row],[next move]]</f>
        <v>VMVEMEVVV02</v>
      </c>
    </row>
    <row r="1920" spans="2:9" x14ac:dyDescent="0.25">
      <c r="B1920" t="s">
        <v>3426</v>
      </c>
      <c r="C1920" s="22" t="s">
        <v>22</v>
      </c>
      <c r="D1920">
        <v>1</v>
      </c>
      <c r="E1920">
        <v>1</v>
      </c>
      <c r="G1920" s="31">
        <f>Table132[[#This Row],[nb win]]/Table132[[#This Row],[nb play]]</f>
        <v>1</v>
      </c>
      <c r="H1920" t="str">
        <f>MID(Table132[[#This Row],[ÉTAT]],VALUE(RIGHT(Table132[[#This Row],[next move]],1))+1+VALUE(LEFT(Table132[[#This Row],[next move]],1))*3,1)</f>
        <v>V</v>
      </c>
      <c r="I1920" t="str">
        <f>Table132[[#This Row],[ÉTAT]]&amp;Table132[[#This Row],[next move]]</f>
        <v>VMVEMEVVE21</v>
      </c>
    </row>
    <row r="1921" spans="2:9" x14ac:dyDescent="0.25">
      <c r="B1921" t="s">
        <v>3271</v>
      </c>
      <c r="C1921" s="22" t="s">
        <v>24</v>
      </c>
      <c r="D1921">
        <v>1</v>
      </c>
      <c r="E1921">
        <v>1</v>
      </c>
      <c r="G1921" s="31">
        <f>Table132[[#This Row],[nb win]]/Table132[[#This Row],[nb play]]</f>
        <v>1</v>
      </c>
      <c r="H1921" t="str">
        <f>MID(Table132[[#This Row],[ÉTAT]],VALUE(RIGHT(Table132[[#This Row],[next move]],1))+1+VALUE(LEFT(Table132[[#This Row],[next move]],1))*3,1)</f>
        <v>V</v>
      </c>
      <c r="I1921" t="str">
        <f>Table132[[#This Row],[ÉTAT]]&amp;Table132[[#This Row],[next move]]</f>
        <v>VMVEMEVEV00</v>
      </c>
    </row>
    <row r="1922" spans="2:9" x14ac:dyDescent="0.25">
      <c r="B1922" t="s">
        <v>2101</v>
      </c>
      <c r="C1922" s="22" t="s">
        <v>24</v>
      </c>
      <c r="D1922">
        <v>2</v>
      </c>
      <c r="E1922">
        <v>2</v>
      </c>
      <c r="G1922" s="31">
        <f>Table132[[#This Row],[nb win]]/Table132[[#This Row],[nb play]]</f>
        <v>1</v>
      </c>
      <c r="H1922" t="str">
        <f>MID(Table132[[#This Row],[ÉTAT]],VALUE(RIGHT(Table132[[#This Row],[next move]],1))+1+VALUE(LEFT(Table132[[#This Row],[next move]],1))*3,1)</f>
        <v>V</v>
      </c>
      <c r="I1922" t="str">
        <f>Table132[[#This Row],[ÉTAT]]&amp;Table132[[#This Row],[next move]]</f>
        <v>VMVEMEVEM00</v>
      </c>
    </row>
    <row r="1923" spans="2:9" x14ac:dyDescent="0.25">
      <c r="B1923" t="s">
        <v>3391</v>
      </c>
      <c r="C1923" s="22" t="s">
        <v>22</v>
      </c>
      <c r="D1923">
        <v>1</v>
      </c>
      <c r="E1923">
        <v>1</v>
      </c>
      <c r="G1923" s="31">
        <f>Table132[[#This Row],[nb win]]/Table132[[#This Row],[nb play]]</f>
        <v>1</v>
      </c>
      <c r="H1923" t="str">
        <f>MID(Table132[[#This Row],[ÉTAT]],VALUE(RIGHT(Table132[[#This Row],[next move]],1))+1+VALUE(LEFT(Table132[[#This Row],[next move]],1))*3,1)</f>
        <v>V</v>
      </c>
      <c r="I1923" t="str">
        <f>Table132[[#This Row],[ÉTAT]]&amp;Table132[[#This Row],[next move]]</f>
        <v>VMVEMEMVE21</v>
      </c>
    </row>
    <row r="1924" spans="2:9" x14ac:dyDescent="0.25">
      <c r="B1924" t="s">
        <v>3316</v>
      </c>
      <c r="C1924" s="22" t="s">
        <v>20</v>
      </c>
      <c r="D1924">
        <v>1</v>
      </c>
      <c r="E1924">
        <v>1</v>
      </c>
      <c r="G1924" s="31">
        <f>Table132[[#This Row],[nb win]]/Table132[[#This Row],[nb play]]</f>
        <v>1</v>
      </c>
      <c r="H1924" t="str">
        <f>MID(Table132[[#This Row],[ÉTAT]],VALUE(RIGHT(Table132[[#This Row],[next move]],1))+1+VALUE(LEFT(Table132[[#This Row],[next move]],1))*3,1)</f>
        <v>V</v>
      </c>
      <c r="I1924" t="str">
        <f>Table132[[#This Row],[ÉTAT]]&amp;Table132[[#This Row],[next move]]</f>
        <v>VMVEMEMEE02</v>
      </c>
    </row>
    <row r="1925" spans="2:9" x14ac:dyDescent="0.25">
      <c r="B1925" t="s">
        <v>3346</v>
      </c>
      <c r="C1925" s="22" t="s">
        <v>22</v>
      </c>
      <c r="D1925">
        <v>1</v>
      </c>
      <c r="E1925">
        <v>1</v>
      </c>
      <c r="G1925" s="31">
        <f>Table132[[#This Row],[nb win]]/Table132[[#This Row],[nb play]]</f>
        <v>1</v>
      </c>
      <c r="H1925" t="str">
        <f>MID(Table132[[#This Row],[ÉTAT]],VALUE(RIGHT(Table132[[#This Row],[next move]],1))+1+VALUE(LEFT(Table132[[#This Row],[next move]],1))*3,1)</f>
        <v>V</v>
      </c>
      <c r="I1925" t="str">
        <f>Table132[[#This Row],[ÉTAT]]&amp;Table132[[#This Row],[next move]]</f>
        <v>VMVEMEEVV21</v>
      </c>
    </row>
    <row r="1926" spans="2:9" x14ac:dyDescent="0.25">
      <c r="B1926" t="s">
        <v>2086</v>
      </c>
      <c r="C1926" s="22" t="s">
        <v>22</v>
      </c>
      <c r="D1926">
        <v>3</v>
      </c>
      <c r="E1926">
        <v>3</v>
      </c>
      <c r="G1926" s="31">
        <f>Table132[[#This Row],[nb win]]/Table132[[#This Row],[nb play]]</f>
        <v>1</v>
      </c>
      <c r="H1926" t="str">
        <f>MID(Table132[[#This Row],[ÉTAT]],VALUE(RIGHT(Table132[[#This Row],[next move]],1))+1+VALUE(LEFT(Table132[[#This Row],[next move]],1))*3,1)</f>
        <v>V</v>
      </c>
      <c r="I1926" t="str">
        <f>Table132[[#This Row],[ÉTAT]]&amp;Table132[[#This Row],[next move]]</f>
        <v>VMVEMEEVM21</v>
      </c>
    </row>
    <row r="1927" spans="2:9" x14ac:dyDescent="0.25">
      <c r="B1927" t="s">
        <v>2814</v>
      </c>
      <c r="C1927" s="22" t="s">
        <v>20</v>
      </c>
      <c r="D1927">
        <v>1</v>
      </c>
      <c r="G1927" s="25">
        <f>Table132[[#This Row],[nb win]]/Table132[[#This Row],[nb play]]</f>
        <v>0</v>
      </c>
      <c r="H1927" t="str">
        <f>MID(Table132[[#This Row],[ÉTAT]],VALUE(RIGHT(Table132[[#This Row],[next move]],1))+1+VALUE(LEFT(Table132[[#This Row],[next move]],1))*3,1)</f>
        <v>V</v>
      </c>
      <c r="I1927" t="str">
        <f>Table132[[#This Row],[ÉTAT]]&amp;Table132[[#This Row],[next move]]</f>
        <v>VMVEMEEEM02</v>
      </c>
    </row>
    <row r="1928" spans="2:9" x14ac:dyDescent="0.25">
      <c r="B1928" t="s">
        <v>464</v>
      </c>
      <c r="C1928" s="22" t="s">
        <v>24</v>
      </c>
      <c r="D1928">
        <v>4</v>
      </c>
      <c r="G1928" s="30">
        <f>Table132[[#This Row],[nb win]]/Table132[[#This Row],[nb play]]</f>
        <v>0</v>
      </c>
      <c r="H1928" t="str">
        <f>MID(Table132[[#This Row],[ÉTAT]],VALUE(RIGHT(Table132[[#This Row],[next move]],1))+1+VALUE(LEFT(Table132[[#This Row],[next move]],1))*3,1)</f>
        <v>V</v>
      </c>
      <c r="I1928" t="str">
        <f>Table132[[#This Row],[ÉTAT]]&amp;Table132[[#This Row],[next move]]</f>
        <v>VMVEEVVVV00</v>
      </c>
    </row>
    <row r="1929" spans="2:9" x14ac:dyDescent="0.25">
      <c r="B1929" t="s">
        <v>464</v>
      </c>
      <c r="C1929" s="22" t="s">
        <v>20</v>
      </c>
      <c r="D1929">
        <v>7</v>
      </c>
      <c r="G1929" s="30">
        <f>Table132[[#This Row],[nb win]]/Table132[[#This Row],[nb play]]</f>
        <v>0</v>
      </c>
      <c r="H1929" t="str">
        <f>MID(Table132[[#This Row],[ÉTAT]],VALUE(RIGHT(Table132[[#This Row],[next move]],1))+1+VALUE(LEFT(Table132[[#This Row],[next move]],1))*3,1)</f>
        <v>V</v>
      </c>
      <c r="I1929" t="str">
        <f>Table132[[#This Row],[ÉTAT]]&amp;Table132[[#This Row],[next move]]</f>
        <v>VMVEEVVVV02</v>
      </c>
    </row>
    <row r="1930" spans="2:9" x14ac:dyDescent="0.25">
      <c r="B1930" t="s">
        <v>464</v>
      </c>
      <c r="C1930" s="22" t="s">
        <v>28</v>
      </c>
      <c r="D1930">
        <v>11</v>
      </c>
      <c r="E1930">
        <v>1</v>
      </c>
      <c r="G1930" s="30">
        <f>Table132[[#This Row],[nb win]]/Table132[[#This Row],[nb play]]</f>
        <v>9.0909090909090912E-2</v>
      </c>
      <c r="H1930" t="str">
        <f>MID(Table132[[#This Row],[ÉTAT]],VALUE(RIGHT(Table132[[#This Row],[next move]],1))+1+VALUE(LEFT(Table132[[#This Row],[next move]],1))*3,1)</f>
        <v>V</v>
      </c>
      <c r="I1930" t="str">
        <f>Table132[[#This Row],[ÉTAT]]&amp;Table132[[#This Row],[next move]]</f>
        <v>VMVEEVVVV12</v>
      </c>
    </row>
    <row r="1931" spans="2:9" x14ac:dyDescent="0.25">
      <c r="B1931" t="s">
        <v>464</v>
      </c>
      <c r="C1931" s="22" t="s">
        <v>35</v>
      </c>
      <c r="D1931">
        <v>6</v>
      </c>
      <c r="G1931" s="30">
        <f>Table132[[#This Row],[nb win]]/Table132[[#This Row],[nb play]]</f>
        <v>0</v>
      </c>
      <c r="H1931" t="str">
        <f>MID(Table132[[#This Row],[ÉTAT]],VALUE(RIGHT(Table132[[#This Row],[next move]],1))+1+VALUE(LEFT(Table132[[#This Row],[next move]],1))*3,1)</f>
        <v>V</v>
      </c>
      <c r="I1931" t="str">
        <f>Table132[[#This Row],[ÉTAT]]&amp;Table132[[#This Row],[next move]]</f>
        <v>VMVEEVVVV20</v>
      </c>
    </row>
    <row r="1932" spans="2:9" x14ac:dyDescent="0.25">
      <c r="B1932" t="s">
        <v>464</v>
      </c>
      <c r="C1932" s="22" t="s">
        <v>22</v>
      </c>
      <c r="D1932">
        <v>6</v>
      </c>
      <c r="G1932" s="30">
        <f>Table132[[#This Row],[nb win]]/Table132[[#This Row],[nb play]]</f>
        <v>0</v>
      </c>
      <c r="H1932" t="str">
        <f>MID(Table132[[#This Row],[ÉTAT]],VALUE(RIGHT(Table132[[#This Row],[next move]],1))+1+VALUE(LEFT(Table132[[#This Row],[next move]],1))*3,1)</f>
        <v>V</v>
      </c>
      <c r="I1932" t="str">
        <f>Table132[[#This Row],[ÉTAT]]&amp;Table132[[#This Row],[next move]]</f>
        <v>VMVEEVVVV21</v>
      </c>
    </row>
    <row r="1933" spans="2:9" x14ac:dyDescent="0.25">
      <c r="B1933" t="s">
        <v>464</v>
      </c>
      <c r="C1933" s="22" t="s">
        <v>31</v>
      </c>
      <c r="D1933">
        <v>7</v>
      </c>
      <c r="G1933" s="30">
        <f>Table132[[#This Row],[nb win]]/Table132[[#This Row],[nb play]]</f>
        <v>0</v>
      </c>
      <c r="H1933" t="str">
        <f>MID(Table132[[#This Row],[ÉTAT]],VALUE(RIGHT(Table132[[#This Row],[next move]],1))+1+VALUE(LEFT(Table132[[#This Row],[next move]],1))*3,1)</f>
        <v>V</v>
      </c>
      <c r="I1933" t="str">
        <f>Table132[[#This Row],[ÉTAT]]&amp;Table132[[#This Row],[next move]]</f>
        <v>VMVEEVVVV22</v>
      </c>
    </row>
    <row r="1934" spans="2:9" x14ac:dyDescent="0.25">
      <c r="B1934" t="s">
        <v>3297</v>
      </c>
      <c r="C1934" s="22" t="s">
        <v>28</v>
      </c>
      <c r="D1934">
        <v>2</v>
      </c>
      <c r="E1934">
        <v>1</v>
      </c>
      <c r="G1934" s="30">
        <f>Table132[[#This Row],[nb win]]/Table132[[#This Row],[nb play]]</f>
        <v>0.5</v>
      </c>
      <c r="H1934" t="str">
        <f>MID(Table132[[#This Row],[ÉTAT]],VALUE(RIGHT(Table132[[#This Row],[next move]],1))+1+VALUE(LEFT(Table132[[#This Row],[next move]],1))*3,1)</f>
        <v>V</v>
      </c>
      <c r="I1934" t="str">
        <f>Table132[[#This Row],[ÉTAT]]&amp;Table132[[#This Row],[next move]]</f>
        <v>VMVEEVVVM12</v>
      </c>
    </row>
    <row r="1935" spans="2:9" x14ac:dyDescent="0.25">
      <c r="B1935" t="s">
        <v>3399</v>
      </c>
      <c r="C1935" s="22" t="s">
        <v>24</v>
      </c>
      <c r="D1935">
        <v>1</v>
      </c>
      <c r="E1935">
        <v>1</v>
      </c>
      <c r="G1935" s="31">
        <f>Table132[[#This Row],[nb win]]/Table132[[#This Row],[nb play]]</f>
        <v>1</v>
      </c>
      <c r="H1935" t="str">
        <f>MID(Table132[[#This Row],[ÉTAT]],VALUE(RIGHT(Table132[[#This Row],[next move]],1))+1+VALUE(LEFT(Table132[[#This Row],[next move]],1))*3,1)</f>
        <v>V</v>
      </c>
      <c r="I1935" t="str">
        <f>Table132[[#This Row],[ÉTAT]]&amp;Table132[[#This Row],[next move]]</f>
        <v>VMVEEVVMV00</v>
      </c>
    </row>
    <row r="1936" spans="2:9" x14ac:dyDescent="0.25">
      <c r="B1936" t="s">
        <v>3399</v>
      </c>
      <c r="C1936" s="22" t="s">
        <v>20</v>
      </c>
      <c r="D1936">
        <v>1</v>
      </c>
      <c r="G1936" s="30">
        <f>Table132[[#This Row],[nb win]]/Table132[[#This Row],[nb play]]</f>
        <v>0</v>
      </c>
      <c r="H1936" t="str">
        <f>MID(Table132[[#This Row],[ÉTAT]],VALUE(RIGHT(Table132[[#This Row],[next move]],1))+1+VALUE(LEFT(Table132[[#This Row],[next move]],1))*3,1)</f>
        <v>V</v>
      </c>
      <c r="I1936" t="str">
        <f>Table132[[#This Row],[ÉTAT]]&amp;Table132[[#This Row],[next move]]</f>
        <v>VMVEEVVMV02</v>
      </c>
    </row>
    <row r="1937" spans="2:9" x14ac:dyDescent="0.25">
      <c r="B1937" t="s">
        <v>345</v>
      </c>
      <c r="C1937" s="22" t="s">
        <v>24</v>
      </c>
      <c r="D1937">
        <v>2</v>
      </c>
      <c r="G1937" s="25">
        <f>Table132[[#This Row],[nb win]]/Table132[[#This Row],[nb play]]</f>
        <v>0</v>
      </c>
      <c r="H1937" t="str">
        <f>MID(Table132[[#This Row],[ÉTAT]],VALUE(RIGHT(Table132[[#This Row],[next move]],1))+1+VALUE(LEFT(Table132[[#This Row],[next move]],1))*3,1)</f>
        <v>V</v>
      </c>
      <c r="I1937" t="str">
        <f>Table132[[#This Row],[ÉTAT]]&amp;Table132[[#This Row],[next move]]</f>
        <v>VMVEEVVME00</v>
      </c>
    </row>
    <row r="1938" spans="2:9" x14ac:dyDescent="0.25">
      <c r="B1938" t="s">
        <v>345</v>
      </c>
      <c r="C1938" s="22" t="s">
        <v>20</v>
      </c>
      <c r="D1938">
        <v>1</v>
      </c>
      <c r="G1938" s="25">
        <f>Table132[[#This Row],[nb win]]/Table132[[#This Row],[nb play]]</f>
        <v>0</v>
      </c>
      <c r="H1938" t="str">
        <f>MID(Table132[[#This Row],[ÉTAT]],VALUE(RIGHT(Table132[[#This Row],[next move]],1))+1+VALUE(LEFT(Table132[[#This Row],[next move]],1))*3,1)</f>
        <v>V</v>
      </c>
      <c r="I1938" t="str">
        <f>Table132[[#This Row],[ÉTAT]]&amp;Table132[[#This Row],[next move]]</f>
        <v>VMVEEVVME02</v>
      </c>
    </row>
    <row r="1939" spans="2:9" x14ac:dyDescent="0.25">
      <c r="B1939" t="s">
        <v>345</v>
      </c>
      <c r="C1939" s="22" t="s">
        <v>28</v>
      </c>
      <c r="D1939">
        <v>2</v>
      </c>
      <c r="G1939" s="30">
        <f>Table132[[#This Row],[nb win]]/Table132[[#This Row],[nb play]]</f>
        <v>0</v>
      </c>
      <c r="H1939" t="str">
        <f>MID(Table132[[#This Row],[ÉTAT]],VALUE(RIGHT(Table132[[#This Row],[next move]],1))+1+VALUE(LEFT(Table132[[#This Row],[next move]],1))*3,1)</f>
        <v>V</v>
      </c>
      <c r="I1939" t="str">
        <f>Table132[[#This Row],[ÉTAT]]&amp;Table132[[#This Row],[next move]]</f>
        <v>VMVEEVVME12</v>
      </c>
    </row>
    <row r="1940" spans="2:9" x14ac:dyDescent="0.25">
      <c r="B1940" t="s">
        <v>345</v>
      </c>
      <c r="C1940" s="22" t="s">
        <v>35</v>
      </c>
      <c r="D1940">
        <v>5</v>
      </c>
      <c r="G1940" s="30">
        <f>Table132[[#This Row],[nb win]]/Table132[[#This Row],[nb play]]</f>
        <v>0</v>
      </c>
      <c r="H1940" t="str">
        <f>MID(Table132[[#This Row],[ÉTAT]],VALUE(RIGHT(Table132[[#This Row],[next move]],1))+1+VALUE(LEFT(Table132[[#This Row],[next move]],1))*3,1)</f>
        <v>V</v>
      </c>
      <c r="I1940" t="str">
        <f>Table132[[#This Row],[ÉTAT]]&amp;Table132[[#This Row],[next move]]</f>
        <v>VMVEEVVME20</v>
      </c>
    </row>
    <row r="1941" spans="2:9" x14ac:dyDescent="0.25">
      <c r="B1941" t="s">
        <v>1144</v>
      </c>
      <c r="C1941" s="22" t="s">
        <v>24</v>
      </c>
      <c r="D1941">
        <v>2</v>
      </c>
      <c r="G1941" s="25">
        <f>Table132[[#This Row],[nb win]]/Table132[[#This Row],[nb play]]</f>
        <v>0</v>
      </c>
      <c r="H1941" t="str">
        <f>MID(Table132[[#This Row],[ÉTAT]],VALUE(RIGHT(Table132[[#This Row],[next move]],1))+1+VALUE(LEFT(Table132[[#This Row],[next move]],1))*3,1)</f>
        <v>V</v>
      </c>
      <c r="I1941" t="str">
        <f>Table132[[#This Row],[ÉTAT]]&amp;Table132[[#This Row],[next move]]</f>
        <v>VMVEEVMVV00</v>
      </c>
    </row>
    <row r="1942" spans="2:9" x14ac:dyDescent="0.25">
      <c r="B1942" t="s">
        <v>1144</v>
      </c>
      <c r="C1942" s="22" t="s">
        <v>22</v>
      </c>
      <c r="D1942">
        <v>2</v>
      </c>
      <c r="G1942" s="30">
        <f>Table132[[#This Row],[nb win]]/Table132[[#This Row],[nb play]]</f>
        <v>0</v>
      </c>
      <c r="H1942" t="str">
        <f>MID(Table132[[#This Row],[ÉTAT]],VALUE(RIGHT(Table132[[#This Row],[next move]],1))+1+VALUE(LEFT(Table132[[#This Row],[next move]],1))*3,1)</f>
        <v>V</v>
      </c>
      <c r="I1942" t="str">
        <f>Table132[[#This Row],[ÉTAT]]&amp;Table132[[#This Row],[next move]]</f>
        <v>VMVEEVMVV21</v>
      </c>
    </row>
    <row r="1943" spans="2:9" x14ac:dyDescent="0.25">
      <c r="B1943" t="s">
        <v>1144</v>
      </c>
      <c r="C1943" s="22" t="s">
        <v>31</v>
      </c>
      <c r="D1943">
        <v>2</v>
      </c>
      <c r="E1943">
        <v>1</v>
      </c>
      <c r="G1943" s="30">
        <f>Table132[[#This Row],[nb win]]/Table132[[#This Row],[nb play]]</f>
        <v>0.5</v>
      </c>
      <c r="H1943" t="str">
        <f>MID(Table132[[#This Row],[ÉTAT]],VALUE(RIGHT(Table132[[#This Row],[next move]],1))+1+VALUE(LEFT(Table132[[#This Row],[next move]],1))*3,1)</f>
        <v>V</v>
      </c>
      <c r="I1943" t="str">
        <f>Table132[[#This Row],[ÉTAT]]&amp;Table132[[#This Row],[next move]]</f>
        <v>VMVEEVMVV22</v>
      </c>
    </row>
    <row r="1944" spans="2:9" x14ac:dyDescent="0.25">
      <c r="B1944" t="s">
        <v>3099</v>
      </c>
      <c r="C1944" s="22" t="s">
        <v>20</v>
      </c>
      <c r="D1944">
        <v>2</v>
      </c>
      <c r="E1944">
        <v>2</v>
      </c>
      <c r="G1944" s="31">
        <f>Table132[[#This Row],[nb win]]/Table132[[#This Row],[nb play]]</f>
        <v>1</v>
      </c>
      <c r="H1944" t="str">
        <f>MID(Table132[[#This Row],[ÉTAT]],VALUE(RIGHT(Table132[[#This Row],[next move]],1))+1+VALUE(LEFT(Table132[[#This Row],[next move]],1))*3,1)</f>
        <v>V</v>
      </c>
      <c r="I1944" t="str">
        <f>Table132[[#This Row],[ÉTAT]]&amp;Table132[[#This Row],[next move]]</f>
        <v>VMVEEVMEM02</v>
      </c>
    </row>
    <row r="1945" spans="2:9" x14ac:dyDescent="0.25">
      <c r="B1945" t="s">
        <v>2988</v>
      </c>
      <c r="C1945" s="22" t="s">
        <v>24</v>
      </c>
      <c r="D1945">
        <v>1</v>
      </c>
      <c r="G1945" s="25">
        <f>Table132[[#This Row],[nb win]]/Table132[[#This Row],[nb play]]</f>
        <v>0</v>
      </c>
      <c r="H1945" t="str">
        <f>MID(Table132[[#This Row],[ÉTAT]],VALUE(RIGHT(Table132[[#This Row],[next move]],1))+1+VALUE(LEFT(Table132[[#This Row],[next move]],1))*3,1)</f>
        <v>V</v>
      </c>
      <c r="I1945" t="str">
        <f>Table132[[#This Row],[ÉTAT]]&amp;Table132[[#This Row],[next move]]</f>
        <v>VMVEEVEMM00</v>
      </c>
    </row>
    <row r="1946" spans="2:9" x14ac:dyDescent="0.25">
      <c r="B1946" t="s">
        <v>951</v>
      </c>
      <c r="C1946" s="22" t="s">
        <v>24</v>
      </c>
      <c r="D1946">
        <v>1</v>
      </c>
      <c r="E1946">
        <v>1</v>
      </c>
      <c r="G1946" s="31">
        <f>Table132[[#This Row],[nb win]]/Table132[[#This Row],[nb play]]</f>
        <v>1</v>
      </c>
      <c r="H1946" t="str">
        <f>MID(Table132[[#This Row],[ÉTAT]],VALUE(RIGHT(Table132[[#This Row],[next move]],1))+1+VALUE(LEFT(Table132[[#This Row],[next move]],1))*3,1)</f>
        <v>V</v>
      </c>
      <c r="I1946" t="str">
        <f>Table132[[#This Row],[ÉTAT]]&amp;Table132[[#This Row],[next move]]</f>
        <v>VMVEEMVVV00</v>
      </c>
    </row>
    <row r="1947" spans="2:9" x14ac:dyDescent="0.25">
      <c r="B1947" t="s">
        <v>951</v>
      </c>
      <c r="C1947" s="22" t="s">
        <v>20</v>
      </c>
      <c r="D1947">
        <v>2</v>
      </c>
      <c r="E1947">
        <v>1</v>
      </c>
      <c r="G1947" s="25">
        <f>Table132[[#This Row],[nb win]]/Table132[[#This Row],[nb play]]</f>
        <v>0.5</v>
      </c>
      <c r="H1947" t="str">
        <f>MID(Table132[[#This Row],[ÉTAT]],VALUE(RIGHT(Table132[[#This Row],[next move]],1))+1+VALUE(LEFT(Table132[[#This Row],[next move]],1))*3,1)</f>
        <v>V</v>
      </c>
      <c r="I1947" t="str">
        <f>Table132[[#This Row],[ÉTAT]]&amp;Table132[[#This Row],[next move]]</f>
        <v>VMVEEMVVV02</v>
      </c>
    </row>
    <row r="1948" spans="2:9" x14ac:dyDescent="0.25">
      <c r="B1948" t="s">
        <v>951</v>
      </c>
      <c r="C1948" s="22" t="s">
        <v>22</v>
      </c>
      <c r="D1948">
        <v>1</v>
      </c>
      <c r="G1948" s="30">
        <f>Table132[[#This Row],[nb win]]/Table132[[#This Row],[nb play]]</f>
        <v>0</v>
      </c>
      <c r="H1948" t="str">
        <f>MID(Table132[[#This Row],[ÉTAT]],VALUE(RIGHT(Table132[[#This Row],[next move]],1))+1+VALUE(LEFT(Table132[[#This Row],[next move]],1))*3,1)</f>
        <v>V</v>
      </c>
      <c r="I1948" t="str">
        <f>Table132[[#This Row],[ÉTAT]]&amp;Table132[[#This Row],[next move]]</f>
        <v>VMVEEMVVV21</v>
      </c>
    </row>
    <row r="1949" spans="2:9" x14ac:dyDescent="0.25">
      <c r="B1949" t="s">
        <v>951</v>
      </c>
      <c r="C1949" s="22" t="s">
        <v>31</v>
      </c>
      <c r="D1949">
        <v>3</v>
      </c>
      <c r="E1949">
        <v>2</v>
      </c>
      <c r="G1949" s="31">
        <f>Table132[[#This Row],[nb win]]/Table132[[#This Row],[nb play]]</f>
        <v>0.66666666666666663</v>
      </c>
      <c r="H1949" t="str">
        <f>MID(Table132[[#This Row],[ÉTAT]],VALUE(RIGHT(Table132[[#This Row],[next move]],1))+1+VALUE(LEFT(Table132[[#This Row],[next move]],1))*3,1)</f>
        <v>V</v>
      </c>
      <c r="I1949" t="str">
        <f>Table132[[#This Row],[ÉTAT]]&amp;Table132[[#This Row],[next move]]</f>
        <v>VMVEEMVVV22</v>
      </c>
    </row>
    <row r="1950" spans="2:9" x14ac:dyDescent="0.25">
      <c r="B1950" t="s">
        <v>1818</v>
      </c>
      <c r="C1950" s="22" t="s">
        <v>24</v>
      </c>
      <c r="D1950">
        <v>3</v>
      </c>
      <c r="E1950">
        <v>2</v>
      </c>
      <c r="G1950" s="31">
        <f>Table132[[#This Row],[nb win]]/Table132[[#This Row],[nb play]]</f>
        <v>0.66666666666666663</v>
      </c>
      <c r="H1950" t="str">
        <f>MID(Table132[[#This Row],[ÉTAT]],VALUE(RIGHT(Table132[[#This Row],[next move]],1))+1+VALUE(LEFT(Table132[[#This Row],[next move]],1))*3,1)</f>
        <v>V</v>
      </c>
      <c r="I1950" t="str">
        <f>Table132[[#This Row],[ÉTAT]]&amp;Table132[[#This Row],[next move]]</f>
        <v>VMVEEMVVE00</v>
      </c>
    </row>
    <row r="1951" spans="2:9" x14ac:dyDescent="0.25">
      <c r="B1951" t="s">
        <v>1818</v>
      </c>
      <c r="C1951" s="22" t="s">
        <v>20</v>
      </c>
      <c r="D1951">
        <v>6</v>
      </c>
      <c r="G1951" s="30">
        <f>Table132[[#This Row],[nb win]]/Table132[[#This Row],[nb play]]</f>
        <v>0</v>
      </c>
      <c r="H1951" t="str">
        <f>MID(Table132[[#This Row],[ÉTAT]],VALUE(RIGHT(Table132[[#This Row],[next move]],1))+1+VALUE(LEFT(Table132[[#This Row],[next move]],1))*3,1)</f>
        <v>V</v>
      </c>
      <c r="I1951" t="str">
        <f>Table132[[#This Row],[ÉTAT]]&amp;Table132[[#This Row],[next move]]</f>
        <v>VMVEEMVVE02</v>
      </c>
    </row>
    <row r="1952" spans="2:9" x14ac:dyDescent="0.25">
      <c r="B1952" t="s">
        <v>1818</v>
      </c>
      <c r="C1952" s="22" t="s">
        <v>35</v>
      </c>
      <c r="D1952">
        <v>1</v>
      </c>
      <c r="G1952" s="25">
        <f>Table132[[#This Row],[nb win]]/Table132[[#This Row],[nb play]]</f>
        <v>0</v>
      </c>
      <c r="H1952" t="str">
        <f>MID(Table132[[#This Row],[ÉTAT]],VALUE(RIGHT(Table132[[#This Row],[next move]],1))+1+VALUE(LEFT(Table132[[#This Row],[next move]],1))*3,1)</f>
        <v>V</v>
      </c>
      <c r="I1952" t="str">
        <f>Table132[[#This Row],[ÉTAT]]&amp;Table132[[#This Row],[next move]]</f>
        <v>VMVEEMVVE20</v>
      </c>
    </row>
    <row r="1953" spans="2:9" x14ac:dyDescent="0.25">
      <c r="B1953" t="s">
        <v>1818</v>
      </c>
      <c r="C1953" s="22" t="s">
        <v>22</v>
      </c>
      <c r="D1953">
        <v>4</v>
      </c>
      <c r="G1953" s="30">
        <f>Table132[[#This Row],[nb win]]/Table132[[#This Row],[nb play]]</f>
        <v>0</v>
      </c>
      <c r="H1953" t="str">
        <f>MID(Table132[[#This Row],[ÉTAT]],VALUE(RIGHT(Table132[[#This Row],[next move]],1))+1+VALUE(LEFT(Table132[[#This Row],[next move]],1))*3,1)</f>
        <v>V</v>
      </c>
      <c r="I1953" t="str">
        <f>Table132[[#This Row],[ÉTAT]]&amp;Table132[[#This Row],[next move]]</f>
        <v>VMVEEMVVE21</v>
      </c>
    </row>
    <row r="1954" spans="2:9" x14ac:dyDescent="0.25">
      <c r="B1954" t="s">
        <v>3097</v>
      </c>
      <c r="C1954" s="22" t="s">
        <v>35</v>
      </c>
      <c r="D1954">
        <v>1</v>
      </c>
      <c r="G1954" s="30">
        <f>Table132[[#This Row],[nb win]]/Table132[[#This Row],[nb play]]</f>
        <v>0</v>
      </c>
      <c r="H1954" t="str">
        <f>MID(Table132[[#This Row],[ÉTAT]],VALUE(RIGHT(Table132[[#This Row],[next move]],1))+1+VALUE(LEFT(Table132[[#This Row],[next move]],1))*3,1)</f>
        <v>V</v>
      </c>
      <c r="I1954" t="str">
        <f>Table132[[#This Row],[ÉTAT]]&amp;Table132[[#This Row],[next move]]</f>
        <v>VMVEEMVME20</v>
      </c>
    </row>
    <row r="1955" spans="2:9" x14ac:dyDescent="0.25">
      <c r="B1955" t="s">
        <v>3287</v>
      </c>
      <c r="C1955" s="22" t="s">
        <v>35</v>
      </c>
      <c r="D1955">
        <v>1</v>
      </c>
      <c r="G1955" s="30">
        <f>Table132[[#This Row],[nb win]]/Table132[[#This Row],[nb play]]</f>
        <v>0</v>
      </c>
      <c r="H1955" t="str">
        <f>MID(Table132[[#This Row],[ÉTAT]],VALUE(RIGHT(Table132[[#This Row],[next move]],1))+1+VALUE(LEFT(Table132[[#This Row],[next move]],1))*3,1)</f>
        <v>V</v>
      </c>
      <c r="I1955" t="str">
        <f>Table132[[#This Row],[ÉTAT]]&amp;Table132[[#This Row],[next move]]</f>
        <v>VMVEEMVEV20</v>
      </c>
    </row>
    <row r="1956" spans="2:9" x14ac:dyDescent="0.25">
      <c r="B1956" t="s">
        <v>1711</v>
      </c>
      <c r="C1956" s="22" t="s">
        <v>20</v>
      </c>
      <c r="D1956">
        <v>3</v>
      </c>
      <c r="E1956">
        <v>3</v>
      </c>
      <c r="G1956" s="31">
        <f>Table132[[#This Row],[nb win]]/Table132[[#This Row],[nb play]]</f>
        <v>1</v>
      </c>
      <c r="H1956" t="str">
        <f>MID(Table132[[#This Row],[ÉTAT]],VALUE(RIGHT(Table132[[#This Row],[next move]],1))+1+VALUE(LEFT(Table132[[#This Row],[next move]],1))*3,1)</f>
        <v>V</v>
      </c>
      <c r="I1956" t="str">
        <f>Table132[[#This Row],[ÉTAT]]&amp;Table132[[#This Row],[next move]]</f>
        <v>VMVEEMVEM02</v>
      </c>
    </row>
    <row r="1957" spans="2:9" x14ac:dyDescent="0.25">
      <c r="B1957" t="s">
        <v>2940</v>
      </c>
      <c r="C1957" s="22" t="s">
        <v>22</v>
      </c>
      <c r="D1957">
        <v>1</v>
      </c>
      <c r="G1957" s="25">
        <f>Table132[[#This Row],[nb win]]/Table132[[#This Row],[nb play]]</f>
        <v>0</v>
      </c>
      <c r="H1957" t="str">
        <f>MID(Table132[[#This Row],[ÉTAT]],VALUE(RIGHT(Table132[[#This Row],[next move]],1))+1+VALUE(LEFT(Table132[[#This Row],[next move]],1))*3,1)</f>
        <v>V</v>
      </c>
      <c r="I1957" t="str">
        <f>Table132[[#This Row],[ÉTAT]]&amp;Table132[[#This Row],[next move]]</f>
        <v>VMVEEMMVE21</v>
      </c>
    </row>
    <row r="1958" spans="2:9" x14ac:dyDescent="0.25">
      <c r="B1958" t="s">
        <v>2344</v>
      </c>
      <c r="C1958" s="22" t="s">
        <v>20</v>
      </c>
      <c r="D1958">
        <v>3</v>
      </c>
      <c r="E1958">
        <v>3</v>
      </c>
      <c r="G1958" s="31">
        <f>Table132[[#This Row],[nb win]]/Table132[[#This Row],[nb play]]</f>
        <v>1</v>
      </c>
      <c r="H1958" t="str">
        <f>MID(Table132[[#This Row],[ÉTAT]],VALUE(RIGHT(Table132[[#This Row],[next move]],1))+1+VALUE(LEFT(Table132[[#This Row],[next move]],1))*3,1)</f>
        <v>V</v>
      </c>
      <c r="I1958" t="str">
        <f>Table132[[#This Row],[ÉTAT]]&amp;Table132[[#This Row],[next move]]</f>
        <v>VMVEEMMEV02</v>
      </c>
    </row>
    <row r="1959" spans="2:9" x14ac:dyDescent="0.25">
      <c r="B1959" t="s">
        <v>3289</v>
      </c>
      <c r="C1959" s="22" t="s">
        <v>20</v>
      </c>
      <c r="D1959">
        <v>1</v>
      </c>
      <c r="G1959" s="30">
        <f>Table132[[#This Row],[nb win]]/Table132[[#This Row],[nb play]]</f>
        <v>0</v>
      </c>
      <c r="H1959" t="str">
        <f>MID(Table132[[#This Row],[ÉTAT]],VALUE(RIGHT(Table132[[#This Row],[next move]],1))+1+VALUE(LEFT(Table132[[#This Row],[next move]],1))*3,1)</f>
        <v>V</v>
      </c>
      <c r="I1959" t="str">
        <f>Table132[[#This Row],[ÉTAT]]&amp;Table132[[#This Row],[next move]]</f>
        <v>VMVEEMMEE02</v>
      </c>
    </row>
    <row r="1960" spans="2:9" x14ac:dyDescent="0.25">
      <c r="B1960" t="s">
        <v>2094</v>
      </c>
      <c r="C1960" s="22" t="s">
        <v>20</v>
      </c>
      <c r="D1960">
        <v>2</v>
      </c>
      <c r="E1960">
        <v>2</v>
      </c>
      <c r="G1960" s="31">
        <f>Table132[[#This Row],[nb win]]/Table132[[#This Row],[nb play]]</f>
        <v>1</v>
      </c>
      <c r="H1960" t="str">
        <f>MID(Table132[[#This Row],[ÉTAT]],VALUE(RIGHT(Table132[[#This Row],[next move]],1))+1+VALUE(LEFT(Table132[[#This Row],[next move]],1))*3,1)</f>
        <v>V</v>
      </c>
      <c r="I1960" t="str">
        <f>Table132[[#This Row],[ÉTAT]]&amp;Table132[[#This Row],[next move]]</f>
        <v>VMVEEMEVM02</v>
      </c>
    </row>
    <row r="1961" spans="2:9" x14ac:dyDescent="0.25">
      <c r="B1961" t="s">
        <v>2094</v>
      </c>
      <c r="C1961" s="22" t="s">
        <v>22</v>
      </c>
      <c r="D1961">
        <v>1</v>
      </c>
      <c r="G1961" s="25">
        <f>Table132[[#This Row],[nb win]]/Table132[[#This Row],[nb play]]</f>
        <v>0</v>
      </c>
      <c r="H1961" t="str">
        <f>MID(Table132[[#This Row],[ÉTAT]],VALUE(RIGHT(Table132[[#This Row],[next move]],1))+1+VALUE(LEFT(Table132[[#This Row],[next move]],1))*3,1)</f>
        <v>V</v>
      </c>
      <c r="I1961" t="str">
        <f>Table132[[#This Row],[ÉTAT]]&amp;Table132[[#This Row],[next move]]</f>
        <v>VMVEEMEVM21</v>
      </c>
    </row>
    <row r="1962" spans="2:9" x14ac:dyDescent="0.25">
      <c r="B1962" t="s">
        <v>1891</v>
      </c>
      <c r="C1962" s="22" t="s">
        <v>20</v>
      </c>
      <c r="D1962">
        <v>1</v>
      </c>
      <c r="G1962" s="25">
        <f>Table132[[#This Row],[nb win]]/Table132[[#This Row],[nb play]]</f>
        <v>0</v>
      </c>
      <c r="H1962" t="str">
        <f>MID(Table132[[#This Row],[ÉTAT]],VALUE(RIGHT(Table132[[#This Row],[next move]],1))+1+VALUE(LEFT(Table132[[#This Row],[next move]],1))*3,1)</f>
        <v>V</v>
      </c>
      <c r="I1962" t="str">
        <f>Table132[[#This Row],[ÉTAT]]&amp;Table132[[#This Row],[next move]]</f>
        <v>VMVEEMEMV02</v>
      </c>
    </row>
    <row r="1963" spans="2:9" x14ac:dyDescent="0.25">
      <c r="B1963" t="s">
        <v>2040</v>
      </c>
      <c r="C1963" s="22" t="s">
        <v>24</v>
      </c>
      <c r="D1963">
        <v>3</v>
      </c>
      <c r="G1963" s="30">
        <f>Table132[[#This Row],[nb win]]/Table132[[#This Row],[nb play]]</f>
        <v>0</v>
      </c>
      <c r="H1963" t="str">
        <f>MID(Table132[[#This Row],[ÉTAT]],VALUE(RIGHT(Table132[[#This Row],[next move]],1))+1+VALUE(LEFT(Table132[[#This Row],[next move]],1))*3,1)</f>
        <v>V</v>
      </c>
      <c r="I1963" t="str">
        <f>Table132[[#This Row],[ÉTAT]]&amp;Table132[[#This Row],[next move]]</f>
        <v>VMVEEMEME00</v>
      </c>
    </row>
    <row r="1964" spans="2:9" x14ac:dyDescent="0.25">
      <c r="B1964" t="s">
        <v>2040</v>
      </c>
      <c r="C1964" s="22" t="s">
        <v>20</v>
      </c>
      <c r="D1964">
        <v>4</v>
      </c>
      <c r="G1964" s="30">
        <f>Table132[[#This Row],[nb win]]/Table132[[#This Row],[nb play]]</f>
        <v>0</v>
      </c>
      <c r="H1964" t="str">
        <f>MID(Table132[[#This Row],[ÉTAT]],VALUE(RIGHT(Table132[[#This Row],[next move]],1))+1+VALUE(LEFT(Table132[[#This Row],[next move]],1))*3,1)</f>
        <v>V</v>
      </c>
      <c r="I1964" t="str">
        <f>Table132[[#This Row],[ÉTAT]]&amp;Table132[[#This Row],[next move]]</f>
        <v>VMVEEMEME02</v>
      </c>
    </row>
    <row r="1965" spans="2:9" x14ac:dyDescent="0.25">
      <c r="B1965" t="s">
        <v>1044</v>
      </c>
      <c r="C1965" s="22" t="s">
        <v>20</v>
      </c>
      <c r="D1965">
        <v>4</v>
      </c>
      <c r="E1965">
        <v>4</v>
      </c>
      <c r="G1965" s="31">
        <f>Table132[[#This Row],[nb win]]/Table132[[#This Row],[nb play]]</f>
        <v>1</v>
      </c>
      <c r="H1965" t="str">
        <f>MID(Table132[[#This Row],[ÉTAT]],VALUE(RIGHT(Table132[[#This Row],[next move]],1))+1+VALUE(LEFT(Table132[[#This Row],[next move]],1))*3,1)</f>
        <v>V</v>
      </c>
      <c r="I1965" t="str">
        <f>Table132[[#This Row],[ÉTAT]]&amp;Table132[[#This Row],[next move]]</f>
        <v>VMVEEMEEM02</v>
      </c>
    </row>
    <row r="1966" spans="2:9" x14ac:dyDescent="0.25">
      <c r="B1966" t="s">
        <v>2691</v>
      </c>
      <c r="C1966" s="22" t="s">
        <v>30</v>
      </c>
      <c r="D1966">
        <v>6</v>
      </c>
      <c r="E1966">
        <v>4</v>
      </c>
      <c r="G1966" s="30">
        <f>Table132[[#This Row],[nb win]]/Table132[[#This Row],[nb play]]</f>
        <v>0.66666666666666663</v>
      </c>
      <c r="H1966" t="str">
        <f>MID(Table132[[#This Row],[ÉTAT]],VALUE(RIGHT(Table132[[#This Row],[next move]],1))+1+VALUE(LEFT(Table132[[#This Row],[next move]],1))*3,1)</f>
        <v>V</v>
      </c>
      <c r="I1966" t="str">
        <f>Table132[[#This Row],[ÉTAT]]&amp;Table132[[#This Row],[next move]]</f>
        <v>VMMVVVVEE10</v>
      </c>
    </row>
    <row r="1967" spans="2:9" x14ac:dyDescent="0.25">
      <c r="B1967" t="s">
        <v>2691</v>
      </c>
      <c r="C1967" s="22" t="s">
        <v>29</v>
      </c>
      <c r="D1967">
        <v>3</v>
      </c>
      <c r="G1967" s="30">
        <f>Table132[[#This Row],[nb win]]/Table132[[#This Row],[nb play]]</f>
        <v>0</v>
      </c>
      <c r="H1967" t="str">
        <f>MID(Table132[[#This Row],[ÉTAT]],VALUE(RIGHT(Table132[[#This Row],[next move]],1))+1+VALUE(LEFT(Table132[[#This Row],[next move]],1))*3,1)</f>
        <v>V</v>
      </c>
      <c r="I1967" t="str">
        <f>Table132[[#This Row],[ÉTAT]]&amp;Table132[[#This Row],[next move]]</f>
        <v>VMMVVVVEE11</v>
      </c>
    </row>
    <row r="1968" spans="2:9" x14ac:dyDescent="0.25">
      <c r="B1968" t="s">
        <v>2691</v>
      </c>
      <c r="C1968" s="22" t="s">
        <v>35</v>
      </c>
      <c r="D1968">
        <v>2</v>
      </c>
      <c r="E1968">
        <v>2</v>
      </c>
      <c r="G1968" s="31">
        <f>Table132[[#This Row],[nb win]]/Table132[[#This Row],[nb play]]</f>
        <v>1</v>
      </c>
      <c r="H1968" t="str">
        <f>MID(Table132[[#This Row],[ÉTAT]],VALUE(RIGHT(Table132[[#This Row],[next move]],1))+1+VALUE(LEFT(Table132[[#This Row],[next move]],1))*3,1)</f>
        <v>V</v>
      </c>
      <c r="I1968" t="str">
        <f>Table132[[#This Row],[ÉTAT]]&amp;Table132[[#This Row],[next move]]</f>
        <v>VMMVVVVEE20</v>
      </c>
    </row>
    <row r="1969" spans="2:9" x14ac:dyDescent="0.25">
      <c r="B1969" t="s">
        <v>1997</v>
      </c>
      <c r="C1969" s="22" t="s">
        <v>24</v>
      </c>
      <c r="D1969">
        <v>7</v>
      </c>
      <c r="E1969">
        <v>7</v>
      </c>
      <c r="G1969" s="31">
        <f>Table132[[#This Row],[nb win]]/Table132[[#This Row],[nb play]]</f>
        <v>1</v>
      </c>
      <c r="H1969" t="str">
        <f>MID(Table132[[#This Row],[ÉTAT]],VALUE(RIGHT(Table132[[#This Row],[next move]],1))+1+VALUE(LEFT(Table132[[#This Row],[next move]],1))*3,1)</f>
        <v>V</v>
      </c>
      <c r="I1969" t="str">
        <f>Table132[[#This Row],[ÉTAT]]&amp;Table132[[#This Row],[next move]]</f>
        <v>VMMVVVEEV00</v>
      </c>
    </row>
    <row r="1970" spans="2:9" x14ac:dyDescent="0.25">
      <c r="B1970" t="s">
        <v>2287</v>
      </c>
      <c r="C1970" s="22" t="s">
        <v>24</v>
      </c>
      <c r="D1970">
        <v>2</v>
      </c>
      <c r="E1970">
        <v>2</v>
      </c>
      <c r="G1970" s="31">
        <f>Table132[[#This Row],[nb win]]/Table132[[#This Row],[nb play]]</f>
        <v>1</v>
      </c>
      <c r="H1970" t="str">
        <f>MID(Table132[[#This Row],[ÉTAT]],VALUE(RIGHT(Table132[[#This Row],[next move]],1))+1+VALUE(LEFT(Table132[[#This Row],[next move]],1))*3,1)</f>
        <v>V</v>
      </c>
      <c r="I1970" t="str">
        <f>Table132[[#This Row],[ÉTAT]]&amp;Table132[[#This Row],[next move]]</f>
        <v>VMMVVEVVE00</v>
      </c>
    </row>
    <row r="1971" spans="2:9" x14ac:dyDescent="0.25">
      <c r="B1971" t="s">
        <v>2529</v>
      </c>
      <c r="C1971" s="22" t="s">
        <v>24</v>
      </c>
      <c r="D1971">
        <v>4</v>
      </c>
      <c r="E1971">
        <v>4</v>
      </c>
      <c r="G1971" s="31">
        <f>Table132[[#This Row],[nb win]]/Table132[[#This Row],[nb play]]</f>
        <v>1</v>
      </c>
      <c r="H1971" t="str">
        <f>MID(Table132[[#This Row],[ÉTAT]],VALUE(RIGHT(Table132[[#This Row],[next move]],1))+1+VALUE(LEFT(Table132[[#This Row],[next move]],1))*3,1)</f>
        <v>V</v>
      </c>
      <c r="I1971" t="str">
        <f>Table132[[#This Row],[ÉTAT]]&amp;Table132[[#This Row],[next move]]</f>
        <v>VMMVVEVEV00</v>
      </c>
    </row>
    <row r="1972" spans="2:9" x14ac:dyDescent="0.25">
      <c r="B1972" t="s">
        <v>1083</v>
      </c>
      <c r="C1972" s="22" t="s">
        <v>35</v>
      </c>
      <c r="D1972">
        <v>2</v>
      </c>
      <c r="E1972">
        <v>2</v>
      </c>
      <c r="G1972" s="31">
        <f>Table132[[#This Row],[nb win]]/Table132[[#This Row],[nb play]]</f>
        <v>1</v>
      </c>
      <c r="H1972" t="str">
        <f>MID(Table132[[#This Row],[ÉTAT]],VALUE(RIGHT(Table132[[#This Row],[next move]],1))+1+VALUE(LEFT(Table132[[#This Row],[next move]],1))*3,1)</f>
        <v>V</v>
      </c>
      <c r="I1972" t="str">
        <f>Table132[[#This Row],[ÉTAT]]&amp;Table132[[#This Row],[next move]]</f>
        <v>VMMVVEVEE20</v>
      </c>
    </row>
    <row r="1973" spans="2:9" x14ac:dyDescent="0.25">
      <c r="B1973" t="s">
        <v>723</v>
      </c>
      <c r="C1973" s="22" t="s">
        <v>30</v>
      </c>
      <c r="D1973">
        <v>3</v>
      </c>
      <c r="E1973">
        <v>3</v>
      </c>
      <c r="G1973" s="25">
        <f>Table132[[#This Row],[nb win]]/Table132[[#This Row],[nb play]]</f>
        <v>1</v>
      </c>
      <c r="H1973" t="str">
        <f>MID(Table132[[#This Row],[ÉTAT]],VALUE(RIGHT(Table132[[#This Row],[next move]],1))+1+VALUE(LEFT(Table132[[#This Row],[next move]],1))*3,1)</f>
        <v>V</v>
      </c>
      <c r="I1973" t="str">
        <f>Table132[[#This Row],[ÉTAT]]&amp;Table132[[#This Row],[next move]]</f>
        <v>VMMVVEMEE10</v>
      </c>
    </row>
    <row r="1974" spans="2:9" x14ac:dyDescent="0.25">
      <c r="B1974" t="s">
        <v>551</v>
      </c>
      <c r="C1974" s="22" t="s">
        <v>24</v>
      </c>
      <c r="D1974">
        <v>4</v>
      </c>
      <c r="E1974">
        <v>4</v>
      </c>
      <c r="G1974" s="31">
        <f>Table132[[#This Row],[nb win]]/Table132[[#This Row],[nb play]]</f>
        <v>1</v>
      </c>
      <c r="H1974" t="str">
        <f>MID(Table132[[#This Row],[ÉTAT]],VALUE(RIGHT(Table132[[#This Row],[next move]],1))+1+VALUE(LEFT(Table132[[#This Row],[next move]],1))*3,1)</f>
        <v>V</v>
      </c>
      <c r="I1974" t="str">
        <f>Table132[[#This Row],[ÉTAT]]&amp;Table132[[#This Row],[next move]]</f>
        <v>VMMVVEEVE00</v>
      </c>
    </row>
    <row r="1975" spans="2:9" x14ac:dyDescent="0.25">
      <c r="B1975" t="s">
        <v>2724</v>
      </c>
      <c r="C1975" s="22" t="s">
        <v>30</v>
      </c>
      <c r="D1975">
        <v>1</v>
      </c>
      <c r="E1975">
        <v>1</v>
      </c>
      <c r="G1975" s="25">
        <f>Table132[[#This Row],[nb win]]/Table132[[#This Row],[nb play]]</f>
        <v>1</v>
      </c>
      <c r="H1975" t="str">
        <f>MID(Table132[[#This Row],[ÉTAT]],VALUE(RIGHT(Table132[[#This Row],[next move]],1))+1+VALUE(LEFT(Table132[[#This Row],[next move]],1))*3,1)</f>
        <v>V</v>
      </c>
      <c r="I1975" t="str">
        <f>Table132[[#This Row],[ÉTAT]]&amp;Table132[[#This Row],[next move]]</f>
        <v>VMMVVEEME10</v>
      </c>
    </row>
    <row r="1976" spans="2:9" x14ac:dyDescent="0.25">
      <c r="B1976" t="s">
        <v>2295</v>
      </c>
      <c r="C1976" s="22" t="s">
        <v>30</v>
      </c>
      <c r="D1976">
        <v>1</v>
      </c>
      <c r="E1976">
        <v>1</v>
      </c>
      <c r="G1976" s="31">
        <f>Table132[[#This Row],[nb win]]/Table132[[#This Row],[nb play]]</f>
        <v>1</v>
      </c>
      <c r="H1976" t="str">
        <f>MID(Table132[[#This Row],[ÉTAT]],VALUE(RIGHT(Table132[[#This Row],[next move]],1))+1+VALUE(LEFT(Table132[[#This Row],[next move]],1))*3,1)</f>
        <v>V</v>
      </c>
      <c r="I1976" t="str">
        <f>Table132[[#This Row],[ÉTAT]]&amp;Table132[[#This Row],[next move]]</f>
        <v>VMMVVEEEV10</v>
      </c>
    </row>
    <row r="1977" spans="2:9" x14ac:dyDescent="0.25">
      <c r="B1977" t="s">
        <v>2295</v>
      </c>
      <c r="C1977" s="22" t="s">
        <v>29</v>
      </c>
      <c r="D1977">
        <v>1</v>
      </c>
      <c r="G1977" s="25">
        <f>Table132[[#This Row],[nb win]]/Table132[[#This Row],[nb play]]</f>
        <v>0</v>
      </c>
      <c r="H1977" t="str">
        <f>MID(Table132[[#This Row],[ÉTAT]],VALUE(RIGHT(Table132[[#This Row],[next move]],1))+1+VALUE(LEFT(Table132[[#This Row],[next move]],1))*3,1)</f>
        <v>V</v>
      </c>
      <c r="I1977" t="str">
        <f>Table132[[#This Row],[ÉTAT]]&amp;Table132[[#This Row],[next move]]</f>
        <v>VMMVVEEEV11</v>
      </c>
    </row>
    <row r="1978" spans="2:9" x14ac:dyDescent="0.25">
      <c r="B1978" t="s">
        <v>2608</v>
      </c>
      <c r="C1978" s="22" t="s">
        <v>24</v>
      </c>
      <c r="D1978">
        <v>2</v>
      </c>
      <c r="E1978">
        <v>2</v>
      </c>
      <c r="G1978" s="31">
        <f>Table132[[#This Row],[nb win]]/Table132[[#This Row],[nb play]]</f>
        <v>1</v>
      </c>
      <c r="H1978" t="str">
        <f>MID(Table132[[#This Row],[ÉTAT]],VALUE(RIGHT(Table132[[#This Row],[next move]],1))+1+VALUE(LEFT(Table132[[#This Row],[next move]],1))*3,1)</f>
        <v>V</v>
      </c>
      <c r="I1978" t="str">
        <f>Table132[[#This Row],[ÉTAT]]&amp;Table132[[#This Row],[next move]]</f>
        <v>VMMVMEVEE00</v>
      </c>
    </row>
    <row r="1979" spans="2:9" x14ac:dyDescent="0.25">
      <c r="B1979" t="s">
        <v>850</v>
      </c>
      <c r="C1979" s="22" t="s">
        <v>22</v>
      </c>
      <c r="D1979">
        <v>2</v>
      </c>
      <c r="E1979">
        <v>2</v>
      </c>
      <c r="G1979" s="31">
        <f>Table132[[#This Row],[nb win]]/Table132[[#This Row],[nb play]]</f>
        <v>1</v>
      </c>
      <c r="H1979" t="str">
        <f>MID(Table132[[#This Row],[ÉTAT]],VALUE(RIGHT(Table132[[#This Row],[next move]],1))+1+VALUE(LEFT(Table132[[#This Row],[next move]],1))*3,1)</f>
        <v>V</v>
      </c>
      <c r="I1979" t="str">
        <f>Table132[[#This Row],[ÉTAT]]&amp;Table132[[#This Row],[next move]]</f>
        <v>VMMVMEEVE21</v>
      </c>
    </row>
    <row r="1980" spans="2:9" x14ac:dyDescent="0.25">
      <c r="B1980" t="s">
        <v>2213</v>
      </c>
      <c r="C1980" s="22" t="s">
        <v>24</v>
      </c>
      <c r="D1980">
        <v>4</v>
      </c>
      <c r="E1980">
        <v>4</v>
      </c>
      <c r="G1980" s="31">
        <f>Table132[[#This Row],[nb win]]/Table132[[#This Row],[nb play]]</f>
        <v>1</v>
      </c>
      <c r="H1980" t="str">
        <f>MID(Table132[[#This Row],[ÉTAT]],VALUE(RIGHT(Table132[[#This Row],[next move]],1))+1+VALUE(LEFT(Table132[[#This Row],[next move]],1))*3,1)</f>
        <v>V</v>
      </c>
      <c r="I1980" t="str">
        <f>Table132[[#This Row],[ÉTAT]]&amp;Table132[[#This Row],[next move]]</f>
        <v>VMMVMEEEV00</v>
      </c>
    </row>
    <row r="1981" spans="2:9" x14ac:dyDescent="0.25">
      <c r="B1981" t="s">
        <v>1016</v>
      </c>
      <c r="C1981" s="22" t="s">
        <v>28</v>
      </c>
      <c r="D1981">
        <v>4</v>
      </c>
      <c r="E1981">
        <v>3</v>
      </c>
      <c r="G1981" s="30">
        <f>Table132[[#This Row],[nb win]]/Table132[[#This Row],[nb play]]</f>
        <v>0.75</v>
      </c>
      <c r="H1981" t="str">
        <f>MID(Table132[[#This Row],[ÉTAT]],VALUE(RIGHT(Table132[[#This Row],[next move]],1))+1+VALUE(LEFT(Table132[[#This Row],[next move]],1))*3,1)</f>
        <v>V</v>
      </c>
      <c r="I1981" t="str">
        <f>Table132[[#This Row],[ÉTAT]]&amp;Table132[[#This Row],[next move]]</f>
        <v>VMMVEVVVE12</v>
      </c>
    </row>
    <row r="1982" spans="2:9" x14ac:dyDescent="0.25">
      <c r="B1982" t="s">
        <v>1016</v>
      </c>
      <c r="C1982" s="22" t="s">
        <v>35</v>
      </c>
      <c r="D1982">
        <v>4</v>
      </c>
      <c r="E1982">
        <v>3</v>
      </c>
      <c r="G1982" s="31">
        <f>Table132[[#This Row],[nb win]]/Table132[[#This Row],[nb play]]</f>
        <v>0.75</v>
      </c>
      <c r="H1982" t="str">
        <f>MID(Table132[[#This Row],[ÉTAT]],VALUE(RIGHT(Table132[[#This Row],[next move]],1))+1+VALUE(LEFT(Table132[[#This Row],[next move]],1))*3,1)</f>
        <v>V</v>
      </c>
      <c r="I1982" t="str">
        <f>Table132[[#This Row],[ÉTAT]]&amp;Table132[[#This Row],[next move]]</f>
        <v>VMMVEVVVE20</v>
      </c>
    </row>
    <row r="1983" spans="2:9" x14ac:dyDescent="0.25">
      <c r="B1983" t="s">
        <v>1016</v>
      </c>
      <c r="C1983" s="22" t="s">
        <v>22</v>
      </c>
      <c r="D1983">
        <v>3</v>
      </c>
      <c r="G1983" s="30">
        <f>Table132[[#This Row],[nb win]]/Table132[[#This Row],[nb play]]</f>
        <v>0</v>
      </c>
      <c r="H1983" t="str">
        <f>MID(Table132[[#This Row],[ÉTAT]],VALUE(RIGHT(Table132[[#This Row],[next move]],1))+1+VALUE(LEFT(Table132[[#This Row],[next move]],1))*3,1)</f>
        <v>V</v>
      </c>
      <c r="I1983" t="str">
        <f>Table132[[#This Row],[ÉTAT]]&amp;Table132[[#This Row],[next move]]</f>
        <v>VMMVEVVVE21</v>
      </c>
    </row>
    <row r="1984" spans="2:9" x14ac:dyDescent="0.25">
      <c r="B1984" t="s">
        <v>3421</v>
      </c>
      <c r="C1984" s="22" t="s">
        <v>30</v>
      </c>
      <c r="D1984">
        <v>1</v>
      </c>
      <c r="E1984">
        <v>1</v>
      </c>
      <c r="G1984" s="31">
        <f>Table132[[#This Row],[nb win]]/Table132[[#This Row],[nb play]]</f>
        <v>1</v>
      </c>
      <c r="H1984" t="str">
        <f>MID(Table132[[#This Row],[ÉTAT]],VALUE(RIGHT(Table132[[#This Row],[next move]],1))+1+VALUE(LEFT(Table132[[#This Row],[next move]],1))*3,1)</f>
        <v>V</v>
      </c>
      <c r="I1984" t="str">
        <f>Table132[[#This Row],[ÉTAT]]&amp;Table132[[#This Row],[next move]]</f>
        <v>VMMVEVVEV10</v>
      </c>
    </row>
    <row r="1985" spans="2:9" x14ac:dyDescent="0.25">
      <c r="B1985" t="s">
        <v>1148</v>
      </c>
      <c r="C1985" s="22" t="s">
        <v>24</v>
      </c>
      <c r="D1985">
        <v>4</v>
      </c>
      <c r="E1985">
        <v>4</v>
      </c>
      <c r="G1985" s="31">
        <f>Table132[[#This Row],[nb win]]/Table132[[#This Row],[nb play]]</f>
        <v>1</v>
      </c>
      <c r="H1985" t="str">
        <f>MID(Table132[[#This Row],[ÉTAT]],VALUE(RIGHT(Table132[[#This Row],[next move]],1))+1+VALUE(LEFT(Table132[[#This Row],[next move]],1))*3,1)</f>
        <v>V</v>
      </c>
      <c r="I1985" t="str">
        <f>Table132[[#This Row],[ÉTAT]]&amp;Table132[[#This Row],[next move]]</f>
        <v>VMMVEVVEE00</v>
      </c>
    </row>
    <row r="1986" spans="2:9" x14ac:dyDescent="0.25">
      <c r="B1986" t="s">
        <v>1148</v>
      </c>
      <c r="C1986" s="22" t="s">
        <v>28</v>
      </c>
      <c r="D1986">
        <v>4</v>
      </c>
      <c r="G1986" s="30">
        <f>Table132[[#This Row],[nb win]]/Table132[[#This Row],[nb play]]</f>
        <v>0</v>
      </c>
      <c r="H1986" t="str">
        <f>MID(Table132[[#This Row],[ÉTAT]],VALUE(RIGHT(Table132[[#This Row],[next move]],1))+1+VALUE(LEFT(Table132[[#This Row],[next move]],1))*3,1)</f>
        <v>V</v>
      </c>
      <c r="I1986" t="str">
        <f>Table132[[#This Row],[ÉTAT]]&amp;Table132[[#This Row],[next move]]</f>
        <v>VMMVEVVEE12</v>
      </c>
    </row>
    <row r="1987" spans="2:9" x14ac:dyDescent="0.25">
      <c r="B1987" t="s">
        <v>546</v>
      </c>
      <c r="C1987" s="22" t="s">
        <v>30</v>
      </c>
      <c r="D1987">
        <v>6</v>
      </c>
      <c r="E1987">
        <v>6</v>
      </c>
      <c r="G1987" s="31">
        <f>Table132[[#This Row],[nb win]]/Table132[[#This Row],[nb play]]</f>
        <v>1</v>
      </c>
      <c r="H1987" t="str">
        <f>MID(Table132[[#This Row],[ÉTAT]],VALUE(RIGHT(Table132[[#This Row],[next move]],1))+1+VALUE(LEFT(Table132[[#This Row],[next move]],1))*3,1)</f>
        <v>V</v>
      </c>
      <c r="I1987" t="str">
        <f>Table132[[#This Row],[ÉTAT]]&amp;Table132[[#This Row],[next move]]</f>
        <v>VMMVEVMEE10</v>
      </c>
    </row>
    <row r="1988" spans="2:9" x14ac:dyDescent="0.25">
      <c r="B1988" t="s">
        <v>940</v>
      </c>
      <c r="C1988" s="22" t="s">
        <v>24</v>
      </c>
      <c r="D1988">
        <v>1</v>
      </c>
      <c r="E1988">
        <v>1</v>
      </c>
      <c r="G1988" s="31">
        <f>Table132[[#This Row],[nb win]]/Table132[[#This Row],[nb play]]</f>
        <v>1</v>
      </c>
      <c r="H1988" t="str">
        <f>MID(Table132[[#This Row],[ÉTAT]],VALUE(RIGHT(Table132[[#This Row],[next move]],1))+1+VALUE(LEFT(Table132[[#This Row],[next move]],1))*3,1)</f>
        <v>V</v>
      </c>
      <c r="I1988" t="str">
        <f>Table132[[#This Row],[ÉTAT]]&amp;Table132[[#This Row],[next move]]</f>
        <v>VMMVEVEVV00</v>
      </c>
    </row>
    <row r="1989" spans="2:9" x14ac:dyDescent="0.25">
      <c r="B1989" t="s">
        <v>940</v>
      </c>
      <c r="C1989" s="22" t="s">
        <v>28</v>
      </c>
      <c r="D1989">
        <v>2</v>
      </c>
      <c r="E1989">
        <v>1</v>
      </c>
      <c r="G1989" s="25">
        <f>Table132[[#This Row],[nb win]]/Table132[[#This Row],[nb play]]</f>
        <v>0.5</v>
      </c>
      <c r="H1989" t="str">
        <f>MID(Table132[[#This Row],[ÉTAT]],VALUE(RIGHT(Table132[[#This Row],[next move]],1))+1+VALUE(LEFT(Table132[[#This Row],[next move]],1))*3,1)</f>
        <v>V</v>
      </c>
      <c r="I1989" t="str">
        <f>Table132[[#This Row],[ÉTAT]]&amp;Table132[[#This Row],[next move]]</f>
        <v>VMMVEVEVV12</v>
      </c>
    </row>
    <row r="1990" spans="2:9" x14ac:dyDescent="0.25">
      <c r="B1990" t="s">
        <v>940</v>
      </c>
      <c r="C1990" s="22" t="s">
        <v>22</v>
      </c>
      <c r="D1990">
        <v>1</v>
      </c>
      <c r="G1990" s="30">
        <f>Table132[[#This Row],[nb win]]/Table132[[#This Row],[nb play]]</f>
        <v>0</v>
      </c>
      <c r="H1990" t="str">
        <f>MID(Table132[[#This Row],[ÉTAT]],VALUE(RIGHT(Table132[[#This Row],[next move]],1))+1+VALUE(LEFT(Table132[[#This Row],[next move]],1))*3,1)</f>
        <v>V</v>
      </c>
      <c r="I1990" t="str">
        <f>Table132[[#This Row],[ÉTAT]]&amp;Table132[[#This Row],[next move]]</f>
        <v>VMMVEVEVV21</v>
      </c>
    </row>
    <row r="1991" spans="2:9" x14ac:dyDescent="0.25">
      <c r="B1991" t="s">
        <v>888</v>
      </c>
      <c r="C1991" s="22" t="s">
        <v>24</v>
      </c>
      <c r="D1991">
        <v>1</v>
      </c>
      <c r="E1991">
        <v>1</v>
      </c>
      <c r="G1991" s="25">
        <f>Table132[[#This Row],[nb win]]/Table132[[#This Row],[nb play]]</f>
        <v>1</v>
      </c>
      <c r="H1991" t="str">
        <f>MID(Table132[[#This Row],[ÉTAT]],VALUE(RIGHT(Table132[[#This Row],[next move]],1))+1+VALUE(LEFT(Table132[[#This Row],[next move]],1))*3,1)</f>
        <v>V</v>
      </c>
      <c r="I1991" t="str">
        <f>Table132[[#This Row],[ÉTAT]]&amp;Table132[[#This Row],[next move]]</f>
        <v>VMMVEVEVE00</v>
      </c>
    </row>
    <row r="1992" spans="2:9" x14ac:dyDescent="0.25">
      <c r="B1992" t="s">
        <v>888</v>
      </c>
      <c r="C1992" s="22" t="s">
        <v>30</v>
      </c>
      <c r="D1992">
        <v>1</v>
      </c>
      <c r="G1992" s="25">
        <f>Table132[[#This Row],[nb win]]/Table132[[#This Row],[nb play]]</f>
        <v>0</v>
      </c>
      <c r="H1992" t="str">
        <f>MID(Table132[[#This Row],[ÉTAT]],VALUE(RIGHT(Table132[[#This Row],[next move]],1))+1+VALUE(LEFT(Table132[[#This Row],[next move]],1))*3,1)</f>
        <v>V</v>
      </c>
      <c r="I1992" t="str">
        <f>Table132[[#This Row],[ÉTAT]]&amp;Table132[[#This Row],[next move]]</f>
        <v>VMMVEVEVE10</v>
      </c>
    </row>
    <row r="1993" spans="2:9" x14ac:dyDescent="0.25">
      <c r="B1993" t="s">
        <v>888</v>
      </c>
      <c r="C1993" s="22" t="s">
        <v>28</v>
      </c>
      <c r="D1993">
        <v>3</v>
      </c>
      <c r="G1993" s="30">
        <f>Table132[[#This Row],[nb win]]/Table132[[#This Row],[nb play]]</f>
        <v>0</v>
      </c>
      <c r="H1993" t="str">
        <f>MID(Table132[[#This Row],[ÉTAT]],VALUE(RIGHT(Table132[[#This Row],[next move]],1))+1+VALUE(LEFT(Table132[[#This Row],[next move]],1))*3,1)</f>
        <v>V</v>
      </c>
      <c r="I1993" t="str">
        <f>Table132[[#This Row],[ÉTAT]]&amp;Table132[[#This Row],[next move]]</f>
        <v>VMMVEVEVE12</v>
      </c>
    </row>
    <row r="1994" spans="2:9" x14ac:dyDescent="0.25">
      <c r="B1994" t="s">
        <v>888</v>
      </c>
      <c r="C1994" s="22" t="s">
        <v>22</v>
      </c>
      <c r="D1994">
        <v>3</v>
      </c>
      <c r="G1994" s="30">
        <f>Table132[[#This Row],[nb win]]/Table132[[#This Row],[nb play]]</f>
        <v>0</v>
      </c>
      <c r="H1994" t="str">
        <f>MID(Table132[[#This Row],[ÉTAT]],VALUE(RIGHT(Table132[[#This Row],[next move]],1))+1+VALUE(LEFT(Table132[[#This Row],[next move]],1))*3,1)</f>
        <v>V</v>
      </c>
      <c r="I1994" t="str">
        <f>Table132[[#This Row],[ÉTAT]]&amp;Table132[[#This Row],[next move]]</f>
        <v>VMMVEVEVE21</v>
      </c>
    </row>
    <row r="1995" spans="2:9" x14ac:dyDescent="0.25">
      <c r="B1995" t="s">
        <v>3398</v>
      </c>
      <c r="C1995" s="22" t="s">
        <v>28</v>
      </c>
      <c r="D1995">
        <v>1</v>
      </c>
      <c r="G1995" s="30">
        <f>Table132[[#This Row],[nb win]]/Table132[[#This Row],[nb play]]</f>
        <v>0</v>
      </c>
      <c r="H1995" t="str">
        <f>MID(Table132[[#This Row],[ÉTAT]],VALUE(RIGHT(Table132[[#This Row],[next move]],1))+1+VALUE(LEFT(Table132[[#This Row],[next move]],1))*3,1)</f>
        <v>V</v>
      </c>
      <c r="I1995" t="str">
        <f>Table132[[#This Row],[ÉTAT]]&amp;Table132[[#This Row],[next move]]</f>
        <v>VMMVEVEME12</v>
      </c>
    </row>
    <row r="1996" spans="2:9" x14ac:dyDescent="0.25">
      <c r="B1996" t="s">
        <v>2783</v>
      </c>
      <c r="C1996" s="22" t="s">
        <v>24</v>
      </c>
      <c r="D1996">
        <v>1</v>
      </c>
      <c r="E1996">
        <v>1</v>
      </c>
      <c r="G1996" s="31">
        <f>Table132[[#This Row],[nb win]]/Table132[[#This Row],[nb play]]</f>
        <v>1</v>
      </c>
      <c r="H1996" t="str">
        <f>MID(Table132[[#This Row],[ÉTAT]],VALUE(RIGHT(Table132[[#This Row],[next move]],1))+1+VALUE(LEFT(Table132[[#This Row],[next move]],1))*3,1)</f>
        <v>V</v>
      </c>
      <c r="I1996" t="str">
        <f>Table132[[#This Row],[ÉTAT]]&amp;Table132[[#This Row],[next move]]</f>
        <v>VMMVEVEEV00</v>
      </c>
    </row>
    <row r="1997" spans="2:9" x14ac:dyDescent="0.25">
      <c r="B1997" t="s">
        <v>2783</v>
      </c>
      <c r="C1997" s="22" t="s">
        <v>30</v>
      </c>
      <c r="D1997">
        <v>1</v>
      </c>
      <c r="G1997" s="25">
        <f>Table132[[#This Row],[nb win]]/Table132[[#This Row],[nb play]]</f>
        <v>0</v>
      </c>
      <c r="H1997" t="str">
        <f>MID(Table132[[#This Row],[ÉTAT]],VALUE(RIGHT(Table132[[#This Row],[next move]],1))+1+VALUE(LEFT(Table132[[#This Row],[next move]],1))*3,1)</f>
        <v>V</v>
      </c>
      <c r="I1997" t="str">
        <f>Table132[[#This Row],[ÉTAT]]&amp;Table132[[#This Row],[next move]]</f>
        <v>VMMVEVEEV10</v>
      </c>
    </row>
    <row r="1998" spans="2:9" x14ac:dyDescent="0.25">
      <c r="B1998" t="s">
        <v>2616</v>
      </c>
      <c r="C1998" s="22" t="s">
        <v>24</v>
      </c>
      <c r="D1998">
        <v>4</v>
      </c>
      <c r="E1998">
        <v>4</v>
      </c>
      <c r="G1998" s="31">
        <f>Table132[[#This Row],[nb win]]/Table132[[#This Row],[nb play]]</f>
        <v>1</v>
      </c>
      <c r="H1998" t="str">
        <f>MID(Table132[[#This Row],[ÉTAT]],VALUE(RIGHT(Table132[[#This Row],[next move]],1))+1+VALUE(LEFT(Table132[[#This Row],[next move]],1))*3,1)</f>
        <v>V</v>
      </c>
      <c r="I1998" t="str">
        <f>Table132[[#This Row],[ÉTAT]]&amp;Table132[[#This Row],[next move]]</f>
        <v>VMMVEMEVE00</v>
      </c>
    </row>
    <row r="1999" spans="2:9" x14ac:dyDescent="0.25">
      <c r="B1999" t="s">
        <v>3036</v>
      </c>
      <c r="C1999" s="22" t="s">
        <v>24</v>
      </c>
      <c r="D1999">
        <v>1</v>
      </c>
      <c r="E1999">
        <v>1</v>
      </c>
      <c r="G1999" s="25">
        <f>Table132[[#This Row],[nb win]]/Table132[[#This Row],[nb play]]</f>
        <v>1</v>
      </c>
      <c r="H1999" t="str">
        <f>MID(Table132[[#This Row],[ÉTAT]],VALUE(RIGHT(Table132[[#This Row],[next move]],1))+1+VALUE(LEFT(Table132[[#This Row],[next move]],1))*3,1)</f>
        <v>V</v>
      </c>
      <c r="I1999" t="str">
        <f>Table132[[#This Row],[ÉTAT]]&amp;Table132[[#This Row],[next move]]</f>
        <v>VMMVEMEEV00</v>
      </c>
    </row>
    <row r="2000" spans="2:9" x14ac:dyDescent="0.25">
      <c r="B2000" t="s">
        <v>1068</v>
      </c>
      <c r="C2000" s="22" t="s">
        <v>22</v>
      </c>
      <c r="D2000">
        <v>1</v>
      </c>
      <c r="G2000" s="25">
        <f>Table132[[#This Row],[nb win]]/Table132[[#This Row],[nb play]]</f>
        <v>0</v>
      </c>
      <c r="H2000" t="str">
        <f>MID(Table132[[#This Row],[ÉTAT]],VALUE(RIGHT(Table132[[#This Row],[next move]],1))+1+VALUE(LEFT(Table132[[#This Row],[next move]],1))*3,1)</f>
        <v>V</v>
      </c>
      <c r="I2000" t="str">
        <f>Table132[[#This Row],[ÉTAT]]&amp;Table132[[#This Row],[next move]]</f>
        <v>VMMVEEVVV21</v>
      </c>
    </row>
    <row r="2001" spans="2:9" x14ac:dyDescent="0.25">
      <c r="B2001" t="s">
        <v>1118</v>
      </c>
      <c r="C2001" s="22" t="s">
        <v>30</v>
      </c>
      <c r="D2001">
        <v>2</v>
      </c>
      <c r="E2001">
        <v>2</v>
      </c>
      <c r="G2001" s="25">
        <f>Table132[[#This Row],[nb win]]/Table132[[#This Row],[nb play]]</f>
        <v>1</v>
      </c>
      <c r="H2001" t="str">
        <f>MID(Table132[[#This Row],[ÉTAT]],VALUE(RIGHT(Table132[[#This Row],[next move]],1))+1+VALUE(LEFT(Table132[[#This Row],[next move]],1))*3,1)</f>
        <v>V</v>
      </c>
      <c r="I2001" t="str">
        <f>Table132[[#This Row],[ÉTAT]]&amp;Table132[[#This Row],[next move]]</f>
        <v>VMMVEEVVE10</v>
      </c>
    </row>
    <row r="2002" spans="2:9" x14ac:dyDescent="0.25">
      <c r="B2002" t="s">
        <v>3210</v>
      </c>
      <c r="C2002" s="22" t="s">
        <v>30</v>
      </c>
      <c r="D2002">
        <v>1</v>
      </c>
      <c r="G2002" s="30">
        <f>Table132[[#This Row],[nb win]]/Table132[[#This Row],[nb play]]</f>
        <v>0</v>
      </c>
      <c r="H2002" t="str">
        <f>MID(Table132[[#This Row],[ÉTAT]],VALUE(RIGHT(Table132[[#This Row],[next move]],1))+1+VALUE(LEFT(Table132[[#This Row],[next move]],1))*3,1)</f>
        <v>V</v>
      </c>
      <c r="I2002" t="str">
        <f>Table132[[#This Row],[ÉTAT]]&amp;Table132[[#This Row],[next move]]</f>
        <v>VMMVEEVME10</v>
      </c>
    </row>
    <row r="2003" spans="2:9" x14ac:dyDescent="0.25">
      <c r="B2003" t="s">
        <v>1964</v>
      </c>
      <c r="C2003" s="22" t="s">
        <v>24</v>
      </c>
      <c r="D2003">
        <v>5</v>
      </c>
      <c r="E2003">
        <v>5</v>
      </c>
      <c r="G2003" s="31">
        <f>Table132[[#This Row],[nb win]]/Table132[[#This Row],[nb play]]</f>
        <v>1</v>
      </c>
      <c r="H2003" t="str">
        <f>MID(Table132[[#This Row],[ÉTAT]],VALUE(RIGHT(Table132[[#This Row],[next move]],1))+1+VALUE(LEFT(Table132[[#This Row],[next move]],1))*3,1)</f>
        <v>V</v>
      </c>
      <c r="I2003" t="str">
        <f>Table132[[#This Row],[ÉTAT]]&amp;Table132[[#This Row],[next move]]</f>
        <v>VMMVEEVEV00</v>
      </c>
    </row>
    <row r="2004" spans="2:9" x14ac:dyDescent="0.25">
      <c r="B2004" t="s">
        <v>3165</v>
      </c>
      <c r="C2004" s="22" t="s">
        <v>24</v>
      </c>
      <c r="D2004">
        <v>1</v>
      </c>
      <c r="E2004">
        <v>1</v>
      </c>
      <c r="G2004" s="31">
        <f>Table132[[#This Row],[nb win]]/Table132[[#This Row],[nb play]]</f>
        <v>1</v>
      </c>
      <c r="H2004" t="str">
        <f>MID(Table132[[#This Row],[ÉTAT]],VALUE(RIGHT(Table132[[#This Row],[next move]],1))+1+VALUE(LEFT(Table132[[#This Row],[next move]],1))*3,1)</f>
        <v>V</v>
      </c>
      <c r="I2004" t="str">
        <f>Table132[[#This Row],[ÉTAT]]&amp;Table132[[#This Row],[next move]]</f>
        <v>VMMVEEVEM00</v>
      </c>
    </row>
    <row r="2005" spans="2:9" x14ac:dyDescent="0.25">
      <c r="B2005" t="s">
        <v>1743</v>
      </c>
      <c r="C2005" s="22" t="s">
        <v>24</v>
      </c>
      <c r="D2005">
        <v>1</v>
      </c>
      <c r="E2005">
        <v>1</v>
      </c>
      <c r="G2005" s="31">
        <f>Table132[[#This Row],[nb win]]/Table132[[#This Row],[nb play]]</f>
        <v>1</v>
      </c>
      <c r="H2005" t="str">
        <f>MID(Table132[[#This Row],[ÉTAT]],VALUE(RIGHT(Table132[[#This Row],[next move]],1))+1+VALUE(LEFT(Table132[[#This Row],[next move]],1))*3,1)</f>
        <v>V</v>
      </c>
      <c r="I2005" t="str">
        <f>Table132[[#This Row],[ÉTAT]]&amp;Table132[[#This Row],[next move]]</f>
        <v>VMMVEEMVE00</v>
      </c>
    </row>
    <row r="2006" spans="2:9" x14ac:dyDescent="0.25">
      <c r="B2006" t="s">
        <v>1743</v>
      </c>
      <c r="C2006" s="22" t="s">
        <v>30</v>
      </c>
      <c r="D2006">
        <v>1</v>
      </c>
      <c r="G2006" s="30">
        <f>Table132[[#This Row],[nb win]]/Table132[[#This Row],[nb play]]</f>
        <v>0</v>
      </c>
      <c r="H2006" t="str">
        <f>MID(Table132[[#This Row],[ÉTAT]],VALUE(RIGHT(Table132[[#This Row],[next move]],1))+1+VALUE(LEFT(Table132[[#This Row],[next move]],1))*3,1)</f>
        <v>V</v>
      </c>
      <c r="I2006" t="str">
        <f>Table132[[#This Row],[ÉTAT]]&amp;Table132[[#This Row],[next move]]</f>
        <v>VMMVEEMVE10</v>
      </c>
    </row>
    <row r="2007" spans="2:9" x14ac:dyDescent="0.25">
      <c r="B2007" t="s">
        <v>1743</v>
      </c>
      <c r="C2007" s="22" t="s">
        <v>22</v>
      </c>
      <c r="D2007">
        <v>1</v>
      </c>
      <c r="G2007" s="25">
        <f>Table132[[#This Row],[nb win]]/Table132[[#This Row],[nb play]]</f>
        <v>0</v>
      </c>
      <c r="H2007" t="str">
        <f>MID(Table132[[#This Row],[ÉTAT]],VALUE(RIGHT(Table132[[#This Row],[next move]],1))+1+VALUE(LEFT(Table132[[#This Row],[next move]],1))*3,1)</f>
        <v>V</v>
      </c>
      <c r="I2007" t="str">
        <f>Table132[[#This Row],[ÉTAT]]&amp;Table132[[#This Row],[next move]]</f>
        <v>VMMVEEMVE21</v>
      </c>
    </row>
    <row r="2008" spans="2:9" x14ac:dyDescent="0.25">
      <c r="B2008" t="s">
        <v>3224</v>
      </c>
      <c r="C2008" s="22" t="s">
        <v>24</v>
      </c>
      <c r="D2008">
        <v>1</v>
      </c>
      <c r="E2008">
        <v>1</v>
      </c>
      <c r="G2008" s="31">
        <f>Table132[[#This Row],[nb win]]/Table132[[#This Row],[nb play]]</f>
        <v>1</v>
      </c>
      <c r="H2008" t="str">
        <f>MID(Table132[[#This Row],[ÉTAT]],VALUE(RIGHT(Table132[[#This Row],[next move]],1))+1+VALUE(LEFT(Table132[[#This Row],[next move]],1))*3,1)</f>
        <v>V</v>
      </c>
      <c r="I2008" t="str">
        <f>Table132[[#This Row],[ÉTAT]]&amp;Table132[[#This Row],[next move]]</f>
        <v>VMMVEEMEE00</v>
      </c>
    </row>
    <row r="2009" spans="2:9" x14ac:dyDescent="0.25">
      <c r="B2009" t="s">
        <v>109</v>
      </c>
      <c r="C2009" s="22" t="s">
        <v>22</v>
      </c>
      <c r="D2009">
        <v>1</v>
      </c>
      <c r="G2009" s="25">
        <f>Table132[[#This Row],[nb win]]/Table132[[#This Row],[nb play]]</f>
        <v>0</v>
      </c>
      <c r="H2009" t="str">
        <f>MID(Table132[[#This Row],[ÉTAT]],VALUE(RIGHT(Table132[[#This Row],[next move]],1))+1+VALUE(LEFT(Table132[[#This Row],[next move]],1))*3,1)</f>
        <v>V</v>
      </c>
      <c r="I2009" t="str">
        <f>Table132[[#This Row],[ÉTAT]]&amp;Table132[[#This Row],[next move]]</f>
        <v>VMMVEEEVV21</v>
      </c>
    </row>
    <row r="2010" spans="2:9" x14ac:dyDescent="0.25">
      <c r="B2010" t="s">
        <v>449</v>
      </c>
      <c r="C2010" s="22" t="s">
        <v>24</v>
      </c>
      <c r="D2010">
        <v>3</v>
      </c>
      <c r="E2010">
        <v>3</v>
      </c>
      <c r="G2010" s="31">
        <f>Table132[[#This Row],[nb win]]/Table132[[#This Row],[nb play]]</f>
        <v>1</v>
      </c>
      <c r="H2010" t="str">
        <f>MID(Table132[[#This Row],[ÉTAT]],VALUE(RIGHT(Table132[[#This Row],[next move]],1))+1+VALUE(LEFT(Table132[[#This Row],[next move]],1))*3,1)</f>
        <v>V</v>
      </c>
      <c r="I2010" t="str">
        <f>Table132[[#This Row],[ÉTAT]]&amp;Table132[[#This Row],[next move]]</f>
        <v>VMMVEEEVM00</v>
      </c>
    </row>
    <row r="2011" spans="2:9" x14ac:dyDescent="0.25">
      <c r="B2011" t="s">
        <v>1100</v>
      </c>
      <c r="C2011" s="22" t="s">
        <v>24</v>
      </c>
      <c r="D2011">
        <v>1</v>
      </c>
      <c r="E2011">
        <v>1</v>
      </c>
      <c r="G2011" s="25">
        <f>Table132[[#This Row],[nb win]]/Table132[[#This Row],[nb play]]</f>
        <v>1</v>
      </c>
      <c r="H2011" t="str">
        <f>MID(Table132[[#This Row],[ÉTAT]],VALUE(RIGHT(Table132[[#This Row],[next move]],1))+1+VALUE(LEFT(Table132[[#This Row],[next move]],1))*3,1)</f>
        <v>V</v>
      </c>
      <c r="I2011" t="str">
        <f>Table132[[#This Row],[ÉTAT]]&amp;Table132[[#This Row],[next move]]</f>
        <v>VMMVEEEME00</v>
      </c>
    </row>
    <row r="2012" spans="2:9" x14ac:dyDescent="0.25">
      <c r="B2012" t="s">
        <v>1100</v>
      </c>
      <c r="C2012" s="22" t="s">
        <v>30</v>
      </c>
      <c r="D2012">
        <v>1</v>
      </c>
      <c r="G2012" s="25">
        <f>Table132[[#This Row],[nb win]]/Table132[[#This Row],[nb play]]</f>
        <v>0</v>
      </c>
      <c r="H2012" t="str">
        <f>MID(Table132[[#This Row],[ÉTAT]],VALUE(RIGHT(Table132[[#This Row],[next move]],1))+1+VALUE(LEFT(Table132[[#This Row],[next move]],1))*3,1)</f>
        <v>V</v>
      </c>
      <c r="I2012" t="str">
        <f>Table132[[#This Row],[ÉTAT]]&amp;Table132[[#This Row],[next move]]</f>
        <v>VMMVEEEME10</v>
      </c>
    </row>
    <row r="2013" spans="2:9" x14ac:dyDescent="0.25">
      <c r="B2013" t="s">
        <v>1811</v>
      </c>
      <c r="C2013" s="22" t="s">
        <v>24</v>
      </c>
      <c r="D2013">
        <v>1</v>
      </c>
      <c r="E2013">
        <v>1</v>
      </c>
      <c r="G2013" s="25">
        <f>Table132[[#This Row],[nb win]]/Table132[[#This Row],[nb play]]</f>
        <v>1</v>
      </c>
      <c r="H2013" t="str">
        <f>MID(Table132[[#This Row],[ÉTAT]],VALUE(RIGHT(Table132[[#This Row],[next move]],1))+1+VALUE(LEFT(Table132[[#This Row],[next move]],1))*3,1)</f>
        <v>V</v>
      </c>
      <c r="I2013" t="str">
        <f>Table132[[#This Row],[ÉTAT]]&amp;Table132[[#This Row],[next move]]</f>
        <v>VMMVEEEEM00</v>
      </c>
    </row>
    <row r="2014" spans="2:9" x14ac:dyDescent="0.25">
      <c r="B2014" t="s">
        <v>1733</v>
      </c>
      <c r="C2014" s="22" t="s">
        <v>24</v>
      </c>
      <c r="D2014">
        <v>5</v>
      </c>
      <c r="E2014">
        <v>5</v>
      </c>
      <c r="G2014" s="31">
        <f>Table132[[#This Row],[nb win]]/Table132[[#This Row],[nb play]]</f>
        <v>1</v>
      </c>
      <c r="H2014" t="str">
        <f>MID(Table132[[#This Row],[ÉTAT]],VALUE(RIGHT(Table132[[#This Row],[next move]],1))+1+VALUE(LEFT(Table132[[#This Row],[next move]],1))*3,1)</f>
        <v>V</v>
      </c>
      <c r="I2014" t="str">
        <f>Table132[[#This Row],[ÉTAT]]&amp;Table132[[#This Row],[next move]]</f>
        <v>VMMMVEVEE00</v>
      </c>
    </row>
    <row r="2015" spans="2:9" x14ac:dyDescent="0.25">
      <c r="B2015" t="s">
        <v>2181</v>
      </c>
      <c r="C2015" s="22" t="s">
        <v>24</v>
      </c>
      <c r="D2015">
        <v>2</v>
      </c>
      <c r="E2015">
        <v>2</v>
      </c>
      <c r="G2015" s="31">
        <f>Table132[[#This Row],[nb win]]/Table132[[#This Row],[nb play]]</f>
        <v>1</v>
      </c>
      <c r="H2015" t="str">
        <f>MID(Table132[[#This Row],[ÉTAT]],VALUE(RIGHT(Table132[[#This Row],[next move]],1))+1+VALUE(LEFT(Table132[[#This Row],[next move]],1))*3,1)</f>
        <v>V</v>
      </c>
      <c r="I2015" t="str">
        <f>Table132[[#This Row],[ÉTAT]]&amp;Table132[[#This Row],[next move]]</f>
        <v>VMMMEVVEE00</v>
      </c>
    </row>
    <row r="2016" spans="2:9" x14ac:dyDescent="0.25">
      <c r="B2016" t="s">
        <v>2181</v>
      </c>
      <c r="C2016" s="22" t="s">
        <v>28</v>
      </c>
      <c r="D2016">
        <v>1</v>
      </c>
      <c r="G2016" s="25">
        <f>Table132[[#This Row],[nb win]]/Table132[[#This Row],[nb play]]</f>
        <v>0</v>
      </c>
      <c r="H2016" t="str">
        <f>MID(Table132[[#This Row],[ÉTAT]],VALUE(RIGHT(Table132[[#This Row],[next move]],1))+1+VALUE(LEFT(Table132[[#This Row],[next move]],1))*3,1)</f>
        <v>V</v>
      </c>
      <c r="I2016" t="str">
        <f>Table132[[#This Row],[ÉTAT]]&amp;Table132[[#This Row],[next move]]</f>
        <v>VMMMEVVEE12</v>
      </c>
    </row>
    <row r="2017" spans="2:9" x14ac:dyDescent="0.25">
      <c r="B2017" t="s">
        <v>2181</v>
      </c>
      <c r="C2017" s="22" t="s">
        <v>35</v>
      </c>
      <c r="D2017">
        <v>1</v>
      </c>
      <c r="G2017" s="30">
        <f>Table132[[#This Row],[nb win]]/Table132[[#This Row],[nb play]]</f>
        <v>0</v>
      </c>
      <c r="H2017" t="str">
        <f>MID(Table132[[#This Row],[ÉTAT]],VALUE(RIGHT(Table132[[#This Row],[next move]],1))+1+VALUE(LEFT(Table132[[#This Row],[next move]],1))*3,1)</f>
        <v>V</v>
      </c>
      <c r="I2017" t="str">
        <f>Table132[[#This Row],[ÉTAT]]&amp;Table132[[#This Row],[next move]]</f>
        <v>VMMMEVVEE20</v>
      </c>
    </row>
    <row r="2018" spans="2:9" x14ac:dyDescent="0.25">
      <c r="B2018" t="s">
        <v>2760</v>
      </c>
      <c r="C2018" s="22" t="s">
        <v>24</v>
      </c>
      <c r="D2018">
        <v>1</v>
      </c>
      <c r="E2018">
        <v>1</v>
      </c>
      <c r="G2018" s="31">
        <f>Table132[[#This Row],[nb win]]/Table132[[#This Row],[nb play]]</f>
        <v>1</v>
      </c>
      <c r="H2018" t="str">
        <f>MID(Table132[[#This Row],[ÉTAT]],VALUE(RIGHT(Table132[[#This Row],[next move]],1))+1+VALUE(LEFT(Table132[[#This Row],[next move]],1))*3,1)</f>
        <v>V</v>
      </c>
      <c r="I2018" t="str">
        <f>Table132[[#This Row],[ÉTAT]]&amp;Table132[[#This Row],[next move]]</f>
        <v>VMMMEVEVE00</v>
      </c>
    </row>
    <row r="2019" spans="2:9" x14ac:dyDescent="0.25">
      <c r="B2019" t="s">
        <v>2760</v>
      </c>
      <c r="C2019" s="22" t="s">
        <v>28</v>
      </c>
      <c r="D2019">
        <v>1</v>
      </c>
      <c r="G2019" s="25">
        <f>Table132[[#This Row],[nb win]]/Table132[[#This Row],[nb play]]</f>
        <v>0</v>
      </c>
      <c r="H2019" t="str">
        <f>MID(Table132[[#This Row],[ÉTAT]],VALUE(RIGHT(Table132[[#This Row],[next move]],1))+1+VALUE(LEFT(Table132[[#This Row],[next move]],1))*3,1)</f>
        <v>V</v>
      </c>
      <c r="I2019" t="str">
        <f>Table132[[#This Row],[ÉTAT]]&amp;Table132[[#This Row],[next move]]</f>
        <v>VMMMEVEVE12</v>
      </c>
    </row>
    <row r="2020" spans="2:9" x14ac:dyDescent="0.25">
      <c r="B2020" t="s">
        <v>2407</v>
      </c>
      <c r="C2020" s="22" t="s">
        <v>31</v>
      </c>
      <c r="D2020">
        <v>2</v>
      </c>
      <c r="E2020">
        <v>2</v>
      </c>
      <c r="G2020" s="31">
        <f>Table132[[#This Row],[nb win]]/Table132[[#This Row],[nb play]]</f>
        <v>1</v>
      </c>
      <c r="H2020" t="str">
        <f>MID(Table132[[#This Row],[ÉTAT]],VALUE(RIGHT(Table132[[#This Row],[next move]],1))+1+VALUE(LEFT(Table132[[#This Row],[next move]],1))*3,1)</f>
        <v>V</v>
      </c>
      <c r="I2020" t="str">
        <f>Table132[[#This Row],[ÉTAT]]&amp;Table132[[#This Row],[next move]]</f>
        <v>VMMMEVEEV22</v>
      </c>
    </row>
    <row r="2021" spans="2:9" x14ac:dyDescent="0.25">
      <c r="B2021" t="s">
        <v>2211</v>
      </c>
      <c r="C2021" s="22" t="s">
        <v>24</v>
      </c>
      <c r="D2021">
        <v>2</v>
      </c>
      <c r="E2021">
        <v>2</v>
      </c>
      <c r="G2021" s="25">
        <f>Table132[[#This Row],[nb win]]/Table132[[#This Row],[nb play]]</f>
        <v>1</v>
      </c>
      <c r="H2021" t="str">
        <f>MID(Table132[[#This Row],[ÉTAT]],VALUE(RIGHT(Table132[[#This Row],[next move]],1))+1+VALUE(LEFT(Table132[[#This Row],[next move]],1))*3,1)</f>
        <v>V</v>
      </c>
      <c r="I2021" t="str">
        <f>Table132[[#This Row],[ÉTAT]]&amp;Table132[[#This Row],[next move]]</f>
        <v>VMMMEEVVE00</v>
      </c>
    </row>
    <row r="2022" spans="2:9" x14ac:dyDescent="0.25">
      <c r="B2022" t="s">
        <v>2211</v>
      </c>
      <c r="C2022" s="22" t="s">
        <v>35</v>
      </c>
      <c r="D2022">
        <v>1</v>
      </c>
      <c r="G2022" s="25">
        <f>Table132[[#This Row],[nb win]]/Table132[[#This Row],[nb play]]</f>
        <v>0</v>
      </c>
      <c r="H2022" t="str">
        <f>MID(Table132[[#This Row],[ÉTAT]],VALUE(RIGHT(Table132[[#This Row],[next move]],1))+1+VALUE(LEFT(Table132[[#This Row],[next move]],1))*3,1)</f>
        <v>V</v>
      </c>
      <c r="I2022" t="str">
        <f>Table132[[#This Row],[ÉTAT]]&amp;Table132[[#This Row],[next move]]</f>
        <v>VMMMEEVVE20</v>
      </c>
    </row>
    <row r="2023" spans="2:9" x14ac:dyDescent="0.25">
      <c r="B2023" t="s">
        <v>2664</v>
      </c>
      <c r="C2023" s="22" t="s">
        <v>24</v>
      </c>
      <c r="D2023">
        <v>3</v>
      </c>
      <c r="E2023">
        <v>3</v>
      </c>
      <c r="G2023" s="31">
        <f>Table132[[#This Row],[nb win]]/Table132[[#This Row],[nb play]]</f>
        <v>1</v>
      </c>
      <c r="H2023" t="str">
        <f>MID(Table132[[#This Row],[ÉTAT]],VALUE(RIGHT(Table132[[#This Row],[next move]],1))+1+VALUE(LEFT(Table132[[#This Row],[next move]],1))*3,1)</f>
        <v>V</v>
      </c>
      <c r="I2023" t="str">
        <f>Table132[[#This Row],[ÉTAT]]&amp;Table132[[#This Row],[next move]]</f>
        <v>VMMMEEVEV00</v>
      </c>
    </row>
    <row r="2024" spans="2:9" x14ac:dyDescent="0.25">
      <c r="B2024" t="s">
        <v>296</v>
      </c>
      <c r="C2024" s="22" t="s">
        <v>24</v>
      </c>
      <c r="D2024">
        <v>1</v>
      </c>
      <c r="E2024">
        <v>1</v>
      </c>
      <c r="G2024" s="25">
        <f>Table132[[#This Row],[nb win]]/Table132[[#This Row],[nb play]]</f>
        <v>1</v>
      </c>
      <c r="H2024" t="str">
        <f>MID(Table132[[#This Row],[ÉTAT]],VALUE(RIGHT(Table132[[#This Row],[next move]],1))+1+VALUE(LEFT(Table132[[#This Row],[next move]],1))*3,1)</f>
        <v>V</v>
      </c>
      <c r="I2024" t="str">
        <f>Table132[[#This Row],[ÉTAT]]&amp;Table132[[#This Row],[next move]]</f>
        <v>VMMMEEVEE00</v>
      </c>
    </row>
    <row r="2025" spans="2:9" x14ac:dyDescent="0.25">
      <c r="B2025" t="s">
        <v>296</v>
      </c>
      <c r="C2025" s="22" t="s">
        <v>35</v>
      </c>
      <c r="D2025">
        <v>3</v>
      </c>
      <c r="G2025" s="25">
        <f>Table132[[#This Row],[nb win]]/Table132[[#This Row],[nb play]]</f>
        <v>0</v>
      </c>
      <c r="H2025" t="str">
        <f>MID(Table132[[#This Row],[ÉTAT]],VALUE(RIGHT(Table132[[#This Row],[next move]],1))+1+VALUE(LEFT(Table132[[#This Row],[next move]],1))*3,1)</f>
        <v>V</v>
      </c>
      <c r="I2025" t="str">
        <f>Table132[[#This Row],[ÉTAT]]&amp;Table132[[#This Row],[next move]]</f>
        <v>VMMMEEVEE20</v>
      </c>
    </row>
    <row r="2026" spans="2:9" x14ac:dyDescent="0.25">
      <c r="B2026" t="s">
        <v>129</v>
      </c>
      <c r="C2026" s="22" t="s">
        <v>24</v>
      </c>
      <c r="D2026">
        <v>10</v>
      </c>
      <c r="E2026">
        <v>10</v>
      </c>
      <c r="G2026" s="31">
        <f>Table132[[#This Row],[nb win]]/Table132[[#This Row],[nb play]]</f>
        <v>1</v>
      </c>
      <c r="H2026" t="str">
        <f>MID(Table132[[#This Row],[ÉTAT]],VALUE(RIGHT(Table132[[#This Row],[next move]],1))+1+VALUE(LEFT(Table132[[#This Row],[next move]],1))*3,1)</f>
        <v>V</v>
      </c>
      <c r="I2026" t="str">
        <f>Table132[[#This Row],[ÉTAT]]&amp;Table132[[#This Row],[next move]]</f>
        <v>VMMMEEMEE00</v>
      </c>
    </row>
    <row r="2027" spans="2:9" x14ac:dyDescent="0.25">
      <c r="B2027" t="s">
        <v>2878</v>
      </c>
      <c r="C2027" s="22" t="s">
        <v>24</v>
      </c>
      <c r="D2027">
        <v>1</v>
      </c>
      <c r="E2027">
        <v>1</v>
      </c>
      <c r="G2027" s="25">
        <f>Table132[[#This Row],[nb win]]/Table132[[#This Row],[nb play]]</f>
        <v>1</v>
      </c>
      <c r="H2027" t="str">
        <f>MID(Table132[[#This Row],[ÉTAT]],VALUE(RIGHT(Table132[[#This Row],[next move]],1))+1+VALUE(LEFT(Table132[[#This Row],[next move]],1))*3,1)</f>
        <v>V</v>
      </c>
      <c r="I2027" t="str">
        <f>Table132[[#This Row],[ÉTAT]]&amp;Table132[[#This Row],[next move]]</f>
        <v>VMMMEEEVV00</v>
      </c>
    </row>
    <row r="2028" spans="2:9" x14ac:dyDescent="0.25">
      <c r="B2028" t="s">
        <v>111</v>
      </c>
      <c r="C2028" s="22" t="s">
        <v>24</v>
      </c>
      <c r="D2028">
        <v>2</v>
      </c>
      <c r="E2028">
        <v>2</v>
      </c>
      <c r="G2028" s="25">
        <f>Table132[[#This Row],[nb win]]/Table132[[#This Row],[nb play]]</f>
        <v>1</v>
      </c>
      <c r="H2028" t="str">
        <f>MID(Table132[[#This Row],[ÉTAT]],VALUE(RIGHT(Table132[[#This Row],[next move]],1))+1+VALUE(LEFT(Table132[[#This Row],[next move]],1))*3,1)</f>
        <v>V</v>
      </c>
      <c r="I2028" t="str">
        <f>Table132[[#This Row],[ÉTAT]]&amp;Table132[[#This Row],[next move]]</f>
        <v>VMMMEEEVE00</v>
      </c>
    </row>
    <row r="2029" spans="2:9" x14ac:dyDescent="0.25">
      <c r="B2029" t="s">
        <v>2356</v>
      </c>
      <c r="C2029" s="22" t="s">
        <v>24</v>
      </c>
      <c r="D2029">
        <v>3</v>
      </c>
      <c r="E2029">
        <v>3</v>
      </c>
      <c r="G2029" s="31">
        <f>Table132[[#This Row],[nb win]]/Table132[[#This Row],[nb play]]</f>
        <v>1</v>
      </c>
      <c r="H2029" t="str">
        <f>MID(Table132[[#This Row],[ÉTAT]],VALUE(RIGHT(Table132[[#This Row],[next move]],1))+1+VALUE(LEFT(Table132[[#This Row],[next move]],1))*3,1)</f>
        <v>V</v>
      </c>
      <c r="I2029" t="str">
        <f>Table132[[#This Row],[ÉTAT]]&amp;Table132[[#This Row],[next move]]</f>
        <v>VMMMEEEME00</v>
      </c>
    </row>
    <row r="2030" spans="2:9" x14ac:dyDescent="0.25">
      <c r="B2030" t="s">
        <v>298</v>
      </c>
      <c r="C2030" s="22" t="s">
        <v>24</v>
      </c>
      <c r="D2030">
        <v>2</v>
      </c>
      <c r="E2030">
        <v>2</v>
      </c>
      <c r="G2030" s="31">
        <f>Table132[[#This Row],[nb win]]/Table132[[#This Row],[nb play]]</f>
        <v>1</v>
      </c>
      <c r="H2030" t="str">
        <f>MID(Table132[[#This Row],[ÉTAT]],VALUE(RIGHT(Table132[[#This Row],[next move]],1))+1+VALUE(LEFT(Table132[[#This Row],[next move]],1))*3,1)</f>
        <v>V</v>
      </c>
      <c r="I2030" t="str">
        <f>Table132[[#This Row],[ÉTAT]]&amp;Table132[[#This Row],[next move]]</f>
        <v>VMMMEEEEV00</v>
      </c>
    </row>
    <row r="2031" spans="2:9" x14ac:dyDescent="0.25">
      <c r="B2031" t="s">
        <v>2409</v>
      </c>
      <c r="C2031" s="22" t="s">
        <v>24</v>
      </c>
      <c r="D2031">
        <v>3</v>
      </c>
      <c r="E2031">
        <v>3</v>
      </c>
      <c r="G2031" s="31">
        <f>Table132[[#This Row],[nb win]]/Table132[[#This Row],[nb play]]</f>
        <v>1</v>
      </c>
      <c r="H2031" t="str">
        <f>MID(Table132[[#This Row],[ÉTAT]],VALUE(RIGHT(Table132[[#This Row],[next move]],1))+1+VALUE(LEFT(Table132[[#This Row],[next move]],1))*3,1)</f>
        <v>V</v>
      </c>
      <c r="I2031" t="str">
        <f>Table132[[#This Row],[ÉTAT]]&amp;Table132[[#This Row],[next move]]</f>
        <v>VMMMEEEEM00</v>
      </c>
    </row>
    <row r="2032" spans="2:9" x14ac:dyDescent="0.25">
      <c r="B2032" t="s">
        <v>408</v>
      </c>
      <c r="C2032" s="22" t="s">
        <v>29</v>
      </c>
      <c r="D2032">
        <v>1</v>
      </c>
      <c r="E2032">
        <v>1</v>
      </c>
      <c r="G2032" s="25">
        <f>Table132[[#This Row],[nb win]]/Table132[[#This Row],[nb play]]</f>
        <v>1</v>
      </c>
      <c r="H2032" t="str">
        <f>MID(Table132[[#This Row],[ÉTAT]],VALUE(RIGHT(Table132[[#This Row],[next move]],1))+1+VALUE(LEFT(Table132[[#This Row],[next move]],1))*3,1)</f>
        <v>V</v>
      </c>
      <c r="I2032" t="str">
        <f>Table132[[#This Row],[ÉTAT]]&amp;Table132[[#This Row],[next move]]</f>
        <v>VMMEVVVEV11</v>
      </c>
    </row>
    <row r="2033" spans="2:9" x14ac:dyDescent="0.25">
      <c r="B2033" t="s">
        <v>408</v>
      </c>
      <c r="C2033" s="22" t="s">
        <v>28</v>
      </c>
      <c r="D2033">
        <v>3</v>
      </c>
      <c r="E2033">
        <v>2</v>
      </c>
      <c r="G2033" s="31">
        <f>Table132[[#This Row],[nb win]]/Table132[[#This Row],[nb play]]</f>
        <v>0.66666666666666663</v>
      </c>
      <c r="H2033" t="str">
        <f>MID(Table132[[#This Row],[ÉTAT]],VALUE(RIGHT(Table132[[#This Row],[next move]],1))+1+VALUE(LEFT(Table132[[#This Row],[next move]],1))*3,1)</f>
        <v>V</v>
      </c>
      <c r="I2033" t="str">
        <f>Table132[[#This Row],[ÉTAT]]&amp;Table132[[#This Row],[next move]]</f>
        <v>VMMEVVVEV12</v>
      </c>
    </row>
    <row r="2034" spans="2:9" x14ac:dyDescent="0.25">
      <c r="B2034" t="s">
        <v>2978</v>
      </c>
      <c r="C2034" s="22" t="s">
        <v>24</v>
      </c>
      <c r="D2034">
        <v>2</v>
      </c>
      <c r="E2034">
        <v>2</v>
      </c>
      <c r="G2034" s="31">
        <f>Table132[[#This Row],[nb win]]/Table132[[#This Row],[nb play]]</f>
        <v>1</v>
      </c>
      <c r="H2034" t="str">
        <f>MID(Table132[[#This Row],[ÉTAT]],VALUE(RIGHT(Table132[[#This Row],[next move]],1))+1+VALUE(LEFT(Table132[[#This Row],[next move]],1))*3,1)</f>
        <v>V</v>
      </c>
      <c r="I2034" t="str">
        <f>Table132[[#This Row],[ÉTAT]]&amp;Table132[[#This Row],[next move]]</f>
        <v>VMMEVVVEE00</v>
      </c>
    </row>
    <row r="2035" spans="2:9" x14ac:dyDescent="0.25">
      <c r="B2035" t="s">
        <v>2978</v>
      </c>
      <c r="C2035" s="22" t="s">
        <v>29</v>
      </c>
      <c r="D2035">
        <v>1</v>
      </c>
      <c r="G2035" s="25">
        <f>Table132[[#This Row],[nb win]]/Table132[[#This Row],[nb play]]</f>
        <v>0</v>
      </c>
      <c r="H2035" t="str">
        <f>MID(Table132[[#This Row],[ÉTAT]],VALUE(RIGHT(Table132[[#This Row],[next move]],1))+1+VALUE(LEFT(Table132[[#This Row],[next move]],1))*3,1)</f>
        <v>V</v>
      </c>
      <c r="I2035" t="str">
        <f>Table132[[#This Row],[ÉTAT]]&amp;Table132[[#This Row],[next move]]</f>
        <v>VMMEVVVEE11</v>
      </c>
    </row>
    <row r="2036" spans="2:9" x14ac:dyDescent="0.25">
      <c r="B2036" t="s">
        <v>754</v>
      </c>
      <c r="C2036" s="22" t="s">
        <v>28</v>
      </c>
      <c r="D2036">
        <v>3</v>
      </c>
      <c r="E2036">
        <v>3</v>
      </c>
      <c r="G2036" s="31">
        <f>Table132[[#This Row],[nb win]]/Table132[[#This Row],[nb play]]</f>
        <v>1</v>
      </c>
      <c r="H2036" t="str">
        <f>MID(Table132[[#This Row],[ÉTAT]],VALUE(RIGHT(Table132[[#This Row],[next move]],1))+1+VALUE(LEFT(Table132[[#This Row],[next move]],1))*3,1)</f>
        <v>V</v>
      </c>
      <c r="I2036" t="str">
        <f>Table132[[#This Row],[ÉTAT]]&amp;Table132[[#This Row],[next move]]</f>
        <v>VMMEVVMEE12</v>
      </c>
    </row>
    <row r="2037" spans="2:9" x14ac:dyDescent="0.25">
      <c r="B2037" t="s">
        <v>752</v>
      </c>
      <c r="C2037" s="22" t="s">
        <v>24</v>
      </c>
      <c r="D2037">
        <v>5</v>
      </c>
      <c r="E2037">
        <v>5</v>
      </c>
      <c r="G2037" s="31">
        <f>Table132[[#This Row],[nb win]]/Table132[[#This Row],[nb play]]</f>
        <v>1</v>
      </c>
      <c r="H2037" t="str">
        <f>MID(Table132[[#This Row],[ÉTAT]],VALUE(RIGHT(Table132[[#This Row],[next move]],1))+1+VALUE(LEFT(Table132[[#This Row],[next move]],1))*3,1)</f>
        <v>V</v>
      </c>
      <c r="I2037" t="str">
        <f>Table132[[#This Row],[ÉTAT]]&amp;Table132[[#This Row],[next move]]</f>
        <v>VMMEVVEVV00</v>
      </c>
    </row>
    <row r="2038" spans="2:9" x14ac:dyDescent="0.25">
      <c r="B2038" t="s">
        <v>752</v>
      </c>
      <c r="C2038" s="22" t="s">
        <v>31</v>
      </c>
      <c r="D2038">
        <v>4</v>
      </c>
      <c r="G2038" s="30">
        <f>Table132[[#This Row],[nb win]]/Table132[[#This Row],[nb play]]</f>
        <v>0</v>
      </c>
      <c r="H2038" t="str">
        <f>MID(Table132[[#This Row],[ÉTAT]],VALUE(RIGHT(Table132[[#This Row],[next move]],1))+1+VALUE(LEFT(Table132[[#This Row],[next move]],1))*3,1)</f>
        <v>V</v>
      </c>
      <c r="I2038" t="str">
        <f>Table132[[#This Row],[ÉTAT]]&amp;Table132[[#This Row],[next move]]</f>
        <v>VMMEVVEVV22</v>
      </c>
    </row>
    <row r="2039" spans="2:9" x14ac:dyDescent="0.25">
      <c r="B2039" t="s">
        <v>2613</v>
      </c>
      <c r="C2039" s="22" t="s">
        <v>29</v>
      </c>
      <c r="D2039">
        <v>1</v>
      </c>
      <c r="E2039">
        <v>1</v>
      </c>
      <c r="G2039" s="25">
        <f>Table132[[#This Row],[nb win]]/Table132[[#This Row],[nb play]]</f>
        <v>1</v>
      </c>
      <c r="H2039" t="str">
        <f>MID(Table132[[#This Row],[ÉTAT]],VALUE(RIGHT(Table132[[#This Row],[next move]],1))+1+VALUE(LEFT(Table132[[#This Row],[next move]],1))*3,1)</f>
        <v>V</v>
      </c>
      <c r="I2039" t="str">
        <f>Table132[[#This Row],[ÉTAT]]&amp;Table132[[#This Row],[next move]]</f>
        <v>VMMEVVEME11</v>
      </c>
    </row>
    <row r="2040" spans="2:9" x14ac:dyDescent="0.25">
      <c r="B2040" t="s">
        <v>3278</v>
      </c>
      <c r="C2040" s="22" t="s">
        <v>29</v>
      </c>
      <c r="D2040">
        <v>1</v>
      </c>
      <c r="G2040" s="30">
        <f>Table132[[#This Row],[nb win]]/Table132[[#This Row],[nb play]]</f>
        <v>0</v>
      </c>
      <c r="H2040" t="str">
        <f>MID(Table132[[#This Row],[ÉTAT]],VALUE(RIGHT(Table132[[#This Row],[next move]],1))+1+VALUE(LEFT(Table132[[#This Row],[next move]],1))*3,1)</f>
        <v>V</v>
      </c>
      <c r="I2040" t="str">
        <f>Table132[[#This Row],[ÉTAT]]&amp;Table132[[#This Row],[next move]]</f>
        <v>VMMEVVEEV11</v>
      </c>
    </row>
    <row r="2041" spans="2:9" x14ac:dyDescent="0.25">
      <c r="B2041" t="s">
        <v>3278</v>
      </c>
      <c r="C2041" s="22" t="s">
        <v>28</v>
      </c>
      <c r="D2041">
        <v>1</v>
      </c>
      <c r="G2041" s="30">
        <f>Table132[[#This Row],[nb win]]/Table132[[#This Row],[nb play]]</f>
        <v>0</v>
      </c>
      <c r="H2041" t="str">
        <f>MID(Table132[[#This Row],[ÉTAT]],VALUE(RIGHT(Table132[[#This Row],[next move]],1))+1+VALUE(LEFT(Table132[[#This Row],[next move]],1))*3,1)</f>
        <v>V</v>
      </c>
      <c r="I2041" t="str">
        <f>Table132[[#This Row],[ÉTAT]]&amp;Table132[[#This Row],[next move]]</f>
        <v>VMMEVVEEV12</v>
      </c>
    </row>
    <row r="2042" spans="2:9" x14ac:dyDescent="0.25">
      <c r="B2042" t="s">
        <v>2557</v>
      </c>
      <c r="C2042" s="22" t="s">
        <v>29</v>
      </c>
      <c r="D2042">
        <v>1</v>
      </c>
      <c r="G2042" s="25">
        <f>Table132[[#This Row],[nb win]]/Table132[[#This Row],[nb play]]</f>
        <v>0</v>
      </c>
      <c r="H2042" t="str">
        <f>MID(Table132[[#This Row],[ÉTAT]],VALUE(RIGHT(Table132[[#This Row],[next move]],1))+1+VALUE(LEFT(Table132[[#This Row],[next move]],1))*3,1)</f>
        <v>V</v>
      </c>
      <c r="I2042" t="str">
        <f>Table132[[#This Row],[ÉTAT]]&amp;Table132[[#This Row],[next move]]</f>
        <v>VMMEVMEEV11</v>
      </c>
    </row>
    <row r="2043" spans="2:9" x14ac:dyDescent="0.25">
      <c r="B2043" t="s">
        <v>2557</v>
      </c>
      <c r="C2043" s="22" t="s">
        <v>31</v>
      </c>
      <c r="D2043">
        <v>1</v>
      </c>
      <c r="E2043">
        <v>1</v>
      </c>
      <c r="G2043" s="31">
        <f>Table132[[#This Row],[nb win]]/Table132[[#This Row],[nb play]]</f>
        <v>1</v>
      </c>
      <c r="H2043" t="str">
        <f>MID(Table132[[#This Row],[ÉTAT]],VALUE(RIGHT(Table132[[#This Row],[next move]],1))+1+VALUE(LEFT(Table132[[#This Row],[next move]],1))*3,1)</f>
        <v>V</v>
      </c>
      <c r="I2043" t="str">
        <f>Table132[[#This Row],[ÉTAT]]&amp;Table132[[#This Row],[next move]]</f>
        <v>VMMEVMEEV22</v>
      </c>
    </row>
    <row r="2044" spans="2:9" x14ac:dyDescent="0.25">
      <c r="B2044" t="s">
        <v>1773</v>
      </c>
      <c r="C2044" s="22" t="s">
        <v>24</v>
      </c>
      <c r="D2044">
        <v>4</v>
      </c>
      <c r="E2044">
        <v>4</v>
      </c>
      <c r="G2044" s="31">
        <f>Table132[[#This Row],[nb win]]/Table132[[#This Row],[nb play]]</f>
        <v>1</v>
      </c>
      <c r="H2044" t="str">
        <f>MID(Table132[[#This Row],[ÉTAT]],VALUE(RIGHT(Table132[[#This Row],[next move]],1))+1+VALUE(LEFT(Table132[[#This Row],[next move]],1))*3,1)</f>
        <v>V</v>
      </c>
      <c r="I2044" t="str">
        <f>Table132[[#This Row],[ÉTAT]]&amp;Table132[[#This Row],[next move]]</f>
        <v>VMMEVEVVV00</v>
      </c>
    </row>
    <row r="2045" spans="2:9" x14ac:dyDescent="0.25">
      <c r="B2045" t="s">
        <v>1773</v>
      </c>
      <c r="C2045" s="22" t="s">
        <v>31</v>
      </c>
      <c r="D2045">
        <v>2</v>
      </c>
      <c r="G2045" s="30">
        <f>Table132[[#This Row],[nb win]]/Table132[[#This Row],[nb play]]</f>
        <v>0</v>
      </c>
      <c r="H2045" t="str">
        <f>MID(Table132[[#This Row],[ÉTAT]],VALUE(RIGHT(Table132[[#This Row],[next move]],1))+1+VALUE(LEFT(Table132[[#This Row],[next move]],1))*3,1)</f>
        <v>V</v>
      </c>
      <c r="I2045" t="str">
        <f>Table132[[#This Row],[ÉTAT]]&amp;Table132[[#This Row],[next move]]</f>
        <v>VMMEVEVVV22</v>
      </c>
    </row>
    <row r="2046" spans="2:9" x14ac:dyDescent="0.25">
      <c r="B2046" t="s">
        <v>1184</v>
      </c>
      <c r="C2046" s="22" t="s">
        <v>35</v>
      </c>
      <c r="D2046">
        <v>2</v>
      </c>
      <c r="E2046">
        <v>1</v>
      </c>
      <c r="G2046" s="25">
        <f>Table132[[#This Row],[nb win]]/Table132[[#This Row],[nb play]]</f>
        <v>0.5</v>
      </c>
      <c r="H2046" t="str">
        <f>MID(Table132[[#This Row],[ÉTAT]],VALUE(RIGHT(Table132[[#This Row],[next move]],1))+1+VALUE(LEFT(Table132[[#This Row],[next move]],1))*3,1)</f>
        <v>V</v>
      </c>
      <c r="I2046" t="str">
        <f>Table132[[#This Row],[ÉTAT]]&amp;Table132[[#This Row],[next move]]</f>
        <v>VMMEVEVVE20</v>
      </c>
    </row>
    <row r="2047" spans="2:9" x14ac:dyDescent="0.25">
      <c r="B2047" t="s">
        <v>2146</v>
      </c>
      <c r="C2047" s="22" t="s">
        <v>24</v>
      </c>
      <c r="D2047">
        <v>2</v>
      </c>
      <c r="E2047">
        <v>2</v>
      </c>
      <c r="G2047" s="31">
        <f>Table132[[#This Row],[nb win]]/Table132[[#This Row],[nb play]]</f>
        <v>1</v>
      </c>
      <c r="H2047" t="str">
        <f>MID(Table132[[#This Row],[ÉTAT]],VALUE(RIGHT(Table132[[#This Row],[next move]],1))+1+VALUE(LEFT(Table132[[#This Row],[next move]],1))*3,1)</f>
        <v>V</v>
      </c>
      <c r="I2047" t="str">
        <f>Table132[[#This Row],[ÉTAT]]&amp;Table132[[#This Row],[next move]]</f>
        <v>VMMEVEVME00</v>
      </c>
    </row>
    <row r="2048" spans="2:9" x14ac:dyDescent="0.25">
      <c r="B2048" t="s">
        <v>2485</v>
      </c>
      <c r="C2048" s="22" t="s">
        <v>29</v>
      </c>
      <c r="D2048">
        <v>1</v>
      </c>
      <c r="E2048">
        <v>1</v>
      </c>
      <c r="G2048" s="31">
        <f>Table132[[#This Row],[nb win]]/Table132[[#This Row],[nb play]]</f>
        <v>1</v>
      </c>
      <c r="H2048" t="str">
        <f>MID(Table132[[#This Row],[ÉTAT]],VALUE(RIGHT(Table132[[#This Row],[next move]],1))+1+VALUE(LEFT(Table132[[#This Row],[next move]],1))*3,1)</f>
        <v>V</v>
      </c>
      <c r="I2048" t="str">
        <f>Table132[[#This Row],[ÉTAT]]&amp;Table132[[#This Row],[next move]]</f>
        <v>VMMEVEVEV11</v>
      </c>
    </row>
    <row r="2049" spans="2:9" x14ac:dyDescent="0.25">
      <c r="B2049" t="s">
        <v>2485</v>
      </c>
      <c r="C2049" s="22" t="s">
        <v>31</v>
      </c>
      <c r="D2049">
        <v>1</v>
      </c>
      <c r="G2049" s="25">
        <f>Table132[[#This Row],[nb win]]/Table132[[#This Row],[nb play]]</f>
        <v>0</v>
      </c>
      <c r="H2049" t="str">
        <f>MID(Table132[[#This Row],[ÉTAT]],VALUE(RIGHT(Table132[[#This Row],[next move]],1))+1+VALUE(LEFT(Table132[[#This Row],[next move]],1))*3,1)</f>
        <v>V</v>
      </c>
      <c r="I2049" t="str">
        <f>Table132[[#This Row],[ÉTAT]]&amp;Table132[[#This Row],[next move]]</f>
        <v>VMMEVEVEV22</v>
      </c>
    </row>
    <row r="2050" spans="2:9" x14ac:dyDescent="0.25">
      <c r="B2050" t="s">
        <v>3189</v>
      </c>
      <c r="C2050" s="22" t="s">
        <v>24</v>
      </c>
      <c r="D2050">
        <v>2</v>
      </c>
      <c r="E2050">
        <v>2</v>
      </c>
      <c r="G2050" s="31">
        <f>Table132[[#This Row],[nb win]]/Table132[[#This Row],[nb play]]</f>
        <v>1</v>
      </c>
      <c r="H2050" t="str">
        <f>MID(Table132[[#This Row],[ÉTAT]],VALUE(RIGHT(Table132[[#This Row],[next move]],1))+1+VALUE(LEFT(Table132[[#This Row],[next move]],1))*3,1)</f>
        <v>V</v>
      </c>
      <c r="I2050" t="str">
        <f>Table132[[#This Row],[ÉTAT]]&amp;Table132[[#This Row],[next move]]</f>
        <v>VMMEVEMVE00</v>
      </c>
    </row>
    <row r="2051" spans="2:9" x14ac:dyDescent="0.25">
      <c r="B2051" t="s">
        <v>1084</v>
      </c>
      <c r="C2051" s="22" t="s">
        <v>29</v>
      </c>
      <c r="D2051">
        <v>2</v>
      </c>
      <c r="E2051">
        <v>2</v>
      </c>
      <c r="G2051" s="25">
        <f>Table132[[#This Row],[nb win]]/Table132[[#This Row],[nb play]]</f>
        <v>1</v>
      </c>
      <c r="H2051" t="str">
        <f>MID(Table132[[#This Row],[ÉTAT]],VALUE(RIGHT(Table132[[#This Row],[next move]],1))+1+VALUE(LEFT(Table132[[#This Row],[next move]],1))*3,1)</f>
        <v>V</v>
      </c>
      <c r="I2051" t="str">
        <f>Table132[[#This Row],[ÉTAT]]&amp;Table132[[#This Row],[next move]]</f>
        <v>VMMEVEMEE11</v>
      </c>
    </row>
    <row r="2052" spans="2:9" x14ac:dyDescent="0.25">
      <c r="B2052" t="s">
        <v>822</v>
      </c>
      <c r="C2052" s="22" t="s">
        <v>24</v>
      </c>
      <c r="D2052">
        <v>4</v>
      </c>
      <c r="E2052">
        <v>4</v>
      </c>
      <c r="G2052" s="31">
        <f>Table132[[#This Row],[nb win]]/Table132[[#This Row],[nb play]]</f>
        <v>1</v>
      </c>
      <c r="H2052" t="str">
        <f>MID(Table132[[#This Row],[ÉTAT]],VALUE(RIGHT(Table132[[#This Row],[next move]],1))+1+VALUE(LEFT(Table132[[#This Row],[next move]],1))*3,1)</f>
        <v>V</v>
      </c>
      <c r="I2052" t="str">
        <f>Table132[[#This Row],[ÉTAT]]&amp;Table132[[#This Row],[next move]]</f>
        <v>VMMEVEEVV00</v>
      </c>
    </row>
    <row r="2053" spans="2:9" x14ac:dyDescent="0.25">
      <c r="B2053" t="s">
        <v>2534</v>
      </c>
      <c r="C2053" s="22" t="s">
        <v>24</v>
      </c>
      <c r="D2053">
        <v>1</v>
      </c>
      <c r="E2053">
        <v>1</v>
      </c>
      <c r="G2053" s="31">
        <f>Table132[[#This Row],[nb win]]/Table132[[#This Row],[nb play]]</f>
        <v>1</v>
      </c>
      <c r="H2053" t="str">
        <f>MID(Table132[[#This Row],[ÉTAT]],VALUE(RIGHT(Table132[[#This Row],[next move]],1))+1+VALUE(LEFT(Table132[[#This Row],[next move]],1))*3,1)</f>
        <v>V</v>
      </c>
      <c r="I2053" t="str">
        <f>Table132[[#This Row],[ÉTAT]]&amp;Table132[[#This Row],[next move]]</f>
        <v>VMMEVEEMV00</v>
      </c>
    </row>
    <row r="2054" spans="2:9" x14ac:dyDescent="0.25">
      <c r="B2054" t="s">
        <v>2534</v>
      </c>
      <c r="C2054" s="22" t="s">
        <v>31</v>
      </c>
      <c r="D2054">
        <v>1</v>
      </c>
      <c r="G2054" s="25">
        <f>Table132[[#This Row],[nb win]]/Table132[[#This Row],[nb play]]</f>
        <v>0</v>
      </c>
      <c r="H2054" t="str">
        <f>MID(Table132[[#This Row],[ÉTAT]],VALUE(RIGHT(Table132[[#This Row],[next move]],1))+1+VALUE(LEFT(Table132[[#This Row],[next move]],1))*3,1)</f>
        <v>V</v>
      </c>
      <c r="I2054" t="str">
        <f>Table132[[#This Row],[ÉTAT]]&amp;Table132[[#This Row],[next move]]</f>
        <v>VMMEVEEMV22</v>
      </c>
    </row>
    <row r="2055" spans="2:9" x14ac:dyDescent="0.25">
      <c r="B2055" t="s">
        <v>2480</v>
      </c>
      <c r="C2055" s="22" t="s">
        <v>24</v>
      </c>
      <c r="D2055">
        <v>2</v>
      </c>
      <c r="E2055">
        <v>2</v>
      </c>
      <c r="G2055" s="31">
        <f>Table132[[#This Row],[nb win]]/Table132[[#This Row],[nb play]]</f>
        <v>1</v>
      </c>
      <c r="H2055" t="str">
        <f>MID(Table132[[#This Row],[ÉTAT]],VALUE(RIGHT(Table132[[#This Row],[next move]],1))+1+VALUE(LEFT(Table132[[#This Row],[next move]],1))*3,1)</f>
        <v>V</v>
      </c>
      <c r="I2055" t="str">
        <f>Table132[[#This Row],[ÉTAT]]&amp;Table132[[#This Row],[next move]]</f>
        <v>VMMEVEEEM00</v>
      </c>
    </row>
    <row r="2056" spans="2:9" x14ac:dyDescent="0.25">
      <c r="B2056" t="s">
        <v>2585</v>
      </c>
      <c r="C2056" s="22" t="s">
        <v>24</v>
      </c>
      <c r="D2056">
        <v>3</v>
      </c>
      <c r="E2056">
        <v>3</v>
      </c>
      <c r="G2056" s="31">
        <f>Table132[[#This Row],[nb win]]/Table132[[#This Row],[nb play]]</f>
        <v>1</v>
      </c>
      <c r="H2056" t="str">
        <f>MID(Table132[[#This Row],[ÉTAT]],VALUE(RIGHT(Table132[[#This Row],[next move]],1))+1+VALUE(LEFT(Table132[[#This Row],[next move]],1))*3,1)</f>
        <v>V</v>
      </c>
      <c r="I2056" t="str">
        <f>Table132[[#This Row],[ÉTAT]]&amp;Table132[[#This Row],[next move]]</f>
        <v>VMMEMVVEE00</v>
      </c>
    </row>
    <row r="2057" spans="2:9" x14ac:dyDescent="0.25">
      <c r="B2057" t="s">
        <v>1648</v>
      </c>
      <c r="C2057" s="22" t="s">
        <v>24</v>
      </c>
      <c r="D2057">
        <v>1</v>
      </c>
      <c r="E2057">
        <v>1</v>
      </c>
      <c r="G2057" s="25">
        <f>Table132[[#This Row],[nb win]]/Table132[[#This Row],[nb play]]</f>
        <v>1</v>
      </c>
      <c r="H2057" t="str">
        <f>MID(Table132[[#This Row],[ÉTAT]],VALUE(RIGHT(Table132[[#This Row],[next move]],1))+1+VALUE(LEFT(Table132[[#This Row],[next move]],1))*3,1)</f>
        <v>V</v>
      </c>
      <c r="I2057" t="str">
        <f>Table132[[#This Row],[ÉTAT]]&amp;Table132[[#This Row],[next move]]</f>
        <v>VMMEMVEVE00</v>
      </c>
    </row>
    <row r="2058" spans="2:9" x14ac:dyDescent="0.25">
      <c r="B2058" t="s">
        <v>2675</v>
      </c>
      <c r="C2058" s="22" t="s">
        <v>31</v>
      </c>
      <c r="D2058">
        <v>1</v>
      </c>
      <c r="E2058">
        <v>1</v>
      </c>
      <c r="G2058" s="25">
        <f>Table132[[#This Row],[nb win]]/Table132[[#This Row],[nb play]]</f>
        <v>1</v>
      </c>
      <c r="H2058" t="str">
        <f>MID(Table132[[#This Row],[ÉTAT]],VALUE(RIGHT(Table132[[#This Row],[next move]],1))+1+VALUE(LEFT(Table132[[#This Row],[next move]],1))*3,1)</f>
        <v>V</v>
      </c>
      <c r="I2058" t="str">
        <f>Table132[[#This Row],[ÉTAT]]&amp;Table132[[#This Row],[next move]]</f>
        <v>VMMEMVEEV22</v>
      </c>
    </row>
    <row r="2059" spans="2:9" x14ac:dyDescent="0.25">
      <c r="B2059" t="s">
        <v>2024</v>
      </c>
      <c r="C2059" s="22" t="s">
        <v>22</v>
      </c>
      <c r="D2059">
        <v>1</v>
      </c>
      <c r="E2059">
        <v>1</v>
      </c>
      <c r="G2059" s="25">
        <f>Table132[[#This Row],[nb win]]/Table132[[#This Row],[nb play]]</f>
        <v>1</v>
      </c>
      <c r="H2059" t="str">
        <f>MID(Table132[[#This Row],[ÉTAT]],VALUE(RIGHT(Table132[[#This Row],[next move]],1))+1+VALUE(LEFT(Table132[[#This Row],[next move]],1))*3,1)</f>
        <v>V</v>
      </c>
      <c r="I2059" t="str">
        <f>Table132[[#This Row],[ÉTAT]]&amp;Table132[[#This Row],[next move]]</f>
        <v>VMMEMEVVE21</v>
      </c>
    </row>
    <row r="2060" spans="2:9" x14ac:dyDescent="0.25">
      <c r="B2060" t="s">
        <v>2450</v>
      </c>
      <c r="C2060" s="22" t="s">
        <v>24</v>
      </c>
      <c r="D2060">
        <v>3</v>
      </c>
      <c r="E2060">
        <v>3</v>
      </c>
      <c r="G2060" s="31">
        <f>Table132[[#This Row],[nb win]]/Table132[[#This Row],[nb play]]</f>
        <v>1</v>
      </c>
      <c r="H2060" t="str">
        <f>MID(Table132[[#This Row],[ÉTAT]],VALUE(RIGHT(Table132[[#This Row],[next move]],1))+1+VALUE(LEFT(Table132[[#This Row],[next move]],1))*3,1)</f>
        <v>V</v>
      </c>
      <c r="I2060" t="str">
        <f>Table132[[#This Row],[ÉTAT]]&amp;Table132[[#This Row],[next move]]</f>
        <v>VMMEMEVEE00</v>
      </c>
    </row>
    <row r="2061" spans="2:9" x14ac:dyDescent="0.25">
      <c r="B2061" t="s">
        <v>1003</v>
      </c>
      <c r="C2061" s="22" t="s">
        <v>24</v>
      </c>
      <c r="D2061">
        <v>6</v>
      </c>
      <c r="E2061">
        <v>6</v>
      </c>
      <c r="G2061" s="31">
        <f>Table132[[#This Row],[nb win]]/Table132[[#This Row],[nb play]]</f>
        <v>1</v>
      </c>
      <c r="H2061" t="str">
        <f>MID(Table132[[#This Row],[ÉTAT]],VALUE(RIGHT(Table132[[#This Row],[next move]],1))+1+VALUE(LEFT(Table132[[#This Row],[next move]],1))*3,1)</f>
        <v>V</v>
      </c>
      <c r="I2061" t="str">
        <f>Table132[[#This Row],[ÉTAT]]&amp;Table132[[#This Row],[next move]]</f>
        <v>VMMEMEEVV00</v>
      </c>
    </row>
    <row r="2062" spans="2:9" x14ac:dyDescent="0.25">
      <c r="B2062" t="s">
        <v>1881</v>
      </c>
      <c r="C2062" s="22" t="s">
        <v>24</v>
      </c>
      <c r="D2062">
        <v>5</v>
      </c>
      <c r="E2062">
        <v>5</v>
      </c>
      <c r="G2062" s="31">
        <f>Table132[[#This Row],[nb win]]/Table132[[#This Row],[nb play]]</f>
        <v>1</v>
      </c>
      <c r="H2062" t="str">
        <f>MID(Table132[[#This Row],[ÉTAT]],VALUE(RIGHT(Table132[[#This Row],[next move]],1))+1+VALUE(LEFT(Table132[[#This Row],[next move]],1))*3,1)</f>
        <v>V</v>
      </c>
      <c r="I2062" t="str">
        <f>Table132[[#This Row],[ÉTAT]]&amp;Table132[[#This Row],[next move]]</f>
        <v>VMMEMEEEM00</v>
      </c>
    </row>
    <row r="2063" spans="2:9" x14ac:dyDescent="0.25">
      <c r="B2063" t="s">
        <v>796</v>
      </c>
      <c r="C2063" s="22" t="s">
        <v>24</v>
      </c>
      <c r="D2063">
        <v>2</v>
      </c>
      <c r="E2063">
        <v>2</v>
      </c>
      <c r="G2063" s="31">
        <f>Table132[[#This Row],[nb win]]/Table132[[#This Row],[nb play]]</f>
        <v>1</v>
      </c>
      <c r="H2063" t="str">
        <f>MID(Table132[[#This Row],[ÉTAT]],VALUE(RIGHT(Table132[[#This Row],[next move]],1))+1+VALUE(LEFT(Table132[[#This Row],[next move]],1))*3,1)</f>
        <v>V</v>
      </c>
      <c r="I2063" t="str">
        <f>Table132[[#This Row],[ÉTAT]]&amp;Table132[[#This Row],[next move]]</f>
        <v>VMMEEVVVE00</v>
      </c>
    </row>
    <row r="2064" spans="2:9" x14ac:dyDescent="0.25">
      <c r="B2064" t="s">
        <v>796</v>
      </c>
      <c r="C2064" s="22" t="s">
        <v>28</v>
      </c>
      <c r="D2064">
        <v>1</v>
      </c>
      <c r="G2064" s="25">
        <f>Table132[[#This Row],[nb win]]/Table132[[#This Row],[nb play]]</f>
        <v>0</v>
      </c>
      <c r="H2064" t="str">
        <f>MID(Table132[[#This Row],[ÉTAT]],VALUE(RIGHT(Table132[[#This Row],[next move]],1))+1+VALUE(LEFT(Table132[[#This Row],[next move]],1))*3,1)</f>
        <v>V</v>
      </c>
      <c r="I2064" t="str">
        <f>Table132[[#This Row],[ÉTAT]]&amp;Table132[[#This Row],[next move]]</f>
        <v>VMMEEVVVE12</v>
      </c>
    </row>
    <row r="2065" spans="2:9" x14ac:dyDescent="0.25">
      <c r="B2065" t="s">
        <v>796</v>
      </c>
      <c r="C2065" s="22" t="s">
        <v>35</v>
      </c>
      <c r="D2065">
        <v>3</v>
      </c>
      <c r="G2065" s="30">
        <f>Table132[[#This Row],[nb win]]/Table132[[#This Row],[nb play]]</f>
        <v>0</v>
      </c>
      <c r="H2065" t="str">
        <f>MID(Table132[[#This Row],[ÉTAT]],VALUE(RIGHT(Table132[[#This Row],[next move]],1))+1+VALUE(LEFT(Table132[[#This Row],[next move]],1))*3,1)</f>
        <v>V</v>
      </c>
      <c r="I2065" t="str">
        <f>Table132[[#This Row],[ÉTAT]]&amp;Table132[[#This Row],[next move]]</f>
        <v>VMMEEVVVE20</v>
      </c>
    </row>
    <row r="2066" spans="2:9" x14ac:dyDescent="0.25">
      <c r="B2066" t="s">
        <v>1129</v>
      </c>
      <c r="C2066" s="22" t="s">
        <v>24</v>
      </c>
      <c r="D2066">
        <v>1</v>
      </c>
      <c r="E2066">
        <v>1</v>
      </c>
      <c r="G2066" s="25">
        <f>Table132[[#This Row],[nb win]]/Table132[[#This Row],[nb play]]</f>
        <v>1</v>
      </c>
      <c r="H2066" t="str">
        <f>MID(Table132[[#This Row],[ÉTAT]],VALUE(RIGHT(Table132[[#This Row],[next move]],1))+1+VALUE(LEFT(Table132[[#This Row],[next move]],1))*3,1)</f>
        <v>V</v>
      </c>
      <c r="I2066" t="str">
        <f>Table132[[#This Row],[ÉTAT]]&amp;Table132[[#This Row],[next move]]</f>
        <v>VMMEEVVME00</v>
      </c>
    </row>
    <row r="2067" spans="2:9" x14ac:dyDescent="0.25">
      <c r="B2067" t="s">
        <v>1667</v>
      </c>
      <c r="C2067" s="22" t="s">
        <v>24</v>
      </c>
      <c r="D2067">
        <v>4</v>
      </c>
      <c r="E2067">
        <v>4</v>
      </c>
      <c r="G2067" s="31">
        <f>Table132[[#This Row],[nb win]]/Table132[[#This Row],[nb play]]</f>
        <v>1</v>
      </c>
      <c r="H2067" t="str">
        <f>MID(Table132[[#This Row],[ÉTAT]],VALUE(RIGHT(Table132[[#This Row],[next move]],1))+1+VALUE(LEFT(Table132[[#This Row],[next move]],1))*3,1)</f>
        <v>V</v>
      </c>
      <c r="I2067" t="str">
        <f>Table132[[#This Row],[ÉTAT]]&amp;Table132[[#This Row],[next move]]</f>
        <v>VMMEEVVEV00</v>
      </c>
    </row>
    <row r="2068" spans="2:9" x14ac:dyDescent="0.25">
      <c r="B2068" t="s">
        <v>1018</v>
      </c>
      <c r="C2068" s="22" t="s">
        <v>24</v>
      </c>
      <c r="D2068">
        <v>1</v>
      </c>
      <c r="E2068">
        <v>1</v>
      </c>
      <c r="G2068" s="25">
        <f>Table132[[#This Row],[nb win]]/Table132[[#This Row],[nb play]]</f>
        <v>1</v>
      </c>
      <c r="H2068" t="str">
        <f>MID(Table132[[#This Row],[ÉTAT]],VALUE(RIGHT(Table132[[#This Row],[next move]],1))+1+VALUE(LEFT(Table132[[#This Row],[next move]],1))*3,1)</f>
        <v>V</v>
      </c>
      <c r="I2068" t="str">
        <f>Table132[[#This Row],[ÉTAT]]&amp;Table132[[#This Row],[next move]]</f>
        <v>VMMEEVMVE00</v>
      </c>
    </row>
    <row r="2069" spans="2:9" x14ac:dyDescent="0.25">
      <c r="B2069" t="s">
        <v>2563</v>
      </c>
      <c r="C2069" s="22" t="s">
        <v>24</v>
      </c>
      <c r="D2069">
        <v>1</v>
      </c>
      <c r="E2069">
        <v>1</v>
      </c>
      <c r="G2069" s="31">
        <f>Table132[[#This Row],[nb win]]/Table132[[#This Row],[nb play]]</f>
        <v>1</v>
      </c>
      <c r="H2069" t="str">
        <f>MID(Table132[[#This Row],[ÉTAT]],VALUE(RIGHT(Table132[[#This Row],[next move]],1))+1+VALUE(LEFT(Table132[[#This Row],[next move]],1))*3,1)</f>
        <v>V</v>
      </c>
      <c r="I2069" t="str">
        <f>Table132[[#This Row],[ÉTAT]]&amp;Table132[[#This Row],[next move]]</f>
        <v>VMMEEVMEE00</v>
      </c>
    </row>
    <row r="2070" spans="2:9" x14ac:dyDescent="0.25">
      <c r="B2070" t="s">
        <v>2563</v>
      </c>
      <c r="C2070" s="22" t="s">
        <v>28</v>
      </c>
      <c r="D2070">
        <v>1</v>
      </c>
      <c r="G2070" s="25">
        <f>Table132[[#This Row],[nb win]]/Table132[[#This Row],[nb play]]</f>
        <v>0</v>
      </c>
      <c r="H2070" t="str">
        <f>MID(Table132[[#This Row],[ÉTAT]],VALUE(RIGHT(Table132[[#This Row],[next move]],1))+1+VALUE(LEFT(Table132[[#This Row],[next move]],1))*3,1)</f>
        <v>V</v>
      </c>
      <c r="I2070" t="str">
        <f>Table132[[#This Row],[ÉTAT]]&amp;Table132[[#This Row],[next move]]</f>
        <v>VMMEEVMEE12</v>
      </c>
    </row>
    <row r="2071" spans="2:9" x14ac:dyDescent="0.25">
      <c r="B2071" t="s">
        <v>2543</v>
      </c>
      <c r="C2071" s="22" t="s">
        <v>22</v>
      </c>
      <c r="D2071">
        <v>1</v>
      </c>
      <c r="G2071" s="25">
        <f>Table132[[#This Row],[nb win]]/Table132[[#This Row],[nb play]]</f>
        <v>0</v>
      </c>
      <c r="H2071" t="str">
        <f>MID(Table132[[#This Row],[ÉTAT]],VALUE(RIGHT(Table132[[#This Row],[next move]],1))+1+VALUE(LEFT(Table132[[#This Row],[next move]],1))*3,1)</f>
        <v>V</v>
      </c>
      <c r="I2071" t="str">
        <f>Table132[[#This Row],[ÉTAT]]&amp;Table132[[#This Row],[next move]]</f>
        <v>VMMEEVEVM21</v>
      </c>
    </row>
    <row r="2072" spans="2:9" x14ac:dyDescent="0.25">
      <c r="B2072" t="s">
        <v>2098</v>
      </c>
      <c r="C2072" s="22" t="s">
        <v>24</v>
      </c>
      <c r="D2072">
        <v>2</v>
      </c>
      <c r="E2072">
        <v>2</v>
      </c>
      <c r="G2072" s="25">
        <f>Table132[[#This Row],[nb win]]/Table132[[#This Row],[nb play]]</f>
        <v>1</v>
      </c>
      <c r="H2072" t="str">
        <f>MID(Table132[[#This Row],[ÉTAT]],VALUE(RIGHT(Table132[[#This Row],[next move]],1))+1+VALUE(LEFT(Table132[[#This Row],[next move]],1))*3,1)</f>
        <v>V</v>
      </c>
      <c r="I2072" t="str">
        <f>Table132[[#This Row],[ÉTAT]]&amp;Table132[[#This Row],[next move]]</f>
        <v>VMMEEVEMV00</v>
      </c>
    </row>
    <row r="2073" spans="2:9" x14ac:dyDescent="0.25">
      <c r="B2073" t="s">
        <v>925</v>
      </c>
      <c r="C2073" s="22" t="s">
        <v>28</v>
      </c>
      <c r="D2073">
        <v>1</v>
      </c>
      <c r="G2073" s="25">
        <f>Table132[[#This Row],[nb win]]/Table132[[#This Row],[nb play]]</f>
        <v>0</v>
      </c>
      <c r="H2073" t="str">
        <f>MID(Table132[[#This Row],[ÉTAT]],VALUE(RIGHT(Table132[[#This Row],[next move]],1))+1+VALUE(LEFT(Table132[[#This Row],[next move]],1))*3,1)</f>
        <v>V</v>
      </c>
      <c r="I2073" t="str">
        <f>Table132[[#This Row],[ÉTAT]]&amp;Table132[[#This Row],[next move]]</f>
        <v>VMMEEVEME12</v>
      </c>
    </row>
    <row r="2074" spans="2:9" x14ac:dyDescent="0.25">
      <c r="B2074" t="s">
        <v>146</v>
      </c>
      <c r="C2074" s="22" t="s">
        <v>28</v>
      </c>
      <c r="D2074">
        <v>1</v>
      </c>
      <c r="E2074">
        <v>1</v>
      </c>
      <c r="G2074" s="25">
        <f>Table132[[#This Row],[nb win]]/Table132[[#This Row],[nb play]]</f>
        <v>1</v>
      </c>
      <c r="H2074" t="str">
        <f>MID(Table132[[#This Row],[ÉTAT]],VALUE(RIGHT(Table132[[#This Row],[next move]],1))+1+VALUE(LEFT(Table132[[#This Row],[next move]],1))*3,1)</f>
        <v>V</v>
      </c>
      <c r="I2074" t="str">
        <f>Table132[[#This Row],[ÉTAT]]&amp;Table132[[#This Row],[next move]]</f>
        <v>VMMEEVEEM12</v>
      </c>
    </row>
    <row r="2075" spans="2:9" x14ac:dyDescent="0.25">
      <c r="B2075" t="s">
        <v>459</v>
      </c>
      <c r="C2075" s="22" t="s">
        <v>31</v>
      </c>
      <c r="D2075">
        <v>3</v>
      </c>
      <c r="E2075">
        <v>3</v>
      </c>
      <c r="G2075" s="31">
        <f>Table132[[#This Row],[nb win]]/Table132[[#This Row],[nb play]]</f>
        <v>1</v>
      </c>
      <c r="H2075" t="str">
        <f>MID(Table132[[#This Row],[ÉTAT]],VALUE(RIGHT(Table132[[#This Row],[next move]],1))+1+VALUE(LEFT(Table132[[#This Row],[next move]],1))*3,1)</f>
        <v>V</v>
      </c>
      <c r="I2075" t="str">
        <f>Table132[[#This Row],[ÉTAT]]&amp;Table132[[#This Row],[next move]]</f>
        <v>VMMEEMVEV22</v>
      </c>
    </row>
    <row r="2076" spans="2:9" x14ac:dyDescent="0.25">
      <c r="B2076" t="s">
        <v>547</v>
      </c>
      <c r="C2076" s="22" t="s">
        <v>24</v>
      </c>
      <c r="D2076">
        <v>5</v>
      </c>
      <c r="E2076">
        <v>5</v>
      </c>
      <c r="G2076" s="31">
        <f>Table132[[#This Row],[nb win]]/Table132[[#This Row],[nb play]]</f>
        <v>1</v>
      </c>
      <c r="H2076" t="str">
        <f>MID(Table132[[#This Row],[ÉTAT]],VALUE(RIGHT(Table132[[#This Row],[next move]],1))+1+VALUE(LEFT(Table132[[#This Row],[next move]],1))*3,1)</f>
        <v>V</v>
      </c>
      <c r="I2076" t="str">
        <f>Table132[[#This Row],[ÉTAT]]&amp;Table132[[#This Row],[next move]]</f>
        <v>VMMEEMMEE00</v>
      </c>
    </row>
    <row r="2077" spans="2:9" x14ac:dyDescent="0.25">
      <c r="B2077" t="s">
        <v>403</v>
      </c>
      <c r="C2077" s="22" t="s">
        <v>24</v>
      </c>
      <c r="D2077">
        <v>2</v>
      </c>
      <c r="E2077">
        <v>2</v>
      </c>
      <c r="G2077" s="25">
        <f>Table132[[#This Row],[nb win]]/Table132[[#This Row],[nb play]]</f>
        <v>1</v>
      </c>
      <c r="H2077" t="str">
        <f>MID(Table132[[#This Row],[ÉTAT]],VALUE(RIGHT(Table132[[#This Row],[next move]],1))+1+VALUE(LEFT(Table132[[#This Row],[next move]],1))*3,1)</f>
        <v>V</v>
      </c>
      <c r="I2077" t="str">
        <f>Table132[[#This Row],[ÉTAT]]&amp;Table132[[#This Row],[next move]]</f>
        <v>VMMEEMEVV00</v>
      </c>
    </row>
    <row r="2078" spans="2:9" x14ac:dyDescent="0.25">
      <c r="B2078" t="s">
        <v>458</v>
      </c>
      <c r="C2078" s="22" t="s">
        <v>24</v>
      </c>
      <c r="D2078">
        <v>7</v>
      </c>
      <c r="E2078">
        <v>7</v>
      </c>
      <c r="G2078" s="31">
        <f>Table132[[#This Row],[nb win]]/Table132[[#This Row],[nb play]]</f>
        <v>1</v>
      </c>
      <c r="H2078" t="str">
        <f>MID(Table132[[#This Row],[ÉTAT]],VALUE(RIGHT(Table132[[#This Row],[next move]],1))+1+VALUE(LEFT(Table132[[#This Row],[next move]],1))*3,1)</f>
        <v>V</v>
      </c>
      <c r="I2078" t="str">
        <f>Table132[[#This Row],[ÉTAT]]&amp;Table132[[#This Row],[next move]]</f>
        <v>VMMEEMEME00</v>
      </c>
    </row>
    <row r="2079" spans="2:9" x14ac:dyDescent="0.25">
      <c r="B2079" t="s">
        <v>79</v>
      </c>
      <c r="C2079" s="22" t="s">
        <v>24</v>
      </c>
      <c r="D2079">
        <v>5</v>
      </c>
      <c r="E2079">
        <v>2</v>
      </c>
      <c r="G2079" s="30">
        <f>Table132[[#This Row],[nb win]]/Table132[[#This Row],[nb play]]</f>
        <v>0.4</v>
      </c>
      <c r="H2079" t="str">
        <f>MID(Table132[[#This Row],[ÉTAT]],VALUE(RIGHT(Table132[[#This Row],[next move]],1))+1+VALUE(LEFT(Table132[[#This Row],[next move]],1))*3,1)</f>
        <v>V</v>
      </c>
      <c r="I2079" t="str">
        <f>Table132[[#This Row],[ÉTAT]]&amp;Table132[[#This Row],[next move]]</f>
        <v>VMEVVVVVV00</v>
      </c>
    </row>
    <row r="2080" spans="2:9" x14ac:dyDescent="0.25">
      <c r="B2080" t="s">
        <v>79</v>
      </c>
      <c r="C2080" s="22" t="s">
        <v>30</v>
      </c>
      <c r="D2080">
        <v>2</v>
      </c>
      <c r="E2080">
        <v>1</v>
      </c>
      <c r="G2080" s="31">
        <f>Table132[[#This Row],[nb win]]/Table132[[#This Row],[nb play]]</f>
        <v>0.5</v>
      </c>
      <c r="H2080" t="str">
        <f>MID(Table132[[#This Row],[ÉTAT]],VALUE(RIGHT(Table132[[#This Row],[next move]],1))+1+VALUE(LEFT(Table132[[#This Row],[next move]],1))*3,1)</f>
        <v>V</v>
      </c>
      <c r="I2080" t="str">
        <f>Table132[[#This Row],[ÉTAT]]&amp;Table132[[#This Row],[next move]]</f>
        <v>VMEVVVVVV10</v>
      </c>
    </row>
    <row r="2081" spans="2:9" x14ac:dyDescent="0.25">
      <c r="B2081" t="s">
        <v>79</v>
      </c>
      <c r="C2081" s="22" t="s">
        <v>29</v>
      </c>
      <c r="D2081">
        <v>4</v>
      </c>
      <c r="E2081">
        <v>3</v>
      </c>
      <c r="G2081" s="31">
        <f>Table132[[#This Row],[nb win]]/Table132[[#This Row],[nb play]]</f>
        <v>0.75</v>
      </c>
      <c r="H2081" t="str">
        <f>MID(Table132[[#This Row],[ÉTAT]],VALUE(RIGHT(Table132[[#This Row],[next move]],1))+1+VALUE(LEFT(Table132[[#This Row],[next move]],1))*3,1)</f>
        <v>V</v>
      </c>
      <c r="I2081" t="str">
        <f>Table132[[#This Row],[ÉTAT]]&amp;Table132[[#This Row],[next move]]</f>
        <v>VMEVVVVVV11</v>
      </c>
    </row>
    <row r="2082" spans="2:9" x14ac:dyDescent="0.25">
      <c r="B2082" t="s">
        <v>79</v>
      </c>
      <c r="C2082" s="22" t="s">
        <v>28</v>
      </c>
      <c r="D2082">
        <v>4</v>
      </c>
      <c r="E2082">
        <v>2</v>
      </c>
      <c r="G2082" s="30">
        <f>Table132[[#This Row],[nb win]]/Table132[[#This Row],[nb play]]</f>
        <v>0.5</v>
      </c>
      <c r="H2082" t="str">
        <f>MID(Table132[[#This Row],[ÉTAT]],VALUE(RIGHT(Table132[[#This Row],[next move]],1))+1+VALUE(LEFT(Table132[[#This Row],[next move]],1))*3,1)</f>
        <v>V</v>
      </c>
      <c r="I2082" t="str">
        <f>Table132[[#This Row],[ÉTAT]]&amp;Table132[[#This Row],[next move]]</f>
        <v>VMEVVVVVV12</v>
      </c>
    </row>
    <row r="2083" spans="2:9" x14ac:dyDescent="0.25">
      <c r="B2083" t="s">
        <v>79</v>
      </c>
      <c r="C2083" s="22" t="s">
        <v>35</v>
      </c>
      <c r="D2083">
        <v>8</v>
      </c>
      <c r="E2083">
        <v>4</v>
      </c>
      <c r="G2083" s="31">
        <f>Table132[[#This Row],[nb win]]/Table132[[#This Row],[nb play]]</f>
        <v>0.5</v>
      </c>
      <c r="H2083" t="str">
        <f>MID(Table132[[#This Row],[ÉTAT]],VALUE(RIGHT(Table132[[#This Row],[next move]],1))+1+VALUE(LEFT(Table132[[#This Row],[next move]],1))*3,1)</f>
        <v>V</v>
      </c>
      <c r="I2083" t="str">
        <f>Table132[[#This Row],[ÉTAT]]&amp;Table132[[#This Row],[next move]]</f>
        <v>VMEVVVVVV20</v>
      </c>
    </row>
    <row r="2084" spans="2:9" x14ac:dyDescent="0.25">
      <c r="B2084" t="s">
        <v>79</v>
      </c>
      <c r="C2084" s="22" t="s">
        <v>22</v>
      </c>
      <c r="D2084">
        <v>11</v>
      </c>
      <c r="E2084">
        <v>7</v>
      </c>
      <c r="G2084" s="31">
        <f>Table132[[#This Row],[nb win]]/Table132[[#This Row],[nb play]]</f>
        <v>0.63636363636363635</v>
      </c>
      <c r="H2084" t="str">
        <f>MID(Table132[[#This Row],[ÉTAT]],VALUE(RIGHT(Table132[[#This Row],[next move]],1))+1+VALUE(LEFT(Table132[[#This Row],[next move]],1))*3,1)</f>
        <v>V</v>
      </c>
      <c r="I2084" t="str">
        <f>Table132[[#This Row],[ÉTAT]]&amp;Table132[[#This Row],[next move]]</f>
        <v>VMEVVVVVV21</v>
      </c>
    </row>
    <row r="2085" spans="2:9" x14ac:dyDescent="0.25">
      <c r="B2085" t="s">
        <v>79</v>
      </c>
      <c r="C2085" s="22" t="s">
        <v>31</v>
      </c>
      <c r="D2085">
        <v>13</v>
      </c>
      <c r="E2085">
        <v>10</v>
      </c>
      <c r="G2085" s="30">
        <f>Table132[[#This Row],[nb win]]/Table132[[#This Row],[nb play]]</f>
        <v>0.76923076923076927</v>
      </c>
      <c r="H2085" t="str">
        <f>MID(Table132[[#This Row],[ÉTAT]],VALUE(RIGHT(Table132[[#This Row],[next move]],1))+1+VALUE(LEFT(Table132[[#This Row],[next move]],1))*3,1)</f>
        <v>V</v>
      </c>
      <c r="I2085" t="str">
        <f>Table132[[#This Row],[ÉTAT]]&amp;Table132[[#This Row],[next move]]</f>
        <v>VMEVVVVVV22</v>
      </c>
    </row>
    <row r="2086" spans="2:9" x14ac:dyDescent="0.25">
      <c r="B2086" t="s">
        <v>259</v>
      </c>
      <c r="C2086" s="22" t="s">
        <v>24</v>
      </c>
      <c r="D2086">
        <v>3</v>
      </c>
      <c r="G2086" s="30">
        <f>Table132[[#This Row],[nb win]]/Table132[[#This Row],[nb play]]</f>
        <v>0</v>
      </c>
      <c r="H2086" t="str">
        <f>MID(Table132[[#This Row],[ÉTAT]],VALUE(RIGHT(Table132[[#This Row],[next move]],1))+1+VALUE(LEFT(Table132[[#This Row],[next move]],1))*3,1)</f>
        <v>V</v>
      </c>
      <c r="I2086" t="str">
        <f>Table132[[#This Row],[ÉTAT]]&amp;Table132[[#This Row],[next move]]</f>
        <v>VMEVVVVVE00</v>
      </c>
    </row>
    <row r="2087" spans="2:9" x14ac:dyDescent="0.25">
      <c r="B2087" t="s">
        <v>259</v>
      </c>
      <c r="C2087" s="22" t="s">
        <v>30</v>
      </c>
      <c r="D2087">
        <v>2</v>
      </c>
      <c r="G2087" s="30">
        <f>Table132[[#This Row],[nb win]]/Table132[[#This Row],[nb play]]</f>
        <v>0</v>
      </c>
      <c r="H2087" t="str">
        <f>MID(Table132[[#This Row],[ÉTAT]],VALUE(RIGHT(Table132[[#This Row],[next move]],1))+1+VALUE(LEFT(Table132[[#This Row],[next move]],1))*3,1)</f>
        <v>V</v>
      </c>
      <c r="I2087" t="str">
        <f>Table132[[#This Row],[ÉTAT]]&amp;Table132[[#This Row],[next move]]</f>
        <v>VMEVVVVVE10</v>
      </c>
    </row>
    <row r="2088" spans="2:9" x14ac:dyDescent="0.25">
      <c r="B2088" t="s">
        <v>259</v>
      </c>
      <c r="C2088" s="22" t="s">
        <v>29</v>
      </c>
      <c r="D2088">
        <v>4</v>
      </c>
      <c r="E2088">
        <v>1</v>
      </c>
      <c r="G2088" s="30">
        <f>Table132[[#This Row],[nb win]]/Table132[[#This Row],[nb play]]</f>
        <v>0.25</v>
      </c>
      <c r="H2088" t="str">
        <f>MID(Table132[[#This Row],[ÉTAT]],VALUE(RIGHT(Table132[[#This Row],[next move]],1))+1+VALUE(LEFT(Table132[[#This Row],[next move]],1))*3,1)</f>
        <v>V</v>
      </c>
      <c r="I2088" t="str">
        <f>Table132[[#This Row],[ÉTAT]]&amp;Table132[[#This Row],[next move]]</f>
        <v>VMEVVVVVE11</v>
      </c>
    </row>
    <row r="2089" spans="2:9" x14ac:dyDescent="0.25">
      <c r="B2089" t="s">
        <v>259</v>
      </c>
      <c r="C2089" s="22" t="s">
        <v>28</v>
      </c>
      <c r="D2089">
        <v>1</v>
      </c>
      <c r="G2089" s="25">
        <f>Table132[[#This Row],[nb win]]/Table132[[#This Row],[nb play]]</f>
        <v>0</v>
      </c>
      <c r="H2089" t="str">
        <f>MID(Table132[[#This Row],[ÉTAT]],VALUE(RIGHT(Table132[[#This Row],[next move]],1))+1+VALUE(LEFT(Table132[[#This Row],[next move]],1))*3,1)</f>
        <v>V</v>
      </c>
      <c r="I2089" t="str">
        <f>Table132[[#This Row],[ÉTAT]]&amp;Table132[[#This Row],[next move]]</f>
        <v>VMEVVVVVE12</v>
      </c>
    </row>
    <row r="2090" spans="2:9" x14ac:dyDescent="0.25">
      <c r="B2090" t="s">
        <v>259</v>
      </c>
      <c r="C2090" s="22" t="s">
        <v>35</v>
      </c>
      <c r="D2090">
        <v>3</v>
      </c>
      <c r="G2090" s="30">
        <f>Table132[[#This Row],[nb win]]/Table132[[#This Row],[nb play]]</f>
        <v>0</v>
      </c>
      <c r="H2090" t="str">
        <f>MID(Table132[[#This Row],[ÉTAT]],VALUE(RIGHT(Table132[[#This Row],[next move]],1))+1+VALUE(LEFT(Table132[[#This Row],[next move]],1))*3,1)</f>
        <v>V</v>
      </c>
      <c r="I2090" t="str">
        <f>Table132[[#This Row],[ÉTAT]]&amp;Table132[[#This Row],[next move]]</f>
        <v>VMEVVVVVE20</v>
      </c>
    </row>
    <row r="2091" spans="2:9" x14ac:dyDescent="0.25">
      <c r="B2091" t="s">
        <v>259</v>
      </c>
      <c r="C2091" s="22" t="s">
        <v>22</v>
      </c>
      <c r="D2091">
        <v>1</v>
      </c>
      <c r="G2091" s="25">
        <f>Table132[[#This Row],[nb win]]/Table132[[#This Row],[nb play]]</f>
        <v>0</v>
      </c>
      <c r="H2091" t="str">
        <f>MID(Table132[[#This Row],[ÉTAT]],VALUE(RIGHT(Table132[[#This Row],[next move]],1))+1+VALUE(LEFT(Table132[[#This Row],[next move]],1))*3,1)</f>
        <v>V</v>
      </c>
      <c r="I2091" t="str">
        <f>Table132[[#This Row],[ÉTAT]]&amp;Table132[[#This Row],[next move]]</f>
        <v>VMEVVVVVE21</v>
      </c>
    </row>
    <row r="2092" spans="2:9" x14ac:dyDescent="0.25">
      <c r="B2092" t="s">
        <v>1139</v>
      </c>
      <c r="C2092" s="22" t="s">
        <v>24</v>
      </c>
      <c r="D2092">
        <v>4</v>
      </c>
      <c r="E2092">
        <v>2</v>
      </c>
      <c r="G2092" s="31">
        <f>Table132[[#This Row],[nb win]]/Table132[[#This Row],[nb play]]</f>
        <v>0.5</v>
      </c>
      <c r="H2092" t="str">
        <f>MID(Table132[[#This Row],[ÉTAT]],VALUE(RIGHT(Table132[[#This Row],[next move]],1))+1+VALUE(LEFT(Table132[[#This Row],[next move]],1))*3,1)</f>
        <v>V</v>
      </c>
      <c r="I2092" t="str">
        <f>Table132[[#This Row],[ÉTAT]]&amp;Table132[[#This Row],[next move]]</f>
        <v>VMEVVVVME00</v>
      </c>
    </row>
    <row r="2093" spans="2:9" x14ac:dyDescent="0.25">
      <c r="B2093" t="s">
        <v>1139</v>
      </c>
      <c r="C2093" s="22" t="s">
        <v>30</v>
      </c>
      <c r="D2093">
        <v>3</v>
      </c>
      <c r="E2093">
        <v>2</v>
      </c>
      <c r="G2093" s="30">
        <f>Table132[[#This Row],[nb win]]/Table132[[#This Row],[nb play]]</f>
        <v>0.66666666666666663</v>
      </c>
      <c r="H2093" t="str">
        <f>MID(Table132[[#This Row],[ÉTAT]],VALUE(RIGHT(Table132[[#This Row],[next move]],1))+1+VALUE(LEFT(Table132[[#This Row],[next move]],1))*3,1)</f>
        <v>V</v>
      </c>
      <c r="I2093" t="str">
        <f>Table132[[#This Row],[ÉTAT]]&amp;Table132[[#This Row],[next move]]</f>
        <v>VMEVVVVME10</v>
      </c>
    </row>
    <row r="2094" spans="2:9" x14ac:dyDescent="0.25">
      <c r="B2094" t="s">
        <v>1108</v>
      </c>
      <c r="C2094" s="22" t="s">
        <v>24</v>
      </c>
      <c r="D2094">
        <v>3</v>
      </c>
      <c r="E2094">
        <v>1</v>
      </c>
      <c r="G2094" s="25">
        <f>Table132[[#This Row],[nb win]]/Table132[[#This Row],[nb play]]</f>
        <v>0.33333333333333331</v>
      </c>
      <c r="H2094" t="str">
        <f>MID(Table132[[#This Row],[ÉTAT]],VALUE(RIGHT(Table132[[#This Row],[next move]],1))+1+VALUE(LEFT(Table132[[#This Row],[next move]],1))*3,1)</f>
        <v>V</v>
      </c>
      <c r="I2094" t="str">
        <f>Table132[[#This Row],[ÉTAT]]&amp;Table132[[#This Row],[next move]]</f>
        <v>VMEVVVVEV00</v>
      </c>
    </row>
    <row r="2095" spans="2:9" x14ac:dyDescent="0.25">
      <c r="B2095" t="s">
        <v>1108</v>
      </c>
      <c r="C2095" s="22" t="s">
        <v>30</v>
      </c>
      <c r="D2095">
        <v>4</v>
      </c>
      <c r="G2095" s="25">
        <f>Table132[[#This Row],[nb win]]/Table132[[#This Row],[nb play]]</f>
        <v>0</v>
      </c>
      <c r="H2095" t="str">
        <f>MID(Table132[[#This Row],[ÉTAT]],VALUE(RIGHT(Table132[[#This Row],[next move]],1))+1+VALUE(LEFT(Table132[[#This Row],[next move]],1))*3,1)</f>
        <v>V</v>
      </c>
      <c r="I2095" t="str">
        <f>Table132[[#This Row],[ÉTAT]]&amp;Table132[[#This Row],[next move]]</f>
        <v>VMEVVVVEV10</v>
      </c>
    </row>
    <row r="2096" spans="2:9" x14ac:dyDescent="0.25">
      <c r="B2096" t="s">
        <v>1108</v>
      </c>
      <c r="C2096" s="22" t="s">
        <v>29</v>
      </c>
      <c r="D2096">
        <v>4</v>
      </c>
      <c r="E2096">
        <v>2</v>
      </c>
      <c r="G2096" s="25">
        <f>Table132[[#This Row],[nb win]]/Table132[[#This Row],[nb play]]</f>
        <v>0.5</v>
      </c>
      <c r="H2096" t="str">
        <f>MID(Table132[[#This Row],[ÉTAT]],VALUE(RIGHT(Table132[[#This Row],[next move]],1))+1+VALUE(LEFT(Table132[[#This Row],[next move]],1))*3,1)</f>
        <v>V</v>
      </c>
      <c r="I2096" t="str">
        <f>Table132[[#This Row],[ÉTAT]]&amp;Table132[[#This Row],[next move]]</f>
        <v>VMEVVVVEV11</v>
      </c>
    </row>
    <row r="2097" spans="2:9" x14ac:dyDescent="0.25">
      <c r="B2097" t="s">
        <v>1108</v>
      </c>
      <c r="C2097" s="22" t="s">
        <v>28</v>
      </c>
      <c r="D2097">
        <v>3</v>
      </c>
      <c r="G2097" s="30">
        <f>Table132[[#This Row],[nb win]]/Table132[[#This Row],[nb play]]</f>
        <v>0</v>
      </c>
      <c r="H2097" t="str">
        <f>MID(Table132[[#This Row],[ÉTAT]],VALUE(RIGHT(Table132[[#This Row],[next move]],1))+1+VALUE(LEFT(Table132[[#This Row],[next move]],1))*3,1)</f>
        <v>V</v>
      </c>
      <c r="I2097" t="str">
        <f>Table132[[#This Row],[ÉTAT]]&amp;Table132[[#This Row],[next move]]</f>
        <v>VMEVVVVEV12</v>
      </c>
    </row>
    <row r="2098" spans="2:9" x14ac:dyDescent="0.25">
      <c r="B2098" t="s">
        <v>1108</v>
      </c>
      <c r="C2098" s="22" t="s">
        <v>35</v>
      </c>
      <c r="D2098">
        <v>2</v>
      </c>
      <c r="G2098" s="25">
        <f>Table132[[#This Row],[nb win]]/Table132[[#This Row],[nb play]]</f>
        <v>0</v>
      </c>
      <c r="H2098" t="str">
        <f>MID(Table132[[#This Row],[ÉTAT]],VALUE(RIGHT(Table132[[#This Row],[next move]],1))+1+VALUE(LEFT(Table132[[#This Row],[next move]],1))*3,1)</f>
        <v>V</v>
      </c>
      <c r="I2098" t="str">
        <f>Table132[[#This Row],[ÉTAT]]&amp;Table132[[#This Row],[next move]]</f>
        <v>VMEVVVVEV20</v>
      </c>
    </row>
    <row r="2099" spans="2:9" x14ac:dyDescent="0.25">
      <c r="B2099" t="s">
        <v>1108</v>
      </c>
      <c r="C2099" s="22" t="s">
        <v>31</v>
      </c>
      <c r="D2099">
        <v>2</v>
      </c>
      <c r="G2099" s="25">
        <f>Table132[[#This Row],[nb win]]/Table132[[#This Row],[nb play]]</f>
        <v>0</v>
      </c>
      <c r="H2099" t="str">
        <f>MID(Table132[[#This Row],[ÉTAT]],VALUE(RIGHT(Table132[[#This Row],[next move]],1))+1+VALUE(LEFT(Table132[[#This Row],[next move]],1))*3,1)</f>
        <v>V</v>
      </c>
      <c r="I2099" t="str">
        <f>Table132[[#This Row],[ÉTAT]]&amp;Table132[[#This Row],[next move]]</f>
        <v>VMEVVVVEV22</v>
      </c>
    </row>
    <row r="2100" spans="2:9" x14ac:dyDescent="0.25">
      <c r="B2100" t="s">
        <v>980</v>
      </c>
      <c r="C2100" s="22" t="s">
        <v>24</v>
      </c>
      <c r="D2100">
        <v>5</v>
      </c>
      <c r="E2100">
        <v>4</v>
      </c>
      <c r="G2100" s="25">
        <f>Table132[[#This Row],[nb win]]/Table132[[#This Row],[nb play]]</f>
        <v>0.8</v>
      </c>
      <c r="H2100" t="str">
        <f>MID(Table132[[#This Row],[ÉTAT]],VALUE(RIGHT(Table132[[#This Row],[next move]],1))+1+VALUE(LEFT(Table132[[#This Row],[next move]],1))*3,1)</f>
        <v>V</v>
      </c>
      <c r="I2100" t="str">
        <f>Table132[[#This Row],[ÉTAT]]&amp;Table132[[#This Row],[next move]]</f>
        <v>VMEVVVVEM00</v>
      </c>
    </row>
    <row r="2101" spans="2:9" x14ac:dyDescent="0.25">
      <c r="B2101" t="s">
        <v>980</v>
      </c>
      <c r="C2101" s="22" t="s">
        <v>30</v>
      </c>
      <c r="D2101">
        <v>4</v>
      </c>
      <c r="E2101">
        <v>4</v>
      </c>
      <c r="G2101" s="25">
        <f>Table132[[#This Row],[nb win]]/Table132[[#This Row],[nb play]]</f>
        <v>1</v>
      </c>
      <c r="H2101" t="str">
        <f>MID(Table132[[#This Row],[ÉTAT]],VALUE(RIGHT(Table132[[#This Row],[next move]],1))+1+VALUE(LEFT(Table132[[#This Row],[next move]],1))*3,1)</f>
        <v>V</v>
      </c>
      <c r="I2101" t="str">
        <f>Table132[[#This Row],[ÉTAT]]&amp;Table132[[#This Row],[next move]]</f>
        <v>VMEVVVVEM10</v>
      </c>
    </row>
    <row r="2102" spans="2:9" x14ac:dyDescent="0.25">
      <c r="B2102" t="s">
        <v>720</v>
      </c>
      <c r="C2102" s="22" t="s">
        <v>29</v>
      </c>
      <c r="D2102">
        <v>1</v>
      </c>
      <c r="E2102">
        <v>1</v>
      </c>
      <c r="G2102" s="25">
        <f>Table132[[#This Row],[nb win]]/Table132[[#This Row],[nb play]]</f>
        <v>1</v>
      </c>
      <c r="H2102" t="str">
        <f>MID(Table132[[#This Row],[ÉTAT]],VALUE(RIGHT(Table132[[#This Row],[next move]],1))+1+VALUE(LEFT(Table132[[#This Row],[next move]],1))*3,1)</f>
        <v>V</v>
      </c>
      <c r="I2102" t="str">
        <f>Table132[[#This Row],[ÉTAT]]&amp;Table132[[#This Row],[next move]]</f>
        <v>VMEVVVMVE11</v>
      </c>
    </row>
    <row r="2103" spans="2:9" x14ac:dyDescent="0.25">
      <c r="B2103" t="s">
        <v>720</v>
      </c>
      <c r="C2103" s="22" t="s">
        <v>22</v>
      </c>
      <c r="D2103">
        <v>2</v>
      </c>
      <c r="G2103" s="30">
        <f>Table132[[#This Row],[nb win]]/Table132[[#This Row],[nb play]]</f>
        <v>0</v>
      </c>
      <c r="H2103" t="str">
        <f>MID(Table132[[#This Row],[ÉTAT]],VALUE(RIGHT(Table132[[#This Row],[next move]],1))+1+VALUE(LEFT(Table132[[#This Row],[next move]],1))*3,1)</f>
        <v>V</v>
      </c>
      <c r="I2103" t="str">
        <f>Table132[[#This Row],[ÉTAT]]&amp;Table132[[#This Row],[next move]]</f>
        <v>VMEVVVMVE21</v>
      </c>
    </row>
    <row r="2104" spans="2:9" x14ac:dyDescent="0.25">
      <c r="B2104" t="s">
        <v>2689</v>
      </c>
      <c r="C2104" s="22" t="s">
        <v>24</v>
      </c>
      <c r="D2104">
        <v>4</v>
      </c>
      <c r="E2104">
        <v>4</v>
      </c>
      <c r="G2104" s="31">
        <f>Table132[[#This Row],[nb win]]/Table132[[#This Row],[nb play]]</f>
        <v>1</v>
      </c>
      <c r="H2104" t="str">
        <f>MID(Table132[[#This Row],[ÉTAT]],VALUE(RIGHT(Table132[[#This Row],[next move]],1))+1+VALUE(LEFT(Table132[[#This Row],[next move]],1))*3,1)</f>
        <v>V</v>
      </c>
      <c r="I2104" t="str">
        <f>Table132[[#This Row],[ÉTAT]]&amp;Table132[[#This Row],[next move]]</f>
        <v>VMEVVVMEV00</v>
      </c>
    </row>
    <row r="2105" spans="2:9" x14ac:dyDescent="0.25">
      <c r="B2105" t="s">
        <v>3403</v>
      </c>
      <c r="C2105" s="22" t="s">
        <v>22</v>
      </c>
      <c r="D2105">
        <v>1</v>
      </c>
      <c r="E2105">
        <v>1</v>
      </c>
      <c r="G2105" s="31">
        <f>Table132[[#This Row],[nb win]]/Table132[[#This Row],[nb play]]</f>
        <v>1</v>
      </c>
      <c r="H2105" t="str">
        <f>MID(Table132[[#This Row],[ÉTAT]],VALUE(RIGHT(Table132[[#This Row],[next move]],1))+1+VALUE(LEFT(Table132[[#This Row],[next move]],1))*3,1)</f>
        <v>V</v>
      </c>
      <c r="I2105" t="str">
        <f>Table132[[#This Row],[ÉTAT]]&amp;Table132[[#This Row],[next move]]</f>
        <v>VMEVVVEVV21</v>
      </c>
    </row>
    <row r="2106" spans="2:9" x14ac:dyDescent="0.25">
      <c r="B2106" t="s">
        <v>1608</v>
      </c>
      <c r="C2106" s="22" t="s">
        <v>29</v>
      </c>
      <c r="D2106">
        <v>2</v>
      </c>
      <c r="E2106">
        <v>2</v>
      </c>
      <c r="G2106" s="25">
        <f>Table132[[#This Row],[nb win]]/Table132[[#This Row],[nb play]]</f>
        <v>1</v>
      </c>
      <c r="H2106" t="str">
        <f>MID(Table132[[#This Row],[ÉTAT]],VALUE(RIGHT(Table132[[#This Row],[next move]],1))+1+VALUE(LEFT(Table132[[#This Row],[next move]],1))*3,1)</f>
        <v>V</v>
      </c>
      <c r="I2106" t="str">
        <f>Table132[[#This Row],[ÉTAT]]&amp;Table132[[#This Row],[next move]]</f>
        <v>VMEVVVEVM11</v>
      </c>
    </row>
    <row r="2107" spans="2:9" x14ac:dyDescent="0.25">
      <c r="B2107" t="s">
        <v>1608</v>
      </c>
      <c r="C2107" s="22" t="s">
        <v>28</v>
      </c>
      <c r="D2107">
        <v>1</v>
      </c>
      <c r="G2107" s="25">
        <f>Table132[[#This Row],[nb win]]/Table132[[#This Row],[nb play]]</f>
        <v>0</v>
      </c>
      <c r="H2107" t="str">
        <f>MID(Table132[[#This Row],[ÉTAT]],VALUE(RIGHT(Table132[[#This Row],[next move]],1))+1+VALUE(LEFT(Table132[[#This Row],[next move]],1))*3,1)</f>
        <v>V</v>
      </c>
      <c r="I2107" t="str">
        <f>Table132[[#This Row],[ÉTAT]]&amp;Table132[[#This Row],[next move]]</f>
        <v>VMEVVVEVM12</v>
      </c>
    </row>
    <row r="2108" spans="2:9" x14ac:dyDescent="0.25">
      <c r="B2108" t="s">
        <v>2065</v>
      </c>
      <c r="C2108" s="22" t="s">
        <v>30</v>
      </c>
      <c r="D2108">
        <v>6</v>
      </c>
      <c r="E2108">
        <v>6</v>
      </c>
      <c r="G2108" s="31">
        <f>Table132[[#This Row],[nb win]]/Table132[[#This Row],[nb play]]</f>
        <v>1</v>
      </c>
      <c r="H2108" t="str">
        <f>MID(Table132[[#This Row],[ÉTAT]],VALUE(RIGHT(Table132[[#This Row],[next move]],1))+1+VALUE(LEFT(Table132[[#This Row],[next move]],1))*3,1)</f>
        <v>V</v>
      </c>
      <c r="I2108" t="str">
        <f>Table132[[#This Row],[ÉTAT]]&amp;Table132[[#This Row],[next move]]</f>
        <v>VMEVVVEMV10</v>
      </c>
    </row>
    <row r="2109" spans="2:9" x14ac:dyDescent="0.25">
      <c r="B2109" t="s">
        <v>719</v>
      </c>
      <c r="C2109" s="22" t="s">
        <v>28</v>
      </c>
      <c r="D2109">
        <v>3</v>
      </c>
      <c r="E2109">
        <v>2</v>
      </c>
      <c r="G2109" s="25">
        <f>Table132[[#This Row],[nb win]]/Table132[[#This Row],[nb play]]</f>
        <v>0.66666666666666663</v>
      </c>
      <c r="H2109" t="str">
        <f>MID(Table132[[#This Row],[ÉTAT]],VALUE(RIGHT(Table132[[#This Row],[next move]],1))+1+VALUE(LEFT(Table132[[#This Row],[next move]],1))*3,1)</f>
        <v>V</v>
      </c>
      <c r="I2109" t="str">
        <f>Table132[[#This Row],[ÉTAT]]&amp;Table132[[#This Row],[next move]]</f>
        <v>VMEVVVEME12</v>
      </c>
    </row>
    <row r="2110" spans="2:9" x14ac:dyDescent="0.25">
      <c r="B2110" t="s">
        <v>2068</v>
      </c>
      <c r="C2110" s="22" t="s">
        <v>24</v>
      </c>
      <c r="D2110">
        <v>1</v>
      </c>
      <c r="G2110" s="30">
        <f>Table132[[#This Row],[nb win]]/Table132[[#This Row],[nb play]]</f>
        <v>0</v>
      </c>
      <c r="H2110" t="str">
        <f>MID(Table132[[#This Row],[ÉTAT]],VALUE(RIGHT(Table132[[#This Row],[next move]],1))+1+VALUE(LEFT(Table132[[#This Row],[next move]],1))*3,1)</f>
        <v>V</v>
      </c>
      <c r="I2110" t="str">
        <f>Table132[[#This Row],[ÉTAT]]&amp;Table132[[#This Row],[next move]]</f>
        <v>VMEVVVEEM00</v>
      </c>
    </row>
    <row r="2111" spans="2:9" x14ac:dyDescent="0.25">
      <c r="B2111" t="s">
        <v>2068</v>
      </c>
      <c r="C2111" s="22" t="s">
        <v>28</v>
      </c>
      <c r="D2111">
        <v>1</v>
      </c>
      <c r="G2111" s="25">
        <f>Table132[[#This Row],[nb win]]/Table132[[#This Row],[nb play]]</f>
        <v>0</v>
      </c>
      <c r="H2111" t="str">
        <f>MID(Table132[[#This Row],[ÉTAT]],VALUE(RIGHT(Table132[[#This Row],[next move]],1))+1+VALUE(LEFT(Table132[[#This Row],[next move]],1))*3,1)</f>
        <v>V</v>
      </c>
      <c r="I2111" t="str">
        <f>Table132[[#This Row],[ÉTAT]]&amp;Table132[[#This Row],[next move]]</f>
        <v>VMEVVVEEM12</v>
      </c>
    </row>
    <row r="2112" spans="2:9" x14ac:dyDescent="0.25">
      <c r="B2112" t="s">
        <v>2787</v>
      </c>
      <c r="C2112" s="22" t="s">
        <v>24</v>
      </c>
      <c r="D2112">
        <v>1</v>
      </c>
      <c r="G2112" s="25">
        <f>Table132[[#This Row],[nb win]]/Table132[[#This Row],[nb play]]</f>
        <v>0</v>
      </c>
      <c r="H2112" t="str">
        <f>MID(Table132[[#This Row],[ÉTAT]],VALUE(RIGHT(Table132[[#This Row],[next move]],1))+1+VALUE(LEFT(Table132[[#This Row],[next move]],1))*3,1)</f>
        <v>V</v>
      </c>
      <c r="I2112" t="str">
        <f>Table132[[#This Row],[ÉTAT]]&amp;Table132[[#This Row],[next move]]</f>
        <v>VMEVVMVEV00</v>
      </c>
    </row>
    <row r="2113" spans="2:9" x14ac:dyDescent="0.25">
      <c r="B2113" t="s">
        <v>2787</v>
      </c>
      <c r="C2113" s="22" t="s">
        <v>30</v>
      </c>
      <c r="D2113">
        <v>3</v>
      </c>
      <c r="E2113">
        <v>2</v>
      </c>
      <c r="G2113" s="31">
        <f>Table132[[#This Row],[nb win]]/Table132[[#This Row],[nb play]]</f>
        <v>0.66666666666666663</v>
      </c>
      <c r="H2113" t="str">
        <f>MID(Table132[[#This Row],[ÉTAT]],VALUE(RIGHT(Table132[[#This Row],[next move]],1))+1+VALUE(LEFT(Table132[[#This Row],[next move]],1))*3,1)</f>
        <v>V</v>
      </c>
      <c r="I2113" t="str">
        <f>Table132[[#This Row],[ÉTAT]]&amp;Table132[[#This Row],[next move]]</f>
        <v>VMEVVMVEV10</v>
      </c>
    </row>
    <row r="2114" spans="2:9" x14ac:dyDescent="0.25">
      <c r="B2114" t="s">
        <v>2787</v>
      </c>
      <c r="C2114" s="22" t="s">
        <v>35</v>
      </c>
      <c r="D2114">
        <v>1</v>
      </c>
      <c r="E2114">
        <v>1</v>
      </c>
      <c r="G2114" s="31">
        <f>Table132[[#This Row],[nb win]]/Table132[[#This Row],[nb play]]</f>
        <v>1</v>
      </c>
      <c r="H2114" t="str">
        <f>MID(Table132[[#This Row],[ÉTAT]],VALUE(RIGHT(Table132[[#This Row],[next move]],1))+1+VALUE(LEFT(Table132[[#This Row],[next move]],1))*3,1)</f>
        <v>V</v>
      </c>
      <c r="I2114" t="str">
        <f>Table132[[#This Row],[ÉTAT]]&amp;Table132[[#This Row],[next move]]</f>
        <v>VMEVVMVEV20</v>
      </c>
    </row>
    <row r="2115" spans="2:9" x14ac:dyDescent="0.25">
      <c r="B2115" t="s">
        <v>3075</v>
      </c>
      <c r="C2115" s="22" t="s">
        <v>30</v>
      </c>
      <c r="D2115">
        <v>1</v>
      </c>
      <c r="E2115">
        <v>1</v>
      </c>
      <c r="G2115" s="31">
        <f>Table132[[#This Row],[nb win]]/Table132[[#This Row],[nb play]]</f>
        <v>1</v>
      </c>
      <c r="H2115" t="str">
        <f>MID(Table132[[#This Row],[ÉTAT]],VALUE(RIGHT(Table132[[#This Row],[next move]],1))+1+VALUE(LEFT(Table132[[#This Row],[next move]],1))*3,1)</f>
        <v>V</v>
      </c>
      <c r="I2115" t="str">
        <f>Table132[[#This Row],[ÉTAT]]&amp;Table132[[#This Row],[next move]]</f>
        <v>VMEVVMMEE10</v>
      </c>
    </row>
    <row r="2116" spans="2:9" x14ac:dyDescent="0.25">
      <c r="B2116" t="s">
        <v>3147</v>
      </c>
      <c r="C2116" s="22" t="s">
        <v>29</v>
      </c>
      <c r="D2116">
        <v>2</v>
      </c>
      <c r="E2116">
        <v>2</v>
      </c>
      <c r="G2116" s="31">
        <f>Table132[[#This Row],[nb win]]/Table132[[#This Row],[nb play]]</f>
        <v>1</v>
      </c>
      <c r="H2116" t="str">
        <f>MID(Table132[[#This Row],[ÉTAT]],VALUE(RIGHT(Table132[[#This Row],[next move]],1))+1+VALUE(LEFT(Table132[[#This Row],[next move]],1))*3,1)</f>
        <v>V</v>
      </c>
      <c r="I2116" t="str">
        <f>Table132[[#This Row],[ÉTAT]]&amp;Table132[[#This Row],[next move]]</f>
        <v>VMEVVMEVV11</v>
      </c>
    </row>
    <row r="2117" spans="2:9" x14ac:dyDescent="0.25">
      <c r="B2117" t="s">
        <v>606</v>
      </c>
      <c r="C2117" s="22" t="s">
        <v>24</v>
      </c>
      <c r="D2117">
        <v>6</v>
      </c>
      <c r="G2117" s="30">
        <f>Table132[[#This Row],[nb win]]/Table132[[#This Row],[nb play]]</f>
        <v>0</v>
      </c>
      <c r="H2117" t="str">
        <f>MID(Table132[[#This Row],[ÉTAT]],VALUE(RIGHT(Table132[[#This Row],[next move]],1))+1+VALUE(LEFT(Table132[[#This Row],[next move]],1))*3,1)</f>
        <v>V</v>
      </c>
      <c r="I2117" t="str">
        <f>Table132[[#This Row],[ÉTAT]]&amp;Table132[[#This Row],[next move]]</f>
        <v>VMEVVMEEV00</v>
      </c>
    </row>
    <row r="2118" spans="2:9" x14ac:dyDescent="0.25">
      <c r="B2118" t="s">
        <v>606</v>
      </c>
      <c r="C2118" s="22" t="s">
        <v>30</v>
      </c>
      <c r="D2118">
        <v>3</v>
      </c>
      <c r="E2118">
        <v>2</v>
      </c>
      <c r="G2118" s="31">
        <f>Table132[[#This Row],[nb win]]/Table132[[#This Row],[nb play]]</f>
        <v>0.66666666666666663</v>
      </c>
      <c r="H2118" t="str">
        <f>MID(Table132[[#This Row],[ÉTAT]],VALUE(RIGHT(Table132[[#This Row],[next move]],1))+1+VALUE(LEFT(Table132[[#This Row],[next move]],1))*3,1)</f>
        <v>V</v>
      </c>
      <c r="I2118" t="str">
        <f>Table132[[#This Row],[ÉTAT]]&amp;Table132[[#This Row],[next move]]</f>
        <v>VMEVVMEEV10</v>
      </c>
    </row>
    <row r="2119" spans="2:9" x14ac:dyDescent="0.25">
      <c r="B2119" t="s">
        <v>606</v>
      </c>
      <c r="C2119" s="22" t="s">
        <v>29</v>
      </c>
      <c r="D2119">
        <v>2</v>
      </c>
      <c r="G2119" s="30">
        <f>Table132[[#This Row],[nb win]]/Table132[[#This Row],[nb play]]</f>
        <v>0</v>
      </c>
      <c r="H2119" t="str">
        <f>MID(Table132[[#This Row],[ÉTAT]],VALUE(RIGHT(Table132[[#This Row],[next move]],1))+1+VALUE(LEFT(Table132[[#This Row],[next move]],1))*3,1)</f>
        <v>V</v>
      </c>
      <c r="I2119" t="str">
        <f>Table132[[#This Row],[ÉTAT]]&amp;Table132[[#This Row],[next move]]</f>
        <v>VMEVVMEEV11</v>
      </c>
    </row>
    <row r="2120" spans="2:9" x14ac:dyDescent="0.25">
      <c r="B2120" t="s">
        <v>606</v>
      </c>
      <c r="C2120" s="22" t="s">
        <v>31</v>
      </c>
      <c r="D2120">
        <v>4</v>
      </c>
      <c r="G2120" s="30">
        <f>Table132[[#This Row],[nb win]]/Table132[[#This Row],[nb play]]</f>
        <v>0</v>
      </c>
      <c r="H2120" t="str">
        <f>MID(Table132[[#This Row],[ÉTAT]],VALUE(RIGHT(Table132[[#This Row],[next move]],1))+1+VALUE(LEFT(Table132[[#This Row],[next move]],1))*3,1)</f>
        <v>V</v>
      </c>
      <c r="I2120" t="str">
        <f>Table132[[#This Row],[ÉTAT]]&amp;Table132[[#This Row],[next move]]</f>
        <v>VMEVVMEEV22</v>
      </c>
    </row>
    <row r="2121" spans="2:9" x14ac:dyDescent="0.25">
      <c r="B2121" t="s">
        <v>3199</v>
      </c>
      <c r="C2121" s="22" t="s">
        <v>24</v>
      </c>
      <c r="D2121">
        <v>1</v>
      </c>
      <c r="G2121" s="30">
        <f>Table132[[#This Row],[nb win]]/Table132[[#This Row],[nb play]]</f>
        <v>0</v>
      </c>
      <c r="H2121" t="str">
        <f>MID(Table132[[#This Row],[ÉTAT]],VALUE(RIGHT(Table132[[#This Row],[next move]],1))+1+VALUE(LEFT(Table132[[#This Row],[next move]],1))*3,1)</f>
        <v>V</v>
      </c>
      <c r="I2121" t="str">
        <f>Table132[[#This Row],[ÉTAT]]&amp;Table132[[#This Row],[next move]]</f>
        <v>VMEVVEVVV00</v>
      </c>
    </row>
    <row r="2122" spans="2:9" x14ac:dyDescent="0.25">
      <c r="B2122" t="s">
        <v>3199</v>
      </c>
      <c r="C2122" s="22" t="s">
        <v>30</v>
      </c>
      <c r="D2122">
        <v>1</v>
      </c>
      <c r="G2122" s="30">
        <f>Table132[[#This Row],[nb win]]/Table132[[#This Row],[nb play]]</f>
        <v>0</v>
      </c>
      <c r="H2122" t="str">
        <f>MID(Table132[[#This Row],[ÉTAT]],VALUE(RIGHT(Table132[[#This Row],[next move]],1))+1+VALUE(LEFT(Table132[[#This Row],[next move]],1))*3,1)</f>
        <v>V</v>
      </c>
      <c r="I2122" t="str">
        <f>Table132[[#This Row],[ÉTAT]]&amp;Table132[[#This Row],[next move]]</f>
        <v>VMEVVEVVV10</v>
      </c>
    </row>
    <row r="2123" spans="2:9" x14ac:dyDescent="0.25">
      <c r="B2123" t="s">
        <v>3199</v>
      </c>
      <c r="C2123" s="22" t="s">
        <v>29</v>
      </c>
      <c r="D2123">
        <v>1</v>
      </c>
      <c r="G2123" s="30">
        <f>Table132[[#This Row],[nb win]]/Table132[[#This Row],[nb play]]</f>
        <v>0</v>
      </c>
      <c r="H2123" t="str">
        <f>MID(Table132[[#This Row],[ÉTAT]],VALUE(RIGHT(Table132[[#This Row],[next move]],1))+1+VALUE(LEFT(Table132[[#This Row],[next move]],1))*3,1)</f>
        <v>V</v>
      </c>
      <c r="I2123" t="str">
        <f>Table132[[#This Row],[ÉTAT]]&amp;Table132[[#This Row],[next move]]</f>
        <v>VMEVVEVVV11</v>
      </c>
    </row>
    <row r="2124" spans="2:9" x14ac:dyDescent="0.25">
      <c r="B2124" t="s">
        <v>3199</v>
      </c>
      <c r="C2124" s="22" t="s">
        <v>22</v>
      </c>
      <c r="D2124">
        <v>1</v>
      </c>
      <c r="G2124" s="30">
        <f>Table132[[#This Row],[nb win]]/Table132[[#This Row],[nb play]]</f>
        <v>0</v>
      </c>
      <c r="H2124" t="str">
        <f>MID(Table132[[#This Row],[ÉTAT]],VALUE(RIGHT(Table132[[#This Row],[next move]],1))+1+VALUE(LEFT(Table132[[#This Row],[next move]],1))*3,1)</f>
        <v>V</v>
      </c>
      <c r="I2124" t="str">
        <f>Table132[[#This Row],[ÉTAT]]&amp;Table132[[#This Row],[next move]]</f>
        <v>VMEVVEVVV21</v>
      </c>
    </row>
    <row r="2125" spans="2:9" x14ac:dyDescent="0.25">
      <c r="B2125" t="s">
        <v>869</v>
      </c>
      <c r="C2125" s="22" t="s">
        <v>35</v>
      </c>
      <c r="D2125">
        <v>3</v>
      </c>
      <c r="E2125">
        <v>3</v>
      </c>
      <c r="G2125" s="25">
        <f>Table132[[#This Row],[nb win]]/Table132[[#This Row],[nb play]]</f>
        <v>1</v>
      </c>
      <c r="H2125" t="str">
        <f>MID(Table132[[#This Row],[ÉTAT]],VALUE(RIGHT(Table132[[#This Row],[next move]],1))+1+VALUE(LEFT(Table132[[#This Row],[next move]],1))*3,1)</f>
        <v>V</v>
      </c>
      <c r="I2125" t="str">
        <f>Table132[[#This Row],[ÉTAT]]&amp;Table132[[#This Row],[next move]]</f>
        <v>VMEVVEVVM20</v>
      </c>
    </row>
    <row r="2126" spans="2:9" x14ac:dyDescent="0.25">
      <c r="B2126" t="s">
        <v>869</v>
      </c>
      <c r="C2126" s="22" t="s">
        <v>22</v>
      </c>
      <c r="D2126">
        <v>4</v>
      </c>
      <c r="E2126">
        <v>3</v>
      </c>
      <c r="G2126" s="31">
        <f>Table132[[#This Row],[nb win]]/Table132[[#This Row],[nb play]]</f>
        <v>0.75</v>
      </c>
      <c r="H2126" t="str">
        <f>MID(Table132[[#This Row],[ÉTAT]],VALUE(RIGHT(Table132[[#This Row],[next move]],1))+1+VALUE(LEFT(Table132[[#This Row],[next move]],1))*3,1)</f>
        <v>V</v>
      </c>
      <c r="I2126" t="str">
        <f>Table132[[#This Row],[ÉTAT]]&amp;Table132[[#This Row],[next move]]</f>
        <v>VMEVVEVVM21</v>
      </c>
    </row>
    <row r="2127" spans="2:9" x14ac:dyDescent="0.25">
      <c r="B2127" t="s">
        <v>1106</v>
      </c>
      <c r="C2127" s="22" t="s">
        <v>30</v>
      </c>
      <c r="D2127">
        <v>3</v>
      </c>
      <c r="E2127">
        <v>2</v>
      </c>
      <c r="G2127" s="25">
        <f>Table132[[#This Row],[nb win]]/Table132[[#This Row],[nb play]]</f>
        <v>0.66666666666666663</v>
      </c>
      <c r="H2127" t="str">
        <f>MID(Table132[[#This Row],[ÉTAT]],VALUE(RIGHT(Table132[[#This Row],[next move]],1))+1+VALUE(LEFT(Table132[[#This Row],[next move]],1))*3,1)</f>
        <v>V</v>
      </c>
      <c r="I2127" t="str">
        <f>Table132[[#This Row],[ÉTAT]]&amp;Table132[[#This Row],[next move]]</f>
        <v>VMEVVEVMV10</v>
      </c>
    </row>
    <row r="2128" spans="2:9" x14ac:dyDescent="0.25">
      <c r="B2128" t="s">
        <v>1106</v>
      </c>
      <c r="C2128" s="22" t="s">
        <v>31</v>
      </c>
      <c r="D2128">
        <v>2</v>
      </c>
      <c r="E2128">
        <v>2</v>
      </c>
      <c r="G2128" s="31">
        <f>Table132[[#This Row],[nb win]]/Table132[[#This Row],[nb play]]</f>
        <v>1</v>
      </c>
      <c r="H2128" t="str">
        <f>MID(Table132[[#This Row],[ÉTAT]],VALUE(RIGHT(Table132[[#This Row],[next move]],1))+1+VALUE(LEFT(Table132[[#This Row],[next move]],1))*3,1)</f>
        <v>V</v>
      </c>
      <c r="I2128" t="str">
        <f>Table132[[#This Row],[ÉTAT]]&amp;Table132[[#This Row],[next move]]</f>
        <v>VMEVVEVMV22</v>
      </c>
    </row>
    <row r="2129" spans="2:9" x14ac:dyDescent="0.25">
      <c r="B2129" t="s">
        <v>2764</v>
      </c>
      <c r="C2129" s="22" t="s">
        <v>29</v>
      </c>
      <c r="D2129">
        <v>5</v>
      </c>
      <c r="G2129" s="30">
        <f>Table132[[#This Row],[nb win]]/Table132[[#This Row],[nb play]]</f>
        <v>0</v>
      </c>
      <c r="H2129" t="str">
        <f>MID(Table132[[#This Row],[ÉTAT]],VALUE(RIGHT(Table132[[#This Row],[next move]],1))+1+VALUE(LEFT(Table132[[#This Row],[next move]],1))*3,1)</f>
        <v>V</v>
      </c>
      <c r="I2129" t="str">
        <f>Table132[[#This Row],[ÉTAT]]&amp;Table132[[#This Row],[next move]]</f>
        <v>VMEVVEMVV11</v>
      </c>
    </row>
    <row r="2130" spans="2:9" x14ac:dyDescent="0.25">
      <c r="B2130" t="s">
        <v>2764</v>
      </c>
      <c r="C2130" s="22" t="s">
        <v>31</v>
      </c>
      <c r="D2130">
        <v>1</v>
      </c>
      <c r="E2130">
        <v>1</v>
      </c>
      <c r="G2130" s="31">
        <f>Table132[[#This Row],[nb win]]/Table132[[#This Row],[nb play]]</f>
        <v>1</v>
      </c>
      <c r="H2130" t="str">
        <f>MID(Table132[[#This Row],[ÉTAT]],VALUE(RIGHT(Table132[[#This Row],[next move]],1))+1+VALUE(LEFT(Table132[[#This Row],[next move]],1))*3,1)</f>
        <v>V</v>
      </c>
      <c r="I2130" t="str">
        <f>Table132[[#This Row],[ÉTAT]]&amp;Table132[[#This Row],[next move]]</f>
        <v>VMEVVEMVV22</v>
      </c>
    </row>
    <row r="2131" spans="2:9" x14ac:dyDescent="0.25">
      <c r="B2131" t="s">
        <v>2250</v>
      </c>
      <c r="C2131" s="22" t="s">
        <v>24</v>
      </c>
      <c r="D2131">
        <v>1</v>
      </c>
      <c r="G2131" s="25">
        <f>Table132[[#This Row],[nb win]]/Table132[[#This Row],[nb play]]</f>
        <v>0</v>
      </c>
      <c r="H2131" t="str">
        <f>MID(Table132[[#This Row],[ÉTAT]],VALUE(RIGHT(Table132[[#This Row],[next move]],1))+1+VALUE(LEFT(Table132[[#This Row],[next move]],1))*3,1)</f>
        <v>V</v>
      </c>
      <c r="I2131" t="str">
        <f>Table132[[#This Row],[ÉTAT]]&amp;Table132[[#This Row],[next move]]</f>
        <v>VMEVVEMEV00</v>
      </c>
    </row>
    <row r="2132" spans="2:9" x14ac:dyDescent="0.25">
      <c r="B2132" t="s">
        <v>2250</v>
      </c>
      <c r="C2132" s="22" t="s">
        <v>30</v>
      </c>
      <c r="D2132">
        <v>1</v>
      </c>
      <c r="E2132">
        <v>1</v>
      </c>
      <c r="G2132" s="31">
        <f>Table132[[#This Row],[nb win]]/Table132[[#This Row],[nb play]]</f>
        <v>1</v>
      </c>
      <c r="H2132" t="str">
        <f>MID(Table132[[#This Row],[ÉTAT]],VALUE(RIGHT(Table132[[#This Row],[next move]],1))+1+VALUE(LEFT(Table132[[#This Row],[next move]],1))*3,1)</f>
        <v>V</v>
      </c>
      <c r="I2132" t="str">
        <f>Table132[[#This Row],[ÉTAT]]&amp;Table132[[#This Row],[next move]]</f>
        <v>VMEVVEMEV10</v>
      </c>
    </row>
    <row r="2133" spans="2:9" x14ac:dyDescent="0.25">
      <c r="B2133" t="s">
        <v>3113</v>
      </c>
      <c r="C2133" s="22" t="s">
        <v>30</v>
      </c>
      <c r="D2133">
        <v>1</v>
      </c>
      <c r="E2133">
        <v>1</v>
      </c>
      <c r="G2133" s="31">
        <f>Table132[[#This Row],[nb win]]/Table132[[#This Row],[nb play]]</f>
        <v>1</v>
      </c>
      <c r="H2133" t="str">
        <f>MID(Table132[[#This Row],[ÉTAT]],VALUE(RIGHT(Table132[[#This Row],[next move]],1))+1+VALUE(LEFT(Table132[[#This Row],[next move]],1))*3,1)</f>
        <v>V</v>
      </c>
      <c r="I2133" t="str">
        <f>Table132[[#This Row],[ÉTAT]]&amp;Table132[[#This Row],[next move]]</f>
        <v>VMEVVEMEM10</v>
      </c>
    </row>
    <row r="2134" spans="2:9" x14ac:dyDescent="0.25">
      <c r="B2134" t="s">
        <v>3404</v>
      </c>
      <c r="C2134" s="22" t="s">
        <v>24</v>
      </c>
      <c r="D2134">
        <v>1</v>
      </c>
      <c r="E2134">
        <v>1</v>
      </c>
      <c r="G2134" s="31">
        <f>Table132[[#This Row],[nb win]]/Table132[[#This Row],[nb play]]</f>
        <v>1</v>
      </c>
      <c r="H2134" t="str">
        <f>MID(Table132[[#This Row],[ÉTAT]],VALUE(RIGHT(Table132[[#This Row],[next move]],1))+1+VALUE(LEFT(Table132[[#This Row],[next move]],1))*3,1)</f>
        <v>V</v>
      </c>
      <c r="I2134" t="str">
        <f>Table132[[#This Row],[ÉTAT]]&amp;Table132[[#This Row],[next move]]</f>
        <v>VMEVVEEMV00</v>
      </c>
    </row>
    <row r="2135" spans="2:9" x14ac:dyDescent="0.25">
      <c r="B2135" t="s">
        <v>871</v>
      </c>
      <c r="C2135" s="22" t="s">
        <v>29</v>
      </c>
      <c r="D2135">
        <v>1</v>
      </c>
      <c r="E2135">
        <v>1</v>
      </c>
      <c r="G2135" s="25">
        <f>Table132[[#This Row],[nb win]]/Table132[[#This Row],[nb play]]</f>
        <v>1</v>
      </c>
      <c r="H2135" t="str">
        <f>MID(Table132[[#This Row],[ÉTAT]],VALUE(RIGHT(Table132[[#This Row],[next move]],1))+1+VALUE(LEFT(Table132[[#This Row],[next move]],1))*3,1)</f>
        <v>V</v>
      </c>
      <c r="I2135" t="str">
        <f>Table132[[#This Row],[ÉTAT]]&amp;Table132[[#This Row],[next move]]</f>
        <v>VMEVVEEMM11</v>
      </c>
    </row>
    <row r="2136" spans="2:9" x14ac:dyDescent="0.25">
      <c r="B2136" t="s">
        <v>2626</v>
      </c>
      <c r="C2136" s="22" t="s">
        <v>22</v>
      </c>
      <c r="D2136">
        <v>3</v>
      </c>
      <c r="E2136">
        <v>3</v>
      </c>
      <c r="G2136" s="31">
        <f>Table132[[#This Row],[nb win]]/Table132[[#This Row],[nb play]]</f>
        <v>1</v>
      </c>
      <c r="H2136" t="str">
        <f>MID(Table132[[#This Row],[ÉTAT]],VALUE(RIGHT(Table132[[#This Row],[next move]],1))+1+VALUE(LEFT(Table132[[#This Row],[next move]],1))*3,1)</f>
        <v>V</v>
      </c>
      <c r="I2136" t="str">
        <f>Table132[[#This Row],[ÉTAT]]&amp;Table132[[#This Row],[next move]]</f>
        <v>VMEVMVVVE21</v>
      </c>
    </row>
    <row r="2137" spans="2:9" x14ac:dyDescent="0.25">
      <c r="B2137" t="s">
        <v>2634</v>
      </c>
      <c r="C2137" s="22" t="s">
        <v>24</v>
      </c>
      <c r="D2137">
        <v>5</v>
      </c>
      <c r="G2137" s="30">
        <f>Table132[[#This Row],[nb win]]/Table132[[#This Row],[nb play]]</f>
        <v>0</v>
      </c>
      <c r="H2137" t="str">
        <f>MID(Table132[[#This Row],[ÉTAT]],VALUE(RIGHT(Table132[[#This Row],[next move]],1))+1+VALUE(LEFT(Table132[[#This Row],[next move]],1))*3,1)</f>
        <v>V</v>
      </c>
      <c r="I2137" t="str">
        <f>Table132[[#This Row],[ÉTAT]]&amp;Table132[[#This Row],[next move]]</f>
        <v>VMEVMVVEV00</v>
      </c>
    </row>
    <row r="2138" spans="2:9" x14ac:dyDescent="0.25">
      <c r="B2138" t="s">
        <v>2634</v>
      </c>
      <c r="C2138" s="22" t="s">
        <v>31</v>
      </c>
      <c r="D2138">
        <v>3</v>
      </c>
      <c r="E2138">
        <v>3</v>
      </c>
      <c r="G2138" s="25">
        <f>Table132[[#This Row],[nb win]]/Table132[[#This Row],[nb play]]</f>
        <v>1</v>
      </c>
      <c r="H2138" t="str">
        <f>MID(Table132[[#This Row],[ÉTAT]],VALUE(RIGHT(Table132[[#This Row],[next move]],1))+1+VALUE(LEFT(Table132[[#This Row],[next move]],1))*3,1)</f>
        <v>V</v>
      </c>
      <c r="I2138" t="str">
        <f>Table132[[#This Row],[ÉTAT]]&amp;Table132[[#This Row],[next move]]</f>
        <v>VMEVMVVEV22</v>
      </c>
    </row>
    <row r="2139" spans="2:9" x14ac:dyDescent="0.25">
      <c r="B2139" t="s">
        <v>2242</v>
      </c>
      <c r="C2139" s="22" t="s">
        <v>24</v>
      </c>
      <c r="D2139">
        <v>1</v>
      </c>
      <c r="G2139" s="25">
        <f>Table132[[#This Row],[nb win]]/Table132[[#This Row],[nb play]]</f>
        <v>0</v>
      </c>
      <c r="H2139" t="str">
        <f>MID(Table132[[#This Row],[ÉTAT]],VALUE(RIGHT(Table132[[#This Row],[next move]],1))+1+VALUE(LEFT(Table132[[#This Row],[next move]],1))*3,1)</f>
        <v>V</v>
      </c>
      <c r="I2139" t="str">
        <f>Table132[[#This Row],[ÉTAT]]&amp;Table132[[#This Row],[next move]]</f>
        <v>VMEVMVVEE00</v>
      </c>
    </row>
    <row r="2140" spans="2:9" x14ac:dyDescent="0.25">
      <c r="B2140" t="s">
        <v>2242</v>
      </c>
      <c r="C2140" s="22" t="s">
        <v>30</v>
      </c>
      <c r="D2140">
        <v>1</v>
      </c>
      <c r="E2140">
        <v>1</v>
      </c>
      <c r="G2140" s="31">
        <f>Table132[[#This Row],[nb win]]/Table132[[#This Row],[nb play]]</f>
        <v>1</v>
      </c>
      <c r="H2140" t="str">
        <f>MID(Table132[[#This Row],[ÉTAT]],VALUE(RIGHT(Table132[[#This Row],[next move]],1))+1+VALUE(LEFT(Table132[[#This Row],[next move]],1))*3,1)</f>
        <v>V</v>
      </c>
      <c r="I2140" t="str">
        <f>Table132[[#This Row],[ÉTAT]]&amp;Table132[[#This Row],[next move]]</f>
        <v>VMEVMVVEE10</v>
      </c>
    </row>
    <row r="2141" spans="2:9" x14ac:dyDescent="0.25">
      <c r="B2141" t="s">
        <v>2242</v>
      </c>
      <c r="C2141" s="22" t="s">
        <v>35</v>
      </c>
      <c r="D2141">
        <v>1</v>
      </c>
      <c r="G2141" s="25">
        <f>Table132[[#This Row],[nb win]]/Table132[[#This Row],[nb play]]</f>
        <v>0</v>
      </c>
      <c r="H2141" t="str">
        <f>MID(Table132[[#This Row],[ÉTAT]],VALUE(RIGHT(Table132[[#This Row],[next move]],1))+1+VALUE(LEFT(Table132[[#This Row],[next move]],1))*3,1)</f>
        <v>V</v>
      </c>
      <c r="I2141" t="str">
        <f>Table132[[#This Row],[ÉTAT]]&amp;Table132[[#This Row],[next move]]</f>
        <v>VMEVMVVEE20</v>
      </c>
    </row>
    <row r="2142" spans="2:9" x14ac:dyDescent="0.25">
      <c r="B2142" t="s">
        <v>96</v>
      </c>
      <c r="C2142" s="22" t="s">
        <v>24</v>
      </c>
      <c r="D2142">
        <v>1</v>
      </c>
      <c r="G2142" s="25">
        <f>Table132[[#This Row],[nb win]]/Table132[[#This Row],[nb play]]</f>
        <v>0</v>
      </c>
      <c r="H2142" t="str">
        <f>MID(Table132[[#This Row],[ÉTAT]],VALUE(RIGHT(Table132[[#This Row],[next move]],1))+1+VALUE(LEFT(Table132[[#This Row],[next move]],1))*3,1)</f>
        <v>V</v>
      </c>
      <c r="I2142" t="str">
        <f>Table132[[#This Row],[ÉTAT]]&amp;Table132[[#This Row],[next move]]</f>
        <v>VMEVMVMEE00</v>
      </c>
    </row>
    <row r="2143" spans="2:9" x14ac:dyDescent="0.25">
      <c r="B2143" t="s">
        <v>96</v>
      </c>
      <c r="C2143" s="22" t="s">
        <v>30</v>
      </c>
      <c r="D2143">
        <v>1</v>
      </c>
      <c r="G2143" s="25">
        <f>Table132[[#This Row],[nb win]]/Table132[[#This Row],[nb play]]</f>
        <v>0</v>
      </c>
      <c r="H2143" t="str">
        <f>MID(Table132[[#This Row],[ÉTAT]],VALUE(RIGHT(Table132[[#This Row],[next move]],1))+1+VALUE(LEFT(Table132[[#This Row],[next move]],1))*3,1)</f>
        <v>V</v>
      </c>
      <c r="I2143" t="str">
        <f>Table132[[#This Row],[ÉTAT]]&amp;Table132[[#This Row],[next move]]</f>
        <v>VMEVMVMEE10</v>
      </c>
    </row>
    <row r="2144" spans="2:9" x14ac:dyDescent="0.25">
      <c r="B2144" t="s">
        <v>96</v>
      </c>
      <c r="C2144" s="22" t="s">
        <v>28</v>
      </c>
      <c r="D2144">
        <v>1</v>
      </c>
      <c r="E2144">
        <v>1</v>
      </c>
      <c r="G2144" s="31">
        <f>Table132[[#This Row],[nb win]]/Table132[[#This Row],[nb play]]</f>
        <v>1</v>
      </c>
      <c r="H2144" t="str">
        <f>MID(Table132[[#This Row],[ÉTAT]],VALUE(RIGHT(Table132[[#This Row],[next move]],1))+1+VALUE(LEFT(Table132[[#This Row],[next move]],1))*3,1)</f>
        <v>V</v>
      </c>
      <c r="I2144" t="str">
        <f>Table132[[#This Row],[ÉTAT]]&amp;Table132[[#This Row],[next move]]</f>
        <v>VMEVMVMEE12</v>
      </c>
    </row>
    <row r="2145" spans="2:9" x14ac:dyDescent="0.25">
      <c r="B2145" t="s">
        <v>2179</v>
      </c>
      <c r="C2145" s="22" t="s">
        <v>24</v>
      </c>
      <c r="D2145">
        <v>2</v>
      </c>
      <c r="G2145" s="25">
        <f>Table132[[#This Row],[nb win]]/Table132[[#This Row],[nb play]]</f>
        <v>0</v>
      </c>
      <c r="H2145" t="str">
        <f>MID(Table132[[#This Row],[ÉTAT]],VALUE(RIGHT(Table132[[#This Row],[next move]],1))+1+VALUE(LEFT(Table132[[#This Row],[next move]],1))*3,1)</f>
        <v>V</v>
      </c>
      <c r="I2145" t="str">
        <f>Table132[[#This Row],[ÉTAT]]&amp;Table132[[#This Row],[next move]]</f>
        <v>VMEVMVEVV00</v>
      </c>
    </row>
    <row r="2146" spans="2:9" x14ac:dyDescent="0.25">
      <c r="B2146" t="s">
        <v>2179</v>
      </c>
      <c r="C2146" s="22" t="s">
        <v>30</v>
      </c>
      <c r="D2146">
        <v>5</v>
      </c>
      <c r="E2146">
        <v>5</v>
      </c>
      <c r="G2146" s="31">
        <f>Table132[[#This Row],[nb win]]/Table132[[#This Row],[nb play]]</f>
        <v>1</v>
      </c>
      <c r="H2146" t="str">
        <f>MID(Table132[[#This Row],[ÉTAT]],VALUE(RIGHT(Table132[[#This Row],[next move]],1))+1+VALUE(LEFT(Table132[[#This Row],[next move]],1))*3,1)</f>
        <v>V</v>
      </c>
      <c r="I2146" t="str">
        <f>Table132[[#This Row],[ÉTAT]]&amp;Table132[[#This Row],[next move]]</f>
        <v>VMEVMVEVV10</v>
      </c>
    </row>
    <row r="2147" spans="2:9" x14ac:dyDescent="0.25">
      <c r="B2147" t="s">
        <v>1349</v>
      </c>
      <c r="C2147" s="22" t="s">
        <v>24</v>
      </c>
      <c r="D2147">
        <v>1</v>
      </c>
      <c r="G2147" s="25">
        <f>Table132[[#This Row],[nb win]]/Table132[[#This Row],[nb play]]</f>
        <v>0</v>
      </c>
      <c r="H2147" t="str">
        <f>MID(Table132[[#This Row],[ÉTAT]],VALUE(RIGHT(Table132[[#This Row],[next move]],1))+1+VALUE(LEFT(Table132[[#This Row],[next move]],1))*3,1)</f>
        <v>V</v>
      </c>
      <c r="I2147" t="str">
        <f>Table132[[#This Row],[ÉTAT]]&amp;Table132[[#This Row],[next move]]</f>
        <v>VMEVMVEEV00</v>
      </c>
    </row>
    <row r="2148" spans="2:9" x14ac:dyDescent="0.25">
      <c r="B2148" t="s">
        <v>1349</v>
      </c>
      <c r="C2148" s="22" t="s">
        <v>28</v>
      </c>
      <c r="D2148">
        <v>1</v>
      </c>
      <c r="G2148" s="25">
        <f>Table132[[#This Row],[nb win]]/Table132[[#This Row],[nb play]]</f>
        <v>0</v>
      </c>
      <c r="H2148" t="str">
        <f>MID(Table132[[#This Row],[ÉTAT]],VALUE(RIGHT(Table132[[#This Row],[next move]],1))+1+VALUE(LEFT(Table132[[#This Row],[next move]],1))*3,1)</f>
        <v>V</v>
      </c>
      <c r="I2148" t="str">
        <f>Table132[[#This Row],[ÉTAT]]&amp;Table132[[#This Row],[next move]]</f>
        <v>VMEVMVEEV12</v>
      </c>
    </row>
    <row r="2149" spans="2:9" x14ac:dyDescent="0.25">
      <c r="B2149" t="s">
        <v>1349</v>
      </c>
      <c r="C2149" s="22" t="s">
        <v>31</v>
      </c>
      <c r="D2149">
        <v>1</v>
      </c>
      <c r="E2149">
        <v>1</v>
      </c>
      <c r="G2149" s="31">
        <f>Table132[[#This Row],[nb win]]/Table132[[#This Row],[nb play]]</f>
        <v>1</v>
      </c>
      <c r="H2149" t="str">
        <f>MID(Table132[[#This Row],[ÉTAT]],VALUE(RIGHT(Table132[[#This Row],[next move]],1))+1+VALUE(LEFT(Table132[[#This Row],[next move]],1))*3,1)</f>
        <v>V</v>
      </c>
      <c r="I2149" t="str">
        <f>Table132[[#This Row],[ÉTAT]]&amp;Table132[[#This Row],[next move]]</f>
        <v>VMEVMVEEV22</v>
      </c>
    </row>
    <row r="2150" spans="2:9" x14ac:dyDescent="0.25">
      <c r="B2150" t="s">
        <v>830</v>
      </c>
      <c r="C2150" s="22" t="s">
        <v>24</v>
      </c>
      <c r="D2150">
        <v>6</v>
      </c>
      <c r="E2150">
        <v>6</v>
      </c>
      <c r="G2150" s="31">
        <f>Table132[[#This Row],[nb win]]/Table132[[#This Row],[nb play]]</f>
        <v>1</v>
      </c>
      <c r="H2150" t="str">
        <f>MID(Table132[[#This Row],[ÉTAT]],VALUE(RIGHT(Table132[[#This Row],[next move]],1))+1+VALUE(LEFT(Table132[[#This Row],[next move]],1))*3,1)</f>
        <v>V</v>
      </c>
      <c r="I2150" t="str">
        <f>Table132[[#This Row],[ÉTAT]]&amp;Table132[[#This Row],[next move]]</f>
        <v>VMEVMVEEM00</v>
      </c>
    </row>
    <row r="2151" spans="2:9" x14ac:dyDescent="0.25">
      <c r="B2151" t="s">
        <v>3466</v>
      </c>
      <c r="C2151" s="22" t="s">
        <v>22</v>
      </c>
      <c r="D2151">
        <v>1</v>
      </c>
      <c r="E2151">
        <v>1</v>
      </c>
      <c r="G2151" s="31">
        <f>Table132[[#This Row],[nb win]]/Table132[[#This Row],[nb play]]</f>
        <v>1</v>
      </c>
      <c r="H2151" t="str">
        <f>MID(Table132[[#This Row],[ÉTAT]],VALUE(RIGHT(Table132[[#This Row],[next move]],1))+1+VALUE(LEFT(Table132[[#This Row],[next move]],1))*3,1)</f>
        <v>V</v>
      </c>
      <c r="I2151" t="str">
        <f>Table132[[#This Row],[ÉTAT]]&amp;Table132[[#This Row],[next move]]</f>
        <v>VMEVMMEVE21</v>
      </c>
    </row>
    <row r="2152" spans="2:9" x14ac:dyDescent="0.25">
      <c r="B2152" t="s">
        <v>3342</v>
      </c>
      <c r="C2152" s="22" t="s">
        <v>31</v>
      </c>
      <c r="D2152">
        <v>2</v>
      </c>
      <c r="E2152">
        <v>2</v>
      </c>
      <c r="G2152" s="31">
        <f>Table132[[#This Row],[nb win]]/Table132[[#This Row],[nb play]]</f>
        <v>1</v>
      </c>
      <c r="H2152" t="str">
        <f>MID(Table132[[#This Row],[ÉTAT]],VALUE(RIGHT(Table132[[#This Row],[next move]],1))+1+VALUE(LEFT(Table132[[#This Row],[next move]],1))*3,1)</f>
        <v>V</v>
      </c>
      <c r="I2152" t="str">
        <f>Table132[[#This Row],[ÉTAT]]&amp;Table132[[#This Row],[next move]]</f>
        <v>VMEVMMEEV22</v>
      </c>
    </row>
    <row r="2153" spans="2:9" x14ac:dyDescent="0.25">
      <c r="B2153" t="s">
        <v>1924</v>
      </c>
      <c r="C2153" s="22" t="s">
        <v>31</v>
      </c>
      <c r="D2153">
        <v>7</v>
      </c>
      <c r="E2153">
        <v>7</v>
      </c>
      <c r="G2153" s="31">
        <f>Table132[[#This Row],[nb win]]/Table132[[#This Row],[nb play]]</f>
        <v>1</v>
      </c>
      <c r="H2153" t="str">
        <f>MID(Table132[[#This Row],[ÉTAT]],VALUE(RIGHT(Table132[[#This Row],[next move]],1))+1+VALUE(LEFT(Table132[[#This Row],[next move]],1))*3,1)</f>
        <v>V</v>
      </c>
      <c r="I2153" t="str">
        <f>Table132[[#This Row],[ÉTAT]]&amp;Table132[[#This Row],[next move]]</f>
        <v>VMEVMEVVV22</v>
      </c>
    </row>
    <row r="2154" spans="2:9" x14ac:dyDescent="0.25">
      <c r="B2154" t="s">
        <v>1250</v>
      </c>
      <c r="C2154" s="22" t="s">
        <v>30</v>
      </c>
      <c r="D2154">
        <v>1</v>
      </c>
      <c r="G2154" s="25">
        <f>Table132[[#This Row],[nb win]]/Table132[[#This Row],[nb play]]</f>
        <v>0</v>
      </c>
      <c r="H2154" t="str">
        <f>MID(Table132[[#This Row],[ÉTAT]],VALUE(RIGHT(Table132[[#This Row],[next move]],1))+1+VALUE(LEFT(Table132[[#This Row],[next move]],1))*3,1)</f>
        <v>V</v>
      </c>
      <c r="I2154" t="str">
        <f>Table132[[#This Row],[ÉTAT]]&amp;Table132[[#This Row],[next move]]</f>
        <v>VMEVMEVEV10</v>
      </c>
    </row>
    <row r="2155" spans="2:9" x14ac:dyDescent="0.25">
      <c r="B2155" t="s">
        <v>1250</v>
      </c>
      <c r="C2155" s="22" t="s">
        <v>35</v>
      </c>
      <c r="D2155">
        <v>1</v>
      </c>
      <c r="G2155" s="25">
        <f>Table132[[#This Row],[nb win]]/Table132[[#This Row],[nb play]]</f>
        <v>0</v>
      </c>
      <c r="H2155" t="str">
        <f>MID(Table132[[#This Row],[ÉTAT]],VALUE(RIGHT(Table132[[#This Row],[next move]],1))+1+VALUE(LEFT(Table132[[#This Row],[next move]],1))*3,1)</f>
        <v>V</v>
      </c>
      <c r="I2155" t="str">
        <f>Table132[[#This Row],[ÉTAT]]&amp;Table132[[#This Row],[next move]]</f>
        <v>VMEVMEVEV20</v>
      </c>
    </row>
    <row r="2156" spans="2:9" x14ac:dyDescent="0.25">
      <c r="B2156" t="s">
        <v>1250</v>
      </c>
      <c r="C2156" s="22" t="s">
        <v>31</v>
      </c>
      <c r="D2156">
        <v>1</v>
      </c>
      <c r="E2156">
        <v>1</v>
      </c>
      <c r="G2156" s="25">
        <f>Table132[[#This Row],[nb win]]/Table132[[#This Row],[nb play]]</f>
        <v>1</v>
      </c>
      <c r="H2156" t="str">
        <f>MID(Table132[[#This Row],[ÉTAT]],VALUE(RIGHT(Table132[[#This Row],[next move]],1))+1+VALUE(LEFT(Table132[[#This Row],[next move]],1))*3,1)</f>
        <v>V</v>
      </c>
      <c r="I2156" t="str">
        <f>Table132[[#This Row],[ÉTAT]]&amp;Table132[[#This Row],[next move]]</f>
        <v>VMEVMEVEV22</v>
      </c>
    </row>
    <row r="2157" spans="2:9" x14ac:dyDescent="0.25">
      <c r="B2157" t="s">
        <v>2648</v>
      </c>
      <c r="C2157" s="22" t="s">
        <v>24</v>
      </c>
      <c r="D2157">
        <v>3</v>
      </c>
      <c r="E2157">
        <v>3</v>
      </c>
      <c r="G2157" s="31">
        <f>Table132[[#This Row],[nb win]]/Table132[[#This Row],[nb play]]</f>
        <v>1</v>
      </c>
      <c r="H2157" t="str">
        <f>MID(Table132[[#This Row],[ÉTAT]],VALUE(RIGHT(Table132[[#This Row],[next move]],1))+1+VALUE(LEFT(Table132[[#This Row],[next move]],1))*3,1)</f>
        <v>V</v>
      </c>
      <c r="I2157" t="str">
        <f>Table132[[#This Row],[ÉTAT]]&amp;Table132[[#This Row],[next move]]</f>
        <v>VMEVMEVEM00</v>
      </c>
    </row>
    <row r="2158" spans="2:9" x14ac:dyDescent="0.25">
      <c r="B2158" t="s">
        <v>1926</v>
      </c>
      <c r="C2158" s="22" t="s">
        <v>22</v>
      </c>
      <c r="D2158">
        <v>1</v>
      </c>
      <c r="E2158">
        <v>1</v>
      </c>
      <c r="G2158" s="25">
        <f>Table132[[#This Row],[nb win]]/Table132[[#This Row],[nb play]]</f>
        <v>1</v>
      </c>
      <c r="H2158" t="str">
        <f>MID(Table132[[#This Row],[ÉTAT]],VALUE(RIGHT(Table132[[#This Row],[next move]],1))+1+VALUE(LEFT(Table132[[#This Row],[next move]],1))*3,1)</f>
        <v>V</v>
      </c>
      <c r="I2158" t="str">
        <f>Table132[[#This Row],[ÉTAT]]&amp;Table132[[#This Row],[next move]]</f>
        <v>VMEVMEEVM21</v>
      </c>
    </row>
    <row r="2159" spans="2:9" x14ac:dyDescent="0.25">
      <c r="B2159" t="s">
        <v>2726</v>
      </c>
      <c r="C2159" s="22" t="s">
        <v>24</v>
      </c>
      <c r="D2159">
        <v>1</v>
      </c>
      <c r="E2159">
        <v>1</v>
      </c>
      <c r="G2159" s="25">
        <f>Table132[[#This Row],[nb win]]/Table132[[#This Row],[nb play]]</f>
        <v>1</v>
      </c>
      <c r="H2159" t="str">
        <f>MID(Table132[[#This Row],[ÉTAT]],VALUE(RIGHT(Table132[[#This Row],[next move]],1))+1+VALUE(LEFT(Table132[[#This Row],[next move]],1))*3,1)</f>
        <v>V</v>
      </c>
      <c r="I2159" t="str">
        <f>Table132[[#This Row],[ÉTAT]]&amp;Table132[[#This Row],[next move]]</f>
        <v>VMEVMEEEM00</v>
      </c>
    </row>
    <row r="2160" spans="2:9" x14ac:dyDescent="0.25">
      <c r="B2160" t="s">
        <v>496</v>
      </c>
      <c r="C2160" s="22" t="s">
        <v>24</v>
      </c>
      <c r="D2160">
        <v>2</v>
      </c>
      <c r="G2160" s="25">
        <f>Table132[[#This Row],[nb win]]/Table132[[#This Row],[nb play]]</f>
        <v>0</v>
      </c>
      <c r="H2160" t="str">
        <f>MID(Table132[[#This Row],[ÉTAT]],VALUE(RIGHT(Table132[[#This Row],[next move]],1))+1+VALUE(LEFT(Table132[[#This Row],[next move]],1))*3,1)</f>
        <v>V</v>
      </c>
      <c r="I2160" t="str">
        <f>Table132[[#This Row],[ÉTAT]]&amp;Table132[[#This Row],[next move]]</f>
        <v>VMEVEVVVV00</v>
      </c>
    </row>
    <row r="2161" spans="2:9" x14ac:dyDescent="0.25">
      <c r="B2161" t="s">
        <v>496</v>
      </c>
      <c r="C2161" s="22" t="s">
        <v>30</v>
      </c>
      <c r="D2161">
        <v>8</v>
      </c>
      <c r="G2161" s="25">
        <f>Table132[[#This Row],[nb win]]/Table132[[#This Row],[nb play]]</f>
        <v>0</v>
      </c>
      <c r="H2161" t="str">
        <f>MID(Table132[[#This Row],[ÉTAT]],VALUE(RIGHT(Table132[[#This Row],[next move]],1))+1+VALUE(LEFT(Table132[[#This Row],[next move]],1))*3,1)</f>
        <v>V</v>
      </c>
      <c r="I2161" t="str">
        <f>Table132[[#This Row],[ÉTAT]]&amp;Table132[[#This Row],[next move]]</f>
        <v>VMEVEVVVV10</v>
      </c>
    </row>
    <row r="2162" spans="2:9" x14ac:dyDescent="0.25">
      <c r="B2162" t="s">
        <v>496</v>
      </c>
      <c r="C2162" s="22" t="s">
        <v>35</v>
      </c>
      <c r="D2162">
        <v>3</v>
      </c>
      <c r="E2162">
        <v>2</v>
      </c>
      <c r="G2162" s="30">
        <f>Table132[[#This Row],[nb win]]/Table132[[#This Row],[nb play]]</f>
        <v>0.66666666666666663</v>
      </c>
      <c r="H2162" t="str">
        <f>MID(Table132[[#This Row],[ÉTAT]],VALUE(RIGHT(Table132[[#This Row],[next move]],1))+1+VALUE(LEFT(Table132[[#This Row],[next move]],1))*3,1)</f>
        <v>V</v>
      </c>
      <c r="I2162" t="str">
        <f>Table132[[#This Row],[ÉTAT]]&amp;Table132[[#This Row],[next move]]</f>
        <v>VMEVEVVVV20</v>
      </c>
    </row>
    <row r="2163" spans="2:9" x14ac:dyDescent="0.25">
      <c r="B2163" t="s">
        <v>496</v>
      </c>
      <c r="C2163" s="22" t="s">
        <v>22</v>
      </c>
      <c r="D2163">
        <v>7</v>
      </c>
      <c r="G2163" s="30">
        <f>Table132[[#This Row],[nb win]]/Table132[[#This Row],[nb play]]</f>
        <v>0</v>
      </c>
      <c r="H2163" t="str">
        <f>MID(Table132[[#This Row],[ÉTAT]],VALUE(RIGHT(Table132[[#This Row],[next move]],1))+1+VALUE(LEFT(Table132[[#This Row],[next move]],1))*3,1)</f>
        <v>V</v>
      </c>
      <c r="I2163" t="str">
        <f>Table132[[#This Row],[ÉTAT]]&amp;Table132[[#This Row],[next move]]</f>
        <v>VMEVEVVVV21</v>
      </c>
    </row>
    <row r="2164" spans="2:9" x14ac:dyDescent="0.25">
      <c r="B2164" t="s">
        <v>496</v>
      </c>
      <c r="C2164" s="22" t="s">
        <v>31</v>
      </c>
      <c r="D2164">
        <v>3</v>
      </c>
      <c r="E2164">
        <v>1</v>
      </c>
      <c r="G2164" s="30">
        <f>Table132[[#This Row],[nb win]]/Table132[[#This Row],[nb play]]</f>
        <v>0.33333333333333331</v>
      </c>
      <c r="H2164" t="str">
        <f>MID(Table132[[#This Row],[ÉTAT]],VALUE(RIGHT(Table132[[#This Row],[next move]],1))+1+VALUE(LEFT(Table132[[#This Row],[next move]],1))*3,1)</f>
        <v>V</v>
      </c>
      <c r="I2164" t="str">
        <f>Table132[[#This Row],[ÉTAT]]&amp;Table132[[#This Row],[next move]]</f>
        <v>VMEVEVVVV22</v>
      </c>
    </row>
    <row r="2165" spans="2:9" x14ac:dyDescent="0.25">
      <c r="B2165" t="s">
        <v>1493</v>
      </c>
      <c r="C2165" s="22" t="s">
        <v>22</v>
      </c>
      <c r="D2165">
        <v>5</v>
      </c>
      <c r="E2165">
        <v>4</v>
      </c>
      <c r="G2165" s="30">
        <f>Table132[[#This Row],[nb win]]/Table132[[#This Row],[nb play]]</f>
        <v>0.8</v>
      </c>
      <c r="H2165" t="str">
        <f>MID(Table132[[#This Row],[ÉTAT]],VALUE(RIGHT(Table132[[#This Row],[next move]],1))+1+VALUE(LEFT(Table132[[#This Row],[next move]],1))*3,1)</f>
        <v>V</v>
      </c>
      <c r="I2165" t="str">
        <f>Table132[[#This Row],[ÉTAT]]&amp;Table132[[#This Row],[next move]]</f>
        <v>VMEVEVVVM21</v>
      </c>
    </row>
    <row r="2166" spans="2:9" x14ac:dyDescent="0.25">
      <c r="B2166" t="s">
        <v>2235</v>
      </c>
      <c r="C2166" s="22" t="s">
        <v>24</v>
      </c>
      <c r="D2166">
        <v>1</v>
      </c>
      <c r="G2166" s="25">
        <f>Table132[[#This Row],[nb win]]/Table132[[#This Row],[nb play]]</f>
        <v>0</v>
      </c>
      <c r="H2166" t="str">
        <f>MID(Table132[[#This Row],[ÉTAT]],VALUE(RIGHT(Table132[[#This Row],[next move]],1))+1+VALUE(LEFT(Table132[[#This Row],[next move]],1))*3,1)</f>
        <v>V</v>
      </c>
      <c r="I2166" t="str">
        <f>Table132[[#This Row],[ÉTAT]]&amp;Table132[[#This Row],[next move]]</f>
        <v>VMEVEVVMV00</v>
      </c>
    </row>
    <row r="2167" spans="2:9" x14ac:dyDescent="0.25">
      <c r="B2167" t="s">
        <v>2235</v>
      </c>
      <c r="C2167" s="22" t="s">
        <v>30</v>
      </c>
      <c r="D2167">
        <v>1</v>
      </c>
      <c r="G2167" s="30">
        <f>Table132[[#This Row],[nb win]]/Table132[[#This Row],[nb play]]</f>
        <v>0</v>
      </c>
      <c r="H2167" t="str">
        <f>MID(Table132[[#This Row],[ÉTAT]],VALUE(RIGHT(Table132[[#This Row],[next move]],1))+1+VALUE(LEFT(Table132[[#This Row],[next move]],1))*3,1)</f>
        <v>V</v>
      </c>
      <c r="I2167" t="str">
        <f>Table132[[#This Row],[ÉTAT]]&amp;Table132[[#This Row],[next move]]</f>
        <v>VMEVEVVMV10</v>
      </c>
    </row>
    <row r="2168" spans="2:9" x14ac:dyDescent="0.25">
      <c r="B2168" t="s">
        <v>2235</v>
      </c>
      <c r="C2168" s="22" t="s">
        <v>28</v>
      </c>
      <c r="D2168">
        <v>1</v>
      </c>
      <c r="G2168" s="30">
        <f>Table132[[#This Row],[nb win]]/Table132[[#This Row],[nb play]]</f>
        <v>0</v>
      </c>
      <c r="H2168" t="str">
        <f>MID(Table132[[#This Row],[ÉTAT]],VALUE(RIGHT(Table132[[#This Row],[next move]],1))+1+VALUE(LEFT(Table132[[#This Row],[next move]],1))*3,1)</f>
        <v>V</v>
      </c>
      <c r="I2168" t="str">
        <f>Table132[[#This Row],[ÉTAT]]&amp;Table132[[#This Row],[next move]]</f>
        <v>VMEVEVVMV12</v>
      </c>
    </row>
    <row r="2169" spans="2:9" x14ac:dyDescent="0.25">
      <c r="B2169" t="s">
        <v>2235</v>
      </c>
      <c r="C2169" s="22" t="s">
        <v>35</v>
      </c>
      <c r="D2169">
        <v>1</v>
      </c>
      <c r="G2169" s="30">
        <f>Table132[[#This Row],[nb win]]/Table132[[#This Row],[nb play]]</f>
        <v>0</v>
      </c>
      <c r="H2169" t="str">
        <f>MID(Table132[[#This Row],[ÉTAT]],VALUE(RIGHT(Table132[[#This Row],[next move]],1))+1+VALUE(LEFT(Table132[[#This Row],[next move]],1))*3,1)</f>
        <v>V</v>
      </c>
      <c r="I2169" t="str">
        <f>Table132[[#This Row],[ÉTAT]]&amp;Table132[[#This Row],[next move]]</f>
        <v>VMEVEVVMV20</v>
      </c>
    </row>
    <row r="2170" spans="2:9" x14ac:dyDescent="0.25">
      <c r="B2170" t="s">
        <v>2235</v>
      </c>
      <c r="C2170" s="22" t="s">
        <v>31</v>
      </c>
      <c r="D2170">
        <v>1</v>
      </c>
      <c r="G2170" s="25">
        <f>Table132[[#This Row],[nb win]]/Table132[[#This Row],[nb play]]</f>
        <v>0</v>
      </c>
      <c r="H2170" t="str">
        <f>MID(Table132[[#This Row],[ÉTAT]],VALUE(RIGHT(Table132[[#This Row],[next move]],1))+1+VALUE(LEFT(Table132[[#This Row],[next move]],1))*3,1)</f>
        <v>V</v>
      </c>
      <c r="I2170" t="str">
        <f>Table132[[#This Row],[ÉTAT]]&amp;Table132[[#This Row],[next move]]</f>
        <v>VMEVEVVMV22</v>
      </c>
    </row>
    <row r="2171" spans="2:9" x14ac:dyDescent="0.25">
      <c r="B2171" t="s">
        <v>415</v>
      </c>
      <c r="C2171" s="22" t="s">
        <v>24</v>
      </c>
      <c r="D2171">
        <v>3</v>
      </c>
      <c r="G2171" s="30">
        <f>Table132[[#This Row],[nb win]]/Table132[[#This Row],[nb play]]</f>
        <v>0</v>
      </c>
      <c r="H2171" t="str">
        <f>MID(Table132[[#This Row],[ÉTAT]],VALUE(RIGHT(Table132[[#This Row],[next move]],1))+1+VALUE(LEFT(Table132[[#This Row],[next move]],1))*3,1)</f>
        <v>V</v>
      </c>
      <c r="I2171" t="str">
        <f>Table132[[#This Row],[ÉTAT]]&amp;Table132[[#This Row],[next move]]</f>
        <v>VMEVEVVME00</v>
      </c>
    </row>
    <row r="2172" spans="2:9" x14ac:dyDescent="0.25">
      <c r="B2172" t="s">
        <v>415</v>
      </c>
      <c r="C2172" s="22" t="s">
        <v>30</v>
      </c>
      <c r="D2172">
        <v>6</v>
      </c>
      <c r="G2172" s="30">
        <f>Table132[[#This Row],[nb win]]/Table132[[#This Row],[nb play]]</f>
        <v>0</v>
      </c>
      <c r="H2172" t="str">
        <f>MID(Table132[[#This Row],[ÉTAT]],VALUE(RIGHT(Table132[[#This Row],[next move]],1))+1+VALUE(LEFT(Table132[[#This Row],[next move]],1))*3,1)</f>
        <v>V</v>
      </c>
      <c r="I2172" t="str">
        <f>Table132[[#This Row],[ÉTAT]]&amp;Table132[[#This Row],[next move]]</f>
        <v>VMEVEVVME10</v>
      </c>
    </row>
    <row r="2173" spans="2:9" x14ac:dyDescent="0.25">
      <c r="B2173" t="s">
        <v>415</v>
      </c>
      <c r="C2173" s="22" t="s">
        <v>28</v>
      </c>
      <c r="D2173">
        <v>3</v>
      </c>
      <c r="G2173" s="25">
        <f>Table132[[#This Row],[nb win]]/Table132[[#This Row],[nb play]]</f>
        <v>0</v>
      </c>
      <c r="H2173" t="str">
        <f>MID(Table132[[#This Row],[ÉTAT]],VALUE(RIGHT(Table132[[#This Row],[next move]],1))+1+VALUE(LEFT(Table132[[#This Row],[next move]],1))*3,1)</f>
        <v>V</v>
      </c>
      <c r="I2173" t="str">
        <f>Table132[[#This Row],[ÉTAT]]&amp;Table132[[#This Row],[next move]]</f>
        <v>VMEVEVVME12</v>
      </c>
    </row>
    <row r="2174" spans="2:9" x14ac:dyDescent="0.25">
      <c r="B2174" t="s">
        <v>415</v>
      </c>
      <c r="C2174" s="22" t="s">
        <v>35</v>
      </c>
      <c r="D2174">
        <v>3</v>
      </c>
      <c r="G2174" s="25">
        <f>Table132[[#This Row],[nb win]]/Table132[[#This Row],[nb play]]</f>
        <v>0</v>
      </c>
      <c r="H2174" t="str">
        <f>MID(Table132[[#This Row],[ÉTAT]],VALUE(RIGHT(Table132[[#This Row],[next move]],1))+1+VALUE(LEFT(Table132[[#This Row],[next move]],1))*3,1)</f>
        <v>V</v>
      </c>
      <c r="I2174" t="str">
        <f>Table132[[#This Row],[ÉTAT]]&amp;Table132[[#This Row],[next move]]</f>
        <v>VMEVEVVME20</v>
      </c>
    </row>
    <row r="2175" spans="2:9" x14ac:dyDescent="0.25">
      <c r="B2175" t="s">
        <v>618</v>
      </c>
      <c r="C2175" s="22" t="s">
        <v>24</v>
      </c>
      <c r="D2175">
        <v>3</v>
      </c>
      <c r="G2175" s="30">
        <f>Table132[[#This Row],[nb win]]/Table132[[#This Row],[nb play]]</f>
        <v>0</v>
      </c>
      <c r="H2175" t="str">
        <f>MID(Table132[[#This Row],[ÉTAT]],VALUE(RIGHT(Table132[[#This Row],[next move]],1))+1+VALUE(LEFT(Table132[[#This Row],[next move]],1))*3,1)</f>
        <v>V</v>
      </c>
      <c r="I2175" t="str">
        <f>Table132[[#This Row],[ÉTAT]]&amp;Table132[[#This Row],[next move]]</f>
        <v>VMEVEVMVE00</v>
      </c>
    </row>
    <row r="2176" spans="2:9" x14ac:dyDescent="0.25">
      <c r="B2176" t="s">
        <v>618</v>
      </c>
      <c r="C2176" s="22" t="s">
        <v>30</v>
      </c>
      <c r="D2176">
        <v>1</v>
      </c>
      <c r="G2176" s="30">
        <f>Table132[[#This Row],[nb win]]/Table132[[#This Row],[nb play]]</f>
        <v>0</v>
      </c>
      <c r="H2176" t="str">
        <f>MID(Table132[[#This Row],[ÉTAT]],VALUE(RIGHT(Table132[[#This Row],[next move]],1))+1+VALUE(LEFT(Table132[[#This Row],[next move]],1))*3,1)</f>
        <v>V</v>
      </c>
      <c r="I2176" t="str">
        <f>Table132[[#This Row],[ÉTAT]]&amp;Table132[[#This Row],[next move]]</f>
        <v>VMEVEVMVE10</v>
      </c>
    </row>
    <row r="2177" spans="2:9" x14ac:dyDescent="0.25">
      <c r="B2177" t="s">
        <v>618</v>
      </c>
      <c r="C2177" s="22" t="s">
        <v>28</v>
      </c>
      <c r="D2177">
        <v>1</v>
      </c>
      <c r="G2177" s="25">
        <f>Table132[[#This Row],[nb win]]/Table132[[#This Row],[nb play]]</f>
        <v>0</v>
      </c>
      <c r="H2177" t="str">
        <f>MID(Table132[[#This Row],[ÉTAT]],VALUE(RIGHT(Table132[[#This Row],[next move]],1))+1+VALUE(LEFT(Table132[[#This Row],[next move]],1))*3,1)</f>
        <v>V</v>
      </c>
      <c r="I2177" t="str">
        <f>Table132[[#This Row],[ÉTAT]]&amp;Table132[[#This Row],[next move]]</f>
        <v>VMEVEVMVE12</v>
      </c>
    </row>
    <row r="2178" spans="2:9" x14ac:dyDescent="0.25">
      <c r="B2178" t="s">
        <v>618</v>
      </c>
      <c r="C2178" s="22" t="s">
        <v>22</v>
      </c>
      <c r="D2178">
        <v>4</v>
      </c>
      <c r="G2178" s="30">
        <f>Table132[[#This Row],[nb win]]/Table132[[#This Row],[nb play]]</f>
        <v>0</v>
      </c>
      <c r="H2178" t="str">
        <f>MID(Table132[[#This Row],[ÉTAT]],VALUE(RIGHT(Table132[[#This Row],[next move]],1))+1+VALUE(LEFT(Table132[[#This Row],[next move]],1))*3,1)</f>
        <v>V</v>
      </c>
      <c r="I2178" t="str">
        <f>Table132[[#This Row],[ÉTAT]]&amp;Table132[[#This Row],[next move]]</f>
        <v>VMEVEVMVE21</v>
      </c>
    </row>
    <row r="2179" spans="2:9" x14ac:dyDescent="0.25">
      <c r="B2179" t="s">
        <v>383</v>
      </c>
      <c r="C2179" s="22" t="s">
        <v>24</v>
      </c>
      <c r="D2179">
        <v>1</v>
      </c>
      <c r="G2179" s="25">
        <f>Table132[[#This Row],[nb win]]/Table132[[#This Row],[nb play]]</f>
        <v>0</v>
      </c>
      <c r="H2179" t="str">
        <f>MID(Table132[[#This Row],[ÉTAT]],VALUE(RIGHT(Table132[[#This Row],[next move]],1))+1+VALUE(LEFT(Table132[[#This Row],[next move]],1))*3,1)</f>
        <v>V</v>
      </c>
      <c r="I2179" t="str">
        <f>Table132[[#This Row],[ÉTAT]]&amp;Table132[[#This Row],[next move]]</f>
        <v>VMEVEVMME00</v>
      </c>
    </row>
    <row r="2180" spans="2:9" x14ac:dyDescent="0.25">
      <c r="B2180" t="s">
        <v>383</v>
      </c>
      <c r="C2180" s="22" t="s">
        <v>30</v>
      </c>
      <c r="D2180">
        <v>1</v>
      </c>
      <c r="G2180" s="30">
        <f>Table132[[#This Row],[nb win]]/Table132[[#This Row],[nb play]]</f>
        <v>0</v>
      </c>
      <c r="H2180" t="str">
        <f>MID(Table132[[#This Row],[ÉTAT]],VALUE(RIGHT(Table132[[#This Row],[next move]],1))+1+VALUE(LEFT(Table132[[#This Row],[next move]],1))*3,1)</f>
        <v>V</v>
      </c>
      <c r="I2180" t="str">
        <f>Table132[[#This Row],[ÉTAT]]&amp;Table132[[#This Row],[next move]]</f>
        <v>VMEVEVMME10</v>
      </c>
    </row>
    <row r="2181" spans="2:9" x14ac:dyDescent="0.25">
      <c r="B2181" t="s">
        <v>383</v>
      </c>
      <c r="C2181" s="22" t="s">
        <v>28</v>
      </c>
      <c r="D2181">
        <v>1</v>
      </c>
      <c r="G2181" s="25">
        <f>Table132[[#This Row],[nb win]]/Table132[[#This Row],[nb play]]</f>
        <v>0</v>
      </c>
      <c r="H2181" t="str">
        <f>MID(Table132[[#This Row],[ÉTAT]],VALUE(RIGHT(Table132[[#This Row],[next move]],1))+1+VALUE(LEFT(Table132[[#This Row],[next move]],1))*3,1)</f>
        <v>V</v>
      </c>
      <c r="I2181" t="str">
        <f>Table132[[#This Row],[ÉTAT]]&amp;Table132[[#This Row],[next move]]</f>
        <v>VMEVEVMME12</v>
      </c>
    </row>
    <row r="2182" spans="2:9" x14ac:dyDescent="0.25">
      <c r="B2182" t="s">
        <v>932</v>
      </c>
      <c r="C2182" s="22" t="s">
        <v>30</v>
      </c>
      <c r="D2182">
        <v>1</v>
      </c>
      <c r="G2182" s="25">
        <f>Table132[[#This Row],[nb win]]/Table132[[#This Row],[nb play]]</f>
        <v>0</v>
      </c>
      <c r="H2182" t="str">
        <f>MID(Table132[[#This Row],[ÉTAT]],VALUE(RIGHT(Table132[[#This Row],[next move]],1))+1+VALUE(LEFT(Table132[[#This Row],[next move]],1))*3,1)</f>
        <v>V</v>
      </c>
      <c r="I2182" t="str">
        <f>Table132[[#This Row],[ÉTAT]]&amp;Table132[[#This Row],[next move]]</f>
        <v>VMEVEVMEV10</v>
      </c>
    </row>
    <row r="2183" spans="2:9" x14ac:dyDescent="0.25">
      <c r="B2183" t="s">
        <v>2595</v>
      </c>
      <c r="C2183" s="22" t="s">
        <v>24</v>
      </c>
      <c r="D2183">
        <v>1</v>
      </c>
      <c r="G2183" s="30">
        <f>Table132[[#This Row],[nb win]]/Table132[[#This Row],[nb play]]</f>
        <v>0</v>
      </c>
      <c r="H2183" t="str">
        <f>MID(Table132[[#This Row],[ÉTAT]],VALUE(RIGHT(Table132[[#This Row],[next move]],1))+1+VALUE(LEFT(Table132[[#This Row],[next move]],1))*3,1)</f>
        <v>V</v>
      </c>
      <c r="I2183" t="str">
        <f>Table132[[#This Row],[ÉTAT]]&amp;Table132[[#This Row],[next move]]</f>
        <v>VMEVEMVVV00</v>
      </c>
    </row>
    <row r="2184" spans="2:9" x14ac:dyDescent="0.25">
      <c r="B2184" t="s">
        <v>2595</v>
      </c>
      <c r="C2184" s="22" t="s">
        <v>30</v>
      </c>
      <c r="D2184">
        <v>1</v>
      </c>
      <c r="G2184" s="30">
        <f>Table132[[#This Row],[nb win]]/Table132[[#This Row],[nb play]]</f>
        <v>0</v>
      </c>
      <c r="H2184" t="str">
        <f>MID(Table132[[#This Row],[ÉTAT]],VALUE(RIGHT(Table132[[#This Row],[next move]],1))+1+VALUE(LEFT(Table132[[#This Row],[next move]],1))*3,1)</f>
        <v>V</v>
      </c>
      <c r="I2184" t="str">
        <f>Table132[[#This Row],[ÉTAT]]&amp;Table132[[#This Row],[next move]]</f>
        <v>VMEVEMVVV10</v>
      </c>
    </row>
    <row r="2185" spans="2:9" x14ac:dyDescent="0.25">
      <c r="B2185" t="s">
        <v>2595</v>
      </c>
      <c r="C2185" s="22" t="s">
        <v>22</v>
      </c>
      <c r="D2185">
        <v>1</v>
      </c>
      <c r="G2185" s="25">
        <f>Table132[[#This Row],[nb win]]/Table132[[#This Row],[nb play]]</f>
        <v>0</v>
      </c>
      <c r="H2185" t="str">
        <f>MID(Table132[[#This Row],[ÉTAT]],VALUE(RIGHT(Table132[[#This Row],[next move]],1))+1+VALUE(LEFT(Table132[[#This Row],[next move]],1))*3,1)</f>
        <v>V</v>
      </c>
      <c r="I2185" t="str">
        <f>Table132[[#This Row],[ÉTAT]]&amp;Table132[[#This Row],[next move]]</f>
        <v>VMEVEMVVV21</v>
      </c>
    </row>
    <row r="2186" spans="2:9" x14ac:dyDescent="0.25">
      <c r="B2186" t="s">
        <v>2595</v>
      </c>
      <c r="C2186" s="22" t="s">
        <v>31</v>
      </c>
      <c r="D2186">
        <v>1</v>
      </c>
      <c r="G2186" s="30">
        <f>Table132[[#This Row],[nb win]]/Table132[[#This Row],[nb play]]</f>
        <v>0</v>
      </c>
      <c r="H2186" t="str">
        <f>MID(Table132[[#This Row],[ÉTAT]],VALUE(RIGHT(Table132[[#This Row],[next move]],1))+1+VALUE(LEFT(Table132[[#This Row],[next move]],1))*3,1)</f>
        <v>V</v>
      </c>
      <c r="I2186" t="str">
        <f>Table132[[#This Row],[ÉTAT]]&amp;Table132[[#This Row],[next move]]</f>
        <v>VMEVEMVVV22</v>
      </c>
    </row>
    <row r="2187" spans="2:9" x14ac:dyDescent="0.25">
      <c r="B2187" t="s">
        <v>2482</v>
      </c>
      <c r="C2187" s="22" t="s">
        <v>30</v>
      </c>
      <c r="D2187">
        <v>1</v>
      </c>
      <c r="G2187" s="25">
        <f>Table132[[#This Row],[nb win]]/Table132[[#This Row],[nb play]]</f>
        <v>0</v>
      </c>
      <c r="H2187" t="str">
        <f>MID(Table132[[#This Row],[ÉTAT]],VALUE(RIGHT(Table132[[#This Row],[next move]],1))+1+VALUE(LEFT(Table132[[#This Row],[next move]],1))*3,1)</f>
        <v>V</v>
      </c>
      <c r="I2187" t="str">
        <f>Table132[[#This Row],[ÉTAT]]&amp;Table132[[#This Row],[next move]]</f>
        <v>VMEVEMVVE10</v>
      </c>
    </row>
    <row r="2188" spans="2:9" x14ac:dyDescent="0.25">
      <c r="B2188" t="s">
        <v>2482</v>
      </c>
      <c r="C2188" s="22" t="s">
        <v>22</v>
      </c>
      <c r="D2188">
        <v>1</v>
      </c>
      <c r="G2188" s="25">
        <f>Table132[[#This Row],[nb win]]/Table132[[#This Row],[nb play]]</f>
        <v>0</v>
      </c>
      <c r="H2188" t="str">
        <f>MID(Table132[[#This Row],[ÉTAT]],VALUE(RIGHT(Table132[[#This Row],[next move]],1))+1+VALUE(LEFT(Table132[[#This Row],[next move]],1))*3,1)</f>
        <v>V</v>
      </c>
      <c r="I2188" t="str">
        <f>Table132[[#This Row],[ÉTAT]]&amp;Table132[[#This Row],[next move]]</f>
        <v>VMEVEMVVE21</v>
      </c>
    </row>
    <row r="2189" spans="2:9" x14ac:dyDescent="0.25">
      <c r="B2189" t="s">
        <v>3219</v>
      </c>
      <c r="C2189" s="22" t="s">
        <v>30</v>
      </c>
      <c r="D2189">
        <v>1</v>
      </c>
      <c r="G2189" s="30">
        <f>Table132[[#This Row],[nb win]]/Table132[[#This Row],[nb play]]</f>
        <v>0</v>
      </c>
      <c r="H2189" t="str">
        <f>MID(Table132[[#This Row],[ÉTAT]],VALUE(RIGHT(Table132[[#This Row],[next move]],1))+1+VALUE(LEFT(Table132[[#This Row],[next move]],1))*3,1)</f>
        <v>V</v>
      </c>
      <c r="I2189" t="str">
        <f>Table132[[#This Row],[ÉTAT]]&amp;Table132[[#This Row],[next move]]</f>
        <v>VMEVEMVEM10</v>
      </c>
    </row>
    <row r="2190" spans="2:9" x14ac:dyDescent="0.25">
      <c r="B2190" t="s">
        <v>2593</v>
      </c>
      <c r="C2190" s="22" t="s">
        <v>24</v>
      </c>
      <c r="D2190">
        <v>1</v>
      </c>
      <c r="E2190">
        <v>1</v>
      </c>
      <c r="G2190" s="25">
        <f>Table132[[#This Row],[nb win]]/Table132[[#This Row],[nb play]]</f>
        <v>1</v>
      </c>
      <c r="H2190" t="str">
        <f>MID(Table132[[#This Row],[ÉTAT]],VALUE(RIGHT(Table132[[#This Row],[next move]],1))+1+VALUE(LEFT(Table132[[#This Row],[next move]],1))*3,1)</f>
        <v>V</v>
      </c>
      <c r="I2190" t="str">
        <f>Table132[[#This Row],[ÉTAT]]&amp;Table132[[#This Row],[next move]]</f>
        <v>VMEVEMMEV00</v>
      </c>
    </row>
    <row r="2191" spans="2:9" x14ac:dyDescent="0.25">
      <c r="B2191" t="s">
        <v>803</v>
      </c>
      <c r="C2191" s="22" t="s">
        <v>30</v>
      </c>
      <c r="D2191">
        <v>1</v>
      </c>
      <c r="G2191" s="25">
        <f>Table132[[#This Row],[nb win]]/Table132[[#This Row],[nb play]]</f>
        <v>0</v>
      </c>
      <c r="H2191" t="str">
        <f>MID(Table132[[#This Row],[ÉTAT]],VALUE(RIGHT(Table132[[#This Row],[next move]],1))+1+VALUE(LEFT(Table132[[#This Row],[next move]],1))*3,1)</f>
        <v>V</v>
      </c>
      <c r="I2191" t="str">
        <f>Table132[[#This Row],[ÉTAT]]&amp;Table132[[#This Row],[next move]]</f>
        <v>VMEVEMMEE10</v>
      </c>
    </row>
    <row r="2192" spans="2:9" x14ac:dyDescent="0.25">
      <c r="B2192" t="s">
        <v>389</v>
      </c>
      <c r="C2192" s="22" t="s">
        <v>24</v>
      </c>
      <c r="D2192">
        <v>2</v>
      </c>
      <c r="G2192" s="30">
        <f>Table132[[#This Row],[nb win]]/Table132[[#This Row],[nb play]]</f>
        <v>0</v>
      </c>
      <c r="H2192" t="str">
        <f>MID(Table132[[#This Row],[ÉTAT]],VALUE(RIGHT(Table132[[#This Row],[next move]],1))+1+VALUE(LEFT(Table132[[#This Row],[next move]],1))*3,1)</f>
        <v>V</v>
      </c>
      <c r="I2192" t="str">
        <f>Table132[[#This Row],[ÉTAT]]&amp;Table132[[#This Row],[next move]]</f>
        <v>VMEVEEVMV00</v>
      </c>
    </row>
    <row r="2193" spans="2:9" x14ac:dyDescent="0.25">
      <c r="B2193" t="s">
        <v>389</v>
      </c>
      <c r="C2193" s="22" t="s">
        <v>30</v>
      </c>
      <c r="D2193">
        <v>1</v>
      </c>
      <c r="G2193" s="25">
        <f>Table132[[#This Row],[nb win]]/Table132[[#This Row],[nb play]]</f>
        <v>0</v>
      </c>
      <c r="H2193" t="str">
        <f>MID(Table132[[#This Row],[ÉTAT]],VALUE(RIGHT(Table132[[#This Row],[next move]],1))+1+VALUE(LEFT(Table132[[#This Row],[next move]],1))*3,1)</f>
        <v>V</v>
      </c>
      <c r="I2193" t="str">
        <f>Table132[[#This Row],[ÉTAT]]&amp;Table132[[#This Row],[next move]]</f>
        <v>VMEVEEVMV10</v>
      </c>
    </row>
    <row r="2194" spans="2:9" x14ac:dyDescent="0.25">
      <c r="B2194" t="s">
        <v>389</v>
      </c>
      <c r="C2194" s="22" t="s">
        <v>35</v>
      </c>
      <c r="D2194">
        <v>2</v>
      </c>
      <c r="G2194" s="30">
        <f>Table132[[#This Row],[nb win]]/Table132[[#This Row],[nb play]]</f>
        <v>0</v>
      </c>
      <c r="H2194" t="str">
        <f>MID(Table132[[#This Row],[ÉTAT]],VALUE(RIGHT(Table132[[#This Row],[next move]],1))+1+VALUE(LEFT(Table132[[#This Row],[next move]],1))*3,1)</f>
        <v>V</v>
      </c>
      <c r="I2194" t="str">
        <f>Table132[[#This Row],[ÉTAT]]&amp;Table132[[#This Row],[next move]]</f>
        <v>VMEVEEVMV20</v>
      </c>
    </row>
    <row r="2195" spans="2:9" x14ac:dyDescent="0.25">
      <c r="B2195" t="s">
        <v>389</v>
      </c>
      <c r="C2195" s="22" t="s">
        <v>31</v>
      </c>
      <c r="D2195">
        <v>1</v>
      </c>
      <c r="G2195" s="30">
        <f>Table132[[#This Row],[nb win]]/Table132[[#This Row],[nb play]]</f>
        <v>0</v>
      </c>
      <c r="H2195" t="str">
        <f>MID(Table132[[#This Row],[ÉTAT]],VALUE(RIGHT(Table132[[#This Row],[next move]],1))+1+VALUE(LEFT(Table132[[#This Row],[next move]],1))*3,1)</f>
        <v>V</v>
      </c>
      <c r="I2195" t="str">
        <f>Table132[[#This Row],[ÉTAT]]&amp;Table132[[#This Row],[next move]]</f>
        <v>VMEVEEVMV22</v>
      </c>
    </row>
    <row r="2196" spans="2:9" x14ac:dyDescent="0.25">
      <c r="B2196" t="s">
        <v>711</v>
      </c>
      <c r="C2196" s="22" t="s">
        <v>35</v>
      </c>
      <c r="D2196">
        <v>3</v>
      </c>
      <c r="E2196">
        <v>3</v>
      </c>
      <c r="G2196" s="25">
        <f>Table132[[#This Row],[nb win]]/Table132[[#This Row],[nb play]]</f>
        <v>1</v>
      </c>
      <c r="H2196" t="str">
        <f>MID(Table132[[#This Row],[ÉTAT]],VALUE(RIGHT(Table132[[#This Row],[next move]],1))+1+VALUE(LEFT(Table132[[#This Row],[next move]],1))*3,1)</f>
        <v>V</v>
      </c>
      <c r="I2196" t="str">
        <f>Table132[[#This Row],[ÉTAT]]&amp;Table132[[#This Row],[next move]]</f>
        <v>VMEVEEVMM20</v>
      </c>
    </row>
    <row r="2197" spans="2:9" x14ac:dyDescent="0.25">
      <c r="B2197" t="s">
        <v>3372</v>
      </c>
      <c r="C2197" s="22" t="s">
        <v>30</v>
      </c>
      <c r="D2197">
        <v>1</v>
      </c>
      <c r="G2197" s="30">
        <f>Table132[[#This Row],[nb win]]/Table132[[#This Row],[nb play]]</f>
        <v>0</v>
      </c>
      <c r="H2197" t="str">
        <f>MID(Table132[[#This Row],[ÉTAT]],VALUE(RIGHT(Table132[[#This Row],[next move]],1))+1+VALUE(LEFT(Table132[[#This Row],[next move]],1))*3,1)</f>
        <v>V</v>
      </c>
      <c r="I2197" t="str">
        <f>Table132[[#This Row],[ÉTAT]]&amp;Table132[[#This Row],[next move]]</f>
        <v>VMEVEEMVV10</v>
      </c>
    </row>
    <row r="2198" spans="2:9" x14ac:dyDescent="0.25">
      <c r="B2198" t="s">
        <v>1784</v>
      </c>
      <c r="C2198" s="22" t="s">
        <v>22</v>
      </c>
      <c r="D2198">
        <v>1</v>
      </c>
      <c r="E2198">
        <v>1</v>
      </c>
      <c r="G2198" s="25">
        <f>Table132[[#This Row],[nb win]]/Table132[[#This Row],[nb play]]</f>
        <v>1</v>
      </c>
      <c r="H2198" t="str">
        <f>MID(Table132[[#This Row],[ÉTAT]],VALUE(RIGHT(Table132[[#This Row],[next move]],1))+1+VALUE(LEFT(Table132[[#This Row],[next move]],1))*3,1)</f>
        <v>V</v>
      </c>
      <c r="I2198" t="str">
        <f>Table132[[#This Row],[ÉTAT]]&amp;Table132[[#This Row],[next move]]</f>
        <v>VMEVEEMVM21</v>
      </c>
    </row>
    <row r="2199" spans="2:9" x14ac:dyDescent="0.25">
      <c r="B2199" t="s">
        <v>1429</v>
      </c>
      <c r="C2199" s="22" t="s">
        <v>29</v>
      </c>
      <c r="D2199">
        <v>3</v>
      </c>
      <c r="E2199">
        <v>2</v>
      </c>
      <c r="G2199" s="31">
        <f>Table132[[#This Row],[nb win]]/Table132[[#This Row],[nb play]]</f>
        <v>0.66666666666666663</v>
      </c>
      <c r="H2199" t="str">
        <f>MID(Table132[[#This Row],[ÉTAT]],VALUE(RIGHT(Table132[[#This Row],[next move]],1))+1+VALUE(LEFT(Table132[[#This Row],[next move]],1))*3,1)</f>
        <v>V</v>
      </c>
      <c r="I2199" t="str">
        <f>Table132[[#This Row],[ÉTAT]]&amp;Table132[[#This Row],[next move]]</f>
        <v>VMEMVVVVE11</v>
      </c>
    </row>
    <row r="2200" spans="2:9" x14ac:dyDescent="0.25">
      <c r="B2200" t="s">
        <v>1429</v>
      </c>
      <c r="C2200" s="22" t="s">
        <v>22</v>
      </c>
      <c r="D2200">
        <v>3</v>
      </c>
      <c r="E2200">
        <v>2</v>
      </c>
      <c r="G2200" s="30">
        <f>Table132[[#This Row],[nb win]]/Table132[[#This Row],[nb play]]</f>
        <v>0.66666666666666663</v>
      </c>
      <c r="H2200" t="str">
        <f>MID(Table132[[#This Row],[ÉTAT]],VALUE(RIGHT(Table132[[#This Row],[next move]],1))+1+VALUE(LEFT(Table132[[#This Row],[next move]],1))*3,1)</f>
        <v>V</v>
      </c>
      <c r="I2200" t="str">
        <f>Table132[[#This Row],[ÉTAT]]&amp;Table132[[#This Row],[next move]]</f>
        <v>VMEMVVVVE21</v>
      </c>
    </row>
    <row r="2201" spans="2:9" x14ac:dyDescent="0.25">
      <c r="B2201" t="s">
        <v>1396</v>
      </c>
      <c r="C2201" s="22" t="s">
        <v>24</v>
      </c>
      <c r="D2201">
        <v>3</v>
      </c>
      <c r="G2201" s="30">
        <f>Table132[[#This Row],[nb win]]/Table132[[#This Row],[nb play]]</f>
        <v>0</v>
      </c>
      <c r="H2201" t="str">
        <f>MID(Table132[[#This Row],[ÉTAT]],VALUE(RIGHT(Table132[[#This Row],[next move]],1))+1+VALUE(LEFT(Table132[[#This Row],[next move]],1))*3,1)</f>
        <v>V</v>
      </c>
      <c r="I2201" t="str">
        <f>Table132[[#This Row],[ÉTAT]]&amp;Table132[[#This Row],[next move]]</f>
        <v>VMEMVVVEE00</v>
      </c>
    </row>
    <row r="2202" spans="2:9" x14ac:dyDescent="0.25">
      <c r="B2202" t="s">
        <v>1396</v>
      </c>
      <c r="C2202" s="22" t="s">
        <v>29</v>
      </c>
      <c r="D2202">
        <v>1</v>
      </c>
      <c r="G2202" s="25">
        <f>Table132[[#This Row],[nb win]]/Table132[[#This Row],[nb play]]</f>
        <v>0</v>
      </c>
      <c r="H2202" t="str">
        <f>MID(Table132[[#This Row],[ÉTAT]],VALUE(RIGHT(Table132[[#This Row],[next move]],1))+1+VALUE(LEFT(Table132[[#This Row],[next move]],1))*3,1)</f>
        <v>V</v>
      </c>
      <c r="I2202" t="str">
        <f>Table132[[#This Row],[ÉTAT]]&amp;Table132[[#This Row],[next move]]</f>
        <v>VMEMVVVEE11</v>
      </c>
    </row>
    <row r="2203" spans="2:9" x14ac:dyDescent="0.25">
      <c r="B2203" t="s">
        <v>1396</v>
      </c>
      <c r="C2203" s="22" t="s">
        <v>28</v>
      </c>
      <c r="D2203">
        <v>3</v>
      </c>
      <c r="E2203">
        <v>1</v>
      </c>
      <c r="G2203" s="30">
        <f>Table132[[#This Row],[nb win]]/Table132[[#This Row],[nb play]]</f>
        <v>0.33333333333333331</v>
      </c>
      <c r="H2203" t="str">
        <f>MID(Table132[[#This Row],[ÉTAT]],VALUE(RIGHT(Table132[[#This Row],[next move]],1))+1+VALUE(LEFT(Table132[[#This Row],[next move]],1))*3,1)</f>
        <v>V</v>
      </c>
      <c r="I2203" t="str">
        <f>Table132[[#This Row],[ÉTAT]]&amp;Table132[[#This Row],[next move]]</f>
        <v>VMEMVVVEE12</v>
      </c>
    </row>
    <row r="2204" spans="2:9" x14ac:dyDescent="0.25">
      <c r="B2204" t="s">
        <v>1396</v>
      </c>
      <c r="C2204" s="22" t="s">
        <v>35</v>
      </c>
      <c r="D2204">
        <v>2</v>
      </c>
      <c r="G2204" s="30">
        <f>Table132[[#This Row],[nb win]]/Table132[[#This Row],[nb play]]</f>
        <v>0</v>
      </c>
      <c r="H2204" t="str">
        <f>MID(Table132[[#This Row],[ÉTAT]],VALUE(RIGHT(Table132[[#This Row],[next move]],1))+1+VALUE(LEFT(Table132[[#This Row],[next move]],1))*3,1)</f>
        <v>V</v>
      </c>
      <c r="I2204" t="str">
        <f>Table132[[#This Row],[ÉTAT]]&amp;Table132[[#This Row],[next move]]</f>
        <v>VMEMVVVEE20</v>
      </c>
    </row>
    <row r="2205" spans="2:9" x14ac:dyDescent="0.25">
      <c r="B2205" t="s">
        <v>2508</v>
      </c>
      <c r="C2205" s="22" t="s">
        <v>29</v>
      </c>
      <c r="D2205">
        <v>5</v>
      </c>
      <c r="E2205">
        <v>5</v>
      </c>
      <c r="G2205" s="31">
        <f>Table132[[#This Row],[nb win]]/Table132[[#This Row],[nb play]]</f>
        <v>1</v>
      </c>
      <c r="H2205" t="str">
        <f>MID(Table132[[#This Row],[ÉTAT]],VALUE(RIGHT(Table132[[#This Row],[next move]],1))+1+VALUE(LEFT(Table132[[#This Row],[next move]],1))*3,1)</f>
        <v>V</v>
      </c>
      <c r="I2205" t="str">
        <f>Table132[[#This Row],[ÉTAT]]&amp;Table132[[#This Row],[next move]]</f>
        <v>VMEMVVEME11</v>
      </c>
    </row>
    <row r="2206" spans="2:9" x14ac:dyDescent="0.25">
      <c r="B2206" t="s">
        <v>1888</v>
      </c>
      <c r="C2206" s="22" t="s">
        <v>28</v>
      </c>
      <c r="D2206">
        <v>1</v>
      </c>
      <c r="E2206">
        <v>1</v>
      </c>
      <c r="G2206" s="25">
        <f>Table132[[#This Row],[nb win]]/Table132[[#This Row],[nb play]]</f>
        <v>1</v>
      </c>
      <c r="H2206" t="str">
        <f>MID(Table132[[#This Row],[ÉTAT]],VALUE(RIGHT(Table132[[#This Row],[next move]],1))+1+VALUE(LEFT(Table132[[#This Row],[next move]],1))*3,1)</f>
        <v>V</v>
      </c>
      <c r="I2206" t="str">
        <f>Table132[[#This Row],[ÉTAT]]&amp;Table132[[#This Row],[next move]]</f>
        <v>VMEMVVEEM12</v>
      </c>
    </row>
    <row r="2207" spans="2:9" x14ac:dyDescent="0.25">
      <c r="B2207" t="s">
        <v>1613</v>
      </c>
      <c r="C2207" s="22" t="s">
        <v>35</v>
      </c>
      <c r="D2207">
        <v>1</v>
      </c>
      <c r="E2207">
        <v>1</v>
      </c>
      <c r="G2207" s="25">
        <f>Table132[[#This Row],[nb win]]/Table132[[#This Row],[nb play]]</f>
        <v>1</v>
      </c>
      <c r="H2207" t="str">
        <f>MID(Table132[[#This Row],[ÉTAT]],VALUE(RIGHT(Table132[[#This Row],[next move]],1))+1+VALUE(LEFT(Table132[[#This Row],[next move]],1))*3,1)</f>
        <v>V</v>
      </c>
      <c r="I2207" t="str">
        <f>Table132[[#This Row],[ÉTAT]]&amp;Table132[[#This Row],[next move]]</f>
        <v>VMEMVMVEE20</v>
      </c>
    </row>
    <row r="2208" spans="2:9" x14ac:dyDescent="0.25">
      <c r="B2208" t="s">
        <v>872</v>
      </c>
      <c r="C2208" s="22" t="s">
        <v>29</v>
      </c>
      <c r="D2208">
        <v>6</v>
      </c>
      <c r="E2208">
        <v>6</v>
      </c>
      <c r="G2208" s="31">
        <f>Table132[[#This Row],[nb win]]/Table132[[#This Row],[nb play]]</f>
        <v>1</v>
      </c>
      <c r="H2208" t="str">
        <f>MID(Table132[[#This Row],[ÉTAT]],VALUE(RIGHT(Table132[[#This Row],[next move]],1))+1+VALUE(LEFT(Table132[[#This Row],[next move]],1))*3,1)</f>
        <v>V</v>
      </c>
      <c r="I2208" t="str">
        <f>Table132[[#This Row],[ÉTAT]]&amp;Table132[[#This Row],[next move]]</f>
        <v>VMEMVMEEV11</v>
      </c>
    </row>
    <row r="2209" spans="2:9" x14ac:dyDescent="0.25">
      <c r="B2209" t="s">
        <v>1822</v>
      </c>
      <c r="C2209" s="22" t="s">
        <v>31</v>
      </c>
      <c r="D2209">
        <v>3</v>
      </c>
      <c r="E2209">
        <v>3</v>
      </c>
      <c r="G2209" s="25">
        <f>Table132[[#This Row],[nb win]]/Table132[[#This Row],[nb play]]</f>
        <v>1</v>
      </c>
      <c r="H2209" t="str">
        <f>MID(Table132[[#This Row],[ÉTAT]],VALUE(RIGHT(Table132[[#This Row],[next move]],1))+1+VALUE(LEFT(Table132[[#This Row],[next move]],1))*3,1)</f>
        <v>V</v>
      </c>
      <c r="I2209" t="str">
        <f>Table132[[#This Row],[ÉTAT]]&amp;Table132[[#This Row],[next move]]</f>
        <v>VMEMVEVVV22</v>
      </c>
    </row>
    <row r="2210" spans="2:9" x14ac:dyDescent="0.25">
      <c r="B2210" t="s">
        <v>2095</v>
      </c>
      <c r="C2210" s="22" t="s">
        <v>29</v>
      </c>
      <c r="D2210">
        <v>1</v>
      </c>
      <c r="E2210">
        <v>1</v>
      </c>
      <c r="G2210" s="25">
        <f>Table132[[#This Row],[nb win]]/Table132[[#This Row],[nb play]]</f>
        <v>1</v>
      </c>
      <c r="H2210" t="str">
        <f>MID(Table132[[#This Row],[ÉTAT]],VALUE(RIGHT(Table132[[#This Row],[next move]],1))+1+VALUE(LEFT(Table132[[#This Row],[next move]],1))*3,1)</f>
        <v>V</v>
      </c>
      <c r="I2210" t="str">
        <f>Table132[[#This Row],[ÉTAT]]&amp;Table132[[#This Row],[next move]]</f>
        <v>VMEMVEVEM11</v>
      </c>
    </row>
    <row r="2211" spans="2:9" x14ac:dyDescent="0.25">
      <c r="B2211" t="s">
        <v>2458</v>
      </c>
      <c r="C2211" s="22" t="s">
        <v>29</v>
      </c>
      <c r="D2211">
        <v>1</v>
      </c>
      <c r="G2211" s="25">
        <f>Table132[[#This Row],[nb win]]/Table132[[#This Row],[nb play]]</f>
        <v>0</v>
      </c>
      <c r="H2211" t="str">
        <f>MID(Table132[[#This Row],[ÉTAT]],VALUE(RIGHT(Table132[[#This Row],[next move]],1))+1+VALUE(LEFT(Table132[[#This Row],[next move]],1))*3,1)</f>
        <v>V</v>
      </c>
      <c r="I2211" t="str">
        <f>Table132[[#This Row],[ÉTAT]]&amp;Table132[[#This Row],[next move]]</f>
        <v>VMEMVEMEV11</v>
      </c>
    </row>
    <row r="2212" spans="2:9" x14ac:dyDescent="0.25">
      <c r="B2212" t="s">
        <v>1695</v>
      </c>
      <c r="C2212" s="22" t="s">
        <v>24</v>
      </c>
      <c r="D2212">
        <v>2</v>
      </c>
      <c r="G2212" s="30">
        <f>Table132[[#This Row],[nb win]]/Table132[[#This Row],[nb play]]</f>
        <v>0</v>
      </c>
      <c r="H2212" t="str">
        <f>MID(Table132[[#This Row],[ÉTAT]],VALUE(RIGHT(Table132[[#This Row],[next move]],1))+1+VALUE(LEFT(Table132[[#This Row],[next move]],1))*3,1)</f>
        <v>V</v>
      </c>
      <c r="I2212" t="str">
        <f>Table132[[#This Row],[ÉTAT]]&amp;Table132[[#This Row],[next move]]</f>
        <v>VMEMVEEVV00</v>
      </c>
    </row>
    <row r="2213" spans="2:9" x14ac:dyDescent="0.25">
      <c r="B2213" t="s">
        <v>1695</v>
      </c>
      <c r="C2213" s="22" t="s">
        <v>29</v>
      </c>
      <c r="D2213">
        <v>3</v>
      </c>
      <c r="G2213" s="30">
        <f>Table132[[#This Row],[nb win]]/Table132[[#This Row],[nb play]]</f>
        <v>0</v>
      </c>
      <c r="H2213" t="str">
        <f>MID(Table132[[#This Row],[ÉTAT]],VALUE(RIGHT(Table132[[#This Row],[next move]],1))+1+VALUE(LEFT(Table132[[#This Row],[next move]],1))*3,1)</f>
        <v>V</v>
      </c>
      <c r="I2213" t="str">
        <f>Table132[[#This Row],[ÉTAT]]&amp;Table132[[#This Row],[next move]]</f>
        <v>VMEMVEEVV11</v>
      </c>
    </row>
    <row r="2214" spans="2:9" x14ac:dyDescent="0.25">
      <c r="B2214" t="s">
        <v>1695</v>
      </c>
      <c r="C2214" s="22" t="s">
        <v>22</v>
      </c>
      <c r="D2214">
        <v>2</v>
      </c>
      <c r="E2214">
        <v>1</v>
      </c>
      <c r="G2214" s="31">
        <f>Table132[[#This Row],[nb win]]/Table132[[#This Row],[nb play]]</f>
        <v>0.5</v>
      </c>
      <c r="H2214" t="str">
        <f>MID(Table132[[#This Row],[ÉTAT]],VALUE(RIGHT(Table132[[#This Row],[next move]],1))+1+VALUE(LEFT(Table132[[#This Row],[next move]],1))*3,1)</f>
        <v>V</v>
      </c>
      <c r="I2214" t="str">
        <f>Table132[[#This Row],[ÉTAT]]&amp;Table132[[#This Row],[next move]]</f>
        <v>VMEMVEEVV21</v>
      </c>
    </row>
    <row r="2215" spans="2:9" x14ac:dyDescent="0.25">
      <c r="B2215" t="s">
        <v>1695</v>
      </c>
      <c r="C2215" s="22" t="s">
        <v>31</v>
      </c>
      <c r="D2215">
        <v>1</v>
      </c>
      <c r="G2215" s="25">
        <f>Table132[[#This Row],[nb win]]/Table132[[#This Row],[nb play]]</f>
        <v>0</v>
      </c>
      <c r="H2215" t="str">
        <f>MID(Table132[[#This Row],[ÉTAT]],VALUE(RIGHT(Table132[[#This Row],[next move]],1))+1+VALUE(LEFT(Table132[[#This Row],[next move]],1))*3,1)</f>
        <v>V</v>
      </c>
      <c r="I2215" t="str">
        <f>Table132[[#This Row],[ÉTAT]]&amp;Table132[[#This Row],[next move]]</f>
        <v>VMEMVEEVV22</v>
      </c>
    </row>
    <row r="2216" spans="2:9" x14ac:dyDescent="0.25">
      <c r="B2216" t="s">
        <v>2685</v>
      </c>
      <c r="C2216" s="22" t="s">
        <v>29</v>
      </c>
      <c r="D2216">
        <v>2</v>
      </c>
      <c r="E2216">
        <v>2</v>
      </c>
      <c r="G2216" s="31">
        <f>Table132[[#This Row],[nb win]]/Table132[[#This Row],[nb play]]</f>
        <v>1</v>
      </c>
      <c r="H2216" t="str">
        <f>MID(Table132[[#This Row],[ÉTAT]],VALUE(RIGHT(Table132[[#This Row],[next move]],1))+1+VALUE(LEFT(Table132[[#This Row],[next move]],1))*3,1)</f>
        <v>V</v>
      </c>
      <c r="I2216" t="str">
        <f>Table132[[#This Row],[ÉTAT]]&amp;Table132[[#This Row],[next move]]</f>
        <v>VMEMVEEVM11</v>
      </c>
    </row>
    <row r="2217" spans="2:9" x14ac:dyDescent="0.25">
      <c r="B2217" t="s">
        <v>1231</v>
      </c>
      <c r="C2217" s="22" t="s">
        <v>29</v>
      </c>
      <c r="D2217">
        <v>5</v>
      </c>
      <c r="E2217">
        <v>5</v>
      </c>
      <c r="G2217" s="31">
        <f>Table132[[#This Row],[nb win]]/Table132[[#This Row],[nb play]]</f>
        <v>1</v>
      </c>
      <c r="H2217" t="str">
        <f>MID(Table132[[#This Row],[ÉTAT]],VALUE(RIGHT(Table132[[#This Row],[next move]],1))+1+VALUE(LEFT(Table132[[#This Row],[next move]],1))*3,1)</f>
        <v>V</v>
      </c>
      <c r="I2217" t="str">
        <f>Table132[[#This Row],[ÉTAT]]&amp;Table132[[#This Row],[next move]]</f>
        <v>VMEMVEEMV11</v>
      </c>
    </row>
    <row r="2218" spans="2:9" x14ac:dyDescent="0.25">
      <c r="B2218" t="s">
        <v>1231</v>
      </c>
      <c r="C2218" s="22" t="s">
        <v>31</v>
      </c>
      <c r="D2218">
        <v>3</v>
      </c>
      <c r="E2218">
        <v>2</v>
      </c>
      <c r="G2218" s="25">
        <f>Table132[[#This Row],[nb win]]/Table132[[#This Row],[nb play]]</f>
        <v>0.66666666666666663</v>
      </c>
      <c r="H2218" t="str">
        <f>MID(Table132[[#This Row],[ÉTAT]],VALUE(RIGHT(Table132[[#This Row],[next move]],1))+1+VALUE(LEFT(Table132[[#This Row],[next move]],1))*3,1)</f>
        <v>V</v>
      </c>
      <c r="I2218" t="str">
        <f>Table132[[#This Row],[ÉTAT]]&amp;Table132[[#This Row],[next move]]</f>
        <v>VMEMVEEMV22</v>
      </c>
    </row>
    <row r="2219" spans="2:9" x14ac:dyDescent="0.25">
      <c r="B2219" t="s">
        <v>729</v>
      </c>
      <c r="C2219" s="22" t="s">
        <v>28</v>
      </c>
      <c r="D2219">
        <v>8</v>
      </c>
      <c r="E2219">
        <v>8</v>
      </c>
      <c r="G2219" s="31">
        <f>Table132[[#This Row],[nb win]]/Table132[[#This Row],[nb play]]</f>
        <v>1</v>
      </c>
      <c r="H2219" t="str">
        <f>MID(Table132[[#This Row],[ÉTAT]],VALUE(RIGHT(Table132[[#This Row],[next move]],1))+1+VALUE(LEFT(Table132[[#This Row],[next move]],1))*3,1)</f>
        <v>V</v>
      </c>
      <c r="I2219" t="str">
        <f>Table132[[#This Row],[ÉTAT]]&amp;Table132[[#This Row],[next move]]</f>
        <v>VMEMMVVEE12</v>
      </c>
    </row>
    <row r="2220" spans="2:9" x14ac:dyDescent="0.25">
      <c r="B2220" t="s">
        <v>2811</v>
      </c>
      <c r="C2220" s="22" t="s">
        <v>28</v>
      </c>
      <c r="D2220">
        <v>3</v>
      </c>
      <c r="E2220">
        <v>3</v>
      </c>
      <c r="G2220" s="31">
        <f>Table132[[#This Row],[nb win]]/Table132[[#This Row],[nb play]]</f>
        <v>1</v>
      </c>
      <c r="H2220" t="str">
        <f>MID(Table132[[#This Row],[ÉTAT]],VALUE(RIGHT(Table132[[#This Row],[next move]],1))+1+VALUE(LEFT(Table132[[#This Row],[next move]],1))*3,1)</f>
        <v>V</v>
      </c>
      <c r="I2220" t="str">
        <f>Table132[[#This Row],[ÉTAT]]&amp;Table132[[#This Row],[next move]]</f>
        <v>VMEMMVEVE12</v>
      </c>
    </row>
    <row r="2221" spans="2:9" x14ac:dyDescent="0.25">
      <c r="B2221" t="s">
        <v>1178</v>
      </c>
      <c r="C2221" s="22" t="s">
        <v>24</v>
      </c>
      <c r="D2221">
        <v>1</v>
      </c>
      <c r="G2221" s="25">
        <f>Table132[[#This Row],[nb win]]/Table132[[#This Row],[nb play]]</f>
        <v>0</v>
      </c>
      <c r="H2221" t="str">
        <f>MID(Table132[[#This Row],[ÉTAT]],VALUE(RIGHT(Table132[[#This Row],[next move]],1))+1+VALUE(LEFT(Table132[[#This Row],[next move]],1))*3,1)</f>
        <v>V</v>
      </c>
      <c r="I2221" t="str">
        <f>Table132[[#This Row],[ÉTAT]]&amp;Table132[[#This Row],[next move]]</f>
        <v>VMEMMVEEV00</v>
      </c>
    </row>
    <row r="2222" spans="2:9" x14ac:dyDescent="0.25">
      <c r="B2222" t="s">
        <v>1178</v>
      </c>
      <c r="C2222" s="22" t="s">
        <v>28</v>
      </c>
      <c r="D2222">
        <v>2</v>
      </c>
      <c r="E2222">
        <v>2</v>
      </c>
      <c r="G2222" s="31">
        <f>Table132[[#This Row],[nb win]]/Table132[[#This Row],[nb play]]</f>
        <v>1</v>
      </c>
      <c r="H2222" t="str">
        <f>MID(Table132[[#This Row],[ÉTAT]],VALUE(RIGHT(Table132[[#This Row],[next move]],1))+1+VALUE(LEFT(Table132[[#This Row],[next move]],1))*3,1)</f>
        <v>V</v>
      </c>
      <c r="I2222" t="str">
        <f>Table132[[#This Row],[ÉTAT]]&amp;Table132[[#This Row],[next move]]</f>
        <v>VMEMMVEEV12</v>
      </c>
    </row>
    <row r="2223" spans="2:9" x14ac:dyDescent="0.25">
      <c r="B2223" t="s">
        <v>1081</v>
      </c>
      <c r="C2223" s="22" t="s">
        <v>24</v>
      </c>
      <c r="D2223">
        <v>2</v>
      </c>
      <c r="E2223">
        <v>1</v>
      </c>
      <c r="G2223" s="30">
        <f>Table132[[#This Row],[nb win]]/Table132[[#This Row],[nb play]]</f>
        <v>0.5</v>
      </c>
      <c r="H2223" t="str">
        <f>MID(Table132[[#This Row],[ÉTAT]],VALUE(RIGHT(Table132[[#This Row],[next move]],1))+1+VALUE(LEFT(Table132[[#This Row],[next move]],1))*3,1)</f>
        <v>V</v>
      </c>
      <c r="I2223" t="str">
        <f>Table132[[#This Row],[ÉTAT]]&amp;Table132[[#This Row],[next move]]</f>
        <v>VMEMMEVEV00</v>
      </c>
    </row>
    <row r="2224" spans="2:9" x14ac:dyDescent="0.25">
      <c r="B2224" t="s">
        <v>3311</v>
      </c>
      <c r="C2224" s="22" t="s">
        <v>31</v>
      </c>
      <c r="D2224">
        <v>2</v>
      </c>
      <c r="E2224">
        <v>2</v>
      </c>
      <c r="G2224" s="31">
        <f>Table132[[#This Row],[nb win]]/Table132[[#This Row],[nb play]]</f>
        <v>1</v>
      </c>
      <c r="H2224" t="str">
        <f>MID(Table132[[#This Row],[ÉTAT]],VALUE(RIGHT(Table132[[#This Row],[next move]],1))+1+VALUE(LEFT(Table132[[#This Row],[next move]],1))*3,1)</f>
        <v>V</v>
      </c>
      <c r="I2224" t="str">
        <f>Table132[[#This Row],[ÉTAT]]&amp;Table132[[#This Row],[next move]]</f>
        <v>VMEMMEEVV22</v>
      </c>
    </row>
    <row r="2225" spans="2:9" x14ac:dyDescent="0.25">
      <c r="B2225" t="s">
        <v>2241</v>
      </c>
      <c r="C2225" s="22" t="s">
        <v>24</v>
      </c>
      <c r="D2225">
        <v>4</v>
      </c>
      <c r="E2225">
        <v>4</v>
      </c>
      <c r="G2225" s="31">
        <f>Table132[[#This Row],[nb win]]/Table132[[#This Row],[nb play]]</f>
        <v>1</v>
      </c>
      <c r="H2225" t="str">
        <f>MID(Table132[[#This Row],[ÉTAT]],VALUE(RIGHT(Table132[[#This Row],[next move]],1))+1+VALUE(LEFT(Table132[[#This Row],[next move]],1))*3,1)</f>
        <v>V</v>
      </c>
      <c r="I2225" t="str">
        <f>Table132[[#This Row],[ÉTAT]]&amp;Table132[[#This Row],[next move]]</f>
        <v>VMEMMEEEM00</v>
      </c>
    </row>
    <row r="2226" spans="2:9" x14ac:dyDescent="0.25">
      <c r="B2226" t="s">
        <v>2129</v>
      </c>
      <c r="C2226" s="22" t="s">
        <v>28</v>
      </c>
      <c r="D2226">
        <v>1</v>
      </c>
      <c r="G2226" s="25">
        <f>Table132[[#This Row],[nb win]]/Table132[[#This Row],[nb play]]</f>
        <v>0</v>
      </c>
      <c r="H2226" t="str">
        <f>MID(Table132[[#This Row],[ÉTAT]],VALUE(RIGHT(Table132[[#This Row],[next move]],1))+1+VALUE(LEFT(Table132[[#This Row],[next move]],1))*3,1)</f>
        <v>V</v>
      </c>
      <c r="I2226" t="str">
        <f>Table132[[#This Row],[ÉTAT]]&amp;Table132[[#This Row],[next move]]</f>
        <v>VMEMEVVVV12</v>
      </c>
    </row>
    <row r="2227" spans="2:9" x14ac:dyDescent="0.25">
      <c r="B2227" t="s">
        <v>2129</v>
      </c>
      <c r="C2227" s="22" t="s">
        <v>22</v>
      </c>
      <c r="D2227">
        <v>1</v>
      </c>
      <c r="G2227" s="25">
        <f>Table132[[#This Row],[nb win]]/Table132[[#This Row],[nb play]]</f>
        <v>0</v>
      </c>
      <c r="H2227" t="str">
        <f>MID(Table132[[#This Row],[ÉTAT]],VALUE(RIGHT(Table132[[#This Row],[next move]],1))+1+VALUE(LEFT(Table132[[#This Row],[next move]],1))*3,1)</f>
        <v>V</v>
      </c>
      <c r="I2227" t="str">
        <f>Table132[[#This Row],[ÉTAT]]&amp;Table132[[#This Row],[next move]]</f>
        <v>VMEMEVVVV21</v>
      </c>
    </row>
    <row r="2228" spans="2:9" x14ac:dyDescent="0.25">
      <c r="B2228" t="s">
        <v>3121</v>
      </c>
      <c r="C2228" s="22" t="s">
        <v>24</v>
      </c>
      <c r="D2228">
        <v>1</v>
      </c>
      <c r="G2228" s="30">
        <f>Table132[[#This Row],[nb win]]/Table132[[#This Row],[nb play]]</f>
        <v>0</v>
      </c>
      <c r="H2228" t="str">
        <f>MID(Table132[[#This Row],[ÉTAT]],VALUE(RIGHT(Table132[[#This Row],[next move]],1))+1+VALUE(LEFT(Table132[[#This Row],[next move]],1))*3,1)</f>
        <v>V</v>
      </c>
      <c r="I2228" t="str">
        <f>Table132[[#This Row],[ÉTAT]]&amp;Table132[[#This Row],[next move]]</f>
        <v>VMEMEVVVE00</v>
      </c>
    </row>
    <row r="2229" spans="2:9" x14ac:dyDescent="0.25">
      <c r="B2229" t="s">
        <v>3121</v>
      </c>
      <c r="C2229" s="22" t="s">
        <v>35</v>
      </c>
      <c r="D2229">
        <v>1</v>
      </c>
      <c r="G2229" s="30">
        <f>Table132[[#This Row],[nb win]]/Table132[[#This Row],[nb play]]</f>
        <v>0</v>
      </c>
      <c r="H2229" t="str">
        <f>MID(Table132[[#This Row],[ÉTAT]],VALUE(RIGHT(Table132[[#This Row],[next move]],1))+1+VALUE(LEFT(Table132[[#This Row],[next move]],1))*3,1)</f>
        <v>V</v>
      </c>
      <c r="I2229" t="str">
        <f>Table132[[#This Row],[ÉTAT]]&amp;Table132[[#This Row],[next move]]</f>
        <v>VMEMEVVVE20</v>
      </c>
    </row>
    <row r="2230" spans="2:9" x14ac:dyDescent="0.25">
      <c r="B2230" t="s">
        <v>2131</v>
      </c>
      <c r="C2230" s="22" t="s">
        <v>24</v>
      </c>
      <c r="D2230">
        <v>3</v>
      </c>
      <c r="G2230" s="30">
        <f>Table132[[#This Row],[nb win]]/Table132[[#This Row],[nb play]]</f>
        <v>0</v>
      </c>
      <c r="H2230" t="str">
        <f>MID(Table132[[#This Row],[ÉTAT]],VALUE(RIGHT(Table132[[#This Row],[next move]],1))+1+VALUE(LEFT(Table132[[#This Row],[next move]],1))*3,1)</f>
        <v>V</v>
      </c>
      <c r="I2230" t="str">
        <f>Table132[[#This Row],[ÉTAT]]&amp;Table132[[#This Row],[next move]]</f>
        <v>VMEMEVVME00</v>
      </c>
    </row>
    <row r="2231" spans="2:9" x14ac:dyDescent="0.25">
      <c r="B2231" t="s">
        <v>2131</v>
      </c>
      <c r="C2231" s="22" t="s">
        <v>28</v>
      </c>
      <c r="D2231">
        <v>1</v>
      </c>
      <c r="G2231" s="25">
        <f>Table132[[#This Row],[nb win]]/Table132[[#This Row],[nb play]]</f>
        <v>0</v>
      </c>
      <c r="H2231" t="str">
        <f>MID(Table132[[#This Row],[ÉTAT]],VALUE(RIGHT(Table132[[#This Row],[next move]],1))+1+VALUE(LEFT(Table132[[#This Row],[next move]],1))*3,1)</f>
        <v>V</v>
      </c>
      <c r="I2231" t="str">
        <f>Table132[[#This Row],[ÉTAT]]&amp;Table132[[#This Row],[next move]]</f>
        <v>VMEMEVVME12</v>
      </c>
    </row>
    <row r="2232" spans="2:9" x14ac:dyDescent="0.25">
      <c r="B2232" t="s">
        <v>2131</v>
      </c>
      <c r="C2232" s="22" t="s">
        <v>35</v>
      </c>
      <c r="D2232">
        <v>1</v>
      </c>
      <c r="G2232" s="25">
        <f>Table132[[#This Row],[nb win]]/Table132[[#This Row],[nb play]]</f>
        <v>0</v>
      </c>
      <c r="H2232" t="str">
        <f>MID(Table132[[#This Row],[ÉTAT]],VALUE(RIGHT(Table132[[#This Row],[next move]],1))+1+VALUE(LEFT(Table132[[#This Row],[next move]],1))*3,1)</f>
        <v>V</v>
      </c>
      <c r="I2232" t="str">
        <f>Table132[[#This Row],[ÉTAT]]&amp;Table132[[#This Row],[next move]]</f>
        <v>VMEMEVVME20</v>
      </c>
    </row>
    <row r="2233" spans="2:9" x14ac:dyDescent="0.25">
      <c r="B2233" t="s">
        <v>718</v>
      </c>
      <c r="C2233" s="22" t="s">
        <v>24</v>
      </c>
      <c r="D2233">
        <v>2</v>
      </c>
      <c r="E2233">
        <v>1</v>
      </c>
      <c r="G2233" s="25">
        <f>Table132[[#This Row],[nb win]]/Table132[[#This Row],[nb play]]</f>
        <v>0.5</v>
      </c>
      <c r="H2233" t="str">
        <f>MID(Table132[[#This Row],[ÉTAT]],VALUE(RIGHT(Table132[[#This Row],[next move]],1))+1+VALUE(LEFT(Table132[[#This Row],[next move]],1))*3,1)</f>
        <v>V</v>
      </c>
      <c r="I2233" t="str">
        <f>Table132[[#This Row],[ÉTAT]]&amp;Table132[[#This Row],[next move]]</f>
        <v>VMEMEVVEM00</v>
      </c>
    </row>
    <row r="2234" spans="2:9" x14ac:dyDescent="0.25">
      <c r="B2234" t="s">
        <v>718</v>
      </c>
      <c r="C2234" s="22" t="s">
        <v>35</v>
      </c>
      <c r="D2234">
        <v>1</v>
      </c>
      <c r="E2234">
        <v>1</v>
      </c>
      <c r="G2234" s="25">
        <f>Table132[[#This Row],[nb win]]/Table132[[#This Row],[nb play]]</f>
        <v>1</v>
      </c>
      <c r="H2234" t="str">
        <f>MID(Table132[[#This Row],[ÉTAT]],VALUE(RIGHT(Table132[[#This Row],[next move]],1))+1+VALUE(LEFT(Table132[[#This Row],[next move]],1))*3,1)</f>
        <v>V</v>
      </c>
      <c r="I2234" t="str">
        <f>Table132[[#This Row],[ÉTAT]]&amp;Table132[[#This Row],[next move]]</f>
        <v>VMEMEVVEM20</v>
      </c>
    </row>
    <row r="2235" spans="2:9" x14ac:dyDescent="0.25">
      <c r="B2235" t="s">
        <v>2948</v>
      </c>
      <c r="C2235" s="22" t="s">
        <v>24</v>
      </c>
      <c r="D2235">
        <v>1</v>
      </c>
      <c r="E2235">
        <v>1</v>
      </c>
      <c r="G2235" s="31">
        <f>Table132[[#This Row],[nb win]]/Table132[[#This Row],[nb play]]</f>
        <v>1</v>
      </c>
      <c r="H2235" t="str">
        <f>MID(Table132[[#This Row],[ÉTAT]],VALUE(RIGHT(Table132[[#This Row],[next move]],1))+1+VALUE(LEFT(Table132[[#This Row],[next move]],1))*3,1)</f>
        <v>V</v>
      </c>
      <c r="I2235" t="str">
        <f>Table132[[#This Row],[ÉTAT]]&amp;Table132[[#This Row],[next move]]</f>
        <v>VMEMEVMVE00</v>
      </c>
    </row>
    <row r="2236" spans="2:9" x14ac:dyDescent="0.25">
      <c r="B2236" t="s">
        <v>2948</v>
      </c>
      <c r="C2236" s="22" t="s">
        <v>28</v>
      </c>
      <c r="D2236">
        <v>1</v>
      </c>
      <c r="G2236" s="25">
        <f>Table132[[#This Row],[nb win]]/Table132[[#This Row],[nb play]]</f>
        <v>0</v>
      </c>
      <c r="H2236" t="str">
        <f>MID(Table132[[#This Row],[ÉTAT]],VALUE(RIGHT(Table132[[#This Row],[next move]],1))+1+VALUE(LEFT(Table132[[#This Row],[next move]],1))*3,1)</f>
        <v>V</v>
      </c>
      <c r="I2236" t="str">
        <f>Table132[[#This Row],[ÉTAT]]&amp;Table132[[#This Row],[next move]]</f>
        <v>VMEMEVMVE12</v>
      </c>
    </row>
    <row r="2237" spans="2:9" x14ac:dyDescent="0.25">
      <c r="B2237" t="s">
        <v>2948</v>
      </c>
      <c r="C2237" s="22" t="s">
        <v>22</v>
      </c>
      <c r="D2237">
        <v>1</v>
      </c>
      <c r="G2237" s="25">
        <f>Table132[[#This Row],[nb win]]/Table132[[#This Row],[nb play]]</f>
        <v>0</v>
      </c>
      <c r="H2237" t="str">
        <f>MID(Table132[[#This Row],[ÉTAT]],VALUE(RIGHT(Table132[[#This Row],[next move]],1))+1+VALUE(LEFT(Table132[[#This Row],[next move]],1))*3,1)</f>
        <v>V</v>
      </c>
      <c r="I2237" t="str">
        <f>Table132[[#This Row],[ÉTAT]]&amp;Table132[[#This Row],[next move]]</f>
        <v>VMEMEVMVE21</v>
      </c>
    </row>
    <row r="2238" spans="2:9" x14ac:dyDescent="0.25">
      <c r="B2238" t="s">
        <v>317</v>
      </c>
      <c r="C2238" s="22" t="s">
        <v>28</v>
      </c>
      <c r="D2238">
        <v>1</v>
      </c>
      <c r="G2238" s="25">
        <f>Table132[[#This Row],[nb win]]/Table132[[#This Row],[nb play]]</f>
        <v>0</v>
      </c>
      <c r="H2238" t="str">
        <f>MID(Table132[[#This Row],[ÉTAT]],VALUE(RIGHT(Table132[[#This Row],[next move]],1))+1+VALUE(LEFT(Table132[[#This Row],[next move]],1))*3,1)</f>
        <v>V</v>
      </c>
      <c r="I2238" t="str">
        <f>Table132[[#This Row],[ÉTAT]]&amp;Table132[[#This Row],[next move]]</f>
        <v>VMEMEVMEE12</v>
      </c>
    </row>
    <row r="2239" spans="2:9" x14ac:dyDescent="0.25">
      <c r="B2239" t="s">
        <v>2930</v>
      </c>
      <c r="C2239" s="22" t="s">
        <v>24</v>
      </c>
      <c r="D2239">
        <v>1</v>
      </c>
      <c r="G2239" s="25">
        <f>Table132[[#This Row],[nb win]]/Table132[[#This Row],[nb play]]</f>
        <v>0</v>
      </c>
      <c r="H2239" t="str">
        <f>MID(Table132[[#This Row],[ÉTAT]],VALUE(RIGHT(Table132[[#This Row],[next move]],1))+1+VALUE(LEFT(Table132[[#This Row],[next move]],1))*3,1)</f>
        <v>V</v>
      </c>
      <c r="I2239" t="str">
        <f>Table132[[#This Row],[ÉTAT]]&amp;Table132[[#This Row],[next move]]</f>
        <v>VMEMEMVEV00</v>
      </c>
    </row>
    <row r="2240" spans="2:9" x14ac:dyDescent="0.25">
      <c r="B2240" t="s">
        <v>2930</v>
      </c>
      <c r="C2240" s="22" t="s">
        <v>35</v>
      </c>
      <c r="D2240">
        <v>1</v>
      </c>
      <c r="E2240">
        <v>1</v>
      </c>
      <c r="G2240" s="31">
        <f>Table132[[#This Row],[nb win]]/Table132[[#This Row],[nb play]]</f>
        <v>1</v>
      </c>
      <c r="H2240" t="str">
        <f>MID(Table132[[#This Row],[ÉTAT]],VALUE(RIGHT(Table132[[#This Row],[next move]],1))+1+VALUE(LEFT(Table132[[#This Row],[next move]],1))*3,1)</f>
        <v>V</v>
      </c>
      <c r="I2240" t="str">
        <f>Table132[[#This Row],[ÉTAT]]&amp;Table132[[#This Row],[next move]]</f>
        <v>VMEMEMVEV20</v>
      </c>
    </row>
    <row r="2241" spans="2:9" x14ac:dyDescent="0.25">
      <c r="B2241" t="s">
        <v>2930</v>
      </c>
      <c r="C2241" s="22" t="s">
        <v>31</v>
      </c>
      <c r="D2241">
        <v>1</v>
      </c>
      <c r="G2241" s="25">
        <f>Table132[[#This Row],[nb win]]/Table132[[#This Row],[nb play]]</f>
        <v>0</v>
      </c>
      <c r="H2241" t="str">
        <f>MID(Table132[[#This Row],[ÉTAT]],VALUE(RIGHT(Table132[[#This Row],[next move]],1))+1+VALUE(LEFT(Table132[[#This Row],[next move]],1))*3,1)</f>
        <v>V</v>
      </c>
      <c r="I2241" t="str">
        <f>Table132[[#This Row],[ÉTAT]]&amp;Table132[[#This Row],[next move]]</f>
        <v>VMEMEMVEV22</v>
      </c>
    </row>
    <row r="2242" spans="2:9" x14ac:dyDescent="0.25">
      <c r="B2242" t="s">
        <v>2484</v>
      </c>
      <c r="C2242" s="22" t="s">
        <v>24</v>
      </c>
      <c r="D2242">
        <v>1</v>
      </c>
      <c r="G2242" s="30">
        <f>Table132[[#This Row],[nb win]]/Table132[[#This Row],[nb play]]</f>
        <v>0</v>
      </c>
      <c r="H2242" t="str">
        <f>MID(Table132[[#This Row],[ÉTAT]],VALUE(RIGHT(Table132[[#This Row],[next move]],1))+1+VALUE(LEFT(Table132[[#This Row],[next move]],1))*3,1)</f>
        <v>V</v>
      </c>
      <c r="I2242" t="str">
        <f>Table132[[#This Row],[ÉTAT]]&amp;Table132[[#This Row],[next move]]</f>
        <v>VMEMEMVEE00</v>
      </c>
    </row>
    <row r="2243" spans="2:9" x14ac:dyDescent="0.25">
      <c r="B2243" t="s">
        <v>2484</v>
      </c>
      <c r="C2243" s="22" t="s">
        <v>35</v>
      </c>
      <c r="D2243">
        <v>1</v>
      </c>
      <c r="G2243" s="25">
        <f>Table132[[#This Row],[nb win]]/Table132[[#This Row],[nb play]]</f>
        <v>0</v>
      </c>
      <c r="H2243" t="str">
        <f>MID(Table132[[#This Row],[ÉTAT]],VALUE(RIGHT(Table132[[#This Row],[next move]],1))+1+VALUE(LEFT(Table132[[#This Row],[next move]],1))*3,1)</f>
        <v>V</v>
      </c>
      <c r="I2243" t="str">
        <f>Table132[[#This Row],[ÉTAT]]&amp;Table132[[#This Row],[next move]]</f>
        <v>VMEMEMVEE20</v>
      </c>
    </row>
    <row r="2244" spans="2:9" x14ac:dyDescent="0.25">
      <c r="B2244" t="s">
        <v>3076</v>
      </c>
      <c r="C2244" s="22" t="s">
        <v>24</v>
      </c>
      <c r="D2244">
        <v>2</v>
      </c>
      <c r="E2244">
        <v>2</v>
      </c>
      <c r="G2244" s="31">
        <f>Table132[[#This Row],[nb win]]/Table132[[#This Row],[nb play]]</f>
        <v>1</v>
      </c>
      <c r="H2244" t="str">
        <f>MID(Table132[[#This Row],[ÉTAT]],VALUE(RIGHT(Table132[[#This Row],[next move]],1))+1+VALUE(LEFT(Table132[[#This Row],[next move]],1))*3,1)</f>
        <v>V</v>
      </c>
      <c r="I2244" t="str">
        <f>Table132[[#This Row],[ÉTAT]]&amp;Table132[[#This Row],[next move]]</f>
        <v>VMEMEMMEE00</v>
      </c>
    </row>
    <row r="2245" spans="2:9" x14ac:dyDescent="0.25">
      <c r="B2245" t="s">
        <v>1549</v>
      </c>
      <c r="C2245" s="22" t="s">
        <v>24</v>
      </c>
      <c r="D2245">
        <v>1</v>
      </c>
      <c r="E2245">
        <v>1</v>
      </c>
      <c r="G2245" s="31">
        <f>Table132[[#This Row],[nb win]]/Table132[[#This Row],[nb play]]</f>
        <v>1</v>
      </c>
      <c r="H2245" t="str">
        <f>MID(Table132[[#This Row],[ÉTAT]],VALUE(RIGHT(Table132[[#This Row],[next move]],1))+1+VALUE(LEFT(Table132[[#This Row],[next move]],1))*3,1)</f>
        <v>V</v>
      </c>
      <c r="I2245" t="str">
        <f>Table132[[#This Row],[ÉTAT]]&amp;Table132[[#This Row],[next move]]</f>
        <v>VMEMEEVVV00</v>
      </c>
    </row>
    <row r="2246" spans="2:9" x14ac:dyDescent="0.25">
      <c r="B2246" t="s">
        <v>1549</v>
      </c>
      <c r="C2246" s="22" t="s">
        <v>22</v>
      </c>
      <c r="D2246">
        <v>1</v>
      </c>
      <c r="G2246" s="25">
        <f>Table132[[#This Row],[nb win]]/Table132[[#This Row],[nb play]]</f>
        <v>0</v>
      </c>
      <c r="H2246" t="str">
        <f>MID(Table132[[#This Row],[ÉTAT]],VALUE(RIGHT(Table132[[#This Row],[next move]],1))+1+VALUE(LEFT(Table132[[#This Row],[next move]],1))*3,1)</f>
        <v>V</v>
      </c>
      <c r="I2246" t="str">
        <f>Table132[[#This Row],[ÉTAT]]&amp;Table132[[#This Row],[next move]]</f>
        <v>VMEMEEVVV21</v>
      </c>
    </row>
    <row r="2247" spans="2:9" x14ac:dyDescent="0.25">
      <c r="B2247" t="s">
        <v>1549</v>
      </c>
      <c r="C2247" s="22" t="s">
        <v>31</v>
      </c>
      <c r="D2247">
        <v>1</v>
      </c>
      <c r="G2247" s="25">
        <f>Table132[[#This Row],[nb win]]/Table132[[#This Row],[nb play]]</f>
        <v>0</v>
      </c>
      <c r="H2247" t="str">
        <f>MID(Table132[[#This Row],[ÉTAT]],VALUE(RIGHT(Table132[[#This Row],[next move]],1))+1+VALUE(LEFT(Table132[[#This Row],[next move]],1))*3,1)</f>
        <v>V</v>
      </c>
      <c r="I2247" t="str">
        <f>Table132[[#This Row],[ÉTAT]]&amp;Table132[[#This Row],[next move]]</f>
        <v>VMEMEEVVV22</v>
      </c>
    </row>
    <row r="2248" spans="2:9" x14ac:dyDescent="0.25">
      <c r="B2248" t="s">
        <v>2850</v>
      </c>
      <c r="C2248" s="22" t="s">
        <v>35</v>
      </c>
      <c r="D2248">
        <v>2</v>
      </c>
      <c r="E2248">
        <v>2</v>
      </c>
      <c r="G2248" s="31">
        <f>Table132[[#This Row],[nb win]]/Table132[[#This Row],[nb play]]</f>
        <v>1</v>
      </c>
      <c r="H2248" t="str">
        <f>MID(Table132[[#This Row],[ÉTAT]],VALUE(RIGHT(Table132[[#This Row],[next move]],1))+1+VALUE(LEFT(Table132[[#This Row],[next move]],1))*3,1)</f>
        <v>V</v>
      </c>
      <c r="I2248" t="str">
        <f>Table132[[#This Row],[ÉTAT]]&amp;Table132[[#This Row],[next move]]</f>
        <v>VMEMEEVVM20</v>
      </c>
    </row>
    <row r="2249" spans="2:9" x14ac:dyDescent="0.25">
      <c r="B2249" t="s">
        <v>2012</v>
      </c>
      <c r="C2249" s="22" t="s">
        <v>35</v>
      </c>
      <c r="D2249">
        <v>3</v>
      </c>
      <c r="E2249">
        <v>2</v>
      </c>
      <c r="G2249" s="30">
        <f>Table132[[#This Row],[nb win]]/Table132[[#This Row],[nb play]]</f>
        <v>0.66666666666666663</v>
      </c>
      <c r="H2249" t="str">
        <f>MID(Table132[[#This Row],[ÉTAT]],VALUE(RIGHT(Table132[[#This Row],[next move]],1))+1+VALUE(LEFT(Table132[[#This Row],[next move]],1))*3,1)</f>
        <v>V</v>
      </c>
      <c r="I2249" t="str">
        <f>Table132[[#This Row],[ÉTAT]]&amp;Table132[[#This Row],[next move]]</f>
        <v>VMEMEEVMV20</v>
      </c>
    </row>
    <row r="2250" spans="2:9" x14ac:dyDescent="0.25">
      <c r="B2250" t="s">
        <v>2307</v>
      </c>
      <c r="C2250" s="22" t="s">
        <v>24</v>
      </c>
      <c r="D2250">
        <v>1</v>
      </c>
      <c r="G2250" s="25">
        <f>Table132[[#This Row],[nb win]]/Table132[[#This Row],[nb play]]</f>
        <v>0</v>
      </c>
      <c r="H2250" t="str">
        <f>MID(Table132[[#This Row],[ÉTAT]],VALUE(RIGHT(Table132[[#This Row],[next move]],1))+1+VALUE(LEFT(Table132[[#This Row],[next move]],1))*3,1)</f>
        <v>V</v>
      </c>
      <c r="I2250" t="str">
        <f>Table132[[#This Row],[ÉTAT]]&amp;Table132[[#This Row],[next move]]</f>
        <v>VMEMEEVEM00</v>
      </c>
    </row>
    <row r="2251" spans="2:9" x14ac:dyDescent="0.25">
      <c r="B2251" t="s">
        <v>2170</v>
      </c>
      <c r="C2251" s="22" t="s">
        <v>22</v>
      </c>
      <c r="D2251">
        <v>1</v>
      </c>
      <c r="G2251" s="25">
        <f>Table132[[#This Row],[nb win]]/Table132[[#This Row],[nb play]]</f>
        <v>0</v>
      </c>
      <c r="H2251" t="str">
        <f>MID(Table132[[#This Row],[ÉTAT]],VALUE(RIGHT(Table132[[#This Row],[next move]],1))+1+VALUE(LEFT(Table132[[#This Row],[next move]],1))*3,1)</f>
        <v>V</v>
      </c>
      <c r="I2251" t="str">
        <f>Table132[[#This Row],[ÉTAT]]&amp;Table132[[#This Row],[next move]]</f>
        <v>VMEMEEMVV21</v>
      </c>
    </row>
    <row r="2252" spans="2:9" x14ac:dyDescent="0.25">
      <c r="B2252" t="s">
        <v>3495</v>
      </c>
      <c r="C2252" s="22" t="s">
        <v>24</v>
      </c>
      <c r="D2252">
        <v>1</v>
      </c>
      <c r="E2252">
        <v>1</v>
      </c>
      <c r="G2252" s="31">
        <f>Table132[[#This Row],[nb win]]/Table132[[#This Row],[nb play]]</f>
        <v>1</v>
      </c>
      <c r="H2252" t="str">
        <f>MID(Table132[[#This Row],[ÉTAT]],VALUE(RIGHT(Table132[[#This Row],[next move]],1))+1+VALUE(LEFT(Table132[[#This Row],[next move]],1))*3,1)</f>
        <v>V</v>
      </c>
      <c r="I2252" t="str">
        <f>Table132[[#This Row],[ÉTAT]]&amp;Table132[[#This Row],[next move]]</f>
        <v>VMEMEEMEV00</v>
      </c>
    </row>
    <row r="2253" spans="2:9" x14ac:dyDescent="0.25">
      <c r="B2253" t="s">
        <v>1447</v>
      </c>
      <c r="C2253" s="22" t="s">
        <v>24</v>
      </c>
      <c r="D2253">
        <v>4</v>
      </c>
      <c r="E2253">
        <v>4</v>
      </c>
      <c r="G2253" s="31">
        <f>Table132[[#This Row],[nb win]]/Table132[[#This Row],[nb play]]</f>
        <v>1</v>
      </c>
      <c r="H2253" t="str">
        <f>MID(Table132[[#This Row],[ÉTAT]],VALUE(RIGHT(Table132[[#This Row],[next move]],1))+1+VALUE(LEFT(Table132[[#This Row],[next move]],1))*3,1)</f>
        <v>V</v>
      </c>
      <c r="I2253" t="str">
        <f>Table132[[#This Row],[ÉTAT]]&amp;Table132[[#This Row],[next move]]</f>
        <v>VMEMEEMEM00</v>
      </c>
    </row>
    <row r="2254" spans="2:9" x14ac:dyDescent="0.25">
      <c r="B2254" t="s">
        <v>2837</v>
      </c>
      <c r="C2254" s="22" t="s">
        <v>24</v>
      </c>
      <c r="D2254">
        <v>1</v>
      </c>
      <c r="G2254" s="25">
        <f>Table132[[#This Row],[nb win]]/Table132[[#This Row],[nb play]]</f>
        <v>0</v>
      </c>
      <c r="H2254" t="str">
        <f>MID(Table132[[#This Row],[ÉTAT]],VALUE(RIGHT(Table132[[#This Row],[next move]],1))+1+VALUE(LEFT(Table132[[#This Row],[next move]],1))*3,1)</f>
        <v>V</v>
      </c>
      <c r="I2254" t="str">
        <f>Table132[[#This Row],[ÉTAT]]&amp;Table132[[#This Row],[next move]]</f>
        <v>VMEEVVVVV00</v>
      </c>
    </row>
    <row r="2255" spans="2:9" x14ac:dyDescent="0.25">
      <c r="B2255" t="s">
        <v>2837</v>
      </c>
      <c r="C2255" s="22" t="s">
        <v>29</v>
      </c>
      <c r="D2255">
        <v>2</v>
      </c>
      <c r="E2255">
        <v>1</v>
      </c>
      <c r="G2255" s="31">
        <f>Table132[[#This Row],[nb win]]/Table132[[#This Row],[nb play]]</f>
        <v>0.5</v>
      </c>
      <c r="H2255" t="str">
        <f>MID(Table132[[#This Row],[ÉTAT]],VALUE(RIGHT(Table132[[#This Row],[next move]],1))+1+VALUE(LEFT(Table132[[#This Row],[next move]],1))*3,1)</f>
        <v>V</v>
      </c>
      <c r="I2255" t="str">
        <f>Table132[[#This Row],[ÉTAT]]&amp;Table132[[#This Row],[next move]]</f>
        <v>VMEEVVVVV11</v>
      </c>
    </row>
    <row r="2256" spans="2:9" x14ac:dyDescent="0.25">
      <c r="B2256" t="s">
        <v>2837</v>
      </c>
      <c r="C2256" s="22" t="s">
        <v>28</v>
      </c>
      <c r="D2256">
        <v>1</v>
      </c>
      <c r="G2256" s="30">
        <f>Table132[[#This Row],[nb win]]/Table132[[#This Row],[nb play]]</f>
        <v>0</v>
      </c>
      <c r="H2256" t="str">
        <f>MID(Table132[[#This Row],[ÉTAT]],VALUE(RIGHT(Table132[[#This Row],[next move]],1))+1+VALUE(LEFT(Table132[[#This Row],[next move]],1))*3,1)</f>
        <v>V</v>
      </c>
      <c r="I2256" t="str">
        <f>Table132[[#This Row],[ÉTAT]]&amp;Table132[[#This Row],[next move]]</f>
        <v>VMEEVVVVV12</v>
      </c>
    </row>
    <row r="2257" spans="2:9" x14ac:dyDescent="0.25">
      <c r="B2257" t="s">
        <v>2837</v>
      </c>
      <c r="C2257" s="22" t="s">
        <v>35</v>
      </c>
      <c r="D2257">
        <v>1</v>
      </c>
      <c r="G2257" s="30">
        <f>Table132[[#This Row],[nb win]]/Table132[[#This Row],[nb play]]</f>
        <v>0</v>
      </c>
      <c r="H2257" t="str">
        <f>MID(Table132[[#This Row],[ÉTAT]],VALUE(RIGHT(Table132[[#This Row],[next move]],1))+1+VALUE(LEFT(Table132[[#This Row],[next move]],1))*3,1)</f>
        <v>V</v>
      </c>
      <c r="I2257" t="str">
        <f>Table132[[#This Row],[ÉTAT]]&amp;Table132[[#This Row],[next move]]</f>
        <v>VMEEVVVVV20</v>
      </c>
    </row>
    <row r="2258" spans="2:9" x14ac:dyDescent="0.25">
      <c r="B2258" t="s">
        <v>2837</v>
      </c>
      <c r="C2258" s="22" t="s">
        <v>22</v>
      </c>
      <c r="D2258">
        <v>2</v>
      </c>
      <c r="E2258">
        <v>1</v>
      </c>
      <c r="G2258" s="31">
        <f>Table132[[#This Row],[nb win]]/Table132[[#This Row],[nb play]]</f>
        <v>0.5</v>
      </c>
      <c r="H2258" t="str">
        <f>MID(Table132[[#This Row],[ÉTAT]],VALUE(RIGHT(Table132[[#This Row],[next move]],1))+1+VALUE(LEFT(Table132[[#This Row],[next move]],1))*3,1)</f>
        <v>V</v>
      </c>
      <c r="I2258" t="str">
        <f>Table132[[#This Row],[ÉTAT]]&amp;Table132[[#This Row],[next move]]</f>
        <v>VMEEVVVVV21</v>
      </c>
    </row>
    <row r="2259" spans="2:9" x14ac:dyDescent="0.25">
      <c r="B2259" t="s">
        <v>2837</v>
      </c>
      <c r="C2259" s="22" t="s">
        <v>31</v>
      </c>
      <c r="D2259">
        <v>4</v>
      </c>
      <c r="E2259">
        <v>2</v>
      </c>
      <c r="G2259" s="31">
        <f>Table132[[#This Row],[nb win]]/Table132[[#This Row],[nb play]]</f>
        <v>0.5</v>
      </c>
      <c r="H2259" t="str">
        <f>MID(Table132[[#This Row],[ÉTAT]],VALUE(RIGHT(Table132[[#This Row],[next move]],1))+1+VALUE(LEFT(Table132[[#This Row],[next move]],1))*3,1)</f>
        <v>V</v>
      </c>
      <c r="I2259" t="str">
        <f>Table132[[#This Row],[ÉTAT]]&amp;Table132[[#This Row],[next move]]</f>
        <v>VMEEVVVVV22</v>
      </c>
    </row>
    <row r="2260" spans="2:9" x14ac:dyDescent="0.25">
      <c r="B2260" t="s">
        <v>707</v>
      </c>
      <c r="C2260" s="22" t="s">
        <v>24</v>
      </c>
      <c r="D2260">
        <v>4</v>
      </c>
      <c r="E2260">
        <v>3</v>
      </c>
      <c r="G2260" s="25">
        <f>Table132[[#This Row],[nb win]]/Table132[[#This Row],[nb play]]</f>
        <v>0.75</v>
      </c>
      <c r="H2260" t="str">
        <f>MID(Table132[[#This Row],[ÉTAT]],VALUE(RIGHT(Table132[[#This Row],[next move]],1))+1+VALUE(LEFT(Table132[[#This Row],[next move]],1))*3,1)</f>
        <v>V</v>
      </c>
      <c r="I2260" t="str">
        <f>Table132[[#This Row],[ÉTAT]]&amp;Table132[[#This Row],[next move]]</f>
        <v>VMEEVVVVM00</v>
      </c>
    </row>
    <row r="2261" spans="2:9" x14ac:dyDescent="0.25">
      <c r="B2261" t="s">
        <v>707</v>
      </c>
      <c r="C2261" s="22" t="s">
        <v>29</v>
      </c>
      <c r="D2261">
        <v>1</v>
      </c>
      <c r="E2261">
        <v>1</v>
      </c>
      <c r="G2261" s="25">
        <f>Table132[[#This Row],[nb win]]/Table132[[#This Row],[nb play]]</f>
        <v>1</v>
      </c>
      <c r="H2261" t="str">
        <f>MID(Table132[[#This Row],[ÉTAT]],VALUE(RIGHT(Table132[[#This Row],[next move]],1))+1+VALUE(LEFT(Table132[[#This Row],[next move]],1))*3,1)</f>
        <v>V</v>
      </c>
      <c r="I2261" t="str">
        <f>Table132[[#This Row],[ÉTAT]]&amp;Table132[[#This Row],[next move]]</f>
        <v>VMEEVVVVM11</v>
      </c>
    </row>
    <row r="2262" spans="2:9" x14ac:dyDescent="0.25">
      <c r="B2262" t="s">
        <v>707</v>
      </c>
      <c r="C2262" s="22" t="s">
        <v>28</v>
      </c>
      <c r="D2262">
        <v>2</v>
      </c>
      <c r="G2262" s="25">
        <f>Table132[[#This Row],[nb win]]/Table132[[#This Row],[nb play]]</f>
        <v>0</v>
      </c>
      <c r="H2262" t="str">
        <f>MID(Table132[[#This Row],[ÉTAT]],VALUE(RIGHT(Table132[[#This Row],[next move]],1))+1+VALUE(LEFT(Table132[[#This Row],[next move]],1))*3,1)</f>
        <v>V</v>
      </c>
      <c r="I2262" t="str">
        <f>Table132[[#This Row],[ÉTAT]]&amp;Table132[[#This Row],[next move]]</f>
        <v>VMEEVVVVM12</v>
      </c>
    </row>
    <row r="2263" spans="2:9" x14ac:dyDescent="0.25">
      <c r="B2263" t="s">
        <v>707</v>
      </c>
      <c r="C2263" s="22" t="s">
        <v>35</v>
      </c>
      <c r="D2263">
        <v>3</v>
      </c>
      <c r="E2263">
        <v>2</v>
      </c>
      <c r="G2263" s="25">
        <f>Table132[[#This Row],[nb win]]/Table132[[#This Row],[nb play]]</f>
        <v>0.66666666666666663</v>
      </c>
      <c r="H2263" t="str">
        <f>MID(Table132[[#This Row],[ÉTAT]],VALUE(RIGHT(Table132[[#This Row],[next move]],1))+1+VALUE(LEFT(Table132[[#This Row],[next move]],1))*3,1)</f>
        <v>V</v>
      </c>
      <c r="I2263" t="str">
        <f>Table132[[#This Row],[ÉTAT]]&amp;Table132[[#This Row],[next move]]</f>
        <v>VMEEVVVVM20</v>
      </c>
    </row>
    <row r="2264" spans="2:9" x14ac:dyDescent="0.25">
      <c r="B2264" t="s">
        <v>370</v>
      </c>
      <c r="C2264" s="22" t="s">
        <v>24</v>
      </c>
      <c r="D2264">
        <v>2</v>
      </c>
      <c r="E2264">
        <v>1</v>
      </c>
      <c r="G2264" s="25">
        <f>Table132[[#This Row],[nb win]]/Table132[[#This Row],[nb play]]</f>
        <v>0.5</v>
      </c>
      <c r="H2264" t="str">
        <f>MID(Table132[[#This Row],[ÉTAT]],VALUE(RIGHT(Table132[[#This Row],[next move]],1))+1+VALUE(LEFT(Table132[[#This Row],[next move]],1))*3,1)</f>
        <v>V</v>
      </c>
      <c r="I2264" t="str">
        <f>Table132[[#This Row],[ÉTAT]]&amp;Table132[[#This Row],[next move]]</f>
        <v>VMEEVVVEM00</v>
      </c>
    </row>
    <row r="2265" spans="2:9" x14ac:dyDescent="0.25">
      <c r="B2265" t="s">
        <v>370</v>
      </c>
      <c r="C2265" s="22" t="s">
        <v>29</v>
      </c>
      <c r="D2265">
        <v>1</v>
      </c>
      <c r="E2265">
        <v>1</v>
      </c>
      <c r="G2265" s="31">
        <f>Table132[[#This Row],[nb win]]/Table132[[#This Row],[nb play]]</f>
        <v>1</v>
      </c>
      <c r="H2265" t="str">
        <f>MID(Table132[[#This Row],[ÉTAT]],VALUE(RIGHT(Table132[[#This Row],[next move]],1))+1+VALUE(LEFT(Table132[[#This Row],[next move]],1))*3,1)</f>
        <v>V</v>
      </c>
      <c r="I2265" t="str">
        <f>Table132[[#This Row],[ÉTAT]]&amp;Table132[[#This Row],[next move]]</f>
        <v>VMEEVVVEM11</v>
      </c>
    </row>
    <row r="2266" spans="2:9" x14ac:dyDescent="0.25">
      <c r="B2266" t="s">
        <v>370</v>
      </c>
      <c r="C2266" s="22" t="s">
        <v>28</v>
      </c>
      <c r="D2266">
        <v>3</v>
      </c>
      <c r="G2266" s="30">
        <f>Table132[[#This Row],[nb win]]/Table132[[#This Row],[nb play]]</f>
        <v>0</v>
      </c>
      <c r="H2266" t="str">
        <f>MID(Table132[[#This Row],[ÉTAT]],VALUE(RIGHT(Table132[[#This Row],[next move]],1))+1+VALUE(LEFT(Table132[[#This Row],[next move]],1))*3,1)</f>
        <v>V</v>
      </c>
      <c r="I2266" t="str">
        <f>Table132[[#This Row],[ÉTAT]]&amp;Table132[[#This Row],[next move]]</f>
        <v>VMEEVVVEM12</v>
      </c>
    </row>
    <row r="2267" spans="2:9" x14ac:dyDescent="0.25">
      <c r="B2267" t="s">
        <v>909</v>
      </c>
      <c r="C2267" s="22" t="s">
        <v>24</v>
      </c>
      <c r="D2267">
        <v>2</v>
      </c>
      <c r="G2267" s="25">
        <f>Table132[[#This Row],[nb win]]/Table132[[#This Row],[nb play]]</f>
        <v>0</v>
      </c>
      <c r="H2267" t="str">
        <f>MID(Table132[[#This Row],[ÉTAT]],VALUE(RIGHT(Table132[[#This Row],[next move]],1))+1+VALUE(LEFT(Table132[[#This Row],[next move]],1))*3,1)</f>
        <v>V</v>
      </c>
      <c r="I2267" t="str">
        <f>Table132[[#This Row],[ÉTAT]]&amp;Table132[[#This Row],[next move]]</f>
        <v>VMEEVVMVV00</v>
      </c>
    </row>
    <row r="2268" spans="2:9" x14ac:dyDescent="0.25">
      <c r="B2268" t="s">
        <v>909</v>
      </c>
      <c r="C2268" s="22" t="s">
        <v>29</v>
      </c>
      <c r="D2268">
        <v>3</v>
      </c>
      <c r="E2268">
        <v>2</v>
      </c>
      <c r="G2268" s="25">
        <f>Table132[[#This Row],[nb win]]/Table132[[#This Row],[nb play]]</f>
        <v>0.66666666666666663</v>
      </c>
      <c r="H2268" t="str">
        <f>MID(Table132[[#This Row],[ÉTAT]],VALUE(RIGHT(Table132[[#This Row],[next move]],1))+1+VALUE(LEFT(Table132[[#This Row],[next move]],1))*3,1)</f>
        <v>V</v>
      </c>
      <c r="I2268" t="str">
        <f>Table132[[#This Row],[ÉTAT]]&amp;Table132[[#This Row],[next move]]</f>
        <v>VMEEVVMVV11</v>
      </c>
    </row>
    <row r="2269" spans="2:9" x14ac:dyDescent="0.25">
      <c r="B2269" t="s">
        <v>909</v>
      </c>
      <c r="C2269" s="22" t="s">
        <v>22</v>
      </c>
      <c r="D2269">
        <v>1</v>
      </c>
      <c r="G2269" s="25">
        <f>Table132[[#This Row],[nb win]]/Table132[[#This Row],[nb play]]</f>
        <v>0</v>
      </c>
      <c r="H2269" t="str">
        <f>MID(Table132[[#This Row],[ÉTAT]],VALUE(RIGHT(Table132[[#This Row],[next move]],1))+1+VALUE(LEFT(Table132[[#This Row],[next move]],1))*3,1)</f>
        <v>V</v>
      </c>
      <c r="I2269" t="str">
        <f>Table132[[#This Row],[ÉTAT]]&amp;Table132[[#This Row],[next move]]</f>
        <v>VMEEVVMVV21</v>
      </c>
    </row>
    <row r="2270" spans="2:9" x14ac:dyDescent="0.25">
      <c r="B2270" t="s">
        <v>909</v>
      </c>
      <c r="C2270" s="22" t="s">
        <v>31</v>
      </c>
      <c r="D2270">
        <v>1</v>
      </c>
      <c r="E2270">
        <v>1</v>
      </c>
      <c r="G2270" s="25">
        <f>Table132[[#This Row],[nb win]]/Table132[[#This Row],[nb play]]</f>
        <v>1</v>
      </c>
      <c r="H2270" t="str">
        <f>MID(Table132[[#This Row],[ÉTAT]],VALUE(RIGHT(Table132[[#This Row],[next move]],1))+1+VALUE(LEFT(Table132[[#This Row],[next move]],1))*3,1)</f>
        <v>V</v>
      </c>
      <c r="I2270" t="str">
        <f>Table132[[#This Row],[ÉTAT]]&amp;Table132[[#This Row],[next move]]</f>
        <v>VMEEVVMVV22</v>
      </c>
    </row>
    <row r="2271" spans="2:9" x14ac:dyDescent="0.25">
      <c r="B2271" t="s">
        <v>2347</v>
      </c>
      <c r="C2271" s="22" t="s">
        <v>24</v>
      </c>
      <c r="D2271">
        <v>1</v>
      </c>
      <c r="G2271" s="25">
        <f>Table132[[#This Row],[nb win]]/Table132[[#This Row],[nb play]]</f>
        <v>0</v>
      </c>
      <c r="H2271" t="str">
        <f>MID(Table132[[#This Row],[ÉTAT]],VALUE(RIGHT(Table132[[#This Row],[next move]],1))+1+VALUE(LEFT(Table132[[#This Row],[next move]],1))*3,1)</f>
        <v>V</v>
      </c>
      <c r="I2271" t="str">
        <f>Table132[[#This Row],[ÉTAT]]&amp;Table132[[#This Row],[next move]]</f>
        <v>VMEEVVMME00</v>
      </c>
    </row>
    <row r="2272" spans="2:9" x14ac:dyDescent="0.25">
      <c r="B2272" t="s">
        <v>2347</v>
      </c>
      <c r="C2272" s="22" t="s">
        <v>29</v>
      </c>
      <c r="D2272">
        <v>1</v>
      </c>
      <c r="E2272">
        <v>1</v>
      </c>
      <c r="G2272" s="31">
        <f>Table132[[#This Row],[nb win]]/Table132[[#This Row],[nb play]]</f>
        <v>1</v>
      </c>
      <c r="H2272" t="str">
        <f>MID(Table132[[#This Row],[ÉTAT]],VALUE(RIGHT(Table132[[#This Row],[next move]],1))+1+VALUE(LEFT(Table132[[#This Row],[next move]],1))*3,1)</f>
        <v>V</v>
      </c>
      <c r="I2272" t="str">
        <f>Table132[[#This Row],[ÉTAT]]&amp;Table132[[#This Row],[next move]]</f>
        <v>VMEEVVMME11</v>
      </c>
    </row>
    <row r="2273" spans="2:9" x14ac:dyDescent="0.25">
      <c r="B2273" t="s">
        <v>1150</v>
      </c>
      <c r="C2273" s="22" t="s">
        <v>24</v>
      </c>
      <c r="D2273">
        <v>1</v>
      </c>
      <c r="G2273" s="25">
        <f>Table132[[#This Row],[nb win]]/Table132[[#This Row],[nb play]]</f>
        <v>0</v>
      </c>
      <c r="H2273" t="str">
        <f>MID(Table132[[#This Row],[ÉTAT]],VALUE(RIGHT(Table132[[#This Row],[next move]],1))+1+VALUE(LEFT(Table132[[#This Row],[next move]],1))*3,1)</f>
        <v>V</v>
      </c>
      <c r="I2273" t="str">
        <f>Table132[[#This Row],[ÉTAT]]&amp;Table132[[#This Row],[next move]]</f>
        <v>VMEEVVMEV00</v>
      </c>
    </row>
    <row r="2274" spans="2:9" x14ac:dyDescent="0.25">
      <c r="B2274" t="s">
        <v>1150</v>
      </c>
      <c r="C2274" s="22" t="s">
        <v>31</v>
      </c>
      <c r="D2274">
        <v>1</v>
      </c>
      <c r="G2274" s="25">
        <f>Table132[[#This Row],[nb win]]/Table132[[#This Row],[nb play]]</f>
        <v>0</v>
      </c>
      <c r="H2274" t="str">
        <f>MID(Table132[[#This Row],[ÉTAT]],VALUE(RIGHT(Table132[[#This Row],[next move]],1))+1+VALUE(LEFT(Table132[[#This Row],[next move]],1))*3,1)</f>
        <v>V</v>
      </c>
      <c r="I2274" t="str">
        <f>Table132[[#This Row],[ÉTAT]]&amp;Table132[[#This Row],[next move]]</f>
        <v>VMEEVVMEV22</v>
      </c>
    </row>
    <row r="2275" spans="2:9" x14ac:dyDescent="0.25">
      <c r="B2275" t="s">
        <v>1418</v>
      </c>
      <c r="C2275" s="22" t="s">
        <v>24</v>
      </c>
      <c r="D2275">
        <v>1</v>
      </c>
      <c r="E2275">
        <v>1</v>
      </c>
      <c r="G2275" s="25">
        <f>Table132[[#This Row],[nb win]]/Table132[[#This Row],[nb play]]</f>
        <v>1</v>
      </c>
      <c r="H2275" t="str">
        <f>MID(Table132[[#This Row],[ÉTAT]],VALUE(RIGHT(Table132[[#This Row],[next move]],1))+1+VALUE(LEFT(Table132[[#This Row],[next move]],1))*3,1)</f>
        <v>V</v>
      </c>
      <c r="I2275" t="str">
        <f>Table132[[#This Row],[ÉTAT]]&amp;Table132[[#This Row],[next move]]</f>
        <v>VMEEVVMEM00</v>
      </c>
    </row>
    <row r="2276" spans="2:9" x14ac:dyDescent="0.25">
      <c r="B2276" t="s">
        <v>744</v>
      </c>
      <c r="C2276" s="22" t="s">
        <v>24</v>
      </c>
      <c r="D2276">
        <v>2</v>
      </c>
      <c r="E2276">
        <v>1</v>
      </c>
      <c r="G2276" s="31">
        <f>Table132[[#This Row],[nb win]]/Table132[[#This Row],[nb play]]</f>
        <v>0.5</v>
      </c>
      <c r="H2276" t="str">
        <f>MID(Table132[[#This Row],[ÉTAT]],VALUE(RIGHT(Table132[[#This Row],[next move]],1))+1+VALUE(LEFT(Table132[[#This Row],[next move]],1))*3,1)</f>
        <v>V</v>
      </c>
      <c r="I2276" t="str">
        <f>Table132[[#This Row],[ÉTAT]]&amp;Table132[[#This Row],[next move]]</f>
        <v>VMEEVVEVM00</v>
      </c>
    </row>
    <row r="2277" spans="2:9" x14ac:dyDescent="0.25">
      <c r="B2277" t="s">
        <v>744</v>
      </c>
      <c r="C2277" s="22" t="s">
        <v>29</v>
      </c>
      <c r="D2277">
        <v>2</v>
      </c>
      <c r="E2277">
        <v>1</v>
      </c>
      <c r="G2277" s="30">
        <f>Table132[[#This Row],[nb win]]/Table132[[#This Row],[nb play]]</f>
        <v>0.5</v>
      </c>
      <c r="H2277" t="str">
        <f>MID(Table132[[#This Row],[ÉTAT]],VALUE(RIGHT(Table132[[#This Row],[next move]],1))+1+VALUE(LEFT(Table132[[#This Row],[next move]],1))*3,1)</f>
        <v>V</v>
      </c>
      <c r="I2277" t="str">
        <f>Table132[[#This Row],[ÉTAT]]&amp;Table132[[#This Row],[next move]]</f>
        <v>VMEEVVEVM11</v>
      </c>
    </row>
    <row r="2278" spans="2:9" x14ac:dyDescent="0.25">
      <c r="B2278" t="s">
        <v>744</v>
      </c>
      <c r="C2278" s="22" t="s">
        <v>28</v>
      </c>
      <c r="D2278">
        <v>4</v>
      </c>
      <c r="G2278" s="30">
        <f>Table132[[#This Row],[nb win]]/Table132[[#This Row],[nb play]]</f>
        <v>0</v>
      </c>
      <c r="H2278" t="str">
        <f>MID(Table132[[#This Row],[ÉTAT]],VALUE(RIGHT(Table132[[#This Row],[next move]],1))+1+VALUE(LEFT(Table132[[#This Row],[next move]],1))*3,1)</f>
        <v>V</v>
      </c>
      <c r="I2278" t="str">
        <f>Table132[[#This Row],[ÉTAT]]&amp;Table132[[#This Row],[next move]]</f>
        <v>VMEEVVEVM12</v>
      </c>
    </row>
    <row r="2279" spans="2:9" x14ac:dyDescent="0.25">
      <c r="B2279" t="s">
        <v>744</v>
      </c>
      <c r="C2279" s="22" t="s">
        <v>22</v>
      </c>
      <c r="D2279">
        <v>1</v>
      </c>
      <c r="G2279" s="30">
        <f>Table132[[#This Row],[nb win]]/Table132[[#This Row],[nb play]]</f>
        <v>0</v>
      </c>
      <c r="H2279" t="str">
        <f>MID(Table132[[#This Row],[ÉTAT]],VALUE(RIGHT(Table132[[#This Row],[next move]],1))+1+VALUE(LEFT(Table132[[#This Row],[next move]],1))*3,1)</f>
        <v>V</v>
      </c>
      <c r="I2279" t="str">
        <f>Table132[[#This Row],[ÉTAT]]&amp;Table132[[#This Row],[next move]]</f>
        <v>VMEEVVEVM21</v>
      </c>
    </row>
    <row r="2280" spans="2:9" x14ac:dyDescent="0.25">
      <c r="B2280" t="s">
        <v>3479</v>
      </c>
      <c r="C2280" s="22" t="s">
        <v>31</v>
      </c>
      <c r="D2280">
        <v>1</v>
      </c>
      <c r="G2280" s="30">
        <f>Table132[[#This Row],[nb win]]/Table132[[#This Row],[nb play]]</f>
        <v>0</v>
      </c>
      <c r="H2280" t="str">
        <f>MID(Table132[[#This Row],[ÉTAT]],VALUE(RIGHT(Table132[[#This Row],[next move]],1))+1+VALUE(LEFT(Table132[[#This Row],[next move]],1))*3,1)</f>
        <v>V</v>
      </c>
      <c r="I2280" t="str">
        <f>Table132[[#This Row],[ÉTAT]]&amp;Table132[[#This Row],[next move]]</f>
        <v>VMEEVVEMV22</v>
      </c>
    </row>
    <row r="2281" spans="2:9" x14ac:dyDescent="0.25">
      <c r="B2281" t="s">
        <v>2018</v>
      </c>
      <c r="C2281" s="22" t="s">
        <v>29</v>
      </c>
      <c r="D2281">
        <v>1</v>
      </c>
      <c r="E2281">
        <v>1</v>
      </c>
      <c r="G2281" s="25">
        <f>Table132[[#This Row],[nb win]]/Table132[[#This Row],[nb play]]</f>
        <v>1</v>
      </c>
      <c r="H2281" t="str">
        <f>MID(Table132[[#This Row],[ÉTAT]],VALUE(RIGHT(Table132[[#This Row],[next move]],1))+1+VALUE(LEFT(Table132[[#This Row],[next move]],1))*3,1)</f>
        <v>V</v>
      </c>
      <c r="I2281" t="str">
        <f>Table132[[#This Row],[ÉTAT]]&amp;Table132[[#This Row],[next move]]</f>
        <v>VMEEVMVVE11</v>
      </c>
    </row>
    <row r="2282" spans="2:9" x14ac:dyDescent="0.25">
      <c r="B2282" t="s">
        <v>969</v>
      </c>
      <c r="C2282" s="22" t="s">
        <v>31</v>
      </c>
      <c r="D2282">
        <v>1</v>
      </c>
      <c r="G2282" s="25">
        <f>Table132[[#This Row],[nb win]]/Table132[[#This Row],[nb play]]</f>
        <v>0</v>
      </c>
      <c r="H2282" t="str">
        <f>MID(Table132[[#This Row],[ÉTAT]],VALUE(RIGHT(Table132[[#This Row],[next move]],1))+1+VALUE(LEFT(Table132[[#This Row],[next move]],1))*3,1)</f>
        <v>V</v>
      </c>
      <c r="I2282" t="str">
        <f>Table132[[#This Row],[ÉTAT]]&amp;Table132[[#This Row],[next move]]</f>
        <v>VMEEVMVEV22</v>
      </c>
    </row>
    <row r="2283" spans="2:9" x14ac:dyDescent="0.25">
      <c r="B2283" t="s">
        <v>2082</v>
      </c>
      <c r="C2283" s="22" t="s">
        <v>24</v>
      </c>
      <c r="D2283">
        <v>3</v>
      </c>
      <c r="G2283" s="30">
        <f>Table132[[#This Row],[nb win]]/Table132[[#This Row],[nb play]]</f>
        <v>0</v>
      </c>
      <c r="H2283" t="str">
        <f>MID(Table132[[#This Row],[ÉTAT]],VALUE(RIGHT(Table132[[#This Row],[next move]],1))+1+VALUE(LEFT(Table132[[#This Row],[next move]],1))*3,1)</f>
        <v>V</v>
      </c>
      <c r="I2283" t="str">
        <f>Table132[[#This Row],[ÉTAT]]&amp;Table132[[#This Row],[next move]]</f>
        <v>VMEEVMEVV00</v>
      </c>
    </row>
    <row r="2284" spans="2:9" x14ac:dyDescent="0.25">
      <c r="B2284" t="s">
        <v>2082</v>
      </c>
      <c r="C2284" s="22" t="s">
        <v>29</v>
      </c>
      <c r="D2284">
        <v>3</v>
      </c>
      <c r="G2284" s="30">
        <f>Table132[[#This Row],[nb win]]/Table132[[#This Row],[nb play]]</f>
        <v>0</v>
      </c>
      <c r="H2284" t="str">
        <f>MID(Table132[[#This Row],[ÉTAT]],VALUE(RIGHT(Table132[[#This Row],[next move]],1))+1+VALUE(LEFT(Table132[[#This Row],[next move]],1))*3,1)</f>
        <v>V</v>
      </c>
      <c r="I2284" t="str">
        <f>Table132[[#This Row],[ÉTAT]]&amp;Table132[[#This Row],[next move]]</f>
        <v>VMEEVMEVV11</v>
      </c>
    </row>
    <row r="2285" spans="2:9" x14ac:dyDescent="0.25">
      <c r="B2285" t="s">
        <v>2082</v>
      </c>
      <c r="C2285" s="22" t="s">
        <v>22</v>
      </c>
      <c r="D2285">
        <v>1</v>
      </c>
      <c r="G2285" s="25">
        <f>Table132[[#This Row],[nb win]]/Table132[[#This Row],[nb play]]</f>
        <v>0</v>
      </c>
      <c r="H2285" t="str">
        <f>MID(Table132[[#This Row],[ÉTAT]],VALUE(RIGHT(Table132[[#This Row],[next move]],1))+1+VALUE(LEFT(Table132[[#This Row],[next move]],1))*3,1)</f>
        <v>V</v>
      </c>
      <c r="I2285" t="str">
        <f>Table132[[#This Row],[ÉTAT]]&amp;Table132[[#This Row],[next move]]</f>
        <v>VMEEVMEVV21</v>
      </c>
    </row>
    <row r="2286" spans="2:9" x14ac:dyDescent="0.25">
      <c r="B2286" t="s">
        <v>2082</v>
      </c>
      <c r="C2286" s="22" t="s">
        <v>31</v>
      </c>
      <c r="D2286">
        <v>1</v>
      </c>
      <c r="G2286" s="25">
        <f>Table132[[#This Row],[nb win]]/Table132[[#This Row],[nb play]]</f>
        <v>0</v>
      </c>
      <c r="H2286" t="str">
        <f>MID(Table132[[#This Row],[ÉTAT]],VALUE(RIGHT(Table132[[#This Row],[next move]],1))+1+VALUE(LEFT(Table132[[#This Row],[next move]],1))*3,1)</f>
        <v>V</v>
      </c>
      <c r="I2286" t="str">
        <f>Table132[[#This Row],[ÉTAT]]&amp;Table132[[#This Row],[next move]]</f>
        <v>VMEEVMEVV22</v>
      </c>
    </row>
    <row r="2287" spans="2:9" x14ac:dyDescent="0.25">
      <c r="B2287" t="s">
        <v>946</v>
      </c>
      <c r="C2287" s="22" t="s">
        <v>24</v>
      </c>
      <c r="D2287">
        <v>2</v>
      </c>
      <c r="G2287" s="25">
        <f>Table132[[#This Row],[nb win]]/Table132[[#This Row],[nb play]]</f>
        <v>0</v>
      </c>
      <c r="H2287" t="str">
        <f>MID(Table132[[#This Row],[ÉTAT]],VALUE(RIGHT(Table132[[#This Row],[next move]],1))+1+VALUE(LEFT(Table132[[#This Row],[next move]],1))*3,1)</f>
        <v>V</v>
      </c>
      <c r="I2287" t="str">
        <f>Table132[[#This Row],[ÉTAT]]&amp;Table132[[#This Row],[next move]]</f>
        <v>VMEEVMEVM00</v>
      </c>
    </row>
    <row r="2288" spans="2:9" x14ac:dyDescent="0.25">
      <c r="B2288" t="s">
        <v>946</v>
      </c>
      <c r="C2288" s="22" t="s">
        <v>29</v>
      </c>
      <c r="D2288">
        <v>3</v>
      </c>
      <c r="G2288" s="30">
        <f>Table132[[#This Row],[nb win]]/Table132[[#This Row],[nb play]]</f>
        <v>0</v>
      </c>
      <c r="H2288" t="str">
        <f>MID(Table132[[#This Row],[ÉTAT]],VALUE(RIGHT(Table132[[#This Row],[next move]],1))+1+VALUE(LEFT(Table132[[#This Row],[next move]],1))*3,1)</f>
        <v>V</v>
      </c>
      <c r="I2288" t="str">
        <f>Table132[[#This Row],[ÉTAT]]&amp;Table132[[#This Row],[next move]]</f>
        <v>VMEEVMEVM11</v>
      </c>
    </row>
    <row r="2289" spans="2:9" x14ac:dyDescent="0.25">
      <c r="B2289" t="s">
        <v>946</v>
      </c>
      <c r="C2289" s="22" t="s">
        <v>22</v>
      </c>
      <c r="D2289">
        <v>3</v>
      </c>
      <c r="G2289" s="30">
        <f>Table132[[#This Row],[nb win]]/Table132[[#This Row],[nb play]]</f>
        <v>0</v>
      </c>
      <c r="H2289" t="str">
        <f>MID(Table132[[#This Row],[ÉTAT]],VALUE(RIGHT(Table132[[#This Row],[next move]],1))+1+VALUE(LEFT(Table132[[#This Row],[next move]],1))*3,1)</f>
        <v>V</v>
      </c>
      <c r="I2289" t="str">
        <f>Table132[[#This Row],[ÉTAT]]&amp;Table132[[#This Row],[next move]]</f>
        <v>VMEEVMEVM21</v>
      </c>
    </row>
    <row r="2290" spans="2:9" x14ac:dyDescent="0.25">
      <c r="B2290" t="s">
        <v>1133</v>
      </c>
      <c r="C2290" s="22" t="s">
        <v>29</v>
      </c>
      <c r="D2290">
        <v>3</v>
      </c>
      <c r="E2290">
        <v>3</v>
      </c>
      <c r="G2290" s="25">
        <f>Table132[[#This Row],[nb win]]/Table132[[#This Row],[nb play]]</f>
        <v>1</v>
      </c>
      <c r="H2290" t="str">
        <f>MID(Table132[[#This Row],[ÉTAT]],VALUE(RIGHT(Table132[[#This Row],[next move]],1))+1+VALUE(LEFT(Table132[[#This Row],[next move]],1))*3,1)</f>
        <v>V</v>
      </c>
      <c r="I2290" t="str">
        <f>Table132[[#This Row],[ÉTAT]]&amp;Table132[[#This Row],[next move]]</f>
        <v>VMEEVMEME11</v>
      </c>
    </row>
    <row r="2291" spans="2:9" x14ac:dyDescent="0.25">
      <c r="B2291" t="s">
        <v>576</v>
      </c>
      <c r="C2291" s="22" t="s">
        <v>24</v>
      </c>
      <c r="D2291">
        <v>3</v>
      </c>
      <c r="G2291" s="30">
        <f>Table132[[#This Row],[nb win]]/Table132[[#This Row],[nb play]]</f>
        <v>0</v>
      </c>
      <c r="H2291" t="str">
        <f>MID(Table132[[#This Row],[ÉTAT]],VALUE(RIGHT(Table132[[#This Row],[next move]],1))+1+VALUE(LEFT(Table132[[#This Row],[next move]],1))*3,1)</f>
        <v>V</v>
      </c>
      <c r="I2291" t="str">
        <f>Table132[[#This Row],[ÉTAT]]&amp;Table132[[#This Row],[next move]]</f>
        <v>VMEEVMEEM00</v>
      </c>
    </row>
    <row r="2292" spans="2:9" x14ac:dyDescent="0.25">
      <c r="B2292" t="s">
        <v>576</v>
      </c>
      <c r="C2292" s="22" t="s">
        <v>29</v>
      </c>
      <c r="D2292">
        <v>4</v>
      </c>
      <c r="G2292" s="30">
        <f>Table132[[#This Row],[nb win]]/Table132[[#This Row],[nb play]]</f>
        <v>0</v>
      </c>
      <c r="H2292" t="str">
        <f>MID(Table132[[#This Row],[ÉTAT]],VALUE(RIGHT(Table132[[#This Row],[next move]],1))+1+VALUE(LEFT(Table132[[#This Row],[next move]],1))*3,1)</f>
        <v>V</v>
      </c>
      <c r="I2292" t="str">
        <f>Table132[[#This Row],[ÉTAT]]&amp;Table132[[#This Row],[next move]]</f>
        <v>VMEEVMEEM11</v>
      </c>
    </row>
    <row r="2293" spans="2:9" x14ac:dyDescent="0.25">
      <c r="B2293" t="s">
        <v>3499</v>
      </c>
      <c r="C2293" s="22" t="s">
        <v>22</v>
      </c>
      <c r="D2293">
        <v>1</v>
      </c>
      <c r="E2293">
        <v>1</v>
      </c>
      <c r="G2293" s="31">
        <f>Table132[[#This Row],[nb win]]/Table132[[#This Row],[nb play]]</f>
        <v>1</v>
      </c>
      <c r="H2293" t="str">
        <f>MID(Table132[[#This Row],[ÉTAT]],VALUE(RIGHT(Table132[[#This Row],[next move]],1))+1+VALUE(LEFT(Table132[[#This Row],[next move]],1))*3,1)</f>
        <v>V</v>
      </c>
      <c r="I2293" t="str">
        <f>Table132[[#This Row],[ÉTAT]]&amp;Table132[[#This Row],[next move]]</f>
        <v>VMEEVEVVM21</v>
      </c>
    </row>
    <row r="2294" spans="2:9" x14ac:dyDescent="0.25">
      <c r="B2294" t="s">
        <v>1157</v>
      </c>
      <c r="C2294" s="22" t="s">
        <v>24</v>
      </c>
      <c r="D2294">
        <v>1</v>
      </c>
      <c r="G2294" s="25">
        <f>Table132[[#This Row],[nb win]]/Table132[[#This Row],[nb play]]</f>
        <v>0</v>
      </c>
      <c r="H2294" t="str">
        <f>MID(Table132[[#This Row],[ÉTAT]],VALUE(RIGHT(Table132[[#This Row],[next move]],1))+1+VALUE(LEFT(Table132[[#This Row],[next move]],1))*3,1)</f>
        <v>V</v>
      </c>
      <c r="I2294" t="str">
        <f>Table132[[#This Row],[ÉTAT]]&amp;Table132[[#This Row],[next move]]</f>
        <v>VMEEVEVMM00</v>
      </c>
    </row>
    <row r="2295" spans="2:9" x14ac:dyDescent="0.25">
      <c r="B2295" t="s">
        <v>1157</v>
      </c>
      <c r="C2295" s="22" t="s">
        <v>35</v>
      </c>
      <c r="D2295">
        <v>1</v>
      </c>
      <c r="E2295">
        <v>1</v>
      </c>
      <c r="G2295" s="25">
        <f>Table132[[#This Row],[nb win]]/Table132[[#This Row],[nb play]]</f>
        <v>1</v>
      </c>
      <c r="H2295" t="str">
        <f>MID(Table132[[#This Row],[ÉTAT]],VALUE(RIGHT(Table132[[#This Row],[next move]],1))+1+VALUE(LEFT(Table132[[#This Row],[next move]],1))*3,1)</f>
        <v>V</v>
      </c>
      <c r="I2295" t="str">
        <f>Table132[[#This Row],[ÉTAT]]&amp;Table132[[#This Row],[next move]]</f>
        <v>VMEEVEVMM20</v>
      </c>
    </row>
    <row r="2296" spans="2:9" x14ac:dyDescent="0.25">
      <c r="B2296" t="s">
        <v>2574</v>
      </c>
      <c r="C2296" s="22" t="s">
        <v>29</v>
      </c>
      <c r="D2296">
        <v>1</v>
      </c>
      <c r="G2296" s="25">
        <f>Table132[[#This Row],[nb win]]/Table132[[#This Row],[nb play]]</f>
        <v>0</v>
      </c>
      <c r="H2296" t="str">
        <f>MID(Table132[[#This Row],[ÉTAT]],VALUE(RIGHT(Table132[[#This Row],[next move]],1))+1+VALUE(LEFT(Table132[[#This Row],[next move]],1))*3,1)</f>
        <v>V</v>
      </c>
      <c r="I2296" t="str">
        <f>Table132[[#This Row],[ÉTAT]]&amp;Table132[[#This Row],[next move]]</f>
        <v>VMEEVEMVV11</v>
      </c>
    </row>
    <row r="2297" spans="2:9" x14ac:dyDescent="0.25">
      <c r="B2297" t="s">
        <v>2574</v>
      </c>
      <c r="C2297" s="22" t="s">
        <v>22</v>
      </c>
      <c r="D2297">
        <v>1</v>
      </c>
      <c r="G2297" s="30">
        <f>Table132[[#This Row],[nb win]]/Table132[[#This Row],[nb play]]</f>
        <v>0</v>
      </c>
      <c r="H2297" t="str">
        <f>MID(Table132[[#This Row],[ÉTAT]],VALUE(RIGHT(Table132[[#This Row],[next move]],1))+1+VALUE(LEFT(Table132[[#This Row],[next move]],1))*3,1)</f>
        <v>V</v>
      </c>
      <c r="I2297" t="str">
        <f>Table132[[#This Row],[ÉTAT]]&amp;Table132[[#This Row],[next move]]</f>
        <v>VMEEVEMVV21</v>
      </c>
    </row>
    <row r="2298" spans="2:9" x14ac:dyDescent="0.25">
      <c r="B2298" t="s">
        <v>708</v>
      </c>
      <c r="C2298" s="22" t="s">
        <v>24</v>
      </c>
      <c r="D2298">
        <v>1</v>
      </c>
      <c r="G2298" s="25">
        <f>Table132[[#This Row],[nb win]]/Table132[[#This Row],[nb play]]</f>
        <v>0</v>
      </c>
      <c r="H2298" t="str">
        <f>MID(Table132[[#This Row],[ÉTAT]],VALUE(RIGHT(Table132[[#This Row],[next move]],1))+1+VALUE(LEFT(Table132[[#This Row],[next move]],1))*3,1)</f>
        <v>V</v>
      </c>
      <c r="I2298" t="str">
        <f>Table132[[#This Row],[ÉTAT]]&amp;Table132[[#This Row],[next move]]</f>
        <v>VMEEVEMVM00</v>
      </c>
    </row>
    <row r="2299" spans="2:9" x14ac:dyDescent="0.25">
      <c r="B2299" t="s">
        <v>708</v>
      </c>
      <c r="C2299" s="22" t="s">
        <v>22</v>
      </c>
      <c r="D2299">
        <v>2</v>
      </c>
      <c r="E2299">
        <v>2</v>
      </c>
      <c r="G2299" s="25">
        <f>Table132[[#This Row],[nb win]]/Table132[[#This Row],[nb play]]</f>
        <v>1</v>
      </c>
      <c r="H2299" t="str">
        <f>MID(Table132[[#This Row],[ÉTAT]],VALUE(RIGHT(Table132[[#This Row],[next move]],1))+1+VALUE(LEFT(Table132[[#This Row],[next move]],1))*3,1)</f>
        <v>V</v>
      </c>
      <c r="I2299" t="str">
        <f>Table132[[#This Row],[ÉTAT]]&amp;Table132[[#This Row],[next move]]</f>
        <v>VMEEVEMVM21</v>
      </c>
    </row>
    <row r="2300" spans="2:9" x14ac:dyDescent="0.25">
      <c r="B2300" t="s">
        <v>1642</v>
      </c>
      <c r="C2300" s="22" t="s">
        <v>24</v>
      </c>
      <c r="D2300">
        <v>3</v>
      </c>
      <c r="G2300" s="30">
        <f>Table132[[#This Row],[nb win]]/Table132[[#This Row],[nb play]]</f>
        <v>0</v>
      </c>
      <c r="H2300" t="str">
        <f>MID(Table132[[#This Row],[ÉTAT]],VALUE(RIGHT(Table132[[#This Row],[next move]],1))+1+VALUE(LEFT(Table132[[#This Row],[next move]],1))*3,1)</f>
        <v>V</v>
      </c>
      <c r="I2300" t="str">
        <f>Table132[[#This Row],[ÉTAT]]&amp;Table132[[#This Row],[next move]]</f>
        <v>VMEEVEMMV00</v>
      </c>
    </row>
    <row r="2301" spans="2:9" x14ac:dyDescent="0.25">
      <c r="B2301" t="s">
        <v>1642</v>
      </c>
      <c r="C2301" s="22" t="s">
        <v>29</v>
      </c>
      <c r="D2301">
        <v>1</v>
      </c>
      <c r="E2301">
        <v>1</v>
      </c>
      <c r="G2301" s="25">
        <f>Table132[[#This Row],[nb win]]/Table132[[#This Row],[nb play]]</f>
        <v>1</v>
      </c>
      <c r="H2301" t="str">
        <f>MID(Table132[[#This Row],[ÉTAT]],VALUE(RIGHT(Table132[[#This Row],[next move]],1))+1+VALUE(LEFT(Table132[[#This Row],[next move]],1))*3,1)</f>
        <v>V</v>
      </c>
      <c r="I2301" t="str">
        <f>Table132[[#This Row],[ÉTAT]]&amp;Table132[[#This Row],[next move]]</f>
        <v>VMEEVEMMV11</v>
      </c>
    </row>
    <row r="2302" spans="2:9" x14ac:dyDescent="0.25">
      <c r="B2302" t="s">
        <v>1152</v>
      </c>
      <c r="C2302" s="22" t="s">
        <v>24</v>
      </c>
      <c r="D2302">
        <v>1</v>
      </c>
      <c r="G2302" s="25">
        <f>Table132[[#This Row],[nb win]]/Table132[[#This Row],[nb play]]</f>
        <v>0</v>
      </c>
      <c r="H2302" t="str">
        <f>MID(Table132[[#This Row],[ÉTAT]],VALUE(RIGHT(Table132[[#This Row],[next move]],1))+1+VALUE(LEFT(Table132[[#This Row],[next move]],1))*3,1)</f>
        <v>V</v>
      </c>
      <c r="I2302" t="str">
        <f>Table132[[#This Row],[ÉTAT]]&amp;Table132[[#This Row],[next move]]</f>
        <v>VMEEVEMEM00</v>
      </c>
    </row>
    <row r="2303" spans="2:9" x14ac:dyDescent="0.25">
      <c r="B2303" t="s">
        <v>1727</v>
      </c>
      <c r="C2303" s="22" t="s">
        <v>22</v>
      </c>
      <c r="D2303">
        <v>3</v>
      </c>
      <c r="E2303">
        <v>3</v>
      </c>
      <c r="G2303" s="31">
        <f>Table132[[#This Row],[nb win]]/Table132[[#This Row],[nb play]]</f>
        <v>1</v>
      </c>
      <c r="H2303" t="str">
        <f>MID(Table132[[#This Row],[ÉTAT]],VALUE(RIGHT(Table132[[#This Row],[next move]],1))+1+VALUE(LEFT(Table132[[#This Row],[next move]],1))*3,1)</f>
        <v>V</v>
      </c>
      <c r="I2303" t="str">
        <f>Table132[[#This Row],[ÉTAT]]&amp;Table132[[#This Row],[next move]]</f>
        <v>VMEEMVVVV21</v>
      </c>
    </row>
    <row r="2304" spans="2:9" x14ac:dyDescent="0.25">
      <c r="B2304" t="s">
        <v>1380</v>
      </c>
      <c r="C2304" s="22" t="s">
        <v>24</v>
      </c>
      <c r="D2304">
        <v>2</v>
      </c>
      <c r="E2304">
        <v>1</v>
      </c>
      <c r="G2304" s="25">
        <f>Table132[[#This Row],[nb win]]/Table132[[#This Row],[nb play]]</f>
        <v>0.5</v>
      </c>
      <c r="H2304" t="str">
        <f>MID(Table132[[#This Row],[ÉTAT]],VALUE(RIGHT(Table132[[#This Row],[next move]],1))+1+VALUE(LEFT(Table132[[#This Row],[next move]],1))*3,1)</f>
        <v>V</v>
      </c>
      <c r="I2304" t="str">
        <f>Table132[[#This Row],[ÉTAT]]&amp;Table132[[#This Row],[next move]]</f>
        <v>VMEEMVVVE00</v>
      </c>
    </row>
    <row r="2305" spans="2:9" x14ac:dyDescent="0.25">
      <c r="B2305" t="s">
        <v>1380</v>
      </c>
      <c r="C2305" s="22" t="s">
        <v>28</v>
      </c>
      <c r="D2305">
        <v>1</v>
      </c>
      <c r="E2305">
        <v>1</v>
      </c>
      <c r="G2305" s="25">
        <f>Table132[[#This Row],[nb win]]/Table132[[#This Row],[nb play]]</f>
        <v>1</v>
      </c>
      <c r="H2305" t="str">
        <f>MID(Table132[[#This Row],[ÉTAT]],VALUE(RIGHT(Table132[[#This Row],[next move]],1))+1+VALUE(LEFT(Table132[[#This Row],[next move]],1))*3,1)</f>
        <v>V</v>
      </c>
      <c r="I2305" t="str">
        <f>Table132[[#This Row],[ÉTAT]]&amp;Table132[[#This Row],[next move]]</f>
        <v>VMEEMVVVE12</v>
      </c>
    </row>
    <row r="2306" spans="2:9" x14ac:dyDescent="0.25">
      <c r="B2306" t="s">
        <v>1410</v>
      </c>
      <c r="C2306" s="22" t="s">
        <v>24</v>
      </c>
      <c r="D2306">
        <v>3</v>
      </c>
      <c r="E2306">
        <v>2</v>
      </c>
      <c r="G2306" s="25">
        <f>Table132[[#This Row],[nb win]]/Table132[[#This Row],[nb play]]</f>
        <v>0.66666666666666663</v>
      </c>
      <c r="H2306" t="str">
        <f>MID(Table132[[#This Row],[ÉTAT]],VALUE(RIGHT(Table132[[#This Row],[next move]],1))+1+VALUE(LEFT(Table132[[#This Row],[next move]],1))*3,1)</f>
        <v>V</v>
      </c>
      <c r="I2306" t="str">
        <f>Table132[[#This Row],[ÉTAT]]&amp;Table132[[#This Row],[next move]]</f>
        <v>VMEEMVVEV00</v>
      </c>
    </row>
    <row r="2307" spans="2:9" x14ac:dyDescent="0.25">
      <c r="B2307" t="s">
        <v>1410</v>
      </c>
      <c r="C2307" s="22" t="s">
        <v>28</v>
      </c>
      <c r="D2307">
        <v>1</v>
      </c>
      <c r="G2307" s="25">
        <f>Table132[[#This Row],[nb win]]/Table132[[#This Row],[nb play]]</f>
        <v>0</v>
      </c>
      <c r="H2307" t="str">
        <f>MID(Table132[[#This Row],[ÉTAT]],VALUE(RIGHT(Table132[[#This Row],[next move]],1))+1+VALUE(LEFT(Table132[[#This Row],[next move]],1))*3,1)</f>
        <v>V</v>
      </c>
      <c r="I2307" t="str">
        <f>Table132[[#This Row],[ÉTAT]]&amp;Table132[[#This Row],[next move]]</f>
        <v>VMEEMVVEV12</v>
      </c>
    </row>
    <row r="2308" spans="2:9" x14ac:dyDescent="0.25">
      <c r="B2308" t="s">
        <v>1410</v>
      </c>
      <c r="C2308" s="22" t="s">
        <v>35</v>
      </c>
      <c r="D2308">
        <v>1</v>
      </c>
      <c r="G2308" s="25">
        <f>Table132[[#This Row],[nb win]]/Table132[[#This Row],[nb play]]</f>
        <v>0</v>
      </c>
      <c r="H2308" t="str">
        <f>MID(Table132[[#This Row],[ÉTAT]],VALUE(RIGHT(Table132[[#This Row],[next move]],1))+1+VALUE(LEFT(Table132[[#This Row],[next move]],1))*3,1)</f>
        <v>V</v>
      </c>
      <c r="I2308" t="str">
        <f>Table132[[#This Row],[ÉTAT]]&amp;Table132[[#This Row],[next move]]</f>
        <v>VMEEMVVEV20</v>
      </c>
    </row>
    <row r="2309" spans="2:9" x14ac:dyDescent="0.25">
      <c r="B2309" t="s">
        <v>1410</v>
      </c>
      <c r="C2309" s="22" t="s">
        <v>31</v>
      </c>
      <c r="D2309">
        <v>1</v>
      </c>
      <c r="E2309">
        <v>1</v>
      </c>
      <c r="G2309" s="25">
        <f>Table132[[#This Row],[nb win]]/Table132[[#This Row],[nb play]]</f>
        <v>1</v>
      </c>
      <c r="H2309" t="str">
        <f>MID(Table132[[#This Row],[ÉTAT]],VALUE(RIGHT(Table132[[#This Row],[next move]],1))+1+VALUE(LEFT(Table132[[#This Row],[next move]],1))*3,1)</f>
        <v>V</v>
      </c>
      <c r="I2309" t="str">
        <f>Table132[[#This Row],[ÉTAT]]&amp;Table132[[#This Row],[next move]]</f>
        <v>VMEEMVVEV22</v>
      </c>
    </row>
    <row r="2310" spans="2:9" x14ac:dyDescent="0.25">
      <c r="B2310" t="s">
        <v>2639</v>
      </c>
      <c r="C2310" s="22" t="s">
        <v>28</v>
      </c>
      <c r="D2310">
        <v>1</v>
      </c>
      <c r="E2310">
        <v>1</v>
      </c>
      <c r="G2310" s="25">
        <f>Table132[[#This Row],[nb win]]/Table132[[#This Row],[nb play]]</f>
        <v>1</v>
      </c>
      <c r="H2310" t="str">
        <f>MID(Table132[[#This Row],[ÉTAT]],VALUE(RIGHT(Table132[[#This Row],[next move]],1))+1+VALUE(LEFT(Table132[[#This Row],[next move]],1))*3,1)</f>
        <v>V</v>
      </c>
      <c r="I2310" t="str">
        <f>Table132[[#This Row],[ÉTAT]]&amp;Table132[[#This Row],[next move]]</f>
        <v>VMEEMVVEM12</v>
      </c>
    </row>
    <row r="2311" spans="2:9" x14ac:dyDescent="0.25">
      <c r="B2311" t="s">
        <v>633</v>
      </c>
      <c r="C2311" s="22" t="s">
        <v>24</v>
      </c>
      <c r="D2311">
        <v>1</v>
      </c>
      <c r="G2311" s="25">
        <f>Table132[[#This Row],[nb win]]/Table132[[#This Row],[nb play]]</f>
        <v>0</v>
      </c>
      <c r="H2311" t="str">
        <f>MID(Table132[[#This Row],[ÉTAT]],VALUE(RIGHT(Table132[[#This Row],[next move]],1))+1+VALUE(LEFT(Table132[[#This Row],[next move]],1))*3,1)</f>
        <v>V</v>
      </c>
      <c r="I2311" t="str">
        <f>Table132[[#This Row],[ÉTAT]]&amp;Table132[[#This Row],[next move]]</f>
        <v>VMEEMVMVE00</v>
      </c>
    </row>
    <row r="2312" spans="2:9" x14ac:dyDescent="0.25">
      <c r="B2312" t="s">
        <v>646</v>
      </c>
      <c r="C2312" s="22" t="s">
        <v>24</v>
      </c>
      <c r="D2312">
        <v>1</v>
      </c>
      <c r="G2312" s="25">
        <f>Table132[[#This Row],[nb win]]/Table132[[#This Row],[nb play]]</f>
        <v>0</v>
      </c>
      <c r="H2312" t="str">
        <f>MID(Table132[[#This Row],[ÉTAT]],VALUE(RIGHT(Table132[[#This Row],[next move]],1))+1+VALUE(LEFT(Table132[[#This Row],[next move]],1))*3,1)</f>
        <v>V</v>
      </c>
      <c r="I2312" t="str">
        <f>Table132[[#This Row],[ÉTAT]]&amp;Table132[[#This Row],[next move]]</f>
        <v>VMEEMVMEE00</v>
      </c>
    </row>
    <row r="2313" spans="2:9" x14ac:dyDescent="0.25">
      <c r="B2313" t="s">
        <v>1212</v>
      </c>
      <c r="C2313" s="22" t="s">
        <v>22</v>
      </c>
      <c r="D2313">
        <v>3</v>
      </c>
      <c r="E2313">
        <v>3</v>
      </c>
      <c r="G2313" s="25">
        <f>Table132[[#This Row],[nb win]]/Table132[[#This Row],[nb play]]</f>
        <v>1</v>
      </c>
      <c r="H2313" t="str">
        <f>MID(Table132[[#This Row],[ÉTAT]],VALUE(RIGHT(Table132[[#This Row],[next move]],1))+1+VALUE(LEFT(Table132[[#This Row],[next move]],1))*3,1)</f>
        <v>V</v>
      </c>
      <c r="I2313" t="str">
        <f>Table132[[#This Row],[ÉTAT]]&amp;Table132[[#This Row],[next move]]</f>
        <v>VMEEMVEVM21</v>
      </c>
    </row>
    <row r="2314" spans="2:9" x14ac:dyDescent="0.25">
      <c r="B2314" t="s">
        <v>1568</v>
      </c>
      <c r="C2314" s="22" t="s">
        <v>24</v>
      </c>
      <c r="D2314">
        <v>3</v>
      </c>
      <c r="E2314">
        <v>3</v>
      </c>
      <c r="G2314" s="31">
        <f>Table132[[#This Row],[nb win]]/Table132[[#This Row],[nb play]]</f>
        <v>1</v>
      </c>
      <c r="H2314" t="str">
        <f>MID(Table132[[#This Row],[ÉTAT]],VALUE(RIGHT(Table132[[#This Row],[next move]],1))+1+VALUE(LEFT(Table132[[#This Row],[next move]],1))*3,1)</f>
        <v>V</v>
      </c>
      <c r="I2314" t="str">
        <f>Table132[[#This Row],[ÉTAT]]&amp;Table132[[#This Row],[next move]]</f>
        <v>VMEEMVEEM00</v>
      </c>
    </row>
    <row r="2315" spans="2:9" x14ac:dyDescent="0.25">
      <c r="B2315" t="s">
        <v>1568</v>
      </c>
      <c r="C2315" s="22" t="s">
        <v>28</v>
      </c>
      <c r="D2315">
        <v>4</v>
      </c>
      <c r="G2315" s="30">
        <f>Table132[[#This Row],[nb win]]/Table132[[#This Row],[nb play]]</f>
        <v>0</v>
      </c>
      <c r="H2315" t="str">
        <f>MID(Table132[[#This Row],[ÉTAT]],VALUE(RIGHT(Table132[[#This Row],[next move]],1))+1+VALUE(LEFT(Table132[[#This Row],[next move]],1))*3,1)</f>
        <v>V</v>
      </c>
      <c r="I2315" t="str">
        <f>Table132[[#This Row],[ÉTAT]]&amp;Table132[[#This Row],[next move]]</f>
        <v>VMEEMVEEM12</v>
      </c>
    </row>
    <row r="2316" spans="2:9" x14ac:dyDescent="0.25">
      <c r="B2316" t="s">
        <v>178</v>
      </c>
      <c r="C2316" s="22" t="s">
        <v>22</v>
      </c>
      <c r="D2316">
        <v>3</v>
      </c>
      <c r="E2316">
        <v>3</v>
      </c>
      <c r="G2316" s="25">
        <f>Table132[[#This Row],[nb win]]/Table132[[#This Row],[nb play]]</f>
        <v>1</v>
      </c>
      <c r="H2316" t="str">
        <f>MID(Table132[[#This Row],[ÉTAT]],VALUE(RIGHT(Table132[[#This Row],[next move]],1))+1+VALUE(LEFT(Table132[[#This Row],[next move]],1))*3,1)</f>
        <v>V</v>
      </c>
      <c r="I2316" t="str">
        <f>Table132[[#This Row],[ÉTAT]]&amp;Table132[[#This Row],[next move]]</f>
        <v>VMEEMMVVE21</v>
      </c>
    </row>
    <row r="2317" spans="2:9" x14ac:dyDescent="0.25">
      <c r="B2317" t="s">
        <v>1786</v>
      </c>
      <c r="C2317" s="22" t="s">
        <v>24</v>
      </c>
      <c r="D2317">
        <v>1</v>
      </c>
      <c r="G2317" s="25">
        <f>Table132[[#This Row],[nb win]]/Table132[[#This Row],[nb play]]</f>
        <v>0</v>
      </c>
      <c r="H2317" t="str">
        <f>MID(Table132[[#This Row],[ÉTAT]],VALUE(RIGHT(Table132[[#This Row],[next move]],1))+1+VALUE(LEFT(Table132[[#This Row],[next move]],1))*3,1)</f>
        <v>V</v>
      </c>
      <c r="I2317" t="str">
        <f>Table132[[#This Row],[ÉTAT]]&amp;Table132[[#This Row],[next move]]</f>
        <v>VMEEMMVEE00</v>
      </c>
    </row>
    <row r="2318" spans="2:9" x14ac:dyDescent="0.25">
      <c r="B2318" t="s">
        <v>2732</v>
      </c>
      <c r="C2318" s="22" t="s">
        <v>24</v>
      </c>
      <c r="D2318">
        <v>2</v>
      </c>
      <c r="E2318">
        <v>2</v>
      </c>
      <c r="G2318" s="31">
        <f>Table132[[#This Row],[nb win]]/Table132[[#This Row],[nb play]]</f>
        <v>1</v>
      </c>
      <c r="H2318" t="str">
        <f>MID(Table132[[#This Row],[ÉTAT]],VALUE(RIGHT(Table132[[#This Row],[next move]],1))+1+VALUE(LEFT(Table132[[#This Row],[next move]],1))*3,1)</f>
        <v>V</v>
      </c>
      <c r="I2318" t="str">
        <f>Table132[[#This Row],[ÉTAT]]&amp;Table132[[#This Row],[next move]]</f>
        <v>VMEEMMEVV00</v>
      </c>
    </row>
    <row r="2319" spans="2:9" x14ac:dyDescent="0.25">
      <c r="B2319" t="s">
        <v>2057</v>
      </c>
      <c r="C2319" s="22" t="s">
        <v>22</v>
      </c>
      <c r="D2319">
        <v>1</v>
      </c>
      <c r="E2319">
        <v>1</v>
      </c>
      <c r="G2319" s="25">
        <f>Table132[[#This Row],[nb win]]/Table132[[#This Row],[nb play]]</f>
        <v>1</v>
      </c>
      <c r="H2319" t="str">
        <f>MID(Table132[[#This Row],[ÉTAT]],VALUE(RIGHT(Table132[[#This Row],[next move]],1))+1+VALUE(LEFT(Table132[[#This Row],[next move]],1))*3,1)</f>
        <v>V</v>
      </c>
      <c r="I2319" t="str">
        <f>Table132[[#This Row],[ÉTAT]]&amp;Table132[[#This Row],[next move]]</f>
        <v>VMEEMMEVE21</v>
      </c>
    </row>
    <row r="2320" spans="2:9" x14ac:dyDescent="0.25">
      <c r="B2320" t="s">
        <v>1351</v>
      </c>
      <c r="C2320" s="22" t="s">
        <v>24</v>
      </c>
      <c r="D2320">
        <v>6</v>
      </c>
      <c r="G2320" s="30">
        <f>Table132[[#This Row],[nb win]]/Table132[[#This Row],[nb play]]</f>
        <v>0</v>
      </c>
      <c r="H2320" t="str">
        <f>MID(Table132[[#This Row],[ÉTAT]],VALUE(RIGHT(Table132[[#This Row],[next move]],1))+1+VALUE(LEFT(Table132[[#This Row],[next move]],1))*3,1)</f>
        <v>V</v>
      </c>
      <c r="I2320" t="str">
        <f>Table132[[#This Row],[ÉTAT]]&amp;Table132[[#This Row],[next move]]</f>
        <v>VMEEMMEEV00</v>
      </c>
    </row>
    <row r="2321" spans="2:9" x14ac:dyDescent="0.25">
      <c r="B2321" t="s">
        <v>1351</v>
      </c>
      <c r="C2321" s="22" t="s">
        <v>31</v>
      </c>
      <c r="D2321">
        <v>2</v>
      </c>
      <c r="G2321" s="30">
        <f>Table132[[#This Row],[nb win]]/Table132[[#This Row],[nb play]]</f>
        <v>0</v>
      </c>
      <c r="H2321" t="str">
        <f>MID(Table132[[#This Row],[ÉTAT]],VALUE(RIGHT(Table132[[#This Row],[next move]],1))+1+VALUE(LEFT(Table132[[#This Row],[next move]],1))*3,1)</f>
        <v>V</v>
      </c>
      <c r="I2321" t="str">
        <f>Table132[[#This Row],[ÉTAT]]&amp;Table132[[#This Row],[next move]]</f>
        <v>VMEEMMEEV22</v>
      </c>
    </row>
    <row r="2322" spans="2:9" x14ac:dyDescent="0.25">
      <c r="B2322" t="s">
        <v>2641</v>
      </c>
      <c r="C2322" s="22" t="s">
        <v>24</v>
      </c>
      <c r="D2322">
        <v>2</v>
      </c>
      <c r="E2322">
        <v>2</v>
      </c>
      <c r="G2322" s="31">
        <f>Table132[[#This Row],[nb win]]/Table132[[#This Row],[nb play]]</f>
        <v>1</v>
      </c>
      <c r="H2322" t="str">
        <f>MID(Table132[[#This Row],[ÉTAT]],VALUE(RIGHT(Table132[[#This Row],[next move]],1))+1+VALUE(LEFT(Table132[[#This Row],[next move]],1))*3,1)</f>
        <v>V</v>
      </c>
      <c r="I2322" t="str">
        <f>Table132[[#This Row],[ÉTAT]]&amp;Table132[[#This Row],[next move]]</f>
        <v>VMEEMMEEM00</v>
      </c>
    </row>
    <row r="2323" spans="2:9" x14ac:dyDescent="0.25">
      <c r="B2323" t="s">
        <v>3014</v>
      </c>
      <c r="C2323" s="22" t="s">
        <v>24</v>
      </c>
      <c r="D2323">
        <v>2</v>
      </c>
      <c r="E2323">
        <v>2</v>
      </c>
      <c r="G2323" s="31">
        <f>Table132[[#This Row],[nb win]]/Table132[[#This Row],[nb play]]</f>
        <v>1</v>
      </c>
      <c r="H2323" t="str">
        <f>MID(Table132[[#This Row],[ÉTAT]],VALUE(RIGHT(Table132[[#This Row],[next move]],1))+1+VALUE(LEFT(Table132[[#This Row],[next move]],1))*3,1)</f>
        <v>V</v>
      </c>
      <c r="I2323" t="str">
        <f>Table132[[#This Row],[ÉTAT]]&amp;Table132[[#This Row],[next move]]</f>
        <v>VMEEMEVVM00</v>
      </c>
    </row>
    <row r="2324" spans="2:9" x14ac:dyDescent="0.25">
      <c r="B2324" t="s">
        <v>2161</v>
      </c>
      <c r="C2324" s="22" t="s">
        <v>24</v>
      </c>
      <c r="D2324">
        <v>1</v>
      </c>
      <c r="E2324">
        <v>1</v>
      </c>
      <c r="G2324" s="31">
        <f>Table132[[#This Row],[nb win]]/Table132[[#This Row],[nb play]]</f>
        <v>1</v>
      </c>
      <c r="H2324" t="str">
        <f>MID(Table132[[#This Row],[ÉTAT]],VALUE(RIGHT(Table132[[#This Row],[next move]],1))+1+VALUE(LEFT(Table132[[#This Row],[next move]],1))*3,1)</f>
        <v>V</v>
      </c>
      <c r="I2324" t="str">
        <f>Table132[[#This Row],[ÉTAT]]&amp;Table132[[#This Row],[next move]]</f>
        <v>VMEEMEVEM00</v>
      </c>
    </row>
    <row r="2325" spans="2:9" x14ac:dyDescent="0.25">
      <c r="B2325" t="s">
        <v>1087</v>
      </c>
      <c r="C2325" s="22" t="s">
        <v>22</v>
      </c>
      <c r="D2325">
        <v>2</v>
      </c>
      <c r="E2325">
        <v>2</v>
      </c>
      <c r="G2325" s="25">
        <f>Table132[[#This Row],[nb win]]/Table132[[#This Row],[nb play]]</f>
        <v>1</v>
      </c>
      <c r="H2325" t="str">
        <f>MID(Table132[[#This Row],[ÉTAT]],VALUE(RIGHT(Table132[[#This Row],[next move]],1))+1+VALUE(LEFT(Table132[[#This Row],[next move]],1))*3,1)</f>
        <v>V</v>
      </c>
      <c r="I2325" t="str">
        <f>Table132[[#This Row],[ÉTAT]]&amp;Table132[[#This Row],[next move]]</f>
        <v>VMEEMEMVV21</v>
      </c>
    </row>
    <row r="2326" spans="2:9" x14ac:dyDescent="0.25">
      <c r="B2326" t="s">
        <v>1412</v>
      </c>
      <c r="C2326" s="22" t="s">
        <v>24</v>
      </c>
      <c r="D2326">
        <v>1</v>
      </c>
      <c r="G2326" s="25">
        <f>Table132[[#This Row],[nb win]]/Table132[[#This Row],[nb play]]</f>
        <v>0</v>
      </c>
      <c r="H2326" t="str">
        <f>MID(Table132[[#This Row],[ÉTAT]],VALUE(RIGHT(Table132[[#This Row],[next move]],1))+1+VALUE(LEFT(Table132[[#This Row],[next move]],1))*3,1)</f>
        <v>V</v>
      </c>
      <c r="I2326" t="str">
        <f>Table132[[#This Row],[ÉTAT]]&amp;Table132[[#This Row],[next move]]</f>
        <v>VMEEMEMEV00</v>
      </c>
    </row>
    <row r="2327" spans="2:9" x14ac:dyDescent="0.25">
      <c r="B2327" t="s">
        <v>2741</v>
      </c>
      <c r="C2327" s="22" t="s">
        <v>24</v>
      </c>
      <c r="D2327">
        <v>1</v>
      </c>
      <c r="E2327">
        <v>1</v>
      </c>
      <c r="G2327" s="25">
        <f>Table132[[#This Row],[nb win]]/Table132[[#This Row],[nb play]]</f>
        <v>1</v>
      </c>
      <c r="H2327" t="str">
        <f>MID(Table132[[#This Row],[ÉTAT]],VALUE(RIGHT(Table132[[#This Row],[next move]],1))+1+VALUE(LEFT(Table132[[#This Row],[next move]],1))*3,1)</f>
        <v>V</v>
      </c>
      <c r="I2327" t="str">
        <f>Table132[[#This Row],[ÉTAT]]&amp;Table132[[#This Row],[next move]]</f>
        <v>VMEEMEMEM00</v>
      </c>
    </row>
    <row r="2328" spans="2:9" x14ac:dyDescent="0.25">
      <c r="B2328" t="s">
        <v>1828</v>
      </c>
      <c r="C2328" s="22" t="s">
        <v>24</v>
      </c>
      <c r="D2328">
        <v>1</v>
      </c>
      <c r="E2328">
        <v>1</v>
      </c>
      <c r="G2328" s="25">
        <f>Table132[[#This Row],[nb win]]/Table132[[#This Row],[nb play]]</f>
        <v>1</v>
      </c>
      <c r="H2328" t="str">
        <f>MID(Table132[[#This Row],[ÉTAT]],VALUE(RIGHT(Table132[[#This Row],[next move]],1))+1+VALUE(LEFT(Table132[[#This Row],[next move]],1))*3,1)</f>
        <v>V</v>
      </c>
      <c r="I2328" t="str">
        <f>Table132[[#This Row],[ÉTAT]]&amp;Table132[[#This Row],[next move]]</f>
        <v>VMEEMEEVM00</v>
      </c>
    </row>
    <row r="2329" spans="2:9" x14ac:dyDescent="0.25">
      <c r="B2329" t="s">
        <v>1495</v>
      </c>
      <c r="C2329" s="22" t="s">
        <v>35</v>
      </c>
      <c r="D2329">
        <v>4</v>
      </c>
      <c r="E2329">
        <v>4</v>
      </c>
      <c r="G2329" s="31">
        <f>Table132[[#This Row],[nb win]]/Table132[[#This Row],[nb play]]</f>
        <v>1</v>
      </c>
      <c r="H2329" t="str">
        <f>MID(Table132[[#This Row],[ÉTAT]],VALUE(RIGHT(Table132[[#This Row],[next move]],1))+1+VALUE(LEFT(Table132[[#This Row],[next move]],1))*3,1)</f>
        <v>V</v>
      </c>
      <c r="I2329" t="str">
        <f>Table132[[#This Row],[ÉTAT]]&amp;Table132[[#This Row],[next move]]</f>
        <v>VMEEEVVMM20</v>
      </c>
    </row>
    <row r="2330" spans="2:9" x14ac:dyDescent="0.25">
      <c r="B2330" t="s">
        <v>1189</v>
      </c>
      <c r="C2330" s="22" t="s">
        <v>31</v>
      </c>
      <c r="D2330">
        <v>1</v>
      </c>
      <c r="E2330">
        <v>1</v>
      </c>
      <c r="G2330" s="25">
        <f>Table132[[#This Row],[nb win]]/Table132[[#This Row],[nb play]]</f>
        <v>1</v>
      </c>
      <c r="H2330" t="str">
        <f>MID(Table132[[#This Row],[ÉTAT]],VALUE(RIGHT(Table132[[#This Row],[next move]],1))+1+VALUE(LEFT(Table132[[#This Row],[next move]],1))*3,1)</f>
        <v>V</v>
      </c>
      <c r="I2330" t="str">
        <f>Table132[[#This Row],[ÉTAT]]&amp;Table132[[#This Row],[next move]]</f>
        <v>VMEEEVMVV22</v>
      </c>
    </row>
    <row r="2331" spans="2:9" x14ac:dyDescent="0.25">
      <c r="B2331" t="s">
        <v>1941</v>
      </c>
      <c r="C2331" s="22" t="s">
        <v>28</v>
      </c>
      <c r="D2331">
        <v>1</v>
      </c>
      <c r="E2331">
        <v>1</v>
      </c>
      <c r="G2331" s="25">
        <f>Table132[[#This Row],[nb win]]/Table132[[#This Row],[nb play]]</f>
        <v>1</v>
      </c>
      <c r="H2331" t="str">
        <f>MID(Table132[[#This Row],[ÉTAT]],VALUE(RIGHT(Table132[[#This Row],[next move]],1))+1+VALUE(LEFT(Table132[[#This Row],[next move]],1))*3,1)</f>
        <v>V</v>
      </c>
      <c r="I2331" t="str">
        <f>Table132[[#This Row],[ÉTAT]]&amp;Table132[[#This Row],[next move]]</f>
        <v>VMEEEVMVM12</v>
      </c>
    </row>
    <row r="2332" spans="2:9" x14ac:dyDescent="0.25">
      <c r="B2332" t="s">
        <v>911</v>
      </c>
      <c r="C2332" s="22" t="s">
        <v>24</v>
      </c>
      <c r="D2332">
        <v>2</v>
      </c>
      <c r="G2332" s="30">
        <f>Table132[[#This Row],[nb win]]/Table132[[#This Row],[nb play]]</f>
        <v>0</v>
      </c>
      <c r="H2332" t="str">
        <f>MID(Table132[[#This Row],[ÉTAT]],VALUE(RIGHT(Table132[[#This Row],[next move]],1))+1+VALUE(LEFT(Table132[[#This Row],[next move]],1))*3,1)</f>
        <v>V</v>
      </c>
      <c r="I2332" t="str">
        <f>Table132[[#This Row],[ÉTAT]]&amp;Table132[[#This Row],[next move]]</f>
        <v>VMEEEVMMV00</v>
      </c>
    </row>
    <row r="2333" spans="2:9" x14ac:dyDescent="0.25">
      <c r="B2333" t="s">
        <v>911</v>
      </c>
      <c r="C2333" s="22" t="s">
        <v>31</v>
      </c>
      <c r="D2333">
        <v>1</v>
      </c>
      <c r="E2333">
        <v>1</v>
      </c>
      <c r="G2333" s="31">
        <f>Table132[[#This Row],[nb win]]/Table132[[#This Row],[nb play]]</f>
        <v>1</v>
      </c>
      <c r="H2333" t="str">
        <f>MID(Table132[[#This Row],[ÉTAT]],VALUE(RIGHT(Table132[[#This Row],[next move]],1))+1+VALUE(LEFT(Table132[[#This Row],[next move]],1))*3,1)</f>
        <v>V</v>
      </c>
      <c r="I2333" t="str">
        <f>Table132[[#This Row],[ÉTAT]]&amp;Table132[[#This Row],[next move]]</f>
        <v>VMEEEVMMV22</v>
      </c>
    </row>
    <row r="2334" spans="2:9" x14ac:dyDescent="0.25">
      <c r="B2334" t="s">
        <v>430</v>
      </c>
      <c r="C2334" s="22" t="s">
        <v>24</v>
      </c>
      <c r="D2334">
        <v>2</v>
      </c>
      <c r="G2334" s="30">
        <f>Table132[[#This Row],[nb win]]/Table132[[#This Row],[nb play]]</f>
        <v>0</v>
      </c>
      <c r="H2334" t="str">
        <f>MID(Table132[[#This Row],[ÉTAT]],VALUE(RIGHT(Table132[[#This Row],[next move]],1))+1+VALUE(LEFT(Table132[[#This Row],[next move]],1))*3,1)</f>
        <v>V</v>
      </c>
      <c r="I2334" t="str">
        <f>Table132[[#This Row],[ÉTAT]]&amp;Table132[[#This Row],[next move]]</f>
        <v>VMEEEVMME00</v>
      </c>
    </row>
    <row r="2335" spans="2:9" x14ac:dyDescent="0.25">
      <c r="B2335" t="s">
        <v>430</v>
      </c>
      <c r="C2335" s="22" t="s">
        <v>28</v>
      </c>
      <c r="D2335">
        <v>3</v>
      </c>
      <c r="G2335" s="30">
        <f>Table132[[#This Row],[nb win]]/Table132[[#This Row],[nb play]]</f>
        <v>0</v>
      </c>
      <c r="H2335" t="str">
        <f>MID(Table132[[#This Row],[ÉTAT]],VALUE(RIGHT(Table132[[#This Row],[next move]],1))+1+VALUE(LEFT(Table132[[#This Row],[next move]],1))*3,1)</f>
        <v>V</v>
      </c>
      <c r="I2335" t="str">
        <f>Table132[[#This Row],[ÉTAT]]&amp;Table132[[#This Row],[next move]]</f>
        <v>VMEEEVMME12</v>
      </c>
    </row>
    <row r="2336" spans="2:9" x14ac:dyDescent="0.25">
      <c r="B2336" t="s">
        <v>1534</v>
      </c>
      <c r="C2336" s="22" t="s">
        <v>24</v>
      </c>
      <c r="D2336">
        <v>1</v>
      </c>
      <c r="G2336" s="25">
        <f>Table132[[#This Row],[nb win]]/Table132[[#This Row],[nb play]]</f>
        <v>0</v>
      </c>
      <c r="H2336" t="str">
        <f>MID(Table132[[#This Row],[ÉTAT]],VALUE(RIGHT(Table132[[#This Row],[next move]],1))+1+VALUE(LEFT(Table132[[#This Row],[next move]],1))*3,1)</f>
        <v>V</v>
      </c>
      <c r="I2336" t="str">
        <f>Table132[[#This Row],[ÉTAT]]&amp;Table132[[#This Row],[next move]]</f>
        <v>VMEEEVMEM00</v>
      </c>
    </row>
    <row r="2337" spans="2:9" x14ac:dyDescent="0.25">
      <c r="B2337" t="s">
        <v>505</v>
      </c>
      <c r="C2337" s="22" t="s">
        <v>35</v>
      </c>
      <c r="D2337">
        <v>1</v>
      </c>
      <c r="G2337" s="25">
        <f>Table132[[#This Row],[nb win]]/Table132[[#This Row],[nb play]]</f>
        <v>0</v>
      </c>
      <c r="H2337" t="str">
        <f>MID(Table132[[#This Row],[ÉTAT]],VALUE(RIGHT(Table132[[#This Row],[next move]],1))+1+VALUE(LEFT(Table132[[#This Row],[next move]],1))*3,1)</f>
        <v>V</v>
      </c>
      <c r="I2337" t="str">
        <f>Table132[[#This Row],[ÉTAT]]&amp;Table132[[#This Row],[next move]]</f>
        <v>VMEEEMVVV20</v>
      </c>
    </row>
    <row r="2338" spans="2:9" x14ac:dyDescent="0.25">
      <c r="B2338" t="s">
        <v>505</v>
      </c>
      <c r="C2338" s="22" t="s">
        <v>22</v>
      </c>
      <c r="D2338">
        <v>1</v>
      </c>
      <c r="G2338" s="25">
        <f>Table132[[#This Row],[nb win]]/Table132[[#This Row],[nb play]]</f>
        <v>0</v>
      </c>
      <c r="H2338" t="str">
        <f>MID(Table132[[#This Row],[ÉTAT]],VALUE(RIGHT(Table132[[#This Row],[next move]],1))+1+VALUE(LEFT(Table132[[#This Row],[next move]],1))*3,1)</f>
        <v>V</v>
      </c>
      <c r="I2338" t="str">
        <f>Table132[[#This Row],[ÉTAT]]&amp;Table132[[#This Row],[next move]]</f>
        <v>VMEEEMVVV21</v>
      </c>
    </row>
    <row r="2339" spans="2:9" x14ac:dyDescent="0.25">
      <c r="B2339" t="s">
        <v>505</v>
      </c>
      <c r="C2339" s="22" t="s">
        <v>31</v>
      </c>
      <c r="D2339">
        <v>1</v>
      </c>
      <c r="G2339" s="25">
        <f>Table132[[#This Row],[nb win]]/Table132[[#This Row],[nb play]]</f>
        <v>0</v>
      </c>
      <c r="H2339" t="str">
        <f>MID(Table132[[#This Row],[ÉTAT]],VALUE(RIGHT(Table132[[#This Row],[next move]],1))+1+VALUE(LEFT(Table132[[#This Row],[next move]],1))*3,1)</f>
        <v>V</v>
      </c>
      <c r="I2339" t="str">
        <f>Table132[[#This Row],[ÉTAT]]&amp;Table132[[#This Row],[next move]]</f>
        <v>VMEEEMVVV22</v>
      </c>
    </row>
    <row r="2340" spans="2:9" x14ac:dyDescent="0.25">
      <c r="B2340" t="s">
        <v>1962</v>
      </c>
      <c r="C2340" s="22" t="s">
        <v>22</v>
      </c>
      <c r="D2340">
        <v>1</v>
      </c>
      <c r="G2340" s="25">
        <f>Table132[[#This Row],[nb win]]/Table132[[#This Row],[nb play]]</f>
        <v>0</v>
      </c>
      <c r="H2340" t="str">
        <f>MID(Table132[[#This Row],[ÉTAT]],VALUE(RIGHT(Table132[[#This Row],[next move]],1))+1+VALUE(LEFT(Table132[[#This Row],[next move]],1))*3,1)</f>
        <v>V</v>
      </c>
      <c r="I2340" t="str">
        <f>Table132[[#This Row],[ÉTAT]]&amp;Table132[[#This Row],[next move]]</f>
        <v>VMEEEMMVE21</v>
      </c>
    </row>
    <row r="2341" spans="2:9" x14ac:dyDescent="0.25">
      <c r="B2341" t="s">
        <v>75</v>
      </c>
      <c r="C2341" s="22" t="s">
        <v>24</v>
      </c>
      <c r="D2341">
        <v>34</v>
      </c>
      <c r="E2341">
        <v>14</v>
      </c>
      <c r="G2341" s="30">
        <f>Table132[[#This Row],[nb win]]/Table132[[#This Row],[nb play]]</f>
        <v>0.41176470588235292</v>
      </c>
      <c r="H2341" t="str">
        <f>MID(Table132[[#This Row],[ÉTAT]],VALUE(RIGHT(Table132[[#This Row],[next move]],1))+1+VALUE(LEFT(Table132[[#This Row],[next move]],1))*3,1)</f>
        <v>V</v>
      </c>
      <c r="I2341" t="str">
        <f>Table132[[#This Row],[ÉTAT]]&amp;Table132[[#This Row],[next move]]</f>
        <v>VEVVVVVVV00</v>
      </c>
    </row>
    <row r="2342" spans="2:9" x14ac:dyDescent="0.25">
      <c r="B2342" t="s">
        <v>75</v>
      </c>
      <c r="C2342" s="22" t="s">
        <v>20</v>
      </c>
      <c r="D2342">
        <v>47</v>
      </c>
      <c r="E2342">
        <v>18</v>
      </c>
      <c r="G2342" s="31">
        <f>Table132[[#This Row],[nb win]]/Table132[[#This Row],[nb play]]</f>
        <v>0.38297872340425532</v>
      </c>
      <c r="H2342" t="str">
        <f>MID(Table132[[#This Row],[ÉTAT]],VALUE(RIGHT(Table132[[#This Row],[next move]],1))+1+VALUE(LEFT(Table132[[#This Row],[next move]],1))*3,1)</f>
        <v>V</v>
      </c>
      <c r="I2342" t="str">
        <f>Table132[[#This Row],[ÉTAT]]&amp;Table132[[#This Row],[next move]]</f>
        <v>VEVVVVVVV02</v>
      </c>
    </row>
    <row r="2343" spans="2:9" x14ac:dyDescent="0.25">
      <c r="B2343" t="s">
        <v>75</v>
      </c>
      <c r="C2343" s="22" t="s">
        <v>30</v>
      </c>
      <c r="D2343">
        <v>55</v>
      </c>
      <c r="E2343">
        <v>24</v>
      </c>
      <c r="G2343" s="31">
        <f>Table132[[#This Row],[nb win]]/Table132[[#This Row],[nb play]]</f>
        <v>0.43636363636363634</v>
      </c>
      <c r="H2343" t="str">
        <f>MID(Table132[[#This Row],[ÉTAT]],VALUE(RIGHT(Table132[[#This Row],[next move]],1))+1+VALUE(LEFT(Table132[[#This Row],[next move]],1))*3,1)</f>
        <v>V</v>
      </c>
      <c r="I2343" t="str">
        <f>Table132[[#This Row],[ÉTAT]]&amp;Table132[[#This Row],[next move]]</f>
        <v>VEVVVVVVV10</v>
      </c>
    </row>
    <row r="2344" spans="2:9" x14ac:dyDescent="0.25">
      <c r="B2344" t="s">
        <v>75</v>
      </c>
      <c r="C2344" s="22" t="s">
        <v>29</v>
      </c>
      <c r="D2344">
        <v>58</v>
      </c>
      <c r="E2344">
        <v>33</v>
      </c>
      <c r="G2344" s="31">
        <f>Table132[[#This Row],[nb win]]/Table132[[#This Row],[nb play]]</f>
        <v>0.56896551724137934</v>
      </c>
      <c r="H2344" t="str">
        <f>MID(Table132[[#This Row],[ÉTAT]],VALUE(RIGHT(Table132[[#This Row],[next move]],1))+1+VALUE(LEFT(Table132[[#This Row],[next move]],1))*3,1)</f>
        <v>V</v>
      </c>
      <c r="I2344" t="str">
        <f>Table132[[#This Row],[ÉTAT]]&amp;Table132[[#This Row],[next move]]</f>
        <v>VEVVVVVVV11</v>
      </c>
    </row>
    <row r="2345" spans="2:9" x14ac:dyDescent="0.25">
      <c r="B2345" t="s">
        <v>75</v>
      </c>
      <c r="C2345" s="22" t="s">
        <v>28</v>
      </c>
      <c r="D2345">
        <v>52</v>
      </c>
      <c r="E2345">
        <v>22</v>
      </c>
      <c r="G2345" s="30">
        <f>Table132[[#This Row],[nb win]]/Table132[[#This Row],[nb play]]</f>
        <v>0.42307692307692307</v>
      </c>
      <c r="H2345" t="str">
        <f>MID(Table132[[#This Row],[ÉTAT]],VALUE(RIGHT(Table132[[#This Row],[next move]],1))+1+VALUE(LEFT(Table132[[#This Row],[next move]],1))*3,1)</f>
        <v>V</v>
      </c>
      <c r="I2345" t="str">
        <f>Table132[[#This Row],[ÉTAT]]&amp;Table132[[#This Row],[next move]]</f>
        <v>VEVVVVVVV12</v>
      </c>
    </row>
    <row r="2346" spans="2:9" x14ac:dyDescent="0.25">
      <c r="B2346" t="s">
        <v>75</v>
      </c>
      <c r="C2346" s="22" t="s">
        <v>35</v>
      </c>
      <c r="D2346">
        <v>48</v>
      </c>
      <c r="E2346">
        <v>19</v>
      </c>
      <c r="G2346" s="30">
        <f>Table132[[#This Row],[nb win]]/Table132[[#This Row],[nb play]]</f>
        <v>0.39583333333333331</v>
      </c>
      <c r="H2346" t="str">
        <f>MID(Table132[[#This Row],[ÉTAT]],VALUE(RIGHT(Table132[[#This Row],[next move]],1))+1+VALUE(LEFT(Table132[[#This Row],[next move]],1))*3,1)</f>
        <v>V</v>
      </c>
      <c r="I2346" t="str">
        <f>Table132[[#This Row],[ÉTAT]]&amp;Table132[[#This Row],[next move]]</f>
        <v>VEVVVVVVV20</v>
      </c>
    </row>
    <row r="2347" spans="2:9" x14ac:dyDescent="0.25">
      <c r="B2347" t="s">
        <v>75</v>
      </c>
      <c r="C2347" s="22" t="s">
        <v>22</v>
      </c>
      <c r="D2347">
        <v>36</v>
      </c>
      <c r="E2347">
        <v>11</v>
      </c>
      <c r="G2347" s="30">
        <f>Table132[[#This Row],[nb win]]/Table132[[#This Row],[nb play]]</f>
        <v>0.30555555555555558</v>
      </c>
      <c r="H2347" t="str">
        <f>MID(Table132[[#This Row],[ÉTAT]],VALUE(RIGHT(Table132[[#This Row],[next move]],1))+1+VALUE(LEFT(Table132[[#This Row],[next move]],1))*3,1)</f>
        <v>V</v>
      </c>
      <c r="I2347" t="str">
        <f>Table132[[#This Row],[ÉTAT]]&amp;Table132[[#This Row],[next move]]</f>
        <v>VEVVVVVVV21</v>
      </c>
    </row>
    <row r="2348" spans="2:9" x14ac:dyDescent="0.25">
      <c r="B2348" t="s">
        <v>75</v>
      </c>
      <c r="C2348" s="22" t="s">
        <v>31</v>
      </c>
      <c r="D2348">
        <v>51</v>
      </c>
      <c r="E2348">
        <v>24</v>
      </c>
      <c r="G2348" s="30">
        <f>Table132[[#This Row],[nb win]]/Table132[[#This Row],[nb play]]</f>
        <v>0.47058823529411764</v>
      </c>
      <c r="H2348" t="str">
        <f>MID(Table132[[#This Row],[ÉTAT]],VALUE(RIGHT(Table132[[#This Row],[next move]],1))+1+VALUE(LEFT(Table132[[#This Row],[next move]],1))*3,1)</f>
        <v>V</v>
      </c>
      <c r="I2348" t="str">
        <f>Table132[[#This Row],[ÉTAT]]&amp;Table132[[#This Row],[next move]]</f>
        <v>VEVVVVVVV22</v>
      </c>
    </row>
    <row r="2349" spans="2:9" x14ac:dyDescent="0.25">
      <c r="B2349" t="s">
        <v>258</v>
      </c>
      <c r="C2349" s="22" t="s">
        <v>24</v>
      </c>
      <c r="D2349">
        <v>8</v>
      </c>
      <c r="E2349">
        <v>5</v>
      </c>
      <c r="G2349" s="31">
        <f>Table132[[#This Row],[nb win]]/Table132[[#This Row],[nb play]]</f>
        <v>0.625</v>
      </c>
      <c r="H2349" t="str">
        <f>MID(Table132[[#This Row],[ÉTAT]],VALUE(RIGHT(Table132[[#This Row],[next move]],1))+1+VALUE(LEFT(Table132[[#This Row],[next move]],1))*3,1)</f>
        <v>V</v>
      </c>
      <c r="I2349" t="str">
        <f>Table132[[#This Row],[ÉTAT]]&amp;Table132[[#This Row],[next move]]</f>
        <v>VEVVVVVVM00</v>
      </c>
    </row>
    <row r="2350" spans="2:9" x14ac:dyDescent="0.25">
      <c r="B2350" t="s">
        <v>258</v>
      </c>
      <c r="C2350" s="22" t="s">
        <v>20</v>
      </c>
      <c r="D2350">
        <v>13</v>
      </c>
      <c r="E2350">
        <v>12</v>
      </c>
      <c r="G2350" s="31">
        <f>Table132[[#This Row],[nb win]]/Table132[[#This Row],[nb play]]</f>
        <v>0.92307692307692313</v>
      </c>
      <c r="H2350" t="str">
        <f>MID(Table132[[#This Row],[ÉTAT]],VALUE(RIGHT(Table132[[#This Row],[next move]],1))+1+VALUE(LEFT(Table132[[#This Row],[next move]],1))*3,1)</f>
        <v>V</v>
      </c>
      <c r="I2350" t="str">
        <f>Table132[[#This Row],[ÉTAT]]&amp;Table132[[#This Row],[next move]]</f>
        <v>VEVVVVVVM02</v>
      </c>
    </row>
    <row r="2351" spans="2:9" x14ac:dyDescent="0.25">
      <c r="B2351" t="s">
        <v>258</v>
      </c>
      <c r="C2351" s="22" t="s">
        <v>30</v>
      </c>
      <c r="D2351">
        <v>6</v>
      </c>
      <c r="E2351">
        <v>3</v>
      </c>
      <c r="G2351" s="30">
        <f>Table132[[#This Row],[nb win]]/Table132[[#This Row],[nb play]]</f>
        <v>0.5</v>
      </c>
      <c r="H2351" t="str">
        <f>MID(Table132[[#This Row],[ÉTAT]],VALUE(RIGHT(Table132[[#This Row],[next move]],1))+1+VALUE(LEFT(Table132[[#This Row],[next move]],1))*3,1)</f>
        <v>V</v>
      </c>
      <c r="I2351" t="str">
        <f>Table132[[#This Row],[ÉTAT]]&amp;Table132[[#This Row],[next move]]</f>
        <v>VEVVVVVVM10</v>
      </c>
    </row>
    <row r="2352" spans="2:9" x14ac:dyDescent="0.25">
      <c r="B2352" t="s">
        <v>258</v>
      </c>
      <c r="C2352" s="22" t="s">
        <v>29</v>
      </c>
      <c r="D2352">
        <v>18</v>
      </c>
      <c r="E2352">
        <v>14</v>
      </c>
      <c r="G2352" s="31">
        <f>Table132[[#This Row],[nb win]]/Table132[[#This Row],[nb play]]</f>
        <v>0.77777777777777779</v>
      </c>
      <c r="H2352" t="str">
        <f>MID(Table132[[#This Row],[ÉTAT]],VALUE(RIGHT(Table132[[#This Row],[next move]],1))+1+VALUE(LEFT(Table132[[#This Row],[next move]],1))*3,1)</f>
        <v>V</v>
      </c>
      <c r="I2352" t="str">
        <f>Table132[[#This Row],[ÉTAT]]&amp;Table132[[#This Row],[next move]]</f>
        <v>VEVVVVVVM11</v>
      </c>
    </row>
    <row r="2353" spans="2:9" x14ac:dyDescent="0.25">
      <c r="B2353" t="s">
        <v>258</v>
      </c>
      <c r="C2353" s="22" t="s">
        <v>28</v>
      </c>
      <c r="D2353">
        <v>5</v>
      </c>
      <c r="E2353">
        <v>3</v>
      </c>
      <c r="G2353" s="31">
        <f>Table132[[#This Row],[nb win]]/Table132[[#This Row],[nb play]]</f>
        <v>0.6</v>
      </c>
      <c r="H2353" t="str">
        <f>MID(Table132[[#This Row],[ÉTAT]],VALUE(RIGHT(Table132[[#This Row],[next move]],1))+1+VALUE(LEFT(Table132[[#This Row],[next move]],1))*3,1)</f>
        <v>V</v>
      </c>
      <c r="I2353" t="str">
        <f>Table132[[#This Row],[ÉTAT]]&amp;Table132[[#This Row],[next move]]</f>
        <v>VEVVVVVVM12</v>
      </c>
    </row>
    <row r="2354" spans="2:9" x14ac:dyDescent="0.25">
      <c r="B2354" t="s">
        <v>258</v>
      </c>
      <c r="C2354" s="22" t="s">
        <v>35</v>
      </c>
      <c r="D2354">
        <v>9</v>
      </c>
      <c r="E2354">
        <v>8</v>
      </c>
      <c r="G2354" s="31">
        <f>Table132[[#This Row],[nb win]]/Table132[[#This Row],[nb play]]</f>
        <v>0.88888888888888884</v>
      </c>
      <c r="H2354" t="str">
        <f>MID(Table132[[#This Row],[ÉTAT]],VALUE(RIGHT(Table132[[#This Row],[next move]],1))+1+VALUE(LEFT(Table132[[#This Row],[next move]],1))*3,1)</f>
        <v>V</v>
      </c>
      <c r="I2354" t="str">
        <f>Table132[[#This Row],[ÉTAT]]&amp;Table132[[#This Row],[next move]]</f>
        <v>VEVVVVVVM20</v>
      </c>
    </row>
    <row r="2355" spans="2:9" x14ac:dyDescent="0.25">
      <c r="B2355" t="s">
        <v>258</v>
      </c>
      <c r="C2355" s="22" t="s">
        <v>22</v>
      </c>
      <c r="D2355">
        <v>4</v>
      </c>
      <c r="E2355">
        <v>2</v>
      </c>
      <c r="G2355" s="30">
        <f>Table132[[#This Row],[nb win]]/Table132[[#This Row],[nb play]]</f>
        <v>0.5</v>
      </c>
      <c r="H2355" t="str">
        <f>MID(Table132[[#This Row],[ÉTAT]],VALUE(RIGHT(Table132[[#This Row],[next move]],1))+1+VALUE(LEFT(Table132[[#This Row],[next move]],1))*3,1)</f>
        <v>V</v>
      </c>
      <c r="I2355" t="str">
        <f>Table132[[#This Row],[ÉTAT]]&amp;Table132[[#This Row],[next move]]</f>
        <v>VEVVVVVVM21</v>
      </c>
    </row>
    <row r="2356" spans="2:9" x14ac:dyDescent="0.25">
      <c r="B2356" t="s">
        <v>360</v>
      </c>
      <c r="C2356" s="22" t="s">
        <v>24</v>
      </c>
      <c r="D2356">
        <v>3</v>
      </c>
      <c r="E2356">
        <v>1</v>
      </c>
      <c r="G2356" s="30">
        <f>Table132[[#This Row],[nb win]]/Table132[[#This Row],[nb play]]</f>
        <v>0.33333333333333331</v>
      </c>
      <c r="H2356" t="str">
        <f>MID(Table132[[#This Row],[ÉTAT]],VALUE(RIGHT(Table132[[#This Row],[next move]],1))+1+VALUE(LEFT(Table132[[#This Row],[next move]],1))*3,1)</f>
        <v>V</v>
      </c>
      <c r="I2356" t="str">
        <f>Table132[[#This Row],[ÉTAT]]&amp;Table132[[#This Row],[next move]]</f>
        <v>VEVVVVVMV00</v>
      </c>
    </row>
    <row r="2357" spans="2:9" x14ac:dyDescent="0.25">
      <c r="B2357" t="s">
        <v>360</v>
      </c>
      <c r="C2357" s="22" t="s">
        <v>20</v>
      </c>
      <c r="D2357">
        <v>9</v>
      </c>
      <c r="E2357">
        <v>7</v>
      </c>
      <c r="G2357" s="25">
        <f>Table132[[#This Row],[nb win]]/Table132[[#This Row],[nb play]]</f>
        <v>0.77777777777777779</v>
      </c>
      <c r="H2357" t="str">
        <f>MID(Table132[[#This Row],[ÉTAT]],VALUE(RIGHT(Table132[[#This Row],[next move]],1))+1+VALUE(LEFT(Table132[[#This Row],[next move]],1))*3,1)</f>
        <v>V</v>
      </c>
      <c r="I2357" t="str">
        <f>Table132[[#This Row],[ÉTAT]]&amp;Table132[[#This Row],[next move]]</f>
        <v>VEVVVVVMV02</v>
      </c>
    </row>
    <row r="2358" spans="2:9" x14ac:dyDescent="0.25">
      <c r="B2358" t="s">
        <v>360</v>
      </c>
      <c r="C2358" s="22" t="s">
        <v>30</v>
      </c>
      <c r="D2358">
        <v>1</v>
      </c>
      <c r="G2358" s="30">
        <f>Table132[[#This Row],[nb win]]/Table132[[#This Row],[nb play]]</f>
        <v>0</v>
      </c>
      <c r="H2358" t="str">
        <f>MID(Table132[[#This Row],[ÉTAT]],VALUE(RIGHT(Table132[[#This Row],[next move]],1))+1+VALUE(LEFT(Table132[[#This Row],[next move]],1))*3,1)</f>
        <v>V</v>
      </c>
      <c r="I2358" t="str">
        <f>Table132[[#This Row],[ÉTAT]]&amp;Table132[[#This Row],[next move]]</f>
        <v>VEVVVVVMV10</v>
      </c>
    </row>
    <row r="2359" spans="2:9" x14ac:dyDescent="0.25">
      <c r="B2359" t="s">
        <v>360</v>
      </c>
      <c r="C2359" s="22" t="s">
        <v>29</v>
      </c>
      <c r="D2359">
        <v>7</v>
      </c>
      <c r="E2359">
        <v>2</v>
      </c>
      <c r="G2359" s="30">
        <f>Table132[[#This Row],[nb win]]/Table132[[#This Row],[nb play]]</f>
        <v>0.2857142857142857</v>
      </c>
      <c r="H2359" t="str">
        <f>MID(Table132[[#This Row],[ÉTAT]],VALUE(RIGHT(Table132[[#This Row],[next move]],1))+1+VALUE(LEFT(Table132[[#This Row],[next move]],1))*3,1)</f>
        <v>V</v>
      </c>
      <c r="I2359" t="str">
        <f>Table132[[#This Row],[ÉTAT]]&amp;Table132[[#This Row],[next move]]</f>
        <v>VEVVVVVMV11</v>
      </c>
    </row>
    <row r="2360" spans="2:9" x14ac:dyDescent="0.25">
      <c r="B2360" t="s">
        <v>360</v>
      </c>
      <c r="C2360" s="22" t="s">
        <v>28</v>
      </c>
      <c r="D2360">
        <v>4</v>
      </c>
      <c r="G2360" s="30">
        <f>Table132[[#This Row],[nb win]]/Table132[[#This Row],[nb play]]</f>
        <v>0</v>
      </c>
      <c r="H2360" t="str">
        <f>MID(Table132[[#This Row],[ÉTAT]],VALUE(RIGHT(Table132[[#This Row],[next move]],1))+1+VALUE(LEFT(Table132[[#This Row],[next move]],1))*3,1)</f>
        <v>V</v>
      </c>
      <c r="I2360" t="str">
        <f>Table132[[#This Row],[ÉTAT]]&amp;Table132[[#This Row],[next move]]</f>
        <v>VEVVVVVMV12</v>
      </c>
    </row>
    <row r="2361" spans="2:9" x14ac:dyDescent="0.25">
      <c r="B2361" t="s">
        <v>360</v>
      </c>
      <c r="C2361" s="22" t="s">
        <v>35</v>
      </c>
      <c r="D2361">
        <v>7</v>
      </c>
      <c r="E2361">
        <v>6</v>
      </c>
      <c r="G2361" s="31">
        <f>Table132[[#This Row],[nb win]]/Table132[[#This Row],[nb play]]</f>
        <v>0.8571428571428571</v>
      </c>
      <c r="H2361" t="str">
        <f>MID(Table132[[#This Row],[ÉTAT]],VALUE(RIGHT(Table132[[#This Row],[next move]],1))+1+VALUE(LEFT(Table132[[#This Row],[next move]],1))*3,1)</f>
        <v>V</v>
      </c>
      <c r="I2361" t="str">
        <f>Table132[[#This Row],[ÉTAT]]&amp;Table132[[#This Row],[next move]]</f>
        <v>VEVVVVVMV20</v>
      </c>
    </row>
    <row r="2362" spans="2:9" x14ac:dyDescent="0.25">
      <c r="B2362" t="s">
        <v>360</v>
      </c>
      <c r="C2362" s="22" t="s">
        <v>31</v>
      </c>
      <c r="D2362">
        <v>3</v>
      </c>
      <c r="E2362">
        <v>2</v>
      </c>
      <c r="G2362" s="31">
        <f>Table132[[#This Row],[nb win]]/Table132[[#This Row],[nb play]]</f>
        <v>0.66666666666666663</v>
      </c>
      <c r="H2362" t="str">
        <f>MID(Table132[[#This Row],[ÉTAT]],VALUE(RIGHT(Table132[[#This Row],[next move]],1))+1+VALUE(LEFT(Table132[[#This Row],[next move]],1))*3,1)</f>
        <v>V</v>
      </c>
      <c r="I2362" t="str">
        <f>Table132[[#This Row],[ÉTAT]]&amp;Table132[[#This Row],[next move]]</f>
        <v>VEVVVVVMV22</v>
      </c>
    </row>
    <row r="2363" spans="2:9" x14ac:dyDescent="0.25">
      <c r="B2363" t="s">
        <v>914</v>
      </c>
      <c r="C2363" s="22" t="s">
        <v>24</v>
      </c>
      <c r="D2363">
        <v>1</v>
      </c>
      <c r="G2363" s="30">
        <f>Table132[[#This Row],[nb win]]/Table132[[#This Row],[nb play]]</f>
        <v>0</v>
      </c>
      <c r="H2363" t="str">
        <f>MID(Table132[[#This Row],[ÉTAT]],VALUE(RIGHT(Table132[[#This Row],[next move]],1))+1+VALUE(LEFT(Table132[[#This Row],[next move]],1))*3,1)</f>
        <v>V</v>
      </c>
      <c r="I2363" t="str">
        <f>Table132[[#This Row],[ÉTAT]]&amp;Table132[[#This Row],[next move]]</f>
        <v>VEVVVVVME00</v>
      </c>
    </row>
    <row r="2364" spans="2:9" x14ac:dyDescent="0.25">
      <c r="B2364" t="s">
        <v>914</v>
      </c>
      <c r="C2364" s="22" t="s">
        <v>20</v>
      </c>
      <c r="D2364">
        <v>5</v>
      </c>
      <c r="E2364">
        <v>1</v>
      </c>
      <c r="G2364" s="25">
        <f>Table132[[#This Row],[nb win]]/Table132[[#This Row],[nb play]]</f>
        <v>0.2</v>
      </c>
      <c r="H2364" t="str">
        <f>MID(Table132[[#This Row],[ÉTAT]],VALUE(RIGHT(Table132[[#This Row],[next move]],1))+1+VALUE(LEFT(Table132[[#This Row],[next move]],1))*3,1)</f>
        <v>V</v>
      </c>
      <c r="I2364" t="str">
        <f>Table132[[#This Row],[ÉTAT]]&amp;Table132[[#This Row],[next move]]</f>
        <v>VEVVVVVME02</v>
      </c>
    </row>
    <row r="2365" spans="2:9" x14ac:dyDescent="0.25">
      <c r="B2365" t="s">
        <v>914</v>
      </c>
      <c r="C2365" s="22" t="s">
        <v>29</v>
      </c>
      <c r="D2365">
        <v>3</v>
      </c>
      <c r="E2365">
        <v>2</v>
      </c>
      <c r="G2365" s="30">
        <f>Table132[[#This Row],[nb win]]/Table132[[#This Row],[nb play]]</f>
        <v>0.66666666666666663</v>
      </c>
      <c r="H2365" t="str">
        <f>MID(Table132[[#This Row],[ÉTAT]],VALUE(RIGHT(Table132[[#This Row],[next move]],1))+1+VALUE(LEFT(Table132[[#This Row],[next move]],1))*3,1)</f>
        <v>V</v>
      </c>
      <c r="I2365" t="str">
        <f>Table132[[#This Row],[ÉTAT]]&amp;Table132[[#This Row],[next move]]</f>
        <v>VEVVVVVME11</v>
      </c>
    </row>
    <row r="2366" spans="2:9" x14ac:dyDescent="0.25">
      <c r="B2366" t="s">
        <v>914</v>
      </c>
      <c r="C2366" s="22" t="s">
        <v>28</v>
      </c>
      <c r="D2366">
        <v>5</v>
      </c>
      <c r="G2366" s="25">
        <f>Table132[[#This Row],[nb win]]/Table132[[#This Row],[nb play]]</f>
        <v>0</v>
      </c>
      <c r="H2366" t="str">
        <f>MID(Table132[[#This Row],[ÉTAT]],VALUE(RIGHT(Table132[[#This Row],[next move]],1))+1+VALUE(LEFT(Table132[[#This Row],[next move]],1))*3,1)</f>
        <v>V</v>
      </c>
      <c r="I2366" t="str">
        <f>Table132[[#This Row],[ÉTAT]]&amp;Table132[[#This Row],[next move]]</f>
        <v>VEVVVVVME12</v>
      </c>
    </row>
    <row r="2367" spans="2:9" x14ac:dyDescent="0.25">
      <c r="B2367" t="s">
        <v>914</v>
      </c>
      <c r="C2367" s="22" t="s">
        <v>35</v>
      </c>
      <c r="D2367">
        <v>2</v>
      </c>
      <c r="E2367">
        <v>1</v>
      </c>
      <c r="G2367" s="25">
        <f>Table132[[#This Row],[nb win]]/Table132[[#This Row],[nb play]]</f>
        <v>0.5</v>
      </c>
      <c r="H2367" t="str">
        <f>MID(Table132[[#This Row],[ÉTAT]],VALUE(RIGHT(Table132[[#This Row],[next move]],1))+1+VALUE(LEFT(Table132[[#This Row],[next move]],1))*3,1)</f>
        <v>V</v>
      </c>
      <c r="I2367" t="str">
        <f>Table132[[#This Row],[ÉTAT]]&amp;Table132[[#This Row],[next move]]</f>
        <v>VEVVVVVME20</v>
      </c>
    </row>
    <row r="2368" spans="2:9" x14ac:dyDescent="0.25">
      <c r="B2368" t="s">
        <v>1414</v>
      </c>
      <c r="C2368" s="22" t="s">
        <v>24</v>
      </c>
      <c r="D2368">
        <v>2</v>
      </c>
      <c r="G2368" s="30">
        <f>Table132[[#This Row],[nb win]]/Table132[[#This Row],[nb play]]</f>
        <v>0</v>
      </c>
      <c r="H2368" t="str">
        <f>MID(Table132[[#This Row],[ÉTAT]],VALUE(RIGHT(Table132[[#This Row],[next move]],1))+1+VALUE(LEFT(Table132[[#This Row],[next move]],1))*3,1)</f>
        <v>V</v>
      </c>
      <c r="I2368" t="str">
        <f>Table132[[#This Row],[ÉTAT]]&amp;Table132[[#This Row],[next move]]</f>
        <v>VEVVVVVEM00</v>
      </c>
    </row>
    <row r="2369" spans="2:9" x14ac:dyDescent="0.25">
      <c r="B2369" t="s">
        <v>1414</v>
      </c>
      <c r="C2369" s="22" t="s">
        <v>20</v>
      </c>
      <c r="D2369">
        <v>3</v>
      </c>
      <c r="E2369">
        <v>2</v>
      </c>
      <c r="G2369" s="30">
        <f>Table132[[#This Row],[nb win]]/Table132[[#This Row],[nb play]]</f>
        <v>0.66666666666666663</v>
      </c>
      <c r="H2369" t="str">
        <f>MID(Table132[[#This Row],[ÉTAT]],VALUE(RIGHT(Table132[[#This Row],[next move]],1))+1+VALUE(LEFT(Table132[[#This Row],[next move]],1))*3,1)</f>
        <v>V</v>
      </c>
      <c r="I2369" t="str">
        <f>Table132[[#This Row],[ÉTAT]]&amp;Table132[[#This Row],[next move]]</f>
        <v>VEVVVVVEM02</v>
      </c>
    </row>
    <row r="2370" spans="2:9" x14ac:dyDescent="0.25">
      <c r="B2370" t="s">
        <v>1414</v>
      </c>
      <c r="C2370" s="22" t="s">
        <v>30</v>
      </c>
      <c r="D2370">
        <v>2</v>
      </c>
      <c r="G2370" s="30">
        <f>Table132[[#This Row],[nb win]]/Table132[[#This Row],[nb play]]</f>
        <v>0</v>
      </c>
      <c r="H2370" t="str">
        <f>MID(Table132[[#This Row],[ÉTAT]],VALUE(RIGHT(Table132[[#This Row],[next move]],1))+1+VALUE(LEFT(Table132[[#This Row],[next move]],1))*3,1)</f>
        <v>V</v>
      </c>
      <c r="I2370" t="str">
        <f>Table132[[#This Row],[ÉTAT]]&amp;Table132[[#This Row],[next move]]</f>
        <v>VEVVVVVEM10</v>
      </c>
    </row>
    <row r="2371" spans="2:9" x14ac:dyDescent="0.25">
      <c r="B2371" t="s">
        <v>1414</v>
      </c>
      <c r="C2371" s="22" t="s">
        <v>29</v>
      </c>
      <c r="D2371">
        <v>2</v>
      </c>
      <c r="G2371" s="25">
        <f>Table132[[#This Row],[nb win]]/Table132[[#This Row],[nb play]]</f>
        <v>0</v>
      </c>
      <c r="H2371" t="str">
        <f>MID(Table132[[#This Row],[ÉTAT]],VALUE(RIGHT(Table132[[#This Row],[next move]],1))+1+VALUE(LEFT(Table132[[#This Row],[next move]],1))*3,1)</f>
        <v>V</v>
      </c>
      <c r="I2371" t="str">
        <f>Table132[[#This Row],[ÉTAT]]&amp;Table132[[#This Row],[next move]]</f>
        <v>VEVVVVVEM11</v>
      </c>
    </row>
    <row r="2372" spans="2:9" x14ac:dyDescent="0.25">
      <c r="B2372" t="s">
        <v>1414</v>
      </c>
      <c r="C2372" s="22" t="s">
        <v>28</v>
      </c>
      <c r="D2372">
        <v>3</v>
      </c>
      <c r="E2372">
        <v>1</v>
      </c>
      <c r="G2372" s="30">
        <f>Table132[[#This Row],[nb win]]/Table132[[#This Row],[nb play]]</f>
        <v>0.33333333333333331</v>
      </c>
      <c r="H2372" t="str">
        <f>MID(Table132[[#This Row],[ÉTAT]],VALUE(RIGHT(Table132[[#This Row],[next move]],1))+1+VALUE(LEFT(Table132[[#This Row],[next move]],1))*3,1)</f>
        <v>V</v>
      </c>
      <c r="I2372" t="str">
        <f>Table132[[#This Row],[ÉTAT]]&amp;Table132[[#This Row],[next move]]</f>
        <v>VEVVVVVEM12</v>
      </c>
    </row>
    <row r="2373" spans="2:9" x14ac:dyDescent="0.25">
      <c r="B2373" t="s">
        <v>1414</v>
      </c>
      <c r="C2373" s="22" t="s">
        <v>35</v>
      </c>
      <c r="D2373">
        <v>2</v>
      </c>
      <c r="G2373" s="30">
        <f>Table132[[#This Row],[nb win]]/Table132[[#This Row],[nb play]]</f>
        <v>0</v>
      </c>
      <c r="H2373" t="str">
        <f>MID(Table132[[#This Row],[ÉTAT]],VALUE(RIGHT(Table132[[#This Row],[next move]],1))+1+VALUE(LEFT(Table132[[#This Row],[next move]],1))*3,1)</f>
        <v>V</v>
      </c>
      <c r="I2373" t="str">
        <f>Table132[[#This Row],[ÉTAT]]&amp;Table132[[#This Row],[next move]]</f>
        <v>VEVVVVVEM20</v>
      </c>
    </row>
    <row r="2374" spans="2:9" x14ac:dyDescent="0.25">
      <c r="B2374" t="s">
        <v>536</v>
      </c>
      <c r="C2374" s="22" t="s">
        <v>30</v>
      </c>
      <c r="D2374">
        <v>15</v>
      </c>
      <c r="E2374">
        <v>11</v>
      </c>
      <c r="G2374" s="31">
        <f>Table132[[#This Row],[nb win]]/Table132[[#This Row],[nb play]]</f>
        <v>0.73333333333333328</v>
      </c>
      <c r="H2374" t="str">
        <f>MID(Table132[[#This Row],[ÉTAT]],VALUE(RIGHT(Table132[[#This Row],[next move]],1))+1+VALUE(LEFT(Table132[[#This Row],[next move]],1))*3,1)</f>
        <v>V</v>
      </c>
      <c r="I2374" t="str">
        <f>Table132[[#This Row],[ÉTAT]]&amp;Table132[[#This Row],[next move]]</f>
        <v>VEVVVVMVV10</v>
      </c>
    </row>
    <row r="2375" spans="2:9" x14ac:dyDescent="0.25">
      <c r="B2375" t="s">
        <v>536</v>
      </c>
      <c r="C2375" s="22" t="s">
        <v>22</v>
      </c>
      <c r="D2375">
        <v>5</v>
      </c>
      <c r="E2375">
        <v>5</v>
      </c>
      <c r="G2375" s="31">
        <f>Table132[[#This Row],[nb win]]/Table132[[#This Row],[nb play]]</f>
        <v>1</v>
      </c>
      <c r="H2375" t="str">
        <f>MID(Table132[[#This Row],[ÉTAT]],VALUE(RIGHT(Table132[[#This Row],[next move]],1))+1+VALUE(LEFT(Table132[[#This Row],[next move]],1))*3,1)</f>
        <v>V</v>
      </c>
      <c r="I2375" t="str">
        <f>Table132[[#This Row],[ÉTAT]]&amp;Table132[[#This Row],[next move]]</f>
        <v>VEVVVVMVV21</v>
      </c>
    </row>
    <row r="2376" spans="2:9" x14ac:dyDescent="0.25">
      <c r="B2376" t="s">
        <v>536</v>
      </c>
      <c r="C2376" s="22" t="s">
        <v>31</v>
      </c>
      <c r="D2376">
        <v>26</v>
      </c>
      <c r="E2376">
        <v>20</v>
      </c>
      <c r="G2376" s="31">
        <f>Table132[[#This Row],[nb win]]/Table132[[#This Row],[nb play]]</f>
        <v>0.76923076923076927</v>
      </c>
      <c r="H2376" t="str">
        <f>MID(Table132[[#This Row],[ÉTAT]],VALUE(RIGHT(Table132[[#This Row],[next move]],1))+1+VALUE(LEFT(Table132[[#This Row],[next move]],1))*3,1)</f>
        <v>V</v>
      </c>
      <c r="I2376" t="str">
        <f>Table132[[#This Row],[ÉTAT]]&amp;Table132[[#This Row],[next move]]</f>
        <v>VEVVVVMVV22</v>
      </c>
    </row>
    <row r="2377" spans="2:9" x14ac:dyDescent="0.25">
      <c r="B2377" t="s">
        <v>283</v>
      </c>
      <c r="C2377" s="22" t="s">
        <v>24</v>
      </c>
      <c r="D2377">
        <v>2</v>
      </c>
      <c r="E2377">
        <v>1</v>
      </c>
      <c r="G2377" s="31">
        <f>Table132[[#This Row],[nb win]]/Table132[[#This Row],[nb play]]</f>
        <v>0.5</v>
      </c>
      <c r="H2377" t="str">
        <f>MID(Table132[[#This Row],[ÉTAT]],VALUE(RIGHT(Table132[[#This Row],[next move]],1))+1+VALUE(LEFT(Table132[[#This Row],[next move]],1))*3,1)</f>
        <v>V</v>
      </c>
      <c r="I2377" t="str">
        <f>Table132[[#This Row],[ÉTAT]]&amp;Table132[[#This Row],[next move]]</f>
        <v>VEVVVVMVE00</v>
      </c>
    </row>
    <row r="2378" spans="2:9" x14ac:dyDescent="0.25">
      <c r="B2378" t="s">
        <v>283</v>
      </c>
      <c r="C2378" s="22" t="s">
        <v>28</v>
      </c>
      <c r="D2378">
        <v>3</v>
      </c>
      <c r="E2378">
        <v>2</v>
      </c>
      <c r="G2378" s="25">
        <f>Table132[[#This Row],[nb win]]/Table132[[#This Row],[nb play]]</f>
        <v>0.66666666666666663</v>
      </c>
      <c r="H2378" t="str">
        <f>MID(Table132[[#This Row],[ÉTAT]],VALUE(RIGHT(Table132[[#This Row],[next move]],1))+1+VALUE(LEFT(Table132[[#This Row],[next move]],1))*3,1)</f>
        <v>V</v>
      </c>
      <c r="I2378" t="str">
        <f>Table132[[#This Row],[ÉTAT]]&amp;Table132[[#This Row],[next move]]</f>
        <v>VEVVVVMVE12</v>
      </c>
    </row>
    <row r="2379" spans="2:9" x14ac:dyDescent="0.25">
      <c r="B2379" t="s">
        <v>283</v>
      </c>
      <c r="C2379" s="22" t="s">
        <v>22</v>
      </c>
      <c r="D2379">
        <v>2</v>
      </c>
      <c r="E2379">
        <v>1</v>
      </c>
      <c r="G2379" s="30">
        <f>Table132[[#This Row],[nb win]]/Table132[[#This Row],[nb play]]</f>
        <v>0.5</v>
      </c>
      <c r="H2379" t="str">
        <f>MID(Table132[[#This Row],[ÉTAT]],VALUE(RIGHT(Table132[[#This Row],[next move]],1))+1+VALUE(LEFT(Table132[[#This Row],[next move]],1))*3,1)</f>
        <v>V</v>
      </c>
      <c r="I2379" t="str">
        <f>Table132[[#This Row],[ÉTAT]]&amp;Table132[[#This Row],[next move]]</f>
        <v>VEVVVVMVE21</v>
      </c>
    </row>
    <row r="2380" spans="2:9" x14ac:dyDescent="0.25">
      <c r="B2380" t="s">
        <v>1808</v>
      </c>
      <c r="C2380" s="22" t="s">
        <v>20</v>
      </c>
      <c r="D2380">
        <v>2</v>
      </c>
      <c r="E2380">
        <v>2</v>
      </c>
      <c r="G2380" s="31">
        <f>Table132[[#This Row],[nb win]]/Table132[[#This Row],[nb play]]</f>
        <v>1</v>
      </c>
      <c r="H2380" t="str">
        <f>MID(Table132[[#This Row],[ÉTAT]],VALUE(RIGHT(Table132[[#This Row],[next move]],1))+1+VALUE(LEFT(Table132[[#This Row],[next move]],1))*3,1)</f>
        <v>V</v>
      </c>
      <c r="I2380" t="str">
        <f>Table132[[#This Row],[ÉTAT]]&amp;Table132[[#This Row],[next move]]</f>
        <v>VEVVVVMME02</v>
      </c>
    </row>
    <row r="2381" spans="2:9" x14ac:dyDescent="0.25">
      <c r="B2381" t="s">
        <v>1808</v>
      </c>
      <c r="C2381" s="22" t="s">
        <v>28</v>
      </c>
      <c r="D2381">
        <v>1</v>
      </c>
      <c r="G2381" s="25">
        <f>Table132[[#This Row],[nb win]]/Table132[[#This Row],[nb play]]</f>
        <v>0</v>
      </c>
      <c r="H2381" t="str">
        <f>MID(Table132[[#This Row],[ÉTAT]],VALUE(RIGHT(Table132[[#This Row],[next move]],1))+1+VALUE(LEFT(Table132[[#This Row],[next move]],1))*3,1)</f>
        <v>V</v>
      </c>
      <c r="I2381" t="str">
        <f>Table132[[#This Row],[ÉTAT]]&amp;Table132[[#This Row],[next move]]</f>
        <v>VEVVVVMME12</v>
      </c>
    </row>
    <row r="2382" spans="2:9" x14ac:dyDescent="0.25">
      <c r="B2382" t="s">
        <v>773</v>
      </c>
      <c r="C2382" s="22" t="s">
        <v>24</v>
      </c>
      <c r="D2382">
        <v>1</v>
      </c>
      <c r="G2382" s="30">
        <f>Table132[[#This Row],[nb win]]/Table132[[#This Row],[nb play]]</f>
        <v>0</v>
      </c>
      <c r="H2382" t="str">
        <f>MID(Table132[[#This Row],[ÉTAT]],VALUE(RIGHT(Table132[[#This Row],[next move]],1))+1+VALUE(LEFT(Table132[[#This Row],[next move]],1))*3,1)</f>
        <v>V</v>
      </c>
      <c r="I2382" t="str">
        <f>Table132[[#This Row],[ÉTAT]]&amp;Table132[[#This Row],[next move]]</f>
        <v>VEVVVVMEV00</v>
      </c>
    </row>
    <row r="2383" spans="2:9" x14ac:dyDescent="0.25">
      <c r="B2383" t="s">
        <v>773</v>
      </c>
      <c r="C2383" s="22" t="s">
        <v>20</v>
      </c>
      <c r="D2383">
        <v>2</v>
      </c>
      <c r="G2383" s="30">
        <f>Table132[[#This Row],[nb win]]/Table132[[#This Row],[nb play]]</f>
        <v>0</v>
      </c>
      <c r="H2383" t="str">
        <f>MID(Table132[[#This Row],[ÉTAT]],VALUE(RIGHT(Table132[[#This Row],[next move]],1))+1+VALUE(LEFT(Table132[[#This Row],[next move]],1))*3,1)</f>
        <v>V</v>
      </c>
      <c r="I2383" t="str">
        <f>Table132[[#This Row],[ÉTAT]]&amp;Table132[[#This Row],[next move]]</f>
        <v>VEVVVVMEV02</v>
      </c>
    </row>
    <row r="2384" spans="2:9" x14ac:dyDescent="0.25">
      <c r="B2384" t="s">
        <v>773</v>
      </c>
      <c r="C2384" s="22" t="s">
        <v>30</v>
      </c>
      <c r="D2384">
        <v>2</v>
      </c>
      <c r="E2384">
        <v>1</v>
      </c>
      <c r="G2384" s="30">
        <f>Table132[[#This Row],[nb win]]/Table132[[#This Row],[nb play]]</f>
        <v>0.5</v>
      </c>
      <c r="H2384" t="str">
        <f>MID(Table132[[#This Row],[ÉTAT]],VALUE(RIGHT(Table132[[#This Row],[next move]],1))+1+VALUE(LEFT(Table132[[#This Row],[next move]],1))*3,1)</f>
        <v>V</v>
      </c>
      <c r="I2384" t="str">
        <f>Table132[[#This Row],[ÉTAT]]&amp;Table132[[#This Row],[next move]]</f>
        <v>VEVVVVMEV10</v>
      </c>
    </row>
    <row r="2385" spans="2:9" x14ac:dyDescent="0.25">
      <c r="B2385" t="s">
        <v>773</v>
      </c>
      <c r="C2385" s="22" t="s">
        <v>29</v>
      </c>
      <c r="D2385">
        <v>5</v>
      </c>
      <c r="E2385">
        <v>4</v>
      </c>
      <c r="G2385" s="25">
        <f>Table132[[#This Row],[nb win]]/Table132[[#This Row],[nb play]]</f>
        <v>0.8</v>
      </c>
      <c r="H2385" t="str">
        <f>MID(Table132[[#This Row],[ÉTAT]],VALUE(RIGHT(Table132[[#This Row],[next move]],1))+1+VALUE(LEFT(Table132[[#This Row],[next move]],1))*3,1)</f>
        <v>V</v>
      </c>
      <c r="I2385" t="str">
        <f>Table132[[#This Row],[ÉTAT]]&amp;Table132[[#This Row],[next move]]</f>
        <v>VEVVVVMEV11</v>
      </c>
    </row>
    <row r="2386" spans="2:9" x14ac:dyDescent="0.25">
      <c r="B2386" t="s">
        <v>773</v>
      </c>
      <c r="C2386" s="22" t="s">
        <v>28</v>
      </c>
      <c r="D2386">
        <v>3</v>
      </c>
      <c r="G2386" s="30">
        <f>Table132[[#This Row],[nb win]]/Table132[[#This Row],[nb play]]</f>
        <v>0</v>
      </c>
      <c r="H2386" t="str">
        <f>MID(Table132[[#This Row],[ÉTAT]],VALUE(RIGHT(Table132[[#This Row],[next move]],1))+1+VALUE(LEFT(Table132[[#This Row],[next move]],1))*3,1)</f>
        <v>V</v>
      </c>
      <c r="I2386" t="str">
        <f>Table132[[#This Row],[ÉTAT]]&amp;Table132[[#This Row],[next move]]</f>
        <v>VEVVVVMEV12</v>
      </c>
    </row>
    <row r="2387" spans="2:9" x14ac:dyDescent="0.25">
      <c r="B2387" t="s">
        <v>773</v>
      </c>
      <c r="C2387" s="22" t="s">
        <v>31</v>
      </c>
      <c r="D2387">
        <v>3</v>
      </c>
      <c r="E2387">
        <v>2</v>
      </c>
      <c r="G2387" s="25">
        <f>Table132[[#This Row],[nb win]]/Table132[[#This Row],[nb play]]</f>
        <v>0.66666666666666663</v>
      </c>
      <c r="H2387" t="str">
        <f>MID(Table132[[#This Row],[ÉTAT]],VALUE(RIGHT(Table132[[#This Row],[next move]],1))+1+VALUE(LEFT(Table132[[#This Row],[next move]],1))*3,1)</f>
        <v>V</v>
      </c>
      <c r="I2387" t="str">
        <f>Table132[[#This Row],[ÉTAT]]&amp;Table132[[#This Row],[next move]]</f>
        <v>VEVVVVMEV22</v>
      </c>
    </row>
    <row r="2388" spans="2:9" x14ac:dyDescent="0.25">
      <c r="B2388" t="s">
        <v>2385</v>
      </c>
      <c r="C2388" s="22" t="s">
        <v>30</v>
      </c>
      <c r="D2388">
        <v>3</v>
      </c>
      <c r="E2388">
        <v>1</v>
      </c>
      <c r="G2388" s="30">
        <f>Table132[[#This Row],[nb win]]/Table132[[#This Row],[nb play]]</f>
        <v>0.33333333333333331</v>
      </c>
      <c r="H2388" t="str">
        <f>MID(Table132[[#This Row],[ÉTAT]],VALUE(RIGHT(Table132[[#This Row],[next move]],1))+1+VALUE(LEFT(Table132[[#This Row],[next move]],1))*3,1)</f>
        <v>V</v>
      </c>
      <c r="I2388" t="str">
        <f>Table132[[#This Row],[ÉTAT]]&amp;Table132[[#This Row],[next move]]</f>
        <v>VEVVVVMEM10</v>
      </c>
    </row>
    <row r="2389" spans="2:9" x14ac:dyDescent="0.25">
      <c r="B2389" t="s">
        <v>2385</v>
      </c>
      <c r="C2389" s="22" t="s">
        <v>29</v>
      </c>
      <c r="D2389">
        <v>2</v>
      </c>
      <c r="E2389">
        <v>2</v>
      </c>
      <c r="G2389" s="31">
        <f>Table132[[#This Row],[nb win]]/Table132[[#This Row],[nb play]]</f>
        <v>1</v>
      </c>
      <c r="H2389" t="str">
        <f>MID(Table132[[#This Row],[ÉTAT]],VALUE(RIGHT(Table132[[#This Row],[next move]],1))+1+VALUE(LEFT(Table132[[#This Row],[next move]],1))*3,1)</f>
        <v>V</v>
      </c>
      <c r="I2389" t="str">
        <f>Table132[[#This Row],[ÉTAT]]&amp;Table132[[#This Row],[next move]]</f>
        <v>VEVVVVMEM11</v>
      </c>
    </row>
    <row r="2390" spans="2:9" x14ac:dyDescent="0.25">
      <c r="B2390" t="s">
        <v>382</v>
      </c>
      <c r="C2390" s="22" t="s">
        <v>24</v>
      </c>
      <c r="D2390">
        <v>2</v>
      </c>
      <c r="E2390">
        <v>2</v>
      </c>
      <c r="G2390" s="31">
        <f>Table132[[#This Row],[nb win]]/Table132[[#This Row],[nb play]]</f>
        <v>1</v>
      </c>
      <c r="H2390" t="str">
        <f>MID(Table132[[#This Row],[ÉTAT]],VALUE(RIGHT(Table132[[#This Row],[next move]],1))+1+VALUE(LEFT(Table132[[#This Row],[next move]],1))*3,1)</f>
        <v>V</v>
      </c>
      <c r="I2390" t="str">
        <f>Table132[[#This Row],[ÉTAT]]&amp;Table132[[#This Row],[next move]]</f>
        <v>VEVVVVEVM00</v>
      </c>
    </row>
    <row r="2391" spans="2:9" x14ac:dyDescent="0.25">
      <c r="B2391" t="s">
        <v>382</v>
      </c>
      <c r="C2391" s="22" t="s">
        <v>20</v>
      </c>
      <c r="D2391">
        <v>3</v>
      </c>
      <c r="E2391">
        <v>2</v>
      </c>
      <c r="G2391" s="31">
        <f>Table132[[#This Row],[nb win]]/Table132[[#This Row],[nb play]]</f>
        <v>0.66666666666666663</v>
      </c>
      <c r="H2391" t="str">
        <f>MID(Table132[[#This Row],[ÉTAT]],VALUE(RIGHT(Table132[[#This Row],[next move]],1))+1+VALUE(LEFT(Table132[[#This Row],[next move]],1))*3,1)</f>
        <v>V</v>
      </c>
      <c r="I2391" t="str">
        <f>Table132[[#This Row],[ÉTAT]]&amp;Table132[[#This Row],[next move]]</f>
        <v>VEVVVVEVM02</v>
      </c>
    </row>
    <row r="2392" spans="2:9" x14ac:dyDescent="0.25">
      <c r="B2392" t="s">
        <v>382</v>
      </c>
      <c r="C2392" s="22" t="s">
        <v>28</v>
      </c>
      <c r="D2392">
        <v>4</v>
      </c>
      <c r="E2392">
        <v>3</v>
      </c>
      <c r="G2392" s="25">
        <f>Table132[[#This Row],[nb win]]/Table132[[#This Row],[nb play]]</f>
        <v>0.75</v>
      </c>
      <c r="H2392" t="str">
        <f>MID(Table132[[#This Row],[ÉTAT]],VALUE(RIGHT(Table132[[#This Row],[next move]],1))+1+VALUE(LEFT(Table132[[#This Row],[next move]],1))*3,1)</f>
        <v>V</v>
      </c>
      <c r="I2392" t="str">
        <f>Table132[[#This Row],[ÉTAT]]&amp;Table132[[#This Row],[next move]]</f>
        <v>VEVVVVEVM12</v>
      </c>
    </row>
    <row r="2393" spans="2:9" x14ac:dyDescent="0.25">
      <c r="B2393" t="s">
        <v>382</v>
      </c>
      <c r="C2393" s="22" t="s">
        <v>22</v>
      </c>
      <c r="D2393">
        <v>1</v>
      </c>
      <c r="G2393" s="25">
        <f>Table132[[#This Row],[nb win]]/Table132[[#This Row],[nb play]]</f>
        <v>0</v>
      </c>
      <c r="H2393" t="str">
        <f>MID(Table132[[#This Row],[ÉTAT]],VALUE(RIGHT(Table132[[#This Row],[next move]],1))+1+VALUE(LEFT(Table132[[#This Row],[next move]],1))*3,1)</f>
        <v>V</v>
      </c>
      <c r="I2393" t="str">
        <f>Table132[[#This Row],[ÉTAT]]&amp;Table132[[#This Row],[next move]]</f>
        <v>VEVVVVEVM21</v>
      </c>
    </row>
    <row r="2394" spans="2:9" x14ac:dyDescent="0.25">
      <c r="B2394" t="s">
        <v>602</v>
      </c>
      <c r="C2394" s="22" t="s">
        <v>24</v>
      </c>
      <c r="D2394">
        <v>2</v>
      </c>
      <c r="E2394">
        <v>2</v>
      </c>
      <c r="G2394" s="31">
        <f>Table132[[#This Row],[nb win]]/Table132[[#This Row],[nb play]]</f>
        <v>1</v>
      </c>
      <c r="H2394" t="str">
        <f>MID(Table132[[#This Row],[ÉTAT]],VALUE(RIGHT(Table132[[#This Row],[next move]],1))+1+VALUE(LEFT(Table132[[#This Row],[next move]],1))*3,1)</f>
        <v>V</v>
      </c>
      <c r="I2394" t="str">
        <f>Table132[[#This Row],[ÉTAT]]&amp;Table132[[#This Row],[next move]]</f>
        <v>VEVVVVEMV00</v>
      </c>
    </row>
    <row r="2395" spans="2:9" x14ac:dyDescent="0.25">
      <c r="B2395" t="s">
        <v>602</v>
      </c>
      <c r="C2395" s="22" t="s">
        <v>28</v>
      </c>
      <c r="D2395">
        <v>3</v>
      </c>
      <c r="G2395" s="30">
        <f>Table132[[#This Row],[nb win]]/Table132[[#This Row],[nb play]]</f>
        <v>0</v>
      </c>
      <c r="H2395" t="str">
        <f>MID(Table132[[#This Row],[ÉTAT]],VALUE(RIGHT(Table132[[#This Row],[next move]],1))+1+VALUE(LEFT(Table132[[#This Row],[next move]],1))*3,1)</f>
        <v>V</v>
      </c>
      <c r="I2395" t="str">
        <f>Table132[[#This Row],[ÉTAT]]&amp;Table132[[#This Row],[next move]]</f>
        <v>VEVVVVEMV12</v>
      </c>
    </row>
    <row r="2396" spans="2:9" x14ac:dyDescent="0.25">
      <c r="B2396" t="s">
        <v>602</v>
      </c>
      <c r="C2396" s="22" t="s">
        <v>31</v>
      </c>
      <c r="D2396">
        <v>3</v>
      </c>
      <c r="G2396" s="25">
        <f>Table132[[#This Row],[nb win]]/Table132[[#This Row],[nb play]]</f>
        <v>0</v>
      </c>
      <c r="H2396" t="str">
        <f>MID(Table132[[#This Row],[ÉTAT]],VALUE(RIGHT(Table132[[#This Row],[next move]],1))+1+VALUE(LEFT(Table132[[#This Row],[next move]],1))*3,1)</f>
        <v>V</v>
      </c>
      <c r="I2396" t="str">
        <f>Table132[[#This Row],[ÉTAT]]&amp;Table132[[#This Row],[next move]]</f>
        <v>VEVVVVEMV22</v>
      </c>
    </row>
    <row r="2397" spans="2:9" x14ac:dyDescent="0.25">
      <c r="B2397" t="s">
        <v>2190</v>
      </c>
      <c r="C2397" s="22" t="s">
        <v>29</v>
      </c>
      <c r="D2397">
        <v>1</v>
      </c>
      <c r="G2397" s="25">
        <f>Table132[[#This Row],[nb win]]/Table132[[#This Row],[nb play]]</f>
        <v>0</v>
      </c>
      <c r="H2397" t="str">
        <f>MID(Table132[[#This Row],[ÉTAT]],VALUE(RIGHT(Table132[[#This Row],[next move]],1))+1+VALUE(LEFT(Table132[[#This Row],[next move]],1))*3,1)</f>
        <v>V</v>
      </c>
      <c r="I2397" t="str">
        <f>Table132[[#This Row],[ÉTAT]]&amp;Table132[[#This Row],[next move]]</f>
        <v>VEVVVVEMM11</v>
      </c>
    </row>
    <row r="2398" spans="2:9" x14ac:dyDescent="0.25">
      <c r="B2398" t="s">
        <v>2190</v>
      </c>
      <c r="C2398" s="22" t="s">
        <v>28</v>
      </c>
      <c r="D2398">
        <v>1</v>
      </c>
      <c r="G2398" s="30">
        <f>Table132[[#This Row],[nb win]]/Table132[[#This Row],[nb play]]</f>
        <v>0</v>
      </c>
      <c r="H2398" t="str">
        <f>MID(Table132[[#This Row],[ÉTAT]],VALUE(RIGHT(Table132[[#This Row],[next move]],1))+1+VALUE(LEFT(Table132[[#This Row],[next move]],1))*3,1)</f>
        <v>V</v>
      </c>
      <c r="I2398" t="str">
        <f>Table132[[#This Row],[ÉTAT]]&amp;Table132[[#This Row],[next move]]</f>
        <v>VEVVVVEMM12</v>
      </c>
    </row>
    <row r="2399" spans="2:9" x14ac:dyDescent="0.25">
      <c r="B2399" t="s">
        <v>376</v>
      </c>
      <c r="C2399" s="22" t="s">
        <v>24</v>
      </c>
      <c r="D2399">
        <v>6</v>
      </c>
      <c r="E2399">
        <v>4</v>
      </c>
      <c r="G2399" s="31">
        <f>Table132[[#This Row],[nb win]]/Table132[[#This Row],[nb play]]</f>
        <v>0.66666666666666663</v>
      </c>
      <c r="H2399" t="str">
        <f>MID(Table132[[#This Row],[ÉTAT]],VALUE(RIGHT(Table132[[#This Row],[next move]],1))+1+VALUE(LEFT(Table132[[#This Row],[next move]],1))*3,1)</f>
        <v>V</v>
      </c>
      <c r="I2399" t="str">
        <f>Table132[[#This Row],[ÉTAT]]&amp;Table132[[#This Row],[next move]]</f>
        <v>VEVVVMVVV00</v>
      </c>
    </row>
    <row r="2400" spans="2:9" x14ac:dyDescent="0.25">
      <c r="B2400" t="s">
        <v>376</v>
      </c>
      <c r="C2400" s="22" t="s">
        <v>20</v>
      </c>
      <c r="D2400">
        <v>6</v>
      </c>
      <c r="E2400">
        <v>6</v>
      </c>
      <c r="G2400" s="31">
        <f>Table132[[#This Row],[nb win]]/Table132[[#This Row],[nb play]]</f>
        <v>1</v>
      </c>
      <c r="H2400" t="str">
        <f>MID(Table132[[#This Row],[ÉTAT]],VALUE(RIGHT(Table132[[#This Row],[next move]],1))+1+VALUE(LEFT(Table132[[#This Row],[next move]],1))*3,1)</f>
        <v>V</v>
      </c>
      <c r="I2400" t="str">
        <f>Table132[[#This Row],[ÉTAT]]&amp;Table132[[#This Row],[next move]]</f>
        <v>VEVVVMVVV02</v>
      </c>
    </row>
    <row r="2401" spans="2:9" x14ac:dyDescent="0.25">
      <c r="B2401" t="s">
        <v>376</v>
      </c>
      <c r="C2401" s="22" t="s">
        <v>30</v>
      </c>
      <c r="D2401">
        <v>7</v>
      </c>
      <c r="E2401">
        <v>3</v>
      </c>
      <c r="G2401" s="30">
        <f>Table132[[#This Row],[nb win]]/Table132[[#This Row],[nb play]]</f>
        <v>0.42857142857142855</v>
      </c>
      <c r="H2401" t="str">
        <f>MID(Table132[[#This Row],[ÉTAT]],VALUE(RIGHT(Table132[[#This Row],[next move]],1))+1+VALUE(LEFT(Table132[[#This Row],[next move]],1))*3,1)</f>
        <v>V</v>
      </c>
      <c r="I2401" t="str">
        <f>Table132[[#This Row],[ÉTAT]]&amp;Table132[[#This Row],[next move]]</f>
        <v>VEVVVMVVV10</v>
      </c>
    </row>
    <row r="2402" spans="2:9" x14ac:dyDescent="0.25">
      <c r="B2402" t="s">
        <v>376</v>
      </c>
      <c r="C2402" s="22" t="s">
        <v>29</v>
      </c>
      <c r="D2402">
        <v>7</v>
      </c>
      <c r="E2402">
        <v>6</v>
      </c>
      <c r="G2402" s="31">
        <f>Table132[[#This Row],[nb win]]/Table132[[#This Row],[nb play]]</f>
        <v>0.8571428571428571</v>
      </c>
      <c r="H2402" t="str">
        <f>MID(Table132[[#This Row],[ÉTAT]],VALUE(RIGHT(Table132[[#This Row],[next move]],1))+1+VALUE(LEFT(Table132[[#This Row],[next move]],1))*3,1)</f>
        <v>V</v>
      </c>
      <c r="I2402" t="str">
        <f>Table132[[#This Row],[ÉTAT]]&amp;Table132[[#This Row],[next move]]</f>
        <v>VEVVVMVVV11</v>
      </c>
    </row>
    <row r="2403" spans="2:9" x14ac:dyDescent="0.25">
      <c r="B2403" t="s">
        <v>376</v>
      </c>
      <c r="C2403" s="22" t="s">
        <v>35</v>
      </c>
      <c r="D2403">
        <v>3</v>
      </c>
      <c r="G2403" s="30">
        <f>Table132[[#This Row],[nb win]]/Table132[[#This Row],[nb play]]</f>
        <v>0</v>
      </c>
      <c r="H2403" t="str">
        <f>MID(Table132[[#This Row],[ÉTAT]],VALUE(RIGHT(Table132[[#This Row],[next move]],1))+1+VALUE(LEFT(Table132[[#This Row],[next move]],1))*3,1)</f>
        <v>V</v>
      </c>
      <c r="I2403" t="str">
        <f>Table132[[#This Row],[ÉTAT]]&amp;Table132[[#This Row],[next move]]</f>
        <v>VEVVVMVVV20</v>
      </c>
    </row>
    <row r="2404" spans="2:9" x14ac:dyDescent="0.25">
      <c r="B2404" t="s">
        <v>376</v>
      </c>
      <c r="C2404" s="22" t="s">
        <v>22</v>
      </c>
      <c r="D2404">
        <v>9</v>
      </c>
      <c r="E2404">
        <v>6</v>
      </c>
      <c r="G2404" s="30">
        <f>Table132[[#This Row],[nb win]]/Table132[[#This Row],[nb play]]</f>
        <v>0.66666666666666663</v>
      </c>
      <c r="H2404" t="str">
        <f>MID(Table132[[#This Row],[ÉTAT]],VALUE(RIGHT(Table132[[#This Row],[next move]],1))+1+VALUE(LEFT(Table132[[#This Row],[next move]],1))*3,1)</f>
        <v>V</v>
      </c>
      <c r="I2404" t="str">
        <f>Table132[[#This Row],[ÉTAT]]&amp;Table132[[#This Row],[next move]]</f>
        <v>VEVVVMVVV21</v>
      </c>
    </row>
    <row r="2405" spans="2:9" x14ac:dyDescent="0.25">
      <c r="B2405" t="s">
        <v>376</v>
      </c>
      <c r="C2405" s="22" t="s">
        <v>31</v>
      </c>
      <c r="D2405">
        <v>16</v>
      </c>
      <c r="E2405">
        <v>8</v>
      </c>
      <c r="G2405" s="31">
        <f>Table132[[#This Row],[nb win]]/Table132[[#This Row],[nb play]]</f>
        <v>0.5</v>
      </c>
      <c r="H2405" t="str">
        <f>MID(Table132[[#This Row],[ÉTAT]],VALUE(RIGHT(Table132[[#This Row],[next move]],1))+1+VALUE(LEFT(Table132[[#This Row],[next move]],1))*3,1)</f>
        <v>V</v>
      </c>
      <c r="I2405" t="str">
        <f>Table132[[#This Row],[ÉTAT]]&amp;Table132[[#This Row],[next move]]</f>
        <v>VEVVVMVVV22</v>
      </c>
    </row>
    <row r="2406" spans="2:9" x14ac:dyDescent="0.25">
      <c r="B2406" t="s">
        <v>346</v>
      </c>
      <c r="C2406" s="22" t="s">
        <v>20</v>
      </c>
      <c r="D2406">
        <v>2</v>
      </c>
      <c r="G2406" s="30">
        <f>Table132[[#This Row],[nb win]]/Table132[[#This Row],[nb play]]</f>
        <v>0</v>
      </c>
      <c r="H2406" t="str">
        <f>MID(Table132[[#This Row],[ÉTAT]],VALUE(RIGHT(Table132[[#This Row],[next move]],1))+1+VALUE(LEFT(Table132[[#This Row],[next move]],1))*3,1)</f>
        <v>V</v>
      </c>
      <c r="I2406" t="str">
        <f>Table132[[#This Row],[ÉTAT]]&amp;Table132[[#This Row],[next move]]</f>
        <v>VEVVVMVVE02</v>
      </c>
    </row>
    <row r="2407" spans="2:9" x14ac:dyDescent="0.25">
      <c r="B2407" t="s">
        <v>346</v>
      </c>
      <c r="C2407" s="22" t="s">
        <v>30</v>
      </c>
      <c r="D2407">
        <v>5</v>
      </c>
      <c r="E2407">
        <v>3</v>
      </c>
      <c r="G2407" s="30">
        <f>Table132[[#This Row],[nb win]]/Table132[[#This Row],[nb play]]</f>
        <v>0.6</v>
      </c>
      <c r="H2407" t="str">
        <f>MID(Table132[[#This Row],[ÉTAT]],VALUE(RIGHT(Table132[[#This Row],[next move]],1))+1+VALUE(LEFT(Table132[[#This Row],[next move]],1))*3,1)</f>
        <v>V</v>
      </c>
      <c r="I2407" t="str">
        <f>Table132[[#This Row],[ÉTAT]]&amp;Table132[[#This Row],[next move]]</f>
        <v>VEVVVMVVE10</v>
      </c>
    </row>
    <row r="2408" spans="2:9" x14ac:dyDescent="0.25">
      <c r="B2408" t="s">
        <v>346</v>
      </c>
      <c r="C2408" s="22" t="s">
        <v>29</v>
      </c>
      <c r="D2408">
        <v>2</v>
      </c>
      <c r="E2408">
        <v>2</v>
      </c>
      <c r="G2408" s="25">
        <f>Table132[[#This Row],[nb win]]/Table132[[#This Row],[nb play]]</f>
        <v>1</v>
      </c>
      <c r="H2408" t="str">
        <f>MID(Table132[[#This Row],[ÉTAT]],VALUE(RIGHT(Table132[[#This Row],[next move]],1))+1+VALUE(LEFT(Table132[[#This Row],[next move]],1))*3,1)</f>
        <v>V</v>
      </c>
      <c r="I2408" t="str">
        <f>Table132[[#This Row],[ÉTAT]]&amp;Table132[[#This Row],[next move]]</f>
        <v>VEVVVMVVE11</v>
      </c>
    </row>
    <row r="2409" spans="2:9" x14ac:dyDescent="0.25">
      <c r="B2409" t="s">
        <v>346</v>
      </c>
      <c r="C2409" s="22" t="s">
        <v>35</v>
      </c>
      <c r="D2409">
        <v>3</v>
      </c>
      <c r="E2409">
        <v>2</v>
      </c>
      <c r="G2409" s="25">
        <f>Table132[[#This Row],[nb win]]/Table132[[#This Row],[nb play]]</f>
        <v>0.66666666666666663</v>
      </c>
      <c r="H2409" t="str">
        <f>MID(Table132[[#This Row],[ÉTAT]],VALUE(RIGHT(Table132[[#This Row],[next move]],1))+1+VALUE(LEFT(Table132[[#This Row],[next move]],1))*3,1)</f>
        <v>V</v>
      </c>
      <c r="I2409" t="str">
        <f>Table132[[#This Row],[ÉTAT]]&amp;Table132[[#This Row],[next move]]</f>
        <v>VEVVVMVVE20</v>
      </c>
    </row>
    <row r="2410" spans="2:9" x14ac:dyDescent="0.25">
      <c r="B2410" t="s">
        <v>919</v>
      </c>
      <c r="C2410" s="22" t="s">
        <v>24</v>
      </c>
      <c r="D2410">
        <v>1</v>
      </c>
      <c r="E2410">
        <v>1</v>
      </c>
      <c r="G2410" s="25">
        <f>Table132[[#This Row],[nb win]]/Table132[[#This Row],[nb play]]</f>
        <v>1</v>
      </c>
      <c r="H2410" t="str">
        <f>MID(Table132[[#This Row],[ÉTAT]],VALUE(RIGHT(Table132[[#This Row],[next move]],1))+1+VALUE(LEFT(Table132[[#This Row],[next move]],1))*3,1)</f>
        <v>V</v>
      </c>
      <c r="I2410" t="str">
        <f>Table132[[#This Row],[ÉTAT]]&amp;Table132[[#This Row],[next move]]</f>
        <v>VEVVVMVME00</v>
      </c>
    </row>
    <row r="2411" spans="2:9" x14ac:dyDescent="0.25">
      <c r="B2411" t="s">
        <v>687</v>
      </c>
      <c r="C2411" s="22" t="s">
        <v>24</v>
      </c>
      <c r="D2411">
        <v>4</v>
      </c>
      <c r="E2411">
        <v>1</v>
      </c>
      <c r="G2411" s="30">
        <f>Table132[[#This Row],[nb win]]/Table132[[#This Row],[nb play]]</f>
        <v>0.25</v>
      </c>
      <c r="H2411" t="str">
        <f>MID(Table132[[#This Row],[ÉTAT]],VALUE(RIGHT(Table132[[#This Row],[next move]],1))+1+VALUE(LEFT(Table132[[#This Row],[next move]],1))*3,1)</f>
        <v>V</v>
      </c>
      <c r="I2411" t="str">
        <f>Table132[[#This Row],[ÉTAT]]&amp;Table132[[#This Row],[next move]]</f>
        <v>VEVVVMVEV00</v>
      </c>
    </row>
    <row r="2412" spans="2:9" x14ac:dyDescent="0.25">
      <c r="B2412" t="s">
        <v>687</v>
      </c>
      <c r="C2412" s="22" t="s">
        <v>20</v>
      </c>
      <c r="D2412">
        <v>5</v>
      </c>
      <c r="E2412">
        <v>1</v>
      </c>
      <c r="G2412" s="30">
        <f>Table132[[#This Row],[nb win]]/Table132[[#This Row],[nb play]]</f>
        <v>0.2</v>
      </c>
      <c r="H2412" t="str">
        <f>MID(Table132[[#This Row],[ÉTAT]],VALUE(RIGHT(Table132[[#This Row],[next move]],1))+1+VALUE(LEFT(Table132[[#This Row],[next move]],1))*3,1)</f>
        <v>V</v>
      </c>
      <c r="I2412" t="str">
        <f>Table132[[#This Row],[ÉTAT]]&amp;Table132[[#This Row],[next move]]</f>
        <v>VEVVVMVEV02</v>
      </c>
    </row>
    <row r="2413" spans="2:9" x14ac:dyDescent="0.25">
      <c r="B2413" t="s">
        <v>687</v>
      </c>
      <c r="C2413" s="22" t="s">
        <v>30</v>
      </c>
      <c r="D2413">
        <v>8</v>
      </c>
      <c r="E2413">
        <v>4</v>
      </c>
      <c r="G2413" s="25">
        <f>Table132[[#This Row],[nb win]]/Table132[[#This Row],[nb play]]</f>
        <v>0.5</v>
      </c>
      <c r="H2413" t="str">
        <f>MID(Table132[[#This Row],[ÉTAT]],VALUE(RIGHT(Table132[[#This Row],[next move]],1))+1+VALUE(LEFT(Table132[[#This Row],[next move]],1))*3,1)</f>
        <v>V</v>
      </c>
      <c r="I2413" t="str">
        <f>Table132[[#This Row],[ÉTAT]]&amp;Table132[[#This Row],[next move]]</f>
        <v>VEVVVMVEV10</v>
      </c>
    </row>
    <row r="2414" spans="2:9" x14ac:dyDescent="0.25">
      <c r="B2414" t="s">
        <v>687</v>
      </c>
      <c r="C2414" s="22" t="s">
        <v>29</v>
      </c>
      <c r="D2414">
        <v>4</v>
      </c>
      <c r="E2414">
        <v>3</v>
      </c>
      <c r="G2414" s="31">
        <f>Table132[[#This Row],[nb win]]/Table132[[#This Row],[nb play]]</f>
        <v>0.75</v>
      </c>
      <c r="H2414" t="str">
        <f>MID(Table132[[#This Row],[ÉTAT]],VALUE(RIGHT(Table132[[#This Row],[next move]],1))+1+VALUE(LEFT(Table132[[#This Row],[next move]],1))*3,1)</f>
        <v>V</v>
      </c>
      <c r="I2414" t="str">
        <f>Table132[[#This Row],[ÉTAT]]&amp;Table132[[#This Row],[next move]]</f>
        <v>VEVVVMVEV11</v>
      </c>
    </row>
    <row r="2415" spans="2:9" x14ac:dyDescent="0.25">
      <c r="B2415" t="s">
        <v>687</v>
      </c>
      <c r="C2415" s="22" t="s">
        <v>35</v>
      </c>
      <c r="D2415">
        <v>2</v>
      </c>
      <c r="E2415">
        <v>1</v>
      </c>
      <c r="G2415" s="30">
        <f>Table132[[#This Row],[nb win]]/Table132[[#This Row],[nb play]]</f>
        <v>0.5</v>
      </c>
      <c r="H2415" t="str">
        <f>MID(Table132[[#This Row],[ÉTAT]],VALUE(RIGHT(Table132[[#This Row],[next move]],1))+1+VALUE(LEFT(Table132[[#This Row],[next move]],1))*3,1)</f>
        <v>V</v>
      </c>
      <c r="I2415" t="str">
        <f>Table132[[#This Row],[ÉTAT]]&amp;Table132[[#This Row],[next move]]</f>
        <v>VEVVVMVEV20</v>
      </c>
    </row>
    <row r="2416" spans="2:9" x14ac:dyDescent="0.25">
      <c r="B2416" t="s">
        <v>687</v>
      </c>
      <c r="C2416" s="22" t="s">
        <v>31</v>
      </c>
      <c r="D2416">
        <v>5</v>
      </c>
      <c r="E2416">
        <v>1</v>
      </c>
      <c r="G2416" s="30">
        <f>Table132[[#This Row],[nb win]]/Table132[[#This Row],[nb play]]</f>
        <v>0.2</v>
      </c>
      <c r="H2416" t="str">
        <f>MID(Table132[[#This Row],[ÉTAT]],VALUE(RIGHT(Table132[[#This Row],[next move]],1))+1+VALUE(LEFT(Table132[[#This Row],[next move]],1))*3,1)</f>
        <v>V</v>
      </c>
      <c r="I2416" t="str">
        <f>Table132[[#This Row],[ÉTAT]]&amp;Table132[[#This Row],[next move]]</f>
        <v>VEVVVMVEV22</v>
      </c>
    </row>
    <row r="2417" spans="2:9" x14ac:dyDescent="0.25">
      <c r="B2417" t="s">
        <v>2053</v>
      </c>
      <c r="C2417" s="22" t="s">
        <v>24</v>
      </c>
      <c r="D2417">
        <v>1</v>
      </c>
      <c r="G2417" s="25">
        <f>Table132[[#This Row],[nb win]]/Table132[[#This Row],[nb play]]</f>
        <v>0</v>
      </c>
      <c r="H2417" t="str">
        <f>MID(Table132[[#This Row],[ÉTAT]],VALUE(RIGHT(Table132[[#This Row],[next move]],1))+1+VALUE(LEFT(Table132[[#This Row],[next move]],1))*3,1)</f>
        <v>V</v>
      </c>
      <c r="I2417" t="str">
        <f>Table132[[#This Row],[ÉTAT]]&amp;Table132[[#This Row],[next move]]</f>
        <v>VEVVVMVEM00</v>
      </c>
    </row>
    <row r="2418" spans="2:9" x14ac:dyDescent="0.25">
      <c r="B2418" t="s">
        <v>2053</v>
      </c>
      <c r="C2418" s="22" t="s">
        <v>20</v>
      </c>
      <c r="D2418">
        <v>2</v>
      </c>
      <c r="E2418">
        <v>2</v>
      </c>
      <c r="G2418" s="31">
        <f>Table132[[#This Row],[nb win]]/Table132[[#This Row],[nb play]]</f>
        <v>1</v>
      </c>
      <c r="H2418" t="str">
        <f>MID(Table132[[#This Row],[ÉTAT]],VALUE(RIGHT(Table132[[#This Row],[next move]],1))+1+VALUE(LEFT(Table132[[#This Row],[next move]],1))*3,1)</f>
        <v>V</v>
      </c>
      <c r="I2418" t="str">
        <f>Table132[[#This Row],[ÉTAT]]&amp;Table132[[#This Row],[next move]]</f>
        <v>VEVVVMVEM02</v>
      </c>
    </row>
    <row r="2419" spans="2:9" x14ac:dyDescent="0.25">
      <c r="B2419" t="s">
        <v>2053</v>
      </c>
      <c r="C2419" s="22" t="s">
        <v>30</v>
      </c>
      <c r="D2419">
        <v>4</v>
      </c>
      <c r="E2419">
        <v>3</v>
      </c>
      <c r="G2419" s="31">
        <f>Table132[[#This Row],[nb win]]/Table132[[#This Row],[nb play]]</f>
        <v>0.75</v>
      </c>
      <c r="H2419" t="str">
        <f>MID(Table132[[#This Row],[ÉTAT]],VALUE(RIGHT(Table132[[#This Row],[next move]],1))+1+VALUE(LEFT(Table132[[#This Row],[next move]],1))*3,1)</f>
        <v>V</v>
      </c>
      <c r="I2419" t="str">
        <f>Table132[[#This Row],[ÉTAT]]&amp;Table132[[#This Row],[next move]]</f>
        <v>VEVVVMVEM10</v>
      </c>
    </row>
    <row r="2420" spans="2:9" x14ac:dyDescent="0.25">
      <c r="B2420" t="s">
        <v>2791</v>
      </c>
      <c r="C2420" s="22" t="s">
        <v>24</v>
      </c>
      <c r="D2420">
        <v>2</v>
      </c>
      <c r="E2420">
        <v>1</v>
      </c>
      <c r="G2420" s="31">
        <f>Table132[[#This Row],[nb win]]/Table132[[#This Row],[nb play]]</f>
        <v>0.5</v>
      </c>
      <c r="H2420" t="str">
        <f>MID(Table132[[#This Row],[ÉTAT]],VALUE(RIGHT(Table132[[#This Row],[next move]],1))+1+VALUE(LEFT(Table132[[#This Row],[next move]],1))*3,1)</f>
        <v>V</v>
      </c>
      <c r="I2420" t="str">
        <f>Table132[[#This Row],[ÉTAT]]&amp;Table132[[#This Row],[next move]]</f>
        <v>VEVVVMMEV00</v>
      </c>
    </row>
    <row r="2421" spans="2:9" x14ac:dyDescent="0.25">
      <c r="B2421" t="s">
        <v>2791</v>
      </c>
      <c r="C2421" s="22" t="s">
        <v>30</v>
      </c>
      <c r="D2421">
        <v>2</v>
      </c>
      <c r="G2421" s="30">
        <f>Table132[[#This Row],[nb win]]/Table132[[#This Row],[nb play]]</f>
        <v>0</v>
      </c>
      <c r="H2421" t="str">
        <f>MID(Table132[[#This Row],[ÉTAT]],VALUE(RIGHT(Table132[[#This Row],[next move]],1))+1+VALUE(LEFT(Table132[[#This Row],[next move]],1))*3,1)</f>
        <v>V</v>
      </c>
      <c r="I2421" t="str">
        <f>Table132[[#This Row],[ÉTAT]]&amp;Table132[[#This Row],[next move]]</f>
        <v>VEVVVMMEV10</v>
      </c>
    </row>
    <row r="2422" spans="2:9" x14ac:dyDescent="0.25">
      <c r="B2422" t="s">
        <v>2791</v>
      </c>
      <c r="C2422" s="22" t="s">
        <v>29</v>
      </c>
      <c r="D2422">
        <v>1</v>
      </c>
      <c r="E2422">
        <v>1</v>
      </c>
      <c r="G2422" s="25">
        <f>Table132[[#This Row],[nb win]]/Table132[[#This Row],[nb play]]</f>
        <v>1</v>
      </c>
      <c r="H2422" t="str">
        <f>MID(Table132[[#This Row],[ÉTAT]],VALUE(RIGHT(Table132[[#This Row],[next move]],1))+1+VALUE(LEFT(Table132[[#This Row],[next move]],1))*3,1)</f>
        <v>V</v>
      </c>
      <c r="I2422" t="str">
        <f>Table132[[#This Row],[ÉTAT]]&amp;Table132[[#This Row],[next move]]</f>
        <v>VEVVVMMEV11</v>
      </c>
    </row>
    <row r="2423" spans="2:9" x14ac:dyDescent="0.25">
      <c r="B2423" t="s">
        <v>659</v>
      </c>
      <c r="C2423" s="22" t="s">
        <v>29</v>
      </c>
      <c r="D2423">
        <v>6</v>
      </c>
      <c r="E2423">
        <v>6</v>
      </c>
      <c r="G2423" s="31">
        <f>Table132[[#This Row],[nb win]]/Table132[[#This Row],[nb play]]</f>
        <v>1</v>
      </c>
      <c r="H2423" t="str">
        <f>MID(Table132[[#This Row],[ÉTAT]],VALUE(RIGHT(Table132[[#This Row],[next move]],1))+1+VALUE(LEFT(Table132[[#This Row],[next move]],1))*3,1)</f>
        <v>V</v>
      </c>
      <c r="I2423" t="str">
        <f>Table132[[#This Row],[ÉTAT]]&amp;Table132[[#This Row],[next move]]</f>
        <v>VEVVVMMEE11</v>
      </c>
    </row>
    <row r="2424" spans="2:9" x14ac:dyDescent="0.25">
      <c r="B2424" t="s">
        <v>1883</v>
      </c>
      <c r="C2424" s="22" t="s">
        <v>24</v>
      </c>
      <c r="D2424">
        <v>2</v>
      </c>
      <c r="E2424">
        <v>1</v>
      </c>
      <c r="G2424" s="30">
        <f>Table132[[#This Row],[nb win]]/Table132[[#This Row],[nb play]]</f>
        <v>0.5</v>
      </c>
      <c r="H2424" t="str">
        <f>MID(Table132[[#This Row],[ÉTAT]],VALUE(RIGHT(Table132[[#This Row],[next move]],1))+1+VALUE(LEFT(Table132[[#This Row],[next move]],1))*3,1)</f>
        <v>V</v>
      </c>
      <c r="I2424" t="str">
        <f>Table132[[#This Row],[ÉTAT]]&amp;Table132[[#This Row],[next move]]</f>
        <v>VEVVVMEVV00</v>
      </c>
    </row>
    <row r="2425" spans="2:9" x14ac:dyDescent="0.25">
      <c r="B2425" t="s">
        <v>1883</v>
      </c>
      <c r="C2425" s="22" t="s">
        <v>20</v>
      </c>
      <c r="D2425">
        <v>2</v>
      </c>
      <c r="E2425">
        <v>1</v>
      </c>
      <c r="G2425" s="31">
        <f>Table132[[#This Row],[nb win]]/Table132[[#This Row],[nb play]]</f>
        <v>0.5</v>
      </c>
      <c r="H2425" t="str">
        <f>MID(Table132[[#This Row],[ÉTAT]],VALUE(RIGHT(Table132[[#This Row],[next move]],1))+1+VALUE(LEFT(Table132[[#This Row],[next move]],1))*3,1)</f>
        <v>V</v>
      </c>
      <c r="I2425" t="str">
        <f>Table132[[#This Row],[ÉTAT]]&amp;Table132[[#This Row],[next move]]</f>
        <v>VEVVVMEVV02</v>
      </c>
    </row>
    <row r="2426" spans="2:9" x14ac:dyDescent="0.25">
      <c r="B2426" t="s">
        <v>1883</v>
      </c>
      <c r="C2426" s="22" t="s">
        <v>29</v>
      </c>
      <c r="D2426">
        <v>6</v>
      </c>
      <c r="E2426">
        <v>5</v>
      </c>
      <c r="G2426" s="31">
        <f>Table132[[#This Row],[nb win]]/Table132[[#This Row],[nb play]]</f>
        <v>0.83333333333333337</v>
      </c>
      <c r="H2426" t="str">
        <f>MID(Table132[[#This Row],[ÉTAT]],VALUE(RIGHT(Table132[[#This Row],[next move]],1))+1+VALUE(LEFT(Table132[[#This Row],[next move]],1))*3,1)</f>
        <v>V</v>
      </c>
      <c r="I2426" t="str">
        <f>Table132[[#This Row],[ÉTAT]]&amp;Table132[[#This Row],[next move]]</f>
        <v>VEVVVMEVV11</v>
      </c>
    </row>
    <row r="2427" spans="2:9" x14ac:dyDescent="0.25">
      <c r="B2427" t="s">
        <v>1866</v>
      </c>
      <c r="C2427" s="22" t="s">
        <v>29</v>
      </c>
      <c r="D2427">
        <v>2</v>
      </c>
      <c r="E2427">
        <v>2</v>
      </c>
      <c r="G2427" s="31">
        <f>Table132[[#This Row],[nb win]]/Table132[[#This Row],[nb play]]</f>
        <v>1</v>
      </c>
      <c r="H2427" t="str">
        <f>MID(Table132[[#This Row],[ÉTAT]],VALUE(RIGHT(Table132[[#This Row],[next move]],1))+1+VALUE(LEFT(Table132[[#This Row],[next move]],1))*3,1)</f>
        <v>V</v>
      </c>
      <c r="I2427" t="str">
        <f>Table132[[#This Row],[ÉTAT]]&amp;Table132[[#This Row],[next move]]</f>
        <v>VEVVVMEVM11</v>
      </c>
    </row>
    <row r="2428" spans="2:9" x14ac:dyDescent="0.25">
      <c r="B2428" t="s">
        <v>2708</v>
      </c>
      <c r="C2428" s="22" t="s">
        <v>30</v>
      </c>
      <c r="D2428">
        <v>1</v>
      </c>
      <c r="G2428" s="25">
        <f>Table132[[#This Row],[nb win]]/Table132[[#This Row],[nb play]]</f>
        <v>0</v>
      </c>
      <c r="H2428" t="str">
        <f>MID(Table132[[#This Row],[ÉTAT]],VALUE(RIGHT(Table132[[#This Row],[next move]],1))+1+VALUE(LEFT(Table132[[#This Row],[next move]],1))*3,1)</f>
        <v>V</v>
      </c>
      <c r="I2428" t="str">
        <f>Table132[[#This Row],[ÉTAT]]&amp;Table132[[#This Row],[next move]]</f>
        <v>VEVVVMEMV10</v>
      </c>
    </row>
    <row r="2429" spans="2:9" x14ac:dyDescent="0.25">
      <c r="B2429" t="s">
        <v>2415</v>
      </c>
      <c r="C2429" s="22" t="s">
        <v>24</v>
      </c>
      <c r="D2429">
        <v>1</v>
      </c>
      <c r="G2429" s="25">
        <f>Table132[[#This Row],[nb win]]/Table132[[#This Row],[nb play]]</f>
        <v>0</v>
      </c>
      <c r="H2429" t="str">
        <f>MID(Table132[[#This Row],[ÉTAT]],VALUE(RIGHT(Table132[[#This Row],[next move]],1))+1+VALUE(LEFT(Table132[[#This Row],[next move]],1))*3,1)</f>
        <v>V</v>
      </c>
      <c r="I2429" t="str">
        <f>Table132[[#This Row],[ÉTAT]]&amp;Table132[[#This Row],[next move]]</f>
        <v>VEVVVMEME00</v>
      </c>
    </row>
    <row r="2430" spans="2:9" x14ac:dyDescent="0.25">
      <c r="B2430" t="s">
        <v>1002</v>
      </c>
      <c r="C2430" s="22" t="s">
        <v>30</v>
      </c>
      <c r="D2430">
        <v>7</v>
      </c>
      <c r="G2430" s="30">
        <f>Table132[[#This Row],[nb win]]/Table132[[#This Row],[nb play]]</f>
        <v>0</v>
      </c>
      <c r="H2430" t="str">
        <f>MID(Table132[[#This Row],[ÉTAT]],VALUE(RIGHT(Table132[[#This Row],[next move]],1))+1+VALUE(LEFT(Table132[[#This Row],[next move]],1))*3,1)</f>
        <v>V</v>
      </c>
      <c r="I2430" t="str">
        <f>Table132[[#This Row],[ÉTAT]]&amp;Table132[[#This Row],[next move]]</f>
        <v>VEVVVMEEM10</v>
      </c>
    </row>
    <row r="2431" spans="2:9" x14ac:dyDescent="0.25">
      <c r="B2431" t="s">
        <v>1002</v>
      </c>
      <c r="C2431" s="22" t="s">
        <v>29</v>
      </c>
      <c r="D2431">
        <v>1</v>
      </c>
      <c r="E2431">
        <v>1</v>
      </c>
      <c r="G2431" s="25">
        <f>Table132[[#This Row],[nb win]]/Table132[[#This Row],[nb play]]</f>
        <v>1</v>
      </c>
      <c r="H2431" t="str">
        <f>MID(Table132[[#This Row],[ÉTAT]],VALUE(RIGHT(Table132[[#This Row],[next move]],1))+1+VALUE(LEFT(Table132[[#This Row],[next move]],1))*3,1)</f>
        <v>V</v>
      </c>
      <c r="I2431" t="str">
        <f>Table132[[#This Row],[ÉTAT]]&amp;Table132[[#This Row],[next move]]</f>
        <v>VEVVVMEEM11</v>
      </c>
    </row>
    <row r="2432" spans="2:9" x14ac:dyDescent="0.25">
      <c r="B2432" t="s">
        <v>1893</v>
      </c>
      <c r="C2432" s="22" t="s">
        <v>24</v>
      </c>
      <c r="D2432">
        <v>3</v>
      </c>
      <c r="E2432">
        <v>3</v>
      </c>
      <c r="G2432" s="31">
        <f>Table132[[#This Row],[nb win]]/Table132[[#This Row],[nb play]]</f>
        <v>1</v>
      </c>
      <c r="H2432" t="str">
        <f>MID(Table132[[#This Row],[ÉTAT]],VALUE(RIGHT(Table132[[#This Row],[next move]],1))+1+VALUE(LEFT(Table132[[#This Row],[next move]],1))*3,1)</f>
        <v>V</v>
      </c>
      <c r="I2432" t="str">
        <f>Table132[[#This Row],[ÉTAT]]&amp;Table132[[#This Row],[next move]]</f>
        <v>VEVVVEVVM00</v>
      </c>
    </row>
    <row r="2433" spans="2:9" x14ac:dyDescent="0.25">
      <c r="B2433" t="s">
        <v>1893</v>
      </c>
      <c r="C2433" s="22" t="s">
        <v>30</v>
      </c>
      <c r="D2433">
        <v>5</v>
      </c>
      <c r="E2433">
        <v>1</v>
      </c>
      <c r="G2433" s="30">
        <f>Table132[[#This Row],[nb win]]/Table132[[#This Row],[nb play]]</f>
        <v>0.2</v>
      </c>
      <c r="H2433" t="str">
        <f>MID(Table132[[#This Row],[ÉTAT]],VALUE(RIGHT(Table132[[#This Row],[next move]],1))+1+VALUE(LEFT(Table132[[#This Row],[next move]],1))*3,1)</f>
        <v>V</v>
      </c>
      <c r="I2433" t="str">
        <f>Table132[[#This Row],[ÉTAT]]&amp;Table132[[#This Row],[next move]]</f>
        <v>VEVVVEVVM10</v>
      </c>
    </row>
    <row r="2434" spans="2:9" x14ac:dyDescent="0.25">
      <c r="B2434" t="s">
        <v>1788</v>
      </c>
      <c r="C2434" s="22" t="s">
        <v>24</v>
      </c>
      <c r="D2434">
        <v>2</v>
      </c>
      <c r="G2434" s="30">
        <f>Table132[[#This Row],[nb win]]/Table132[[#This Row],[nb play]]</f>
        <v>0</v>
      </c>
      <c r="H2434" t="str">
        <f>MID(Table132[[#This Row],[ÉTAT]],VALUE(RIGHT(Table132[[#This Row],[next move]],1))+1+VALUE(LEFT(Table132[[#This Row],[next move]],1))*3,1)</f>
        <v>V</v>
      </c>
      <c r="I2434" t="str">
        <f>Table132[[#This Row],[ÉTAT]]&amp;Table132[[#This Row],[next move]]</f>
        <v>VEVVVEVMV00</v>
      </c>
    </row>
    <row r="2435" spans="2:9" x14ac:dyDescent="0.25">
      <c r="B2435" t="s">
        <v>1788</v>
      </c>
      <c r="C2435" s="22" t="s">
        <v>30</v>
      </c>
      <c r="D2435">
        <v>2</v>
      </c>
      <c r="E2435">
        <v>1</v>
      </c>
      <c r="G2435" s="30">
        <f>Table132[[#This Row],[nb win]]/Table132[[#This Row],[nb play]]</f>
        <v>0.5</v>
      </c>
      <c r="H2435" t="str">
        <f>MID(Table132[[#This Row],[ÉTAT]],VALUE(RIGHT(Table132[[#This Row],[next move]],1))+1+VALUE(LEFT(Table132[[#This Row],[next move]],1))*3,1)</f>
        <v>V</v>
      </c>
      <c r="I2435" t="str">
        <f>Table132[[#This Row],[ÉTAT]]&amp;Table132[[#This Row],[next move]]</f>
        <v>VEVVVEVMV10</v>
      </c>
    </row>
    <row r="2436" spans="2:9" x14ac:dyDescent="0.25">
      <c r="B2436" t="s">
        <v>1788</v>
      </c>
      <c r="C2436" s="22" t="s">
        <v>29</v>
      </c>
      <c r="D2436">
        <v>2</v>
      </c>
      <c r="E2436">
        <v>1</v>
      </c>
      <c r="G2436" s="25">
        <f>Table132[[#This Row],[nb win]]/Table132[[#This Row],[nb play]]</f>
        <v>0.5</v>
      </c>
      <c r="H2436" t="str">
        <f>MID(Table132[[#This Row],[ÉTAT]],VALUE(RIGHT(Table132[[#This Row],[next move]],1))+1+VALUE(LEFT(Table132[[#This Row],[next move]],1))*3,1)</f>
        <v>V</v>
      </c>
      <c r="I2436" t="str">
        <f>Table132[[#This Row],[ÉTAT]]&amp;Table132[[#This Row],[next move]]</f>
        <v>VEVVVEVMV11</v>
      </c>
    </row>
    <row r="2437" spans="2:9" x14ac:dyDescent="0.25">
      <c r="B2437" t="s">
        <v>1788</v>
      </c>
      <c r="C2437" s="22" t="s">
        <v>35</v>
      </c>
      <c r="D2437">
        <v>1</v>
      </c>
      <c r="G2437" s="30">
        <f>Table132[[#This Row],[nb win]]/Table132[[#This Row],[nb play]]</f>
        <v>0</v>
      </c>
      <c r="H2437" t="str">
        <f>MID(Table132[[#This Row],[ÉTAT]],VALUE(RIGHT(Table132[[#This Row],[next move]],1))+1+VALUE(LEFT(Table132[[#This Row],[next move]],1))*3,1)</f>
        <v>V</v>
      </c>
      <c r="I2437" t="str">
        <f>Table132[[#This Row],[ÉTAT]]&amp;Table132[[#This Row],[next move]]</f>
        <v>VEVVVEVMV20</v>
      </c>
    </row>
    <row r="2438" spans="2:9" x14ac:dyDescent="0.25">
      <c r="B2438" t="s">
        <v>1788</v>
      </c>
      <c r="C2438" s="22" t="s">
        <v>31</v>
      </c>
      <c r="D2438">
        <v>1</v>
      </c>
      <c r="G2438" s="30">
        <f>Table132[[#This Row],[nb win]]/Table132[[#This Row],[nb play]]</f>
        <v>0</v>
      </c>
      <c r="H2438" t="str">
        <f>MID(Table132[[#This Row],[ÉTAT]],VALUE(RIGHT(Table132[[#This Row],[next move]],1))+1+VALUE(LEFT(Table132[[#This Row],[next move]],1))*3,1)</f>
        <v>V</v>
      </c>
      <c r="I2438" t="str">
        <f>Table132[[#This Row],[ÉTAT]]&amp;Table132[[#This Row],[next move]]</f>
        <v>VEVVVEVMV22</v>
      </c>
    </row>
    <row r="2439" spans="2:9" x14ac:dyDescent="0.25">
      <c r="B2439" t="s">
        <v>441</v>
      </c>
      <c r="C2439" s="22" t="s">
        <v>30</v>
      </c>
      <c r="D2439">
        <v>2</v>
      </c>
      <c r="E2439">
        <v>2</v>
      </c>
      <c r="G2439" s="25">
        <f>Table132[[#This Row],[nb win]]/Table132[[#This Row],[nb play]]</f>
        <v>1</v>
      </c>
      <c r="H2439" t="str">
        <f>MID(Table132[[#This Row],[ÉTAT]],VALUE(RIGHT(Table132[[#This Row],[next move]],1))+1+VALUE(LEFT(Table132[[#This Row],[next move]],1))*3,1)</f>
        <v>V</v>
      </c>
      <c r="I2439" t="str">
        <f>Table132[[#This Row],[ÉTAT]]&amp;Table132[[#This Row],[next move]]</f>
        <v>VEVVVEVMM10</v>
      </c>
    </row>
    <row r="2440" spans="2:9" x14ac:dyDescent="0.25">
      <c r="B2440" t="s">
        <v>737</v>
      </c>
      <c r="C2440" s="22" t="s">
        <v>24</v>
      </c>
      <c r="D2440">
        <v>3</v>
      </c>
      <c r="E2440">
        <v>2</v>
      </c>
      <c r="G2440" s="31">
        <f>Table132[[#This Row],[nb win]]/Table132[[#This Row],[nb play]]</f>
        <v>0.66666666666666663</v>
      </c>
      <c r="H2440" t="str">
        <f>MID(Table132[[#This Row],[ÉTAT]],VALUE(RIGHT(Table132[[#This Row],[next move]],1))+1+VALUE(LEFT(Table132[[#This Row],[next move]],1))*3,1)</f>
        <v>V</v>
      </c>
      <c r="I2440" t="str">
        <f>Table132[[#This Row],[ÉTAT]]&amp;Table132[[#This Row],[next move]]</f>
        <v>VEVVVEMVV00</v>
      </c>
    </row>
    <row r="2441" spans="2:9" x14ac:dyDescent="0.25">
      <c r="B2441" t="s">
        <v>737</v>
      </c>
      <c r="C2441" s="22" t="s">
        <v>20</v>
      </c>
      <c r="D2441">
        <v>1</v>
      </c>
      <c r="G2441" s="30">
        <f>Table132[[#This Row],[nb win]]/Table132[[#This Row],[nb play]]</f>
        <v>0</v>
      </c>
      <c r="H2441" t="str">
        <f>MID(Table132[[#This Row],[ÉTAT]],VALUE(RIGHT(Table132[[#This Row],[next move]],1))+1+VALUE(LEFT(Table132[[#This Row],[next move]],1))*3,1)</f>
        <v>V</v>
      </c>
      <c r="I2441" t="str">
        <f>Table132[[#This Row],[ÉTAT]]&amp;Table132[[#This Row],[next move]]</f>
        <v>VEVVVEMVV02</v>
      </c>
    </row>
    <row r="2442" spans="2:9" x14ac:dyDescent="0.25">
      <c r="B2442" t="s">
        <v>737</v>
      </c>
      <c r="C2442" s="22" t="s">
        <v>30</v>
      </c>
      <c r="D2442">
        <v>2</v>
      </c>
      <c r="E2442">
        <v>1</v>
      </c>
      <c r="G2442" s="25">
        <f>Table132[[#This Row],[nb win]]/Table132[[#This Row],[nb play]]</f>
        <v>0.5</v>
      </c>
      <c r="H2442" t="str">
        <f>MID(Table132[[#This Row],[ÉTAT]],VALUE(RIGHT(Table132[[#This Row],[next move]],1))+1+VALUE(LEFT(Table132[[#This Row],[next move]],1))*3,1)</f>
        <v>V</v>
      </c>
      <c r="I2442" t="str">
        <f>Table132[[#This Row],[ÉTAT]]&amp;Table132[[#This Row],[next move]]</f>
        <v>VEVVVEMVV10</v>
      </c>
    </row>
    <row r="2443" spans="2:9" x14ac:dyDescent="0.25">
      <c r="B2443" t="s">
        <v>737</v>
      </c>
      <c r="C2443" s="22" t="s">
        <v>29</v>
      </c>
      <c r="D2443">
        <v>4</v>
      </c>
      <c r="E2443">
        <v>3</v>
      </c>
      <c r="G2443" s="31">
        <f>Table132[[#This Row],[nb win]]/Table132[[#This Row],[nb play]]</f>
        <v>0.75</v>
      </c>
      <c r="H2443" t="str">
        <f>MID(Table132[[#This Row],[ÉTAT]],VALUE(RIGHT(Table132[[#This Row],[next move]],1))+1+VALUE(LEFT(Table132[[#This Row],[next move]],1))*3,1)</f>
        <v>V</v>
      </c>
      <c r="I2443" t="str">
        <f>Table132[[#This Row],[ÉTAT]]&amp;Table132[[#This Row],[next move]]</f>
        <v>VEVVVEMVV11</v>
      </c>
    </row>
    <row r="2444" spans="2:9" x14ac:dyDescent="0.25">
      <c r="B2444" t="s">
        <v>737</v>
      </c>
      <c r="C2444" s="22" t="s">
        <v>22</v>
      </c>
      <c r="D2444">
        <v>4</v>
      </c>
      <c r="E2444">
        <v>2</v>
      </c>
      <c r="G2444" s="31">
        <f>Table132[[#This Row],[nb win]]/Table132[[#This Row],[nb play]]</f>
        <v>0.5</v>
      </c>
      <c r="H2444" t="str">
        <f>MID(Table132[[#This Row],[ÉTAT]],VALUE(RIGHT(Table132[[#This Row],[next move]],1))+1+VALUE(LEFT(Table132[[#This Row],[next move]],1))*3,1)</f>
        <v>V</v>
      </c>
      <c r="I2444" t="str">
        <f>Table132[[#This Row],[ÉTAT]]&amp;Table132[[#This Row],[next move]]</f>
        <v>VEVVVEMVV21</v>
      </c>
    </row>
    <row r="2445" spans="2:9" x14ac:dyDescent="0.25">
      <c r="B2445" t="s">
        <v>737</v>
      </c>
      <c r="C2445" s="22" t="s">
        <v>31</v>
      </c>
      <c r="D2445">
        <v>2</v>
      </c>
      <c r="E2445">
        <v>1</v>
      </c>
      <c r="G2445" s="31">
        <f>Table132[[#This Row],[nb win]]/Table132[[#This Row],[nb play]]</f>
        <v>0.5</v>
      </c>
      <c r="H2445" t="str">
        <f>MID(Table132[[#This Row],[ÉTAT]],VALUE(RIGHT(Table132[[#This Row],[next move]],1))+1+VALUE(LEFT(Table132[[#This Row],[next move]],1))*3,1)</f>
        <v>V</v>
      </c>
      <c r="I2445" t="str">
        <f>Table132[[#This Row],[ÉTAT]]&amp;Table132[[#This Row],[next move]]</f>
        <v>VEVVVEMVV22</v>
      </c>
    </row>
    <row r="2446" spans="2:9" x14ac:dyDescent="0.25">
      <c r="B2446" t="s">
        <v>1871</v>
      </c>
      <c r="C2446" s="22" t="s">
        <v>29</v>
      </c>
      <c r="D2446">
        <v>6</v>
      </c>
      <c r="E2446">
        <v>6</v>
      </c>
      <c r="G2446" s="31">
        <f>Table132[[#This Row],[nb win]]/Table132[[#This Row],[nb play]]</f>
        <v>1</v>
      </c>
      <c r="H2446" t="str">
        <f>MID(Table132[[#This Row],[ÉTAT]],VALUE(RIGHT(Table132[[#This Row],[next move]],1))+1+VALUE(LEFT(Table132[[#This Row],[next move]],1))*3,1)</f>
        <v>V</v>
      </c>
      <c r="I2446" t="str">
        <f>Table132[[#This Row],[ÉTAT]]&amp;Table132[[#This Row],[next move]]</f>
        <v>VEVVVEMVM11</v>
      </c>
    </row>
    <row r="2447" spans="2:9" x14ac:dyDescent="0.25">
      <c r="B2447" t="s">
        <v>1837</v>
      </c>
      <c r="C2447" s="22" t="s">
        <v>20</v>
      </c>
      <c r="D2447">
        <v>8</v>
      </c>
      <c r="E2447">
        <v>8</v>
      </c>
      <c r="G2447" s="31">
        <f>Table132[[#This Row],[nb win]]/Table132[[#This Row],[nb play]]</f>
        <v>1</v>
      </c>
      <c r="H2447" t="str">
        <f>MID(Table132[[#This Row],[ÉTAT]],VALUE(RIGHT(Table132[[#This Row],[next move]],1))+1+VALUE(LEFT(Table132[[#This Row],[next move]],1))*3,1)</f>
        <v>V</v>
      </c>
      <c r="I2447" t="str">
        <f>Table132[[#This Row],[ÉTAT]]&amp;Table132[[#This Row],[next move]]</f>
        <v>VEVVVEMMV02</v>
      </c>
    </row>
    <row r="2448" spans="2:9" x14ac:dyDescent="0.25">
      <c r="B2448" t="s">
        <v>2572</v>
      </c>
      <c r="C2448" s="22" t="s">
        <v>24</v>
      </c>
      <c r="D2448">
        <v>1</v>
      </c>
      <c r="E2448">
        <v>1</v>
      </c>
      <c r="G2448" s="25">
        <f>Table132[[#This Row],[nb win]]/Table132[[#This Row],[nb play]]</f>
        <v>1</v>
      </c>
      <c r="H2448" t="str">
        <f>MID(Table132[[#This Row],[ÉTAT]],VALUE(RIGHT(Table132[[#This Row],[next move]],1))+1+VALUE(LEFT(Table132[[#This Row],[next move]],1))*3,1)</f>
        <v>V</v>
      </c>
      <c r="I2448" t="str">
        <f>Table132[[#This Row],[ÉTAT]]&amp;Table132[[#This Row],[next move]]</f>
        <v>VEVVVEMEM00</v>
      </c>
    </row>
    <row r="2449" spans="2:9" x14ac:dyDescent="0.25">
      <c r="B2449" t="s">
        <v>84</v>
      </c>
      <c r="C2449" s="22" t="s">
        <v>20</v>
      </c>
      <c r="D2449">
        <v>23</v>
      </c>
      <c r="E2449">
        <v>20</v>
      </c>
      <c r="G2449" s="31">
        <f>Table132[[#This Row],[nb win]]/Table132[[#This Row],[nb play]]</f>
        <v>0.86956521739130432</v>
      </c>
      <c r="H2449" t="str">
        <f>MID(Table132[[#This Row],[ÉTAT]],VALUE(RIGHT(Table132[[#This Row],[next move]],1))+1+VALUE(LEFT(Table132[[#This Row],[next move]],1))*3,1)</f>
        <v>V</v>
      </c>
      <c r="I2449" t="str">
        <f>Table132[[#This Row],[ÉTAT]]&amp;Table132[[#This Row],[next move]]</f>
        <v>VEVVMVVVV02</v>
      </c>
    </row>
    <row r="2450" spans="2:9" x14ac:dyDescent="0.25">
      <c r="B2450" t="s">
        <v>84</v>
      </c>
      <c r="C2450" s="22" t="s">
        <v>30</v>
      </c>
      <c r="D2450">
        <v>26</v>
      </c>
      <c r="E2450">
        <v>26</v>
      </c>
      <c r="G2450" s="31">
        <f>Table132[[#This Row],[nb win]]/Table132[[#This Row],[nb play]]</f>
        <v>1</v>
      </c>
      <c r="H2450" t="str">
        <f>MID(Table132[[#This Row],[ÉTAT]],VALUE(RIGHT(Table132[[#This Row],[next move]],1))+1+VALUE(LEFT(Table132[[#This Row],[next move]],1))*3,1)</f>
        <v>V</v>
      </c>
      <c r="I2450" t="str">
        <f>Table132[[#This Row],[ÉTAT]]&amp;Table132[[#This Row],[next move]]</f>
        <v>VEVVMVVVV10</v>
      </c>
    </row>
    <row r="2451" spans="2:9" x14ac:dyDescent="0.25">
      <c r="B2451" t="s">
        <v>1398</v>
      </c>
      <c r="C2451" s="22" t="s">
        <v>24</v>
      </c>
      <c r="D2451">
        <v>1</v>
      </c>
      <c r="G2451" s="30">
        <f>Table132[[#This Row],[nb win]]/Table132[[#This Row],[nb play]]</f>
        <v>0</v>
      </c>
      <c r="H2451" t="str">
        <f>MID(Table132[[#This Row],[ÉTAT]],VALUE(RIGHT(Table132[[#This Row],[next move]],1))+1+VALUE(LEFT(Table132[[#This Row],[next move]],1))*3,1)</f>
        <v>V</v>
      </c>
      <c r="I2451" t="str">
        <f>Table132[[#This Row],[ÉTAT]]&amp;Table132[[#This Row],[next move]]</f>
        <v>VEVVMVVVE00</v>
      </c>
    </row>
    <row r="2452" spans="2:9" x14ac:dyDescent="0.25">
      <c r="B2452" t="s">
        <v>1398</v>
      </c>
      <c r="C2452" s="22" t="s">
        <v>20</v>
      </c>
      <c r="D2452">
        <v>4</v>
      </c>
      <c r="E2452">
        <v>3</v>
      </c>
      <c r="G2452" s="31">
        <f>Table132[[#This Row],[nb win]]/Table132[[#This Row],[nb play]]</f>
        <v>0.75</v>
      </c>
      <c r="H2452" t="str">
        <f>MID(Table132[[#This Row],[ÉTAT]],VALUE(RIGHT(Table132[[#This Row],[next move]],1))+1+VALUE(LEFT(Table132[[#This Row],[next move]],1))*3,1)</f>
        <v>V</v>
      </c>
      <c r="I2452" t="str">
        <f>Table132[[#This Row],[ÉTAT]]&amp;Table132[[#This Row],[next move]]</f>
        <v>VEVVMVVVE02</v>
      </c>
    </row>
    <row r="2453" spans="2:9" x14ac:dyDescent="0.25">
      <c r="B2453" t="s">
        <v>1398</v>
      </c>
      <c r="C2453" s="22" t="s">
        <v>30</v>
      </c>
      <c r="D2453">
        <v>1</v>
      </c>
      <c r="G2453" s="30">
        <f>Table132[[#This Row],[nb win]]/Table132[[#This Row],[nb play]]</f>
        <v>0</v>
      </c>
      <c r="H2453" t="str">
        <f>MID(Table132[[#This Row],[ÉTAT]],VALUE(RIGHT(Table132[[#This Row],[next move]],1))+1+VALUE(LEFT(Table132[[#This Row],[next move]],1))*3,1)</f>
        <v>V</v>
      </c>
      <c r="I2453" t="str">
        <f>Table132[[#This Row],[ÉTAT]]&amp;Table132[[#This Row],[next move]]</f>
        <v>VEVVMVVVE10</v>
      </c>
    </row>
    <row r="2454" spans="2:9" x14ac:dyDescent="0.25">
      <c r="B2454" t="s">
        <v>1398</v>
      </c>
      <c r="C2454" s="22" t="s">
        <v>28</v>
      </c>
      <c r="D2454">
        <v>5</v>
      </c>
      <c r="E2454">
        <v>2</v>
      </c>
      <c r="G2454" s="30">
        <f>Table132[[#This Row],[nb win]]/Table132[[#This Row],[nb play]]</f>
        <v>0.4</v>
      </c>
      <c r="H2454" t="str">
        <f>MID(Table132[[#This Row],[ÉTAT]],VALUE(RIGHT(Table132[[#This Row],[next move]],1))+1+VALUE(LEFT(Table132[[#This Row],[next move]],1))*3,1)</f>
        <v>V</v>
      </c>
      <c r="I2454" t="str">
        <f>Table132[[#This Row],[ÉTAT]]&amp;Table132[[#This Row],[next move]]</f>
        <v>VEVVMVVVE12</v>
      </c>
    </row>
    <row r="2455" spans="2:9" x14ac:dyDescent="0.25">
      <c r="B2455" t="s">
        <v>1398</v>
      </c>
      <c r="C2455" s="22" t="s">
        <v>35</v>
      </c>
      <c r="D2455">
        <v>16</v>
      </c>
      <c r="E2455">
        <v>7</v>
      </c>
      <c r="G2455" s="30">
        <f>Table132[[#This Row],[nb win]]/Table132[[#This Row],[nb play]]</f>
        <v>0.4375</v>
      </c>
      <c r="H2455" t="str">
        <f>MID(Table132[[#This Row],[ÉTAT]],VALUE(RIGHT(Table132[[#This Row],[next move]],1))+1+VALUE(LEFT(Table132[[#This Row],[next move]],1))*3,1)</f>
        <v>V</v>
      </c>
      <c r="I2455" t="str">
        <f>Table132[[#This Row],[ÉTAT]]&amp;Table132[[#This Row],[next move]]</f>
        <v>VEVVMVVVE20</v>
      </c>
    </row>
    <row r="2456" spans="2:9" x14ac:dyDescent="0.25">
      <c r="B2456" t="s">
        <v>1662</v>
      </c>
      <c r="C2456" s="22" t="s">
        <v>35</v>
      </c>
      <c r="D2456">
        <v>3</v>
      </c>
      <c r="E2456">
        <v>2</v>
      </c>
      <c r="G2456" s="30">
        <f>Table132[[#This Row],[nb win]]/Table132[[#This Row],[nb play]]</f>
        <v>0.66666666666666663</v>
      </c>
      <c r="H2456" t="str">
        <f>MID(Table132[[#This Row],[ÉTAT]],VALUE(RIGHT(Table132[[#This Row],[next move]],1))+1+VALUE(LEFT(Table132[[#This Row],[next move]],1))*3,1)</f>
        <v>V</v>
      </c>
      <c r="I2456" t="str">
        <f>Table132[[#This Row],[ÉTAT]]&amp;Table132[[#This Row],[next move]]</f>
        <v>VEVVMVVME20</v>
      </c>
    </row>
    <row r="2457" spans="2:9" x14ac:dyDescent="0.25">
      <c r="B2457" t="s">
        <v>2183</v>
      </c>
      <c r="C2457" s="22" t="s">
        <v>24</v>
      </c>
      <c r="D2457">
        <v>3</v>
      </c>
      <c r="E2457">
        <v>2</v>
      </c>
      <c r="G2457" s="31">
        <f>Table132[[#This Row],[nb win]]/Table132[[#This Row],[nb play]]</f>
        <v>0.66666666666666663</v>
      </c>
      <c r="H2457" t="str">
        <f>MID(Table132[[#This Row],[ÉTAT]],VALUE(RIGHT(Table132[[#This Row],[next move]],1))+1+VALUE(LEFT(Table132[[#This Row],[next move]],1))*3,1)</f>
        <v>V</v>
      </c>
      <c r="I2457" t="str">
        <f>Table132[[#This Row],[ÉTAT]]&amp;Table132[[#This Row],[next move]]</f>
        <v>VEVVMVVEV00</v>
      </c>
    </row>
    <row r="2458" spans="2:9" x14ac:dyDescent="0.25">
      <c r="B2458" t="s">
        <v>2183</v>
      </c>
      <c r="C2458" s="22" t="s">
        <v>30</v>
      </c>
      <c r="D2458">
        <v>1</v>
      </c>
      <c r="E2458">
        <v>1</v>
      </c>
      <c r="G2458" s="31">
        <f>Table132[[#This Row],[nb win]]/Table132[[#This Row],[nb play]]</f>
        <v>1</v>
      </c>
      <c r="H2458" t="str">
        <f>MID(Table132[[#This Row],[ÉTAT]],VALUE(RIGHT(Table132[[#This Row],[next move]],1))+1+VALUE(LEFT(Table132[[#This Row],[next move]],1))*3,1)</f>
        <v>V</v>
      </c>
      <c r="I2458" t="str">
        <f>Table132[[#This Row],[ÉTAT]]&amp;Table132[[#This Row],[next move]]</f>
        <v>VEVVMVVEV10</v>
      </c>
    </row>
    <row r="2459" spans="2:9" x14ac:dyDescent="0.25">
      <c r="B2459" t="s">
        <v>2183</v>
      </c>
      <c r="C2459" s="22" t="s">
        <v>28</v>
      </c>
      <c r="D2459">
        <v>2</v>
      </c>
      <c r="E2459">
        <v>1</v>
      </c>
      <c r="G2459" s="25">
        <f>Table132[[#This Row],[nb win]]/Table132[[#This Row],[nb play]]</f>
        <v>0.5</v>
      </c>
      <c r="H2459" t="str">
        <f>MID(Table132[[#This Row],[ÉTAT]],VALUE(RIGHT(Table132[[#This Row],[next move]],1))+1+VALUE(LEFT(Table132[[#This Row],[next move]],1))*3,1)</f>
        <v>V</v>
      </c>
      <c r="I2459" t="str">
        <f>Table132[[#This Row],[ÉTAT]]&amp;Table132[[#This Row],[next move]]</f>
        <v>VEVVMVVEV12</v>
      </c>
    </row>
    <row r="2460" spans="2:9" x14ac:dyDescent="0.25">
      <c r="B2460" t="s">
        <v>2183</v>
      </c>
      <c r="C2460" s="22" t="s">
        <v>31</v>
      </c>
      <c r="D2460">
        <v>5</v>
      </c>
      <c r="E2460">
        <v>4</v>
      </c>
      <c r="G2460" s="31">
        <f>Table132[[#This Row],[nb win]]/Table132[[#This Row],[nb play]]</f>
        <v>0.8</v>
      </c>
      <c r="H2460" t="str">
        <f>MID(Table132[[#This Row],[ÉTAT]],VALUE(RIGHT(Table132[[#This Row],[next move]],1))+1+VALUE(LEFT(Table132[[#This Row],[next move]],1))*3,1)</f>
        <v>V</v>
      </c>
      <c r="I2460" t="str">
        <f>Table132[[#This Row],[ÉTAT]]&amp;Table132[[#This Row],[next move]]</f>
        <v>VEVVMVVEV22</v>
      </c>
    </row>
    <row r="2461" spans="2:9" x14ac:dyDescent="0.25">
      <c r="B2461" t="s">
        <v>344</v>
      </c>
      <c r="C2461" s="22" t="s">
        <v>20</v>
      </c>
      <c r="D2461">
        <v>4</v>
      </c>
      <c r="E2461">
        <v>4</v>
      </c>
      <c r="G2461" s="31">
        <f>Table132[[#This Row],[nb win]]/Table132[[#This Row],[nb play]]</f>
        <v>1</v>
      </c>
      <c r="H2461" t="str">
        <f>MID(Table132[[#This Row],[ÉTAT]],VALUE(RIGHT(Table132[[#This Row],[next move]],1))+1+VALUE(LEFT(Table132[[#This Row],[next move]],1))*3,1)</f>
        <v>V</v>
      </c>
      <c r="I2461" t="str">
        <f>Table132[[#This Row],[ÉTAT]]&amp;Table132[[#This Row],[next move]]</f>
        <v>VEVVMVVEM02</v>
      </c>
    </row>
    <row r="2462" spans="2:9" x14ac:dyDescent="0.25">
      <c r="B2462" t="s">
        <v>1995</v>
      </c>
      <c r="C2462" s="22" t="s">
        <v>20</v>
      </c>
      <c r="D2462">
        <v>4</v>
      </c>
      <c r="E2462">
        <v>4</v>
      </c>
      <c r="G2462" s="31">
        <f>Table132[[#This Row],[nb win]]/Table132[[#This Row],[nb play]]</f>
        <v>1</v>
      </c>
      <c r="H2462" t="str">
        <f>MID(Table132[[#This Row],[ÉTAT]],VALUE(RIGHT(Table132[[#This Row],[next move]],1))+1+VALUE(LEFT(Table132[[#This Row],[next move]],1))*3,1)</f>
        <v>V</v>
      </c>
      <c r="I2462" t="str">
        <f>Table132[[#This Row],[ÉTAT]]&amp;Table132[[#This Row],[next move]]</f>
        <v>VEVVMVMVE02</v>
      </c>
    </row>
    <row r="2463" spans="2:9" x14ac:dyDescent="0.25">
      <c r="B2463" t="s">
        <v>607</v>
      </c>
      <c r="C2463" s="22" t="s">
        <v>20</v>
      </c>
      <c r="D2463">
        <v>5</v>
      </c>
      <c r="E2463">
        <v>5</v>
      </c>
      <c r="G2463" s="31">
        <f>Table132[[#This Row],[nb win]]/Table132[[#This Row],[nb play]]</f>
        <v>1</v>
      </c>
      <c r="H2463" t="str">
        <f>MID(Table132[[#This Row],[ÉTAT]],VALUE(RIGHT(Table132[[#This Row],[next move]],1))+1+VALUE(LEFT(Table132[[#This Row],[next move]],1))*3,1)</f>
        <v>V</v>
      </c>
      <c r="I2463" t="str">
        <f>Table132[[#This Row],[ÉTAT]]&amp;Table132[[#This Row],[next move]]</f>
        <v>VEVVMVMEV02</v>
      </c>
    </row>
    <row r="2464" spans="2:9" x14ac:dyDescent="0.25">
      <c r="B2464" t="s">
        <v>1246</v>
      </c>
      <c r="C2464" s="22" t="s">
        <v>24</v>
      </c>
      <c r="D2464">
        <v>2</v>
      </c>
      <c r="E2464">
        <v>2</v>
      </c>
      <c r="G2464" s="31">
        <f>Table132[[#This Row],[nb win]]/Table132[[#This Row],[nb play]]</f>
        <v>1</v>
      </c>
      <c r="H2464" t="str">
        <f>MID(Table132[[#This Row],[ÉTAT]],VALUE(RIGHT(Table132[[#This Row],[next move]],1))+1+VALUE(LEFT(Table132[[#This Row],[next move]],1))*3,1)</f>
        <v>V</v>
      </c>
      <c r="I2464" t="str">
        <f>Table132[[#This Row],[ÉTAT]]&amp;Table132[[#This Row],[next move]]</f>
        <v>VEVVMVMEE00</v>
      </c>
    </row>
    <row r="2465" spans="2:9" x14ac:dyDescent="0.25">
      <c r="B2465" t="s">
        <v>1991</v>
      </c>
      <c r="C2465" s="22" t="s">
        <v>24</v>
      </c>
      <c r="D2465">
        <v>6</v>
      </c>
      <c r="E2465">
        <v>4</v>
      </c>
      <c r="G2465" s="31">
        <f>Table132[[#This Row],[nb win]]/Table132[[#This Row],[nb play]]</f>
        <v>0.66666666666666663</v>
      </c>
      <c r="H2465" t="str">
        <f>MID(Table132[[#This Row],[ÉTAT]],VALUE(RIGHT(Table132[[#This Row],[next move]],1))+1+VALUE(LEFT(Table132[[#This Row],[next move]],1))*3,1)</f>
        <v>V</v>
      </c>
      <c r="I2465" t="str">
        <f>Table132[[#This Row],[ÉTAT]]&amp;Table132[[#This Row],[next move]]</f>
        <v>VEVVMVEVV00</v>
      </c>
    </row>
    <row r="2466" spans="2:9" x14ac:dyDescent="0.25">
      <c r="B2466" t="s">
        <v>1991</v>
      </c>
      <c r="C2466" s="22" t="s">
        <v>28</v>
      </c>
      <c r="D2466">
        <v>2</v>
      </c>
      <c r="E2466">
        <v>2</v>
      </c>
      <c r="G2466" s="31">
        <f>Table132[[#This Row],[nb win]]/Table132[[#This Row],[nb play]]</f>
        <v>1</v>
      </c>
      <c r="H2466" t="str">
        <f>MID(Table132[[#This Row],[ÉTAT]],VALUE(RIGHT(Table132[[#This Row],[next move]],1))+1+VALUE(LEFT(Table132[[#This Row],[next move]],1))*3,1)</f>
        <v>V</v>
      </c>
      <c r="I2466" t="str">
        <f>Table132[[#This Row],[ÉTAT]]&amp;Table132[[#This Row],[next move]]</f>
        <v>VEVVMVEVV12</v>
      </c>
    </row>
    <row r="2467" spans="2:9" x14ac:dyDescent="0.25">
      <c r="B2467" t="s">
        <v>1991</v>
      </c>
      <c r="C2467" s="22" t="s">
        <v>31</v>
      </c>
      <c r="D2467">
        <v>5</v>
      </c>
      <c r="E2467">
        <v>4</v>
      </c>
      <c r="G2467" s="30">
        <f>Table132[[#This Row],[nb win]]/Table132[[#This Row],[nb play]]</f>
        <v>0.8</v>
      </c>
      <c r="H2467" t="str">
        <f>MID(Table132[[#This Row],[ÉTAT]],VALUE(RIGHT(Table132[[#This Row],[next move]],1))+1+VALUE(LEFT(Table132[[#This Row],[next move]],1))*3,1)</f>
        <v>V</v>
      </c>
      <c r="I2467" t="str">
        <f>Table132[[#This Row],[ÉTAT]]&amp;Table132[[#This Row],[next move]]</f>
        <v>VEVVMVEVV22</v>
      </c>
    </row>
    <row r="2468" spans="2:9" x14ac:dyDescent="0.25">
      <c r="B2468" t="s">
        <v>621</v>
      </c>
      <c r="C2468" s="22" t="s">
        <v>20</v>
      </c>
      <c r="D2468">
        <v>4</v>
      </c>
      <c r="E2468">
        <v>4</v>
      </c>
      <c r="G2468" s="31">
        <f>Table132[[#This Row],[nb win]]/Table132[[#This Row],[nb play]]</f>
        <v>1</v>
      </c>
      <c r="H2468" t="str">
        <f>MID(Table132[[#This Row],[ÉTAT]],VALUE(RIGHT(Table132[[#This Row],[next move]],1))+1+VALUE(LEFT(Table132[[#This Row],[next move]],1))*3,1)</f>
        <v>V</v>
      </c>
      <c r="I2468" t="str">
        <f>Table132[[#This Row],[ÉTAT]]&amp;Table132[[#This Row],[next move]]</f>
        <v>VEVVMVEVM02</v>
      </c>
    </row>
    <row r="2469" spans="2:9" x14ac:dyDescent="0.25">
      <c r="B2469" t="s">
        <v>510</v>
      </c>
      <c r="C2469" s="22" t="s">
        <v>20</v>
      </c>
      <c r="D2469">
        <v>1</v>
      </c>
      <c r="E2469">
        <v>1</v>
      </c>
      <c r="G2469" s="25">
        <f>Table132[[#This Row],[nb win]]/Table132[[#This Row],[nb play]]</f>
        <v>1</v>
      </c>
      <c r="H2469" t="str">
        <f>MID(Table132[[#This Row],[ÉTAT]],VALUE(RIGHT(Table132[[#This Row],[next move]],1))+1+VALUE(LEFT(Table132[[#This Row],[next move]],1))*3,1)</f>
        <v>V</v>
      </c>
      <c r="I2469" t="str">
        <f>Table132[[#This Row],[ÉTAT]]&amp;Table132[[#This Row],[next move]]</f>
        <v>VEVVMVEMV02</v>
      </c>
    </row>
    <row r="2470" spans="2:9" x14ac:dyDescent="0.25">
      <c r="B2470" t="s">
        <v>3098</v>
      </c>
      <c r="C2470" s="22" t="s">
        <v>30</v>
      </c>
      <c r="D2470">
        <v>1</v>
      </c>
      <c r="G2470" s="30">
        <f>Table132[[#This Row],[nb win]]/Table132[[#This Row],[nb play]]</f>
        <v>0</v>
      </c>
      <c r="H2470" t="str">
        <f>MID(Table132[[#This Row],[ÉTAT]],VALUE(RIGHT(Table132[[#This Row],[next move]],1))+1+VALUE(LEFT(Table132[[#This Row],[next move]],1))*3,1)</f>
        <v>V</v>
      </c>
      <c r="I2470" t="str">
        <f>Table132[[#This Row],[ÉTAT]]&amp;Table132[[#This Row],[next move]]</f>
        <v>VEVVMVEME10</v>
      </c>
    </row>
    <row r="2471" spans="2:9" x14ac:dyDescent="0.25">
      <c r="B2471" t="s">
        <v>1358</v>
      </c>
      <c r="C2471" s="22" t="s">
        <v>24</v>
      </c>
      <c r="D2471">
        <v>4</v>
      </c>
      <c r="E2471">
        <v>4</v>
      </c>
      <c r="G2471" s="31">
        <f>Table132[[#This Row],[nb win]]/Table132[[#This Row],[nb play]]</f>
        <v>1</v>
      </c>
      <c r="H2471" t="str">
        <f>MID(Table132[[#This Row],[ÉTAT]],VALUE(RIGHT(Table132[[#This Row],[next move]],1))+1+VALUE(LEFT(Table132[[#This Row],[next move]],1))*3,1)</f>
        <v>V</v>
      </c>
      <c r="I2471" t="str">
        <f>Table132[[#This Row],[ÉTAT]]&amp;Table132[[#This Row],[next move]]</f>
        <v>VEVVMVEEM00</v>
      </c>
    </row>
    <row r="2472" spans="2:9" x14ac:dyDescent="0.25">
      <c r="B2472" t="s">
        <v>1408</v>
      </c>
      <c r="C2472" s="22" t="s">
        <v>30</v>
      </c>
      <c r="D2472">
        <v>6</v>
      </c>
      <c r="E2472">
        <v>6</v>
      </c>
      <c r="G2472" s="31">
        <f>Table132[[#This Row],[nb win]]/Table132[[#This Row],[nb play]]</f>
        <v>1</v>
      </c>
      <c r="H2472" t="str">
        <f>MID(Table132[[#This Row],[ÉTAT]],VALUE(RIGHT(Table132[[#This Row],[next move]],1))+1+VALUE(LEFT(Table132[[#This Row],[next move]],1))*3,1)</f>
        <v>V</v>
      </c>
      <c r="I2472" t="str">
        <f>Table132[[#This Row],[ÉTAT]]&amp;Table132[[#This Row],[next move]]</f>
        <v>VEVVMMVVE10</v>
      </c>
    </row>
    <row r="2473" spans="2:9" x14ac:dyDescent="0.25">
      <c r="B2473" t="s">
        <v>1097</v>
      </c>
      <c r="C2473" s="22" t="s">
        <v>31</v>
      </c>
      <c r="D2473">
        <v>6</v>
      </c>
      <c r="E2473">
        <v>6</v>
      </c>
      <c r="G2473" s="31">
        <f>Table132[[#This Row],[nb win]]/Table132[[#This Row],[nb play]]</f>
        <v>1</v>
      </c>
      <c r="H2473" t="str">
        <f>MID(Table132[[#This Row],[ÉTAT]],VALUE(RIGHT(Table132[[#This Row],[next move]],1))+1+VALUE(LEFT(Table132[[#This Row],[next move]],1))*3,1)</f>
        <v>V</v>
      </c>
      <c r="I2473" t="str">
        <f>Table132[[#This Row],[ÉTAT]]&amp;Table132[[#This Row],[next move]]</f>
        <v>VEVVMMVEV22</v>
      </c>
    </row>
    <row r="2474" spans="2:9" x14ac:dyDescent="0.25">
      <c r="B2474" t="s">
        <v>347</v>
      </c>
      <c r="C2474" s="22" t="s">
        <v>20</v>
      </c>
      <c r="D2474">
        <v>2</v>
      </c>
      <c r="G2474" s="25">
        <f>Table132[[#This Row],[nb win]]/Table132[[#This Row],[nb play]]</f>
        <v>0</v>
      </c>
      <c r="H2474" t="str">
        <f>MID(Table132[[#This Row],[ÉTAT]],VALUE(RIGHT(Table132[[#This Row],[next move]],1))+1+VALUE(LEFT(Table132[[#This Row],[next move]],1))*3,1)</f>
        <v>V</v>
      </c>
      <c r="I2474" t="str">
        <f>Table132[[#This Row],[ÉTAT]]&amp;Table132[[#This Row],[next move]]</f>
        <v>VEVVMMVEE02</v>
      </c>
    </row>
    <row r="2475" spans="2:9" x14ac:dyDescent="0.25">
      <c r="B2475" t="s">
        <v>347</v>
      </c>
      <c r="C2475" s="22" t="s">
        <v>30</v>
      </c>
      <c r="D2475">
        <v>2</v>
      </c>
      <c r="E2475">
        <v>2</v>
      </c>
      <c r="G2475" s="25">
        <f>Table132[[#This Row],[nb win]]/Table132[[#This Row],[nb play]]</f>
        <v>1</v>
      </c>
      <c r="H2475" t="str">
        <f>MID(Table132[[#This Row],[ÉTAT]],VALUE(RIGHT(Table132[[#This Row],[next move]],1))+1+VALUE(LEFT(Table132[[#This Row],[next move]],1))*3,1)</f>
        <v>V</v>
      </c>
      <c r="I2475" t="str">
        <f>Table132[[#This Row],[ÉTAT]]&amp;Table132[[#This Row],[next move]]</f>
        <v>VEVVMMVEE10</v>
      </c>
    </row>
    <row r="2476" spans="2:9" x14ac:dyDescent="0.25">
      <c r="B2476" t="s">
        <v>2836</v>
      </c>
      <c r="C2476" s="22" t="s">
        <v>30</v>
      </c>
      <c r="D2476">
        <v>1</v>
      </c>
      <c r="E2476">
        <v>1</v>
      </c>
      <c r="G2476" s="25">
        <f>Table132[[#This Row],[nb win]]/Table132[[#This Row],[nb play]]</f>
        <v>1</v>
      </c>
      <c r="H2476" t="str">
        <f>MID(Table132[[#This Row],[ÉTAT]],VALUE(RIGHT(Table132[[#This Row],[next move]],1))+1+VALUE(LEFT(Table132[[#This Row],[next move]],1))*3,1)</f>
        <v>V</v>
      </c>
      <c r="I2476" t="str">
        <f>Table132[[#This Row],[ÉTAT]]&amp;Table132[[#This Row],[next move]]</f>
        <v>VEVVMMMEE10</v>
      </c>
    </row>
    <row r="2477" spans="2:9" x14ac:dyDescent="0.25">
      <c r="B2477" t="s">
        <v>1468</v>
      </c>
      <c r="C2477" s="22" t="s">
        <v>30</v>
      </c>
      <c r="D2477">
        <v>6</v>
      </c>
      <c r="E2477">
        <v>6</v>
      </c>
      <c r="G2477" s="31">
        <f>Table132[[#This Row],[nb win]]/Table132[[#This Row],[nb play]]</f>
        <v>1</v>
      </c>
      <c r="H2477" t="str">
        <f>MID(Table132[[#This Row],[ÉTAT]],VALUE(RIGHT(Table132[[#This Row],[next move]],1))+1+VALUE(LEFT(Table132[[#This Row],[next move]],1))*3,1)</f>
        <v>V</v>
      </c>
      <c r="I2477" t="str">
        <f>Table132[[#This Row],[ÉTAT]]&amp;Table132[[#This Row],[next move]]</f>
        <v>VEVVMMEVV10</v>
      </c>
    </row>
    <row r="2478" spans="2:9" x14ac:dyDescent="0.25">
      <c r="B2478" t="s">
        <v>2551</v>
      </c>
      <c r="C2478" s="22" t="s">
        <v>24</v>
      </c>
      <c r="D2478">
        <v>1</v>
      </c>
      <c r="G2478" s="25">
        <f>Table132[[#This Row],[nb win]]/Table132[[#This Row],[nb play]]</f>
        <v>0</v>
      </c>
      <c r="H2478" t="str">
        <f>MID(Table132[[#This Row],[ÉTAT]],VALUE(RIGHT(Table132[[#This Row],[next move]],1))+1+VALUE(LEFT(Table132[[#This Row],[next move]],1))*3,1)</f>
        <v>V</v>
      </c>
      <c r="I2478" t="str">
        <f>Table132[[#This Row],[ÉTAT]]&amp;Table132[[#This Row],[next move]]</f>
        <v>VEVVMMEVE00</v>
      </c>
    </row>
    <row r="2479" spans="2:9" x14ac:dyDescent="0.25">
      <c r="B2479" t="s">
        <v>2551</v>
      </c>
      <c r="C2479" s="22" t="s">
        <v>22</v>
      </c>
      <c r="D2479">
        <v>1</v>
      </c>
      <c r="G2479" s="25">
        <f>Table132[[#This Row],[nb win]]/Table132[[#This Row],[nb play]]</f>
        <v>0</v>
      </c>
      <c r="H2479" t="str">
        <f>MID(Table132[[#This Row],[ÉTAT]],VALUE(RIGHT(Table132[[#This Row],[next move]],1))+1+VALUE(LEFT(Table132[[#This Row],[next move]],1))*3,1)</f>
        <v>V</v>
      </c>
      <c r="I2479" t="str">
        <f>Table132[[#This Row],[ÉTAT]]&amp;Table132[[#This Row],[next move]]</f>
        <v>VEVVMMEVE21</v>
      </c>
    </row>
    <row r="2480" spans="2:9" x14ac:dyDescent="0.25">
      <c r="B2480" t="s">
        <v>539</v>
      </c>
      <c r="C2480" s="22" t="s">
        <v>24</v>
      </c>
      <c r="D2480">
        <v>1</v>
      </c>
      <c r="E2480">
        <v>1</v>
      </c>
      <c r="G2480" s="25">
        <f>Table132[[#This Row],[nb win]]/Table132[[#This Row],[nb play]]</f>
        <v>1</v>
      </c>
      <c r="H2480" t="str">
        <f>MID(Table132[[#This Row],[ÉTAT]],VALUE(RIGHT(Table132[[#This Row],[next move]],1))+1+VALUE(LEFT(Table132[[#This Row],[next move]],1))*3,1)</f>
        <v>V</v>
      </c>
      <c r="I2480" t="str">
        <f>Table132[[#This Row],[ÉTAT]]&amp;Table132[[#This Row],[next move]]</f>
        <v>VEVVMMEME00</v>
      </c>
    </row>
    <row r="2481" spans="2:9" x14ac:dyDescent="0.25">
      <c r="B2481" t="s">
        <v>2337</v>
      </c>
      <c r="C2481" s="22" t="s">
        <v>30</v>
      </c>
      <c r="D2481">
        <v>3</v>
      </c>
      <c r="E2481">
        <v>3</v>
      </c>
      <c r="G2481" s="31">
        <f>Table132[[#This Row],[nb win]]/Table132[[#This Row],[nb play]]</f>
        <v>1</v>
      </c>
      <c r="H2481" t="str">
        <f>MID(Table132[[#This Row],[ÉTAT]],VALUE(RIGHT(Table132[[#This Row],[next move]],1))+1+VALUE(LEFT(Table132[[#This Row],[next move]],1))*3,1)</f>
        <v>V</v>
      </c>
      <c r="I2481" t="str">
        <f>Table132[[#This Row],[ÉTAT]]&amp;Table132[[#This Row],[next move]]</f>
        <v>VEVVMMEEV10</v>
      </c>
    </row>
    <row r="2482" spans="2:9" x14ac:dyDescent="0.25">
      <c r="B2482" t="s">
        <v>1530</v>
      </c>
      <c r="C2482" s="22" t="s">
        <v>24</v>
      </c>
      <c r="D2482">
        <v>5</v>
      </c>
      <c r="E2482">
        <v>5</v>
      </c>
      <c r="G2482" s="25">
        <f>Table132[[#This Row],[nb win]]/Table132[[#This Row],[nb play]]</f>
        <v>1</v>
      </c>
      <c r="H2482" t="str">
        <f>MID(Table132[[#This Row],[ÉTAT]],VALUE(RIGHT(Table132[[#This Row],[next move]],1))+1+VALUE(LEFT(Table132[[#This Row],[next move]],1))*3,1)</f>
        <v>V</v>
      </c>
      <c r="I2482" t="str">
        <f>Table132[[#This Row],[ÉTAT]]&amp;Table132[[#This Row],[next move]]</f>
        <v>VEVVMMEEM00</v>
      </c>
    </row>
    <row r="2483" spans="2:9" x14ac:dyDescent="0.25">
      <c r="B2483" t="s">
        <v>485</v>
      </c>
      <c r="C2483" s="22" t="s">
        <v>24</v>
      </c>
      <c r="D2483">
        <v>3</v>
      </c>
      <c r="E2483">
        <v>1</v>
      </c>
      <c r="G2483" s="30">
        <f>Table132[[#This Row],[nb win]]/Table132[[#This Row],[nb play]]</f>
        <v>0.33333333333333331</v>
      </c>
      <c r="H2483" t="str">
        <f>MID(Table132[[#This Row],[ÉTAT]],VALUE(RIGHT(Table132[[#This Row],[next move]],1))+1+VALUE(LEFT(Table132[[#This Row],[next move]],1))*3,1)</f>
        <v>V</v>
      </c>
      <c r="I2483" t="str">
        <f>Table132[[#This Row],[ÉTAT]]&amp;Table132[[#This Row],[next move]]</f>
        <v>VEVVMEVVV00</v>
      </c>
    </row>
    <row r="2484" spans="2:9" x14ac:dyDescent="0.25">
      <c r="B2484" t="s">
        <v>485</v>
      </c>
      <c r="C2484" s="22" t="s">
        <v>20</v>
      </c>
      <c r="D2484">
        <v>2</v>
      </c>
      <c r="E2484">
        <v>2</v>
      </c>
      <c r="G2484" s="31">
        <f>Table132[[#This Row],[nb win]]/Table132[[#This Row],[nb play]]</f>
        <v>1</v>
      </c>
      <c r="H2484" t="str">
        <f>MID(Table132[[#This Row],[ÉTAT]],VALUE(RIGHT(Table132[[#This Row],[next move]],1))+1+VALUE(LEFT(Table132[[#This Row],[next move]],1))*3,1)</f>
        <v>V</v>
      </c>
      <c r="I2484" t="str">
        <f>Table132[[#This Row],[ÉTAT]]&amp;Table132[[#This Row],[next move]]</f>
        <v>VEVVMEVVV02</v>
      </c>
    </row>
    <row r="2485" spans="2:9" x14ac:dyDescent="0.25">
      <c r="B2485" t="s">
        <v>485</v>
      </c>
      <c r="C2485" s="22" t="s">
        <v>30</v>
      </c>
      <c r="D2485">
        <v>4</v>
      </c>
      <c r="E2485">
        <v>2</v>
      </c>
      <c r="G2485" s="30">
        <f>Table132[[#This Row],[nb win]]/Table132[[#This Row],[nb play]]</f>
        <v>0.5</v>
      </c>
      <c r="H2485" t="str">
        <f>MID(Table132[[#This Row],[ÉTAT]],VALUE(RIGHT(Table132[[#This Row],[next move]],1))+1+VALUE(LEFT(Table132[[#This Row],[next move]],1))*3,1)</f>
        <v>V</v>
      </c>
      <c r="I2485" t="str">
        <f>Table132[[#This Row],[ÉTAT]]&amp;Table132[[#This Row],[next move]]</f>
        <v>VEVVMEVVV10</v>
      </c>
    </row>
    <row r="2486" spans="2:9" x14ac:dyDescent="0.25">
      <c r="B2486" t="s">
        <v>485</v>
      </c>
      <c r="C2486" s="22" t="s">
        <v>35</v>
      </c>
      <c r="D2486">
        <v>8</v>
      </c>
      <c r="E2486">
        <v>6</v>
      </c>
      <c r="G2486" s="31">
        <f>Table132[[#This Row],[nb win]]/Table132[[#This Row],[nb play]]</f>
        <v>0.75</v>
      </c>
      <c r="H2486" t="str">
        <f>MID(Table132[[#This Row],[ÉTAT]],VALUE(RIGHT(Table132[[#This Row],[next move]],1))+1+VALUE(LEFT(Table132[[#This Row],[next move]],1))*3,1)</f>
        <v>V</v>
      </c>
      <c r="I2486" t="str">
        <f>Table132[[#This Row],[ÉTAT]]&amp;Table132[[#This Row],[next move]]</f>
        <v>VEVVMEVVV20</v>
      </c>
    </row>
    <row r="2487" spans="2:9" x14ac:dyDescent="0.25">
      <c r="B2487" t="s">
        <v>139</v>
      </c>
      <c r="C2487" s="22" t="s">
        <v>24</v>
      </c>
      <c r="D2487">
        <v>5</v>
      </c>
      <c r="E2487">
        <v>5</v>
      </c>
      <c r="G2487" s="31">
        <f>Table132[[#This Row],[nb win]]/Table132[[#This Row],[nb play]]</f>
        <v>1</v>
      </c>
      <c r="H2487" t="str">
        <f>MID(Table132[[#This Row],[ÉTAT]],VALUE(RIGHT(Table132[[#This Row],[next move]],1))+1+VALUE(LEFT(Table132[[#This Row],[next move]],1))*3,1)</f>
        <v>V</v>
      </c>
      <c r="I2487" t="str">
        <f>Table132[[#This Row],[ÉTAT]]&amp;Table132[[#This Row],[next move]]</f>
        <v>VEVVMEVVM00</v>
      </c>
    </row>
    <row r="2488" spans="2:9" x14ac:dyDescent="0.25">
      <c r="B2488" t="s">
        <v>139</v>
      </c>
      <c r="C2488" s="22" t="s">
        <v>22</v>
      </c>
      <c r="D2488">
        <v>7</v>
      </c>
      <c r="E2488">
        <v>6</v>
      </c>
      <c r="G2488" s="31">
        <f>Table132[[#This Row],[nb win]]/Table132[[#This Row],[nb play]]</f>
        <v>0.8571428571428571</v>
      </c>
      <c r="H2488" t="str">
        <f>MID(Table132[[#This Row],[ÉTAT]],VALUE(RIGHT(Table132[[#This Row],[next move]],1))+1+VALUE(LEFT(Table132[[#This Row],[next move]],1))*3,1)</f>
        <v>V</v>
      </c>
      <c r="I2488" t="str">
        <f>Table132[[#This Row],[ÉTAT]]&amp;Table132[[#This Row],[next move]]</f>
        <v>VEVVMEVVM21</v>
      </c>
    </row>
    <row r="2489" spans="2:9" x14ac:dyDescent="0.25">
      <c r="B2489" t="s">
        <v>1065</v>
      </c>
      <c r="C2489" s="22" t="s">
        <v>35</v>
      </c>
      <c r="D2489">
        <v>2</v>
      </c>
      <c r="E2489">
        <v>1</v>
      </c>
      <c r="G2489" s="30">
        <f>Table132[[#This Row],[nb win]]/Table132[[#This Row],[nb play]]</f>
        <v>0.5</v>
      </c>
      <c r="H2489" t="str">
        <f>MID(Table132[[#This Row],[ÉTAT]],VALUE(RIGHT(Table132[[#This Row],[next move]],1))+1+VALUE(LEFT(Table132[[#This Row],[next move]],1))*3,1)</f>
        <v>V</v>
      </c>
      <c r="I2489" t="str">
        <f>Table132[[#This Row],[ÉTAT]]&amp;Table132[[#This Row],[next move]]</f>
        <v>VEVVMEVEM20</v>
      </c>
    </row>
    <row r="2490" spans="2:9" x14ac:dyDescent="0.25">
      <c r="B2490" t="s">
        <v>619</v>
      </c>
      <c r="C2490" s="22" t="s">
        <v>24</v>
      </c>
      <c r="D2490">
        <v>3</v>
      </c>
      <c r="E2490">
        <v>2</v>
      </c>
      <c r="G2490" s="25">
        <f>Table132[[#This Row],[nb win]]/Table132[[#This Row],[nb play]]</f>
        <v>0.66666666666666663</v>
      </c>
      <c r="H2490" t="str">
        <f>MID(Table132[[#This Row],[ÉTAT]],VALUE(RIGHT(Table132[[#This Row],[next move]],1))+1+VALUE(LEFT(Table132[[#This Row],[next move]],1))*3,1)</f>
        <v>V</v>
      </c>
      <c r="I2490" t="str">
        <f>Table132[[#This Row],[ÉTAT]]&amp;Table132[[#This Row],[next move]]</f>
        <v>VEVVMEMVE00</v>
      </c>
    </row>
    <row r="2491" spans="2:9" x14ac:dyDescent="0.25">
      <c r="B2491" t="s">
        <v>619</v>
      </c>
      <c r="C2491" s="22" t="s">
        <v>22</v>
      </c>
      <c r="D2491">
        <v>2</v>
      </c>
      <c r="E2491">
        <v>1</v>
      </c>
      <c r="G2491" s="30">
        <f>Table132[[#This Row],[nb win]]/Table132[[#This Row],[nb play]]</f>
        <v>0.5</v>
      </c>
      <c r="H2491" t="str">
        <f>MID(Table132[[#This Row],[ÉTAT]],VALUE(RIGHT(Table132[[#This Row],[next move]],1))+1+VALUE(LEFT(Table132[[#This Row],[next move]],1))*3,1)</f>
        <v>V</v>
      </c>
      <c r="I2491" t="str">
        <f>Table132[[#This Row],[ÉTAT]]&amp;Table132[[#This Row],[next move]]</f>
        <v>VEVVMEMVE21</v>
      </c>
    </row>
    <row r="2492" spans="2:9" x14ac:dyDescent="0.25">
      <c r="B2492" t="s">
        <v>3374</v>
      </c>
      <c r="C2492" s="22" t="s">
        <v>30</v>
      </c>
      <c r="D2492">
        <v>1</v>
      </c>
      <c r="G2492" s="30">
        <f>Table132[[#This Row],[nb win]]/Table132[[#This Row],[nb play]]</f>
        <v>0</v>
      </c>
      <c r="H2492" t="str">
        <f>MID(Table132[[#This Row],[ÉTAT]],VALUE(RIGHT(Table132[[#This Row],[next move]],1))+1+VALUE(LEFT(Table132[[#This Row],[next move]],1))*3,1)</f>
        <v>V</v>
      </c>
      <c r="I2492" t="str">
        <f>Table132[[#This Row],[ÉTAT]]&amp;Table132[[#This Row],[next move]]</f>
        <v>VEVVMEMME10</v>
      </c>
    </row>
    <row r="2493" spans="2:9" x14ac:dyDescent="0.25">
      <c r="B2493" t="s">
        <v>812</v>
      </c>
      <c r="C2493" s="22" t="s">
        <v>20</v>
      </c>
      <c r="D2493">
        <v>5</v>
      </c>
      <c r="E2493">
        <v>5</v>
      </c>
      <c r="G2493" s="25">
        <f>Table132[[#This Row],[nb win]]/Table132[[#This Row],[nb play]]</f>
        <v>1</v>
      </c>
      <c r="H2493" t="str">
        <f>MID(Table132[[#This Row],[ÉTAT]],VALUE(RIGHT(Table132[[#This Row],[next move]],1))+1+VALUE(LEFT(Table132[[#This Row],[next move]],1))*3,1)</f>
        <v>V</v>
      </c>
      <c r="I2493" t="str">
        <f>Table132[[#This Row],[ÉTAT]]&amp;Table132[[#This Row],[next move]]</f>
        <v>VEVVMEMEV02</v>
      </c>
    </row>
    <row r="2494" spans="2:9" x14ac:dyDescent="0.25">
      <c r="B2494" t="s">
        <v>3323</v>
      </c>
      <c r="C2494" s="22" t="s">
        <v>24</v>
      </c>
      <c r="D2494">
        <v>2</v>
      </c>
      <c r="E2494">
        <v>2</v>
      </c>
      <c r="G2494" s="31">
        <f>Table132[[#This Row],[nb win]]/Table132[[#This Row],[nb play]]</f>
        <v>1</v>
      </c>
      <c r="H2494" t="str">
        <f>MID(Table132[[#This Row],[ÉTAT]],VALUE(RIGHT(Table132[[#This Row],[next move]],1))+1+VALUE(LEFT(Table132[[#This Row],[next move]],1))*3,1)</f>
        <v>V</v>
      </c>
      <c r="I2494" t="str">
        <f>Table132[[#This Row],[ÉTAT]]&amp;Table132[[#This Row],[next move]]</f>
        <v>VEVVMEMEM00</v>
      </c>
    </row>
    <row r="2495" spans="2:9" x14ac:dyDescent="0.25">
      <c r="B2495" t="s">
        <v>2939</v>
      </c>
      <c r="C2495" s="22" t="s">
        <v>30</v>
      </c>
      <c r="D2495">
        <v>1</v>
      </c>
      <c r="E2495">
        <v>1</v>
      </c>
      <c r="G2495" s="25">
        <f>Table132[[#This Row],[nb win]]/Table132[[#This Row],[nb play]]</f>
        <v>1</v>
      </c>
      <c r="H2495" t="str">
        <f>MID(Table132[[#This Row],[ÉTAT]],VALUE(RIGHT(Table132[[#This Row],[next move]],1))+1+VALUE(LEFT(Table132[[#This Row],[next move]],1))*3,1)</f>
        <v>V</v>
      </c>
      <c r="I2495" t="str">
        <f>Table132[[#This Row],[ÉTAT]]&amp;Table132[[#This Row],[next move]]</f>
        <v>VEVVMEEVM10</v>
      </c>
    </row>
    <row r="2496" spans="2:9" x14ac:dyDescent="0.25">
      <c r="B2496" t="s">
        <v>1790</v>
      </c>
      <c r="C2496" s="22" t="s">
        <v>24</v>
      </c>
      <c r="D2496">
        <v>1</v>
      </c>
      <c r="G2496" s="25">
        <f>Table132[[#This Row],[nb win]]/Table132[[#This Row],[nb play]]</f>
        <v>0</v>
      </c>
      <c r="H2496" t="str">
        <f>MID(Table132[[#This Row],[ÉTAT]],VALUE(RIGHT(Table132[[#This Row],[next move]],1))+1+VALUE(LEFT(Table132[[#This Row],[next move]],1))*3,1)</f>
        <v>V</v>
      </c>
      <c r="I2496" t="str">
        <f>Table132[[#This Row],[ÉTAT]]&amp;Table132[[#This Row],[next move]]</f>
        <v>VEVVMEEMV00</v>
      </c>
    </row>
    <row r="2497" spans="2:9" x14ac:dyDescent="0.25">
      <c r="B2497" t="s">
        <v>1790</v>
      </c>
      <c r="C2497" s="22" t="s">
        <v>20</v>
      </c>
      <c r="D2497">
        <v>1</v>
      </c>
      <c r="G2497" s="25">
        <f>Table132[[#This Row],[nb win]]/Table132[[#This Row],[nb play]]</f>
        <v>0</v>
      </c>
      <c r="H2497" t="str">
        <f>MID(Table132[[#This Row],[ÉTAT]],VALUE(RIGHT(Table132[[#This Row],[next move]],1))+1+VALUE(LEFT(Table132[[#This Row],[next move]],1))*3,1)</f>
        <v>V</v>
      </c>
      <c r="I2497" t="str">
        <f>Table132[[#This Row],[ÉTAT]]&amp;Table132[[#This Row],[next move]]</f>
        <v>VEVVMEEMV02</v>
      </c>
    </row>
    <row r="2498" spans="2:9" x14ac:dyDescent="0.25">
      <c r="B2498" t="s">
        <v>1790</v>
      </c>
      <c r="C2498" s="22" t="s">
        <v>30</v>
      </c>
      <c r="D2498">
        <v>2</v>
      </c>
      <c r="G2498" s="30">
        <f>Table132[[#This Row],[nb win]]/Table132[[#This Row],[nb play]]</f>
        <v>0</v>
      </c>
      <c r="H2498" t="str">
        <f>MID(Table132[[#This Row],[ÉTAT]],VALUE(RIGHT(Table132[[#This Row],[next move]],1))+1+VALUE(LEFT(Table132[[#This Row],[next move]],1))*3,1)</f>
        <v>V</v>
      </c>
      <c r="I2498" t="str">
        <f>Table132[[#This Row],[ÉTAT]]&amp;Table132[[#This Row],[next move]]</f>
        <v>VEVVMEEMV10</v>
      </c>
    </row>
    <row r="2499" spans="2:9" x14ac:dyDescent="0.25">
      <c r="B2499" t="s">
        <v>1790</v>
      </c>
      <c r="C2499" s="22" t="s">
        <v>31</v>
      </c>
      <c r="D2499">
        <v>2</v>
      </c>
      <c r="E2499">
        <v>1</v>
      </c>
      <c r="G2499" s="30">
        <f>Table132[[#This Row],[nb win]]/Table132[[#This Row],[nb play]]</f>
        <v>0.5</v>
      </c>
      <c r="H2499" t="str">
        <f>MID(Table132[[#This Row],[ÉTAT]],VALUE(RIGHT(Table132[[#This Row],[next move]],1))+1+VALUE(LEFT(Table132[[#This Row],[next move]],1))*3,1)</f>
        <v>V</v>
      </c>
      <c r="I2499" t="str">
        <f>Table132[[#This Row],[ÉTAT]]&amp;Table132[[#This Row],[next move]]</f>
        <v>VEVVMEEMV22</v>
      </c>
    </row>
    <row r="2500" spans="2:9" x14ac:dyDescent="0.25">
      <c r="B2500" t="s">
        <v>802</v>
      </c>
      <c r="C2500" s="22" t="s">
        <v>20</v>
      </c>
      <c r="D2500">
        <v>1</v>
      </c>
      <c r="E2500">
        <v>1</v>
      </c>
      <c r="G2500" s="25">
        <f>Table132[[#This Row],[nb win]]/Table132[[#This Row],[nb play]]</f>
        <v>1</v>
      </c>
      <c r="H2500" t="str">
        <f>MID(Table132[[#This Row],[ÉTAT]],VALUE(RIGHT(Table132[[#This Row],[next move]],1))+1+VALUE(LEFT(Table132[[#This Row],[next move]],1))*3,1)</f>
        <v>V</v>
      </c>
      <c r="I2500" t="str">
        <f>Table132[[#This Row],[ÉTAT]]&amp;Table132[[#This Row],[next move]]</f>
        <v>VEVVMEEMM02</v>
      </c>
    </row>
    <row r="2501" spans="2:9" x14ac:dyDescent="0.25">
      <c r="B2501" t="s">
        <v>177</v>
      </c>
      <c r="C2501" s="22" t="s">
        <v>24</v>
      </c>
      <c r="D2501">
        <v>1</v>
      </c>
      <c r="G2501" s="30">
        <f>Table132[[#This Row],[nb win]]/Table132[[#This Row],[nb play]]</f>
        <v>0</v>
      </c>
      <c r="H2501" t="str">
        <f>MID(Table132[[#This Row],[ÉTAT]],VALUE(RIGHT(Table132[[#This Row],[next move]],1))+1+VALUE(LEFT(Table132[[#This Row],[next move]],1))*3,1)</f>
        <v>V</v>
      </c>
      <c r="I2501" t="str">
        <f>Table132[[#This Row],[ÉTAT]]&amp;Table132[[#This Row],[next move]]</f>
        <v>VEVVEVVVM00</v>
      </c>
    </row>
    <row r="2502" spans="2:9" x14ac:dyDescent="0.25">
      <c r="B2502" t="s">
        <v>177</v>
      </c>
      <c r="C2502" s="22" t="s">
        <v>20</v>
      </c>
      <c r="D2502">
        <v>1</v>
      </c>
      <c r="G2502" s="30">
        <f>Table132[[#This Row],[nb win]]/Table132[[#This Row],[nb play]]</f>
        <v>0</v>
      </c>
      <c r="H2502" t="str">
        <f>MID(Table132[[#This Row],[ÉTAT]],VALUE(RIGHT(Table132[[#This Row],[next move]],1))+1+VALUE(LEFT(Table132[[#This Row],[next move]],1))*3,1)</f>
        <v>V</v>
      </c>
      <c r="I2502" t="str">
        <f>Table132[[#This Row],[ÉTAT]]&amp;Table132[[#This Row],[next move]]</f>
        <v>VEVVEVVVM02</v>
      </c>
    </row>
    <row r="2503" spans="2:9" x14ac:dyDescent="0.25">
      <c r="B2503" t="s">
        <v>177</v>
      </c>
      <c r="C2503" s="22" t="s">
        <v>28</v>
      </c>
      <c r="D2503">
        <v>3</v>
      </c>
      <c r="E2503">
        <v>2</v>
      </c>
      <c r="G2503" s="30">
        <f>Table132[[#This Row],[nb win]]/Table132[[#This Row],[nb play]]</f>
        <v>0.66666666666666663</v>
      </c>
      <c r="H2503" t="str">
        <f>MID(Table132[[#This Row],[ÉTAT]],VALUE(RIGHT(Table132[[#This Row],[next move]],1))+1+VALUE(LEFT(Table132[[#This Row],[next move]],1))*3,1)</f>
        <v>V</v>
      </c>
      <c r="I2503" t="str">
        <f>Table132[[#This Row],[ÉTAT]]&amp;Table132[[#This Row],[next move]]</f>
        <v>VEVVEVVVM12</v>
      </c>
    </row>
    <row r="2504" spans="2:9" x14ac:dyDescent="0.25">
      <c r="B2504" t="s">
        <v>177</v>
      </c>
      <c r="C2504" s="22" t="s">
        <v>22</v>
      </c>
      <c r="D2504">
        <v>4</v>
      </c>
      <c r="E2504">
        <v>1</v>
      </c>
      <c r="G2504" s="25">
        <f>Table132[[#This Row],[nb win]]/Table132[[#This Row],[nb play]]</f>
        <v>0.25</v>
      </c>
      <c r="H2504" t="str">
        <f>MID(Table132[[#This Row],[ÉTAT]],VALUE(RIGHT(Table132[[#This Row],[next move]],1))+1+VALUE(LEFT(Table132[[#This Row],[next move]],1))*3,1)</f>
        <v>V</v>
      </c>
      <c r="I2504" t="str">
        <f>Table132[[#This Row],[ÉTAT]]&amp;Table132[[#This Row],[next move]]</f>
        <v>VEVVEVVVM21</v>
      </c>
    </row>
    <row r="2505" spans="2:9" x14ac:dyDescent="0.25">
      <c r="B2505" t="s">
        <v>273</v>
      </c>
      <c r="C2505" s="22" t="s">
        <v>24</v>
      </c>
      <c r="D2505">
        <v>3</v>
      </c>
      <c r="G2505" s="30">
        <f>Table132[[#This Row],[nb win]]/Table132[[#This Row],[nb play]]</f>
        <v>0</v>
      </c>
      <c r="H2505" t="str">
        <f>MID(Table132[[#This Row],[ÉTAT]],VALUE(RIGHT(Table132[[#This Row],[next move]],1))+1+VALUE(LEFT(Table132[[#This Row],[next move]],1))*3,1)</f>
        <v>V</v>
      </c>
      <c r="I2505" t="str">
        <f>Table132[[#This Row],[ÉTAT]]&amp;Table132[[#This Row],[next move]]</f>
        <v>VEVVEVVMV00</v>
      </c>
    </row>
    <row r="2506" spans="2:9" x14ac:dyDescent="0.25">
      <c r="B2506" t="s">
        <v>273</v>
      </c>
      <c r="C2506" s="22" t="s">
        <v>20</v>
      </c>
      <c r="D2506">
        <v>3</v>
      </c>
      <c r="E2506">
        <v>3</v>
      </c>
      <c r="G2506" s="31">
        <f>Table132[[#This Row],[nb win]]/Table132[[#This Row],[nb play]]</f>
        <v>1</v>
      </c>
      <c r="H2506" t="str">
        <f>MID(Table132[[#This Row],[ÉTAT]],VALUE(RIGHT(Table132[[#This Row],[next move]],1))+1+VALUE(LEFT(Table132[[#This Row],[next move]],1))*3,1)</f>
        <v>V</v>
      </c>
      <c r="I2506" t="str">
        <f>Table132[[#This Row],[ÉTAT]]&amp;Table132[[#This Row],[next move]]</f>
        <v>VEVVEVVMV02</v>
      </c>
    </row>
    <row r="2507" spans="2:9" x14ac:dyDescent="0.25">
      <c r="B2507" t="s">
        <v>273</v>
      </c>
      <c r="C2507" s="22" t="s">
        <v>30</v>
      </c>
      <c r="D2507">
        <v>7</v>
      </c>
      <c r="E2507">
        <v>6</v>
      </c>
      <c r="G2507" s="31">
        <f>Table132[[#This Row],[nb win]]/Table132[[#This Row],[nb play]]</f>
        <v>0.8571428571428571</v>
      </c>
      <c r="H2507" t="str">
        <f>MID(Table132[[#This Row],[ÉTAT]],VALUE(RIGHT(Table132[[#This Row],[next move]],1))+1+VALUE(LEFT(Table132[[#This Row],[next move]],1))*3,1)</f>
        <v>V</v>
      </c>
      <c r="I2507" t="str">
        <f>Table132[[#This Row],[ÉTAT]]&amp;Table132[[#This Row],[next move]]</f>
        <v>VEVVEVVMV10</v>
      </c>
    </row>
    <row r="2508" spans="2:9" x14ac:dyDescent="0.25">
      <c r="B2508" t="s">
        <v>273</v>
      </c>
      <c r="C2508" s="22" t="s">
        <v>28</v>
      </c>
      <c r="D2508">
        <v>1</v>
      </c>
      <c r="G2508" s="30">
        <f>Table132[[#This Row],[nb win]]/Table132[[#This Row],[nb play]]</f>
        <v>0</v>
      </c>
      <c r="H2508" t="str">
        <f>MID(Table132[[#This Row],[ÉTAT]],VALUE(RIGHT(Table132[[#This Row],[next move]],1))+1+VALUE(LEFT(Table132[[#This Row],[next move]],1))*3,1)</f>
        <v>V</v>
      </c>
      <c r="I2508" t="str">
        <f>Table132[[#This Row],[ÉTAT]]&amp;Table132[[#This Row],[next move]]</f>
        <v>VEVVEVVMV12</v>
      </c>
    </row>
    <row r="2509" spans="2:9" x14ac:dyDescent="0.25">
      <c r="B2509" t="s">
        <v>273</v>
      </c>
      <c r="C2509" s="22" t="s">
        <v>35</v>
      </c>
      <c r="D2509">
        <v>1</v>
      </c>
      <c r="G2509" s="30">
        <f>Table132[[#This Row],[nb win]]/Table132[[#This Row],[nb play]]</f>
        <v>0</v>
      </c>
      <c r="H2509" t="str">
        <f>MID(Table132[[#This Row],[ÉTAT]],VALUE(RIGHT(Table132[[#This Row],[next move]],1))+1+VALUE(LEFT(Table132[[#This Row],[next move]],1))*3,1)</f>
        <v>V</v>
      </c>
      <c r="I2509" t="str">
        <f>Table132[[#This Row],[ÉTAT]]&amp;Table132[[#This Row],[next move]]</f>
        <v>VEVVEVVMV20</v>
      </c>
    </row>
    <row r="2510" spans="2:9" x14ac:dyDescent="0.25">
      <c r="B2510" t="s">
        <v>273</v>
      </c>
      <c r="C2510" s="22" t="s">
        <v>31</v>
      </c>
      <c r="D2510">
        <v>1</v>
      </c>
      <c r="G2510" s="30">
        <f>Table132[[#This Row],[nb win]]/Table132[[#This Row],[nb play]]</f>
        <v>0</v>
      </c>
      <c r="H2510" t="str">
        <f>MID(Table132[[#This Row],[ÉTAT]],VALUE(RIGHT(Table132[[#This Row],[next move]],1))+1+VALUE(LEFT(Table132[[#This Row],[next move]],1))*3,1)</f>
        <v>V</v>
      </c>
      <c r="I2510" t="str">
        <f>Table132[[#This Row],[ÉTAT]]&amp;Table132[[#This Row],[next move]]</f>
        <v>VEVVEVVMV22</v>
      </c>
    </row>
    <row r="2511" spans="2:9" x14ac:dyDescent="0.25">
      <c r="B2511" t="s">
        <v>1777</v>
      </c>
      <c r="C2511" s="22" t="s">
        <v>30</v>
      </c>
      <c r="D2511">
        <v>2</v>
      </c>
      <c r="E2511">
        <v>2</v>
      </c>
      <c r="G2511" s="25">
        <f>Table132[[#This Row],[nb win]]/Table132[[#This Row],[nb play]]</f>
        <v>1</v>
      </c>
      <c r="H2511" t="str">
        <f>MID(Table132[[#This Row],[ÉTAT]],VALUE(RIGHT(Table132[[#This Row],[next move]],1))+1+VALUE(LEFT(Table132[[#This Row],[next move]],1))*3,1)</f>
        <v>V</v>
      </c>
      <c r="I2511" t="str">
        <f>Table132[[#This Row],[ÉTAT]]&amp;Table132[[#This Row],[next move]]</f>
        <v>VEVVEVVMM10</v>
      </c>
    </row>
    <row r="2512" spans="2:9" x14ac:dyDescent="0.25">
      <c r="B2512" t="s">
        <v>518</v>
      </c>
      <c r="C2512" s="22" t="s">
        <v>20</v>
      </c>
      <c r="D2512">
        <v>1</v>
      </c>
      <c r="E2512">
        <v>1</v>
      </c>
      <c r="G2512" s="25">
        <f>Table132[[#This Row],[nb win]]/Table132[[#This Row],[nb play]]</f>
        <v>1</v>
      </c>
      <c r="H2512" t="str">
        <f>MID(Table132[[#This Row],[ÉTAT]],VALUE(RIGHT(Table132[[#This Row],[next move]],1))+1+VALUE(LEFT(Table132[[#This Row],[next move]],1))*3,1)</f>
        <v>V</v>
      </c>
      <c r="I2512" t="str">
        <f>Table132[[#This Row],[ÉTAT]]&amp;Table132[[#This Row],[next move]]</f>
        <v>VEVVEVMVV02</v>
      </c>
    </row>
    <row r="2513" spans="2:9" x14ac:dyDescent="0.25">
      <c r="B2513" t="s">
        <v>518</v>
      </c>
      <c r="C2513" s="22" t="s">
        <v>30</v>
      </c>
      <c r="D2513">
        <v>7</v>
      </c>
      <c r="E2513">
        <v>3</v>
      </c>
      <c r="G2513" s="30">
        <f>Table132[[#This Row],[nb win]]/Table132[[#This Row],[nb play]]</f>
        <v>0.42857142857142855</v>
      </c>
      <c r="H2513" t="str">
        <f>MID(Table132[[#This Row],[ÉTAT]],VALUE(RIGHT(Table132[[#This Row],[next move]],1))+1+VALUE(LEFT(Table132[[#This Row],[next move]],1))*3,1)</f>
        <v>V</v>
      </c>
      <c r="I2513" t="str">
        <f>Table132[[#This Row],[ÉTAT]]&amp;Table132[[#This Row],[next move]]</f>
        <v>VEVVEVMVV10</v>
      </c>
    </row>
    <row r="2514" spans="2:9" x14ac:dyDescent="0.25">
      <c r="B2514" t="s">
        <v>518</v>
      </c>
      <c r="C2514" s="22" t="s">
        <v>28</v>
      </c>
      <c r="D2514">
        <v>4</v>
      </c>
      <c r="G2514" s="30">
        <f>Table132[[#This Row],[nb win]]/Table132[[#This Row],[nb play]]</f>
        <v>0</v>
      </c>
      <c r="H2514" t="str">
        <f>MID(Table132[[#This Row],[ÉTAT]],VALUE(RIGHT(Table132[[#This Row],[next move]],1))+1+VALUE(LEFT(Table132[[#This Row],[next move]],1))*3,1)</f>
        <v>V</v>
      </c>
      <c r="I2514" t="str">
        <f>Table132[[#This Row],[ÉTAT]]&amp;Table132[[#This Row],[next move]]</f>
        <v>VEVVEVMVV12</v>
      </c>
    </row>
    <row r="2515" spans="2:9" x14ac:dyDescent="0.25">
      <c r="B2515" t="s">
        <v>518</v>
      </c>
      <c r="C2515" s="22" t="s">
        <v>22</v>
      </c>
      <c r="D2515">
        <v>4</v>
      </c>
      <c r="G2515" s="30">
        <f>Table132[[#This Row],[nb win]]/Table132[[#This Row],[nb play]]</f>
        <v>0</v>
      </c>
      <c r="H2515" t="str">
        <f>MID(Table132[[#This Row],[ÉTAT]],VALUE(RIGHT(Table132[[#This Row],[next move]],1))+1+VALUE(LEFT(Table132[[#This Row],[next move]],1))*3,1)</f>
        <v>V</v>
      </c>
      <c r="I2515" t="str">
        <f>Table132[[#This Row],[ÉTAT]]&amp;Table132[[#This Row],[next move]]</f>
        <v>VEVVEVMVV21</v>
      </c>
    </row>
    <row r="2516" spans="2:9" x14ac:dyDescent="0.25">
      <c r="B2516" t="s">
        <v>1195</v>
      </c>
      <c r="C2516" s="22" t="s">
        <v>22</v>
      </c>
      <c r="D2516">
        <v>8</v>
      </c>
      <c r="E2516">
        <v>8</v>
      </c>
      <c r="G2516" s="31">
        <f>Table132[[#This Row],[nb win]]/Table132[[#This Row],[nb play]]</f>
        <v>1</v>
      </c>
      <c r="H2516" t="str">
        <f>MID(Table132[[#This Row],[ÉTAT]],VALUE(RIGHT(Table132[[#This Row],[next move]],1))+1+VALUE(LEFT(Table132[[#This Row],[next move]],1))*3,1)</f>
        <v>V</v>
      </c>
      <c r="I2516" t="str">
        <f>Table132[[#This Row],[ÉTAT]]&amp;Table132[[#This Row],[next move]]</f>
        <v>VEVVEVMVM21</v>
      </c>
    </row>
    <row r="2517" spans="2:9" x14ac:dyDescent="0.25">
      <c r="B2517" t="s">
        <v>1198</v>
      </c>
      <c r="C2517" s="22" t="s">
        <v>31</v>
      </c>
      <c r="D2517">
        <v>4</v>
      </c>
      <c r="E2517">
        <v>4</v>
      </c>
      <c r="G2517" s="25">
        <f>Table132[[#This Row],[nb win]]/Table132[[#This Row],[nb play]]</f>
        <v>1</v>
      </c>
      <c r="H2517" t="str">
        <f>MID(Table132[[#This Row],[ÉTAT]],VALUE(RIGHT(Table132[[#This Row],[next move]],1))+1+VALUE(LEFT(Table132[[#This Row],[next move]],1))*3,1)</f>
        <v>V</v>
      </c>
      <c r="I2517" t="str">
        <f>Table132[[#This Row],[ÉTAT]]&amp;Table132[[#This Row],[next move]]</f>
        <v>VEVVEVMMV22</v>
      </c>
    </row>
    <row r="2518" spans="2:9" x14ac:dyDescent="0.25">
      <c r="B2518" t="s">
        <v>829</v>
      </c>
      <c r="C2518" s="22" t="s">
        <v>24</v>
      </c>
      <c r="D2518">
        <v>1</v>
      </c>
      <c r="G2518" s="25">
        <f>Table132[[#This Row],[nb win]]/Table132[[#This Row],[nb play]]</f>
        <v>0</v>
      </c>
      <c r="H2518" t="str">
        <f>MID(Table132[[#This Row],[ÉTAT]],VALUE(RIGHT(Table132[[#This Row],[next move]],1))+1+VALUE(LEFT(Table132[[#This Row],[next move]],1))*3,1)</f>
        <v>V</v>
      </c>
      <c r="I2518" t="str">
        <f>Table132[[#This Row],[ÉTAT]]&amp;Table132[[#This Row],[next move]]</f>
        <v>VEVVEVMME00</v>
      </c>
    </row>
    <row r="2519" spans="2:9" x14ac:dyDescent="0.25">
      <c r="B2519" t="s">
        <v>829</v>
      </c>
      <c r="C2519" s="22" t="s">
        <v>20</v>
      </c>
      <c r="D2519">
        <v>4</v>
      </c>
      <c r="G2519" s="30">
        <f>Table132[[#This Row],[nb win]]/Table132[[#This Row],[nb play]]</f>
        <v>0</v>
      </c>
      <c r="H2519" t="str">
        <f>MID(Table132[[#This Row],[ÉTAT]],VALUE(RIGHT(Table132[[#This Row],[next move]],1))+1+VALUE(LEFT(Table132[[#This Row],[next move]],1))*3,1)</f>
        <v>V</v>
      </c>
      <c r="I2519" t="str">
        <f>Table132[[#This Row],[ÉTAT]]&amp;Table132[[#This Row],[next move]]</f>
        <v>VEVVEVMME02</v>
      </c>
    </row>
    <row r="2520" spans="2:9" x14ac:dyDescent="0.25">
      <c r="B2520" t="s">
        <v>829</v>
      </c>
      <c r="C2520" s="22" t="s">
        <v>30</v>
      </c>
      <c r="D2520">
        <v>6</v>
      </c>
      <c r="E2520">
        <v>2</v>
      </c>
      <c r="G2520" s="31">
        <f>Table132[[#This Row],[nb win]]/Table132[[#This Row],[nb play]]</f>
        <v>0.33333333333333331</v>
      </c>
      <c r="H2520" t="str">
        <f>MID(Table132[[#This Row],[ÉTAT]],VALUE(RIGHT(Table132[[#This Row],[next move]],1))+1+VALUE(LEFT(Table132[[#This Row],[next move]],1))*3,1)</f>
        <v>V</v>
      </c>
      <c r="I2520" t="str">
        <f>Table132[[#This Row],[ÉTAT]]&amp;Table132[[#This Row],[next move]]</f>
        <v>VEVVEVMME10</v>
      </c>
    </row>
    <row r="2521" spans="2:9" x14ac:dyDescent="0.25">
      <c r="B2521" t="s">
        <v>829</v>
      </c>
      <c r="C2521" s="22" t="s">
        <v>28</v>
      </c>
      <c r="D2521">
        <v>1</v>
      </c>
      <c r="G2521" s="30">
        <f>Table132[[#This Row],[nb win]]/Table132[[#This Row],[nb play]]</f>
        <v>0</v>
      </c>
      <c r="H2521" t="str">
        <f>MID(Table132[[#This Row],[ÉTAT]],VALUE(RIGHT(Table132[[#This Row],[next move]],1))+1+VALUE(LEFT(Table132[[#This Row],[next move]],1))*3,1)</f>
        <v>V</v>
      </c>
      <c r="I2521" t="str">
        <f>Table132[[#This Row],[ÉTAT]]&amp;Table132[[#This Row],[next move]]</f>
        <v>VEVVEVMME12</v>
      </c>
    </row>
    <row r="2522" spans="2:9" x14ac:dyDescent="0.25">
      <c r="B2522" t="s">
        <v>3231</v>
      </c>
      <c r="C2522" s="22" t="s">
        <v>24</v>
      </c>
      <c r="D2522">
        <v>1</v>
      </c>
      <c r="G2522" s="30">
        <f>Table132[[#This Row],[nb win]]/Table132[[#This Row],[nb play]]</f>
        <v>0</v>
      </c>
      <c r="H2522" t="str">
        <f>MID(Table132[[#This Row],[ÉTAT]],VALUE(RIGHT(Table132[[#This Row],[next move]],1))+1+VALUE(LEFT(Table132[[#This Row],[next move]],1))*3,1)</f>
        <v>V</v>
      </c>
      <c r="I2522" t="str">
        <f>Table132[[#This Row],[ÉTAT]]&amp;Table132[[#This Row],[next move]]</f>
        <v>VEVVEMVVV00</v>
      </c>
    </row>
    <row r="2523" spans="2:9" x14ac:dyDescent="0.25">
      <c r="B2523" t="s">
        <v>3231</v>
      </c>
      <c r="C2523" s="22" t="s">
        <v>20</v>
      </c>
      <c r="D2523">
        <v>1</v>
      </c>
      <c r="G2523" s="30">
        <f>Table132[[#This Row],[nb win]]/Table132[[#This Row],[nb play]]</f>
        <v>0</v>
      </c>
      <c r="H2523" t="str">
        <f>MID(Table132[[#This Row],[ÉTAT]],VALUE(RIGHT(Table132[[#This Row],[next move]],1))+1+VALUE(LEFT(Table132[[#This Row],[next move]],1))*3,1)</f>
        <v>V</v>
      </c>
      <c r="I2523" t="str">
        <f>Table132[[#This Row],[ÉTAT]]&amp;Table132[[#This Row],[next move]]</f>
        <v>VEVVEMVVV02</v>
      </c>
    </row>
    <row r="2524" spans="2:9" x14ac:dyDescent="0.25">
      <c r="B2524" t="s">
        <v>3231</v>
      </c>
      <c r="C2524" s="22" t="s">
        <v>30</v>
      </c>
      <c r="D2524">
        <v>1</v>
      </c>
      <c r="G2524" s="30">
        <f>Table132[[#This Row],[nb win]]/Table132[[#This Row],[nb play]]</f>
        <v>0</v>
      </c>
      <c r="H2524" t="str">
        <f>MID(Table132[[#This Row],[ÉTAT]],VALUE(RIGHT(Table132[[#This Row],[next move]],1))+1+VALUE(LEFT(Table132[[#This Row],[next move]],1))*3,1)</f>
        <v>V</v>
      </c>
      <c r="I2524" t="str">
        <f>Table132[[#This Row],[ÉTAT]]&amp;Table132[[#This Row],[next move]]</f>
        <v>VEVVEMVVV10</v>
      </c>
    </row>
    <row r="2525" spans="2:9" x14ac:dyDescent="0.25">
      <c r="B2525" t="s">
        <v>3231</v>
      </c>
      <c r="C2525" s="22" t="s">
        <v>35</v>
      </c>
      <c r="D2525">
        <v>1</v>
      </c>
      <c r="G2525" s="30">
        <f>Table132[[#This Row],[nb win]]/Table132[[#This Row],[nb play]]</f>
        <v>0</v>
      </c>
      <c r="H2525" t="str">
        <f>MID(Table132[[#This Row],[ÉTAT]],VALUE(RIGHT(Table132[[#This Row],[next move]],1))+1+VALUE(LEFT(Table132[[#This Row],[next move]],1))*3,1)</f>
        <v>V</v>
      </c>
      <c r="I2525" t="str">
        <f>Table132[[#This Row],[ÉTAT]]&amp;Table132[[#This Row],[next move]]</f>
        <v>VEVVEMVVV20</v>
      </c>
    </row>
    <row r="2526" spans="2:9" x14ac:dyDescent="0.25">
      <c r="B2526" t="s">
        <v>3231</v>
      </c>
      <c r="C2526" s="22" t="s">
        <v>22</v>
      </c>
      <c r="D2526">
        <v>2</v>
      </c>
      <c r="E2526">
        <v>1</v>
      </c>
      <c r="G2526" s="30">
        <f>Table132[[#This Row],[nb win]]/Table132[[#This Row],[nb play]]</f>
        <v>0.5</v>
      </c>
      <c r="H2526" t="str">
        <f>MID(Table132[[#This Row],[ÉTAT]],VALUE(RIGHT(Table132[[#This Row],[next move]],1))+1+VALUE(LEFT(Table132[[#This Row],[next move]],1))*3,1)</f>
        <v>V</v>
      </c>
      <c r="I2526" t="str">
        <f>Table132[[#This Row],[ÉTAT]]&amp;Table132[[#This Row],[next move]]</f>
        <v>VEVVEMVVV21</v>
      </c>
    </row>
    <row r="2527" spans="2:9" x14ac:dyDescent="0.25">
      <c r="B2527" t="s">
        <v>3207</v>
      </c>
      <c r="C2527" s="22" t="s">
        <v>30</v>
      </c>
      <c r="D2527">
        <v>1</v>
      </c>
      <c r="G2527" s="30">
        <f>Table132[[#This Row],[nb win]]/Table132[[#This Row],[nb play]]</f>
        <v>0</v>
      </c>
      <c r="H2527" t="str">
        <f>MID(Table132[[#This Row],[ÉTAT]],VALUE(RIGHT(Table132[[#This Row],[next move]],1))+1+VALUE(LEFT(Table132[[#This Row],[next move]],1))*3,1)</f>
        <v>V</v>
      </c>
      <c r="I2527" t="str">
        <f>Table132[[#This Row],[ÉTAT]]&amp;Table132[[#This Row],[next move]]</f>
        <v>VEVVEMVVM10</v>
      </c>
    </row>
    <row r="2528" spans="2:9" x14ac:dyDescent="0.25">
      <c r="B2528" t="s">
        <v>3207</v>
      </c>
      <c r="C2528" s="22" t="s">
        <v>22</v>
      </c>
      <c r="D2528">
        <v>1</v>
      </c>
      <c r="G2528" s="30">
        <f>Table132[[#This Row],[nb win]]/Table132[[#This Row],[nb play]]</f>
        <v>0</v>
      </c>
      <c r="H2528" t="str">
        <f>MID(Table132[[#This Row],[ÉTAT]],VALUE(RIGHT(Table132[[#This Row],[next move]],1))+1+VALUE(LEFT(Table132[[#This Row],[next move]],1))*3,1)</f>
        <v>V</v>
      </c>
      <c r="I2528" t="str">
        <f>Table132[[#This Row],[ÉTAT]]&amp;Table132[[#This Row],[next move]]</f>
        <v>VEVVEMVVM21</v>
      </c>
    </row>
    <row r="2529" spans="2:9" x14ac:dyDescent="0.25">
      <c r="B2529" t="s">
        <v>1249</v>
      </c>
      <c r="C2529" s="22" t="s">
        <v>24</v>
      </c>
      <c r="D2529">
        <v>1</v>
      </c>
      <c r="G2529" s="30">
        <f>Table132[[#This Row],[nb win]]/Table132[[#This Row],[nb play]]</f>
        <v>0</v>
      </c>
      <c r="H2529" t="str">
        <f>MID(Table132[[#This Row],[ÉTAT]],VALUE(RIGHT(Table132[[#This Row],[next move]],1))+1+VALUE(LEFT(Table132[[#This Row],[next move]],1))*3,1)</f>
        <v>V</v>
      </c>
      <c r="I2529" t="str">
        <f>Table132[[#This Row],[ÉTAT]]&amp;Table132[[#This Row],[next move]]</f>
        <v>VEVVEMVMV00</v>
      </c>
    </row>
    <row r="2530" spans="2:9" x14ac:dyDescent="0.25">
      <c r="B2530" t="s">
        <v>1249</v>
      </c>
      <c r="C2530" s="22" t="s">
        <v>20</v>
      </c>
      <c r="D2530">
        <v>3</v>
      </c>
      <c r="E2530">
        <v>2</v>
      </c>
      <c r="G2530" s="25">
        <f>Table132[[#This Row],[nb win]]/Table132[[#This Row],[nb play]]</f>
        <v>0.66666666666666663</v>
      </c>
      <c r="H2530" t="str">
        <f>MID(Table132[[#This Row],[ÉTAT]],VALUE(RIGHT(Table132[[#This Row],[next move]],1))+1+VALUE(LEFT(Table132[[#This Row],[next move]],1))*3,1)</f>
        <v>V</v>
      </c>
      <c r="I2530" t="str">
        <f>Table132[[#This Row],[ÉTAT]]&amp;Table132[[#This Row],[next move]]</f>
        <v>VEVVEMVMV02</v>
      </c>
    </row>
    <row r="2531" spans="2:9" x14ac:dyDescent="0.25">
      <c r="B2531" t="s">
        <v>1249</v>
      </c>
      <c r="C2531" s="22" t="s">
        <v>30</v>
      </c>
      <c r="D2531">
        <v>1</v>
      </c>
      <c r="G2531" s="30">
        <f>Table132[[#This Row],[nb win]]/Table132[[#This Row],[nb play]]</f>
        <v>0</v>
      </c>
      <c r="H2531" t="str">
        <f>MID(Table132[[#This Row],[ÉTAT]],VALUE(RIGHT(Table132[[#This Row],[next move]],1))+1+VALUE(LEFT(Table132[[#This Row],[next move]],1))*3,1)</f>
        <v>V</v>
      </c>
      <c r="I2531" t="str">
        <f>Table132[[#This Row],[ÉTAT]]&amp;Table132[[#This Row],[next move]]</f>
        <v>VEVVEMVMV10</v>
      </c>
    </row>
    <row r="2532" spans="2:9" x14ac:dyDescent="0.25">
      <c r="B2532" t="s">
        <v>2151</v>
      </c>
      <c r="C2532" s="22" t="s">
        <v>30</v>
      </c>
      <c r="D2532">
        <v>1</v>
      </c>
      <c r="G2532" s="30">
        <f>Table132[[#This Row],[nb win]]/Table132[[#This Row],[nb play]]</f>
        <v>0</v>
      </c>
      <c r="H2532" t="str">
        <f>MID(Table132[[#This Row],[ÉTAT]],VALUE(RIGHT(Table132[[#This Row],[next move]],1))+1+VALUE(LEFT(Table132[[#This Row],[next move]],1))*3,1)</f>
        <v>V</v>
      </c>
      <c r="I2532" t="str">
        <f>Table132[[#This Row],[ÉTAT]]&amp;Table132[[#This Row],[next move]]</f>
        <v>VEVVEMMVV10</v>
      </c>
    </row>
    <row r="2533" spans="2:9" x14ac:dyDescent="0.25">
      <c r="B2533" t="s">
        <v>2151</v>
      </c>
      <c r="C2533" s="22" t="s">
        <v>22</v>
      </c>
      <c r="D2533">
        <v>2</v>
      </c>
      <c r="E2533">
        <v>1</v>
      </c>
      <c r="G2533" s="30">
        <f>Table132[[#This Row],[nb win]]/Table132[[#This Row],[nb play]]</f>
        <v>0.5</v>
      </c>
      <c r="H2533" t="str">
        <f>MID(Table132[[#This Row],[ÉTAT]],VALUE(RIGHT(Table132[[#This Row],[next move]],1))+1+VALUE(LEFT(Table132[[#This Row],[next move]],1))*3,1)</f>
        <v>V</v>
      </c>
      <c r="I2533" t="str">
        <f>Table132[[#This Row],[ÉTAT]]&amp;Table132[[#This Row],[next move]]</f>
        <v>VEVVEMMVV21</v>
      </c>
    </row>
    <row r="2534" spans="2:9" x14ac:dyDescent="0.25">
      <c r="B2534" t="s">
        <v>1650</v>
      </c>
      <c r="C2534" s="22" t="s">
        <v>24</v>
      </c>
      <c r="D2534">
        <v>1</v>
      </c>
      <c r="G2534" s="25">
        <f>Table132[[#This Row],[nb win]]/Table132[[#This Row],[nb play]]</f>
        <v>0</v>
      </c>
      <c r="H2534" t="str">
        <f>MID(Table132[[#This Row],[ÉTAT]],VALUE(RIGHT(Table132[[#This Row],[next move]],1))+1+VALUE(LEFT(Table132[[#This Row],[next move]],1))*3,1)</f>
        <v>V</v>
      </c>
      <c r="I2534" t="str">
        <f>Table132[[#This Row],[ÉTAT]]&amp;Table132[[#This Row],[next move]]</f>
        <v>VEVVEMEVM00</v>
      </c>
    </row>
    <row r="2535" spans="2:9" x14ac:dyDescent="0.25">
      <c r="B2535" t="s">
        <v>1650</v>
      </c>
      <c r="C2535" s="22" t="s">
        <v>30</v>
      </c>
      <c r="D2535">
        <v>1</v>
      </c>
      <c r="G2535" s="30">
        <f>Table132[[#This Row],[nb win]]/Table132[[#This Row],[nb play]]</f>
        <v>0</v>
      </c>
      <c r="H2535" t="str">
        <f>MID(Table132[[#This Row],[ÉTAT]],VALUE(RIGHT(Table132[[#This Row],[next move]],1))+1+VALUE(LEFT(Table132[[#This Row],[next move]],1))*3,1)</f>
        <v>V</v>
      </c>
      <c r="I2535" t="str">
        <f>Table132[[#This Row],[ÉTAT]]&amp;Table132[[#This Row],[next move]]</f>
        <v>VEVVEMEVM10</v>
      </c>
    </row>
    <row r="2536" spans="2:9" x14ac:dyDescent="0.25">
      <c r="B2536" t="s">
        <v>1650</v>
      </c>
      <c r="C2536" s="22" t="s">
        <v>22</v>
      </c>
      <c r="D2536">
        <v>2</v>
      </c>
      <c r="E2536">
        <v>1</v>
      </c>
      <c r="G2536" s="30">
        <f>Table132[[#This Row],[nb win]]/Table132[[#This Row],[nb play]]</f>
        <v>0.5</v>
      </c>
      <c r="H2536" t="str">
        <f>MID(Table132[[#This Row],[ÉTAT]],VALUE(RIGHT(Table132[[#This Row],[next move]],1))+1+VALUE(LEFT(Table132[[#This Row],[next move]],1))*3,1)</f>
        <v>V</v>
      </c>
      <c r="I2536" t="str">
        <f>Table132[[#This Row],[ÉTAT]]&amp;Table132[[#This Row],[next move]]</f>
        <v>VEVVEMEVM21</v>
      </c>
    </row>
    <row r="2537" spans="2:9" x14ac:dyDescent="0.25">
      <c r="B2537" t="s">
        <v>3173</v>
      </c>
      <c r="C2537" s="22" t="s">
        <v>24</v>
      </c>
      <c r="D2537">
        <v>1</v>
      </c>
      <c r="G2537" s="30">
        <f>Table132[[#This Row],[nb win]]/Table132[[#This Row],[nb play]]</f>
        <v>0</v>
      </c>
      <c r="H2537" t="str">
        <f>MID(Table132[[#This Row],[ÉTAT]],VALUE(RIGHT(Table132[[#This Row],[next move]],1))+1+VALUE(LEFT(Table132[[#This Row],[next move]],1))*3,1)</f>
        <v>V</v>
      </c>
      <c r="I2537" t="str">
        <f>Table132[[#This Row],[ÉTAT]]&amp;Table132[[#This Row],[next move]]</f>
        <v>VEVVEMEMV00</v>
      </c>
    </row>
    <row r="2538" spans="2:9" x14ac:dyDescent="0.25">
      <c r="B2538" t="s">
        <v>3173</v>
      </c>
      <c r="C2538" s="22" t="s">
        <v>31</v>
      </c>
      <c r="D2538">
        <v>1</v>
      </c>
      <c r="E2538">
        <v>1</v>
      </c>
      <c r="G2538" s="31">
        <f>Table132[[#This Row],[nb win]]/Table132[[#This Row],[nb play]]</f>
        <v>1</v>
      </c>
      <c r="H2538" t="str">
        <f>MID(Table132[[#This Row],[ÉTAT]],VALUE(RIGHT(Table132[[#This Row],[next move]],1))+1+VALUE(LEFT(Table132[[#This Row],[next move]],1))*3,1)</f>
        <v>V</v>
      </c>
      <c r="I2538" t="str">
        <f>Table132[[#This Row],[ÉTAT]]&amp;Table132[[#This Row],[next move]]</f>
        <v>VEVVEMEMV22</v>
      </c>
    </row>
    <row r="2539" spans="2:9" x14ac:dyDescent="0.25">
      <c r="B2539" t="s">
        <v>3315</v>
      </c>
      <c r="C2539" s="22" t="s">
        <v>24</v>
      </c>
      <c r="D2539">
        <v>1</v>
      </c>
      <c r="G2539" s="30">
        <f>Table132[[#This Row],[nb win]]/Table132[[#This Row],[nb play]]</f>
        <v>0</v>
      </c>
      <c r="H2539" t="str">
        <f>MID(Table132[[#This Row],[ÉTAT]],VALUE(RIGHT(Table132[[#This Row],[next move]],1))+1+VALUE(LEFT(Table132[[#This Row],[next move]],1))*3,1)</f>
        <v>V</v>
      </c>
      <c r="I2539" t="str">
        <f>Table132[[#This Row],[ÉTAT]]&amp;Table132[[#This Row],[next move]]</f>
        <v>VEVVEMEMM00</v>
      </c>
    </row>
    <row r="2540" spans="2:9" x14ac:dyDescent="0.25">
      <c r="B2540" t="s">
        <v>3315</v>
      </c>
      <c r="C2540" s="22" t="s">
        <v>30</v>
      </c>
      <c r="D2540">
        <v>1</v>
      </c>
      <c r="G2540" s="30">
        <f>Table132[[#This Row],[nb win]]/Table132[[#This Row],[nb play]]</f>
        <v>0</v>
      </c>
      <c r="H2540" t="str">
        <f>MID(Table132[[#This Row],[ÉTAT]],VALUE(RIGHT(Table132[[#This Row],[next move]],1))+1+VALUE(LEFT(Table132[[#This Row],[next move]],1))*3,1)</f>
        <v>V</v>
      </c>
      <c r="I2540" t="str">
        <f>Table132[[#This Row],[ÉTAT]]&amp;Table132[[#This Row],[next move]]</f>
        <v>VEVVEMEMM10</v>
      </c>
    </row>
    <row r="2541" spans="2:9" x14ac:dyDescent="0.25">
      <c r="B2541" t="s">
        <v>275</v>
      </c>
      <c r="C2541" s="22" t="s">
        <v>24</v>
      </c>
      <c r="D2541">
        <v>3</v>
      </c>
      <c r="E2541">
        <v>1</v>
      </c>
      <c r="G2541" s="30">
        <f>Table132[[#This Row],[nb win]]/Table132[[#This Row],[nb play]]</f>
        <v>0.33333333333333331</v>
      </c>
      <c r="H2541" t="str">
        <f>MID(Table132[[#This Row],[ÉTAT]],VALUE(RIGHT(Table132[[#This Row],[next move]],1))+1+VALUE(LEFT(Table132[[#This Row],[next move]],1))*3,1)</f>
        <v>V</v>
      </c>
      <c r="I2541" t="str">
        <f>Table132[[#This Row],[ÉTAT]]&amp;Table132[[#This Row],[next move]]</f>
        <v>VEVVEEVMM00</v>
      </c>
    </row>
    <row r="2542" spans="2:9" x14ac:dyDescent="0.25">
      <c r="B2542" t="s">
        <v>275</v>
      </c>
      <c r="C2542" s="22" t="s">
        <v>35</v>
      </c>
      <c r="D2542">
        <v>1</v>
      </c>
      <c r="E2542">
        <v>1</v>
      </c>
      <c r="G2542" s="25">
        <f>Table132[[#This Row],[nb win]]/Table132[[#This Row],[nb play]]</f>
        <v>1</v>
      </c>
      <c r="H2542" t="str">
        <f>MID(Table132[[#This Row],[ÉTAT]],VALUE(RIGHT(Table132[[#This Row],[next move]],1))+1+VALUE(LEFT(Table132[[#This Row],[next move]],1))*3,1)</f>
        <v>V</v>
      </c>
      <c r="I2542" t="str">
        <f>Table132[[#This Row],[ÉTAT]]&amp;Table132[[#This Row],[next move]]</f>
        <v>VEVVEEVMM20</v>
      </c>
    </row>
    <row r="2543" spans="2:9" x14ac:dyDescent="0.25">
      <c r="B2543" t="s">
        <v>2424</v>
      </c>
      <c r="C2543" s="22" t="s">
        <v>24</v>
      </c>
      <c r="D2543">
        <v>1</v>
      </c>
      <c r="G2543" s="25">
        <f>Table132[[#This Row],[nb win]]/Table132[[#This Row],[nb play]]</f>
        <v>0</v>
      </c>
      <c r="H2543" t="str">
        <f>MID(Table132[[#This Row],[ÉTAT]],VALUE(RIGHT(Table132[[#This Row],[next move]],1))+1+VALUE(LEFT(Table132[[#This Row],[next move]],1))*3,1)</f>
        <v>V</v>
      </c>
      <c r="I2543" t="str">
        <f>Table132[[#This Row],[ÉTAT]]&amp;Table132[[#This Row],[next move]]</f>
        <v>VEVVEEMVM00</v>
      </c>
    </row>
    <row r="2544" spans="2:9" x14ac:dyDescent="0.25">
      <c r="B2544" t="s">
        <v>2424</v>
      </c>
      <c r="C2544" s="22" t="s">
        <v>30</v>
      </c>
      <c r="D2544">
        <v>1</v>
      </c>
      <c r="E2544">
        <v>1</v>
      </c>
      <c r="G2544" s="25">
        <f>Table132[[#This Row],[nb win]]/Table132[[#This Row],[nb play]]</f>
        <v>1</v>
      </c>
      <c r="H2544" t="str">
        <f>MID(Table132[[#This Row],[ÉTAT]],VALUE(RIGHT(Table132[[#This Row],[next move]],1))+1+VALUE(LEFT(Table132[[#This Row],[next move]],1))*3,1)</f>
        <v>V</v>
      </c>
      <c r="I2544" t="str">
        <f>Table132[[#This Row],[ÉTAT]]&amp;Table132[[#This Row],[next move]]</f>
        <v>VEVVEEMVM10</v>
      </c>
    </row>
    <row r="2545" spans="2:9" x14ac:dyDescent="0.25">
      <c r="B2545" t="s">
        <v>127</v>
      </c>
      <c r="C2545" s="22" t="s">
        <v>20</v>
      </c>
      <c r="D2545">
        <v>4</v>
      </c>
      <c r="E2545">
        <v>2</v>
      </c>
      <c r="G2545" s="30">
        <f>Table132[[#This Row],[nb win]]/Table132[[#This Row],[nb play]]</f>
        <v>0.5</v>
      </c>
      <c r="H2545" t="str">
        <f>MID(Table132[[#This Row],[ÉTAT]],VALUE(RIGHT(Table132[[#This Row],[next move]],1))+1+VALUE(LEFT(Table132[[#This Row],[next move]],1))*3,1)</f>
        <v>V</v>
      </c>
      <c r="I2545" t="str">
        <f>Table132[[#This Row],[ÉTAT]]&amp;Table132[[#This Row],[next move]]</f>
        <v>VEVMVVVVV02</v>
      </c>
    </row>
    <row r="2546" spans="2:9" x14ac:dyDescent="0.25">
      <c r="B2546" t="s">
        <v>127</v>
      </c>
      <c r="C2546" s="22" t="s">
        <v>29</v>
      </c>
      <c r="D2546">
        <v>15</v>
      </c>
      <c r="E2546">
        <v>14</v>
      </c>
      <c r="G2546" s="31">
        <f>Table132[[#This Row],[nb win]]/Table132[[#This Row],[nb play]]</f>
        <v>0.93333333333333335</v>
      </c>
      <c r="H2546" t="str">
        <f>MID(Table132[[#This Row],[ÉTAT]],VALUE(RIGHT(Table132[[#This Row],[next move]],1))+1+VALUE(LEFT(Table132[[#This Row],[next move]],1))*3,1)</f>
        <v>V</v>
      </c>
      <c r="I2546" t="str">
        <f>Table132[[#This Row],[ÉTAT]]&amp;Table132[[#This Row],[next move]]</f>
        <v>VEVMVVVVV11</v>
      </c>
    </row>
    <row r="2547" spans="2:9" x14ac:dyDescent="0.25">
      <c r="B2547" t="s">
        <v>127</v>
      </c>
      <c r="C2547" s="22" t="s">
        <v>28</v>
      </c>
      <c r="D2547">
        <v>2</v>
      </c>
      <c r="E2547">
        <v>1</v>
      </c>
      <c r="G2547" s="30">
        <f>Table132[[#This Row],[nb win]]/Table132[[#This Row],[nb play]]</f>
        <v>0.5</v>
      </c>
      <c r="H2547" t="str">
        <f>MID(Table132[[#This Row],[ÉTAT]],VALUE(RIGHT(Table132[[#This Row],[next move]],1))+1+VALUE(LEFT(Table132[[#This Row],[next move]],1))*3,1)</f>
        <v>V</v>
      </c>
      <c r="I2547" t="str">
        <f>Table132[[#This Row],[ÉTAT]]&amp;Table132[[#This Row],[next move]]</f>
        <v>VEVMVVVVV12</v>
      </c>
    </row>
    <row r="2548" spans="2:9" x14ac:dyDescent="0.25">
      <c r="B2548" t="s">
        <v>127</v>
      </c>
      <c r="C2548" s="22" t="s">
        <v>35</v>
      </c>
      <c r="D2548">
        <v>2</v>
      </c>
      <c r="E2548">
        <v>1</v>
      </c>
      <c r="G2548" s="30">
        <f>Table132[[#This Row],[nb win]]/Table132[[#This Row],[nb play]]</f>
        <v>0.5</v>
      </c>
      <c r="H2548" t="str">
        <f>MID(Table132[[#This Row],[ÉTAT]],VALUE(RIGHT(Table132[[#This Row],[next move]],1))+1+VALUE(LEFT(Table132[[#This Row],[next move]],1))*3,1)</f>
        <v>V</v>
      </c>
      <c r="I2548" t="str">
        <f>Table132[[#This Row],[ÉTAT]]&amp;Table132[[#This Row],[next move]]</f>
        <v>VEVMVVVVV20</v>
      </c>
    </row>
    <row r="2549" spans="2:9" x14ac:dyDescent="0.25">
      <c r="B2549" t="s">
        <v>127</v>
      </c>
      <c r="C2549" s="22" t="s">
        <v>31</v>
      </c>
      <c r="D2549">
        <v>26</v>
      </c>
      <c r="E2549">
        <v>15</v>
      </c>
      <c r="G2549" s="30">
        <f>Table132[[#This Row],[nb win]]/Table132[[#This Row],[nb play]]</f>
        <v>0.57692307692307687</v>
      </c>
      <c r="H2549" t="str">
        <f>MID(Table132[[#This Row],[ÉTAT]],VALUE(RIGHT(Table132[[#This Row],[next move]],1))+1+VALUE(LEFT(Table132[[#This Row],[next move]],1))*3,1)</f>
        <v>V</v>
      </c>
      <c r="I2549" t="str">
        <f>Table132[[#This Row],[ÉTAT]]&amp;Table132[[#This Row],[next move]]</f>
        <v>VEVMVVVVV22</v>
      </c>
    </row>
    <row r="2550" spans="2:9" x14ac:dyDescent="0.25">
      <c r="B2550" t="s">
        <v>460</v>
      </c>
      <c r="C2550" s="22" t="s">
        <v>24</v>
      </c>
      <c r="D2550">
        <v>5</v>
      </c>
      <c r="E2550">
        <v>4</v>
      </c>
      <c r="G2550" s="31">
        <f>Table132[[#This Row],[nb win]]/Table132[[#This Row],[nb play]]</f>
        <v>0.8</v>
      </c>
      <c r="H2550" t="str">
        <f>MID(Table132[[#This Row],[ÉTAT]],VALUE(RIGHT(Table132[[#This Row],[next move]],1))+1+VALUE(LEFT(Table132[[#This Row],[next move]],1))*3,1)</f>
        <v>V</v>
      </c>
      <c r="I2550" t="str">
        <f>Table132[[#This Row],[ÉTAT]]&amp;Table132[[#This Row],[next move]]</f>
        <v>VEVMVVVVE00</v>
      </c>
    </row>
    <row r="2551" spans="2:9" x14ac:dyDescent="0.25">
      <c r="B2551" t="s">
        <v>460</v>
      </c>
      <c r="C2551" s="22" t="s">
        <v>20</v>
      </c>
      <c r="D2551">
        <v>8</v>
      </c>
      <c r="E2551">
        <v>4</v>
      </c>
      <c r="G2551" s="25">
        <f>Table132[[#This Row],[nb win]]/Table132[[#This Row],[nb play]]</f>
        <v>0.5</v>
      </c>
      <c r="H2551" t="str">
        <f>MID(Table132[[#This Row],[ÉTAT]],VALUE(RIGHT(Table132[[#This Row],[next move]],1))+1+VALUE(LEFT(Table132[[#This Row],[next move]],1))*3,1)</f>
        <v>V</v>
      </c>
      <c r="I2551" t="str">
        <f>Table132[[#This Row],[ÉTAT]]&amp;Table132[[#This Row],[next move]]</f>
        <v>VEVMVVVVE02</v>
      </c>
    </row>
    <row r="2552" spans="2:9" x14ac:dyDescent="0.25">
      <c r="B2552" t="s">
        <v>460</v>
      </c>
      <c r="C2552" s="22" t="s">
        <v>29</v>
      </c>
      <c r="D2552">
        <v>1</v>
      </c>
      <c r="E2552">
        <v>1</v>
      </c>
      <c r="G2552" s="31">
        <f>Table132[[#This Row],[nb win]]/Table132[[#This Row],[nb play]]</f>
        <v>1</v>
      </c>
      <c r="H2552" t="str">
        <f>MID(Table132[[#This Row],[ÉTAT]],VALUE(RIGHT(Table132[[#This Row],[next move]],1))+1+VALUE(LEFT(Table132[[#This Row],[next move]],1))*3,1)</f>
        <v>V</v>
      </c>
      <c r="I2552" t="str">
        <f>Table132[[#This Row],[ÉTAT]]&amp;Table132[[#This Row],[next move]]</f>
        <v>VEVMVVVVE11</v>
      </c>
    </row>
    <row r="2553" spans="2:9" x14ac:dyDescent="0.25">
      <c r="B2553" t="s">
        <v>460</v>
      </c>
      <c r="C2553" s="22" t="s">
        <v>28</v>
      </c>
      <c r="D2553">
        <v>2</v>
      </c>
      <c r="G2553" s="30">
        <f>Table132[[#This Row],[nb win]]/Table132[[#This Row],[nb play]]</f>
        <v>0</v>
      </c>
      <c r="H2553" t="str">
        <f>MID(Table132[[#This Row],[ÉTAT]],VALUE(RIGHT(Table132[[#This Row],[next move]],1))+1+VALUE(LEFT(Table132[[#This Row],[next move]],1))*3,1)</f>
        <v>V</v>
      </c>
      <c r="I2553" t="str">
        <f>Table132[[#This Row],[ÉTAT]]&amp;Table132[[#This Row],[next move]]</f>
        <v>VEVMVVVVE12</v>
      </c>
    </row>
    <row r="2554" spans="2:9" x14ac:dyDescent="0.25">
      <c r="B2554" t="s">
        <v>460</v>
      </c>
      <c r="C2554" s="22" t="s">
        <v>35</v>
      </c>
      <c r="D2554">
        <v>6</v>
      </c>
      <c r="E2554">
        <v>5</v>
      </c>
      <c r="G2554" s="31">
        <f>Table132[[#This Row],[nb win]]/Table132[[#This Row],[nb play]]</f>
        <v>0.83333333333333337</v>
      </c>
      <c r="H2554" t="str">
        <f>MID(Table132[[#This Row],[ÉTAT]],VALUE(RIGHT(Table132[[#This Row],[next move]],1))+1+VALUE(LEFT(Table132[[#This Row],[next move]],1))*3,1)</f>
        <v>V</v>
      </c>
      <c r="I2554" t="str">
        <f>Table132[[#This Row],[ÉTAT]]&amp;Table132[[#This Row],[next move]]</f>
        <v>VEVMVVVVE20</v>
      </c>
    </row>
    <row r="2555" spans="2:9" x14ac:dyDescent="0.25">
      <c r="B2555" t="s">
        <v>460</v>
      </c>
      <c r="C2555" s="22" t="s">
        <v>22</v>
      </c>
      <c r="D2555">
        <v>3</v>
      </c>
      <c r="G2555" s="30">
        <f>Table132[[#This Row],[nb win]]/Table132[[#This Row],[nb play]]</f>
        <v>0</v>
      </c>
      <c r="H2555" t="str">
        <f>MID(Table132[[#This Row],[ÉTAT]],VALUE(RIGHT(Table132[[#This Row],[next move]],1))+1+VALUE(LEFT(Table132[[#This Row],[next move]],1))*3,1)</f>
        <v>V</v>
      </c>
      <c r="I2555" t="str">
        <f>Table132[[#This Row],[ÉTAT]]&amp;Table132[[#This Row],[next move]]</f>
        <v>VEVMVVVVE21</v>
      </c>
    </row>
    <row r="2556" spans="2:9" x14ac:dyDescent="0.25">
      <c r="B2556" t="s">
        <v>2524</v>
      </c>
      <c r="C2556" s="22" t="s">
        <v>35</v>
      </c>
      <c r="D2556">
        <v>4</v>
      </c>
      <c r="E2556">
        <v>3</v>
      </c>
      <c r="G2556" s="30">
        <f>Table132[[#This Row],[nb win]]/Table132[[#This Row],[nb play]]</f>
        <v>0.75</v>
      </c>
      <c r="H2556" t="str">
        <f>MID(Table132[[#This Row],[ÉTAT]],VALUE(RIGHT(Table132[[#This Row],[next move]],1))+1+VALUE(LEFT(Table132[[#This Row],[next move]],1))*3,1)</f>
        <v>V</v>
      </c>
      <c r="I2556" t="str">
        <f>Table132[[#This Row],[ÉTAT]]&amp;Table132[[#This Row],[next move]]</f>
        <v>VEVMVVVME20</v>
      </c>
    </row>
    <row r="2557" spans="2:9" x14ac:dyDescent="0.25">
      <c r="B2557" t="s">
        <v>3138</v>
      </c>
      <c r="C2557" s="22" t="s">
        <v>29</v>
      </c>
      <c r="D2557">
        <v>1</v>
      </c>
      <c r="G2557" s="30">
        <f>Table132[[#This Row],[nb win]]/Table132[[#This Row],[nb play]]</f>
        <v>0</v>
      </c>
      <c r="H2557" t="str">
        <f>MID(Table132[[#This Row],[ÉTAT]],VALUE(RIGHT(Table132[[#This Row],[next move]],1))+1+VALUE(LEFT(Table132[[#This Row],[next move]],1))*3,1)</f>
        <v>V</v>
      </c>
      <c r="I2557" t="str">
        <f>Table132[[#This Row],[ÉTAT]]&amp;Table132[[#This Row],[next move]]</f>
        <v>VEVMVVVEV11</v>
      </c>
    </row>
    <row r="2558" spans="2:9" x14ac:dyDescent="0.25">
      <c r="B2558" t="s">
        <v>3138</v>
      </c>
      <c r="C2558" s="22" t="s">
        <v>28</v>
      </c>
      <c r="D2558">
        <v>2</v>
      </c>
      <c r="E2558">
        <v>1</v>
      </c>
      <c r="G2558" s="31">
        <f>Table132[[#This Row],[nb win]]/Table132[[#This Row],[nb play]]</f>
        <v>0.5</v>
      </c>
      <c r="H2558" t="str">
        <f>MID(Table132[[#This Row],[ÉTAT]],VALUE(RIGHT(Table132[[#This Row],[next move]],1))+1+VALUE(LEFT(Table132[[#This Row],[next move]],1))*3,1)</f>
        <v>V</v>
      </c>
      <c r="I2558" t="str">
        <f>Table132[[#This Row],[ÉTAT]]&amp;Table132[[#This Row],[next move]]</f>
        <v>VEVMVVVEV12</v>
      </c>
    </row>
    <row r="2559" spans="2:9" x14ac:dyDescent="0.25">
      <c r="B2559" t="s">
        <v>3138</v>
      </c>
      <c r="C2559" s="22" t="s">
        <v>35</v>
      </c>
      <c r="D2559">
        <v>2</v>
      </c>
      <c r="E2559">
        <v>1</v>
      </c>
      <c r="G2559" s="30">
        <f>Table132[[#This Row],[nb win]]/Table132[[#This Row],[nb play]]</f>
        <v>0.5</v>
      </c>
      <c r="H2559" t="str">
        <f>MID(Table132[[#This Row],[ÉTAT]],VALUE(RIGHT(Table132[[#This Row],[next move]],1))+1+VALUE(LEFT(Table132[[#This Row],[next move]],1))*3,1)</f>
        <v>V</v>
      </c>
      <c r="I2559" t="str">
        <f>Table132[[#This Row],[ÉTAT]]&amp;Table132[[#This Row],[next move]]</f>
        <v>VEVMVVVEV20</v>
      </c>
    </row>
    <row r="2560" spans="2:9" x14ac:dyDescent="0.25">
      <c r="B2560" t="s">
        <v>3138</v>
      </c>
      <c r="C2560" s="22" t="s">
        <v>31</v>
      </c>
      <c r="D2560">
        <v>1</v>
      </c>
      <c r="G2560" s="30">
        <f>Table132[[#This Row],[nb win]]/Table132[[#This Row],[nb play]]</f>
        <v>0</v>
      </c>
      <c r="H2560" t="str">
        <f>MID(Table132[[#This Row],[ÉTAT]],VALUE(RIGHT(Table132[[#This Row],[next move]],1))+1+VALUE(LEFT(Table132[[#This Row],[next move]],1))*3,1)</f>
        <v>V</v>
      </c>
      <c r="I2560" t="str">
        <f>Table132[[#This Row],[ÉTAT]]&amp;Table132[[#This Row],[next move]]</f>
        <v>VEVMVVVEV22</v>
      </c>
    </row>
    <row r="2561" spans="2:9" x14ac:dyDescent="0.25">
      <c r="B2561" t="s">
        <v>2266</v>
      </c>
      <c r="C2561" s="22" t="s">
        <v>29</v>
      </c>
      <c r="D2561">
        <v>3</v>
      </c>
      <c r="E2561">
        <v>3</v>
      </c>
      <c r="G2561" s="31">
        <f>Table132[[#This Row],[nb win]]/Table132[[#This Row],[nb play]]</f>
        <v>1</v>
      </c>
      <c r="H2561" t="str">
        <f>MID(Table132[[#This Row],[ÉTAT]],VALUE(RIGHT(Table132[[#This Row],[next move]],1))+1+VALUE(LEFT(Table132[[#This Row],[next move]],1))*3,1)</f>
        <v>V</v>
      </c>
      <c r="I2561" t="str">
        <f>Table132[[#This Row],[ÉTAT]]&amp;Table132[[#This Row],[next move]]</f>
        <v>VEVMVVVEM11</v>
      </c>
    </row>
    <row r="2562" spans="2:9" x14ac:dyDescent="0.25">
      <c r="B2562" t="s">
        <v>2266</v>
      </c>
      <c r="C2562" s="22" t="s">
        <v>35</v>
      </c>
      <c r="D2562">
        <v>2</v>
      </c>
      <c r="G2562" s="25">
        <f>Table132[[#This Row],[nb win]]/Table132[[#This Row],[nb play]]</f>
        <v>0</v>
      </c>
      <c r="H2562" t="str">
        <f>MID(Table132[[#This Row],[ÉTAT]],VALUE(RIGHT(Table132[[#This Row],[next move]],1))+1+VALUE(LEFT(Table132[[#This Row],[next move]],1))*3,1)</f>
        <v>V</v>
      </c>
      <c r="I2562" t="str">
        <f>Table132[[#This Row],[ÉTAT]]&amp;Table132[[#This Row],[next move]]</f>
        <v>VEVMVVVEM20</v>
      </c>
    </row>
    <row r="2563" spans="2:9" x14ac:dyDescent="0.25">
      <c r="B2563" t="s">
        <v>1826</v>
      </c>
      <c r="C2563" s="22" t="s">
        <v>24</v>
      </c>
      <c r="D2563">
        <v>3</v>
      </c>
      <c r="E2563">
        <v>3</v>
      </c>
      <c r="G2563" s="25">
        <f>Table132[[#This Row],[nb win]]/Table132[[#This Row],[nb play]]</f>
        <v>1</v>
      </c>
      <c r="H2563" t="str">
        <f>MID(Table132[[#This Row],[ÉTAT]],VALUE(RIGHT(Table132[[#This Row],[next move]],1))+1+VALUE(LEFT(Table132[[#This Row],[next move]],1))*3,1)</f>
        <v>V</v>
      </c>
      <c r="I2563" t="str">
        <f>Table132[[#This Row],[ÉTAT]]&amp;Table132[[#This Row],[next move]]</f>
        <v>VEVMVVMVE00</v>
      </c>
    </row>
    <row r="2564" spans="2:9" x14ac:dyDescent="0.25">
      <c r="B2564" t="s">
        <v>1826</v>
      </c>
      <c r="C2564" s="22" t="s">
        <v>20</v>
      </c>
      <c r="D2564">
        <v>4</v>
      </c>
      <c r="E2564">
        <v>3</v>
      </c>
      <c r="G2564" s="31">
        <f>Table132[[#This Row],[nb win]]/Table132[[#This Row],[nb play]]</f>
        <v>0.75</v>
      </c>
      <c r="H2564" t="str">
        <f>MID(Table132[[#This Row],[ÉTAT]],VALUE(RIGHT(Table132[[#This Row],[next move]],1))+1+VALUE(LEFT(Table132[[#This Row],[next move]],1))*3,1)</f>
        <v>V</v>
      </c>
      <c r="I2564" t="str">
        <f>Table132[[#This Row],[ÉTAT]]&amp;Table132[[#This Row],[next move]]</f>
        <v>VEVMVVMVE02</v>
      </c>
    </row>
    <row r="2565" spans="2:9" x14ac:dyDescent="0.25">
      <c r="B2565" t="s">
        <v>2411</v>
      </c>
      <c r="C2565" s="22" t="s">
        <v>24</v>
      </c>
      <c r="D2565">
        <v>4</v>
      </c>
      <c r="E2565">
        <v>4</v>
      </c>
      <c r="G2565" s="31">
        <f>Table132[[#This Row],[nb win]]/Table132[[#This Row],[nb play]]</f>
        <v>1</v>
      </c>
      <c r="H2565" t="str">
        <f>MID(Table132[[#This Row],[ÉTAT]],VALUE(RIGHT(Table132[[#This Row],[next move]],1))+1+VALUE(LEFT(Table132[[#This Row],[next move]],1))*3,1)</f>
        <v>V</v>
      </c>
      <c r="I2565" t="str">
        <f>Table132[[#This Row],[ÉTAT]]&amp;Table132[[#This Row],[next move]]</f>
        <v>VEVMVVMEV00</v>
      </c>
    </row>
    <row r="2566" spans="2:9" x14ac:dyDescent="0.25">
      <c r="B2566" t="s">
        <v>2987</v>
      </c>
      <c r="C2566" s="22" t="s">
        <v>29</v>
      </c>
      <c r="D2566">
        <v>1</v>
      </c>
      <c r="E2566">
        <v>1</v>
      </c>
      <c r="G2566" s="25">
        <f>Table132[[#This Row],[nb win]]/Table132[[#This Row],[nb play]]</f>
        <v>1</v>
      </c>
      <c r="H2566" t="str">
        <f>MID(Table132[[#This Row],[ÉTAT]],VALUE(RIGHT(Table132[[#This Row],[next move]],1))+1+VALUE(LEFT(Table132[[#This Row],[next move]],1))*3,1)</f>
        <v>V</v>
      </c>
      <c r="I2566" t="str">
        <f>Table132[[#This Row],[ÉTAT]]&amp;Table132[[#This Row],[next move]]</f>
        <v>VEVMVVMEE11</v>
      </c>
    </row>
    <row r="2567" spans="2:9" x14ac:dyDescent="0.25">
      <c r="B2567" t="s">
        <v>908</v>
      </c>
      <c r="C2567" s="22" t="s">
        <v>24</v>
      </c>
      <c r="D2567">
        <v>6</v>
      </c>
      <c r="E2567">
        <v>1</v>
      </c>
      <c r="G2567" s="30">
        <f>Table132[[#This Row],[nb win]]/Table132[[#This Row],[nb play]]</f>
        <v>0.16666666666666666</v>
      </c>
      <c r="H2567" t="str">
        <f>MID(Table132[[#This Row],[ÉTAT]],VALUE(RIGHT(Table132[[#This Row],[next move]],1))+1+VALUE(LEFT(Table132[[#This Row],[next move]],1))*3,1)</f>
        <v>V</v>
      </c>
      <c r="I2567" t="str">
        <f>Table132[[#This Row],[ÉTAT]]&amp;Table132[[#This Row],[next move]]</f>
        <v>VEVMVVEVV00</v>
      </c>
    </row>
    <row r="2568" spans="2:9" x14ac:dyDescent="0.25">
      <c r="B2568" t="s">
        <v>908</v>
      </c>
      <c r="C2568" s="22" t="s">
        <v>20</v>
      </c>
      <c r="D2568">
        <v>7</v>
      </c>
      <c r="E2568">
        <v>4</v>
      </c>
      <c r="G2568" s="25">
        <f>Table132[[#This Row],[nb win]]/Table132[[#This Row],[nb play]]</f>
        <v>0.5714285714285714</v>
      </c>
      <c r="H2568" t="str">
        <f>MID(Table132[[#This Row],[ÉTAT]],VALUE(RIGHT(Table132[[#This Row],[next move]],1))+1+VALUE(LEFT(Table132[[#This Row],[next move]],1))*3,1)</f>
        <v>V</v>
      </c>
      <c r="I2568" t="str">
        <f>Table132[[#This Row],[ÉTAT]]&amp;Table132[[#This Row],[next move]]</f>
        <v>VEVMVVEVV02</v>
      </c>
    </row>
    <row r="2569" spans="2:9" x14ac:dyDescent="0.25">
      <c r="B2569" t="s">
        <v>908</v>
      </c>
      <c r="C2569" s="22" t="s">
        <v>29</v>
      </c>
      <c r="D2569">
        <v>6</v>
      </c>
      <c r="E2569">
        <v>5</v>
      </c>
      <c r="G2569" s="31">
        <f>Table132[[#This Row],[nb win]]/Table132[[#This Row],[nb play]]</f>
        <v>0.83333333333333337</v>
      </c>
      <c r="H2569" t="str">
        <f>MID(Table132[[#This Row],[ÉTAT]],VALUE(RIGHT(Table132[[#This Row],[next move]],1))+1+VALUE(LEFT(Table132[[#This Row],[next move]],1))*3,1)</f>
        <v>V</v>
      </c>
      <c r="I2569" t="str">
        <f>Table132[[#This Row],[ÉTAT]]&amp;Table132[[#This Row],[next move]]</f>
        <v>VEVMVVEVV11</v>
      </c>
    </row>
    <row r="2570" spans="2:9" x14ac:dyDescent="0.25">
      <c r="B2570" t="s">
        <v>908</v>
      </c>
      <c r="C2570" s="22" t="s">
        <v>28</v>
      </c>
      <c r="D2570">
        <v>3</v>
      </c>
      <c r="E2570">
        <v>2</v>
      </c>
      <c r="G2570" s="30">
        <f>Table132[[#This Row],[nb win]]/Table132[[#This Row],[nb play]]</f>
        <v>0.66666666666666663</v>
      </c>
      <c r="H2570" t="str">
        <f>MID(Table132[[#This Row],[ÉTAT]],VALUE(RIGHT(Table132[[#This Row],[next move]],1))+1+VALUE(LEFT(Table132[[#This Row],[next move]],1))*3,1)</f>
        <v>V</v>
      </c>
      <c r="I2570" t="str">
        <f>Table132[[#This Row],[ÉTAT]]&amp;Table132[[#This Row],[next move]]</f>
        <v>VEVMVVEVV12</v>
      </c>
    </row>
    <row r="2571" spans="2:9" x14ac:dyDescent="0.25">
      <c r="B2571" t="s">
        <v>908</v>
      </c>
      <c r="C2571" s="22" t="s">
        <v>22</v>
      </c>
      <c r="D2571">
        <v>1</v>
      </c>
      <c r="G2571" s="30">
        <f>Table132[[#This Row],[nb win]]/Table132[[#This Row],[nb play]]</f>
        <v>0</v>
      </c>
      <c r="H2571" t="str">
        <f>MID(Table132[[#This Row],[ÉTAT]],VALUE(RIGHT(Table132[[#This Row],[next move]],1))+1+VALUE(LEFT(Table132[[#This Row],[next move]],1))*3,1)</f>
        <v>V</v>
      </c>
      <c r="I2571" t="str">
        <f>Table132[[#This Row],[ÉTAT]]&amp;Table132[[#This Row],[next move]]</f>
        <v>VEVMVVEVV21</v>
      </c>
    </row>
    <row r="2572" spans="2:9" x14ac:dyDescent="0.25">
      <c r="B2572" t="s">
        <v>908</v>
      </c>
      <c r="C2572" s="22" t="s">
        <v>31</v>
      </c>
      <c r="D2572">
        <v>3</v>
      </c>
      <c r="E2572">
        <v>1</v>
      </c>
      <c r="G2572" s="30">
        <f>Table132[[#This Row],[nb win]]/Table132[[#This Row],[nb play]]</f>
        <v>0.33333333333333331</v>
      </c>
      <c r="H2572" t="str">
        <f>MID(Table132[[#This Row],[ÉTAT]],VALUE(RIGHT(Table132[[#This Row],[next move]],1))+1+VALUE(LEFT(Table132[[#This Row],[next move]],1))*3,1)</f>
        <v>V</v>
      </c>
      <c r="I2572" t="str">
        <f>Table132[[#This Row],[ÉTAT]]&amp;Table132[[#This Row],[next move]]</f>
        <v>VEVMVVEVV22</v>
      </c>
    </row>
    <row r="2573" spans="2:9" x14ac:dyDescent="0.25">
      <c r="B2573" t="s">
        <v>2340</v>
      </c>
      <c r="C2573" s="22" t="s">
        <v>24</v>
      </c>
      <c r="D2573">
        <v>3</v>
      </c>
      <c r="E2573">
        <v>2</v>
      </c>
      <c r="G2573" s="31">
        <f>Table132[[#This Row],[nb win]]/Table132[[#This Row],[nb play]]</f>
        <v>0.66666666666666663</v>
      </c>
      <c r="H2573" t="str">
        <f>MID(Table132[[#This Row],[ÉTAT]],VALUE(RIGHT(Table132[[#This Row],[next move]],1))+1+VALUE(LEFT(Table132[[#This Row],[next move]],1))*3,1)</f>
        <v>V</v>
      </c>
      <c r="I2573" t="str">
        <f>Table132[[#This Row],[ÉTAT]]&amp;Table132[[#This Row],[next move]]</f>
        <v>VEVMVVEVM00</v>
      </c>
    </row>
    <row r="2574" spans="2:9" x14ac:dyDescent="0.25">
      <c r="B2574" t="s">
        <v>2340</v>
      </c>
      <c r="C2574" s="22" t="s">
        <v>22</v>
      </c>
      <c r="D2574">
        <v>2</v>
      </c>
      <c r="E2574">
        <v>2</v>
      </c>
      <c r="G2574" s="25">
        <f>Table132[[#This Row],[nb win]]/Table132[[#This Row],[nb play]]</f>
        <v>1</v>
      </c>
      <c r="H2574" t="str">
        <f>MID(Table132[[#This Row],[ÉTAT]],VALUE(RIGHT(Table132[[#This Row],[next move]],1))+1+VALUE(LEFT(Table132[[#This Row],[next move]],1))*3,1)</f>
        <v>V</v>
      </c>
      <c r="I2574" t="str">
        <f>Table132[[#This Row],[ÉTAT]]&amp;Table132[[#This Row],[next move]]</f>
        <v>VEVMVVEVM21</v>
      </c>
    </row>
    <row r="2575" spans="2:9" x14ac:dyDescent="0.25">
      <c r="B2575" t="s">
        <v>3266</v>
      </c>
      <c r="C2575" s="22" t="s">
        <v>24</v>
      </c>
      <c r="D2575">
        <v>1</v>
      </c>
      <c r="G2575" s="30">
        <f>Table132[[#This Row],[nb win]]/Table132[[#This Row],[nb play]]</f>
        <v>0</v>
      </c>
      <c r="H2575" t="str">
        <f>MID(Table132[[#This Row],[ÉTAT]],VALUE(RIGHT(Table132[[#This Row],[next move]],1))+1+VALUE(LEFT(Table132[[#This Row],[next move]],1))*3,1)</f>
        <v>V</v>
      </c>
      <c r="I2575" t="str">
        <f>Table132[[#This Row],[ÉTAT]]&amp;Table132[[#This Row],[next move]]</f>
        <v>VEVMVVEME00</v>
      </c>
    </row>
    <row r="2576" spans="2:9" x14ac:dyDescent="0.25">
      <c r="B2576" t="s">
        <v>3266</v>
      </c>
      <c r="C2576" s="22" t="s">
        <v>29</v>
      </c>
      <c r="D2576">
        <v>1</v>
      </c>
      <c r="G2576" s="30">
        <f>Table132[[#This Row],[nb win]]/Table132[[#This Row],[nb play]]</f>
        <v>0</v>
      </c>
      <c r="H2576" t="str">
        <f>MID(Table132[[#This Row],[ÉTAT]],VALUE(RIGHT(Table132[[#This Row],[next move]],1))+1+VALUE(LEFT(Table132[[#This Row],[next move]],1))*3,1)</f>
        <v>V</v>
      </c>
      <c r="I2576" t="str">
        <f>Table132[[#This Row],[ÉTAT]]&amp;Table132[[#This Row],[next move]]</f>
        <v>VEVMVVEME11</v>
      </c>
    </row>
    <row r="2577" spans="2:9" x14ac:dyDescent="0.25">
      <c r="B2577" t="s">
        <v>3266</v>
      </c>
      <c r="C2577" s="22" t="s">
        <v>28</v>
      </c>
      <c r="D2577">
        <v>1</v>
      </c>
      <c r="G2577" s="30">
        <f>Table132[[#This Row],[nb win]]/Table132[[#This Row],[nb play]]</f>
        <v>0</v>
      </c>
      <c r="H2577" t="str">
        <f>MID(Table132[[#This Row],[ÉTAT]],VALUE(RIGHT(Table132[[#This Row],[next move]],1))+1+VALUE(LEFT(Table132[[#This Row],[next move]],1))*3,1)</f>
        <v>V</v>
      </c>
      <c r="I2577" t="str">
        <f>Table132[[#This Row],[ÉTAT]]&amp;Table132[[#This Row],[next move]]</f>
        <v>VEVMVVEME12</v>
      </c>
    </row>
    <row r="2578" spans="2:9" x14ac:dyDescent="0.25">
      <c r="B2578" t="s">
        <v>2346</v>
      </c>
      <c r="C2578" s="22" t="s">
        <v>20</v>
      </c>
      <c r="D2578">
        <v>2</v>
      </c>
      <c r="E2578">
        <v>1</v>
      </c>
      <c r="G2578" s="30">
        <f>Table132[[#This Row],[nb win]]/Table132[[#This Row],[nb play]]</f>
        <v>0.5</v>
      </c>
      <c r="H2578" t="str">
        <f>MID(Table132[[#This Row],[ÉTAT]],VALUE(RIGHT(Table132[[#This Row],[next move]],1))+1+VALUE(LEFT(Table132[[#This Row],[next move]],1))*3,1)</f>
        <v>V</v>
      </c>
      <c r="I2578" t="str">
        <f>Table132[[#This Row],[ÉTAT]]&amp;Table132[[#This Row],[next move]]</f>
        <v>VEVMVVEEM02</v>
      </c>
    </row>
    <row r="2579" spans="2:9" x14ac:dyDescent="0.25">
      <c r="B2579" t="s">
        <v>2346</v>
      </c>
      <c r="C2579" s="22" t="s">
        <v>28</v>
      </c>
      <c r="D2579">
        <v>1</v>
      </c>
      <c r="G2579" s="30">
        <f>Table132[[#This Row],[nb win]]/Table132[[#This Row],[nb play]]</f>
        <v>0</v>
      </c>
      <c r="H2579" t="str">
        <f>MID(Table132[[#This Row],[ÉTAT]],VALUE(RIGHT(Table132[[#This Row],[next move]],1))+1+VALUE(LEFT(Table132[[#This Row],[next move]],1))*3,1)</f>
        <v>V</v>
      </c>
      <c r="I2579" t="str">
        <f>Table132[[#This Row],[ÉTAT]]&amp;Table132[[#This Row],[next move]]</f>
        <v>VEVMVVEEM12</v>
      </c>
    </row>
    <row r="2580" spans="2:9" x14ac:dyDescent="0.25">
      <c r="B2580" t="s">
        <v>3433</v>
      </c>
      <c r="C2580" s="22" t="s">
        <v>35</v>
      </c>
      <c r="D2580">
        <v>1</v>
      </c>
      <c r="E2580">
        <v>1</v>
      </c>
      <c r="G2580" s="31">
        <f>Table132[[#This Row],[nb win]]/Table132[[#This Row],[nb play]]</f>
        <v>1</v>
      </c>
      <c r="H2580" t="str">
        <f>MID(Table132[[#This Row],[ÉTAT]],VALUE(RIGHT(Table132[[#This Row],[next move]],1))+1+VALUE(LEFT(Table132[[#This Row],[next move]],1))*3,1)</f>
        <v>V</v>
      </c>
      <c r="I2580" t="str">
        <f>Table132[[#This Row],[ÉTAT]]&amp;Table132[[#This Row],[next move]]</f>
        <v>VEVMVMVVE20</v>
      </c>
    </row>
    <row r="2581" spans="2:9" x14ac:dyDescent="0.25">
      <c r="B2581" t="s">
        <v>2605</v>
      </c>
      <c r="C2581" s="22" t="s">
        <v>24</v>
      </c>
      <c r="D2581">
        <v>4</v>
      </c>
      <c r="E2581">
        <v>3</v>
      </c>
      <c r="G2581" s="30">
        <f>Table132[[#This Row],[nb win]]/Table132[[#This Row],[nb play]]</f>
        <v>0.75</v>
      </c>
      <c r="H2581" t="str">
        <f>MID(Table132[[#This Row],[ÉTAT]],VALUE(RIGHT(Table132[[#This Row],[next move]],1))+1+VALUE(LEFT(Table132[[#This Row],[next move]],1))*3,1)</f>
        <v>V</v>
      </c>
      <c r="I2581" t="str">
        <f>Table132[[#This Row],[ÉTAT]]&amp;Table132[[#This Row],[next move]]</f>
        <v>VEVMVMVEV00</v>
      </c>
    </row>
    <row r="2582" spans="2:9" x14ac:dyDescent="0.25">
      <c r="B2582" t="s">
        <v>2605</v>
      </c>
      <c r="C2582" s="22" t="s">
        <v>31</v>
      </c>
      <c r="D2582">
        <v>6</v>
      </c>
      <c r="E2582">
        <v>3</v>
      </c>
      <c r="G2582" s="31">
        <f>Table132[[#This Row],[nb win]]/Table132[[#This Row],[nb play]]</f>
        <v>0.5</v>
      </c>
      <c r="H2582" t="str">
        <f>MID(Table132[[#This Row],[ÉTAT]],VALUE(RIGHT(Table132[[#This Row],[next move]],1))+1+VALUE(LEFT(Table132[[#This Row],[next move]],1))*3,1)</f>
        <v>V</v>
      </c>
      <c r="I2582" t="str">
        <f>Table132[[#This Row],[ÉTAT]]&amp;Table132[[#This Row],[next move]]</f>
        <v>VEVMVMVEV22</v>
      </c>
    </row>
    <row r="2583" spans="2:9" x14ac:dyDescent="0.25">
      <c r="B2583" t="s">
        <v>655</v>
      </c>
      <c r="C2583" s="22" t="s">
        <v>24</v>
      </c>
      <c r="D2583">
        <v>3</v>
      </c>
      <c r="G2583" s="25">
        <f>Table132[[#This Row],[nb win]]/Table132[[#This Row],[nb play]]</f>
        <v>0</v>
      </c>
      <c r="H2583" t="str">
        <f>MID(Table132[[#This Row],[ÉTAT]],VALUE(RIGHT(Table132[[#This Row],[next move]],1))+1+VALUE(LEFT(Table132[[#This Row],[next move]],1))*3,1)</f>
        <v>V</v>
      </c>
      <c r="I2583" t="str">
        <f>Table132[[#This Row],[ÉTAT]]&amp;Table132[[#This Row],[next move]]</f>
        <v>VEVMVMVEE00</v>
      </c>
    </row>
    <row r="2584" spans="2:9" x14ac:dyDescent="0.25">
      <c r="B2584" t="s">
        <v>655</v>
      </c>
      <c r="C2584" s="22" t="s">
        <v>29</v>
      </c>
      <c r="D2584">
        <v>5</v>
      </c>
      <c r="E2584">
        <v>5</v>
      </c>
      <c r="G2584" s="31">
        <f>Table132[[#This Row],[nb win]]/Table132[[#This Row],[nb play]]</f>
        <v>1</v>
      </c>
      <c r="H2584" t="str">
        <f>MID(Table132[[#This Row],[ÉTAT]],VALUE(RIGHT(Table132[[#This Row],[next move]],1))+1+VALUE(LEFT(Table132[[#This Row],[next move]],1))*3,1)</f>
        <v>V</v>
      </c>
      <c r="I2584" t="str">
        <f>Table132[[#This Row],[ÉTAT]]&amp;Table132[[#This Row],[next move]]</f>
        <v>VEVMVMVEE11</v>
      </c>
    </row>
    <row r="2585" spans="2:9" x14ac:dyDescent="0.25">
      <c r="B2585" t="s">
        <v>2869</v>
      </c>
      <c r="C2585" s="22" t="s">
        <v>24</v>
      </c>
      <c r="D2585">
        <v>3</v>
      </c>
      <c r="E2585">
        <v>3</v>
      </c>
      <c r="G2585" s="31">
        <f>Table132[[#This Row],[nb win]]/Table132[[#This Row],[nb play]]</f>
        <v>1</v>
      </c>
      <c r="H2585" t="str">
        <f>MID(Table132[[#This Row],[ÉTAT]],VALUE(RIGHT(Table132[[#This Row],[next move]],1))+1+VALUE(LEFT(Table132[[#This Row],[next move]],1))*3,1)</f>
        <v>V</v>
      </c>
      <c r="I2585" t="str">
        <f>Table132[[#This Row],[ÉTAT]]&amp;Table132[[#This Row],[next move]]</f>
        <v>VEVMVMMEE00</v>
      </c>
    </row>
    <row r="2586" spans="2:9" x14ac:dyDescent="0.25">
      <c r="B2586" t="s">
        <v>2216</v>
      </c>
      <c r="C2586" s="22" t="s">
        <v>24</v>
      </c>
      <c r="D2586">
        <v>2</v>
      </c>
      <c r="G2586" s="30">
        <f>Table132[[#This Row],[nb win]]/Table132[[#This Row],[nb play]]</f>
        <v>0</v>
      </c>
      <c r="H2586" t="str">
        <f>MID(Table132[[#This Row],[ÉTAT]],VALUE(RIGHT(Table132[[#This Row],[next move]],1))+1+VALUE(LEFT(Table132[[#This Row],[next move]],1))*3,1)</f>
        <v>V</v>
      </c>
      <c r="I2586" t="str">
        <f>Table132[[#This Row],[ÉTAT]]&amp;Table132[[#This Row],[next move]]</f>
        <v>VEVMVMEVV00</v>
      </c>
    </row>
    <row r="2587" spans="2:9" x14ac:dyDescent="0.25">
      <c r="B2587" t="s">
        <v>2216</v>
      </c>
      <c r="C2587" s="22" t="s">
        <v>20</v>
      </c>
      <c r="D2587">
        <v>2</v>
      </c>
      <c r="E2587">
        <v>2</v>
      </c>
      <c r="G2587" s="31">
        <f>Table132[[#This Row],[nb win]]/Table132[[#This Row],[nb play]]</f>
        <v>1</v>
      </c>
      <c r="H2587" t="str">
        <f>MID(Table132[[#This Row],[ÉTAT]],VALUE(RIGHT(Table132[[#This Row],[next move]],1))+1+VALUE(LEFT(Table132[[#This Row],[next move]],1))*3,1)</f>
        <v>V</v>
      </c>
      <c r="I2587" t="str">
        <f>Table132[[#This Row],[ÉTAT]]&amp;Table132[[#This Row],[next move]]</f>
        <v>VEVMVMEVV02</v>
      </c>
    </row>
    <row r="2588" spans="2:9" x14ac:dyDescent="0.25">
      <c r="B2588" t="s">
        <v>3379</v>
      </c>
      <c r="C2588" s="22" t="s">
        <v>29</v>
      </c>
      <c r="D2588">
        <v>1</v>
      </c>
      <c r="E2588">
        <v>1</v>
      </c>
      <c r="G2588" s="31">
        <f>Table132[[#This Row],[nb win]]/Table132[[#This Row],[nb play]]</f>
        <v>1</v>
      </c>
      <c r="H2588" t="str">
        <f>MID(Table132[[#This Row],[ÉTAT]],VALUE(RIGHT(Table132[[#This Row],[next move]],1))+1+VALUE(LEFT(Table132[[#This Row],[next move]],1))*3,1)</f>
        <v>V</v>
      </c>
      <c r="I2588" t="str">
        <f>Table132[[#This Row],[ÉTAT]]&amp;Table132[[#This Row],[next move]]</f>
        <v>VEVMVMEVE11</v>
      </c>
    </row>
    <row r="2589" spans="2:9" x14ac:dyDescent="0.25">
      <c r="B2589" t="s">
        <v>874</v>
      </c>
      <c r="C2589" s="22" t="s">
        <v>24</v>
      </c>
      <c r="D2589">
        <v>2</v>
      </c>
      <c r="G2589" s="25">
        <f>Table132[[#This Row],[nb win]]/Table132[[#This Row],[nb play]]</f>
        <v>0</v>
      </c>
      <c r="H2589" t="str">
        <f>MID(Table132[[#This Row],[ÉTAT]],VALUE(RIGHT(Table132[[#This Row],[next move]],1))+1+VALUE(LEFT(Table132[[#This Row],[next move]],1))*3,1)</f>
        <v>V</v>
      </c>
      <c r="I2589" t="str">
        <f>Table132[[#This Row],[ÉTAT]]&amp;Table132[[#This Row],[next move]]</f>
        <v>VEVMVMEEV00</v>
      </c>
    </row>
    <row r="2590" spans="2:9" x14ac:dyDescent="0.25">
      <c r="B2590" t="s">
        <v>874</v>
      </c>
      <c r="C2590" s="22" t="s">
        <v>20</v>
      </c>
      <c r="D2590">
        <v>3</v>
      </c>
      <c r="E2590">
        <v>3</v>
      </c>
      <c r="G2590" s="31">
        <f>Table132[[#This Row],[nb win]]/Table132[[#This Row],[nb play]]</f>
        <v>1</v>
      </c>
      <c r="H2590" t="str">
        <f>MID(Table132[[#This Row],[ÉTAT]],VALUE(RIGHT(Table132[[#This Row],[next move]],1))+1+VALUE(LEFT(Table132[[#This Row],[next move]],1))*3,1)</f>
        <v>V</v>
      </c>
      <c r="I2590" t="str">
        <f>Table132[[#This Row],[ÉTAT]]&amp;Table132[[#This Row],[next move]]</f>
        <v>VEVMVMEEV02</v>
      </c>
    </row>
    <row r="2591" spans="2:9" x14ac:dyDescent="0.25">
      <c r="B2591" t="s">
        <v>874</v>
      </c>
      <c r="C2591" s="22" t="s">
        <v>31</v>
      </c>
      <c r="D2591">
        <v>2</v>
      </c>
      <c r="G2591" s="30">
        <f>Table132[[#This Row],[nb win]]/Table132[[#This Row],[nb play]]</f>
        <v>0</v>
      </c>
      <c r="H2591" t="str">
        <f>MID(Table132[[#This Row],[ÉTAT]],VALUE(RIGHT(Table132[[#This Row],[next move]],1))+1+VALUE(LEFT(Table132[[#This Row],[next move]],1))*3,1)</f>
        <v>V</v>
      </c>
      <c r="I2591" t="str">
        <f>Table132[[#This Row],[ÉTAT]]&amp;Table132[[#This Row],[next move]]</f>
        <v>VEVMVMEEV22</v>
      </c>
    </row>
    <row r="2592" spans="2:9" x14ac:dyDescent="0.25">
      <c r="B2592" t="s">
        <v>3444</v>
      </c>
      <c r="C2592" s="22" t="s">
        <v>20</v>
      </c>
      <c r="D2592">
        <v>1</v>
      </c>
      <c r="E2592">
        <v>1</v>
      </c>
      <c r="G2592" s="31">
        <f>Table132[[#This Row],[nb win]]/Table132[[#This Row],[nb play]]</f>
        <v>1</v>
      </c>
      <c r="H2592" t="str">
        <f>MID(Table132[[#This Row],[ÉTAT]],VALUE(RIGHT(Table132[[#This Row],[next move]],1))+1+VALUE(LEFT(Table132[[#This Row],[next move]],1))*3,1)</f>
        <v>V</v>
      </c>
      <c r="I2592" t="str">
        <f>Table132[[#This Row],[ÉTAT]]&amp;Table132[[#This Row],[next move]]</f>
        <v>VEVMVMEEM02</v>
      </c>
    </row>
    <row r="2593" spans="2:9" x14ac:dyDescent="0.25">
      <c r="B2593" t="s">
        <v>950</v>
      </c>
      <c r="C2593" s="22" t="s">
        <v>24</v>
      </c>
      <c r="D2593">
        <v>3</v>
      </c>
      <c r="E2593">
        <v>3</v>
      </c>
      <c r="G2593" s="31">
        <f>Table132[[#This Row],[nb win]]/Table132[[#This Row],[nb play]]</f>
        <v>1</v>
      </c>
      <c r="H2593" t="str">
        <f>MID(Table132[[#This Row],[ÉTAT]],VALUE(RIGHT(Table132[[#This Row],[next move]],1))+1+VALUE(LEFT(Table132[[#This Row],[next move]],1))*3,1)</f>
        <v>V</v>
      </c>
      <c r="I2593" t="str">
        <f>Table132[[#This Row],[ÉTAT]]&amp;Table132[[#This Row],[next move]]</f>
        <v>VEVMVEVVV00</v>
      </c>
    </row>
    <row r="2594" spans="2:9" x14ac:dyDescent="0.25">
      <c r="B2594" t="s">
        <v>950</v>
      </c>
      <c r="C2594" s="22" t="s">
        <v>29</v>
      </c>
      <c r="D2594">
        <v>3</v>
      </c>
      <c r="E2594">
        <v>1</v>
      </c>
      <c r="G2594" s="30">
        <f>Table132[[#This Row],[nb win]]/Table132[[#This Row],[nb play]]</f>
        <v>0.33333333333333331</v>
      </c>
      <c r="H2594" t="str">
        <f>MID(Table132[[#This Row],[ÉTAT]],VALUE(RIGHT(Table132[[#This Row],[next move]],1))+1+VALUE(LEFT(Table132[[#This Row],[next move]],1))*3,1)</f>
        <v>V</v>
      </c>
      <c r="I2594" t="str">
        <f>Table132[[#This Row],[ÉTAT]]&amp;Table132[[#This Row],[next move]]</f>
        <v>VEVMVEVVV11</v>
      </c>
    </row>
    <row r="2595" spans="2:9" x14ac:dyDescent="0.25">
      <c r="B2595" t="s">
        <v>950</v>
      </c>
      <c r="C2595" s="22" t="s">
        <v>35</v>
      </c>
      <c r="D2595">
        <v>4</v>
      </c>
      <c r="E2595">
        <v>2</v>
      </c>
      <c r="G2595" s="30">
        <f>Table132[[#This Row],[nb win]]/Table132[[#This Row],[nb play]]</f>
        <v>0.5</v>
      </c>
      <c r="H2595" t="str">
        <f>MID(Table132[[#This Row],[ÉTAT]],VALUE(RIGHT(Table132[[#This Row],[next move]],1))+1+VALUE(LEFT(Table132[[#This Row],[next move]],1))*3,1)</f>
        <v>V</v>
      </c>
      <c r="I2595" t="str">
        <f>Table132[[#This Row],[ÉTAT]]&amp;Table132[[#This Row],[next move]]</f>
        <v>VEVMVEVVV20</v>
      </c>
    </row>
    <row r="2596" spans="2:9" x14ac:dyDescent="0.25">
      <c r="B2596" t="s">
        <v>2038</v>
      </c>
      <c r="C2596" s="22" t="s">
        <v>24</v>
      </c>
      <c r="D2596">
        <v>1</v>
      </c>
      <c r="G2596" s="30">
        <f>Table132[[#This Row],[nb win]]/Table132[[#This Row],[nb play]]</f>
        <v>0</v>
      </c>
      <c r="H2596" t="str">
        <f>MID(Table132[[#This Row],[ÉTAT]],VALUE(RIGHT(Table132[[#This Row],[next move]],1))+1+VALUE(LEFT(Table132[[#This Row],[next move]],1))*3,1)</f>
        <v>V</v>
      </c>
      <c r="I2596" t="str">
        <f>Table132[[#This Row],[ÉTAT]]&amp;Table132[[#This Row],[next move]]</f>
        <v>VEVMVEVVM00</v>
      </c>
    </row>
    <row r="2597" spans="2:9" x14ac:dyDescent="0.25">
      <c r="B2597" t="s">
        <v>2038</v>
      </c>
      <c r="C2597" s="22" t="s">
        <v>29</v>
      </c>
      <c r="D2597">
        <v>7</v>
      </c>
      <c r="E2597">
        <v>6</v>
      </c>
      <c r="G2597" s="30">
        <f>Table132[[#This Row],[nb win]]/Table132[[#This Row],[nb play]]</f>
        <v>0.8571428571428571</v>
      </c>
      <c r="H2597" t="str">
        <f>MID(Table132[[#This Row],[ÉTAT]],VALUE(RIGHT(Table132[[#This Row],[next move]],1))+1+VALUE(LEFT(Table132[[#This Row],[next move]],1))*3,1)</f>
        <v>V</v>
      </c>
      <c r="I2597" t="str">
        <f>Table132[[#This Row],[ÉTAT]]&amp;Table132[[#This Row],[next move]]</f>
        <v>VEVMVEVVM11</v>
      </c>
    </row>
    <row r="2598" spans="2:9" x14ac:dyDescent="0.25">
      <c r="B2598" t="s">
        <v>3041</v>
      </c>
      <c r="C2598" s="22" t="s">
        <v>29</v>
      </c>
      <c r="D2598">
        <v>1</v>
      </c>
      <c r="E2598">
        <v>1</v>
      </c>
      <c r="G2598" s="31">
        <f>Table132[[#This Row],[nb win]]/Table132[[#This Row],[nb play]]</f>
        <v>1</v>
      </c>
      <c r="H2598" t="str">
        <f>MID(Table132[[#This Row],[ÉTAT]],VALUE(RIGHT(Table132[[#This Row],[next move]],1))+1+VALUE(LEFT(Table132[[#This Row],[next move]],1))*3,1)</f>
        <v>V</v>
      </c>
      <c r="I2598" t="str">
        <f>Table132[[#This Row],[ÉTAT]]&amp;Table132[[#This Row],[next move]]</f>
        <v>VEVMVEVMV11</v>
      </c>
    </row>
    <row r="2599" spans="2:9" x14ac:dyDescent="0.25">
      <c r="B2599" t="s">
        <v>3257</v>
      </c>
      <c r="C2599" s="22" t="s">
        <v>35</v>
      </c>
      <c r="D2599">
        <v>1</v>
      </c>
      <c r="G2599" s="30">
        <f>Table132[[#This Row],[nb win]]/Table132[[#This Row],[nb play]]</f>
        <v>0</v>
      </c>
      <c r="H2599" t="str">
        <f>MID(Table132[[#This Row],[ÉTAT]],VALUE(RIGHT(Table132[[#This Row],[next move]],1))+1+VALUE(LEFT(Table132[[#This Row],[next move]],1))*3,1)</f>
        <v>V</v>
      </c>
      <c r="I2599" t="str">
        <f>Table132[[#This Row],[ÉTAT]]&amp;Table132[[#This Row],[next move]]</f>
        <v>VEVMVEVME20</v>
      </c>
    </row>
    <row r="2600" spans="2:9" x14ac:dyDescent="0.25">
      <c r="B2600" t="s">
        <v>763</v>
      </c>
      <c r="C2600" s="22" t="s">
        <v>24</v>
      </c>
      <c r="D2600">
        <v>1</v>
      </c>
      <c r="G2600" s="30">
        <f>Table132[[#This Row],[nb win]]/Table132[[#This Row],[nb play]]</f>
        <v>0</v>
      </c>
      <c r="H2600" t="str">
        <f>MID(Table132[[#This Row],[ÉTAT]],VALUE(RIGHT(Table132[[#This Row],[next move]],1))+1+VALUE(LEFT(Table132[[#This Row],[next move]],1))*3,1)</f>
        <v>V</v>
      </c>
      <c r="I2600" t="str">
        <f>Table132[[#This Row],[ÉTAT]]&amp;Table132[[#This Row],[next move]]</f>
        <v>VEVMVEVEM00</v>
      </c>
    </row>
    <row r="2601" spans="2:9" x14ac:dyDescent="0.25">
      <c r="B2601" t="s">
        <v>763</v>
      </c>
      <c r="C2601" s="22" t="s">
        <v>35</v>
      </c>
      <c r="D2601">
        <v>2</v>
      </c>
      <c r="E2601">
        <v>1</v>
      </c>
      <c r="G2601" s="30">
        <f>Table132[[#This Row],[nb win]]/Table132[[#This Row],[nb play]]</f>
        <v>0.5</v>
      </c>
      <c r="H2601" t="str">
        <f>MID(Table132[[#This Row],[ÉTAT]],VALUE(RIGHT(Table132[[#This Row],[next move]],1))+1+VALUE(LEFT(Table132[[#This Row],[next move]],1))*3,1)</f>
        <v>V</v>
      </c>
      <c r="I2601" t="str">
        <f>Table132[[#This Row],[ÉTAT]]&amp;Table132[[#This Row],[next move]]</f>
        <v>VEVMVEVEM20</v>
      </c>
    </row>
    <row r="2602" spans="2:9" x14ac:dyDescent="0.25">
      <c r="B2602" t="s">
        <v>2081</v>
      </c>
      <c r="C2602" s="22" t="s">
        <v>20</v>
      </c>
      <c r="D2602">
        <v>8</v>
      </c>
      <c r="E2602">
        <v>8</v>
      </c>
      <c r="G2602" s="31">
        <f>Table132[[#This Row],[nb win]]/Table132[[#This Row],[nb play]]</f>
        <v>1</v>
      </c>
      <c r="H2602" t="str">
        <f>MID(Table132[[#This Row],[ÉTAT]],VALUE(RIGHT(Table132[[#This Row],[next move]],1))+1+VALUE(LEFT(Table132[[#This Row],[next move]],1))*3,1)</f>
        <v>V</v>
      </c>
      <c r="I2602" t="str">
        <f>Table132[[#This Row],[ÉTAT]]&amp;Table132[[#This Row],[next move]]</f>
        <v>VEVMVEMVV02</v>
      </c>
    </row>
    <row r="2603" spans="2:9" x14ac:dyDescent="0.25">
      <c r="B2603" t="s">
        <v>2121</v>
      </c>
      <c r="C2603" s="22" t="s">
        <v>20</v>
      </c>
      <c r="D2603">
        <v>4</v>
      </c>
      <c r="E2603">
        <v>4</v>
      </c>
      <c r="G2603" s="31">
        <f>Table132[[#This Row],[nb win]]/Table132[[#This Row],[nb play]]</f>
        <v>1</v>
      </c>
      <c r="H2603" t="str">
        <f>MID(Table132[[#This Row],[ÉTAT]],VALUE(RIGHT(Table132[[#This Row],[next move]],1))+1+VALUE(LEFT(Table132[[#This Row],[next move]],1))*3,1)</f>
        <v>V</v>
      </c>
      <c r="I2603" t="str">
        <f>Table132[[#This Row],[ÉTAT]]&amp;Table132[[#This Row],[next move]]</f>
        <v>VEVMVEMVE02</v>
      </c>
    </row>
    <row r="2604" spans="2:9" x14ac:dyDescent="0.25">
      <c r="B2604" t="s">
        <v>1547</v>
      </c>
      <c r="C2604" s="22" t="s">
        <v>20</v>
      </c>
      <c r="D2604">
        <v>2</v>
      </c>
      <c r="E2604">
        <v>2</v>
      </c>
      <c r="G2604" s="31">
        <f>Table132[[#This Row],[nb win]]/Table132[[#This Row],[nb play]]</f>
        <v>1</v>
      </c>
      <c r="H2604" t="str">
        <f>MID(Table132[[#This Row],[ÉTAT]],VALUE(RIGHT(Table132[[#This Row],[next move]],1))+1+VALUE(LEFT(Table132[[#This Row],[next move]],1))*3,1)</f>
        <v>V</v>
      </c>
      <c r="I2604" t="str">
        <f>Table132[[#This Row],[ÉTAT]]&amp;Table132[[#This Row],[next move]]</f>
        <v>VEVMVEMME02</v>
      </c>
    </row>
    <row r="2605" spans="2:9" x14ac:dyDescent="0.25">
      <c r="B2605" t="s">
        <v>1547</v>
      </c>
      <c r="C2605" s="22" t="s">
        <v>29</v>
      </c>
      <c r="D2605">
        <v>1</v>
      </c>
      <c r="G2605" s="25">
        <f>Table132[[#This Row],[nb win]]/Table132[[#This Row],[nb play]]</f>
        <v>0</v>
      </c>
      <c r="H2605" t="str">
        <f>MID(Table132[[#This Row],[ÉTAT]],VALUE(RIGHT(Table132[[#This Row],[next move]],1))+1+VALUE(LEFT(Table132[[#This Row],[next move]],1))*3,1)</f>
        <v>V</v>
      </c>
      <c r="I2605" t="str">
        <f>Table132[[#This Row],[ÉTAT]]&amp;Table132[[#This Row],[next move]]</f>
        <v>VEVMVEMME11</v>
      </c>
    </row>
    <row r="2606" spans="2:9" x14ac:dyDescent="0.25">
      <c r="B2606" t="s">
        <v>739</v>
      </c>
      <c r="C2606" s="22" t="s">
        <v>29</v>
      </c>
      <c r="D2606">
        <v>1</v>
      </c>
      <c r="E2606">
        <v>1</v>
      </c>
      <c r="G2606" s="25">
        <f>Table132[[#This Row],[nb win]]/Table132[[#This Row],[nb play]]</f>
        <v>1</v>
      </c>
      <c r="H2606" t="str">
        <f>MID(Table132[[#This Row],[ÉTAT]],VALUE(RIGHT(Table132[[#This Row],[next move]],1))+1+VALUE(LEFT(Table132[[#This Row],[next move]],1))*3,1)</f>
        <v>V</v>
      </c>
      <c r="I2606" t="str">
        <f>Table132[[#This Row],[ÉTAT]]&amp;Table132[[#This Row],[next move]]</f>
        <v>VEVMVEMEV11</v>
      </c>
    </row>
    <row r="2607" spans="2:9" x14ac:dyDescent="0.25">
      <c r="B2607" t="s">
        <v>739</v>
      </c>
      <c r="C2607" s="22" t="s">
        <v>31</v>
      </c>
      <c r="D2607">
        <v>4</v>
      </c>
      <c r="E2607">
        <v>1</v>
      </c>
      <c r="G2607" s="31">
        <f>Table132[[#This Row],[nb win]]/Table132[[#This Row],[nb play]]</f>
        <v>0.25</v>
      </c>
      <c r="H2607" t="str">
        <f>MID(Table132[[#This Row],[ÉTAT]],VALUE(RIGHT(Table132[[#This Row],[next move]],1))+1+VALUE(LEFT(Table132[[#This Row],[next move]],1))*3,1)</f>
        <v>V</v>
      </c>
      <c r="I2607" t="str">
        <f>Table132[[#This Row],[ÉTAT]]&amp;Table132[[#This Row],[next move]]</f>
        <v>VEVMVEMEV22</v>
      </c>
    </row>
    <row r="2608" spans="2:9" x14ac:dyDescent="0.25">
      <c r="B2608" t="s">
        <v>2268</v>
      </c>
      <c r="C2608" s="22" t="s">
        <v>24</v>
      </c>
      <c r="D2608">
        <v>1</v>
      </c>
      <c r="E2608">
        <v>1</v>
      </c>
      <c r="G2608" s="25">
        <f>Table132[[#This Row],[nb win]]/Table132[[#This Row],[nb play]]</f>
        <v>1</v>
      </c>
      <c r="H2608" t="str">
        <f>MID(Table132[[#This Row],[ÉTAT]],VALUE(RIGHT(Table132[[#This Row],[next move]],1))+1+VALUE(LEFT(Table132[[#This Row],[next move]],1))*3,1)</f>
        <v>V</v>
      </c>
      <c r="I2608" t="str">
        <f>Table132[[#This Row],[ÉTAT]]&amp;Table132[[#This Row],[next move]]</f>
        <v>VEVMVEMEM00</v>
      </c>
    </row>
    <row r="2609" spans="2:9" x14ac:dyDescent="0.25">
      <c r="B2609" t="s">
        <v>2268</v>
      </c>
      <c r="C2609" s="22" t="s">
        <v>20</v>
      </c>
      <c r="D2609">
        <v>2</v>
      </c>
      <c r="G2609" s="25">
        <f>Table132[[#This Row],[nb win]]/Table132[[#This Row],[nb play]]</f>
        <v>0</v>
      </c>
      <c r="H2609" t="str">
        <f>MID(Table132[[#This Row],[ÉTAT]],VALUE(RIGHT(Table132[[#This Row],[next move]],1))+1+VALUE(LEFT(Table132[[#This Row],[next move]],1))*3,1)</f>
        <v>V</v>
      </c>
      <c r="I2609" t="str">
        <f>Table132[[#This Row],[ÉTAT]]&amp;Table132[[#This Row],[next move]]</f>
        <v>VEVMVEMEM02</v>
      </c>
    </row>
    <row r="2610" spans="2:9" x14ac:dyDescent="0.25">
      <c r="B2610" t="s">
        <v>2221</v>
      </c>
      <c r="C2610" s="22" t="s">
        <v>24</v>
      </c>
      <c r="D2610">
        <v>1</v>
      </c>
      <c r="G2610" s="30">
        <f>Table132[[#This Row],[nb win]]/Table132[[#This Row],[nb play]]</f>
        <v>0</v>
      </c>
      <c r="H2610" t="str">
        <f>MID(Table132[[#This Row],[ÉTAT]],VALUE(RIGHT(Table132[[#This Row],[next move]],1))+1+VALUE(LEFT(Table132[[#This Row],[next move]],1))*3,1)</f>
        <v>V</v>
      </c>
      <c r="I2610" t="str">
        <f>Table132[[#This Row],[ÉTAT]]&amp;Table132[[#This Row],[next move]]</f>
        <v>VEVMVEEMV00</v>
      </c>
    </row>
    <row r="2611" spans="2:9" x14ac:dyDescent="0.25">
      <c r="B2611" t="s">
        <v>2221</v>
      </c>
      <c r="C2611" s="22" t="s">
        <v>29</v>
      </c>
      <c r="D2611">
        <v>1</v>
      </c>
      <c r="G2611" s="30">
        <f>Table132[[#This Row],[nb win]]/Table132[[#This Row],[nb play]]</f>
        <v>0</v>
      </c>
      <c r="H2611" t="str">
        <f>MID(Table132[[#This Row],[ÉTAT]],VALUE(RIGHT(Table132[[#This Row],[next move]],1))+1+VALUE(LEFT(Table132[[#This Row],[next move]],1))*3,1)</f>
        <v>V</v>
      </c>
      <c r="I2611" t="str">
        <f>Table132[[#This Row],[ÉTAT]]&amp;Table132[[#This Row],[next move]]</f>
        <v>VEVMVEEMV11</v>
      </c>
    </row>
    <row r="2612" spans="2:9" x14ac:dyDescent="0.25">
      <c r="B2612" t="s">
        <v>2221</v>
      </c>
      <c r="C2612" s="22" t="s">
        <v>31</v>
      </c>
      <c r="D2612">
        <v>1</v>
      </c>
      <c r="G2612" s="25">
        <f>Table132[[#This Row],[nb win]]/Table132[[#This Row],[nb play]]</f>
        <v>0</v>
      </c>
      <c r="H2612" t="str">
        <f>MID(Table132[[#This Row],[ÉTAT]],VALUE(RIGHT(Table132[[#This Row],[next move]],1))+1+VALUE(LEFT(Table132[[#This Row],[next move]],1))*3,1)</f>
        <v>V</v>
      </c>
      <c r="I2612" t="str">
        <f>Table132[[#This Row],[ÉTAT]]&amp;Table132[[#This Row],[next move]]</f>
        <v>VEVMVEEMV22</v>
      </c>
    </row>
    <row r="2613" spans="2:9" x14ac:dyDescent="0.25">
      <c r="B2613" t="s">
        <v>2951</v>
      </c>
      <c r="C2613" s="22" t="s">
        <v>24</v>
      </c>
      <c r="D2613">
        <v>1</v>
      </c>
      <c r="E2613">
        <v>1</v>
      </c>
      <c r="G2613" s="25">
        <f>Table132[[#This Row],[nb win]]/Table132[[#This Row],[nb play]]</f>
        <v>1</v>
      </c>
      <c r="H2613" t="str">
        <f>MID(Table132[[#This Row],[ÉTAT]],VALUE(RIGHT(Table132[[#This Row],[next move]],1))+1+VALUE(LEFT(Table132[[#This Row],[next move]],1))*3,1)</f>
        <v>V</v>
      </c>
      <c r="I2613" t="str">
        <f>Table132[[#This Row],[ÉTAT]]&amp;Table132[[#This Row],[next move]]</f>
        <v>VEVMVEEMM00</v>
      </c>
    </row>
    <row r="2614" spans="2:9" x14ac:dyDescent="0.25">
      <c r="B2614" t="s">
        <v>2124</v>
      </c>
      <c r="C2614" s="22" t="s">
        <v>24</v>
      </c>
      <c r="D2614">
        <v>8</v>
      </c>
      <c r="E2614">
        <v>8</v>
      </c>
      <c r="G2614" s="31">
        <f>Table132[[#This Row],[nb win]]/Table132[[#This Row],[nb play]]</f>
        <v>1</v>
      </c>
      <c r="H2614" t="str">
        <f>MID(Table132[[#This Row],[ÉTAT]],VALUE(RIGHT(Table132[[#This Row],[next move]],1))+1+VALUE(LEFT(Table132[[#This Row],[next move]],1))*3,1)</f>
        <v>V</v>
      </c>
      <c r="I2614" t="str">
        <f>Table132[[#This Row],[ÉTAT]]&amp;Table132[[#This Row],[next move]]</f>
        <v>VEVMMVVVE00</v>
      </c>
    </row>
    <row r="2615" spans="2:9" x14ac:dyDescent="0.25">
      <c r="B2615" t="s">
        <v>154</v>
      </c>
      <c r="C2615" s="22" t="s">
        <v>31</v>
      </c>
      <c r="D2615">
        <v>7</v>
      </c>
      <c r="E2615">
        <v>7</v>
      </c>
      <c r="G2615" s="31">
        <f>Table132[[#This Row],[nb win]]/Table132[[#This Row],[nb play]]</f>
        <v>1</v>
      </c>
      <c r="H2615" t="str">
        <f>MID(Table132[[#This Row],[ÉTAT]],VALUE(RIGHT(Table132[[#This Row],[next move]],1))+1+VALUE(LEFT(Table132[[#This Row],[next move]],1))*3,1)</f>
        <v>V</v>
      </c>
      <c r="I2615" t="str">
        <f>Table132[[#This Row],[ÉTAT]]&amp;Table132[[#This Row],[next move]]</f>
        <v>VEVMMVVEV22</v>
      </c>
    </row>
    <row r="2616" spans="2:9" x14ac:dyDescent="0.25">
      <c r="B2616" t="s">
        <v>1607</v>
      </c>
      <c r="C2616" s="22" t="s">
        <v>28</v>
      </c>
      <c r="D2616">
        <v>12</v>
      </c>
      <c r="E2616">
        <v>12</v>
      </c>
      <c r="G2616" s="31">
        <f>Table132[[#This Row],[nb win]]/Table132[[#This Row],[nb play]]</f>
        <v>1</v>
      </c>
      <c r="H2616" t="str">
        <f>MID(Table132[[#This Row],[ÉTAT]],VALUE(RIGHT(Table132[[#This Row],[next move]],1))+1+VALUE(LEFT(Table132[[#This Row],[next move]],1))*3,1)</f>
        <v>V</v>
      </c>
      <c r="I2616" t="str">
        <f>Table132[[#This Row],[ÉTAT]]&amp;Table132[[#This Row],[next move]]</f>
        <v>VEVMMVEVV12</v>
      </c>
    </row>
    <row r="2617" spans="2:9" x14ac:dyDescent="0.25">
      <c r="B2617" t="s">
        <v>1940</v>
      </c>
      <c r="C2617" s="22" t="s">
        <v>20</v>
      </c>
      <c r="D2617">
        <v>1</v>
      </c>
      <c r="G2617" s="25">
        <f>Table132[[#This Row],[nb win]]/Table132[[#This Row],[nb play]]</f>
        <v>0</v>
      </c>
      <c r="H2617" t="str">
        <f>MID(Table132[[#This Row],[ÉTAT]],VALUE(RIGHT(Table132[[#This Row],[next move]],1))+1+VALUE(LEFT(Table132[[#This Row],[next move]],1))*3,1)</f>
        <v>V</v>
      </c>
      <c r="I2617" t="str">
        <f>Table132[[#This Row],[ÉTAT]]&amp;Table132[[#This Row],[next move]]</f>
        <v>VEVMMVEVE02</v>
      </c>
    </row>
    <row r="2618" spans="2:9" x14ac:dyDescent="0.25">
      <c r="B2618" t="s">
        <v>1940</v>
      </c>
      <c r="C2618" s="22" t="s">
        <v>28</v>
      </c>
      <c r="D2618">
        <v>1</v>
      </c>
      <c r="E2618">
        <v>1</v>
      </c>
      <c r="G2618" s="31">
        <f>Table132[[#This Row],[nb win]]/Table132[[#This Row],[nb play]]</f>
        <v>1</v>
      </c>
      <c r="H2618" t="str">
        <f>MID(Table132[[#This Row],[ÉTAT]],VALUE(RIGHT(Table132[[#This Row],[next move]],1))+1+VALUE(LEFT(Table132[[#This Row],[next move]],1))*3,1)</f>
        <v>V</v>
      </c>
      <c r="I2618" t="str">
        <f>Table132[[#This Row],[ÉTAT]]&amp;Table132[[#This Row],[next move]]</f>
        <v>VEVMMVEVE12</v>
      </c>
    </row>
    <row r="2619" spans="2:9" x14ac:dyDescent="0.25">
      <c r="B2619" t="s">
        <v>1143</v>
      </c>
      <c r="C2619" s="22" t="s">
        <v>24</v>
      </c>
      <c r="D2619">
        <v>3</v>
      </c>
      <c r="G2619" s="30">
        <f>Table132[[#This Row],[nb win]]/Table132[[#This Row],[nb play]]</f>
        <v>0</v>
      </c>
      <c r="H2619" t="str">
        <f>MID(Table132[[#This Row],[ÉTAT]],VALUE(RIGHT(Table132[[#This Row],[next move]],1))+1+VALUE(LEFT(Table132[[#This Row],[next move]],1))*3,1)</f>
        <v>V</v>
      </c>
      <c r="I2619" t="str">
        <f>Table132[[#This Row],[ÉTAT]]&amp;Table132[[#This Row],[next move]]</f>
        <v>VEVMMVEEV00</v>
      </c>
    </row>
    <row r="2620" spans="2:9" x14ac:dyDescent="0.25">
      <c r="B2620" t="s">
        <v>1143</v>
      </c>
      <c r="C2620" s="22" t="s">
        <v>28</v>
      </c>
      <c r="D2620">
        <v>3</v>
      </c>
      <c r="E2620">
        <v>3</v>
      </c>
      <c r="G2620" s="31">
        <f>Table132[[#This Row],[nb win]]/Table132[[#This Row],[nb play]]</f>
        <v>1</v>
      </c>
      <c r="H2620" t="str">
        <f>MID(Table132[[#This Row],[ÉTAT]],VALUE(RIGHT(Table132[[#This Row],[next move]],1))+1+VALUE(LEFT(Table132[[#This Row],[next move]],1))*3,1)</f>
        <v>V</v>
      </c>
      <c r="I2620" t="str">
        <f>Table132[[#This Row],[ÉTAT]]&amp;Table132[[#This Row],[next move]]</f>
        <v>VEVMMVEEV12</v>
      </c>
    </row>
    <row r="2621" spans="2:9" x14ac:dyDescent="0.25">
      <c r="B2621" t="s">
        <v>1056</v>
      </c>
      <c r="C2621" s="22" t="s">
        <v>20</v>
      </c>
      <c r="D2621">
        <v>5</v>
      </c>
      <c r="E2621">
        <v>5</v>
      </c>
      <c r="G2621" s="31">
        <f>Table132[[#This Row],[nb win]]/Table132[[#This Row],[nb play]]</f>
        <v>1</v>
      </c>
      <c r="H2621" t="str">
        <f>MID(Table132[[#This Row],[ÉTAT]],VALUE(RIGHT(Table132[[#This Row],[next move]],1))+1+VALUE(LEFT(Table132[[#This Row],[next move]],1))*3,1)</f>
        <v>V</v>
      </c>
      <c r="I2621" t="str">
        <f>Table132[[#This Row],[ÉTAT]]&amp;Table132[[#This Row],[next move]]</f>
        <v>VEVMMVEEM02</v>
      </c>
    </row>
    <row r="2622" spans="2:9" x14ac:dyDescent="0.25">
      <c r="B2622" t="s">
        <v>1817</v>
      </c>
      <c r="C2622" s="22" t="s">
        <v>24</v>
      </c>
      <c r="D2622">
        <v>4</v>
      </c>
      <c r="E2622">
        <v>4</v>
      </c>
      <c r="G2622" s="31">
        <f>Table132[[#This Row],[nb win]]/Table132[[#This Row],[nb play]]</f>
        <v>1</v>
      </c>
      <c r="H2622" t="str">
        <f>MID(Table132[[#This Row],[ÉTAT]],VALUE(RIGHT(Table132[[#This Row],[next move]],1))+1+VALUE(LEFT(Table132[[#This Row],[next move]],1))*3,1)</f>
        <v>V</v>
      </c>
      <c r="I2622" t="str">
        <f>Table132[[#This Row],[ÉTAT]]&amp;Table132[[#This Row],[next move]]</f>
        <v>VEVMMEVVV00</v>
      </c>
    </row>
    <row r="2623" spans="2:9" x14ac:dyDescent="0.25">
      <c r="B2623" t="s">
        <v>1817</v>
      </c>
      <c r="C2623" s="22" t="s">
        <v>31</v>
      </c>
      <c r="D2623">
        <v>7</v>
      </c>
      <c r="E2623">
        <v>6</v>
      </c>
      <c r="G2623" s="30">
        <f>Table132[[#This Row],[nb win]]/Table132[[#This Row],[nb play]]</f>
        <v>0.8571428571428571</v>
      </c>
      <c r="H2623" t="str">
        <f>MID(Table132[[#This Row],[ÉTAT]],VALUE(RIGHT(Table132[[#This Row],[next move]],1))+1+VALUE(LEFT(Table132[[#This Row],[next move]],1))*3,1)</f>
        <v>V</v>
      </c>
      <c r="I2623" t="str">
        <f>Table132[[#This Row],[ÉTAT]]&amp;Table132[[#This Row],[next move]]</f>
        <v>VEVMMEVVV22</v>
      </c>
    </row>
    <row r="2624" spans="2:9" x14ac:dyDescent="0.25">
      <c r="B2624" t="s">
        <v>1710</v>
      </c>
      <c r="C2624" s="22" t="s">
        <v>24</v>
      </c>
      <c r="D2624">
        <v>1</v>
      </c>
      <c r="E2624">
        <v>1</v>
      </c>
      <c r="G2624" s="31">
        <f>Table132[[#This Row],[nb win]]/Table132[[#This Row],[nb play]]</f>
        <v>1</v>
      </c>
      <c r="H2624" t="str">
        <f>MID(Table132[[#This Row],[ÉTAT]],VALUE(RIGHT(Table132[[#This Row],[next move]],1))+1+VALUE(LEFT(Table132[[#This Row],[next move]],1))*3,1)</f>
        <v>V</v>
      </c>
      <c r="I2624" t="str">
        <f>Table132[[#This Row],[ÉTAT]]&amp;Table132[[#This Row],[next move]]</f>
        <v>VEVMMEVVE00</v>
      </c>
    </row>
    <row r="2625" spans="2:9" x14ac:dyDescent="0.25">
      <c r="B2625" t="s">
        <v>1710</v>
      </c>
      <c r="C2625" s="22" t="s">
        <v>35</v>
      </c>
      <c r="D2625">
        <v>2</v>
      </c>
      <c r="E2625">
        <v>1</v>
      </c>
      <c r="G2625" s="30">
        <f>Table132[[#This Row],[nb win]]/Table132[[#This Row],[nb play]]</f>
        <v>0.5</v>
      </c>
      <c r="H2625" t="str">
        <f>MID(Table132[[#This Row],[ÉTAT]],VALUE(RIGHT(Table132[[#This Row],[next move]],1))+1+VALUE(LEFT(Table132[[#This Row],[next move]],1))*3,1)</f>
        <v>V</v>
      </c>
      <c r="I2625" t="str">
        <f>Table132[[#This Row],[ÉTAT]]&amp;Table132[[#This Row],[next move]]</f>
        <v>VEVMMEVVE20</v>
      </c>
    </row>
    <row r="2626" spans="2:9" x14ac:dyDescent="0.25">
      <c r="B2626" t="s">
        <v>1710</v>
      </c>
      <c r="C2626" s="22" t="s">
        <v>22</v>
      </c>
      <c r="D2626">
        <v>2</v>
      </c>
      <c r="G2626" s="30">
        <f>Table132[[#This Row],[nb win]]/Table132[[#This Row],[nb play]]</f>
        <v>0</v>
      </c>
      <c r="H2626" t="str">
        <f>MID(Table132[[#This Row],[ÉTAT]],VALUE(RIGHT(Table132[[#This Row],[next move]],1))+1+VALUE(LEFT(Table132[[#This Row],[next move]],1))*3,1)</f>
        <v>V</v>
      </c>
      <c r="I2626" t="str">
        <f>Table132[[#This Row],[ÉTAT]]&amp;Table132[[#This Row],[next move]]</f>
        <v>VEVMMEVVE21</v>
      </c>
    </row>
    <row r="2627" spans="2:9" x14ac:dyDescent="0.25">
      <c r="B2627" t="s">
        <v>3096</v>
      </c>
      <c r="C2627" s="22" t="s">
        <v>31</v>
      </c>
      <c r="D2627">
        <v>1</v>
      </c>
      <c r="E2627">
        <v>1</v>
      </c>
      <c r="G2627" s="31">
        <f>Table132[[#This Row],[nb win]]/Table132[[#This Row],[nb play]]</f>
        <v>1</v>
      </c>
      <c r="H2627" t="str">
        <f>MID(Table132[[#This Row],[ÉTAT]],VALUE(RIGHT(Table132[[#This Row],[next move]],1))+1+VALUE(LEFT(Table132[[#This Row],[next move]],1))*3,1)</f>
        <v>V</v>
      </c>
      <c r="I2627" t="str">
        <f>Table132[[#This Row],[ÉTAT]]&amp;Table132[[#This Row],[next move]]</f>
        <v>VEVMMEVEV22</v>
      </c>
    </row>
    <row r="2628" spans="2:9" x14ac:dyDescent="0.25">
      <c r="B2628" t="s">
        <v>2039</v>
      </c>
      <c r="C2628" s="22" t="s">
        <v>35</v>
      </c>
      <c r="D2628">
        <v>7</v>
      </c>
      <c r="E2628">
        <v>7</v>
      </c>
      <c r="G2628" s="31">
        <f>Table132[[#This Row],[nb win]]/Table132[[#This Row],[nb play]]</f>
        <v>1</v>
      </c>
      <c r="H2628" t="str">
        <f>MID(Table132[[#This Row],[ÉTAT]],VALUE(RIGHT(Table132[[#This Row],[next move]],1))+1+VALUE(LEFT(Table132[[#This Row],[next move]],1))*3,1)</f>
        <v>V</v>
      </c>
      <c r="I2628" t="str">
        <f>Table132[[#This Row],[ÉTAT]]&amp;Table132[[#This Row],[next move]]</f>
        <v>VEVMMEVEM20</v>
      </c>
    </row>
    <row r="2629" spans="2:9" x14ac:dyDescent="0.25">
      <c r="B2629" t="s">
        <v>1043</v>
      </c>
      <c r="C2629" s="22" t="s">
        <v>20</v>
      </c>
      <c r="D2629">
        <v>1</v>
      </c>
      <c r="E2629">
        <v>1</v>
      </c>
      <c r="G2629" s="25">
        <f>Table132[[#This Row],[nb win]]/Table132[[#This Row],[nb play]]</f>
        <v>1</v>
      </c>
      <c r="H2629" t="str">
        <f>MID(Table132[[#This Row],[ÉTAT]],VALUE(RIGHT(Table132[[#This Row],[next move]],1))+1+VALUE(LEFT(Table132[[#This Row],[next move]],1))*3,1)</f>
        <v>V</v>
      </c>
      <c r="I2629" t="str">
        <f>Table132[[#This Row],[ÉTAT]]&amp;Table132[[#This Row],[next move]]</f>
        <v>VEVMMEMVE02</v>
      </c>
    </row>
    <row r="2630" spans="2:9" x14ac:dyDescent="0.25">
      <c r="B2630" t="s">
        <v>1043</v>
      </c>
      <c r="C2630" s="22" t="s">
        <v>22</v>
      </c>
      <c r="D2630">
        <v>1</v>
      </c>
      <c r="G2630" s="25">
        <f>Table132[[#This Row],[nb win]]/Table132[[#This Row],[nb play]]</f>
        <v>0</v>
      </c>
      <c r="H2630" t="str">
        <f>MID(Table132[[#This Row],[ÉTAT]],VALUE(RIGHT(Table132[[#This Row],[next move]],1))+1+VALUE(LEFT(Table132[[#This Row],[next move]],1))*3,1)</f>
        <v>V</v>
      </c>
      <c r="I2630" t="str">
        <f>Table132[[#This Row],[ÉTAT]]&amp;Table132[[#This Row],[next move]]</f>
        <v>VEVMMEMVE21</v>
      </c>
    </row>
    <row r="2631" spans="2:9" x14ac:dyDescent="0.25">
      <c r="B2631" t="s">
        <v>853</v>
      </c>
      <c r="C2631" s="22" t="s">
        <v>20</v>
      </c>
      <c r="D2631">
        <v>2</v>
      </c>
      <c r="E2631">
        <v>2</v>
      </c>
      <c r="G2631" s="25">
        <f>Table132[[#This Row],[nb win]]/Table132[[#This Row],[nb play]]</f>
        <v>1</v>
      </c>
      <c r="H2631" t="str">
        <f>MID(Table132[[#This Row],[ÉTAT]],VALUE(RIGHT(Table132[[#This Row],[next move]],1))+1+VALUE(LEFT(Table132[[#This Row],[next move]],1))*3,1)</f>
        <v>V</v>
      </c>
      <c r="I2631" t="str">
        <f>Table132[[#This Row],[ÉTAT]]&amp;Table132[[#This Row],[next move]]</f>
        <v>VEVMMEMEE02</v>
      </c>
    </row>
    <row r="2632" spans="2:9" x14ac:dyDescent="0.25">
      <c r="B2632" t="s">
        <v>2509</v>
      </c>
      <c r="C2632" s="22" t="s">
        <v>24</v>
      </c>
      <c r="D2632">
        <v>2</v>
      </c>
      <c r="E2632">
        <v>2</v>
      </c>
      <c r="G2632" s="31">
        <f>Table132[[#This Row],[nb win]]/Table132[[#This Row],[nb play]]</f>
        <v>1</v>
      </c>
      <c r="H2632" t="str">
        <f>MID(Table132[[#This Row],[ÉTAT]],VALUE(RIGHT(Table132[[#This Row],[next move]],1))+1+VALUE(LEFT(Table132[[#This Row],[next move]],1))*3,1)</f>
        <v>V</v>
      </c>
      <c r="I2632" t="str">
        <f>Table132[[#This Row],[ÉTAT]]&amp;Table132[[#This Row],[next move]]</f>
        <v>VEVMMEEVM00</v>
      </c>
    </row>
    <row r="2633" spans="2:9" x14ac:dyDescent="0.25">
      <c r="B2633" t="s">
        <v>3288</v>
      </c>
      <c r="C2633" s="22" t="s">
        <v>31</v>
      </c>
      <c r="D2633">
        <v>1</v>
      </c>
      <c r="E2633">
        <v>1</v>
      </c>
      <c r="G2633" s="31">
        <f>Table132[[#This Row],[nb win]]/Table132[[#This Row],[nb play]]</f>
        <v>1</v>
      </c>
      <c r="H2633" t="str">
        <f>MID(Table132[[#This Row],[ÉTAT]],VALUE(RIGHT(Table132[[#This Row],[next move]],1))+1+VALUE(LEFT(Table132[[#This Row],[next move]],1))*3,1)</f>
        <v>V</v>
      </c>
      <c r="I2633" t="str">
        <f>Table132[[#This Row],[ÉTAT]]&amp;Table132[[#This Row],[next move]]</f>
        <v>VEVMMEEMV22</v>
      </c>
    </row>
    <row r="2634" spans="2:9" x14ac:dyDescent="0.25">
      <c r="B2634" t="s">
        <v>2078</v>
      </c>
      <c r="C2634" s="22" t="s">
        <v>24</v>
      </c>
      <c r="D2634">
        <v>1</v>
      </c>
      <c r="G2634" s="25">
        <f>Table132[[#This Row],[nb win]]/Table132[[#This Row],[nb play]]</f>
        <v>0</v>
      </c>
      <c r="H2634" t="str">
        <f>MID(Table132[[#This Row],[ÉTAT]],VALUE(RIGHT(Table132[[#This Row],[next move]],1))+1+VALUE(LEFT(Table132[[#This Row],[next move]],1))*3,1)</f>
        <v>V</v>
      </c>
      <c r="I2634" t="str">
        <f>Table132[[#This Row],[ÉTAT]]&amp;Table132[[#This Row],[next move]]</f>
        <v>VEVMMEEME00</v>
      </c>
    </row>
    <row r="2635" spans="2:9" x14ac:dyDescent="0.25">
      <c r="B2635" t="s">
        <v>2941</v>
      </c>
      <c r="C2635" s="22" t="s">
        <v>24</v>
      </c>
      <c r="D2635">
        <v>2</v>
      </c>
      <c r="E2635">
        <v>2</v>
      </c>
      <c r="G2635" s="31">
        <f>Table132[[#This Row],[nb win]]/Table132[[#This Row],[nb play]]</f>
        <v>1</v>
      </c>
      <c r="H2635" t="str">
        <f>MID(Table132[[#This Row],[ÉTAT]],VALUE(RIGHT(Table132[[#This Row],[next move]],1))+1+VALUE(LEFT(Table132[[#This Row],[next move]],1))*3,1)</f>
        <v>V</v>
      </c>
      <c r="I2635" t="str">
        <f>Table132[[#This Row],[ÉTAT]]&amp;Table132[[#This Row],[next move]]</f>
        <v>VEVMMEEEM00</v>
      </c>
    </row>
    <row r="2636" spans="2:9" x14ac:dyDescent="0.25">
      <c r="B2636" t="s">
        <v>2021</v>
      </c>
      <c r="C2636" s="22" t="s">
        <v>24</v>
      </c>
      <c r="D2636">
        <v>2</v>
      </c>
      <c r="E2636">
        <v>1</v>
      </c>
      <c r="G2636" s="31">
        <f>Table132[[#This Row],[nb win]]/Table132[[#This Row],[nb play]]</f>
        <v>0.5</v>
      </c>
      <c r="H2636" t="str">
        <f>MID(Table132[[#This Row],[ÉTAT]],VALUE(RIGHT(Table132[[#This Row],[next move]],1))+1+VALUE(LEFT(Table132[[#This Row],[next move]],1))*3,1)</f>
        <v>V</v>
      </c>
      <c r="I2636" t="str">
        <f>Table132[[#This Row],[ÉTAT]]&amp;Table132[[#This Row],[next move]]</f>
        <v>VEVMEVVVV00</v>
      </c>
    </row>
    <row r="2637" spans="2:9" x14ac:dyDescent="0.25">
      <c r="B2637" t="s">
        <v>2021</v>
      </c>
      <c r="C2637" s="22" t="s">
        <v>20</v>
      </c>
      <c r="D2637">
        <v>2</v>
      </c>
      <c r="G2637" s="30">
        <f>Table132[[#This Row],[nb win]]/Table132[[#This Row],[nb play]]</f>
        <v>0</v>
      </c>
      <c r="H2637" t="str">
        <f>MID(Table132[[#This Row],[ÉTAT]],VALUE(RIGHT(Table132[[#This Row],[next move]],1))+1+VALUE(LEFT(Table132[[#This Row],[next move]],1))*3,1)</f>
        <v>V</v>
      </c>
      <c r="I2637" t="str">
        <f>Table132[[#This Row],[ÉTAT]]&amp;Table132[[#This Row],[next move]]</f>
        <v>VEVMEVVVV02</v>
      </c>
    </row>
    <row r="2638" spans="2:9" x14ac:dyDescent="0.25">
      <c r="B2638" t="s">
        <v>2021</v>
      </c>
      <c r="C2638" s="22" t="s">
        <v>28</v>
      </c>
      <c r="D2638">
        <v>2</v>
      </c>
      <c r="G2638" s="30">
        <f>Table132[[#This Row],[nb win]]/Table132[[#This Row],[nb play]]</f>
        <v>0</v>
      </c>
      <c r="H2638" t="str">
        <f>MID(Table132[[#This Row],[ÉTAT]],VALUE(RIGHT(Table132[[#This Row],[next move]],1))+1+VALUE(LEFT(Table132[[#This Row],[next move]],1))*3,1)</f>
        <v>V</v>
      </c>
      <c r="I2638" t="str">
        <f>Table132[[#This Row],[ÉTAT]]&amp;Table132[[#This Row],[next move]]</f>
        <v>VEVMEVVVV12</v>
      </c>
    </row>
    <row r="2639" spans="2:9" x14ac:dyDescent="0.25">
      <c r="B2639" t="s">
        <v>2021</v>
      </c>
      <c r="C2639" s="22" t="s">
        <v>35</v>
      </c>
      <c r="D2639">
        <v>2</v>
      </c>
      <c r="G2639" s="30">
        <f>Table132[[#This Row],[nb win]]/Table132[[#This Row],[nb play]]</f>
        <v>0</v>
      </c>
      <c r="H2639" t="str">
        <f>MID(Table132[[#This Row],[ÉTAT]],VALUE(RIGHT(Table132[[#This Row],[next move]],1))+1+VALUE(LEFT(Table132[[#This Row],[next move]],1))*3,1)</f>
        <v>V</v>
      </c>
      <c r="I2639" t="str">
        <f>Table132[[#This Row],[ÉTAT]]&amp;Table132[[#This Row],[next move]]</f>
        <v>VEVMEVVVV20</v>
      </c>
    </row>
    <row r="2640" spans="2:9" x14ac:dyDescent="0.25">
      <c r="B2640" t="s">
        <v>2021</v>
      </c>
      <c r="C2640" s="22" t="s">
        <v>22</v>
      </c>
      <c r="D2640">
        <v>2</v>
      </c>
      <c r="G2640" s="30">
        <f>Table132[[#This Row],[nb win]]/Table132[[#This Row],[nb play]]</f>
        <v>0</v>
      </c>
      <c r="H2640" t="str">
        <f>MID(Table132[[#This Row],[ÉTAT]],VALUE(RIGHT(Table132[[#This Row],[next move]],1))+1+VALUE(LEFT(Table132[[#This Row],[next move]],1))*3,1)</f>
        <v>V</v>
      </c>
      <c r="I2640" t="str">
        <f>Table132[[#This Row],[ÉTAT]]&amp;Table132[[#This Row],[next move]]</f>
        <v>VEVMEVVVV21</v>
      </c>
    </row>
    <row r="2641" spans="2:9" x14ac:dyDescent="0.25">
      <c r="B2641" t="s">
        <v>2021</v>
      </c>
      <c r="C2641" s="22" t="s">
        <v>31</v>
      </c>
      <c r="D2641">
        <v>1</v>
      </c>
      <c r="G2641" s="25">
        <f>Table132[[#This Row],[nb win]]/Table132[[#This Row],[nb play]]</f>
        <v>0</v>
      </c>
      <c r="H2641" t="str">
        <f>MID(Table132[[#This Row],[ÉTAT]],VALUE(RIGHT(Table132[[#This Row],[next move]],1))+1+VALUE(LEFT(Table132[[#This Row],[next move]],1))*3,1)</f>
        <v>V</v>
      </c>
      <c r="I2641" t="str">
        <f>Table132[[#This Row],[ÉTAT]]&amp;Table132[[#This Row],[next move]]</f>
        <v>VEVMEVVVV22</v>
      </c>
    </row>
    <row r="2642" spans="2:9" x14ac:dyDescent="0.25">
      <c r="B2642" t="s">
        <v>1379</v>
      </c>
      <c r="C2642" s="22" t="s">
        <v>20</v>
      </c>
      <c r="D2642">
        <v>2</v>
      </c>
      <c r="E2642">
        <v>1</v>
      </c>
      <c r="G2642" s="25">
        <f>Table132[[#This Row],[nb win]]/Table132[[#This Row],[nb play]]</f>
        <v>0.5</v>
      </c>
      <c r="H2642" t="str">
        <f>MID(Table132[[#This Row],[ÉTAT]],VALUE(RIGHT(Table132[[#This Row],[next move]],1))+1+VALUE(LEFT(Table132[[#This Row],[next move]],1))*3,1)</f>
        <v>V</v>
      </c>
      <c r="I2642" t="str">
        <f>Table132[[#This Row],[ÉTAT]]&amp;Table132[[#This Row],[next move]]</f>
        <v>VEVMEVVVM02</v>
      </c>
    </row>
    <row r="2643" spans="2:9" x14ac:dyDescent="0.25">
      <c r="B2643" t="s">
        <v>1379</v>
      </c>
      <c r="C2643" s="22" t="s">
        <v>35</v>
      </c>
      <c r="D2643">
        <v>2</v>
      </c>
      <c r="E2643">
        <v>1</v>
      </c>
      <c r="G2643" s="30">
        <f>Table132[[#This Row],[nb win]]/Table132[[#This Row],[nb play]]</f>
        <v>0.5</v>
      </c>
      <c r="H2643" t="str">
        <f>MID(Table132[[#This Row],[ÉTAT]],VALUE(RIGHT(Table132[[#This Row],[next move]],1))+1+VALUE(LEFT(Table132[[#This Row],[next move]],1))*3,1)</f>
        <v>V</v>
      </c>
      <c r="I2643" t="str">
        <f>Table132[[#This Row],[ÉTAT]]&amp;Table132[[#This Row],[next move]]</f>
        <v>VEVMEVVVM20</v>
      </c>
    </row>
    <row r="2644" spans="2:9" x14ac:dyDescent="0.25">
      <c r="B2644" t="s">
        <v>511</v>
      </c>
      <c r="C2644" s="22" t="s">
        <v>20</v>
      </c>
      <c r="D2644">
        <v>1</v>
      </c>
      <c r="G2644" s="25">
        <f>Table132[[#This Row],[nb win]]/Table132[[#This Row],[nb play]]</f>
        <v>0</v>
      </c>
      <c r="H2644" t="str">
        <f>MID(Table132[[#This Row],[ÉTAT]],VALUE(RIGHT(Table132[[#This Row],[next move]],1))+1+VALUE(LEFT(Table132[[#This Row],[next move]],1))*3,1)</f>
        <v>V</v>
      </c>
      <c r="I2644" t="str">
        <f>Table132[[#This Row],[ÉTAT]]&amp;Table132[[#This Row],[next move]]</f>
        <v>VEVMEVVMV02</v>
      </c>
    </row>
    <row r="2645" spans="2:9" x14ac:dyDescent="0.25">
      <c r="B2645" t="s">
        <v>511</v>
      </c>
      <c r="C2645" s="22" t="s">
        <v>31</v>
      </c>
      <c r="D2645">
        <v>2</v>
      </c>
      <c r="E2645">
        <v>1</v>
      </c>
      <c r="G2645" s="25">
        <f>Table132[[#This Row],[nb win]]/Table132[[#This Row],[nb play]]</f>
        <v>0.5</v>
      </c>
      <c r="H2645" t="str">
        <f>MID(Table132[[#This Row],[ÉTAT]],VALUE(RIGHT(Table132[[#This Row],[next move]],1))+1+VALUE(LEFT(Table132[[#This Row],[next move]],1))*3,1)</f>
        <v>V</v>
      </c>
      <c r="I2645" t="str">
        <f>Table132[[#This Row],[ÉTAT]]&amp;Table132[[#This Row],[next move]]</f>
        <v>VEVMEVVMV22</v>
      </c>
    </row>
    <row r="2646" spans="2:9" x14ac:dyDescent="0.25">
      <c r="B2646" t="s">
        <v>2100</v>
      </c>
      <c r="C2646" s="22" t="s">
        <v>24</v>
      </c>
      <c r="D2646">
        <v>1</v>
      </c>
      <c r="G2646" s="30">
        <f>Table132[[#This Row],[nb win]]/Table132[[#This Row],[nb play]]</f>
        <v>0</v>
      </c>
      <c r="H2646" t="str">
        <f>MID(Table132[[#This Row],[ÉTAT]],VALUE(RIGHT(Table132[[#This Row],[next move]],1))+1+VALUE(LEFT(Table132[[#This Row],[next move]],1))*3,1)</f>
        <v>V</v>
      </c>
      <c r="I2646" t="str">
        <f>Table132[[#This Row],[ÉTAT]]&amp;Table132[[#This Row],[next move]]</f>
        <v>VEVMEVVME00</v>
      </c>
    </row>
    <row r="2647" spans="2:9" x14ac:dyDescent="0.25">
      <c r="B2647" t="s">
        <v>2100</v>
      </c>
      <c r="C2647" s="22" t="s">
        <v>28</v>
      </c>
      <c r="D2647">
        <v>1</v>
      </c>
      <c r="G2647" s="25">
        <f>Table132[[#This Row],[nb win]]/Table132[[#This Row],[nb play]]</f>
        <v>0</v>
      </c>
      <c r="H2647" t="str">
        <f>MID(Table132[[#This Row],[ÉTAT]],VALUE(RIGHT(Table132[[#This Row],[next move]],1))+1+VALUE(LEFT(Table132[[#This Row],[next move]],1))*3,1)</f>
        <v>V</v>
      </c>
      <c r="I2647" t="str">
        <f>Table132[[#This Row],[ÉTAT]]&amp;Table132[[#This Row],[next move]]</f>
        <v>VEVMEVVME12</v>
      </c>
    </row>
    <row r="2648" spans="2:9" x14ac:dyDescent="0.25">
      <c r="B2648" t="s">
        <v>2100</v>
      </c>
      <c r="C2648" s="22" t="s">
        <v>35</v>
      </c>
      <c r="D2648">
        <v>1</v>
      </c>
      <c r="E2648">
        <v>1</v>
      </c>
      <c r="G2648" s="31">
        <f>Table132[[#This Row],[nb win]]/Table132[[#This Row],[nb play]]</f>
        <v>1</v>
      </c>
      <c r="H2648" t="str">
        <f>MID(Table132[[#This Row],[ÉTAT]],VALUE(RIGHT(Table132[[#This Row],[next move]],1))+1+VALUE(LEFT(Table132[[#This Row],[next move]],1))*3,1)</f>
        <v>V</v>
      </c>
      <c r="I2648" t="str">
        <f>Table132[[#This Row],[ÉTAT]]&amp;Table132[[#This Row],[next move]]</f>
        <v>VEVMEVVME20</v>
      </c>
    </row>
    <row r="2649" spans="2:9" x14ac:dyDescent="0.25">
      <c r="B2649" t="s">
        <v>2244</v>
      </c>
      <c r="C2649" s="22" t="s">
        <v>24</v>
      </c>
      <c r="D2649">
        <v>6</v>
      </c>
      <c r="E2649">
        <v>6</v>
      </c>
      <c r="G2649" s="31">
        <f>Table132[[#This Row],[nb win]]/Table132[[#This Row],[nb play]]</f>
        <v>1</v>
      </c>
      <c r="H2649" t="str">
        <f>MID(Table132[[#This Row],[ÉTAT]],VALUE(RIGHT(Table132[[#This Row],[next move]],1))+1+VALUE(LEFT(Table132[[#This Row],[next move]],1))*3,1)</f>
        <v>V</v>
      </c>
      <c r="I2649" t="str">
        <f>Table132[[#This Row],[ÉTAT]]&amp;Table132[[#This Row],[next move]]</f>
        <v>VEVMEVMVV00</v>
      </c>
    </row>
    <row r="2650" spans="2:9" x14ac:dyDescent="0.25">
      <c r="B2650" t="s">
        <v>2085</v>
      </c>
      <c r="C2650" s="22" t="s">
        <v>20</v>
      </c>
      <c r="D2650">
        <v>1</v>
      </c>
      <c r="G2650" s="25">
        <f>Table132[[#This Row],[nb win]]/Table132[[#This Row],[nb play]]</f>
        <v>0</v>
      </c>
      <c r="H2650" t="str">
        <f>MID(Table132[[#This Row],[ÉTAT]],VALUE(RIGHT(Table132[[#This Row],[next move]],1))+1+VALUE(LEFT(Table132[[#This Row],[next move]],1))*3,1)</f>
        <v>V</v>
      </c>
      <c r="I2650" t="str">
        <f>Table132[[#This Row],[ÉTAT]]&amp;Table132[[#This Row],[next move]]</f>
        <v>VEVMEVMVE02</v>
      </c>
    </row>
    <row r="2651" spans="2:9" x14ac:dyDescent="0.25">
      <c r="B2651" t="s">
        <v>2085</v>
      </c>
      <c r="C2651" s="22" t="s">
        <v>28</v>
      </c>
      <c r="D2651">
        <v>2</v>
      </c>
      <c r="G2651" s="30">
        <f>Table132[[#This Row],[nb win]]/Table132[[#This Row],[nb play]]</f>
        <v>0</v>
      </c>
      <c r="H2651" t="str">
        <f>MID(Table132[[#This Row],[ÉTAT]],VALUE(RIGHT(Table132[[#This Row],[next move]],1))+1+VALUE(LEFT(Table132[[#This Row],[next move]],1))*3,1)</f>
        <v>V</v>
      </c>
      <c r="I2651" t="str">
        <f>Table132[[#This Row],[ÉTAT]]&amp;Table132[[#This Row],[next move]]</f>
        <v>VEVMEVMVE12</v>
      </c>
    </row>
    <row r="2652" spans="2:9" x14ac:dyDescent="0.25">
      <c r="B2652" t="s">
        <v>2085</v>
      </c>
      <c r="C2652" s="22" t="s">
        <v>22</v>
      </c>
      <c r="D2652">
        <v>1</v>
      </c>
      <c r="E2652">
        <v>1</v>
      </c>
      <c r="G2652" s="25">
        <f>Table132[[#This Row],[nb win]]/Table132[[#This Row],[nb play]]</f>
        <v>1</v>
      </c>
      <c r="H2652" t="str">
        <f>MID(Table132[[#This Row],[ÉTAT]],VALUE(RIGHT(Table132[[#This Row],[next move]],1))+1+VALUE(LEFT(Table132[[#This Row],[next move]],1))*3,1)</f>
        <v>V</v>
      </c>
      <c r="I2652" t="str">
        <f>Table132[[#This Row],[ÉTAT]]&amp;Table132[[#This Row],[next move]]</f>
        <v>VEVMEVMVE21</v>
      </c>
    </row>
    <row r="2653" spans="2:9" x14ac:dyDescent="0.25">
      <c r="B2653" t="s">
        <v>1567</v>
      </c>
      <c r="C2653" s="22" t="s">
        <v>20</v>
      </c>
      <c r="D2653">
        <v>4</v>
      </c>
      <c r="E2653">
        <v>3</v>
      </c>
      <c r="G2653" s="30">
        <f>Table132[[#This Row],[nb win]]/Table132[[#This Row],[nb play]]</f>
        <v>0.75</v>
      </c>
      <c r="H2653" t="str">
        <f>MID(Table132[[#This Row],[ÉTAT]],VALUE(RIGHT(Table132[[#This Row],[next move]],1))+1+VALUE(LEFT(Table132[[#This Row],[next move]],1))*3,1)</f>
        <v>V</v>
      </c>
      <c r="I2653" t="str">
        <f>Table132[[#This Row],[ÉTAT]]&amp;Table132[[#This Row],[next move]]</f>
        <v>VEVMEVMME02</v>
      </c>
    </row>
    <row r="2654" spans="2:9" x14ac:dyDescent="0.25">
      <c r="B2654" t="s">
        <v>583</v>
      </c>
      <c r="C2654" s="22" t="s">
        <v>20</v>
      </c>
      <c r="D2654">
        <v>1</v>
      </c>
      <c r="E2654">
        <v>1</v>
      </c>
      <c r="G2654" s="25">
        <f>Table132[[#This Row],[nb win]]/Table132[[#This Row],[nb play]]</f>
        <v>1</v>
      </c>
      <c r="H2654" t="str">
        <f>MID(Table132[[#This Row],[ÉTAT]],VALUE(RIGHT(Table132[[#This Row],[next move]],1))+1+VALUE(LEFT(Table132[[#This Row],[next move]],1))*3,1)</f>
        <v>V</v>
      </c>
      <c r="I2654" t="str">
        <f>Table132[[#This Row],[ÉTAT]]&amp;Table132[[#This Row],[next move]]</f>
        <v>VEVMEVEMM02</v>
      </c>
    </row>
    <row r="2655" spans="2:9" x14ac:dyDescent="0.25">
      <c r="B2655" t="s">
        <v>3448</v>
      </c>
      <c r="C2655" s="22" t="s">
        <v>35</v>
      </c>
      <c r="D2655">
        <v>1</v>
      </c>
      <c r="G2655" s="30">
        <f>Table132[[#This Row],[nb win]]/Table132[[#This Row],[nb play]]</f>
        <v>0</v>
      </c>
      <c r="H2655" t="str">
        <f>MID(Table132[[#This Row],[ÉTAT]],VALUE(RIGHT(Table132[[#This Row],[next move]],1))+1+VALUE(LEFT(Table132[[#This Row],[next move]],1))*3,1)</f>
        <v>V</v>
      </c>
      <c r="I2655" t="str">
        <f>Table132[[#This Row],[ÉTAT]]&amp;Table132[[#This Row],[next move]]</f>
        <v>VEVMEMVVE20</v>
      </c>
    </row>
    <row r="2656" spans="2:9" x14ac:dyDescent="0.25">
      <c r="B2656" t="s">
        <v>3448</v>
      </c>
      <c r="C2656" s="22" t="s">
        <v>22</v>
      </c>
      <c r="D2656">
        <v>1</v>
      </c>
      <c r="G2656" s="30">
        <f>Table132[[#This Row],[nb win]]/Table132[[#This Row],[nb play]]</f>
        <v>0</v>
      </c>
      <c r="H2656" t="str">
        <f>MID(Table132[[#This Row],[ÉTAT]],VALUE(RIGHT(Table132[[#This Row],[next move]],1))+1+VALUE(LEFT(Table132[[#This Row],[next move]],1))*3,1)</f>
        <v>V</v>
      </c>
      <c r="I2656" t="str">
        <f>Table132[[#This Row],[ÉTAT]]&amp;Table132[[#This Row],[next move]]</f>
        <v>VEVMEMVVE21</v>
      </c>
    </row>
    <row r="2657" spans="2:9" x14ac:dyDescent="0.25">
      <c r="B2657" t="s">
        <v>2813</v>
      </c>
      <c r="C2657" s="22" t="s">
        <v>35</v>
      </c>
      <c r="D2657">
        <v>1</v>
      </c>
      <c r="E2657">
        <v>1</v>
      </c>
      <c r="G2657" s="25">
        <f>Table132[[#This Row],[nb win]]/Table132[[#This Row],[nb play]]</f>
        <v>1</v>
      </c>
      <c r="H2657" t="str">
        <f>MID(Table132[[#This Row],[ÉTAT]],VALUE(RIGHT(Table132[[#This Row],[next move]],1))+1+VALUE(LEFT(Table132[[#This Row],[next move]],1))*3,1)</f>
        <v>V</v>
      </c>
      <c r="I2657" t="str">
        <f>Table132[[#This Row],[ÉTAT]]&amp;Table132[[#This Row],[next move]]</f>
        <v>VEVMEMVME20</v>
      </c>
    </row>
    <row r="2658" spans="2:9" x14ac:dyDescent="0.25">
      <c r="B2658" t="s">
        <v>2439</v>
      </c>
      <c r="C2658" s="22" t="s">
        <v>24</v>
      </c>
      <c r="D2658">
        <v>1</v>
      </c>
      <c r="E2658">
        <v>1</v>
      </c>
      <c r="G2658" s="25">
        <f>Table132[[#This Row],[nb win]]/Table132[[#This Row],[nb play]]</f>
        <v>1</v>
      </c>
      <c r="H2658" t="str">
        <f>MID(Table132[[#This Row],[ÉTAT]],VALUE(RIGHT(Table132[[#This Row],[next move]],1))+1+VALUE(LEFT(Table132[[#This Row],[next move]],1))*3,1)</f>
        <v>V</v>
      </c>
      <c r="I2658" t="str">
        <f>Table132[[#This Row],[ÉTAT]]&amp;Table132[[#This Row],[next move]]</f>
        <v>VEVMEMMVE00</v>
      </c>
    </row>
    <row r="2659" spans="2:9" x14ac:dyDescent="0.25">
      <c r="B2659" t="s">
        <v>1895</v>
      </c>
      <c r="C2659" s="22" t="s">
        <v>24</v>
      </c>
      <c r="D2659">
        <v>1</v>
      </c>
      <c r="G2659" s="30">
        <f>Table132[[#This Row],[nb win]]/Table132[[#This Row],[nb play]]</f>
        <v>0</v>
      </c>
      <c r="H2659" t="str">
        <f>MID(Table132[[#This Row],[ÉTAT]],VALUE(RIGHT(Table132[[#This Row],[next move]],1))+1+VALUE(LEFT(Table132[[#This Row],[next move]],1))*3,1)</f>
        <v>V</v>
      </c>
      <c r="I2659" t="str">
        <f>Table132[[#This Row],[ÉTAT]]&amp;Table132[[#This Row],[next move]]</f>
        <v>VEVMEEVVM00</v>
      </c>
    </row>
    <row r="2660" spans="2:9" x14ac:dyDescent="0.25">
      <c r="B2660" t="s">
        <v>1895</v>
      </c>
      <c r="C2660" s="22" t="s">
        <v>20</v>
      </c>
      <c r="D2660">
        <v>1</v>
      </c>
      <c r="G2660" s="25">
        <f>Table132[[#This Row],[nb win]]/Table132[[#This Row],[nb play]]</f>
        <v>0</v>
      </c>
      <c r="H2660" t="str">
        <f>MID(Table132[[#This Row],[ÉTAT]],VALUE(RIGHT(Table132[[#This Row],[next move]],1))+1+VALUE(LEFT(Table132[[#This Row],[next move]],1))*3,1)</f>
        <v>V</v>
      </c>
      <c r="I2660" t="str">
        <f>Table132[[#This Row],[ÉTAT]]&amp;Table132[[#This Row],[next move]]</f>
        <v>VEVMEEVVM02</v>
      </c>
    </row>
    <row r="2661" spans="2:9" x14ac:dyDescent="0.25">
      <c r="B2661" t="s">
        <v>1895</v>
      </c>
      <c r="C2661" s="22" t="s">
        <v>35</v>
      </c>
      <c r="D2661">
        <v>1</v>
      </c>
      <c r="G2661" s="25">
        <f>Table132[[#This Row],[nb win]]/Table132[[#This Row],[nb play]]</f>
        <v>0</v>
      </c>
      <c r="H2661" t="str">
        <f>MID(Table132[[#This Row],[ÉTAT]],VALUE(RIGHT(Table132[[#This Row],[next move]],1))+1+VALUE(LEFT(Table132[[#This Row],[next move]],1))*3,1)</f>
        <v>V</v>
      </c>
      <c r="I2661" t="str">
        <f>Table132[[#This Row],[ÉTAT]]&amp;Table132[[#This Row],[next move]]</f>
        <v>VEVMEEVVM20</v>
      </c>
    </row>
    <row r="2662" spans="2:9" x14ac:dyDescent="0.25">
      <c r="B2662" t="s">
        <v>1895</v>
      </c>
      <c r="C2662" s="22" t="s">
        <v>22</v>
      </c>
      <c r="D2662">
        <v>1</v>
      </c>
      <c r="E2662">
        <v>1</v>
      </c>
      <c r="G2662" s="31">
        <f>Table132[[#This Row],[nb win]]/Table132[[#This Row],[nb play]]</f>
        <v>1</v>
      </c>
      <c r="H2662" t="str">
        <f>MID(Table132[[#This Row],[ÉTAT]],VALUE(RIGHT(Table132[[#This Row],[next move]],1))+1+VALUE(LEFT(Table132[[#This Row],[next move]],1))*3,1)</f>
        <v>V</v>
      </c>
      <c r="I2662" t="str">
        <f>Table132[[#This Row],[ÉTAT]]&amp;Table132[[#This Row],[next move]]</f>
        <v>VEVMEEVVM21</v>
      </c>
    </row>
    <row r="2663" spans="2:9" x14ac:dyDescent="0.25">
      <c r="B2663" t="s">
        <v>1023</v>
      </c>
      <c r="C2663" s="22" t="s">
        <v>35</v>
      </c>
      <c r="D2663">
        <v>7</v>
      </c>
      <c r="E2663">
        <v>7</v>
      </c>
      <c r="G2663" s="31">
        <f>Table132[[#This Row],[nb win]]/Table132[[#This Row],[nb play]]</f>
        <v>1</v>
      </c>
      <c r="H2663" t="str">
        <f>MID(Table132[[#This Row],[ÉTAT]],VALUE(RIGHT(Table132[[#This Row],[next move]],1))+1+VALUE(LEFT(Table132[[#This Row],[next move]],1))*3,1)</f>
        <v>V</v>
      </c>
      <c r="I2663" t="str">
        <f>Table132[[#This Row],[ÉTAT]]&amp;Table132[[#This Row],[next move]]</f>
        <v>VEVMEEVMV20</v>
      </c>
    </row>
    <row r="2664" spans="2:9" x14ac:dyDescent="0.25">
      <c r="B2664" t="s">
        <v>1778</v>
      </c>
      <c r="C2664" s="22" t="s">
        <v>35</v>
      </c>
      <c r="D2664">
        <v>2</v>
      </c>
      <c r="E2664">
        <v>2</v>
      </c>
      <c r="G2664" s="25">
        <f>Table132[[#This Row],[nb win]]/Table132[[#This Row],[nb play]]</f>
        <v>1</v>
      </c>
      <c r="H2664" t="str">
        <f>MID(Table132[[#This Row],[ÉTAT]],VALUE(RIGHT(Table132[[#This Row],[next move]],1))+1+VALUE(LEFT(Table132[[#This Row],[next move]],1))*3,1)</f>
        <v>V</v>
      </c>
      <c r="I2664" t="str">
        <f>Table132[[#This Row],[ÉTAT]]&amp;Table132[[#This Row],[next move]]</f>
        <v>VEVMEEVMM20</v>
      </c>
    </row>
    <row r="2665" spans="2:9" x14ac:dyDescent="0.25">
      <c r="B2665" t="s">
        <v>1206</v>
      </c>
      <c r="C2665" s="22" t="s">
        <v>24</v>
      </c>
      <c r="D2665">
        <v>3</v>
      </c>
      <c r="E2665">
        <v>3</v>
      </c>
      <c r="G2665" s="25">
        <f>Table132[[#This Row],[nb win]]/Table132[[#This Row],[nb play]]</f>
        <v>1</v>
      </c>
      <c r="H2665" t="str">
        <f>MID(Table132[[#This Row],[ÉTAT]],VALUE(RIGHT(Table132[[#This Row],[next move]],1))+1+VALUE(LEFT(Table132[[#This Row],[next move]],1))*3,1)</f>
        <v>V</v>
      </c>
      <c r="I2665" t="str">
        <f>Table132[[#This Row],[ÉTAT]]&amp;Table132[[#This Row],[next move]]</f>
        <v>VEVMEEMVV00</v>
      </c>
    </row>
    <row r="2666" spans="2:9" x14ac:dyDescent="0.25">
      <c r="B2666" t="s">
        <v>2174</v>
      </c>
      <c r="C2666" s="22" t="s">
        <v>20</v>
      </c>
      <c r="D2666">
        <v>1</v>
      </c>
      <c r="E2666">
        <v>1</v>
      </c>
      <c r="G2666" s="25">
        <f>Table132[[#This Row],[nb win]]/Table132[[#This Row],[nb play]]</f>
        <v>1</v>
      </c>
      <c r="H2666" t="str">
        <f>MID(Table132[[#This Row],[ÉTAT]],VALUE(RIGHT(Table132[[#This Row],[next move]],1))+1+VALUE(LEFT(Table132[[#This Row],[next move]],1))*3,1)</f>
        <v>V</v>
      </c>
      <c r="I2666" t="str">
        <f>Table132[[#This Row],[ÉTAT]]&amp;Table132[[#This Row],[next move]]</f>
        <v>VEVMEEMMV02</v>
      </c>
    </row>
    <row r="2667" spans="2:9" x14ac:dyDescent="0.25">
      <c r="B2667" t="s">
        <v>1671</v>
      </c>
      <c r="C2667" s="22" t="s">
        <v>24</v>
      </c>
      <c r="D2667">
        <v>4</v>
      </c>
      <c r="E2667">
        <v>4</v>
      </c>
      <c r="G2667" s="31">
        <f>Table132[[#This Row],[nb win]]/Table132[[#This Row],[nb play]]</f>
        <v>1</v>
      </c>
      <c r="H2667" t="str">
        <f>MID(Table132[[#This Row],[ÉTAT]],VALUE(RIGHT(Table132[[#This Row],[next move]],1))+1+VALUE(LEFT(Table132[[#This Row],[next move]],1))*3,1)</f>
        <v>V</v>
      </c>
      <c r="I2667" t="str">
        <f>Table132[[#This Row],[ÉTAT]]&amp;Table132[[#This Row],[next move]]</f>
        <v>VEVMEEMME00</v>
      </c>
    </row>
    <row r="2668" spans="2:9" x14ac:dyDescent="0.25">
      <c r="B2668" t="s">
        <v>1661</v>
      </c>
      <c r="C2668" s="22" t="s">
        <v>24</v>
      </c>
      <c r="D2668">
        <v>1</v>
      </c>
      <c r="G2668" s="25">
        <f>Table132[[#This Row],[nb win]]/Table132[[#This Row],[nb play]]</f>
        <v>0</v>
      </c>
      <c r="H2668" t="str">
        <f>MID(Table132[[#This Row],[ÉTAT]],VALUE(RIGHT(Table132[[#This Row],[next move]],1))+1+VALUE(LEFT(Table132[[#This Row],[next move]],1))*3,1)</f>
        <v>V</v>
      </c>
      <c r="I2668" t="str">
        <f>Table132[[#This Row],[ÉTAT]]&amp;Table132[[#This Row],[next move]]</f>
        <v>VEVMEEEMM00</v>
      </c>
    </row>
    <row r="2669" spans="2:9" x14ac:dyDescent="0.25">
      <c r="B2669" t="s">
        <v>348</v>
      </c>
      <c r="C2669" s="22" t="s">
        <v>24</v>
      </c>
      <c r="D2669">
        <v>2</v>
      </c>
      <c r="E2669">
        <v>1</v>
      </c>
      <c r="G2669" s="31">
        <f>Table132[[#This Row],[nb win]]/Table132[[#This Row],[nb play]]</f>
        <v>0.5</v>
      </c>
      <c r="H2669" t="str">
        <f>MID(Table132[[#This Row],[ÉTAT]],VALUE(RIGHT(Table132[[#This Row],[next move]],1))+1+VALUE(LEFT(Table132[[#This Row],[next move]],1))*3,1)</f>
        <v>V</v>
      </c>
      <c r="I2669" t="str">
        <f>Table132[[#This Row],[ÉTAT]]&amp;Table132[[#This Row],[next move]]</f>
        <v>VEVEVVVVM00</v>
      </c>
    </row>
    <row r="2670" spans="2:9" x14ac:dyDescent="0.25">
      <c r="B2670" t="s">
        <v>348</v>
      </c>
      <c r="C2670" s="22" t="s">
        <v>20</v>
      </c>
      <c r="D2670">
        <v>2</v>
      </c>
      <c r="E2670">
        <v>1</v>
      </c>
      <c r="G2670" s="30">
        <f>Table132[[#This Row],[nb win]]/Table132[[#This Row],[nb play]]</f>
        <v>0.5</v>
      </c>
      <c r="H2670" t="str">
        <f>MID(Table132[[#This Row],[ÉTAT]],VALUE(RIGHT(Table132[[#This Row],[next move]],1))+1+VALUE(LEFT(Table132[[#This Row],[next move]],1))*3,1)</f>
        <v>V</v>
      </c>
      <c r="I2670" t="str">
        <f>Table132[[#This Row],[ÉTAT]]&amp;Table132[[#This Row],[next move]]</f>
        <v>VEVEVVVVM02</v>
      </c>
    </row>
    <row r="2671" spans="2:9" x14ac:dyDescent="0.25">
      <c r="B2671" t="s">
        <v>348</v>
      </c>
      <c r="C2671" s="22" t="s">
        <v>28</v>
      </c>
      <c r="D2671">
        <v>3</v>
      </c>
      <c r="E2671">
        <v>2</v>
      </c>
      <c r="G2671" s="25">
        <f>Table132[[#This Row],[nb win]]/Table132[[#This Row],[nb play]]</f>
        <v>0.66666666666666663</v>
      </c>
      <c r="H2671" t="str">
        <f>MID(Table132[[#This Row],[ÉTAT]],VALUE(RIGHT(Table132[[#This Row],[next move]],1))+1+VALUE(LEFT(Table132[[#This Row],[next move]],1))*3,1)</f>
        <v>V</v>
      </c>
      <c r="I2671" t="str">
        <f>Table132[[#This Row],[ÉTAT]]&amp;Table132[[#This Row],[next move]]</f>
        <v>VEVEVVVVM12</v>
      </c>
    </row>
    <row r="2672" spans="2:9" x14ac:dyDescent="0.25">
      <c r="B2672" t="s">
        <v>348</v>
      </c>
      <c r="C2672" s="22" t="s">
        <v>35</v>
      </c>
      <c r="D2672">
        <v>4</v>
      </c>
      <c r="E2672">
        <v>2</v>
      </c>
      <c r="G2672" s="31">
        <f>Table132[[#This Row],[nb win]]/Table132[[#This Row],[nb play]]</f>
        <v>0.5</v>
      </c>
      <c r="H2672" t="str">
        <f>MID(Table132[[#This Row],[ÉTAT]],VALUE(RIGHT(Table132[[#This Row],[next move]],1))+1+VALUE(LEFT(Table132[[#This Row],[next move]],1))*3,1)</f>
        <v>V</v>
      </c>
      <c r="I2672" t="str">
        <f>Table132[[#This Row],[ÉTAT]]&amp;Table132[[#This Row],[next move]]</f>
        <v>VEVEVVVVM20</v>
      </c>
    </row>
    <row r="2673" spans="2:9" x14ac:dyDescent="0.25">
      <c r="B2673" t="s">
        <v>1522</v>
      </c>
      <c r="C2673" s="22" t="s">
        <v>28</v>
      </c>
      <c r="D2673">
        <v>1</v>
      </c>
      <c r="E2673">
        <v>1</v>
      </c>
      <c r="G2673" s="31">
        <f>Table132[[#This Row],[nb win]]/Table132[[#This Row],[nb play]]</f>
        <v>1</v>
      </c>
      <c r="H2673" t="str">
        <f>MID(Table132[[#This Row],[ÉTAT]],VALUE(RIGHT(Table132[[#This Row],[next move]],1))+1+VALUE(LEFT(Table132[[#This Row],[next move]],1))*3,1)</f>
        <v>V</v>
      </c>
      <c r="I2673" t="str">
        <f>Table132[[#This Row],[ÉTAT]]&amp;Table132[[#This Row],[next move]]</f>
        <v>VEVEVVVMV12</v>
      </c>
    </row>
    <row r="2674" spans="2:9" x14ac:dyDescent="0.25">
      <c r="B2674" t="s">
        <v>1522</v>
      </c>
      <c r="C2674" s="22" t="s">
        <v>35</v>
      </c>
      <c r="D2674">
        <v>4</v>
      </c>
      <c r="E2674">
        <v>3</v>
      </c>
      <c r="G2674" s="30">
        <f>Table132[[#This Row],[nb win]]/Table132[[#This Row],[nb play]]</f>
        <v>0.75</v>
      </c>
      <c r="H2674" t="str">
        <f>MID(Table132[[#This Row],[ÉTAT]],VALUE(RIGHT(Table132[[#This Row],[next move]],1))+1+VALUE(LEFT(Table132[[#This Row],[next move]],1))*3,1)</f>
        <v>V</v>
      </c>
      <c r="I2674" t="str">
        <f>Table132[[#This Row],[ÉTAT]]&amp;Table132[[#This Row],[next move]]</f>
        <v>VEVEVVVMV20</v>
      </c>
    </row>
    <row r="2675" spans="2:9" x14ac:dyDescent="0.25">
      <c r="B2675" t="s">
        <v>1522</v>
      </c>
      <c r="C2675" s="22" t="s">
        <v>31</v>
      </c>
      <c r="D2675">
        <v>6</v>
      </c>
      <c r="E2675">
        <v>1</v>
      </c>
      <c r="G2675" s="30">
        <f>Table132[[#This Row],[nb win]]/Table132[[#This Row],[nb play]]</f>
        <v>0.16666666666666666</v>
      </c>
      <c r="H2675" t="str">
        <f>MID(Table132[[#This Row],[ÉTAT]],VALUE(RIGHT(Table132[[#This Row],[next move]],1))+1+VALUE(LEFT(Table132[[#This Row],[next move]],1))*3,1)</f>
        <v>V</v>
      </c>
      <c r="I2675" t="str">
        <f>Table132[[#This Row],[ÉTAT]]&amp;Table132[[#This Row],[next move]]</f>
        <v>VEVEVVVMV22</v>
      </c>
    </row>
    <row r="2676" spans="2:9" x14ac:dyDescent="0.25">
      <c r="B2676" t="s">
        <v>648</v>
      </c>
      <c r="C2676" s="22" t="s">
        <v>24</v>
      </c>
      <c r="D2676">
        <v>1</v>
      </c>
      <c r="E2676">
        <v>1</v>
      </c>
      <c r="G2676" s="31">
        <f>Table132[[#This Row],[nb win]]/Table132[[#This Row],[nb play]]</f>
        <v>1</v>
      </c>
      <c r="H2676" t="str">
        <f>MID(Table132[[#This Row],[ÉTAT]],VALUE(RIGHT(Table132[[#This Row],[next move]],1))+1+VALUE(LEFT(Table132[[#This Row],[next move]],1))*3,1)</f>
        <v>V</v>
      </c>
      <c r="I2676" t="str">
        <f>Table132[[#This Row],[ÉTAT]]&amp;Table132[[#This Row],[next move]]</f>
        <v>VEVEVVVMM00</v>
      </c>
    </row>
    <row r="2677" spans="2:9" x14ac:dyDescent="0.25">
      <c r="B2677" t="s">
        <v>648</v>
      </c>
      <c r="C2677" s="22" t="s">
        <v>28</v>
      </c>
      <c r="D2677">
        <v>5</v>
      </c>
      <c r="E2677">
        <v>4</v>
      </c>
      <c r="G2677" s="30">
        <f>Table132[[#This Row],[nb win]]/Table132[[#This Row],[nb play]]</f>
        <v>0.8</v>
      </c>
      <c r="H2677" t="str">
        <f>MID(Table132[[#This Row],[ÉTAT]],VALUE(RIGHT(Table132[[#This Row],[next move]],1))+1+VALUE(LEFT(Table132[[#This Row],[next move]],1))*3,1)</f>
        <v>V</v>
      </c>
      <c r="I2677" t="str">
        <f>Table132[[#This Row],[ÉTAT]]&amp;Table132[[#This Row],[next move]]</f>
        <v>VEVEVVVMM12</v>
      </c>
    </row>
    <row r="2678" spans="2:9" x14ac:dyDescent="0.25">
      <c r="B2678" t="s">
        <v>1556</v>
      </c>
      <c r="C2678" s="22" t="s">
        <v>28</v>
      </c>
      <c r="D2678">
        <v>5</v>
      </c>
      <c r="G2678" s="30">
        <f>Table132[[#This Row],[nb win]]/Table132[[#This Row],[nb play]]</f>
        <v>0</v>
      </c>
      <c r="H2678" t="str">
        <f>MID(Table132[[#This Row],[ÉTAT]],VALUE(RIGHT(Table132[[#This Row],[next move]],1))+1+VALUE(LEFT(Table132[[#This Row],[next move]],1))*3,1)</f>
        <v>V</v>
      </c>
      <c r="I2678" t="str">
        <f>Table132[[#This Row],[ÉTAT]]&amp;Table132[[#This Row],[next move]]</f>
        <v>VEVEVVMVV12</v>
      </c>
    </row>
    <row r="2679" spans="2:9" x14ac:dyDescent="0.25">
      <c r="B2679" t="s">
        <v>1556</v>
      </c>
      <c r="C2679" s="22" t="s">
        <v>31</v>
      </c>
      <c r="D2679">
        <v>5</v>
      </c>
      <c r="E2679">
        <v>5</v>
      </c>
      <c r="G2679" s="31">
        <f>Table132[[#This Row],[nb win]]/Table132[[#This Row],[nb play]]</f>
        <v>1</v>
      </c>
      <c r="H2679" t="str">
        <f>MID(Table132[[#This Row],[ÉTAT]],VALUE(RIGHT(Table132[[#This Row],[next move]],1))+1+VALUE(LEFT(Table132[[#This Row],[next move]],1))*3,1)</f>
        <v>V</v>
      </c>
      <c r="I2679" t="str">
        <f>Table132[[#This Row],[ÉTAT]]&amp;Table132[[#This Row],[next move]]</f>
        <v>VEVEVVMVV22</v>
      </c>
    </row>
    <row r="2680" spans="2:9" x14ac:dyDescent="0.25">
      <c r="B2680" t="s">
        <v>600</v>
      </c>
      <c r="C2680" s="22" t="s">
        <v>22</v>
      </c>
      <c r="D2680">
        <v>8</v>
      </c>
      <c r="E2680">
        <v>8</v>
      </c>
      <c r="G2680" s="31">
        <f>Table132[[#This Row],[nb win]]/Table132[[#This Row],[nb play]]</f>
        <v>1</v>
      </c>
      <c r="H2680" t="str">
        <f>MID(Table132[[#This Row],[ÉTAT]],VALUE(RIGHT(Table132[[#This Row],[next move]],1))+1+VALUE(LEFT(Table132[[#This Row],[next move]],1))*3,1)</f>
        <v>V</v>
      </c>
      <c r="I2680" t="str">
        <f>Table132[[#This Row],[ÉTAT]]&amp;Table132[[#This Row],[next move]]</f>
        <v>VEVEVVMVM21</v>
      </c>
    </row>
    <row r="2681" spans="2:9" x14ac:dyDescent="0.25">
      <c r="B2681" t="s">
        <v>1627</v>
      </c>
      <c r="C2681" s="22" t="s">
        <v>29</v>
      </c>
      <c r="D2681">
        <v>7</v>
      </c>
      <c r="E2681">
        <v>7</v>
      </c>
      <c r="G2681" s="31">
        <f>Table132[[#This Row],[nb win]]/Table132[[#This Row],[nb play]]</f>
        <v>1</v>
      </c>
      <c r="H2681" t="str">
        <f>MID(Table132[[#This Row],[ÉTAT]],VALUE(RIGHT(Table132[[#This Row],[next move]],1))+1+VALUE(LEFT(Table132[[#This Row],[next move]],1))*3,1)</f>
        <v>V</v>
      </c>
      <c r="I2681" t="str">
        <f>Table132[[#This Row],[ÉTAT]]&amp;Table132[[#This Row],[next move]]</f>
        <v>VEVEVVMMV11</v>
      </c>
    </row>
    <row r="2682" spans="2:9" x14ac:dyDescent="0.25">
      <c r="B2682" t="s">
        <v>3078</v>
      </c>
      <c r="C2682" s="22" t="s">
        <v>28</v>
      </c>
      <c r="D2682">
        <v>1</v>
      </c>
      <c r="G2682" s="30">
        <f>Table132[[#This Row],[nb win]]/Table132[[#This Row],[nb play]]</f>
        <v>0</v>
      </c>
      <c r="H2682" t="str">
        <f>MID(Table132[[#This Row],[ÉTAT]],VALUE(RIGHT(Table132[[#This Row],[next move]],1))+1+VALUE(LEFT(Table132[[#This Row],[next move]],1))*3,1)</f>
        <v>V</v>
      </c>
      <c r="I2682" t="str">
        <f>Table132[[#This Row],[ÉTAT]]&amp;Table132[[#This Row],[next move]]</f>
        <v>VEVEVVMME12</v>
      </c>
    </row>
    <row r="2683" spans="2:9" x14ac:dyDescent="0.25">
      <c r="B2683" t="s">
        <v>1958</v>
      </c>
      <c r="C2683" s="22" t="s">
        <v>24</v>
      </c>
      <c r="D2683">
        <v>3</v>
      </c>
      <c r="E2683">
        <v>2</v>
      </c>
      <c r="G2683" s="25">
        <f>Table132[[#This Row],[nb win]]/Table132[[#This Row],[nb play]]</f>
        <v>0.66666666666666663</v>
      </c>
      <c r="H2683" t="str">
        <f>MID(Table132[[#This Row],[ÉTAT]],VALUE(RIGHT(Table132[[#This Row],[next move]],1))+1+VALUE(LEFT(Table132[[#This Row],[next move]],1))*3,1)</f>
        <v>V</v>
      </c>
      <c r="I2683" t="str">
        <f>Table132[[#This Row],[ÉTAT]]&amp;Table132[[#This Row],[next move]]</f>
        <v>VEVEVVMEM00</v>
      </c>
    </row>
    <row r="2684" spans="2:9" x14ac:dyDescent="0.25">
      <c r="B2684" t="s">
        <v>1958</v>
      </c>
      <c r="C2684" s="22" t="s">
        <v>29</v>
      </c>
      <c r="D2684">
        <v>2</v>
      </c>
      <c r="E2684">
        <v>2</v>
      </c>
      <c r="G2684" s="31">
        <f>Table132[[#This Row],[nb win]]/Table132[[#This Row],[nb play]]</f>
        <v>1</v>
      </c>
      <c r="H2684" t="str">
        <f>MID(Table132[[#This Row],[ÉTAT]],VALUE(RIGHT(Table132[[#This Row],[next move]],1))+1+VALUE(LEFT(Table132[[#This Row],[next move]],1))*3,1)</f>
        <v>V</v>
      </c>
      <c r="I2684" t="str">
        <f>Table132[[#This Row],[ÉTAT]]&amp;Table132[[#This Row],[next move]]</f>
        <v>VEVEVVMEM11</v>
      </c>
    </row>
    <row r="2685" spans="2:9" x14ac:dyDescent="0.25">
      <c r="B2685" t="s">
        <v>3462</v>
      </c>
      <c r="C2685" s="22" t="s">
        <v>35</v>
      </c>
      <c r="D2685">
        <v>2</v>
      </c>
      <c r="E2685">
        <v>2</v>
      </c>
      <c r="G2685" s="31">
        <f>Table132[[#This Row],[nb win]]/Table132[[#This Row],[nb play]]</f>
        <v>1</v>
      </c>
      <c r="H2685" t="str">
        <f>MID(Table132[[#This Row],[ÉTAT]],VALUE(RIGHT(Table132[[#This Row],[next move]],1))+1+VALUE(LEFT(Table132[[#This Row],[next move]],1))*3,1)</f>
        <v>V</v>
      </c>
      <c r="I2685" t="str">
        <f>Table132[[#This Row],[ÉTAT]]&amp;Table132[[#This Row],[next move]]</f>
        <v>VEVEVMVVV20</v>
      </c>
    </row>
    <row r="2686" spans="2:9" x14ac:dyDescent="0.25">
      <c r="B2686" t="s">
        <v>2379</v>
      </c>
      <c r="C2686" s="22" t="s">
        <v>22</v>
      </c>
      <c r="D2686">
        <v>5</v>
      </c>
      <c r="E2686">
        <v>5</v>
      </c>
      <c r="G2686" s="31">
        <f>Table132[[#This Row],[nb win]]/Table132[[#This Row],[nb play]]</f>
        <v>1</v>
      </c>
      <c r="H2686" t="str">
        <f>MID(Table132[[#This Row],[ÉTAT]],VALUE(RIGHT(Table132[[#This Row],[next move]],1))+1+VALUE(LEFT(Table132[[#This Row],[next move]],1))*3,1)</f>
        <v>V</v>
      </c>
      <c r="I2686" t="str">
        <f>Table132[[#This Row],[ÉTAT]]&amp;Table132[[#This Row],[next move]]</f>
        <v>VEVEVMVVM21</v>
      </c>
    </row>
    <row r="2687" spans="2:9" x14ac:dyDescent="0.25">
      <c r="B2687" t="s">
        <v>748</v>
      </c>
      <c r="C2687" s="22" t="s">
        <v>31</v>
      </c>
      <c r="D2687">
        <v>2</v>
      </c>
      <c r="E2687">
        <v>2</v>
      </c>
      <c r="G2687" s="31">
        <f>Table132[[#This Row],[nb win]]/Table132[[#This Row],[nb play]]</f>
        <v>1</v>
      </c>
      <c r="H2687" t="str">
        <f>MID(Table132[[#This Row],[ÉTAT]],VALUE(RIGHT(Table132[[#This Row],[next move]],1))+1+VALUE(LEFT(Table132[[#This Row],[next move]],1))*3,1)</f>
        <v>V</v>
      </c>
      <c r="I2687" t="str">
        <f>Table132[[#This Row],[ÉTAT]]&amp;Table132[[#This Row],[next move]]</f>
        <v>VEVEVMVMV22</v>
      </c>
    </row>
    <row r="2688" spans="2:9" x14ac:dyDescent="0.25">
      <c r="B2688" t="s">
        <v>1560</v>
      </c>
      <c r="C2688" s="22" t="s">
        <v>20</v>
      </c>
      <c r="D2688">
        <v>2</v>
      </c>
      <c r="E2688">
        <v>2</v>
      </c>
      <c r="G2688" s="25">
        <f>Table132[[#This Row],[nb win]]/Table132[[#This Row],[nb play]]</f>
        <v>1</v>
      </c>
      <c r="H2688" t="str">
        <f>MID(Table132[[#This Row],[ÉTAT]],VALUE(RIGHT(Table132[[#This Row],[next move]],1))+1+VALUE(LEFT(Table132[[#This Row],[next move]],1))*3,1)</f>
        <v>V</v>
      </c>
      <c r="I2688" t="str">
        <f>Table132[[#This Row],[ÉTAT]]&amp;Table132[[#This Row],[next move]]</f>
        <v>VEVEVMVEM02</v>
      </c>
    </row>
    <row r="2689" spans="2:9" x14ac:dyDescent="0.25">
      <c r="B2689" t="s">
        <v>2324</v>
      </c>
      <c r="C2689" s="22" t="s">
        <v>31</v>
      </c>
      <c r="D2689">
        <v>3</v>
      </c>
      <c r="E2689">
        <v>3</v>
      </c>
      <c r="G2689" s="25">
        <f>Table132[[#This Row],[nb win]]/Table132[[#This Row],[nb play]]</f>
        <v>1</v>
      </c>
      <c r="H2689" t="str">
        <f>MID(Table132[[#This Row],[ÉTAT]],VALUE(RIGHT(Table132[[#This Row],[next move]],1))+1+VALUE(LEFT(Table132[[#This Row],[next move]],1))*3,1)</f>
        <v>V</v>
      </c>
      <c r="I2689" t="str">
        <f>Table132[[#This Row],[ÉTAT]]&amp;Table132[[#This Row],[next move]]</f>
        <v>VEVEVMMVV22</v>
      </c>
    </row>
    <row r="2690" spans="2:9" x14ac:dyDescent="0.25">
      <c r="B2690" t="s">
        <v>3504</v>
      </c>
      <c r="C2690" s="22" t="s">
        <v>20</v>
      </c>
      <c r="D2690">
        <v>1</v>
      </c>
      <c r="G2690" s="30">
        <f>Table132[[#This Row],[nb win]]/Table132[[#This Row],[nb play]]</f>
        <v>0</v>
      </c>
      <c r="H2690" t="str">
        <f>MID(Table132[[#This Row],[ÉTAT]],VALUE(RIGHT(Table132[[#This Row],[next move]],1))+1+VALUE(LEFT(Table132[[#This Row],[next move]],1))*3,1)</f>
        <v>V</v>
      </c>
      <c r="I2690" t="str">
        <f>Table132[[#This Row],[ÉTAT]]&amp;Table132[[#This Row],[next move]]</f>
        <v>VEVEVMMVE02</v>
      </c>
    </row>
    <row r="2691" spans="2:9" x14ac:dyDescent="0.25">
      <c r="B2691" t="s">
        <v>1558</v>
      </c>
      <c r="C2691" s="22" t="s">
        <v>24</v>
      </c>
      <c r="D2691">
        <v>1</v>
      </c>
      <c r="G2691" s="25">
        <f>Table132[[#This Row],[nb win]]/Table132[[#This Row],[nb play]]</f>
        <v>0</v>
      </c>
      <c r="H2691" t="str">
        <f>MID(Table132[[#This Row],[ÉTAT]],VALUE(RIGHT(Table132[[#This Row],[next move]],1))+1+VALUE(LEFT(Table132[[#This Row],[next move]],1))*3,1)</f>
        <v>V</v>
      </c>
      <c r="I2691" t="str">
        <f>Table132[[#This Row],[ÉTAT]]&amp;Table132[[#This Row],[next move]]</f>
        <v>VEVEVMMEV00</v>
      </c>
    </row>
    <row r="2692" spans="2:9" x14ac:dyDescent="0.25">
      <c r="B2692" t="s">
        <v>1558</v>
      </c>
      <c r="C2692" s="22" t="s">
        <v>20</v>
      </c>
      <c r="D2692">
        <v>1</v>
      </c>
      <c r="G2692" s="25">
        <f>Table132[[#This Row],[nb win]]/Table132[[#This Row],[nb play]]</f>
        <v>0</v>
      </c>
      <c r="H2692" t="str">
        <f>MID(Table132[[#This Row],[ÉTAT]],VALUE(RIGHT(Table132[[#This Row],[next move]],1))+1+VALUE(LEFT(Table132[[#This Row],[next move]],1))*3,1)</f>
        <v>V</v>
      </c>
      <c r="I2692" t="str">
        <f>Table132[[#This Row],[ÉTAT]]&amp;Table132[[#This Row],[next move]]</f>
        <v>VEVEVMMEV02</v>
      </c>
    </row>
    <row r="2693" spans="2:9" x14ac:dyDescent="0.25">
      <c r="B2693" t="s">
        <v>1558</v>
      </c>
      <c r="C2693" s="22" t="s">
        <v>29</v>
      </c>
      <c r="D2693">
        <v>3</v>
      </c>
      <c r="E2693">
        <v>2</v>
      </c>
      <c r="G2693" s="31">
        <f>Table132[[#This Row],[nb win]]/Table132[[#This Row],[nb play]]</f>
        <v>0.66666666666666663</v>
      </c>
      <c r="H2693" t="str">
        <f>MID(Table132[[#This Row],[ÉTAT]],VALUE(RIGHT(Table132[[#This Row],[next move]],1))+1+VALUE(LEFT(Table132[[#This Row],[next move]],1))*3,1)</f>
        <v>V</v>
      </c>
      <c r="I2693" t="str">
        <f>Table132[[#This Row],[ÉTAT]]&amp;Table132[[#This Row],[next move]]</f>
        <v>VEVEVMMEV11</v>
      </c>
    </row>
    <row r="2694" spans="2:9" x14ac:dyDescent="0.25">
      <c r="B2694" t="s">
        <v>1558</v>
      </c>
      <c r="C2694" s="22" t="s">
        <v>31</v>
      </c>
      <c r="D2694">
        <v>2</v>
      </c>
      <c r="G2694" s="30">
        <f>Table132[[#This Row],[nb win]]/Table132[[#This Row],[nb play]]</f>
        <v>0</v>
      </c>
      <c r="H2694" t="str">
        <f>MID(Table132[[#This Row],[ÉTAT]],VALUE(RIGHT(Table132[[#This Row],[next move]],1))+1+VALUE(LEFT(Table132[[#This Row],[next move]],1))*3,1)</f>
        <v>V</v>
      </c>
      <c r="I2694" t="str">
        <f>Table132[[#This Row],[ÉTAT]]&amp;Table132[[#This Row],[next move]]</f>
        <v>VEVEVMMEV22</v>
      </c>
    </row>
    <row r="2695" spans="2:9" x14ac:dyDescent="0.25">
      <c r="B2695" t="s">
        <v>2326</v>
      </c>
      <c r="C2695" s="22" t="s">
        <v>20</v>
      </c>
      <c r="D2695">
        <v>1</v>
      </c>
      <c r="E2695">
        <v>1</v>
      </c>
      <c r="G2695" s="25">
        <f>Table132[[#This Row],[nb win]]/Table132[[#This Row],[nb play]]</f>
        <v>1</v>
      </c>
      <c r="H2695" t="str">
        <f>MID(Table132[[#This Row],[ÉTAT]],VALUE(RIGHT(Table132[[#This Row],[next move]],1))+1+VALUE(LEFT(Table132[[#This Row],[next move]],1))*3,1)</f>
        <v>V</v>
      </c>
      <c r="I2695" t="str">
        <f>Table132[[#This Row],[ÉTAT]]&amp;Table132[[#This Row],[next move]]</f>
        <v>VEVEVMMEM02</v>
      </c>
    </row>
    <row r="2696" spans="2:9" x14ac:dyDescent="0.25">
      <c r="B2696" t="s">
        <v>893</v>
      </c>
      <c r="C2696" s="22" t="s">
        <v>20</v>
      </c>
      <c r="D2696">
        <v>3</v>
      </c>
      <c r="E2696">
        <v>3</v>
      </c>
      <c r="G2696" s="25">
        <f>Table132[[#This Row],[nb win]]/Table132[[#This Row],[nb play]]</f>
        <v>1</v>
      </c>
      <c r="H2696" t="str">
        <f>MID(Table132[[#This Row],[ÉTAT]],VALUE(RIGHT(Table132[[#This Row],[next move]],1))+1+VALUE(LEFT(Table132[[#This Row],[next move]],1))*3,1)</f>
        <v>V</v>
      </c>
      <c r="I2696" t="str">
        <f>Table132[[#This Row],[ÉTAT]]&amp;Table132[[#This Row],[next move]]</f>
        <v>VEVEVMEVM02</v>
      </c>
    </row>
    <row r="2697" spans="2:9" x14ac:dyDescent="0.25">
      <c r="B2697" t="s">
        <v>268</v>
      </c>
      <c r="C2697" s="22" t="s">
        <v>29</v>
      </c>
      <c r="D2697">
        <v>2</v>
      </c>
      <c r="E2697">
        <v>1</v>
      </c>
      <c r="G2697" s="30">
        <f>Table132[[#This Row],[nb win]]/Table132[[#This Row],[nb play]]</f>
        <v>0.5</v>
      </c>
      <c r="H2697" t="str">
        <f>MID(Table132[[#This Row],[ÉTAT]],VALUE(RIGHT(Table132[[#This Row],[next move]],1))+1+VALUE(LEFT(Table132[[#This Row],[next move]],1))*3,1)</f>
        <v>V</v>
      </c>
      <c r="I2697" t="str">
        <f>Table132[[#This Row],[ÉTAT]]&amp;Table132[[#This Row],[next move]]</f>
        <v>VEVEVMEMM11</v>
      </c>
    </row>
    <row r="2698" spans="2:9" x14ac:dyDescent="0.25">
      <c r="B2698" t="s">
        <v>1224</v>
      </c>
      <c r="C2698" s="22" t="s">
        <v>22</v>
      </c>
      <c r="D2698">
        <v>3</v>
      </c>
      <c r="E2698">
        <v>3</v>
      </c>
      <c r="G2698" s="31">
        <f>Table132[[#This Row],[nb win]]/Table132[[#This Row],[nb play]]</f>
        <v>1</v>
      </c>
      <c r="H2698" t="str">
        <f>MID(Table132[[#This Row],[ÉTAT]],VALUE(RIGHT(Table132[[#This Row],[next move]],1))+1+VALUE(LEFT(Table132[[#This Row],[next move]],1))*3,1)</f>
        <v>V</v>
      </c>
      <c r="I2698" t="str">
        <f>Table132[[#This Row],[ÉTAT]]&amp;Table132[[#This Row],[next move]]</f>
        <v>VEVEVEMVM21</v>
      </c>
    </row>
    <row r="2699" spans="2:9" x14ac:dyDescent="0.25">
      <c r="B2699" t="s">
        <v>130</v>
      </c>
      <c r="C2699" s="22" t="s">
        <v>20</v>
      </c>
      <c r="D2699">
        <v>5</v>
      </c>
      <c r="G2699" s="30">
        <f>Table132[[#This Row],[nb win]]/Table132[[#This Row],[nb play]]</f>
        <v>0</v>
      </c>
      <c r="H2699" t="str">
        <f>MID(Table132[[#This Row],[ÉTAT]],VALUE(RIGHT(Table132[[#This Row],[next move]],1))+1+VALUE(LEFT(Table132[[#This Row],[next move]],1))*3,1)</f>
        <v>V</v>
      </c>
      <c r="I2699" t="str">
        <f>Table132[[#This Row],[ÉTAT]]&amp;Table132[[#This Row],[next move]]</f>
        <v>VEVEVEMMV02</v>
      </c>
    </row>
    <row r="2700" spans="2:9" x14ac:dyDescent="0.25">
      <c r="B2700" t="s">
        <v>130</v>
      </c>
      <c r="C2700" s="22" t="s">
        <v>29</v>
      </c>
      <c r="D2700">
        <v>3</v>
      </c>
      <c r="E2700">
        <v>2</v>
      </c>
      <c r="G2700" s="31">
        <f>Table132[[#This Row],[nb win]]/Table132[[#This Row],[nb play]]</f>
        <v>0.66666666666666663</v>
      </c>
      <c r="H2700" t="str">
        <f>MID(Table132[[#This Row],[ÉTAT]],VALUE(RIGHT(Table132[[#This Row],[next move]],1))+1+VALUE(LEFT(Table132[[#This Row],[next move]],1))*3,1)</f>
        <v>V</v>
      </c>
      <c r="I2700" t="str">
        <f>Table132[[#This Row],[ÉTAT]]&amp;Table132[[#This Row],[next move]]</f>
        <v>VEVEVEMMV11</v>
      </c>
    </row>
    <row r="2701" spans="2:9" x14ac:dyDescent="0.25">
      <c r="B2701" t="s">
        <v>130</v>
      </c>
      <c r="C2701" s="22" t="s">
        <v>31</v>
      </c>
      <c r="D2701">
        <v>3</v>
      </c>
      <c r="E2701">
        <v>3</v>
      </c>
      <c r="G2701" s="31">
        <f>Table132[[#This Row],[nb win]]/Table132[[#This Row],[nb play]]</f>
        <v>1</v>
      </c>
      <c r="H2701" t="str">
        <f>MID(Table132[[#This Row],[ÉTAT]],VALUE(RIGHT(Table132[[#This Row],[next move]],1))+1+VALUE(LEFT(Table132[[#This Row],[next move]],1))*3,1)</f>
        <v>V</v>
      </c>
      <c r="I2701" t="str">
        <f>Table132[[#This Row],[ÉTAT]]&amp;Table132[[#This Row],[next move]]</f>
        <v>VEVEVEMMV22</v>
      </c>
    </row>
    <row r="2702" spans="2:9" x14ac:dyDescent="0.25">
      <c r="B2702" t="s">
        <v>1442</v>
      </c>
      <c r="C2702" s="22" t="s">
        <v>24</v>
      </c>
      <c r="D2702">
        <v>4</v>
      </c>
      <c r="E2702">
        <v>3</v>
      </c>
      <c r="G2702" s="31">
        <f>Table132[[#This Row],[nb win]]/Table132[[#This Row],[nb play]]</f>
        <v>0.75</v>
      </c>
      <c r="H2702" t="str">
        <f>MID(Table132[[#This Row],[ÉTAT]],VALUE(RIGHT(Table132[[#This Row],[next move]],1))+1+VALUE(LEFT(Table132[[#This Row],[next move]],1))*3,1)</f>
        <v>V</v>
      </c>
      <c r="I2702" t="str">
        <f>Table132[[#This Row],[ÉTAT]]&amp;Table132[[#This Row],[next move]]</f>
        <v>VEVEMVVVV00</v>
      </c>
    </row>
    <row r="2703" spans="2:9" x14ac:dyDescent="0.25">
      <c r="B2703" t="s">
        <v>1442</v>
      </c>
      <c r="C2703" s="22" t="s">
        <v>22</v>
      </c>
      <c r="D2703">
        <v>4</v>
      </c>
      <c r="E2703">
        <v>1</v>
      </c>
      <c r="G2703" s="30">
        <f>Table132[[#This Row],[nb win]]/Table132[[#This Row],[nb play]]</f>
        <v>0.25</v>
      </c>
      <c r="H2703" t="str">
        <f>MID(Table132[[#This Row],[ÉTAT]],VALUE(RIGHT(Table132[[#This Row],[next move]],1))+1+VALUE(LEFT(Table132[[#This Row],[next move]],1))*3,1)</f>
        <v>V</v>
      </c>
      <c r="I2703" t="str">
        <f>Table132[[#This Row],[ÉTAT]]&amp;Table132[[#This Row],[next move]]</f>
        <v>VEVEMVVVV21</v>
      </c>
    </row>
    <row r="2704" spans="2:9" x14ac:dyDescent="0.25">
      <c r="B2704" t="s">
        <v>1442</v>
      </c>
      <c r="C2704" s="22" t="s">
        <v>31</v>
      </c>
      <c r="D2704">
        <v>4</v>
      </c>
      <c r="E2704">
        <v>4</v>
      </c>
      <c r="G2704" s="25">
        <f>Table132[[#This Row],[nb win]]/Table132[[#This Row],[nb play]]</f>
        <v>1</v>
      </c>
      <c r="H2704" t="str">
        <f>MID(Table132[[#This Row],[ÉTAT]],VALUE(RIGHT(Table132[[#This Row],[next move]],1))+1+VALUE(LEFT(Table132[[#This Row],[next move]],1))*3,1)</f>
        <v>V</v>
      </c>
      <c r="I2704" t="str">
        <f>Table132[[#This Row],[ÉTAT]]&amp;Table132[[#This Row],[next move]]</f>
        <v>VEVEMVVVV22</v>
      </c>
    </row>
    <row r="2705" spans="2:9" x14ac:dyDescent="0.25">
      <c r="B2705" t="s">
        <v>294</v>
      </c>
      <c r="C2705" s="22" t="s">
        <v>24</v>
      </c>
      <c r="D2705">
        <v>9</v>
      </c>
      <c r="E2705">
        <v>9</v>
      </c>
      <c r="G2705" s="31">
        <f>Table132[[#This Row],[nb win]]/Table132[[#This Row],[nb play]]</f>
        <v>1</v>
      </c>
      <c r="H2705" t="str">
        <f>MID(Table132[[#This Row],[ÉTAT]],VALUE(RIGHT(Table132[[#This Row],[next move]],1))+1+VALUE(LEFT(Table132[[#This Row],[next move]],1))*3,1)</f>
        <v>V</v>
      </c>
      <c r="I2705" t="str">
        <f>Table132[[#This Row],[ÉTAT]]&amp;Table132[[#This Row],[next move]]</f>
        <v>VEVEMVVVM00</v>
      </c>
    </row>
    <row r="2706" spans="2:9" x14ac:dyDescent="0.25">
      <c r="B2706" t="s">
        <v>300</v>
      </c>
      <c r="C2706" s="22" t="s">
        <v>28</v>
      </c>
      <c r="D2706">
        <v>5</v>
      </c>
      <c r="E2706">
        <v>4</v>
      </c>
      <c r="G2706" s="30">
        <f>Table132[[#This Row],[nb win]]/Table132[[#This Row],[nb play]]</f>
        <v>0.8</v>
      </c>
      <c r="H2706" t="str">
        <f>MID(Table132[[#This Row],[ÉTAT]],VALUE(RIGHT(Table132[[#This Row],[next move]],1))+1+VALUE(LEFT(Table132[[#This Row],[next move]],1))*3,1)</f>
        <v>V</v>
      </c>
      <c r="I2706" t="str">
        <f>Table132[[#This Row],[ÉTAT]]&amp;Table132[[#This Row],[next move]]</f>
        <v>VEVEMVVMV12</v>
      </c>
    </row>
    <row r="2707" spans="2:9" x14ac:dyDescent="0.25">
      <c r="B2707" t="s">
        <v>300</v>
      </c>
      <c r="C2707" s="22" t="s">
        <v>35</v>
      </c>
      <c r="D2707">
        <v>2</v>
      </c>
      <c r="E2707">
        <v>1</v>
      </c>
      <c r="G2707" s="25">
        <f>Table132[[#This Row],[nb win]]/Table132[[#This Row],[nb play]]</f>
        <v>0.5</v>
      </c>
      <c r="H2707" t="str">
        <f>MID(Table132[[#This Row],[ÉTAT]],VALUE(RIGHT(Table132[[#This Row],[next move]],1))+1+VALUE(LEFT(Table132[[#This Row],[next move]],1))*3,1)</f>
        <v>V</v>
      </c>
      <c r="I2707" t="str">
        <f>Table132[[#This Row],[ÉTAT]]&amp;Table132[[#This Row],[next move]]</f>
        <v>VEVEMVVMV20</v>
      </c>
    </row>
    <row r="2708" spans="2:9" x14ac:dyDescent="0.25">
      <c r="B2708" t="s">
        <v>300</v>
      </c>
      <c r="C2708" s="22" t="s">
        <v>31</v>
      </c>
      <c r="D2708">
        <v>4</v>
      </c>
      <c r="E2708">
        <v>3</v>
      </c>
      <c r="G2708" s="30">
        <f>Table132[[#This Row],[nb win]]/Table132[[#This Row],[nb play]]</f>
        <v>0.75</v>
      </c>
      <c r="H2708" t="str">
        <f>MID(Table132[[#This Row],[ÉTAT]],VALUE(RIGHT(Table132[[#This Row],[next move]],1))+1+VALUE(LEFT(Table132[[#This Row],[next move]],1))*3,1)</f>
        <v>V</v>
      </c>
      <c r="I2708" t="str">
        <f>Table132[[#This Row],[ÉTAT]]&amp;Table132[[#This Row],[next move]]</f>
        <v>VEVEMVVMV22</v>
      </c>
    </row>
    <row r="2709" spans="2:9" x14ac:dyDescent="0.25">
      <c r="B2709" t="s">
        <v>1197</v>
      </c>
      <c r="C2709" s="22" t="s">
        <v>20</v>
      </c>
      <c r="D2709">
        <v>1</v>
      </c>
      <c r="E2709">
        <v>1</v>
      </c>
      <c r="G2709" s="25">
        <f>Table132[[#This Row],[nb win]]/Table132[[#This Row],[nb play]]</f>
        <v>1</v>
      </c>
      <c r="H2709" t="str">
        <f>MID(Table132[[#This Row],[ÉTAT]],VALUE(RIGHT(Table132[[#This Row],[next move]],1))+1+VALUE(LEFT(Table132[[#This Row],[next move]],1))*3,1)</f>
        <v>V</v>
      </c>
      <c r="I2709" t="str">
        <f>Table132[[#This Row],[ÉTAT]]&amp;Table132[[#This Row],[next move]]</f>
        <v>VEVEMVVME02</v>
      </c>
    </row>
    <row r="2710" spans="2:9" x14ac:dyDescent="0.25">
      <c r="B2710" t="s">
        <v>2692</v>
      </c>
      <c r="C2710" s="22" t="s">
        <v>35</v>
      </c>
      <c r="D2710">
        <v>2</v>
      </c>
      <c r="E2710">
        <v>1</v>
      </c>
      <c r="G2710" s="30">
        <f>Table132[[#This Row],[nb win]]/Table132[[#This Row],[nb play]]</f>
        <v>0.5</v>
      </c>
      <c r="H2710" t="str">
        <f>MID(Table132[[#This Row],[ÉTAT]],VALUE(RIGHT(Table132[[#This Row],[next move]],1))+1+VALUE(LEFT(Table132[[#This Row],[next move]],1))*3,1)</f>
        <v>V</v>
      </c>
      <c r="I2710" t="str">
        <f>Table132[[#This Row],[ÉTAT]]&amp;Table132[[#This Row],[next move]]</f>
        <v>VEVEMVVEM20</v>
      </c>
    </row>
    <row r="2711" spans="2:9" x14ac:dyDescent="0.25">
      <c r="B2711" t="s">
        <v>2281</v>
      </c>
      <c r="C2711" s="22" t="s">
        <v>28</v>
      </c>
      <c r="D2711">
        <v>1</v>
      </c>
      <c r="E2711">
        <v>1</v>
      </c>
      <c r="G2711" s="25">
        <f>Table132[[#This Row],[nb win]]/Table132[[#This Row],[nb play]]</f>
        <v>1</v>
      </c>
      <c r="H2711" t="str">
        <f>MID(Table132[[#This Row],[ÉTAT]],VALUE(RIGHT(Table132[[#This Row],[next move]],1))+1+VALUE(LEFT(Table132[[#This Row],[next move]],1))*3,1)</f>
        <v>V</v>
      </c>
      <c r="I2711" t="str">
        <f>Table132[[#This Row],[ÉTAT]]&amp;Table132[[#This Row],[next move]]</f>
        <v>VEVEMVMVV12</v>
      </c>
    </row>
    <row r="2712" spans="2:9" x14ac:dyDescent="0.25">
      <c r="B2712" t="s">
        <v>1400</v>
      </c>
      <c r="C2712" s="22" t="s">
        <v>28</v>
      </c>
      <c r="D2712">
        <v>2</v>
      </c>
      <c r="E2712">
        <v>1</v>
      </c>
      <c r="G2712" s="30">
        <f>Table132[[#This Row],[nb win]]/Table132[[#This Row],[nb play]]</f>
        <v>0.5</v>
      </c>
      <c r="H2712" t="str">
        <f>MID(Table132[[#This Row],[ÉTAT]],VALUE(RIGHT(Table132[[#This Row],[next move]],1))+1+VALUE(LEFT(Table132[[#This Row],[next move]],1))*3,1)</f>
        <v>V</v>
      </c>
      <c r="I2712" t="str">
        <f>Table132[[#This Row],[ÉTAT]]&amp;Table132[[#This Row],[next move]]</f>
        <v>VEVEMVMVE12</v>
      </c>
    </row>
    <row r="2713" spans="2:9" x14ac:dyDescent="0.25">
      <c r="B2713" t="s">
        <v>2582</v>
      </c>
      <c r="C2713" s="22" t="s">
        <v>20</v>
      </c>
      <c r="D2713">
        <v>5</v>
      </c>
      <c r="E2713">
        <v>5</v>
      </c>
      <c r="G2713" s="31">
        <f>Table132[[#This Row],[nb win]]/Table132[[#This Row],[nb play]]</f>
        <v>1</v>
      </c>
      <c r="H2713" t="str">
        <f>MID(Table132[[#This Row],[ÉTAT]],VALUE(RIGHT(Table132[[#This Row],[next move]],1))+1+VALUE(LEFT(Table132[[#This Row],[next move]],1))*3,1)</f>
        <v>V</v>
      </c>
      <c r="I2713" t="str">
        <f>Table132[[#This Row],[ÉTAT]]&amp;Table132[[#This Row],[next move]]</f>
        <v>VEVEMVMME02</v>
      </c>
    </row>
    <row r="2714" spans="2:9" x14ac:dyDescent="0.25">
      <c r="B2714" t="s">
        <v>1678</v>
      </c>
      <c r="C2714" s="22" t="s">
        <v>24</v>
      </c>
      <c r="D2714">
        <v>1</v>
      </c>
      <c r="E2714">
        <v>1</v>
      </c>
      <c r="G2714" s="25">
        <f>Table132[[#This Row],[nb win]]/Table132[[#This Row],[nb play]]</f>
        <v>1</v>
      </c>
      <c r="H2714" t="str">
        <f>MID(Table132[[#This Row],[ÉTAT]],VALUE(RIGHT(Table132[[#This Row],[next move]],1))+1+VALUE(LEFT(Table132[[#This Row],[next move]],1))*3,1)</f>
        <v>V</v>
      </c>
      <c r="I2714" t="str">
        <f>Table132[[#This Row],[ÉTAT]]&amp;Table132[[#This Row],[next move]]</f>
        <v>VEVEMVMEV00</v>
      </c>
    </row>
    <row r="2715" spans="2:9" x14ac:dyDescent="0.25">
      <c r="B2715" t="s">
        <v>2947</v>
      </c>
      <c r="C2715" s="22" t="s">
        <v>20</v>
      </c>
      <c r="D2715">
        <v>2</v>
      </c>
      <c r="E2715">
        <v>1</v>
      </c>
      <c r="G2715" s="30">
        <f>Table132[[#This Row],[nb win]]/Table132[[#This Row],[nb play]]</f>
        <v>0.5</v>
      </c>
      <c r="H2715" t="str">
        <f>MID(Table132[[#This Row],[ÉTAT]],VALUE(RIGHT(Table132[[#This Row],[next move]],1))+1+VALUE(LEFT(Table132[[#This Row],[next move]],1))*3,1)</f>
        <v>V</v>
      </c>
      <c r="I2715" t="str">
        <f>Table132[[#This Row],[ÉTAT]]&amp;Table132[[#This Row],[next move]]</f>
        <v>VEVEMVEVM02</v>
      </c>
    </row>
    <row r="2716" spans="2:9" x14ac:dyDescent="0.25">
      <c r="B2716" t="s">
        <v>1444</v>
      </c>
      <c r="C2716" s="22" t="s">
        <v>28</v>
      </c>
      <c r="D2716">
        <v>1</v>
      </c>
      <c r="G2716" s="25">
        <f>Table132[[#This Row],[nb win]]/Table132[[#This Row],[nb play]]</f>
        <v>0</v>
      </c>
      <c r="H2716" t="str">
        <f>MID(Table132[[#This Row],[ÉTAT]],VALUE(RIGHT(Table132[[#This Row],[next move]],1))+1+VALUE(LEFT(Table132[[#This Row],[next move]],1))*3,1)</f>
        <v>V</v>
      </c>
      <c r="I2716" t="str">
        <f>Table132[[#This Row],[ÉTAT]]&amp;Table132[[#This Row],[next move]]</f>
        <v>VEVEMVEMV12</v>
      </c>
    </row>
    <row r="2717" spans="2:9" x14ac:dyDescent="0.25">
      <c r="B2717" t="s">
        <v>1444</v>
      </c>
      <c r="C2717" s="22" t="s">
        <v>31</v>
      </c>
      <c r="D2717">
        <v>1</v>
      </c>
      <c r="E2717">
        <v>1</v>
      </c>
      <c r="G2717" s="25">
        <f>Table132[[#This Row],[nb win]]/Table132[[#This Row],[nb play]]</f>
        <v>1</v>
      </c>
      <c r="H2717" t="str">
        <f>MID(Table132[[#This Row],[ÉTAT]],VALUE(RIGHT(Table132[[#This Row],[next move]],1))+1+VALUE(LEFT(Table132[[#This Row],[next move]],1))*3,1)</f>
        <v>V</v>
      </c>
      <c r="I2717" t="str">
        <f>Table132[[#This Row],[ÉTAT]]&amp;Table132[[#This Row],[next move]]</f>
        <v>VEVEMVEMV22</v>
      </c>
    </row>
    <row r="2718" spans="2:9" x14ac:dyDescent="0.25">
      <c r="B2718" t="s">
        <v>3196</v>
      </c>
      <c r="C2718" s="22" t="s">
        <v>28</v>
      </c>
      <c r="D2718">
        <v>1</v>
      </c>
      <c r="G2718" s="30">
        <f>Table132[[#This Row],[nb win]]/Table132[[#This Row],[nb play]]</f>
        <v>0</v>
      </c>
      <c r="H2718" t="str">
        <f>MID(Table132[[#This Row],[ÉTAT]],VALUE(RIGHT(Table132[[#This Row],[next move]],1))+1+VALUE(LEFT(Table132[[#This Row],[next move]],1))*3,1)</f>
        <v>V</v>
      </c>
      <c r="I2718" t="str">
        <f>Table132[[#This Row],[ÉTAT]]&amp;Table132[[#This Row],[next move]]</f>
        <v>VEVEMVEMM12</v>
      </c>
    </row>
    <row r="2719" spans="2:9" x14ac:dyDescent="0.25">
      <c r="B2719" t="s">
        <v>1657</v>
      </c>
      <c r="C2719" s="22" t="s">
        <v>20</v>
      </c>
      <c r="D2719">
        <v>3</v>
      </c>
      <c r="E2719">
        <v>2</v>
      </c>
      <c r="G2719" s="30">
        <f>Table132[[#This Row],[nb win]]/Table132[[#This Row],[nb play]]</f>
        <v>0.66666666666666663</v>
      </c>
      <c r="H2719" t="str">
        <f>MID(Table132[[#This Row],[ÉTAT]],VALUE(RIGHT(Table132[[#This Row],[next move]],1))+1+VALUE(LEFT(Table132[[#This Row],[next move]],1))*3,1)</f>
        <v>V</v>
      </c>
      <c r="I2719" t="str">
        <f>Table132[[#This Row],[ÉTAT]]&amp;Table132[[#This Row],[next move]]</f>
        <v>VEVEMMVVV02</v>
      </c>
    </row>
    <row r="2720" spans="2:9" x14ac:dyDescent="0.25">
      <c r="B2720" t="s">
        <v>2117</v>
      </c>
      <c r="C2720" s="22" t="s">
        <v>20</v>
      </c>
      <c r="D2720">
        <v>1</v>
      </c>
      <c r="E2720">
        <v>1</v>
      </c>
      <c r="G2720" s="25">
        <f>Table132[[#This Row],[nb win]]/Table132[[#This Row],[nb play]]</f>
        <v>1</v>
      </c>
      <c r="H2720" t="str">
        <f>MID(Table132[[#This Row],[ÉTAT]],VALUE(RIGHT(Table132[[#This Row],[next move]],1))+1+VALUE(LEFT(Table132[[#This Row],[next move]],1))*3,1)</f>
        <v>V</v>
      </c>
      <c r="I2720" t="str">
        <f>Table132[[#This Row],[ÉTAT]]&amp;Table132[[#This Row],[next move]]</f>
        <v>VEVEMMVME02</v>
      </c>
    </row>
    <row r="2721" spans="2:9" x14ac:dyDescent="0.25">
      <c r="B2721" t="s">
        <v>1226</v>
      </c>
      <c r="C2721" s="22" t="s">
        <v>35</v>
      </c>
      <c r="D2721">
        <v>1</v>
      </c>
      <c r="E2721">
        <v>1</v>
      </c>
      <c r="G2721" s="25">
        <f>Table132[[#This Row],[nb win]]/Table132[[#This Row],[nb play]]</f>
        <v>1</v>
      </c>
      <c r="H2721" t="str">
        <f>MID(Table132[[#This Row],[ÉTAT]],VALUE(RIGHT(Table132[[#This Row],[next move]],1))+1+VALUE(LEFT(Table132[[#This Row],[next move]],1))*3,1)</f>
        <v>V</v>
      </c>
      <c r="I2721" t="str">
        <f>Table132[[#This Row],[ÉTAT]]&amp;Table132[[#This Row],[next move]]</f>
        <v>VEVEMMVEV20</v>
      </c>
    </row>
    <row r="2722" spans="2:9" x14ac:dyDescent="0.25">
      <c r="B2722" t="s">
        <v>2914</v>
      </c>
      <c r="C2722" s="22" t="s">
        <v>20</v>
      </c>
      <c r="D2722">
        <v>1</v>
      </c>
      <c r="E2722">
        <v>1</v>
      </c>
      <c r="G2722" s="25">
        <f>Table132[[#This Row],[nb win]]/Table132[[#This Row],[nb play]]</f>
        <v>1</v>
      </c>
      <c r="H2722" t="str">
        <f>MID(Table132[[#This Row],[ÉTAT]],VALUE(RIGHT(Table132[[#This Row],[next move]],1))+1+VALUE(LEFT(Table132[[#This Row],[next move]],1))*3,1)</f>
        <v>V</v>
      </c>
      <c r="I2722" t="str">
        <f>Table132[[#This Row],[ÉTAT]]&amp;Table132[[#This Row],[next move]]</f>
        <v>VEVEMMVEM02</v>
      </c>
    </row>
    <row r="2723" spans="2:9" x14ac:dyDescent="0.25">
      <c r="B2723" t="s">
        <v>936</v>
      </c>
      <c r="C2723" s="22" t="s">
        <v>22</v>
      </c>
      <c r="D2723">
        <v>1</v>
      </c>
      <c r="E2723">
        <v>1</v>
      </c>
      <c r="G2723" s="25">
        <f>Table132[[#This Row],[nb win]]/Table132[[#This Row],[nb play]]</f>
        <v>1</v>
      </c>
      <c r="H2723" t="str">
        <f>MID(Table132[[#This Row],[ÉTAT]],VALUE(RIGHT(Table132[[#This Row],[next move]],1))+1+VALUE(LEFT(Table132[[#This Row],[next move]],1))*3,1)</f>
        <v>V</v>
      </c>
      <c r="I2723" t="str">
        <f>Table132[[#This Row],[ÉTAT]]&amp;Table132[[#This Row],[next move]]</f>
        <v>VEVEMMMVE21</v>
      </c>
    </row>
    <row r="2724" spans="2:9" x14ac:dyDescent="0.25">
      <c r="B2724" t="s">
        <v>1794</v>
      </c>
      <c r="C2724" s="22" t="s">
        <v>24</v>
      </c>
      <c r="D2724">
        <v>3</v>
      </c>
      <c r="E2724">
        <v>3</v>
      </c>
      <c r="G2724" s="25">
        <f>Table132[[#This Row],[nb win]]/Table132[[#This Row],[nb play]]</f>
        <v>1</v>
      </c>
      <c r="H2724" t="str">
        <f>MID(Table132[[#This Row],[ÉTAT]],VALUE(RIGHT(Table132[[#This Row],[next move]],1))+1+VALUE(LEFT(Table132[[#This Row],[next move]],1))*3,1)</f>
        <v>V</v>
      </c>
      <c r="I2724" t="str">
        <f>Table132[[#This Row],[ÉTAT]]&amp;Table132[[#This Row],[next move]]</f>
        <v>VEVEMMMEV00</v>
      </c>
    </row>
    <row r="2725" spans="2:9" x14ac:dyDescent="0.25">
      <c r="B2725" t="s">
        <v>1199</v>
      </c>
      <c r="C2725" s="22" t="s">
        <v>20</v>
      </c>
      <c r="D2725">
        <v>1</v>
      </c>
      <c r="E2725">
        <v>1</v>
      </c>
      <c r="G2725" s="25">
        <f>Table132[[#This Row],[nb win]]/Table132[[#This Row],[nb play]]</f>
        <v>1</v>
      </c>
      <c r="H2725" t="str">
        <f>MID(Table132[[#This Row],[ÉTAT]],VALUE(RIGHT(Table132[[#This Row],[next move]],1))+1+VALUE(LEFT(Table132[[#This Row],[next move]],1))*3,1)</f>
        <v>V</v>
      </c>
      <c r="I2725" t="str">
        <f>Table132[[#This Row],[ÉTAT]]&amp;Table132[[#This Row],[next move]]</f>
        <v>VEVEMMMEE02</v>
      </c>
    </row>
    <row r="2726" spans="2:9" x14ac:dyDescent="0.25">
      <c r="B2726" t="s">
        <v>2169</v>
      </c>
      <c r="C2726" s="22" t="s">
        <v>20</v>
      </c>
      <c r="D2726">
        <v>1</v>
      </c>
      <c r="E2726">
        <v>1</v>
      </c>
      <c r="G2726" s="25">
        <f>Table132[[#This Row],[nb win]]/Table132[[#This Row],[nb play]]</f>
        <v>1</v>
      </c>
      <c r="H2726" t="str">
        <f>MID(Table132[[#This Row],[ÉTAT]],VALUE(RIGHT(Table132[[#This Row],[next move]],1))+1+VALUE(LEFT(Table132[[#This Row],[next move]],1))*3,1)</f>
        <v>V</v>
      </c>
      <c r="I2726" t="str">
        <f>Table132[[#This Row],[ÉTAT]]&amp;Table132[[#This Row],[next move]]</f>
        <v>VEVEMMEVV02</v>
      </c>
    </row>
    <row r="2727" spans="2:9" x14ac:dyDescent="0.25">
      <c r="B2727" t="s">
        <v>3405</v>
      </c>
      <c r="C2727" s="22" t="s">
        <v>24</v>
      </c>
      <c r="D2727">
        <v>1</v>
      </c>
      <c r="E2727">
        <v>1</v>
      </c>
      <c r="G2727" s="31">
        <f>Table132[[#This Row],[nb win]]/Table132[[#This Row],[nb play]]</f>
        <v>1</v>
      </c>
      <c r="H2727" t="str">
        <f>MID(Table132[[#This Row],[ÉTAT]],VALUE(RIGHT(Table132[[#This Row],[next move]],1))+1+VALUE(LEFT(Table132[[#This Row],[next move]],1))*3,1)</f>
        <v>V</v>
      </c>
      <c r="I2727" t="str">
        <f>Table132[[#This Row],[ÉTAT]]&amp;Table132[[#This Row],[next move]]</f>
        <v>VEVEMMEMV00</v>
      </c>
    </row>
    <row r="2728" spans="2:9" x14ac:dyDescent="0.25">
      <c r="B2728" t="s">
        <v>1446</v>
      </c>
      <c r="C2728" s="22" t="s">
        <v>20</v>
      </c>
      <c r="D2728">
        <v>1</v>
      </c>
      <c r="G2728" s="25">
        <f>Table132[[#This Row],[nb win]]/Table132[[#This Row],[nb play]]</f>
        <v>0</v>
      </c>
      <c r="H2728" t="str">
        <f>MID(Table132[[#This Row],[ÉTAT]],VALUE(RIGHT(Table132[[#This Row],[next move]],1))+1+VALUE(LEFT(Table132[[#This Row],[next move]],1))*3,1)</f>
        <v>V</v>
      </c>
      <c r="I2728" t="str">
        <f>Table132[[#This Row],[ÉTAT]]&amp;Table132[[#This Row],[next move]]</f>
        <v>VEVEMMEME02</v>
      </c>
    </row>
    <row r="2729" spans="2:9" x14ac:dyDescent="0.25">
      <c r="B2729" t="s">
        <v>2462</v>
      </c>
      <c r="C2729" s="22" t="s">
        <v>20</v>
      </c>
      <c r="D2729">
        <v>2</v>
      </c>
      <c r="E2729">
        <v>2</v>
      </c>
      <c r="G2729" s="31">
        <f>Table132[[#This Row],[nb win]]/Table132[[#This Row],[nb play]]</f>
        <v>1</v>
      </c>
      <c r="H2729" t="str">
        <f>MID(Table132[[#This Row],[ÉTAT]],VALUE(RIGHT(Table132[[#This Row],[next move]],1))+1+VALUE(LEFT(Table132[[#This Row],[next move]],1))*3,1)</f>
        <v>V</v>
      </c>
      <c r="I2729" t="str">
        <f>Table132[[#This Row],[ÉTAT]]&amp;Table132[[#This Row],[next move]]</f>
        <v>VEVEMMEEM02</v>
      </c>
    </row>
    <row r="2730" spans="2:9" x14ac:dyDescent="0.25">
      <c r="B2730" t="s">
        <v>2299</v>
      </c>
      <c r="C2730" s="22" t="s">
        <v>24</v>
      </c>
      <c r="D2730">
        <v>1</v>
      </c>
      <c r="E2730">
        <v>1</v>
      </c>
      <c r="G2730" s="25">
        <f>Table132[[#This Row],[nb win]]/Table132[[#This Row],[nb play]]</f>
        <v>1</v>
      </c>
      <c r="H2730" t="str">
        <f>MID(Table132[[#This Row],[ÉTAT]],VALUE(RIGHT(Table132[[#This Row],[next move]],1))+1+VALUE(LEFT(Table132[[#This Row],[next move]],1))*3,1)</f>
        <v>V</v>
      </c>
      <c r="I2730" t="str">
        <f>Table132[[#This Row],[ÉTAT]]&amp;Table132[[#This Row],[next move]]</f>
        <v>VEVEMEVVM00</v>
      </c>
    </row>
    <row r="2731" spans="2:9" x14ac:dyDescent="0.25">
      <c r="B2731" t="s">
        <v>2955</v>
      </c>
      <c r="C2731" s="22" t="s">
        <v>20</v>
      </c>
      <c r="D2731">
        <v>1</v>
      </c>
      <c r="E2731">
        <v>1</v>
      </c>
      <c r="G2731" s="25">
        <f>Table132[[#This Row],[nb win]]/Table132[[#This Row],[nb play]]</f>
        <v>1</v>
      </c>
      <c r="H2731" t="str">
        <f>MID(Table132[[#This Row],[ÉTAT]],VALUE(RIGHT(Table132[[#This Row],[next move]],1))+1+VALUE(LEFT(Table132[[#This Row],[next move]],1))*3,1)</f>
        <v>V</v>
      </c>
      <c r="I2731" t="str">
        <f>Table132[[#This Row],[ÉTAT]]&amp;Table132[[#This Row],[next move]]</f>
        <v>VEVEMEVMV02</v>
      </c>
    </row>
    <row r="2732" spans="2:9" x14ac:dyDescent="0.25">
      <c r="B2732" t="s">
        <v>1582</v>
      </c>
      <c r="C2732" s="22" t="s">
        <v>24</v>
      </c>
      <c r="D2732">
        <v>6</v>
      </c>
      <c r="E2732">
        <v>6</v>
      </c>
      <c r="G2732" s="31">
        <f>Table132[[#This Row],[nb win]]/Table132[[#This Row],[nb play]]</f>
        <v>1</v>
      </c>
      <c r="H2732" t="str">
        <f>MID(Table132[[#This Row],[ÉTAT]],VALUE(RIGHT(Table132[[#This Row],[next move]],1))+1+VALUE(LEFT(Table132[[#This Row],[next move]],1))*3,1)</f>
        <v>V</v>
      </c>
      <c r="I2732" t="str">
        <f>Table132[[#This Row],[ÉTAT]]&amp;Table132[[#This Row],[next move]]</f>
        <v>VEVEMEVMM00</v>
      </c>
    </row>
    <row r="2733" spans="2:9" x14ac:dyDescent="0.25">
      <c r="B2733" t="s">
        <v>1586</v>
      </c>
      <c r="C2733" s="22" t="s">
        <v>20</v>
      </c>
      <c r="D2733">
        <v>2</v>
      </c>
      <c r="E2733">
        <v>2</v>
      </c>
      <c r="G2733" s="31">
        <f>Table132[[#This Row],[nb win]]/Table132[[#This Row],[nb play]]</f>
        <v>1</v>
      </c>
      <c r="H2733" t="str">
        <f>MID(Table132[[#This Row],[ÉTAT]],VALUE(RIGHT(Table132[[#This Row],[next move]],1))+1+VALUE(LEFT(Table132[[#This Row],[next move]],1))*3,1)</f>
        <v>V</v>
      </c>
      <c r="I2733" t="str">
        <f>Table132[[#This Row],[ÉTAT]]&amp;Table132[[#This Row],[next move]]</f>
        <v>VEVEMEMVV02</v>
      </c>
    </row>
    <row r="2734" spans="2:9" x14ac:dyDescent="0.25">
      <c r="B2734" t="s">
        <v>85</v>
      </c>
      <c r="C2734" s="22" t="s">
        <v>24</v>
      </c>
      <c r="D2734">
        <v>3</v>
      </c>
      <c r="E2734">
        <v>3</v>
      </c>
      <c r="G2734" s="31">
        <f>Table132[[#This Row],[nb win]]/Table132[[#This Row],[nb play]]</f>
        <v>1</v>
      </c>
      <c r="H2734" t="str">
        <f>MID(Table132[[#This Row],[ÉTAT]],VALUE(RIGHT(Table132[[#This Row],[next move]],1))+1+VALUE(LEFT(Table132[[#This Row],[next move]],1))*3,1)</f>
        <v>V</v>
      </c>
      <c r="I2734" t="str">
        <f>Table132[[#This Row],[ÉTAT]]&amp;Table132[[#This Row],[next move]]</f>
        <v>VEVEMEMVM00</v>
      </c>
    </row>
    <row r="2735" spans="2:9" x14ac:dyDescent="0.25">
      <c r="B2735" t="s">
        <v>1706</v>
      </c>
      <c r="C2735" s="22" t="s">
        <v>31</v>
      </c>
      <c r="D2735">
        <v>2</v>
      </c>
      <c r="E2735">
        <v>2</v>
      </c>
      <c r="G2735" s="31">
        <f>Table132[[#This Row],[nb win]]/Table132[[#This Row],[nb play]]</f>
        <v>1</v>
      </c>
      <c r="H2735" t="str">
        <f>MID(Table132[[#This Row],[ÉTAT]],VALUE(RIGHT(Table132[[#This Row],[next move]],1))+1+VALUE(LEFT(Table132[[#This Row],[next move]],1))*3,1)</f>
        <v>V</v>
      </c>
      <c r="I2735" t="str">
        <f>Table132[[#This Row],[ÉTAT]]&amp;Table132[[#This Row],[next move]]</f>
        <v>VEVEMEMMV22</v>
      </c>
    </row>
    <row r="2736" spans="2:9" x14ac:dyDescent="0.25">
      <c r="B2736" t="s">
        <v>828</v>
      </c>
      <c r="C2736" s="22" t="s">
        <v>24</v>
      </c>
      <c r="D2736">
        <v>1</v>
      </c>
      <c r="G2736" s="25">
        <f>Table132[[#This Row],[nb win]]/Table132[[#This Row],[nb play]]</f>
        <v>0</v>
      </c>
      <c r="H2736" t="str">
        <f>MID(Table132[[#This Row],[ÉTAT]],VALUE(RIGHT(Table132[[#This Row],[next move]],1))+1+VALUE(LEFT(Table132[[#This Row],[next move]],1))*3,1)</f>
        <v>V</v>
      </c>
      <c r="I2736" t="str">
        <f>Table132[[#This Row],[ÉTAT]]&amp;Table132[[#This Row],[next move]]</f>
        <v>VEVEMEMME00</v>
      </c>
    </row>
    <row r="2737" spans="2:9" x14ac:dyDescent="0.25">
      <c r="B2737" t="s">
        <v>828</v>
      </c>
      <c r="C2737" s="22" t="s">
        <v>20</v>
      </c>
      <c r="D2737">
        <v>3</v>
      </c>
      <c r="E2737">
        <v>3</v>
      </c>
      <c r="G2737" s="31">
        <f>Table132[[#This Row],[nb win]]/Table132[[#This Row],[nb play]]</f>
        <v>1</v>
      </c>
      <c r="H2737" t="str">
        <f>MID(Table132[[#This Row],[ÉTAT]],VALUE(RIGHT(Table132[[#This Row],[next move]],1))+1+VALUE(LEFT(Table132[[#This Row],[next move]],1))*3,1)</f>
        <v>V</v>
      </c>
      <c r="I2737" t="str">
        <f>Table132[[#This Row],[ÉTAT]]&amp;Table132[[#This Row],[next move]]</f>
        <v>VEVEMEMME02</v>
      </c>
    </row>
    <row r="2738" spans="2:9" x14ac:dyDescent="0.25">
      <c r="B2738" t="s">
        <v>1067</v>
      </c>
      <c r="C2738" s="22" t="s">
        <v>24</v>
      </c>
      <c r="D2738">
        <v>3</v>
      </c>
      <c r="E2738">
        <v>3</v>
      </c>
      <c r="G2738" s="31">
        <f>Table132[[#This Row],[nb win]]/Table132[[#This Row],[nb play]]</f>
        <v>1</v>
      </c>
      <c r="H2738" t="str">
        <f>MID(Table132[[#This Row],[ÉTAT]],VALUE(RIGHT(Table132[[#This Row],[next move]],1))+1+VALUE(LEFT(Table132[[#This Row],[next move]],1))*3,1)</f>
        <v>V</v>
      </c>
      <c r="I2738" t="str">
        <f>Table132[[#This Row],[ÉTAT]]&amp;Table132[[#This Row],[next move]]</f>
        <v>VEVEMEMEM00</v>
      </c>
    </row>
    <row r="2739" spans="2:9" x14ac:dyDescent="0.25">
      <c r="B2739" t="s">
        <v>891</v>
      </c>
      <c r="C2739" s="22" t="s">
        <v>24</v>
      </c>
      <c r="D2739">
        <v>6</v>
      </c>
      <c r="E2739">
        <v>6</v>
      </c>
      <c r="G2739" s="31">
        <f>Table132[[#This Row],[nb win]]/Table132[[#This Row],[nb play]]</f>
        <v>1</v>
      </c>
      <c r="H2739" t="str">
        <f>MID(Table132[[#This Row],[ÉTAT]],VALUE(RIGHT(Table132[[#This Row],[next move]],1))+1+VALUE(LEFT(Table132[[#This Row],[next move]],1))*3,1)</f>
        <v>V</v>
      </c>
      <c r="I2739" t="str">
        <f>Table132[[#This Row],[ÉTAT]]&amp;Table132[[#This Row],[next move]]</f>
        <v>VEVEMEEMM00</v>
      </c>
    </row>
    <row r="2740" spans="2:9" x14ac:dyDescent="0.25">
      <c r="B2740" t="s">
        <v>132</v>
      </c>
      <c r="C2740" s="22" t="s">
        <v>20</v>
      </c>
      <c r="D2740">
        <v>7</v>
      </c>
      <c r="G2740" s="30">
        <f>Table132[[#This Row],[nb win]]/Table132[[#This Row],[nb play]]</f>
        <v>0</v>
      </c>
      <c r="H2740" t="str">
        <f>MID(Table132[[#This Row],[ÉTAT]],VALUE(RIGHT(Table132[[#This Row],[next move]],1))+1+VALUE(LEFT(Table132[[#This Row],[next move]],1))*3,1)</f>
        <v>V</v>
      </c>
      <c r="I2740" t="str">
        <f>Table132[[#This Row],[ÉTAT]]&amp;Table132[[#This Row],[next move]]</f>
        <v>VEVEEVVMM02</v>
      </c>
    </row>
    <row r="2741" spans="2:9" x14ac:dyDescent="0.25">
      <c r="B2741" t="s">
        <v>132</v>
      </c>
      <c r="C2741" s="22" t="s">
        <v>28</v>
      </c>
      <c r="D2741">
        <v>2</v>
      </c>
      <c r="E2741">
        <v>2</v>
      </c>
      <c r="G2741" s="31">
        <f>Table132[[#This Row],[nb win]]/Table132[[#This Row],[nb play]]</f>
        <v>1</v>
      </c>
      <c r="H2741" t="str">
        <f>MID(Table132[[#This Row],[ÉTAT]],VALUE(RIGHT(Table132[[#This Row],[next move]],1))+1+VALUE(LEFT(Table132[[#This Row],[next move]],1))*3,1)</f>
        <v>V</v>
      </c>
      <c r="I2741" t="str">
        <f>Table132[[#This Row],[ÉTAT]]&amp;Table132[[#This Row],[next move]]</f>
        <v>VEVEEVVMM12</v>
      </c>
    </row>
    <row r="2742" spans="2:9" x14ac:dyDescent="0.25">
      <c r="B2742" t="s">
        <v>2897</v>
      </c>
      <c r="C2742" s="22" t="s">
        <v>24</v>
      </c>
      <c r="D2742">
        <v>1</v>
      </c>
      <c r="G2742" s="30">
        <f>Table132[[#This Row],[nb win]]/Table132[[#This Row],[nb play]]</f>
        <v>0</v>
      </c>
      <c r="H2742" t="str">
        <f>MID(Table132[[#This Row],[ÉTAT]],VALUE(RIGHT(Table132[[#This Row],[next move]],1))+1+VALUE(LEFT(Table132[[#This Row],[next move]],1))*3,1)</f>
        <v>V</v>
      </c>
      <c r="I2742" t="str">
        <f>Table132[[#This Row],[ÉTAT]]&amp;Table132[[#This Row],[next move]]</f>
        <v>VEVEEVMVM00</v>
      </c>
    </row>
    <row r="2743" spans="2:9" x14ac:dyDescent="0.25">
      <c r="B2743" t="s">
        <v>2897</v>
      </c>
      <c r="C2743" s="22" t="s">
        <v>20</v>
      </c>
      <c r="D2743">
        <v>1</v>
      </c>
      <c r="G2743" s="25">
        <f>Table132[[#This Row],[nb win]]/Table132[[#This Row],[nb play]]</f>
        <v>0</v>
      </c>
      <c r="H2743" t="str">
        <f>MID(Table132[[#This Row],[ÉTAT]],VALUE(RIGHT(Table132[[#This Row],[next move]],1))+1+VALUE(LEFT(Table132[[#This Row],[next move]],1))*3,1)</f>
        <v>V</v>
      </c>
      <c r="I2743" t="str">
        <f>Table132[[#This Row],[ÉTAT]]&amp;Table132[[#This Row],[next move]]</f>
        <v>VEVEEVMVM02</v>
      </c>
    </row>
    <row r="2744" spans="2:9" x14ac:dyDescent="0.25">
      <c r="B2744" t="s">
        <v>1287</v>
      </c>
      <c r="C2744" s="22" t="s">
        <v>31</v>
      </c>
      <c r="D2744">
        <v>3</v>
      </c>
      <c r="E2744">
        <v>3</v>
      </c>
      <c r="G2744" s="31">
        <f>Table132[[#This Row],[nb win]]/Table132[[#This Row],[nb play]]</f>
        <v>1</v>
      </c>
      <c r="H2744" t="str">
        <f>MID(Table132[[#This Row],[ÉTAT]],VALUE(RIGHT(Table132[[#This Row],[next move]],1))+1+VALUE(LEFT(Table132[[#This Row],[next move]],1))*3,1)</f>
        <v>V</v>
      </c>
      <c r="I2744" t="str">
        <f>Table132[[#This Row],[ÉTAT]]&amp;Table132[[#This Row],[next move]]</f>
        <v>VEVEEVMMV22</v>
      </c>
    </row>
    <row r="2745" spans="2:9" x14ac:dyDescent="0.25">
      <c r="B2745" t="s">
        <v>535</v>
      </c>
      <c r="C2745" s="22" t="s">
        <v>22</v>
      </c>
      <c r="D2745">
        <v>2</v>
      </c>
      <c r="E2745">
        <v>1</v>
      </c>
      <c r="G2745" s="25">
        <f>Table132[[#This Row],[nb win]]/Table132[[#This Row],[nb play]]</f>
        <v>0.5</v>
      </c>
      <c r="H2745" t="str">
        <f>MID(Table132[[#This Row],[ÉTAT]],VALUE(RIGHT(Table132[[#This Row],[next move]],1))+1+VALUE(LEFT(Table132[[#This Row],[next move]],1))*3,1)</f>
        <v>V</v>
      </c>
      <c r="I2745" t="str">
        <f>Table132[[#This Row],[ÉTAT]]&amp;Table132[[#This Row],[next move]]</f>
        <v>VEVEEMVVM21</v>
      </c>
    </row>
    <row r="2746" spans="2:9" x14ac:dyDescent="0.25">
      <c r="B2746" t="s">
        <v>3503</v>
      </c>
      <c r="C2746" s="22" t="s">
        <v>31</v>
      </c>
      <c r="D2746">
        <v>1</v>
      </c>
      <c r="E2746">
        <v>1</v>
      </c>
      <c r="G2746" s="31">
        <f>Table132[[#This Row],[nb win]]/Table132[[#This Row],[nb play]]</f>
        <v>1</v>
      </c>
      <c r="H2746" t="str">
        <f>MID(Table132[[#This Row],[ÉTAT]],VALUE(RIGHT(Table132[[#This Row],[next move]],1))+1+VALUE(LEFT(Table132[[#This Row],[next move]],1))*3,1)</f>
        <v>V</v>
      </c>
      <c r="I2746" t="str">
        <f>Table132[[#This Row],[ÉTAT]]&amp;Table132[[#This Row],[next move]]</f>
        <v>VEVEEMVMV22</v>
      </c>
    </row>
    <row r="2747" spans="2:9" x14ac:dyDescent="0.25">
      <c r="B2747" t="s">
        <v>2380</v>
      </c>
      <c r="C2747" s="22" t="s">
        <v>24</v>
      </c>
      <c r="D2747">
        <v>5</v>
      </c>
      <c r="E2747">
        <v>5</v>
      </c>
      <c r="G2747" s="31">
        <f>Table132[[#This Row],[nb win]]/Table132[[#This Row],[nb play]]</f>
        <v>1</v>
      </c>
      <c r="H2747" t="str">
        <f>MID(Table132[[#This Row],[ÉTAT]],VALUE(RIGHT(Table132[[#This Row],[next move]],1))+1+VALUE(LEFT(Table132[[#This Row],[next move]],1))*3,1)</f>
        <v>V</v>
      </c>
      <c r="I2747" t="str">
        <f>Table132[[#This Row],[ÉTAT]]&amp;Table132[[#This Row],[next move]]</f>
        <v>VEVEEMVMM00</v>
      </c>
    </row>
    <row r="2748" spans="2:9" x14ac:dyDescent="0.25">
      <c r="B2748" t="s">
        <v>1851</v>
      </c>
      <c r="C2748" s="22" t="s">
        <v>20</v>
      </c>
      <c r="D2748">
        <v>2</v>
      </c>
      <c r="E2748">
        <v>2</v>
      </c>
      <c r="G2748" s="31">
        <f>Table132[[#This Row],[nb win]]/Table132[[#This Row],[nb play]]</f>
        <v>1</v>
      </c>
      <c r="H2748" t="str">
        <f>MID(Table132[[#This Row],[ÉTAT]],VALUE(RIGHT(Table132[[#This Row],[next move]],1))+1+VALUE(LEFT(Table132[[#This Row],[next move]],1))*3,1)</f>
        <v>V</v>
      </c>
      <c r="I2748" t="str">
        <f>Table132[[#This Row],[ÉTAT]]&amp;Table132[[#This Row],[next move]]</f>
        <v>VEVEEMMVM02</v>
      </c>
    </row>
    <row r="2749" spans="2:9" x14ac:dyDescent="0.25">
      <c r="B2749" t="s">
        <v>134</v>
      </c>
      <c r="C2749" s="22" t="s">
        <v>24</v>
      </c>
      <c r="D2749">
        <v>2</v>
      </c>
      <c r="G2749" s="25">
        <f>Table132[[#This Row],[nb win]]/Table132[[#This Row],[nb play]]</f>
        <v>0</v>
      </c>
      <c r="H2749" t="str">
        <f>MID(Table132[[#This Row],[ÉTAT]],VALUE(RIGHT(Table132[[#This Row],[next move]],1))+1+VALUE(LEFT(Table132[[#This Row],[next move]],1))*3,1)</f>
        <v>V</v>
      </c>
      <c r="I2749" t="str">
        <f>Table132[[#This Row],[ÉTAT]]&amp;Table132[[#This Row],[next move]]</f>
        <v>VEVEEMEMM00</v>
      </c>
    </row>
    <row r="2750" spans="2:9" x14ac:dyDescent="0.25">
      <c r="B2750" t="s">
        <v>134</v>
      </c>
      <c r="C2750" s="22" t="s">
        <v>20</v>
      </c>
      <c r="D2750">
        <v>2</v>
      </c>
      <c r="E2750">
        <v>2</v>
      </c>
      <c r="G2750" s="25">
        <f>Table132[[#This Row],[nb win]]/Table132[[#This Row],[nb play]]</f>
        <v>1</v>
      </c>
      <c r="H2750" t="str">
        <f>MID(Table132[[#This Row],[ÉTAT]],VALUE(RIGHT(Table132[[#This Row],[next move]],1))+1+VALUE(LEFT(Table132[[#This Row],[next move]],1))*3,1)</f>
        <v>V</v>
      </c>
      <c r="I2750" t="str">
        <f>Table132[[#This Row],[ÉTAT]]&amp;Table132[[#This Row],[next move]]</f>
        <v>VEVEEMEMM02</v>
      </c>
    </row>
    <row r="2751" spans="2:9" x14ac:dyDescent="0.25">
      <c r="B2751" t="s">
        <v>329</v>
      </c>
      <c r="C2751" s="22" t="s">
        <v>24</v>
      </c>
      <c r="D2751">
        <v>14</v>
      </c>
      <c r="E2751">
        <v>7</v>
      </c>
      <c r="G2751" s="31">
        <f>Table132[[#This Row],[nb win]]/Table132[[#This Row],[nb play]]</f>
        <v>0.5</v>
      </c>
      <c r="H2751" t="str">
        <f>MID(Table132[[#This Row],[ÉTAT]],VALUE(RIGHT(Table132[[#This Row],[next move]],1))+1+VALUE(LEFT(Table132[[#This Row],[next move]],1))*3,1)</f>
        <v>V</v>
      </c>
      <c r="I2751" t="str">
        <f>Table132[[#This Row],[ÉTAT]]&amp;Table132[[#This Row],[next move]]</f>
        <v>VEMVVVVVV00</v>
      </c>
    </row>
    <row r="2752" spans="2:9" x14ac:dyDescent="0.25">
      <c r="B2752" t="s">
        <v>329</v>
      </c>
      <c r="C2752" s="22" t="s">
        <v>30</v>
      </c>
      <c r="D2752">
        <v>7</v>
      </c>
      <c r="E2752">
        <v>5</v>
      </c>
      <c r="G2752" s="30">
        <f>Table132[[#This Row],[nb win]]/Table132[[#This Row],[nb play]]</f>
        <v>0.7142857142857143</v>
      </c>
      <c r="H2752" t="str">
        <f>MID(Table132[[#This Row],[ÉTAT]],VALUE(RIGHT(Table132[[#This Row],[next move]],1))+1+VALUE(LEFT(Table132[[#This Row],[next move]],1))*3,1)</f>
        <v>V</v>
      </c>
      <c r="I2752" t="str">
        <f>Table132[[#This Row],[ÉTAT]]&amp;Table132[[#This Row],[next move]]</f>
        <v>VEMVVVVVV10</v>
      </c>
    </row>
    <row r="2753" spans="2:9" x14ac:dyDescent="0.25">
      <c r="B2753" t="s">
        <v>329</v>
      </c>
      <c r="C2753" s="22" t="s">
        <v>35</v>
      </c>
      <c r="D2753">
        <v>1</v>
      </c>
      <c r="G2753" s="30">
        <f>Table132[[#This Row],[nb win]]/Table132[[#This Row],[nb play]]</f>
        <v>0</v>
      </c>
      <c r="H2753" t="str">
        <f>MID(Table132[[#This Row],[ÉTAT]],VALUE(RIGHT(Table132[[#This Row],[next move]],1))+1+VALUE(LEFT(Table132[[#This Row],[next move]],1))*3,1)</f>
        <v>V</v>
      </c>
      <c r="I2753" t="str">
        <f>Table132[[#This Row],[ÉTAT]]&amp;Table132[[#This Row],[next move]]</f>
        <v>VEMVVVVVV20</v>
      </c>
    </row>
    <row r="2754" spans="2:9" x14ac:dyDescent="0.25">
      <c r="B2754" t="s">
        <v>329</v>
      </c>
      <c r="C2754" s="22" t="s">
        <v>22</v>
      </c>
      <c r="D2754">
        <v>9</v>
      </c>
      <c r="E2754">
        <v>8</v>
      </c>
      <c r="G2754" s="31">
        <f>Table132[[#This Row],[nb win]]/Table132[[#This Row],[nb play]]</f>
        <v>0.88888888888888884</v>
      </c>
      <c r="H2754" t="str">
        <f>MID(Table132[[#This Row],[ÉTAT]],VALUE(RIGHT(Table132[[#This Row],[next move]],1))+1+VALUE(LEFT(Table132[[#This Row],[next move]],1))*3,1)</f>
        <v>V</v>
      </c>
      <c r="I2754" t="str">
        <f>Table132[[#This Row],[ÉTAT]]&amp;Table132[[#This Row],[next move]]</f>
        <v>VEMVVVVVV21</v>
      </c>
    </row>
    <row r="2755" spans="2:9" x14ac:dyDescent="0.25">
      <c r="B2755" t="s">
        <v>329</v>
      </c>
      <c r="C2755" s="22" t="s">
        <v>31</v>
      </c>
      <c r="D2755">
        <v>1</v>
      </c>
      <c r="E2755">
        <v>1</v>
      </c>
      <c r="G2755" s="31">
        <f>Table132[[#This Row],[nb win]]/Table132[[#This Row],[nb play]]</f>
        <v>1</v>
      </c>
      <c r="H2755" t="str">
        <f>MID(Table132[[#This Row],[ÉTAT]],VALUE(RIGHT(Table132[[#This Row],[next move]],1))+1+VALUE(LEFT(Table132[[#This Row],[next move]],1))*3,1)</f>
        <v>V</v>
      </c>
      <c r="I2755" t="str">
        <f>Table132[[#This Row],[ÉTAT]]&amp;Table132[[#This Row],[next move]]</f>
        <v>VEMVVVVVV22</v>
      </c>
    </row>
    <row r="2756" spans="2:9" x14ac:dyDescent="0.25">
      <c r="B2756" t="s">
        <v>985</v>
      </c>
      <c r="C2756" s="22" t="s">
        <v>24</v>
      </c>
      <c r="D2756">
        <v>3</v>
      </c>
      <c r="E2756">
        <v>2</v>
      </c>
      <c r="G2756" s="31">
        <f>Table132[[#This Row],[nb win]]/Table132[[#This Row],[nb play]]</f>
        <v>0.66666666666666663</v>
      </c>
      <c r="H2756" t="str">
        <f>MID(Table132[[#This Row],[ÉTAT]],VALUE(RIGHT(Table132[[#This Row],[next move]],1))+1+VALUE(LEFT(Table132[[#This Row],[next move]],1))*3,1)</f>
        <v>V</v>
      </c>
      <c r="I2756" t="str">
        <f>Table132[[#This Row],[ÉTAT]]&amp;Table132[[#This Row],[next move]]</f>
        <v>VEMVVVVVE00</v>
      </c>
    </row>
    <row r="2757" spans="2:9" x14ac:dyDescent="0.25">
      <c r="B2757" t="s">
        <v>985</v>
      </c>
      <c r="C2757" s="22" t="s">
        <v>30</v>
      </c>
      <c r="D2757">
        <v>2</v>
      </c>
      <c r="G2757" s="25">
        <f>Table132[[#This Row],[nb win]]/Table132[[#This Row],[nb play]]</f>
        <v>0</v>
      </c>
      <c r="H2757" t="str">
        <f>MID(Table132[[#This Row],[ÉTAT]],VALUE(RIGHT(Table132[[#This Row],[next move]],1))+1+VALUE(LEFT(Table132[[#This Row],[next move]],1))*3,1)</f>
        <v>V</v>
      </c>
      <c r="I2757" t="str">
        <f>Table132[[#This Row],[ÉTAT]]&amp;Table132[[#This Row],[next move]]</f>
        <v>VEMVVVVVE10</v>
      </c>
    </row>
    <row r="2758" spans="2:9" x14ac:dyDescent="0.25">
      <c r="B2758" t="s">
        <v>985</v>
      </c>
      <c r="C2758" s="22" t="s">
        <v>29</v>
      </c>
      <c r="D2758">
        <v>3</v>
      </c>
      <c r="G2758" s="30">
        <f>Table132[[#This Row],[nb win]]/Table132[[#This Row],[nb play]]</f>
        <v>0</v>
      </c>
      <c r="H2758" t="str">
        <f>MID(Table132[[#This Row],[ÉTAT]],VALUE(RIGHT(Table132[[#This Row],[next move]],1))+1+VALUE(LEFT(Table132[[#This Row],[next move]],1))*3,1)</f>
        <v>V</v>
      </c>
      <c r="I2758" t="str">
        <f>Table132[[#This Row],[ÉTAT]]&amp;Table132[[#This Row],[next move]]</f>
        <v>VEMVVVVVE11</v>
      </c>
    </row>
    <row r="2759" spans="2:9" x14ac:dyDescent="0.25">
      <c r="B2759" t="s">
        <v>985</v>
      </c>
      <c r="C2759" s="22" t="s">
        <v>28</v>
      </c>
      <c r="D2759">
        <v>5</v>
      </c>
      <c r="E2759">
        <v>1</v>
      </c>
      <c r="G2759" s="25">
        <f>Table132[[#This Row],[nb win]]/Table132[[#This Row],[nb play]]</f>
        <v>0.2</v>
      </c>
      <c r="H2759" t="str">
        <f>MID(Table132[[#This Row],[ÉTAT]],VALUE(RIGHT(Table132[[#This Row],[next move]],1))+1+VALUE(LEFT(Table132[[#This Row],[next move]],1))*3,1)</f>
        <v>V</v>
      </c>
      <c r="I2759" t="str">
        <f>Table132[[#This Row],[ÉTAT]]&amp;Table132[[#This Row],[next move]]</f>
        <v>VEMVVVVVE12</v>
      </c>
    </row>
    <row r="2760" spans="2:9" x14ac:dyDescent="0.25">
      <c r="B2760" t="s">
        <v>985</v>
      </c>
      <c r="C2760" s="22" t="s">
        <v>35</v>
      </c>
      <c r="D2760">
        <v>3</v>
      </c>
      <c r="E2760">
        <v>1</v>
      </c>
      <c r="G2760" s="25">
        <f>Table132[[#This Row],[nb win]]/Table132[[#This Row],[nb play]]</f>
        <v>0.33333333333333331</v>
      </c>
      <c r="H2760" t="str">
        <f>MID(Table132[[#This Row],[ÉTAT]],VALUE(RIGHT(Table132[[#This Row],[next move]],1))+1+VALUE(LEFT(Table132[[#This Row],[next move]],1))*3,1)</f>
        <v>V</v>
      </c>
      <c r="I2760" t="str">
        <f>Table132[[#This Row],[ÉTAT]]&amp;Table132[[#This Row],[next move]]</f>
        <v>VEMVVVVVE20</v>
      </c>
    </row>
    <row r="2761" spans="2:9" x14ac:dyDescent="0.25">
      <c r="B2761" t="s">
        <v>985</v>
      </c>
      <c r="C2761" s="22" t="s">
        <v>22</v>
      </c>
      <c r="D2761">
        <v>4</v>
      </c>
      <c r="G2761" s="25">
        <f>Table132[[#This Row],[nb win]]/Table132[[#This Row],[nb play]]</f>
        <v>0</v>
      </c>
      <c r="H2761" t="str">
        <f>MID(Table132[[#This Row],[ÉTAT]],VALUE(RIGHT(Table132[[#This Row],[next move]],1))+1+VALUE(LEFT(Table132[[#This Row],[next move]],1))*3,1)</f>
        <v>V</v>
      </c>
      <c r="I2761" t="str">
        <f>Table132[[#This Row],[ÉTAT]]&amp;Table132[[#This Row],[next move]]</f>
        <v>VEMVVVVVE21</v>
      </c>
    </row>
    <row r="2762" spans="2:9" x14ac:dyDescent="0.25">
      <c r="B2762" t="s">
        <v>369</v>
      </c>
      <c r="C2762" s="22" t="s">
        <v>24</v>
      </c>
      <c r="D2762">
        <v>2</v>
      </c>
      <c r="E2762">
        <v>2</v>
      </c>
      <c r="G2762" s="25">
        <f>Table132[[#This Row],[nb win]]/Table132[[#This Row],[nb play]]</f>
        <v>1</v>
      </c>
      <c r="H2762" t="str">
        <f>MID(Table132[[#This Row],[ÉTAT]],VALUE(RIGHT(Table132[[#This Row],[next move]],1))+1+VALUE(LEFT(Table132[[#This Row],[next move]],1))*3,1)</f>
        <v>V</v>
      </c>
      <c r="I2762" t="str">
        <f>Table132[[#This Row],[ÉTAT]]&amp;Table132[[#This Row],[next move]]</f>
        <v>VEMVVVVME00</v>
      </c>
    </row>
    <row r="2763" spans="2:9" x14ac:dyDescent="0.25">
      <c r="B2763" t="s">
        <v>369</v>
      </c>
      <c r="C2763" s="22" t="s">
        <v>30</v>
      </c>
      <c r="D2763">
        <v>6</v>
      </c>
      <c r="E2763">
        <v>4</v>
      </c>
      <c r="G2763" s="31">
        <f>Table132[[#This Row],[nb win]]/Table132[[#This Row],[nb play]]</f>
        <v>0.66666666666666663</v>
      </c>
      <c r="H2763" t="str">
        <f>MID(Table132[[#This Row],[ÉTAT]],VALUE(RIGHT(Table132[[#This Row],[next move]],1))+1+VALUE(LEFT(Table132[[#This Row],[next move]],1))*3,1)</f>
        <v>V</v>
      </c>
      <c r="I2763" t="str">
        <f>Table132[[#This Row],[ÉTAT]]&amp;Table132[[#This Row],[next move]]</f>
        <v>VEMVVVVME10</v>
      </c>
    </row>
    <row r="2764" spans="2:9" x14ac:dyDescent="0.25">
      <c r="B2764" t="s">
        <v>80</v>
      </c>
      <c r="C2764" s="22" t="s">
        <v>24</v>
      </c>
      <c r="D2764">
        <v>4</v>
      </c>
      <c r="G2764" s="30">
        <f>Table132[[#This Row],[nb win]]/Table132[[#This Row],[nb play]]</f>
        <v>0</v>
      </c>
      <c r="H2764" t="str">
        <f>MID(Table132[[#This Row],[ÉTAT]],VALUE(RIGHT(Table132[[#This Row],[next move]],1))+1+VALUE(LEFT(Table132[[#This Row],[next move]],1))*3,1)</f>
        <v>V</v>
      </c>
      <c r="I2764" t="str">
        <f>Table132[[#This Row],[ÉTAT]]&amp;Table132[[#This Row],[next move]]</f>
        <v>VEMVVVVEV00</v>
      </c>
    </row>
    <row r="2765" spans="2:9" x14ac:dyDescent="0.25">
      <c r="B2765" t="s">
        <v>80</v>
      </c>
      <c r="C2765" s="22" t="s">
        <v>29</v>
      </c>
      <c r="D2765">
        <v>5</v>
      </c>
      <c r="E2765">
        <v>5</v>
      </c>
      <c r="G2765" s="31">
        <f>Table132[[#This Row],[nb win]]/Table132[[#This Row],[nb play]]</f>
        <v>1</v>
      </c>
      <c r="H2765" t="str">
        <f>MID(Table132[[#This Row],[ÉTAT]],VALUE(RIGHT(Table132[[#This Row],[next move]],1))+1+VALUE(LEFT(Table132[[#This Row],[next move]],1))*3,1)</f>
        <v>V</v>
      </c>
      <c r="I2765" t="str">
        <f>Table132[[#This Row],[ÉTAT]]&amp;Table132[[#This Row],[next move]]</f>
        <v>VEMVVVVEV11</v>
      </c>
    </row>
    <row r="2766" spans="2:9" x14ac:dyDescent="0.25">
      <c r="B2766" t="s">
        <v>80</v>
      </c>
      <c r="C2766" s="22" t="s">
        <v>35</v>
      </c>
      <c r="D2766">
        <v>4</v>
      </c>
      <c r="G2766" s="30">
        <f>Table132[[#This Row],[nb win]]/Table132[[#This Row],[nb play]]</f>
        <v>0</v>
      </c>
      <c r="H2766" t="str">
        <f>MID(Table132[[#This Row],[ÉTAT]],VALUE(RIGHT(Table132[[#This Row],[next move]],1))+1+VALUE(LEFT(Table132[[#This Row],[next move]],1))*3,1)</f>
        <v>V</v>
      </c>
      <c r="I2766" t="str">
        <f>Table132[[#This Row],[ÉTAT]]&amp;Table132[[#This Row],[next move]]</f>
        <v>VEMVVVVEV20</v>
      </c>
    </row>
    <row r="2767" spans="2:9" x14ac:dyDescent="0.25">
      <c r="B2767" t="s">
        <v>80</v>
      </c>
      <c r="C2767" s="22" t="s">
        <v>31</v>
      </c>
      <c r="D2767">
        <v>5</v>
      </c>
      <c r="E2767">
        <v>1</v>
      </c>
      <c r="G2767" s="30">
        <f>Table132[[#This Row],[nb win]]/Table132[[#This Row],[nb play]]</f>
        <v>0.2</v>
      </c>
      <c r="H2767" t="str">
        <f>MID(Table132[[#This Row],[ÉTAT]],VALUE(RIGHT(Table132[[#This Row],[next move]],1))+1+VALUE(LEFT(Table132[[#This Row],[next move]],1))*3,1)</f>
        <v>V</v>
      </c>
      <c r="I2767" t="str">
        <f>Table132[[#This Row],[ÉTAT]]&amp;Table132[[#This Row],[next move]]</f>
        <v>VEMVVVVEV22</v>
      </c>
    </row>
    <row r="2768" spans="2:9" x14ac:dyDescent="0.25">
      <c r="B2768" t="s">
        <v>260</v>
      </c>
      <c r="C2768" s="22" t="s">
        <v>24</v>
      </c>
      <c r="D2768">
        <v>4</v>
      </c>
      <c r="E2768">
        <v>3</v>
      </c>
      <c r="G2768" s="25">
        <f>Table132[[#This Row],[nb win]]/Table132[[#This Row],[nb play]]</f>
        <v>0.75</v>
      </c>
      <c r="H2768" t="str">
        <f>MID(Table132[[#This Row],[ÉTAT]],VALUE(RIGHT(Table132[[#This Row],[next move]],1))+1+VALUE(LEFT(Table132[[#This Row],[next move]],1))*3,1)</f>
        <v>V</v>
      </c>
      <c r="I2768" t="str">
        <f>Table132[[#This Row],[ÉTAT]]&amp;Table132[[#This Row],[next move]]</f>
        <v>VEMVVVVEM00</v>
      </c>
    </row>
    <row r="2769" spans="2:9" x14ac:dyDescent="0.25">
      <c r="B2769" t="s">
        <v>260</v>
      </c>
      <c r="C2769" s="22" t="s">
        <v>35</v>
      </c>
      <c r="D2769">
        <v>2</v>
      </c>
      <c r="E2769">
        <v>1</v>
      </c>
      <c r="G2769" s="25">
        <f>Table132[[#This Row],[nb win]]/Table132[[#This Row],[nb play]]</f>
        <v>0.5</v>
      </c>
      <c r="H2769" t="str">
        <f>MID(Table132[[#This Row],[ÉTAT]],VALUE(RIGHT(Table132[[#This Row],[next move]],1))+1+VALUE(LEFT(Table132[[#This Row],[next move]],1))*3,1)</f>
        <v>V</v>
      </c>
      <c r="I2769" t="str">
        <f>Table132[[#This Row],[ÉTAT]]&amp;Table132[[#This Row],[next move]]</f>
        <v>VEMVVVVEM20</v>
      </c>
    </row>
    <row r="2770" spans="2:9" x14ac:dyDescent="0.25">
      <c r="B2770" t="s">
        <v>558</v>
      </c>
      <c r="C2770" s="22" t="s">
        <v>30</v>
      </c>
      <c r="D2770">
        <v>2</v>
      </c>
      <c r="E2770">
        <v>2</v>
      </c>
      <c r="G2770" s="25">
        <f>Table132[[#This Row],[nb win]]/Table132[[#This Row],[nb play]]</f>
        <v>1</v>
      </c>
      <c r="H2770" t="str">
        <f>MID(Table132[[#This Row],[ÉTAT]],VALUE(RIGHT(Table132[[#This Row],[next move]],1))+1+VALUE(LEFT(Table132[[#This Row],[next move]],1))*3,1)</f>
        <v>V</v>
      </c>
      <c r="I2770" t="str">
        <f>Table132[[#This Row],[ÉTAT]]&amp;Table132[[#This Row],[next move]]</f>
        <v>VEMVVVMVE10</v>
      </c>
    </row>
    <row r="2771" spans="2:9" x14ac:dyDescent="0.25">
      <c r="B2771" t="s">
        <v>1132</v>
      </c>
      <c r="C2771" s="22" t="s">
        <v>30</v>
      </c>
      <c r="D2771">
        <v>1</v>
      </c>
      <c r="E2771">
        <v>1</v>
      </c>
      <c r="G2771" s="31">
        <f>Table132[[#This Row],[nb win]]/Table132[[#This Row],[nb play]]</f>
        <v>1</v>
      </c>
      <c r="H2771" t="str">
        <f>MID(Table132[[#This Row],[ÉTAT]],VALUE(RIGHT(Table132[[#This Row],[next move]],1))+1+VALUE(LEFT(Table132[[#This Row],[next move]],1))*3,1)</f>
        <v>V</v>
      </c>
      <c r="I2771" t="str">
        <f>Table132[[#This Row],[ÉTAT]]&amp;Table132[[#This Row],[next move]]</f>
        <v>VEMVVVMEV10</v>
      </c>
    </row>
    <row r="2772" spans="2:9" x14ac:dyDescent="0.25">
      <c r="B2772" t="s">
        <v>1132</v>
      </c>
      <c r="C2772" s="22" t="s">
        <v>28</v>
      </c>
      <c r="D2772">
        <v>1</v>
      </c>
      <c r="G2772" s="30">
        <f>Table132[[#This Row],[nb win]]/Table132[[#This Row],[nb play]]</f>
        <v>0</v>
      </c>
      <c r="H2772" t="str">
        <f>MID(Table132[[#This Row],[ÉTAT]],VALUE(RIGHT(Table132[[#This Row],[next move]],1))+1+VALUE(LEFT(Table132[[#This Row],[next move]],1))*3,1)</f>
        <v>V</v>
      </c>
      <c r="I2772" t="str">
        <f>Table132[[#This Row],[ÉTAT]]&amp;Table132[[#This Row],[next move]]</f>
        <v>VEMVVVMEV12</v>
      </c>
    </row>
    <row r="2773" spans="2:9" x14ac:dyDescent="0.25">
      <c r="B2773" t="s">
        <v>1132</v>
      </c>
      <c r="C2773" s="22" t="s">
        <v>31</v>
      </c>
      <c r="D2773">
        <v>1</v>
      </c>
      <c r="G2773" s="25">
        <f>Table132[[#This Row],[nb win]]/Table132[[#This Row],[nb play]]</f>
        <v>0</v>
      </c>
      <c r="H2773" t="str">
        <f>MID(Table132[[#This Row],[ÉTAT]],VALUE(RIGHT(Table132[[#This Row],[next move]],1))+1+VALUE(LEFT(Table132[[#This Row],[next move]],1))*3,1)</f>
        <v>V</v>
      </c>
      <c r="I2773" t="str">
        <f>Table132[[#This Row],[ÉTAT]]&amp;Table132[[#This Row],[next move]]</f>
        <v>VEMVVVMEV22</v>
      </c>
    </row>
    <row r="2774" spans="2:9" x14ac:dyDescent="0.25">
      <c r="B2774" t="s">
        <v>2688</v>
      </c>
      <c r="C2774" s="22" t="s">
        <v>28</v>
      </c>
      <c r="D2774">
        <v>4</v>
      </c>
      <c r="E2774">
        <v>4</v>
      </c>
      <c r="G2774" s="31">
        <f>Table132[[#This Row],[nb win]]/Table132[[#This Row],[nb play]]</f>
        <v>1</v>
      </c>
      <c r="H2774" t="str">
        <f>MID(Table132[[#This Row],[ÉTAT]],VALUE(RIGHT(Table132[[#This Row],[next move]],1))+1+VALUE(LEFT(Table132[[#This Row],[next move]],1))*3,1)</f>
        <v>V</v>
      </c>
      <c r="I2774" t="str">
        <f>Table132[[#This Row],[ÉTAT]]&amp;Table132[[#This Row],[next move]]</f>
        <v>VEMVVVEVV12</v>
      </c>
    </row>
    <row r="2775" spans="2:9" x14ac:dyDescent="0.25">
      <c r="B2775" t="s">
        <v>2688</v>
      </c>
      <c r="C2775" s="22" t="s">
        <v>22</v>
      </c>
      <c r="D2775">
        <v>4</v>
      </c>
      <c r="G2775" s="30">
        <f>Table132[[#This Row],[nb win]]/Table132[[#This Row],[nb play]]</f>
        <v>0</v>
      </c>
      <c r="H2775" t="str">
        <f>MID(Table132[[#This Row],[ÉTAT]],VALUE(RIGHT(Table132[[#This Row],[next move]],1))+1+VALUE(LEFT(Table132[[#This Row],[next move]],1))*3,1)</f>
        <v>V</v>
      </c>
      <c r="I2775" t="str">
        <f>Table132[[#This Row],[ÉTAT]]&amp;Table132[[#This Row],[next move]]</f>
        <v>VEMVVVEVV21</v>
      </c>
    </row>
    <row r="2776" spans="2:9" x14ac:dyDescent="0.25">
      <c r="B2776" t="s">
        <v>1905</v>
      </c>
      <c r="C2776" s="22" t="s">
        <v>29</v>
      </c>
      <c r="D2776">
        <v>5</v>
      </c>
      <c r="E2776">
        <v>5</v>
      </c>
      <c r="G2776" s="31">
        <f>Table132[[#This Row],[nb win]]/Table132[[#This Row],[nb play]]</f>
        <v>1</v>
      </c>
      <c r="H2776" t="str">
        <f>MID(Table132[[#This Row],[ÉTAT]],VALUE(RIGHT(Table132[[#This Row],[next move]],1))+1+VALUE(LEFT(Table132[[#This Row],[next move]],1))*3,1)</f>
        <v>V</v>
      </c>
      <c r="I2776" t="str">
        <f>Table132[[#This Row],[ÉTAT]]&amp;Table132[[#This Row],[next move]]</f>
        <v>VEMVVVEVM11</v>
      </c>
    </row>
    <row r="2777" spans="2:9" x14ac:dyDescent="0.25">
      <c r="B2777" t="s">
        <v>1149</v>
      </c>
      <c r="C2777" s="22" t="s">
        <v>30</v>
      </c>
      <c r="D2777">
        <v>2</v>
      </c>
      <c r="E2777">
        <v>2</v>
      </c>
      <c r="G2777" s="25">
        <f>Table132[[#This Row],[nb win]]/Table132[[#This Row],[nb play]]</f>
        <v>1</v>
      </c>
      <c r="H2777" t="str">
        <f>MID(Table132[[#This Row],[ÉTAT]],VALUE(RIGHT(Table132[[#This Row],[next move]],1))+1+VALUE(LEFT(Table132[[#This Row],[next move]],1))*3,1)</f>
        <v>V</v>
      </c>
      <c r="I2777" t="str">
        <f>Table132[[#This Row],[ÉTAT]]&amp;Table132[[#This Row],[next move]]</f>
        <v>VEMVVVEMV10</v>
      </c>
    </row>
    <row r="2778" spans="2:9" x14ac:dyDescent="0.25">
      <c r="B2778" t="s">
        <v>1200</v>
      </c>
      <c r="C2778" s="22" t="s">
        <v>29</v>
      </c>
      <c r="D2778">
        <v>3</v>
      </c>
      <c r="E2778">
        <v>3</v>
      </c>
      <c r="G2778" s="31">
        <f>Table132[[#This Row],[nb win]]/Table132[[#This Row],[nb play]]</f>
        <v>1</v>
      </c>
      <c r="H2778" t="str">
        <f>MID(Table132[[#This Row],[ÉTAT]],VALUE(RIGHT(Table132[[#This Row],[next move]],1))+1+VALUE(LEFT(Table132[[#This Row],[next move]],1))*3,1)</f>
        <v>V</v>
      </c>
      <c r="I2778" t="str">
        <f>Table132[[#This Row],[ÉTAT]]&amp;Table132[[#This Row],[next move]]</f>
        <v>VEMVVVEEM11</v>
      </c>
    </row>
    <row r="2779" spans="2:9" x14ac:dyDescent="0.25">
      <c r="B2779" t="s">
        <v>388</v>
      </c>
      <c r="C2779" s="22" t="s">
        <v>29</v>
      </c>
      <c r="D2779">
        <v>6</v>
      </c>
      <c r="E2779">
        <v>6</v>
      </c>
      <c r="G2779" s="31">
        <f>Table132[[#This Row],[nb win]]/Table132[[#This Row],[nb play]]</f>
        <v>1</v>
      </c>
      <c r="H2779" t="str">
        <f>MID(Table132[[#This Row],[ÉTAT]],VALUE(RIGHT(Table132[[#This Row],[next move]],1))+1+VALUE(LEFT(Table132[[#This Row],[next move]],1))*3,1)</f>
        <v>V</v>
      </c>
      <c r="I2779" t="str">
        <f>Table132[[#This Row],[ÉTAT]]&amp;Table132[[#This Row],[next move]]</f>
        <v>VEMVVMVEV11</v>
      </c>
    </row>
    <row r="2780" spans="2:9" x14ac:dyDescent="0.25">
      <c r="B2780" t="s">
        <v>870</v>
      </c>
      <c r="C2780" s="22" t="s">
        <v>24</v>
      </c>
      <c r="D2780">
        <v>2</v>
      </c>
      <c r="G2780" s="30">
        <f>Table132[[#This Row],[nb win]]/Table132[[#This Row],[nb play]]</f>
        <v>0</v>
      </c>
      <c r="H2780" t="str">
        <f>MID(Table132[[#This Row],[ÉTAT]],VALUE(RIGHT(Table132[[#This Row],[next move]],1))+1+VALUE(LEFT(Table132[[#This Row],[next move]],1))*3,1)</f>
        <v>V</v>
      </c>
      <c r="I2780" t="str">
        <f>Table132[[#This Row],[ÉTAT]]&amp;Table132[[#This Row],[next move]]</f>
        <v>VEMVVMVEE00</v>
      </c>
    </row>
    <row r="2781" spans="2:9" x14ac:dyDescent="0.25">
      <c r="B2781" t="s">
        <v>870</v>
      </c>
      <c r="C2781" s="22" t="s">
        <v>30</v>
      </c>
      <c r="D2781">
        <v>2</v>
      </c>
      <c r="E2781">
        <v>1</v>
      </c>
      <c r="G2781" s="25">
        <f>Table132[[#This Row],[nb win]]/Table132[[#This Row],[nb play]]</f>
        <v>0.5</v>
      </c>
      <c r="H2781" t="str">
        <f>MID(Table132[[#This Row],[ÉTAT]],VALUE(RIGHT(Table132[[#This Row],[next move]],1))+1+VALUE(LEFT(Table132[[#This Row],[next move]],1))*3,1)</f>
        <v>V</v>
      </c>
      <c r="I2781" t="str">
        <f>Table132[[#This Row],[ÉTAT]]&amp;Table132[[#This Row],[next move]]</f>
        <v>VEMVVMVEE10</v>
      </c>
    </row>
    <row r="2782" spans="2:9" x14ac:dyDescent="0.25">
      <c r="B2782" t="s">
        <v>870</v>
      </c>
      <c r="C2782" s="22" t="s">
        <v>29</v>
      </c>
      <c r="D2782">
        <v>1</v>
      </c>
      <c r="G2782" s="25">
        <f>Table132[[#This Row],[nb win]]/Table132[[#This Row],[nb play]]</f>
        <v>0</v>
      </c>
      <c r="H2782" t="str">
        <f>MID(Table132[[#This Row],[ÉTAT]],VALUE(RIGHT(Table132[[#This Row],[next move]],1))+1+VALUE(LEFT(Table132[[#This Row],[next move]],1))*3,1)</f>
        <v>V</v>
      </c>
      <c r="I2782" t="str">
        <f>Table132[[#This Row],[ÉTAT]]&amp;Table132[[#This Row],[next move]]</f>
        <v>VEMVVMVEE11</v>
      </c>
    </row>
    <row r="2783" spans="2:9" x14ac:dyDescent="0.25">
      <c r="B2783" t="s">
        <v>870</v>
      </c>
      <c r="C2783" s="22" t="s">
        <v>35</v>
      </c>
      <c r="D2783">
        <v>1</v>
      </c>
      <c r="G2783" s="25">
        <f>Table132[[#This Row],[nb win]]/Table132[[#This Row],[nb play]]</f>
        <v>0</v>
      </c>
      <c r="H2783" t="str">
        <f>MID(Table132[[#This Row],[ÉTAT]],VALUE(RIGHT(Table132[[#This Row],[next move]],1))+1+VALUE(LEFT(Table132[[#This Row],[next move]],1))*3,1)</f>
        <v>V</v>
      </c>
      <c r="I2783" t="str">
        <f>Table132[[#This Row],[ÉTAT]]&amp;Table132[[#This Row],[next move]]</f>
        <v>VEMVVMVEE20</v>
      </c>
    </row>
    <row r="2784" spans="2:9" x14ac:dyDescent="0.25">
      <c r="B2784" t="s">
        <v>2249</v>
      </c>
      <c r="C2784" s="22" t="s">
        <v>22</v>
      </c>
      <c r="D2784">
        <v>2</v>
      </c>
      <c r="E2784">
        <v>1</v>
      </c>
      <c r="G2784" s="30">
        <f>Table132[[#This Row],[nb win]]/Table132[[#This Row],[nb play]]</f>
        <v>0.5</v>
      </c>
      <c r="H2784" t="str">
        <f>MID(Table132[[#This Row],[ÉTAT]],VALUE(RIGHT(Table132[[#This Row],[next move]],1))+1+VALUE(LEFT(Table132[[#This Row],[next move]],1))*3,1)</f>
        <v>V</v>
      </c>
      <c r="I2784" t="str">
        <f>Table132[[#This Row],[ÉTAT]]&amp;Table132[[#This Row],[next move]]</f>
        <v>VEMVVMEVV21</v>
      </c>
    </row>
    <row r="2785" spans="2:9" x14ac:dyDescent="0.25">
      <c r="B2785" t="s">
        <v>1397</v>
      </c>
      <c r="C2785" s="22" t="s">
        <v>24</v>
      </c>
      <c r="D2785">
        <v>1</v>
      </c>
      <c r="G2785" s="25">
        <f>Table132[[#This Row],[nb win]]/Table132[[#This Row],[nb play]]</f>
        <v>0</v>
      </c>
      <c r="H2785" t="str">
        <f>MID(Table132[[#This Row],[ÉTAT]],VALUE(RIGHT(Table132[[#This Row],[next move]],1))+1+VALUE(LEFT(Table132[[#This Row],[next move]],1))*3,1)</f>
        <v>V</v>
      </c>
      <c r="I2785" t="str">
        <f>Table132[[#This Row],[ÉTAT]]&amp;Table132[[#This Row],[next move]]</f>
        <v>VEMVVMEVE00</v>
      </c>
    </row>
    <row r="2786" spans="2:9" x14ac:dyDescent="0.25">
      <c r="B2786" t="s">
        <v>1397</v>
      </c>
      <c r="C2786" s="22" t="s">
        <v>30</v>
      </c>
      <c r="D2786">
        <v>1</v>
      </c>
      <c r="G2786" s="25">
        <f>Table132[[#This Row],[nb win]]/Table132[[#This Row],[nb play]]</f>
        <v>0</v>
      </c>
      <c r="H2786" t="str">
        <f>MID(Table132[[#This Row],[ÉTAT]],VALUE(RIGHT(Table132[[#This Row],[next move]],1))+1+VALUE(LEFT(Table132[[#This Row],[next move]],1))*3,1)</f>
        <v>V</v>
      </c>
      <c r="I2786" t="str">
        <f>Table132[[#This Row],[ÉTAT]]&amp;Table132[[#This Row],[next move]]</f>
        <v>VEMVVMEVE10</v>
      </c>
    </row>
    <row r="2787" spans="2:9" x14ac:dyDescent="0.25">
      <c r="B2787" t="s">
        <v>1397</v>
      </c>
      <c r="C2787" s="22" t="s">
        <v>29</v>
      </c>
      <c r="D2787">
        <v>1</v>
      </c>
      <c r="G2787" s="25">
        <f>Table132[[#This Row],[nb win]]/Table132[[#This Row],[nb play]]</f>
        <v>0</v>
      </c>
      <c r="H2787" t="str">
        <f>MID(Table132[[#This Row],[ÉTAT]],VALUE(RIGHT(Table132[[#This Row],[next move]],1))+1+VALUE(LEFT(Table132[[#This Row],[next move]],1))*3,1)</f>
        <v>V</v>
      </c>
      <c r="I2787" t="str">
        <f>Table132[[#This Row],[ÉTAT]]&amp;Table132[[#This Row],[next move]]</f>
        <v>VEMVVMEVE11</v>
      </c>
    </row>
    <row r="2788" spans="2:9" x14ac:dyDescent="0.25">
      <c r="B2788" t="s">
        <v>1397</v>
      </c>
      <c r="C2788" s="22" t="s">
        <v>22</v>
      </c>
      <c r="D2788">
        <v>1</v>
      </c>
      <c r="G2788" s="30">
        <f>Table132[[#This Row],[nb win]]/Table132[[#This Row],[nb play]]</f>
        <v>0</v>
      </c>
      <c r="H2788" t="str">
        <f>MID(Table132[[#This Row],[ÉTAT]],VALUE(RIGHT(Table132[[#This Row],[next move]],1))+1+VALUE(LEFT(Table132[[#This Row],[next move]],1))*3,1)</f>
        <v>V</v>
      </c>
      <c r="I2788" t="str">
        <f>Table132[[#This Row],[ÉTAT]]&amp;Table132[[#This Row],[next move]]</f>
        <v>VEMVVMEVE21</v>
      </c>
    </row>
    <row r="2789" spans="2:9" x14ac:dyDescent="0.25">
      <c r="B2789" t="s">
        <v>1798</v>
      </c>
      <c r="C2789" s="22" t="s">
        <v>24</v>
      </c>
      <c r="D2789">
        <v>1</v>
      </c>
      <c r="G2789" s="30">
        <f>Table132[[#This Row],[nb win]]/Table132[[#This Row],[nb play]]</f>
        <v>0</v>
      </c>
      <c r="H2789" t="str">
        <f>MID(Table132[[#This Row],[ÉTAT]],VALUE(RIGHT(Table132[[#This Row],[next move]],1))+1+VALUE(LEFT(Table132[[#This Row],[next move]],1))*3,1)</f>
        <v>V</v>
      </c>
      <c r="I2789" t="str">
        <f>Table132[[#This Row],[ÉTAT]]&amp;Table132[[#This Row],[next move]]</f>
        <v>VEMVVMEEV00</v>
      </c>
    </row>
    <row r="2790" spans="2:9" x14ac:dyDescent="0.25">
      <c r="B2790" t="s">
        <v>1798</v>
      </c>
      <c r="C2790" s="22" t="s">
        <v>30</v>
      </c>
      <c r="D2790">
        <v>1</v>
      </c>
      <c r="G2790" s="25">
        <f>Table132[[#This Row],[nb win]]/Table132[[#This Row],[nb play]]</f>
        <v>0</v>
      </c>
      <c r="H2790" t="str">
        <f>MID(Table132[[#This Row],[ÉTAT]],VALUE(RIGHT(Table132[[#This Row],[next move]],1))+1+VALUE(LEFT(Table132[[#This Row],[next move]],1))*3,1)</f>
        <v>V</v>
      </c>
      <c r="I2790" t="str">
        <f>Table132[[#This Row],[ÉTAT]]&amp;Table132[[#This Row],[next move]]</f>
        <v>VEMVVMEEV10</v>
      </c>
    </row>
    <row r="2791" spans="2:9" x14ac:dyDescent="0.25">
      <c r="B2791" t="s">
        <v>1798</v>
      </c>
      <c r="C2791" s="22" t="s">
        <v>31</v>
      </c>
      <c r="D2791">
        <v>1</v>
      </c>
      <c r="E2791">
        <v>1</v>
      </c>
      <c r="G2791" s="31">
        <f>Table132[[#This Row],[nb win]]/Table132[[#This Row],[nb play]]</f>
        <v>1</v>
      </c>
      <c r="H2791" t="str">
        <f>MID(Table132[[#This Row],[ÉTAT]],VALUE(RIGHT(Table132[[#This Row],[next move]],1))+1+VALUE(LEFT(Table132[[#This Row],[next move]],1))*3,1)</f>
        <v>V</v>
      </c>
      <c r="I2791" t="str">
        <f>Table132[[#This Row],[ÉTAT]]&amp;Table132[[#This Row],[next move]]</f>
        <v>VEMVVMEEV22</v>
      </c>
    </row>
    <row r="2792" spans="2:9" x14ac:dyDescent="0.25">
      <c r="B2792" t="s">
        <v>2816</v>
      </c>
      <c r="C2792" s="22" t="s">
        <v>29</v>
      </c>
      <c r="D2792">
        <v>2</v>
      </c>
      <c r="E2792">
        <v>2</v>
      </c>
      <c r="G2792" s="31">
        <f>Table132[[#This Row],[nb win]]/Table132[[#This Row],[nb play]]</f>
        <v>1</v>
      </c>
      <c r="H2792" t="str">
        <f>MID(Table132[[#This Row],[ÉTAT]],VALUE(RIGHT(Table132[[#This Row],[next move]],1))+1+VALUE(LEFT(Table132[[#This Row],[next move]],1))*3,1)</f>
        <v>V</v>
      </c>
      <c r="I2792" t="str">
        <f>Table132[[#This Row],[ÉTAT]]&amp;Table132[[#This Row],[next move]]</f>
        <v>VEMVVEVVV11</v>
      </c>
    </row>
    <row r="2793" spans="2:9" x14ac:dyDescent="0.25">
      <c r="B2793" t="s">
        <v>2816</v>
      </c>
      <c r="C2793" s="22" t="s">
        <v>35</v>
      </c>
      <c r="D2793">
        <v>1</v>
      </c>
      <c r="G2793" s="30">
        <f>Table132[[#This Row],[nb win]]/Table132[[#This Row],[nb play]]</f>
        <v>0</v>
      </c>
      <c r="H2793" t="str">
        <f>MID(Table132[[#This Row],[ÉTAT]],VALUE(RIGHT(Table132[[#This Row],[next move]],1))+1+VALUE(LEFT(Table132[[#This Row],[next move]],1))*3,1)</f>
        <v>V</v>
      </c>
      <c r="I2793" t="str">
        <f>Table132[[#This Row],[ÉTAT]]&amp;Table132[[#This Row],[next move]]</f>
        <v>VEMVVEVVV20</v>
      </c>
    </row>
    <row r="2794" spans="2:9" x14ac:dyDescent="0.25">
      <c r="B2794" t="s">
        <v>2816</v>
      </c>
      <c r="C2794" s="22" t="s">
        <v>22</v>
      </c>
      <c r="D2794">
        <v>5</v>
      </c>
      <c r="E2794">
        <v>2</v>
      </c>
      <c r="G2794" s="30">
        <f>Table132[[#This Row],[nb win]]/Table132[[#This Row],[nb play]]</f>
        <v>0.4</v>
      </c>
      <c r="H2794" t="str">
        <f>MID(Table132[[#This Row],[ÉTAT]],VALUE(RIGHT(Table132[[#This Row],[next move]],1))+1+VALUE(LEFT(Table132[[#This Row],[next move]],1))*3,1)</f>
        <v>V</v>
      </c>
      <c r="I2794" t="str">
        <f>Table132[[#This Row],[ÉTAT]]&amp;Table132[[#This Row],[next move]]</f>
        <v>VEMVVEVVV21</v>
      </c>
    </row>
    <row r="2795" spans="2:9" x14ac:dyDescent="0.25">
      <c r="B2795" t="s">
        <v>2017</v>
      </c>
      <c r="C2795" s="22" t="s">
        <v>30</v>
      </c>
      <c r="D2795">
        <v>1</v>
      </c>
      <c r="G2795" s="25">
        <f>Table132[[#This Row],[nb win]]/Table132[[#This Row],[nb play]]</f>
        <v>0</v>
      </c>
      <c r="H2795" t="str">
        <f>MID(Table132[[#This Row],[ÉTAT]],VALUE(RIGHT(Table132[[#This Row],[next move]],1))+1+VALUE(LEFT(Table132[[#This Row],[next move]],1))*3,1)</f>
        <v>V</v>
      </c>
      <c r="I2795" t="str">
        <f>Table132[[#This Row],[ÉTAT]]&amp;Table132[[#This Row],[next move]]</f>
        <v>VEMVVEVVM10</v>
      </c>
    </row>
    <row r="2796" spans="2:9" x14ac:dyDescent="0.25">
      <c r="B2796" t="s">
        <v>2017</v>
      </c>
      <c r="C2796" s="22" t="s">
        <v>29</v>
      </c>
      <c r="D2796">
        <v>2</v>
      </c>
      <c r="E2796">
        <v>2</v>
      </c>
      <c r="G2796" s="25">
        <f>Table132[[#This Row],[nb win]]/Table132[[#This Row],[nb play]]</f>
        <v>1</v>
      </c>
      <c r="H2796" t="str">
        <f>MID(Table132[[#This Row],[ÉTAT]],VALUE(RIGHT(Table132[[#This Row],[next move]],1))+1+VALUE(LEFT(Table132[[#This Row],[next move]],1))*3,1)</f>
        <v>V</v>
      </c>
      <c r="I2796" t="str">
        <f>Table132[[#This Row],[ÉTAT]]&amp;Table132[[#This Row],[next move]]</f>
        <v>VEMVVEVVM11</v>
      </c>
    </row>
    <row r="2797" spans="2:9" x14ac:dyDescent="0.25">
      <c r="B2797" t="s">
        <v>804</v>
      </c>
      <c r="C2797" s="22" t="s">
        <v>30</v>
      </c>
      <c r="D2797">
        <v>1</v>
      </c>
      <c r="E2797">
        <v>1</v>
      </c>
      <c r="G2797" s="25">
        <f>Table132[[#This Row],[nb win]]/Table132[[#This Row],[nb play]]</f>
        <v>1</v>
      </c>
      <c r="H2797" t="str">
        <f>MID(Table132[[#This Row],[ÉTAT]],VALUE(RIGHT(Table132[[#This Row],[next move]],1))+1+VALUE(LEFT(Table132[[#This Row],[next move]],1))*3,1)</f>
        <v>V</v>
      </c>
      <c r="I2797" t="str">
        <f>Table132[[#This Row],[ÉTAT]]&amp;Table132[[#This Row],[next move]]</f>
        <v>VEMVVEVMV10</v>
      </c>
    </row>
    <row r="2798" spans="2:9" x14ac:dyDescent="0.25">
      <c r="B2798" t="s">
        <v>804</v>
      </c>
      <c r="C2798" s="22" t="s">
        <v>35</v>
      </c>
      <c r="D2798">
        <v>7</v>
      </c>
      <c r="E2798">
        <v>5</v>
      </c>
      <c r="G2798" s="31">
        <f>Table132[[#This Row],[nb win]]/Table132[[#This Row],[nb play]]</f>
        <v>0.7142857142857143</v>
      </c>
      <c r="H2798" t="str">
        <f>MID(Table132[[#This Row],[ÉTAT]],VALUE(RIGHT(Table132[[#This Row],[next move]],1))+1+VALUE(LEFT(Table132[[#This Row],[next move]],1))*3,1)</f>
        <v>V</v>
      </c>
      <c r="I2798" t="str">
        <f>Table132[[#This Row],[ÉTAT]]&amp;Table132[[#This Row],[next move]]</f>
        <v>VEMVVEVMV20</v>
      </c>
    </row>
    <row r="2799" spans="2:9" x14ac:dyDescent="0.25">
      <c r="B2799" t="s">
        <v>1609</v>
      </c>
      <c r="C2799" s="22" t="s">
        <v>30</v>
      </c>
      <c r="D2799">
        <v>1</v>
      </c>
      <c r="E2799">
        <v>1</v>
      </c>
      <c r="G2799" s="25">
        <f>Table132[[#This Row],[nb win]]/Table132[[#This Row],[nb play]]</f>
        <v>1</v>
      </c>
      <c r="H2799" t="str">
        <f>MID(Table132[[#This Row],[ÉTAT]],VALUE(RIGHT(Table132[[#This Row],[next move]],1))+1+VALUE(LEFT(Table132[[#This Row],[next move]],1))*3,1)</f>
        <v>V</v>
      </c>
      <c r="I2799" t="str">
        <f>Table132[[#This Row],[ÉTAT]]&amp;Table132[[#This Row],[next move]]</f>
        <v>VEMVVEMVE10</v>
      </c>
    </row>
    <row r="2800" spans="2:9" x14ac:dyDescent="0.25">
      <c r="B2800" t="s">
        <v>2069</v>
      </c>
      <c r="C2800" s="22" t="s">
        <v>24</v>
      </c>
      <c r="D2800">
        <v>5</v>
      </c>
      <c r="E2800">
        <v>5</v>
      </c>
      <c r="G2800" s="31">
        <f>Table132[[#This Row],[nb win]]/Table132[[#This Row],[nb play]]</f>
        <v>1</v>
      </c>
      <c r="H2800" t="str">
        <f>MID(Table132[[#This Row],[ÉTAT]],VALUE(RIGHT(Table132[[#This Row],[next move]],1))+1+VALUE(LEFT(Table132[[#This Row],[next move]],1))*3,1)</f>
        <v>V</v>
      </c>
      <c r="I2800" t="str">
        <f>Table132[[#This Row],[ÉTAT]]&amp;Table132[[#This Row],[next move]]</f>
        <v>VEMVVEMME00</v>
      </c>
    </row>
    <row r="2801" spans="2:9" x14ac:dyDescent="0.25">
      <c r="B2801" t="s">
        <v>438</v>
      </c>
      <c r="C2801" s="22" t="s">
        <v>24</v>
      </c>
      <c r="D2801">
        <v>1</v>
      </c>
      <c r="G2801" s="25">
        <f>Table132[[#This Row],[nb win]]/Table132[[#This Row],[nb play]]</f>
        <v>0</v>
      </c>
      <c r="H2801" t="str">
        <f>MID(Table132[[#This Row],[ÉTAT]],VALUE(RIGHT(Table132[[#This Row],[next move]],1))+1+VALUE(LEFT(Table132[[#This Row],[next move]],1))*3,1)</f>
        <v>V</v>
      </c>
      <c r="I2801" t="str">
        <f>Table132[[#This Row],[ÉTAT]]&amp;Table132[[#This Row],[next move]]</f>
        <v>VEMVVEMEM00</v>
      </c>
    </row>
    <row r="2802" spans="2:9" x14ac:dyDescent="0.25">
      <c r="B2802" t="s">
        <v>438</v>
      </c>
      <c r="C2802" s="22" t="s">
        <v>30</v>
      </c>
      <c r="D2802">
        <v>1</v>
      </c>
      <c r="G2802" s="25">
        <f>Table132[[#This Row],[nb win]]/Table132[[#This Row],[nb play]]</f>
        <v>0</v>
      </c>
      <c r="H2802" t="str">
        <f>MID(Table132[[#This Row],[ÉTAT]],VALUE(RIGHT(Table132[[#This Row],[next move]],1))+1+VALUE(LEFT(Table132[[#This Row],[next move]],1))*3,1)</f>
        <v>V</v>
      </c>
      <c r="I2802" t="str">
        <f>Table132[[#This Row],[ÉTAT]]&amp;Table132[[#This Row],[next move]]</f>
        <v>VEMVVEMEM10</v>
      </c>
    </row>
    <row r="2803" spans="2:9" x14ac:dyDescent="0.25">
      <c r="B2803" t="s">
        <v>438</v>
      </c>
      <c r="C2803" s="22" t="s">
        <v>29</v>
      </c>
      <c r="D2803">
        <v>1</v>
      </c>
      <c r="E2803">
        <v>1</v>
      </c>
      <c r="G2803" s="25">
        <f>Table132[[#This Row],[nb win]]/Table132[[#This Row],[nb play]]</f>
        <v>1</v>
      </c>
      <c r="H2803" t="str">
        <f>MID(Table132[[#This Row],[ÉTAT]],VALUE(RIGHT(Table132[[#This Row],[next move]],1))+1+VALUE(LEFT(Table132[[#This Row],[next move]],1))*3,1)</f>
        <v>V</v>
      </c>
      <c r="I2803" t="str">
        <f>Table132[[#This Row],[ÉTAT]]&amp;Table132[[#This Row],[next move]]</f>
        <v>VEMVVEMEM11</v>
      </c>
    </row>
    <row r="2804" spans="2:9" x14ac:dyDescent="0.25">
      <c r="B2804" t="s">
        <v>2583</v>
      </c>
      <c r="C2804" s="22" t="s">
        <v>31</v>
      </c>
      <c r="D2804">
        <v>1</v>
      </c>
      <c r="G2804" s="30">
        <f>Table132[[#This Row],[nb win]]/Table132[[#This Row],[nb play]]</f>
        <v>0</v>
      </c>
      <c r="H2804" t="str">
        <f>MID(Table132[[#This Row],[ÉTAT]],VALUE(RIGHT(Table132[[#This Row],[next move]],1))+1+VALUE(LEFT(Table132[[#This Row],[next move]],1))*3,1)</f>
        <v>V</v>
      </c>
      <c r="I2804" t="str">
        <f>Table132[[#This Row],[ÉTAT]]&amp;Table132[[#This Row],[next move]]</f>
        <v>VEMVVEEMV22</v>
      </c>
    </row>
    <row r="2805" spans="2:9" x14ac:dyDescent="0.25">
      <c r="B2805" t="s">
        <v>138</v>
      </c>
      <c r="C2805" s="22" t="s">
        <v>24</v>
      </c>
      <c r="D2805">
        <v>3</v>
      </c>
      <c r="E2805">
        <v>2</v>
      </c>
      <c r="G2805" s="25">
        <f>Table132[[#This Row],[nb win]]/Table132[[#This Row],[nb play]]</f>
        <v>0.66666666666666663</v>
      </c>
      <c r="H2805" t="str">
        <f>MID(Table132[[#This Row],[ÉTAT]],VALUE(RIGHT(Table132[[#This Row],[next move]],1))+1+VALUE(LEFT(Table132[[#This Row],[next move]],1))*3,1)</f>
        <v>V</v>
      </c>
      <c r="I2805" t="str">
        <f>Table132[[#This Row],[ÉTAT]]&amp;Table132[[#This Row],[next move]]</f>
        <v>VEMVMVVVE00</v>
      </c>
    </row>
    <row r="2806" spans="2:9" x14ac:dyDescent="0.25">
      <c r="B2806" t="s">
        <v>138</v>
      </c>
      <c r="C2806" s="22" t="s">
        <v>35</v>
      </c>
      <c r="D2806">
        <v>2</v>
      </c>
      <c r="E2806">
        <v>2</v>
      </c>
      <c r="G2806" s="31">
        <f>Table132[[#This Row],[nb win]]/Table132[[#This Row],[nb play]]</f>
        <v>1</v>
      </c>
      <c r="H2806" t="str">
        <f>MID(Table132[[#This Row],[ÉTAT]],VALUE(RIGHT(Table132[[#This Row],[next move]],1))+1+VALUE(LEFT(Table132[[#This Row],[next move]],1))*3,1)</f>
        <v>V</v>
      </c>
      <c r="I2806" t="str">
        <f>Table132[[#This Row],[ÉTAT]]&amp;Table132[[#This Row],[next move]]</f>
        <v>VEMVMVVVE20</v>
      </c>
    </row>
    <row r="2807" spans="2:9" x14ac:dyDescent="0.25">
      <c r="B2807" t="s">
        <v>397</v>
      </c>
      <c r="C2807" s="22" t="s">
        <v>31</v>
      </c>
      <c r="D2807">
        <v>11</v>
      </c>
      <c r="E2807">
        <v>11</v>
      </c>
      <c r="G2807" s="31">
        <f>Table132[[#This Row],[nb win]]/Table132[[#This Row],[nb play]]</f>
        <v>1</v>
      </c>
      <c r="H2807" t="str">
        <f>MID(Table132[[#This Row],[ÉTAT]],VALUE(RIGHT(Table132[[#This Row],[next move]],1))+1+VALUE(LEFT(Table132[[#This Row],[next move]],1))*3,1)</f>
        <v>V</v>
      </c>
      <c r="I2807" t="str">
        <f>Table132[[#This Row],[ÉTAT]]&amp;Table132[[#This Row],[next move]]</f>
        <v>VEMVMVVEV22</v>
      </c>
    </row>
    <row r="2808" spans="2:9" x14ac:dyDescent="0.25">
      <c r="B2808" t="s">
        <v>1494</v>
      </c>
      <c r="C2808" s="22" t="s">
        <v>30</v>
      </c>
      <c r="D2808">
        <v>4</v>
      </c>
      <c r="G2808" s="30">
        <f>Table132[[#This Row],[nb win]]/Table132[[#This Row],[nb play]]</f>
        <v>0</v>
      </c>
      <c r="H2808" t="str">
        <f>MID(Table132[[#This Row],[ÉTAT]],VALUE(RIGHT(Table132[[#This Row],[next move]],1))+1+VALUE(LEFT(Table132[[#This Row],[next move]],1))*3,1)</f>
        <v>V</v>
      </c>
      <c r="I2808" t="str">
        <f>Table132[[#This Row],[ÉTAT]]&amp;Table132[[#This Row],[next move]]</f>
        <v>VEMVMVVEE10</v>
      </c>
    </row>
    <row r="2809" spans="2:9" x14ac:dyDescent="0.25">
      <c r="B2809" t="s">
        <v>1494</v>
      </c>
      <c r="C2809" s="22" t="s">
        <v>35</v>
      </c>
      <c r="D2809">
        <v>2</v>
      </c>
      <c r="E2809">
        <v>2</v>
      </c>
      <c r="G2809" s="31">
        <f>Table132[[#This Row],[nb win]]/Table132[[#This Row],[nb play]]</f>
        <v>1</v>
      </c>
      <c r="H2809" t="str">
        <f>MID(Table132[[#This Row],[ÉTAT]],VALUE(RIGHT(Table132[[#This Row],[next move]],1))+1+VALUE(LEFT(Table132[[#This Row],[next move]],1))*3,1)</f>
        <v>V</v>
      </c>
      <c r="I2809" t="str">
        <f>Table132[[#This Row],[ÉTAT]]&amp;Table132[[#This Row],[next move]]</f>
        <v>VEMVMVVEE20</v>
      </c>
    </row>
    <row r="2810" spans="2:9" x14ac:dyDescent="0.25">
      <c r="B2810" t="s">
        <v>1188</v>
      </c>
      <c r="C2810" s="22" t="s">
        <v>24</v>
      </c>
      <c r="D2810">
        <v>2</v>
      </c>
      <c r="E2810">
        <v>1</v>
      </c>
      <c r="G2810" s="30">
        <f>Table132[[#This Row],[nb win]]/Table132[[#This Row],[nb play]]</f>
        <v>0.5</v>
      </c>
      <c r="H2810" t="str">
        <f>MID(Table132[[#This Row],[ÉTAT]],VALUE(RIGHT(Table132[[#This Row],[next move]],1))+1+VALUE(LEFT(Table132[[#This Row],[next move]],1))*3,1)</f>
        <v>V</v>
      </c>
      <c r="I2810" t="str">
        <f>Table132[[#This Row],[ÉTAT]]&amp;Table132[[#This Row],[next move]]</f>
        <v>VEMVMVEVV00</v>
      </c>
    </row>
    <row r="2811" spans="2:9" x14ac:dyDescent="0.25">
      <c r="B2811" t="s">
        <v>1188</v>
      </c>
      <c r="C2811" s="22" t="s">
        <v>30</v>
      </c>
      <c r="D2811">
        <v>1</v>
      </c>
      <c r="G2811" s="25">
        <f>Table132[[#This Row],[nb win]]/Table132[[#This Row],[nb play]]</f>
        <v>0</v>
      </c>
      <c r="H2811" t="str">
        <f>MID(Table132[[#This Row],[ÉTAT]],VALUE(RIGHT(Table132[[#This Row],[next move]],1))+1+VALUE(LEFT(Table132[[#This Row],[next move]],1))*3,1)</f>
        <v>V</v>
      </c>
      <c r="I2811" t="str">
        <f>Table132[[#This Row],[ÉTAT]]&amp;Table132[[#This Row],[next move]]</f>
        <v>VEMVMVEVV10</v>
      </c>
    </row>
    <row r="2812" spans="2:9" x14ac:dyDescent="0.25">
      <c r="B2812" t="s">
        <v>1188</v>
      </c>
      <c r="C2812" s="22" t="s">
        <v>28</v>
      </c>
      <c r="D2812">
        <v>1</v>
      </c>
      <c r="E2812">
        <v>1</v>
      </c>
      <c r="G2812" s="31">
        <f>Table132[[#This Row],[nb win]]/Table132[[#This Row],[nb play]]</f>
        <v>1</v>
      </c>
      <c r="H2812" t="str">
        <f>MID(Table132[[#This Row],[ÉTAT]],VALUE(RIGHT(Table132[[#This Row],[next move]],1))+1+VALUE(LEFT(Table132[[#This Row],[next move]],1))*3,1)</f>
        <v>V</v>
      </c>
      <c r="I2812" t="str">
        <f>Table132[[#This Row],[ÉTAT]]&amp;Table132[[#This Row],[next move]]</f>
        <v>VEMVMVEVV12</v>
      </c>
    </row>
    <row r="2813" spans="2:9" x14ac:dyDescent="0.25">
      <c r="B2813" t="s">
        <v>1533</v>
      </c>
      <c r="C2813" s="22" t="s">
        <v>30</v>
      </c>
      <c r="D2813">
        <v>1</v>
      </c>
      <c r="E2813">
        <v>1</v>
      </c>
      <c r="G2813" s="25">
        <f>Table132[[#This Row],[nb win]]/Table132[[#This Row],[nb play]]</f>
        <v>1</v>
      </c>
      <c r="H2813" t="str">
        <f>MID(Table132[[#This Row],[ÉTAT]],VALUE(RIGHT(Table132[[#This Row],[next move]],1))+1+VALUE(LEFT(Table132[[#This Row],[next move]],1))*3,1)</f>
        <v>V</v>
      </c>
      <c r="I2813" t="str">
        <f>Table132[[#This Row],[ÉTAT]]&amp;Table132[[#This Row],[next move]]</f>
        <v>VEMVMVEME10</v>
      </c>
    </row>
    <row r="2814" spans="2:9" x14ac:dyDescent="0.25">
      <c r="B2814" t="s">
        <v>3279</v>
      </c>
      <c r="C2814" s="22" t="s">
        <v>30</v>
      </c>
      <c r="D2814">
        <v>1</v>
      </c>
      <c r="E2814">
        <v>1</v>
      </c>
      <c r="G2814" s="31">
        <f>Table132[[#This Row],[nb win]]/Table132[[#This Row],[nb play]]</f>
        <v>1</v>
      </c>
      <c r="H2814" t="str">
        <f>MID(Table132[[#This Row],[ÉTAT]],VALUE(RIGHT(Table132[[#This Row],[next move]],1))+1+VALUE(LEFT(Table132[[#This Row],[next move]],1))*3,1)</f>
        <v>V</v>
      </c>
      <c r="I2814" t="str">
        <f>Table132[[#This Row],[ÉTAT]]&amp;Table132[[#This Row],[next move]]</f>
        <v>VEMVMVEEV10</v>
      </c>
    </row>
    <row r="2815" spans="2:9" x14ac:dyDescent="0.25">
      <c r="B2815" t="s">
        <v>416</v>
      </c>
      <c r="C2815" s="22" t="s">
        <v>24</v>
      </c>
      <c r="D2815">
        <v>8</v>
      </c>
      <c r="E2815">
        <v>8</v>
      </c>
      <c r="G2815" s="31">
        <f>Table132[[#This Row],[nb win]]/Table132[[#This Row],[nb play]]</f>
        <v>1</v>
      </c>
      <c r="H2815" t="str">
        <f>MID(Table132[[#This Row],[ÉTAT]],VALUE(RIGHT(Table132[[#This Row],[next move]],1))+1+VALUE(LEFT(Table132[[#This Row],[next move]],1))*3,1)</f>
        <v>V</v>
      </c>
      <c r="I2815" t="str">
        <f>Table132[[#This Row],[ÉTAT]]&amp;Table132[[#This Row],[next move]]</f>
        <v>VEMVMVEEM00</v>
      </c>
    </row>
    <row r="2816" spans="2:9" x14ac:dyDescent="0.25">
      <c r="B2816" t="s">
        <v>3334</v>
      </c>
      <c r="C2816" s="22" t="s">
        <v>35</v>
      </c>
      <c r="D2816">
        <v>1</v>
      </c>
      <c r="E2816">
        <v>1</v>
      </c>
      <c r="G2816" s="31">
        <f>Table132[[#This Row],[nb win]]/Table132[[#This Row],[nb play]]</f>
        <v>1</v>
      </c>
      <c r="H2816" t="str">
        <f>MID(Table132[[#This Row],[ÉTAT]],VALUE(RIGHT(Table132[[#This Row],[next move]],1))+1+VALUE(LEFT(Table132[[#This Row],[next move]],1))*3,1)</f>
        <v>V</v>
      </c>
      <c r="I2816" t="str">
        <f>Table132[[#This Row],[ÉTAT]]&amp;Table132[[#This Row],[next move]]</f>
        <v>VEMVMMVEE20</v>
      </c>
    </row>
    <row r="2817" spans="2:9" x14ac:dyDescent="0.25">
      <c r="B2817" t="s">
        <v>2171</v>
      </c>
      <c r="C2817" s="22" t="s">
        <v>31</v>
      </c>
      <c r="D2817">
        <v>2</v>
      </c>
      <c r="E2817">
        <v>2</v>
      </c>
      <c r="G2817" s="31">
        <f>Table132[[#This Row],[nb win]]/Table132[[#This Row],[nb play]]</f>
        <v>1</v>
      </c>
      <c r="H2817" t="str">
        <f>MID(Table132[[#This Row],[ÉTAT]],VALUE(RIGHT(Table132[[#This Row],[next move]],1))+1+VALUE(LEFT(Table132[[#This Row],[next move]],1))*3,1)</f>
        <v>V</v>
      </c>
      <c r="I2817" t="str">
        <f>Table132[[#This Row],[ÉTAT]]&amp;Table132[[#This Row],[next move]]</f>
        <v>VEMVMMEEV22</v>
      </c>
    </row>
    <row r="2818" spans="2:9" x14ac:dyDescent="0.25">
      <c r="B2818" t="s">
        <v>701</v>
      </c>
      <c r="C2818" s="22" t="s">
        <v>30</v>
      </c>
      <c r="D2818">
        <v>3</v>
      </c>
      <c r="E2818">
        <v>3</v>
      </c>
      <c r="G2818" s="25">
        <f>Table132[[#This Row],[nb win]]/Table132[[#This Row],[nb play]]</f>
        <v>1</v>
      </c>
      <c r="H2818" t="str">
        <f>MID(Table132[[#This Row],[ÉTAT]],VALUE(RIGHT(Table132[[#This Row],[next move]],1))+1+VALUE(LEFT(Table132[[#This Row],[next move]],1))*3,1)</f>
        <v>V</v>
      </c>
      <c r="I2818" t="str">
        <f>Table132[[#This Row],[ÉTAT]]&amp;Table132[[#This Row],[next move]]</f>
        <v>VEMVMEVVV10</v>
      </c>
    </row>
    <row r="2819" spans="2:9" x14ac:dyDescent="0.25">
      <c r="B2819" t="s">
        <v>3218</v>
      </c>
      <c r="C2819" s="22" t="s">
        <v>22</v>
      </c>
      <c r="D2819">
        <v>2</v>
      </c>
      <c r="E2819">
        <v>2</v>
      </c>
      <c r="G2819" s="31">
        <f>Table132[[#This Row],[nb win]]/Table132[[#This Row],[nb play]]</f>
        <v>1</v>
      </c>
      <c r="H2819" t="str">
        <f>MID(Table132[[#This Row],[ÉTAT]],VALUE(RIGHT(Table132[[#This Row],[next move]],1))+1+VALUE(LEFT(Table132[[#This Row],[next move]],1))*3,1)</f>
        <v>V</v>
      </c>
      <c r="I2819" t="str">
        <f>Table132[[#This Row],[ÉTAT]]&amp;Table132[[#This Row],[next move]]</f>
        <v>VEMVMEVVE21</v>
      </c>
    </row>
    <row r="2820" spans="2:9" x14ac:dyDescent="0.25">
      <c r="B2820" t="s">
        <v>2596</v>
      </c>
      <c r="C2820" s="22" t="s">
        <v>35</v>
      </c>
      <c r="D2820">
        <v>2</v>
      </c>
      <c r="E2820">
        <v>2</v>
      </c>
      <c r="G2820" s="31">
        <f>Table132[[#This Row],[nb win]]/Table132[[#This Row],[nb play]]</f>
        <v>1</v>
      </c>
      <c r="H2820" t="str">
        <f>MID(Table132[[#This Row],[ÉTAT]],VALUE(RIGHT(Table132[[#This Row],[next move]],1))+1+VALUE(LEFT(Table132[[#This Row],[next move]],1))*3,1)</f>
        <v>V</v>
      </c>
      <c r="I2820" t="str">
        <f>Table132[[#This Row],[ÉTAT]]&amp;Table132[[#This Row],[next move]]</f>
        <v>VEMVMEVEV20</v>
      </c>
    </row>
    <row r="2821" spans="2:9" x14ac:dyDescent="0.25">
      <c r="B2821" t="s">
        <v>1771</v>
      </c>
      <c r="C2821" s="22" t="s">
        <v>35</v>
      </c>
      <c r="D2821">
        <v>7</v>
      </c>
      <c r="E2821">
        <v>7</v>
      </c>
      <c r="G2821" s="31">
        <f>Table132[[#This Row],[nb win]]/Table132[[#This Row],[nb play]]</f>
        <v>1</v>
      </c>
      <c r="H2821" t="str">
        <f>MID(Table132[[#This Row],[ÉTAT]],VALUE(RIGHT(Table132[[#This Row],[next move]],1))+1+VALUE(LEFT(Table132[[#This Row],[next move]],1))*3,1)</f>
        <v>V</v>
      </c>
      <c r="I2821" t="str">
        <f>Table132[[#This Row],[ÉTAT]]&amp;Table132[[#This Row],[next move]]</f>
        <v>VEMVMEVEM20</v>
      </c>
    </row>
    <row r="2822" spans="2:9" x14ac:dyDescent="0.25">
      <c r="B2822" t="s">
        <v>1961</v>
      </c>
      <c r="C2822" s="22" t="s">
        <v>30</v>
      </c>
      <c r="D2822">
        <v>1</v>
      </c>
      <c r="E2822">
        <v>1</v>
      </c>
      <c r="G2822" s="25">
        <f>Table132[[#This Row],[nb win]]/Table132[[#This Row],[nb play]]</f>
        <v>1</v>
      </c>
      <c r="H2822" t="str">
        <f>MID(Table132[[#This Row],[ÉTAT]],VALUE(RIGHT(Table132[[#This Row],[next move]],1))+1+VALUE(LEFT(Table132[[#This Row],[next move]],1))*3,1)</f>
        <v>V</v>
      </c>
      <c r="I2822" t="str">
        <f>Table132[[#This Row],[ÉTAT]]&amp;Table132[[#This Row],[next move]]</f>
        <v>VEMVMEEVM10</v>
      </c>
    </row>
    <row r="2823" spans="2:9" x14ac:dyDescent="0.25">
      <c r="B2823" t="s">
        <v>1223</v>
      </c>
      <c r="C2823" s="22" t="s">
        <v>24</v>
      </c>
      <c r="D2823">
        <v>3</v>
      </c>
      <c r="E2823">
        <v>3</v>
      </c>
      <c r="G2823" s="31">
        <f>Table132[[#This Row],[nb win]]/Table132[[#This Row],[nb play]]</f>
        <v>1</v>
      </c>
      <c r="H2823" t="str">
        <f>MID(Table132[[#This Row],[ÉTAT]],VALUE(RIGHT(Table132[[#This Row],[next move]],1))+1+VALUE(LEFT(Table132[[#This Row],[next move]],1))*3,1)</f>
        <v>V</v>
      </c>
      <c r="I2823" t="str">
        <f>Table132[[#This Row],[ÉTAT]]&amp;Table132[[#This Row],[next move]]</f>
        <v>VEMVMEEEM00</v>
      </c>
    </row>
    <row r="2824" spans="2:9" x14ac:dyDescent="0.25">
      <c r="B2824" t="s">
        <v>1726</v>
      </c>
      <c r="C2824" s="22" t="s">
        <v>24</v>
      </c>
      <c r="D2824">
        <v>1</v>
      </c>
      <c r="G2824" s="25">
        <f>Table132[[#This Row],[nb win]]/Table132[[#This Row],[nb play]]</f>
        <v>0</v>
      </c>
      <c r="H2824" t="str">
        <f>MID(Table132[[#This Row],[ÉTAT]],VALUE(RIGHT(Table132[[#This Row],[next move]],1))+1+VALUE(LEFT(Table132[[#This Row],[next move]],1))*3,1)</f>
        <v>V</v>
      </c>
      <c r="I2824" t="str">
        <f>Table132[[#This Row],[ÉTAT]]&amp;Table132[[#This Row],[next move]]</f>
        <v>VEMVEVVVV00</v>
      </c>
    </row>
    <row r="2825" spans="2:9" x14ac:dyDescent="0.25">
      <c r="B2825" t="s">
        <v>1726</v>
      </c>
      <c r="C2825" s="22" t="s">
        <v>30</v>
      </c>
      <c r="D2825">
        <v>1</v>
      </c>
      <c r="G2825" s="25">
        <f>Table132[[#This Row],[nb win]]/Table132[[#This Row],[nb play]]</f>
        <v>0</v>
      </c>
      <c r="H2825" t="str">
        <f>MID(Table132[[#This Row],[ÉTAT]],VALUE(RIGHT(Table132[[#This Row],[next move]],1))+1+VALUE(LEFT(Table132[[#This Row],[next move]],1))*3,1)</f>
        <v>V</v>
      </c>
      <c r="I2825" t="str">
        <f>Table132[[#This Row],[ÉTAT]]&amp;Table132[[#This Row],[next move]]</f>
        <v>VEMVEVVVV10</v>
      </c>
    </row>
    <row r="2826" spans="2:9" x14ac:dyDescent="0.25">
      <c r="B2826" t="s">
        <v>1726</v>
      </c>
      <c r="C2826" s="22" t="s">
        <v>28</v>
      </c>
      <c r="D2826">
        <v>6</v>
      </c>
      <c r="G2826" s="30">
        <f>Table132[[#This Row],[nb win]]/Table132[[#This Row],[nb play]]</f>
        <v>0</v>
      </c>
      <c r="H2826" t="str">
        <f>MID(Table132[[#This Row],[ÉTAT]],VALUE(RIGHT(Table132[[#This Row],[next move]],1))+1+VALUE(LEFT(Table132[[#This Row],[next move]],1))*3,1)</f>
        <v>V</v>
      </c>
      <c r="I2826" t="str">
        <f>Table132[[#This Row],[ÉTAT]]&amp;Table132[[#This Row],[next move]]</f>
        <v>VEMVEVVVV12</v>
      </c>
    </row>
    <row r="2827" spans="2:9" x14ac:dyDescent="0.25">
      <c r="B2827" t="s">
        <v>1726</v>
      </c>
      <c r="C2827" s="22" t="s">
        <v>35</v>
      </c>
      <c r="D2827">
        <v>6</v>
      </c>
      <c r="E2827">
        <v>1</v>
      </c>
      <c r="G2827" s="30">
        <f>Table132[[#This Row],[nb win]]/Table132[[#This Row],[nb play]]</f>
        <v>0.16666666666666666</v>
      </c>
      <c r="H2827" t="str">
        <f>MID(Table132[[#This Row],[ÉTAT]],VALUE(RIGHT(Table132[[#This Row],[next move]],1))+1+VALUE(LEFT(Table132[[#This Row],[next move]],1))*3,1)</f>
        <v>V</v>
      </c>
      <c r="I2827" t="str">
        <f>Table132[[#This Row],[ÉTAT]]&amp;Table132[[#This Row],[next move]]</f>
        <v>VEMVEVVVV20</v>
      </c>
    </row>
    <row r="2828" spans="2:9" x14ac:dyDescent="0.25">
      <c r="B2828" t="s">
        <v>1726</v>
      </c>
      <c r="C2828" s="22" t="s">
        <v>22</v>
      </c>
      <c r="D2828">
        <v>9</v>
      </c>
      <c r="E2828">
        <v>3</v>
      </c>
      <c r="G2828" s="30">
        <f>Table132[[#This Row],[nb win]]/Table132[[#This Row],[nb play]]</f>
        <v>0.33333333333333331</v>
      </c>
      <c r="H2828" t="str">
        <f>MID(Table132[[#This Row],[ÉTAT]],VALUE(RIGHT(Table132[[#This Row],[next move]],1))+1+VALUE(LEFT(Table132[[#This Row],[next move]],1))*3,1)</f>
        <v>V</v>
      </c>
      <c r="I2828" t="str">
        <f>Table132[[#This Row],[ÉTAT]]&amp;Table132[[#This Row],[next move]]</f>
        <v>VEMVEVVVV21</v>
      </c>
    </row>
    <row r="2829" spans="2:9" x14ac:dyDescent="0.25">
      <c r="B2829" t="s">
        <v>1726</v>
      </c>
      <c r="C2829" s="22" t="s">
        <v>31</v>
      </c>
      <c r="D2829">
        <v>2</v>
      </c>
      <c r="G2829" s="30">
        <f>Table132[[#This Row],[nb win]]/Table132[[#This Row],[nb play]]</f>
        <v>0</v>
      </c>
      <c r="H2829" t="str">
        <f>MID(Table132[[#This Row],[ÉTAT]],VALUE(RIGHT(Table132[[#This Row],[next move]],1))+1+VALUE(LEFT(Table132[[#This Row],[next move]],1))*3,1)</f>
        <v>V</v>
      </c>
      <c r="I2829" t="str">
        <f>Table132[[#This Row],[ÉTAT]]&amp;Table132[[#This Row],[next move]]</f>
        <v>VEMVEVVVV22</v>
      </c>
    </row>
    <row r="2830" spans="2:9" x14ac:dyDescent="0.25">
      <c r="B2830" t="s">
        <v>2056</v>
      </c>
      <c r="C2830" s="22" t="s">
        <v>24</v>
      </c>
      <c r="D2830">
        <v>1</v>
      </c>
      <c r="G2830" s="30">
        <f>Table132[[#This Row],[nb win]]/Table132[[#This Row],[nb play]]</f>
        <v>0</v>
      </c>
      <c r="H2830" t="str">
        <f>MID(Table132[[#This Row],[ÉTAT]],VALUE(RIGHT(Table132[[#This Row],[next move]],1))+1+VALUE(LEFT(Table132[[#This Row],[next move]],1))*3,1)</f>
        <v>V</v>
      </c>
      <c r="I2830" t="str">
        <f>Table132[[#This Row],[ÉTAT]]&amp;Table132[[#This Row],[next move]]</f>
        <v>VEMVEVVVM00</v>
      </c>
    </row>
    <row r="2831" spans="2:9" x14ac:dyDescent="0.25">
      <c r="B2831" t="s">
        <v>2056</v>
      </c>
      <c r="C2831" s="22" t="s">
        <v>30</v>
      </c>
      <c r="D2831">
        <v>1</v>
      </c>
      <c r="G2831" s="25">
        <f>Table132[[#This Row],[nb win]]/Table132[[#This Row],[nb play]]</f>
        <v>0</v>
      </c>
      <c r="H2831" t="str">
        <f>MID(Table132[[#This Row],[ÉTAT]],VALUE(RIGHT(Table132[[#This Row],[next move]],1))+1+VALUE(LEFT(Table132[[#This Row],[next move]],1))*3,1)</f>
        <v>V</v>
      </c>
      <c r="I2831" t="str">
        <f>Table132[[#This Row],[ÉTAT]]&amp;Table132[[#This Row],[next move]]</f>
        <v>VEMVEVVVM10</v>
      </c>
    </row>
    <row r="2832" spans="2:9" x14ac:dyDescent="0.25">
      <c r="B2832" t="s">
        <v>2056</v>
      </c>
      <c r="C2832" s="22" t="s">
        <v>28</v>
      </c>
      <c r="D2832">
        <v>3</v>
      </c>
      <c r="E2832">
        <v>3</v>
      </c>
      <c r="G2832" s="31">
        <f>Table132[[#This Row],[nb win]]/Table132[[#This Row],[nb play]]</f>
        <v>1</v>
      </c>
      <c r="H2832" t="str">
        <f>MID(Table132[[#This Row],[ÉTAT]],VALUE(RIGHT(Table132[[#This Row],[next move]],1))+1+VALUE(LEFT(Table132[[#This Row],[next move]],1))*3,1)</f>
        <v>V</v>
      </c>
      <c r="I2832" t="str">
        <f>Table132[[#This Row],[ÉTAT]]&amp;Table132[[#This Row],[next move]]</f>
        <v>VEMVEVVVM12</v>
      </c>
    </row>
    <row r="2833" spans="2:9" x14ac:dyDescent="0.25">
      <c r="B2833" t="s">
        <v>2056</v>
      </c>
      <c r="C2833" s="22" t="s">
        <v>22</v>
      </c>
      <c r="D2833">
        <v>2</v>
      </c>
      <c r="E2833">
        <v>1</v>
      </c>
      <c r="G2833" s="30">
        <f>Table132[[#This Row],[nb win]]/Table132[[#This Row],[nb play]]</f>
        <v>0.5</v>
      </c>
      <c r="H2833" t="str">
        <f>MID(Table132[[#This Row],[ÉTAT]],VALUE(RIGHT(Table132[[#This Row],[next move]],1))+1+VALUE(LEFT(Table132[[#This Row],[next move]],1))*3,1)</f>
        <v>V</v>
      </c>
      <c r="I2833" t="str">
        <f>Table132[[#This Row],[ÉTAT]]&amp;Table132[[#This Row],[next move]]</f>
        <v>VEMVEVVVM21</v>
      </c>
    </row>
    <row r="2834" spans="2:9" x14ac:dyDescent="0.25">
      <c r="B2834" t="s">
        <v>1409</v>
      </c>
      <c r="C2834" s="22" t="s">
        <v>30</v>
      </c>
      <c r="D2834">
        <v>5</v>
      </c>
      <c r="E2834">
        <v>3</v>
      </c>
      <c r="G2834" s="25">
        <f>Table132[[#This Row],[nb win]]/Table132[[#This Row],[nb play]]</f>
        <v>0.6</v>
      </c>
      <c r="H2834" t="str">
        <f>MID(Table132[[#This Row],[ÉTAT]],VALUE(RIGHT(Table132[[#This Row],[next move]],1))+1+VALUE(LEFT(Table132[[#This Row],[next move]],1))*3,1)</f>
        <v>V</v>
      </c>
      <c r="I2834" t="str">
        <f>Table132[[#This Row],[ÉTAT]]&amp;Table132[[#This Row],[next move]]</f>
        <v>VEMVEVVMV10</v>
      </c>
    </row>
    <row r="2835" spans="2:9" x14ac:dyDescent="0.25">
      <c r="B2835" t="s">
        <v>1409</v>
      </c>
      <c r="C2835" s="22" t="s">
        <v>31</v>
      </c>
      <c r="D2835">
        <v>1</v>
      </c>
      <c r="E2835">
        <v>1</v>
      </c>
      <c r="G2835" s="25">
        <f>Table132[[#This Row],[nb win]]/Table132[[#This Row],[nb play]]</f>
        <v>1</v>
      </c>
      <c r="H2835" t="str">
        <f>MID(Table132[[#This Row],[ÉTAT]],VALUE(RIGHT(Table132[[#This Row],[next move]],1))+1+VALUE(LEFT(Table132[[#This Row],[next move]],1))*3,1)</f>
        <v>V</v>
      </c>
      <c r="I2835" t="str">
        <f>Table132[[#This Row],[ÉTAT]]&amp;Table132[[#This Row],[next move]]</f>
        <v>VEMVEVVMV22</v>
      </c>
    </row>
    <row r="2836" spans="2:9" x14ac:dyDescent="0.25">
      <c r="B2836" t="s">
        <v>2638</v>
      </c>
      <c r="C2836" s="22" t="s">
        <v>30</v>
      </c>
      <c r="D2836">
        <v>1</v>
      </c>
      <c r="G2836" s="25">
        <f>Table132[[#This Row],[nb win]]/Table132[[#This Row],[nb play]]</f>
        <v>0</v>
      </c>
      <c r="H2836" t="str">
        <f>MID(Table132[[#This Row],[ÉTAT]],VALUE(RIGHT(Table132[[#This Row],[next move]],1))+1+VALUE(LEFT(Table132[[#This Row],[next move]],1))*3,1)</f>
        <v>V</v>
      </c>
      <c r="I2836" t="str">
        <f>Table132[[#This Row],[ÉTAT]]&amp;Table132[[#This Row],[next move]]</f>
        <v>VEMVEVVME10</v>
      </c>
    </row>
    <row r="2837" spans="2:9" x14ac:dyDescent="0.25">
      <c r="B2837" t="s">
        <v>2638</v>
      </c>
      <c r="C2837" s="22" t="s">
        <v>28</v>
      </c>
      <c r="D2837">
        <v>1</v>
      </c>
      <c r="G2837" s="25">
        <f>Table132[[#This Row],[nb win]]/Table132[[#This Row],[nb play]]</f>
        <v>0</v>
      </c>
      <c r="H2837" t="str">
        <f>MID(Table132[[#This Row],[ÉTAT]],VALUE(RIGHT(Table132[[#This Row],[next move]],1))+1+VALUE(LEFT(Table132[[#This Row],[next move]],1))*3,1)</f>
        <v>V</v>
      </c>
      <c r="I2837" t="str">
        <f>Table132[[#This Row],[ÉTAT]]&amp;Table132[[#This Row],[next move]]</f>
        <v>VEMVEVVME12</v>
      </c>
    </row>
    <row r="2838" spans="2:9" x14ac:dyDescent="0.25">
      <c r="B2838" t="s">
        <v>2638</v>
      </c>
      <c r="C2838" s="22" t="s">
        <v>35</v>
      </c>
      <c r="D2838">
        <v>1</v>
      </c>
      <c r="G2838" s="25">
        <f>Table132[[#This Row],[nb win]]/Table132[[#This Row],[nb play]]</f>
        <v>0</v>
      </c>
      <c r="H2838" t="str">
        <f>MID(Table132[[#This Row],[ÉTAT]],VALUE(RIGHT(Table132[[#This Row],[next move]],1))+1+VALUE(LEFT(Table132[[#This Row],[next move]],1))*3,1)</f>
        <v>V</v>
      </c>
      <c r="I2838" t="str">
        <f>Table132[[#This Row],[ÉTAT]]&amp;Table132[[#This Row],[next move]]</f>
        <v>VEMVEVVME20</v>
      </c>
    </row>
    <row r="2839" spans="2:9" x14ac:dyDescent="0.25">
      <c r="B2839" t="s">
        <v>1348</v>
      </c>
      <c r="C2839" s="22" t="s">
        <v>22</v>
      </c>
      <c r="D2839">
        <v>3</v>
      </c>
      <c r="E2839">
        <v>2</v>
      </c>
      <c r="G2839" s="30">
        <f>Table132[[#This Row],[nb win]]/Table132[[#This Row],[nb play]]</f>
        <v>0.66666666666666663</v>
      </c>
      <c r="H2839" t="str">
        <f>MID(Table132[[#This Row],[ÉTAT]],VALUE(RIGHT(Table132[[#This Row],[next move]],1))+1+VALUE(LEFT(Table132[[#This Row],[next move]],1))*3,1)</f>
        <v>V</v>
      </c>
      <c r="I2839" t="str">
        <f>Table132[[#This Row],[ÉTAT]]&amp;Table132[[#This Row],[next move]]</f>
        <v>VEMVEVMVV21</v>
      </c>
    </row>
    <row r="2840" spans="2:9" x14ac:dyDescent="0.25">
      <c r="B2840" t="s">
        <v>2259</v>
      </c>
      <c r="C2840" s="22" t="s">
        <v>30</v>
      </c>
      <c r="D2840">
        <v>1</v>
      </c>
      <c r="G2840" s="25">
        <f>Table132[[#This Row],[nb win]]/Table132[[#This Row],[nb play]]</f>
        <v>0</v>
      </c>
      <c r="H2840" t="str">
        <f>MID(Table132[[#This Row],[ÉTAT]],VALUE(RIGHT(Table132[[#This Row],[next move]],1))+1+VALUE(LEFT(Table132[[#This Row],[next move]],1))*3,1)</f>
        <v>V</v>
      </c>
      <c r="I2840" t="str">
        <f>Table132[[#This Row],[ÉTAT]]&amp;Table132[[#This Row],[next move]]</f>
        <v>VEMVEVMVE10</v>
      </c>
    </row>
    <row r="2841" spans="2:9" x14ac:dyDescent="0.25">
      <c r="B2841" t="s">
        <v>2259</v>
      </c>
      <c r="C2841" s="22" t="s">
        <v>22</v>
      </c>
      <c r="D2841">
        <v>1</v>
      </c>
      <c r="G2841" s="25">
        <f>Table132[[#This Row],[nb win]]/Table132[[#This Row],[nb play]]</f>
        <v>0</v>
      </c>
      <c r="H2841" t="str">
        <f>MID(Table132[[#This Row],[ÉTAT]],VALUE(RIGHT(Table132[[#This Row],[next move]],1))+1+VALUE(LEFT(Table132[[#This Row],[next move]],1))*3,1)</f>
        <v>V</v>
      </c>
      <c r="I2841" t="str">
        <f>Table132[[#This Row],[ÉTAT]]&amp;Table132[[#This Row],[next move]]</f>
        <v>VEMVEVMVE21</v>
      </c>
    </row>
    <row r="2842" spans="2:9" x14ac:dyDescent="0.25">
      <c r="B2842" t="s">
        <v>3355</v>
      </c>
      <c r="C2842" s="22" t="s">
        <v>30</v>
      </c>
      <c r="D2842">
        <v>1</v>
      </c>
      <c r="G2842" s="30">
        <f>Table132[[#This Row],[nb win]]/Table132[[#This Row],[nb play]]</f>
        <v>0</v>
      </c>
      <c r="H2842" t="str">
        <f>MID(Table132[[#This Row],[ÉTAT]],VALUE(RIGHT(Table132[[#This Row],[next move]],1))+1+VALUE(LEFT(Table132[[#This Row],[next move]],1))*3,1)</f>
        <v>V</v>
      </c>
      <c r="I2842" t="str">
        <f>Table132[[#This Row],[ÉTAT]]&amp;Table132[[#This Row],[next move]]</f>
        <v>VEMVEVMME10</v>
      </c>
    </row>
    <row r="2843" spans="2:9" x14ac:dyDescent="0.25">
      <c r="B2843" t="s">
        <v>2579</v>
      </c>
      <c r="C2843" s="22" t="s">
        <v>24</v>
      </c>
      <c r="D2843">
        <v>1</v>
      </c>
      <c r="G2843" s="25">
        <f>Table132[[#This Row],[nb win]]/Table132[[#This Row],[nb play]]</f>
        <v>0</v>
      </c>
      <c r="H2843" t="str">
        <f>MID(Table132[[#This Row],[ÉTAT]],VALUE(RIGHT(Table132[[#This Row],[next move]],1))+1+VALUE(LEFT(Table132[[#This Row],[next move]],1))*3,1)</f>
        <v>V</v>
      </c>
      <c r="I2843" t="str">
        <f>Table132[[#This Row],[ÉTAT]]&amp;Table132[[#This Row],[next move]]</f>
        <v>VEMVEVEVM00</v>
      </c>
    </row>
    <row r="2844" spans="2:9" x14ac:dyDescent="0.25">
      <c r="B2844" t="s">
        <v>885</v>
      </c>
      <c r="C2844" s="22" t="s">
        <v>31</v>
      </c>
      <c r="D2844">
        <v>3</v>
      </c>
      <c r="E2844">
        <v>2</v>
      </c>
      <c r="G2844" s="30">
        <f>Table132[[#This Row],[nb win]]/Table132[[#This Row],[nb play]]</f>
        <v>0.66666666666666663</v>
      </c>
      <c r="H2844" t="str">
        <f>MID(Table132[[#This Row],[ÉTAT]],VALUE(RIGHT(Table132[[#This Row],[next move]],1))+1+VALUE(LEFT(Table132[[#This Row],[next move]],1))*3,1)</f>
        <v>V</v>
      </c>
      <c r="I2844" t="str">
        <f>Table132[[#This Row],[ÉTAT]]&amp;Table132[[#This Row],[next move]]</f>
        <v>VEMVEVEMV22</v>
      </c>
    </row>
    <row r="2845" spans="2:9" x14ac:dyDescent="0.25">
      <c r="B2845" t="s">
        <v>2677</v>
      </c>
      <c r="C2845" s="22" t="s">
        <v>24</v>
      </c>
      <c r="D2845">
        <v>1</v>
      </c>
      <c r="E2845">
        <v>1</v>
      </c>
      <c r="G2845" s="25">
        <f>Table132[[#This Row],[nb win]]/Table132[[#This Row],[nb play]]</f>
        <v>1</v>
      </c>
      <c r="H2845" t="str">
        <f>MID(Table132[[#This Row],[ÉTAT]],VALUE(RIGHT(Table132[[#This Row],[next move]],1))+1+VALUE(LEFT(Table132[[#This Row],[next move]],1))*3,1)</f>
        <v>V</v>
      </c>
      <c r="I2845" t="str">
        <f>Table132[[#This Row],[ÉTAT]]&amp;Table132[[#This Row],[next move]]</f>
        <v>VEMVEVEMM00</v>
      </c>
    </row>
    <row r="2846" spans="2:9" x14ac:dyDescent="0.25">
      <c r="B2846" t="s">
        <v>3280</v>
      </c>
      <c r="C2846" s="22" t="s">
        <v>31</v>
      </c>
      <c r="D2846">
        <v>3</v>
      </c>
      <c r="E2846">
        <v>3</v>
      </c>
      <c r="G2846" s="31">
        <f>Table132[[#This Row],[nb win]]/Table132[[#This Row],[nb play]]</f>
        <v>1</v>
      </c>
      <c r="H2846" t="str">
        <f>MID(Table132[[#This Row],[ÉTAT]],VALUE(RIGHT(Table132[[#This Row],[next move]],1))+1+VALUE(LEFT(Table132[[#This Row],[next move]],1))*3,1)</f>
        <v>V</v>
      </c>
      <c r="I2846" t="str">
        <f>Table132[[#This Row],[ÉTAT]]&amp;Table132[[#This Row],[next move]]</f>
        <v>VEMVEMVVV22</v>
      </c>
    </row>
    <row r="2847" spans="2:9" x14ac:dyDescent="0.25">
      <c r="B2847" t="s">
        <v>1925</v>
      </c>
      <c r="C2847" s="22" t="s">
        <v>24</v>
      </c>
      <c r="D2847">
        <v>3</v>
      </c>
      <c r="G2847" s="30">
        <f>Table132[[#This Row],[nb win]]/Table132[[#This Row],[nb play]]</f>
        <v>0</v>
      </c>
      <c r="H2847" t="str">
        <f>MID(Table132[[#This Row],[ÉTAT]],VALUE(RIGHT(Table132[[#This Row],[next move]],1))+1+VALUE(LEFT(Table132[[#This Row],[next move]],1))*3,1)</f>
        <v>V</v>
      </c>
      <c r="I2847" t="str">
        <f>Table132[[#This Row],[ÉTAT]]&amp;Table132[[#This Row],[next move]]</f>
        <v>VEMVEMVVE00</v>
      </c>
    </row>
    <row r="2848" spans="2:9" x14ac:dyDescent="0.25">
      <c r="B2848" t="s">
        <v>1925</v>
      </c>
      <c r="C2848" s="22" t="s">
        <v>30</v>
      </c>
      <c r="D2848">
        <v>1</v>
      </c>
      <c r="G2848" s="30">
        <f>Table132[[#This Row],[nb win]]/Table132[[#This Row],[nb play]]</f>
        <v>0</v>
      </c>
      <c r="H2848" t="str">
        <f>MID(Table132[[#This Row],[ÉTAT]],VALUE(RIGHT(Table132[[#This Row],[next move]],1))+1+VALUE(LEFT(Table132[[#This Row],[next move]],1))*3,1)</f>
        <v>V</v>
      </c>
      <c r="I2848" t="str">
        <f>Table132[[#This Row],[ÉTAT]]&amp;Table132[[#This Row],[next move]]</f>
        <v>VEMVEMVVE10</v>
      </c>
    </row>
    <row r="2849" spans="2:9" x14ac:dyDescent="0.25">
      <c r="B2849" t="s">
        <v>1925</v>
      </c>
      <c r="C2849" s="22" t="s">
        <v>35</v>
      </c>
      <c r="D2849">
        <v>1</v>
      </c>
      <c r="G2849" s="25">
        <f>Table132[[#This Row],[nb win]]/Table132[[#This Row],[nb play]]</f>
        <v>0</v>
      </c>
      <c r="H2849" t="str">
        <f>MID(Table132[[#This Row],[ÉTAT]],VALUE(RIGHT(Table132[[#This Row],[next move]],1))+1+VALUE(LEFT(Table132[[#This Row],[next move]],1))*3,1)</f>
        <v>V</v>
      </c>
      <c r="I2849" t="str">
        <f>Table132[[#This Row],[ÉTAT]]&amp;Table132[[#This Row],[next move]]</f>
        <v>VEMVEMVVE20</v>
      </c>
    </row>
    <row r="2850" spans="2:9" x14ac:dyDescent="0.25">
      <c r="B2850" t="s">
        <v>1925</v>
      </c>
      <c r="C2850" s="22" t="s">
        <v>22</v>
      </c>
      <c r="D2850">
        <v>2</v>
      </c>
      <c r="G2850" s="30">
        <f>Table132[[#This Row],[nb win]]/Table132[[#This Row],[nb play]]</f>
        <v>0</v>
      </c>
      <c r="H2850" t="str">
        <f>MID(Table132[[#This Row],[ÉTAT]],VALUE(RIGHT(Table132[[#This Row],[next move]],1))+1+VALUE(LEFT(Table132[[#This Row],[next move]],1))*3,1)</f>
        <v>V</v>
      </c>
      <c r="I2850" t="str">
        <f>Table132[[#This Row],[ÉTAT]]&amp;Table132[[#This Row],[next move]]</f>
        <v>VEMVEMVVE21</v>
      </c>
    </row>
    <row r="2851" spans="2:9" x14ac:dyDescent="0.25">
      <c r="B2851" t="s">
        <v>2725</v>
      </c>
      <c r="C2851" s="22" t="s">
        <v>35</v>
      </c>
      <c r="D2851">
        <v>1</v>
      </c>
      <c r="G2851" s="25">
        <f>Table132[[#This Row],[nb win]]/Table132[[#This Row],[nb play]]</f>
        <v>0</v>
      </c>
      <c r="H2851" t="str">
        <f>MID(Table132[[#This Row],[ÉTAT]],VALUE(RIGHT(Table132[[#This Row],[next move]],1))+1+VALUE(LEFT(Table132[[#This Row],[next move]],1))*3,1)</f>
        <v>V</v>
      </c>
      <c r="I2851" t="str">
        <f>Table132[[#This Row],[ÉTAT]]&amp;Table132[[#This Row],[next move]]</f>
        <v>VEMVEMVME20</v>
      </c>
    </row>
    <row r="2852" spans="2:9" x14ac:dyDescent="0.25">
      <c r="B2852" t="s">
        <v>1322</v>
      </c>
      <c r="C2852" s="22" t="s">
        <v>31</v>
      </c>
      <c r="D2852">
        <v>6</v>
      </c>
      <c r="E2852">
        <v>6</v>
      </c>
      <c r="G2852" s="31">
        <f>Table132[[#This Row],[nb win]]/Table132[[#This Row],[nb play]]</f>
        <v>1</v>
      </c>
      <c r="H2852" t="str">
        <f>MID(Table132[[#This Row],[ÉTAT]],VALUE(RIGHT(Table132[[#This Row],[next move]],1))+1+VALUE(LEFT(Table132[[#This Row],[next move]],1))*3,1)</f>
        <v>V</v>
      </c>
      <c r="I2852" t="str">
        <f>Table132[[#This Row],[ÉTAT]]&amp;Table132[[#This Row],[next move]]</f>
        <v>VEMVEMEVV22</v>
      </c>
    </row>
    <row r="2853" spans="2:9" x14ac:dyDescent="0.25">
      <c r="B2853" t="s">
        <v>1251</v>
      </c>
      <c r="C2853" s="22" t="s">
        <v>24</v>
      </c>
      <c r="D2853">
        <v>1</v>
      </c>
      <c r="E2853">
        <v>1</v>
      </c>
      <c r="G2853" s="25">
        <f>Table132[[#This Row],[nb win]]/Table132[[#This Row],[nb play]]</f>
        <v>1</v>
      </c>
      <c r="H2853" t="str">
        <f>MID(Table132[[#This Row],[ÉTAT]],VALUE(RIGHT(Table132[[#This Row],[next move]],1))+1+VALUE(LEFT(Table132[[#This Row],[next move]],1))*3,1)</f>
        <v>V</v>
      </c>
      <c r="I2853" t="str">
        <f>Table132[[#This Row],[ÉTAT]]&amp;Table132[[#This Row],[next move]]</f>
        <v>VEMVEMEMV00</v>
      </c>
    </row>
    <row r="2854" spans="2:9" x14ac:dyDescent="0.25">
      <c r="B2854" t="s">
        <v>2656</v>
      </c>
      <c r="C2854" s="22" t="s">
        <v>30</v>
      </c>
      <c r="D2854">
        <v>1</v>
      </c>
      <c r="G2854" s="25">
        <f>Table132[[#This Row],[nb win]]/Table132[[#This Row],[nb play]]</f>
        <v>0</v>
      </c>
      <c r="H2854" t="str">
        <f>MID(Table132[[#This Row],[ÉTAT]],VALUE(RIGHT(Table132[[#This Row],[next move]],1))+1+VALUE(LEFT(Table132[[#This Row],[next move]],1))*3,1)</f>
        <v>V</v>
      </c>
      <c r="I2854" t="str">
        <f>Table132[[#This Row],[ÉTAT]]&amp;Table132[[#This Row],[next move]]</f>
        <v>VEMVEMEME10</v>
      </c>
    </row>
    <row r="2855" spans="2:9" x14ac:dyDescent="0.25">
      <c r="B2855" t="s">
        <v>538</v>
      </c>
      <c r="C2855" s="22" t="s">
        <v>24</v>
      </c>
      <c r="D2855">
        <v>1</v>
      </c>
      <c r="G2855" s="25">
        <f>Table132[[#This Row],[nb win]]/Table132[[#This Row],[nb play]]</f>
        <v>0</v>
      </c>
      <c r="H2855" t="str">
        <f>MID(Table132[[#This Row],[ÉTAT]],VALUE(RIGHT(Table132[[#This Row],[next move]],1))+1+VALUE(LEFT(Table132[[#This Row],[next move]],1))*3,1)</f>
        <v>V</v>
      </c>
      <c r="I2855" t="str">
        <f>Table132[[#This Row],[ÉTAT]]&amp;Table132[[#This Row],[next move]]</f>
        <v>VEMVEEVVM00</v>
      </c>
    </row>
    <row r="2856" spans="2:9" x14ac:dyDescent="0.25">
      <c r="B2856" t="s">
        <v>538</v>
      </c>
      <c r="C2856" s="22" t="s">
        <v>30</v>
      </c>
      <c r="D2856">
        <v>1</v>
      </c>
      <c r="G2856" s="25">
        <f>Table132[[#This Row],[nb win]]/Table132[[#This Row],[nb play]]</f>
        <v>0</v>
      </c>
      <c r="H2856" t="str">
        <f>MID(Table132[[#This Row],[ÉTAT]],VALUE(RIGHT(Table132[[#This Row],[next move]],1))+1+VALUE(LEFT(Table132[[#This Row],[next move]],1))*3,1)</f>
        <v>V</v>
      </c>
      <c r="I2856" t="str">
        <f>Table132[[#This Row],[ÉTAT]]&amp;Table132[[#This Row],[next move]]</f>
        <v>VEMVEEVVM10</v>
      </c>
    </row>
    <row r="2857" spans="2:9" x14ac:dyDescent="0.25">
      <c r="B2857" t="s">
        <v>538</v>
      </c>
      <c r="C2857" s="22" t="s">
        <v>35</v>
      </c>
      <c r="D2857">
        <v>1</v>
      </c>
      <c r="G2857" s="30">
        <f>Table132[[#This Row],[nb win]]/Table132[[#This Row],[nb play]]</f>
        <v>0</v>
      </c>
      <c r="H2857" t="str">
        <f>MID(Table132[[#This Row],[ÉTAT]],VALUE(RIGHT(Table132[[#This Row],[next move]],1))+1+VALUE(LEFT(Table132[[#This Row],[next move]],1))*3,1)</f>
        <v>V</v>
      </c>
      <c r="I2857" t="str">
        <f>Table132[[#This Row],[ÉTAT]]&amp;Table132[[#This Row],[next move]]</f>
        <v>VEMVEEVVM20</v>
      </c>
    </row>
    <row r="2858" spans="2:9" x14ac:dyDescent="0.25">
      <c r="B2858" t="s">
        <v>3148</v>
      </c>
      <c r="C2858" s="22" t="s">
        <v>30</v>
      </c>
      <c r="D2858">
        <v>1</v>
      </c>
      <c r="G2858" s="30">
        <f>Table132[[#This Row],[nb win]]/Table132[[#This Row],[nb play]]</f>
        <v>0</v>
      </c>
      <c r="H2858" t="str">
        <f>MID(Table132[[#This Row],[ÉTAT]],VALUE(RIGHT(Table132[[#This Row],[next move]],1))+1+VALUE(LEFT(Table132[[#This Row],[next move]],1))*3,1)</f>
        <v>V</v>
      </c>
      <c r="I2858" t="str">
        <f>Table132[[#This Row],[ÉTAT]]&amp;Table132[[#This Row],[next move]]</f>
        <v>VEMVEEMVV10</v>
      </c>
    </row>
    <row r="2859" spans="2:9" x14ac:dyDescent="0.25">
      <c r="B2859" t="s">
        <v>3148</v>
      </c>
      <c r="C2859" s="22" t="s">
        <v>22</v>
      </c>
      <c r="D2859">
        <v>1</v>
      </c>
      <c r="G2859" s="30">
        <f>Table132[[#This Row],[nb win]]/Table132[[#This Row],[nb play]]</f>
        <v>0</v>
      </c>
      <c r="H2859" t="str">
        <f>MID(Table132[[#This Row],[ÉTAT]],VALUE(RIGHT(Table132[[#This Row],[next move]],1))+1+VALUE(LEFT(Table132[[#This Row],[next move]],1))*3,1)</f>
        <v>V</v>
      </c>
      <c r="I2859" t="str">
        <f>Table132[[#This Row],[ÉTAT]]&amp;Table132[[#This Row],[next move]]</f>
        <v>VEMVEEMVV21</v>
      </c>
    </row>
    <row r="2860" spans="2:9" x14ac:dyDescent="0.25">
      <c r="B2860" t="s">
        <v>1350</v>
      </c>
      <c r="C2860" s="22" t="s">
        <v>30</v>
      </c>
      <c r="D2860">
        <v>3</v>
      </c>
      <c r="E2860">
        <v>3</v>
      </c>
      <c r="G2860" s="31">
        <f>Table132[[#This Row],[nb win]]/Table132[[#This Row],[nb play]]</f>
        <v>1</v>
      </c>
      <c r="H2860" t="str">
        <f>MID(Table132[[#This Row],[ÉTAT]],VALUE(RIGHT(Table132[[#This Row],[next move]],1))+1+VALUE(LEFT(Table132[[#This Row],[next move]],1))*3,1)</f>
        <v>V</v>
      </c>
      <c r="I2860" t="str">
        <f>Table132[[#This Row],[ÉTAT]]&amp;Table132[[#This Row],[next move]]</f>
        <v>VEMVEEMMV10</v>
      </c>
    </row>
    <row r="2861" spans="2:9" x14ac:dyDescent="0.25">
      <c r="B2861" t="s">
        <v>3343</v>
      </c>
      <c r="C2861" s="22" t="s">
        <v>24</v>
      </c>
      <c r="D2861">
        <v>2</v>
      </c>
      <c r="G2861" s="30">
        <f>Table132[[#This Row],[nb win]]/Table132[[#This Row],[nb play]]</f>
        <v>0</v>
      </c>
      <c r="H2861" t="str">
        <f>MID(Table132[[#This Row],[ÉTAT]],VALUE(RIGHT(Table132[[#This Row],[next move]],1))+1+VALUE(LEFT(Table132[[#This Row],[next move]],1))*3,1)</f>
        <v>V</v>
      </c>
      <c r="I2861" t="str">
        <f>Table132[[#This Row],[ÉTAT]]&amp;Table132[[#This Row],[next move]]</f>
        <v>VEMVEEMME00</v>
      </c>
    </row>
    <row r="2862" spans="2:9" x14ac:dyDescent="0.25">
      <c r="B2862" t="s">
        <v>3215</v>
      </c>
      <c r="C2862" s="22" t="s">
        <v>24</v>
      </c>
      <c r="D2862">
        <v>1</v>
      </c>
      <c r="G2862" s="30">
        <f>Table132[[#This Row],[nb win]]/Table132[[#This Row],[nb play]]</f>
        <v>0</v>
      </c>
      <c r="H2862" t="str">
        <f>MID(Table132[[#This Row],[ÉTAT]],VALUE(RIGHT(Table132[[#This Row],[next move]],1))+1+VALUE(LEFT(Table132[[#This Row],[next move]],1))*3,1)</f>
        <v>V</v>
      </c>
      <c r="I2862" t="str">
        <f>Table132[[#This Row],[ÉTAT]]&amp;Table132[[#This Row],[next move]]</f>
        <v>VEMVEEEMM00</v>
      </c>
    </row>
    <row r="2863" spans="2:9" x14ac:dyDescent="0.25">
      <c r="B2863" t="s">
        <v>3185</v>
      </c>
      <c r="C2863" s="22" t="s">
        <v>28</v>
      </c>
      <c r="D2863">
        <v>1</v>
      </c>
      <c r="G2863" s="30">
        <f>Table132[[#This Row],[nb win]]/Table132[[#This Row],[nb play]]</f>
        <v>0</v>
      </c>
      <c r="H2863" t="str">
        <f>MID(Table132[[#This Row],[ÉTAT]],VALUE(RIGHT(Table132[[#This Row],[next move]],1))+1+VALUE(LEFT(Table132[[#This Row],[next move]],1))*3,1)</f>
        <v>V</v>
      </c>
      <c r="I2863" t="str">
        <f>Table132[[#This Row],[ÉTAT]]&amp;Table132[[#This Row],[next move]]</f>
        <v>VEMMVVVVE12</v>
      </c>
    </row>
    <row r="2864" spans="2:9" x14ac:dyDescent="0.25">
      <c r="B2864" t="s">
        <v>3185</v>
      </c>
      <c r="C2864" s="22" t="s">
        <v>35</v>
      </c>
      <c r="D2864">
        <v>3</v>
      </c>
      <c r="E2864">
        <v>2</v>
      </c>
      <c r="G2864" s="30">
        <f>Table132[[#This Row],[nb win]]/Table132[[#This Row],[nb play]]</f>
        <v>0.66666666666666663</v>
      </c>
      <c r="H2864" t="str">
        <f>MID(Table132[[#This Row],[ÉTAT]],VALUE(RIGHT(Table132[[#This Row],[next move]],1))+1+VALUE(LEFT(Table132[[#This Row],[next move]],1))*3,1)</f>
        <v>V</v>
      </c>
      <c r="I2864" t="str">
        <f>Table132[[#This Row],[ÉTAT]]&amp;Table132[[#This Row],[next move]]</f>
        <v>VEMMVVVVE20</v>
      </c>
    </row>
    <row r="2865" spans="2:9" x14ac:dyDescent="0.25">
      <c r="B2865" t="s">
        <v>3324</v>
      </c>
      <c r="C2865" s="22" t="s">
        <v>24</v>
      </c>
      <c r="D2865">
        <v>2</v>
      </c>
      <c r="E2865">
        <v>1</v>
      </c>
      <c r="G2865" s="30">
        <f>Table132[[#This Row],[nb win]]/Table132[[#This Row],[nb play]]</f>
        <v>0.5</v>
      </c>
      <c r="H2865" t="str">
        <f>MID(Table132[[#This Row],[ÉTAT]],VALUE(RIGHT(Table132[[#This Row],[next move]],1))+1+VALUE(LEFT(Table132[[#This Row],[next move]],1))*3,1)</f>
        <v>V</v>
      </c>
      <c r="I2865" t="str">
        <f>Table132[[#This Row],[ÉTAT]]&amp;Table132[[#This Row],[next move]]</f>
        <v>VEMMVVVEV00</v>
      </c>
    </row>
    <row r="2866" spans="2:9" x14ac:dyDescent="0.25">
      <c r="B2866" t="s">
        <v>3360</v>
      </c>
      <c r="C2866" s="22" t="s">
        <v>24</v>
      </c>
      <c r="D2866">
        <v>2</v>
      </c>
      <c r="E2866">
        <v>2</v>
      </c>
      <c r="G2866" s="31">
        <f>Table132[[#This Row],[nb win]]/Table132[[#This Row],[nb play]]</f>
        <v>1</v>
      </c>
      <c r="H2866" t="str">
        <f>MID(Table132[[#This Row],[ÉTAT]],VALUE(RIGHT(Table132[[#This Row],[next move]],1))+1+VALUE(LEFT(Table132[[#This Row],[next move]],1))*3,1)</f>
        <v>V</v>
      </c>
      <c r="I2866" t="str">
        <f>Table132[[#This Row],[ÉTAT]]&amp;Table132[[#This Row],[next move]]</f>
        <v>VEMMVVMEE00</v>
      </c>
    </row>
    <row r="2867" spans="2:9" x14ac:dyDescent="0.25">
      <c r="B2867" t="s">
        <v>2697</v>
      </c>
      <c r="C2867" s="22" t="s">
        <v>24</v>
      </c>
      <c r="D2867">
        <v>1</v>
      </c>
      <c r="E2867">
        <v>1</v>
      </c>
      <c r="G2867" s="31">
        <f>Table132[[#This Row],[nb win]]/Table132[[#This Row],[nb play]]</f>
        <v>1</v>
      </c>
      <c r="H2867" t="str">
        <f>MID(Table132[[#This Row],[ÉTAT]],VALUE(RIGHT(Table132[[#This Row],[next move]],1))+1+VALUE(LEFT(Table132[[#This Row],[next move]],1))*3,1)</f>
        <v>V</v>
      </c>
      <c r="I2867" t="str">
        <f>Table132[[#This Row],[ÉTAT]]&amp;Table132[[#This Row],[next move]]</f>
        <v>VEMMVVEVV00</v>
      </c>
    </row>
    <row r="2868" spans="2:9" x14ac:dyDescent="0.25">
      <c r="B2868" t="s">
        <v>610</v>
      </c>
      <c r="C2868" s="22" t="s">
        <v>24</v>
      </c>
      <c r="D2868">
        <v>1</v>
      </c>
      <c r="G2868" s="25">
        <f>Table132[[#This Row],[nb win]]/Table132[[#This Row],[nb play]]</f>
        <v>0</v>
      </c>
      <c r="H2868" t="str">
        <f>MID(Table132[[#This Row],[ÉTAT]],VALUE(RIGHT(Table132[[#This Row],[next move]],1))+1+VALUE(LEFT(Table132[[#This Row],[next move]],1))*3,1)</f>
        <v>V</v>
      </c>
      <c r="I2868" t="str">
        <f>Table132[[#This Row],[ÉTAT]]&amp;Table132[[#This Row],[next move]]</f>
        <v>VEMMVVEVE00</v>
      </c>
    </row>
    <row r="2869" spans="2:9" x14ac:dyDescent="0.25">
      <c r="B2869" t="s">
        <v>610</v>
      </c>
      <c r="C2869" s="22" t="s">
        <v>28</v>
      </c>
      <c r="D2869">
        <v>2</v>
      </c>
      <c r="E2869">
        <v>1</v>
      </c>
      <c r="G2869" s="25">
        <f>Table132[[#This Row],[nb win]]/Table132[[#This Row],[nb play]]</f>
        <v>0.5</v>
      </c>
      <c r="H2869" t="str">
        <f>MID(Table132[[#This Row],[ÉTAT]],VALUE(RIGHT(Table132[[#This Row],[next move]],1))+1+VALUE(LEFT(Table132[[#This Row],[next move]],1))*3,1)</f>
        <v>V</v>
      </c>
      <c r="I2869" t="str">
        <f>Table132[[#This Row],[ÉTAT]]&amp;Table132[[#This Row],[next move]]</f>
        <v>VEMMVVEVE12</v>
      </c>
    </row>
    <row r="2870" spans="2:9" x14ac:dyDescent="0.25">
      <c r="B2870" t="s">
        <v>610</v>
      </c>
      <c r="C2870" s="22" t="s">
        <v>22</v>
      </c>
      <c r="D2870">
        <v>1</v>
      </c>
      <c r="G2870" s="25">
        <f>Table132[[#This Row],[nb win]]/Table132[[#This Row],[nb play]]</f>
        <v>0</v>
      </c>
      <c r="H2870" t="str">
        <f>MID(Table132[[#This Row],[ÉTAT]],VALUE(RIGHT(Table132[[#This Row],[next move]],1))+1+VALUE(LEFT(Table132[[#This Row],[next move]],1))*3,1)</f>
        <v>V</v>
      </c>
      <c r="I2870" t="str">
        <f>Table132[[#This Row],[ÉTAT]]&amp;Table132[[#This Row],[next move]]</f>
        <v>VEMMVVEVE21</v>
      </c>
    </row>
    <row r="2871" spans="2:9" x14ac:dyDescent="0.25">
      <c r="B2871" t="s">
        <v>1151</v>
      </c>
      <c r="C2871" s="22" t="s">
        <v>28</v>
      </c>
      <c r="D2871">
        <v>1</v>
      </c>
      <c r="E2871">
        <v>1</v>
      </c>
      <c r="G2871" s="25">
        <f>Table132[[#This Row],[nb win]]/Table132[[#This Row],[nb play]]</f>
        <v>1</v>
      </c>
      <c r="H2871" t="str">
        <f>MID(Table132[[#This Row],[ÉTAT]],VALUE(RIGHT(Table132[[#This Row],[next move]],1))+1+VALUE(LEFT(Table132[[#This Row],[next move]],1))*3,1)</f>
        <v>V</v>
      </c>
      <c r="I2871" t="str">
        <f>Table132[[#This Row],[ÉTAT]]&amp;Table132[[#This Row],[next move]]</f>
        <v>VEMMVVEME12</v>
      </c>
    </row>
    <row r="2872" spans="2:9" x14ac:dyDescent="0.25">
      <c r="B2872" t="s">
        <v>910</v>
      </c>
      <c r="C2872" s="22" t="s">
        <v>29</v>
      </c>
      <c r="D2872">
        <v>2</v>
      </c>
      <c r="E2872">
        <v>1</v>
      </c>
      <c r="G2872" s="30">
        <f>Table132[[#This Row],[nb win]]/Table132[[#This Row],[nb play]]</f>
        <v>0.5</v>
      </c>
      <c r="H2872" t="str">
        <f>MID(Table132[[#This Row],[ÉTAT]],VALUE(RIGHT(Table132[[#This Row],[next move]],1))+1+VALUE(LEFT(Table132[[#This Row],[next move]],1))*3,1)</f>
        <v>V</v>
      </c>
      <c r="I2872" t="str">
        <f>Table132[[#This Row],[ÉTAT]]&amp;Table132[[#This Row],[next move]]</f>
        <v>VEMMVVEEV11</v>
      </c>
    </row>
    <row r="2873" spans="2:9" x14ac:dyDescent="0.25">
      <c r="B2873" t="s">
        <v>3500</v>
      </c>
      <c r="C2873" s="22" t="s">
        <v>24</v>
      </c>
      <c r="D2873">
        <v>1</v>
      </c>
      <c r="G2873" s="30">
        <f>Table132[[#This Row],[nb win]]/Table132[[#This Row],[nb play]]</f>
        <v>0</v>
      </c>
      <c r="H2873" t="str">
        <f>MID(Table132[[#This Row],[ÉTAT]],VALUE(RIGHT(Table132[[#This Row],[next move]],1))+1+VALUE(LEFT(Table132[[#This Row],[next move]],1))*3,1)</f>
        <v>V</v>
      </c>
      <c r="I2873" t="str">
        <f>Table132[[#This Row],[ÉTAT]]&amp;Table132[[#This Row],[next move]]</f>
        <v>VEMMVMVEE00</v>
      </c>
    </row>
    <row r="2874" spans="2:9" x14ac:dyDescent="0.25">
      <c r="B2874" t="s">
        <v>3302</v>
      </c>
      <c r="C2874" s="22" t="s">
        <v>31</v>
      </c>
      <c r="D2874">
        <v>1</v>
      </c>
      <c r="E2874">
        <v>1</v>
      </c>
      <c r="G2874" s="31">
        <f>Table132[[#This Row],[nb win]]/Table132[[#This Row],[nb play]]</f>
        <v>1</v>
      </c>
      <c r="H2874" t="str">
        <f>MID(Table132[[#This Row],[ÉTAT]],VALUE(RIGHT(Table132[[#This Row],[next move]],1))+1+VALUE(LEFT(Table132[[#This Row],[next move]],1))*3,1)</f>
        <v>V</v>
      </c>
      <c r="I2874" t="str">
        <f>Table132[[#This Row],[ÉTAT]]&amp;Table132[[#This Row],[next move]]</f>
        <v>VEMMVMEEV22</v>
      </c>
    </row>
    <row r="2875" spans="2:9" x14ac:dyDescent="0.25">
      <c r="B2875" t="s">
        <v>2066</v>
      </c>
      <c r="C2875" s="22" t="s">
        <v>24</v>
      </c>
      <c r="D2875">
        <v>2</v>
      </c>
      <c r="E2875">
        <v>2</v>
      </c>
      <c r="G2875" s="31">
        <f>Table132[[#This Row],[nb win]]/Table132[[#This Row],[nb play]]</f>
        <v>1</v>
      </c>
      <c r="H2875" t="str">
        <f>MID(Table132[[#This Row],[ÉTAT]],VALUE(RIGHT(Table132[[#This Row],[next move]],1))+1+VALUE(LEFT(Table132[[#This Row],[next move]],1))*3,1)</f>
        <v>V</v>
      </c>
      <c r="I2875" t="str">
        <f>Table132[[#This Row],[ÉTAT]]&amp;Table132[[#This Row],[next move]]</f>
        <v>VEMMVEVVV00</v>
      </c>
    </row>
    <row r="2876" spans="2:9" x14ac:dyDescent="0.25">
      <c r="B2876" t="s">
        <v>887</v>
      </c>
      <c r="C2876" s="22" t="s">
        <v>35</v>
      </c>
      <c r="D2876">
        <v>3</v>
      </c>
      <c r="E2876">
        <v>3</v>
      </c>
      <c r="G2876" s="31">
        <f>Table132[[#This Row],[nb win]]/Table132[[#This Row],[nb play]]</f>
        <v>1</v>
      </c>
      <c r="H2876" t="str">
        <f>MID(Table132[[#This Row],[ÉTAT]],VALUE(RIGHT(Table132[[#This Row],[next move]],1))+1+VALUE(LEFT(Table132[[#This Row],[next move]],1))*3,1)</f>
        <v>V</v>
      </c>
      <c r="I2876" t="str">
        <f>Table132[[#This Row],[ÉTAT]]&amp;Table132[[#This Row],[next move]]</f>
        <v>VEMMVEVVE20</v>
      </c>
    </row>
    <row r="2877" spans="2:9" x14ac:dyDescent="0.25">
      <c r="B2877" t="s">
        <v>575</v>
      </c>
      <c r="C2877" s="22" t="s">
        <v>35</v>
      </c>
      <c r="D2877">
        <v>5</v>
      </c>
      <c r="E2877">
        <v>5</v>
      </c>
      <c r="G2877" s="31">
        <f>Table132[[#This Row],[nb win]]/Table132[[#This Row],[nb play]]</f>
        <v>1</v>
      </c>
      <c r="H2877" t="str">
        <f>MID(Table132[[#This Row],[ÉTAT]],VALUE(RIGHT(Table132[[#This Row],[next move]],1))+1+VALUE(LEFT(Table132[[#This Row],[next move]],1))*3,1)</f>
        <v>V</v>
      </c>
      <c r="I2877" t="str">
        <f>Table132[[#This Row],[ÉTAT]]&amp;Table132[[#This Row],[next move]]</f>
        <v>VEMMVEVME20</v>
      </c>
    </row>
    <row r="2878" spans="2:9" x14ac:dyDescent="0.25">
      <c r="B2878" t="s">
        <v>745</v>
      </c>
      <c r="C2878" s="22" t="s">
        <v>24</v>
      </c>
      <c r="D2878">
        <v>7</v>
      </c>
      <c r="E2878">
        <v>7</v>
      </c>
      <c r="G2878" s="31">
        <f>Table132[[#This Row],[nb win]]/Table132[[#This Row],[nb play]]</f>
        <v>1</v>
      </c>
      <c r="H2878" t="str">
        <f>MID(Table132[[#This Row],[ÉTAT]],VALUE(RIGHT(Table132[[#This Row],[next move]],1))+1+VALUE(LEFT(Table132[[#This Row],[next move]],1))*3,1)</f>
        <v>V</v>
      </c>
      <c r="I2878" t="str">
        <f>Table132[[#This Row],[ÉTAT]]&amp;Table132[[#This Row],[next move]]</f>
        <v>VEMMVEMVE00</v>
      </c>
    </row>
    <row r="2879" spans="2:9" x14ac:dyDescent="0.25">
      <c r="B2879" t="s">
        <v>2083</v>
      </c>
      <c r="C2879" s="22" t="s">
        <v>24</v>
      </c>
      <c r="D2879">
        <v>1</v>
      </c>
      <c r="E2879">
        <v>1</v>
      </c>
      <c r="G2879" s="25">
        <f>Table132[[#This Row],[nb win]]/Table132[[#This Row],[nb play]]</f>
        <v>1</v>
      </c>
      <c r="H2879" t="str">
        <f>MID(Table132[[#This Row],[ÉTAT]],VALUE(RIGHT(Table132[[#This Row],[next move]],1))+1+VALUE(LEFT(Table132[[#This Row],[next move]],1))*3,1)</f>
        <v>V</v>
      </c>
      <c r="I2879" t="str">
        <f>Table132[[#This Row],[ÉTAT]]&amp;Table132[[#This Row],[next move]]</f>
        <v>VEMMVEMEV00</v>
      </c>
    </row>
    <row r="2880" spans="2:9" x14ac:dyDescent="0.25">
      <c r="B2880" t="s">
        <v>1684</v>
      </c>
      <c r="C2880" s="22" t="s">
        <v>29</v>
      </c>
      <c r="D2880">
        <v>4</v>
      </c>
      <c r="E2880">
        <v>4</v>
      </c>
      <c r="G2880" s="31">
        <f>Table132[[#This Row],[nb win]]/Table132[[#This Row],[nb play]]</f>
        <v>1</v>
      </c>
      <c r="H2880" t="str">
        <f>MID(Table132[[#This Row],[ÉTAT]],VALUE(RIGHT(Table132[[#This Row],[next move]],1))+1+VALUE(LEFT(Table132[[#This Row],[next move]],1))*3,1)</f>
        <v>V</v>
      </c>
      <c r="I2880" t="str">
        <f>Table132[[#This Row],[ÉTAT]]&amp;Table132[[#This Row],[next move]]</f>
        <v>VEMMVEMEE11</v>
      </c>
    </row>
    <row r="2881" spans="2:9" x14ac:dyDescent="0.25">
      <c r="B2881" t="s">
        <v>2049</v>
      </c>
      <c r="C2881" s="22" t="s">
        <v>24</v>
      </c>
      <c r="D2881">
        <v>1</v>
      </c>
      <c r="G2881" s="25">
        <f>Table132[[#This Row],[nb win]]/Table132[[#This Row],[nb play]]</f>
        <v>0</v>
      </c>
      <c r="H2881" t="str">
        <f>MID(Table132[[#This Row],[ÉTAT]],VALUE(RIGHT(Table132[[#This Row],[next move]],1))+1+VALUE(LEFT(Table132[[#This Row],[next move]],1))*3,1)</f>
        <v>V</v>
      </c>
      <c r="I2881" t="str">
        <f>Table132[[#This Row],[ÉTAT]]&amp;Table132[[#This Row],[next move]]</f>
        <v>VEMMVEEEM00</v>
      </c>
    </row>
    <row r="2882" spans="2:9" x14ac:dyDescent="0.25">
      <c r="B2882" t="s">
        <v>1190</v>
      </c>
      <c r="C2882" s="22" t="s">
        <v>24</v>
      </c>
      <c r="D2882">
        <v>1</v>
      </c>
      <c r="G2882" s="25">
        <f>Table132[[#This Row],[nb win]]/Table132[[#This Row],[nb play]]</f>
        <v>0</v>
      </c>
      <c r="H2882" t="str">
        <f>MID(Table132[[#This Row],[ÉTAT]],VALUE(RIGHT(Table132[[#This Row],[next move]],1))+1+VALUE(LEFT(Table132[[#This Row],[next move]],1))*3,1)</f>
        <v>V</v>
      </c>
      <c r="I2882" t="str">
        <f>Table132[[#This Row],[ÉTAT]]&amp;Table132[[#This Row],[next move]]</f>
        <v>VEMMMVEVE00</v>
      </c>
    </row>
    <row r="2883" spans="2:9" x14ac:dyDescent="0.25">
      <c r="B2883" t="s">
        <v>1190</v>
      </c>
      <c r="C2883" s="22" t="s">
        <v>28</v>
      </c>
      <c r="D2883">
        <v>1</v>
      </c>
      <c r="E2883">
        <v>1</v>
      </c>
      <c r="G2883" s="25">
        <f>Table132[[#This Row],[nb win]]/Table132[[#This Row],[nb play]]</f>
        <v>1</v>
      </c>
      <c r="H2883" t="str">
        <f>MID(Table132[[#This Row],[ÉTAT]],VALUE(RIGHT(Table132[[#This Row],[next move]],1))+1+VALUE(LEFT(Table132[[#This Row],[next move]],1))*3,1)</f>
        <v>V</v>
      </c>
      <c r="I2883" t="str">
        <f>Table132[[#This Row],[ÉTAT]]&amp;Table132[[#This Row],[next move]]</f>
        <v>VEMMMVEVE12</v>
      </c>
    </row>
    <row r="2884" spans="2:9" x14ac:dyDescent="0.25">
      <c r="B2884" t="s">
        <v>2617</v>
      </c>
      <c r="C2884" s="22" t="s">
        <v>35</v>
      </c>
      <c r="D2884">
        <v>1</v>
      </c>
      <c r="E2884">
        <v>1</v>
      </c>
      <c r="G2884" s="25">
        <f>Table132[[#This Row],[nb win]]/Table132[[#This Row],[nb play]]</f>
        <v>1</v>
      </c>
      <c r="H2884" t="str">
        <f>MID(Table132[[#This Row],[ÉTAT]],VALUE(RIGHT(Table132[[#This Row],[next move]],1))+1+VALUE(LEFT(Table132[[#This Row],[next move]],1))*3,1)</f>
        <v>V</v>
      </c>
      <c r="I2884" t="str">
        <f>Table132[[#This Row],[ÉTAT]]&amp;Table132[[#This Row],[next move]]</f>
        <v>VEMMMEVVE20</v>
      </c>
    </row>
    <row r="2885" spans="2:9" x14ac:dyDescent="0.25">
      <c r="B2885" t="s">
        <v>513</v>
      </c>
      <c r="C2885" s="22" t="s">
        <v>35</v>
      </c>
      <c r="D2885">
        <v>1</v>
      </c>
      <c r="E2885">
        <v>1</v>
      </c>
      <c r="G2885" s="25">
        <f>Table132[[#This Row],[nb win]]/Table132[[#This Row],[nb play]]</f>
        <v>1</v>
      </c>
      <c r="H2885" t="str">
        <f>MID(Table132[[#This Row],[ÉTAT]],VALUE(RIGHT(Table132[[#This Row],[next move]],1))+1+VALUE(LEFT(Table132[[#This Row],[next move]],1))*3,1)</f>
        <v>V</v>
      </c>
      <c r="I2885" t="str">
        <f>Table132[[#This Row],[ÉTAT]]&amp;Table132[[#This Row],[next move]]</f>
        <v>VEMMMEVEV20</v>
      </c>
    </row>
    <row r="2886" spans="2:9" x14ac:dyDescent="0.25">
      <c r="B2886" t="s">
        <v>1754</v>
      </c>
      <c r="C2886" s="22" t="s">
        <v>24</v>
      </c>
      <c r="D2886">
        <v>1</v>
      </c>
      <c r="E2886">
        <v>1</v>
      </c>
      <c r="G2886" s="25">
        <f>Table132[[#This Row],[nb win]]/Table132[[#This Row],[nb play]]</f>
        <v>1</v>
      </c>
      <c r="H2886" t="str">
        <f>MID(Table132[[#This Row],[ÉTAT]],VALUE(RIGHT(Table132[[#This Row],[next move]],1))+1+VALUE(LEFT(Table132[[#This Row],[next move]],1))*3,1)</f>
        <v>V</v>
      </c>
      <c r="I2886" t="str">
        <f>Table132[[#This Row],[ÉTAT]]&amp;Table132[[#This Row],[next move]]</f>
        <v>VEMMMEEVV00</v>
      </c>
    </row>
    <row r="2887" spans="2:9" x14ac:dyDescent="0.25">
      <c r="B2887" t="s">
        <v>1942</v>
      </c>
      <c r="C2887" s="22" t="s">
        <v>24</v>
      </c>
      <c r="D2887">
        <v>1</v>
      </c>
      <c r="G2887" s="25">
        <f>Table132[[#This Row],[nb win]]/Table132[[#This Row],[nb play]]</f>
        <v>0</v>
      </c>
      <c r="H2887" t="str">
        <f>MID(Table132[[#This Row],[ÉTAT]],VALUE(RIGHT(Table132[[#This Row],[next move]],1))+1+VALUE(LEFT(Table132[[#This Row],[next move]],1))*3,1)</f>
        <v>V</v>
      </c>
      <c r="I2887" t="str">
        <f>Table132[[#This Row],[ÉTAT]]&amp;Table132[[#This Row],[next move]]</f>
        <v>VEMMMEEVE00</v>
      </c>
    </row>
    <row r="2888" spans="2:9" x14ac:dyDescent="0.25">
      <c r="B2888" t="s">
        <v>1057</v>
      </c>
      <c r="C2888" s="22" t="s">
        <v>24</v>
      </c>
      <c r="D2888">
        <v>5</v>
      </c>
      <c r="E2888">
        <v>5</v>
      </c>
      <c r="G2888" s="31">
        <f>Table132[[#This Row],[nb win]]/Table132[[#This Row],[nb play]]</f>
        <v>1</v>
      </c>
      <c r="H2888" t="str">
        <f>MID(Table132[[#This Row],[ÉTAT]],VALUE(RIGHT(Table132[[#This Row],[next move]],1))+1+VALUE(LEFT(Table132[[#This Row],[next move]],1))*3,1)</f>
        <v>V</v>
      </c>
      <c r="I2888" t="str">
        <f>Table132[[#This Row],[ÉTAT]]&amp;Table132[[#This Row],[next move]]</f>
        <v>VEMMMEEEM00</v>
      </c>
    </row>
    <row r="2889" spans="2:9" x14ac:dyDescent="0.25">
      <c r="B2889" t="s">
        <v>2507</v>
      </c>
      <c r="C2889" s="22" t="s">
        <v>24</v>
      </c>
      <c r="D2889">
        <v>3</v>
      </c>
      <c r="E2889">
        <v>2</v>
      </c>
      <c r="G2889" s="30">
        <f>Table132[[#This Row],[nb win]]/Table132[[#This Row],[nb play]]</f>
        <v>0.66666666666666663</v>
      </c>
      <c r="H2889" t="str">
        <f>MID(Table132[[#This Row],[ÉTAT]],VALUE(RIGHT(Table132[[#This Row],[next move]],1))+1+VALUE(LEFT(Table132[[#This Row],[next move]],1))*3,1)</f>
        <v>V</v>
      </c>
      <c r="I2889" t="str">
        <f>Table132[[#This Row],[ÉTAT]]&amp;Table132[[#This Row],[next move]]</f>
        <v>VEMMEVVVV00</v>
      </c>
    </row>
    <row r="2890" spans="2:9" x14ac:dyDescent="0.25">
      <c r="B2890" t="s">
        <v>286</v>
      </c>
      <c r="C2890" s="22" t="s">
        <v>24</v>
      </c>
      <c r="D2890">
        <v>1</v>
      </c>
      <c r="G2890" s="25">
        <f>Table132[[#This Row],[nb win]]/Table132[[#This Row],[nb play]]</f>
        <v>0</v>
      </c>
      <c r="H2890" t="str">
        <f>MID(Table132[[#This Row],[ÉTAT]],VALUE(RIGHT(Table132[[#This Row],[next move]],1))+1+VALUE(LEFT(Table132[[#This Row],[next move]],1))*3,1)</f>
        <v>V</v>
      </c>
      <c r="I2890" t="str">
        <f>Table132[[#This Row],[ÉTAT]]&amp;Table132[[#This Row],[next move]]</f>
        <v>VEMMEVVVE00</v>
      </c>
    </row>
    <row r="2891" spans="2:9" x14ac:dyDescent="0.25">
      <c r="B2891" t="s">
        <v>286</v>
      </c>
      <c r="C2891" s="22" t="s">
        <v>28</v>
      </c>
      <c r="D2891">
        <v>1</v>
      </c>
      <c r="G2891" s="25">
        <f>Table132[[#This Row],[nb win]]/Table132[[#This Row],[nb play]]</f>
        <v>0</v>
      </c>
      <c r="H2891" t="str">
        <f>MID(Table132[[#This Row],[ÉTAT]],VALUE(RIGHT(Table132[[#This Row],[next move]],1))+1+VALUE(LEFT(Table132[[#This Row],[next move]],1))*3,1)</f>
        <v>V</v>
      </c>
      <c r="I2891" t="str">
        <f>Table132[[#This Row],[ÉTAT]]&amp;Table132[[#This Row],[next move]]</f>
        <v>VEMMEVVVE12</v>
      </c>
    </row>
    <row r="2892" spans="2:9" x14ac:dyDescent="0.25">
      <c r="B2892" t="s">
        <v>286</v>
      </c>
      <c r="C2892" s="22" t="s">
        <v>35</v>
      </c>
      <c r="D2892">
        <v>1</v>
      </c>
      <c r="G2892" s="25">
        <f>Table132[[#This Row],[nb win]]/Table132[[#This Row],[nb play]]</f>
        <v>0</v>
      </c>
      <c r="H2892" t="str">
        <f>MID(Table132[[#This Row],[ÉTAT]],VALUE(RIGHT(Table132[[#This Row],[next move]],1))+1+VALUE(LEFT(Table132[[#This Row],[next move]],1))*3,1)</f>
        <v>V</v>
      </c>
      <c r="I2892" t="str">
        <f>Table132[[#This Row],[ÉTAT]]&amp;Table132[[#This Row],[next move]]</f>
        <v>VEMMEVVVE20</v>
      </c>
    </row>
    <row r="2893" spans="2:9" x14ac:dyDescent="0.25">
      <c r="B2893" t="s">
        <v>2160</v>
      </c>
      <c r="C2893" s="22" t="s">
        <v>28</v>
      </c>
      <c r="D2893">
        <v>1</v>
      </c>
      <c r="G2893" s="30">
        <f>Table132[[#This Row],[nb win]]/Table132[[#This Row],[nb play]]</f>
        <v>0</v>
      </c>
      <c r="H2893" t="str">
        <f>MID(Table132[[#This Row],[ÉTAT]],VALUE(RIGHT(Table132[[#This Row],[next move]],1))+1+VALUE(LEFT(Table132[[#This Row],[next move]],1))*3,1)</f>
        <v>V</v>
      </c>
      <c r="I2893" t="str">
        <f>Table132[[#This Row],[ÉTAT]]&amp;Table132[[#This Row],[next move]]</f>
        <v>VEMMEVVME12</v>
      </c>
    </row>
    <row r="2894" spans="2:9" x14ac:dyDescent="0.25">
      <c r="B2894" t="s">
        <v>2160</v>
      </c>
      <c r="C2894" s="22" t="s">
        <v>35</v>
      </c>
      <c r="D2894">
        <v>1</v>
      </c>
      <c r="G2894" s="25">
        <f>Table132[[#This Row],[nb win]]/Table132[[#This Row],[nb play]]</f>
        <v>0</v>
      </c>
      <c r="H2894" t="str">
        <f>MID(Table132[[#This Row],[ÉTAT]],VALUE(RIGHT(Table132[[#This Row],[next move]],1))+1+VALUE(LEFT(Table132[[#This Row],[next move]],1))*3,1)</f>
        <v>V</v>
      </c>
      <c r="I2894" t="str">
        <f>Table132[[#This Row],[ÉTAT]]&amp;Table132[[#This Row],[next move]]</f>
        <v>VEMMEVVME20</v>
      </c>
    </row>
    <row r="2895" spans="2:9" x14ac:dyDescent="0.25">
      <c r="B2895" t="s">
        <v>1827</v>
      </c>
      <c r="C2895" s="22" t="s">
        <v>28</v>
      </c>
      <c r="D2895">
        <v>1</v>
      </c>
      <c r="G2895" s="25">
        <f>Table132[[#This Row],[nb win]]/Table132[[#This Row],[nb play]]</f>
        <v>0</v>
      </c>
      <c r="H2895" t="str">
        <f>MID(Table132[[#This Row],[ÉTAT]],VALUE(RIGHT(Table132[[#This Row],[next move]],1))+1+VALUE(LEFT(Table132[[#This Row],[next move]],1))*3,1)</f>
        <v>V</v>
      </c>
      <c r="I2895" t="str">
        <f>Table132[[#This Row],[ÉTAT]]&amp;Table132[[#This Row],[next move]]</f>
        <v>VEMMEVMVE12</v>
      </c>
    </row>
    <row r="2896" spans="2:9" x14ac:dyDescent="0.25">
      <c r="B2896" t="s">
        <v>1827</v>
      </c>
      <c r="C2896" s="22" t="s">
        <v>22</v>
      </c>
      <c r="D2896">
        <v>1</v>
      </c>
      <c r="E2896">
        <v>1</v>
      </c>
      <c r="G2896" s="31">
        <f>Table132[[#This Row],[nb win]]/Table132[[#This Row],[nb play]]</f>
        <v>1</v>
      </c>
      <c r="H2896" t="str">
        <f>MID(Table132[[#This Row],[ÉTAT]],VALUE(RIGHT(Table132[[#This Row],[next move]],1))+1+VALUE(LEFT(Table132[[#This Row],[next move]],1))*3,1)</f>
        <v>V</v>
      </c>
      <c r="I2896" t="str">
        <f>Table132[[#This Row],[ÉTAT]]&amp;Table132[[#This Row],[next move]]</f>
        <v>VEMMEVMVE21</v>
      </c>
    </row>
    <row r="2897" spans="2:9" x14ac:dyDescent="0.25">
      <c r="B2897" t="s">
        <v>1086</v>
      </c>
      <c r="C2897" s="22" t="s">
        <v>28</v>
      </c>
      <c r="D2897">
        <v>2</v>
      </c>
      <c r="G2897" s="25">
        <f>Table132[[#This Row],[nb win]]/Table132[[#This Row],[nb play]]</f>
        <v>0</v>
      </c>
      <c r="H2897" t="str">
        <f>MID(Table132[[#This Row],[ÉTAT]],VALUE(RIGHT(Table132[[#This Row],[next move]],1))+1+VALUE(LEFT(Table132[[#This Row],[next move]],1))*3,1)</f>
        <v>V</v>
      </c>
      <c r="I2897" t="str">
        <f>Table132[[#This Row],[ÉTAT]]&amp;Table132[[#This Row],[next move]]</f>
        <v>VEMMEVEVV12</v>
      </c>
    </row>
    <row r="2898" spans="2:9" x14ac:dyDescent="0.25">
      <c r="B2898" t="s">
        <v>1086</v>
      </c>
      <c r="C2898" s="22" t="s">
        <v>31</v>
      </c>
      <c r="D2898">
        <v>1</v>
      </c>
      <c r="E2898">
        <v>1</v>
      </c>
      <c r="G2898" s="25">
        <f>Table132[[#This Row],[nb win]]/Table132[[#This Row],[nb play]]</f>
        <v>1</v>
      </c>
      <c r="H2898" t="str">
        <f>MID(Table132[[#This Row],[ÉTAT]],VALUE(RIGHT(Table132[[#This Row],[next move]],1))+1+VALUE(LEFT(Table132[[#This Row],[next move]],1))*3,1)</f>
        <v>V</v>
      </c>
      <c r="I2898" t="str">
        <f>Table132[[#This Row],[ÉTAT]]&amp;Table132[[#This Row],[next move]]</f>
        <v>VEMMEVEVV22</v>
      </c>
    </row>
    <row r="2899" spans="2:9" x14ac:dyDescent="0.25">
      <c r="B2899" t="s">
        <v>1411</v>
      </c>
      <c r="C2899" s="22" t="s">
        <v>28</v>
      </c>
      <c r="D2899">
        <v>1</v>
      </c>
      <c r="E2899">
        <v>1</v>
      </c>
      <c r="G2899" s="25">
        <f>Table132[[#This Row],[nb win]]/Table132[[#This Row],[nb play]]</f>
        <v>1</v>
      </c>
      <c r="H2899" t="str">
        <f>MID(Table132[[#This Row],[ÉTAT]],VALUE(RIGHT(Table132[[#This Row],[next move]],1))+1+VALUE(LEFT(Table132[[#This Row],[next move]],1))*3,1)</f>
        <v>V</v>
      </c>
      <c r="I2899" t="str">
        <f>Table132[[#This Row],[ÉTAT]]&amp;Table132[[#This Row],[next move]]</f>
        <v>VEMMEVEMV12</v>
      </c>
    </row>
    <row r="2900" spans="2:9" x14ac:dyDescent="0.25">
      <c r="B2900" t="s">
        <v>1551</v>
      </c>
      <c r="C2900" s="22" t="s">
        <v>24</v>
      </c>
      <c r="D2900">
        <v>1</v>
      </c>
      <c r="G2900" s="25">
        <f>Table132[[#This Row],[nb win]]/Table132[[#This Row],[nb play]]</f>
        <v>0</v>
      </c>
      <c r="H2900" t="str">
        <f>MID(Table132[[#This Row],[ÉTAT]],VALUE(RIGHT(Table132[[#This Row],[next move]],1))+1+VALUE(LEFT(Table132[[#This Row],[next move]],1))*3,1)</f>
        <v>V</v>
      </c>
      <c r="I2900" t="str">
        <f>Table132[[#This Row],[ÉTAT]]&amp;Table132[[#This Row],[next move]]</f>
        <v>VEMMEMEVV00</v>
      </c>
    </row>
    <row r="2901" spans="2:9" x14ac:dyDescent="0.25">
      <c r="B2901" t="s">
        <v>1551</v>
      </c>
      <c r="C2901" s="22" t="s">
        <v>31</v>
      </c>
      <c r="D2901">
        <v>1</v>
      </c>
      <c r="E2901">
        <v>1</v>
      </c>
      <c r="G2901" s="25">
        <f>Table132[[#This Row],[nb win]]/Table132[[#This Row],[nb play]]</f>
        <v>1</v>
      </c>
      <c r="H2901" t="str">
        <f>MID(Table132[[#This Row],[ÉTAT]],VALUE(RIGHT(Table132[[#This Row],[next move]],1))+1+VALUE(LEFT(Table132[[#This Row],[next move]],1))*3,1)</f>
        <v>V</v>
      </c>
      <c r="I2901" t="str">
        <f>Table132[[#This Row],[ÉTAT]]&amp;Table132[[#This Row],[next move]]</f>
        <v>VEMMEMEVV22</v>
      </c>
    </row>
    <row r="2902" spans="2:9" x14ac:dyDescent="0.25">
      <c r="B2902" t="s">
        <v>1508</v>
      </c>
      <c r="C2902" s="22" t="s">
        <v>35</v>
      </c>
      <c r="D2902">
        <v>1</v>
      </c>
      <c r="G2902" s="25">
        <f>Table132[[#This Row],[nb win]]/Table132[[#This Row],[nb play]]</f>
        <v>0</v>
      </c>
      <c r="H2902" t="str">
        <f>MID(Table132[[#This Row],[ÉTAT]],VALUE(RIGHT(Table132[[#This Row],[next move]],1))+1+VALUE(LEFT(Table132[[#This Row],[next move]],1))*3,1)</f>
        <v>V</v>
      </c>
      <c r="I2902" t="str">
        <f>Table132[[#This Row],[ÉTAT]]&amp;Table132[[#This Row],[next move]]</f>
        <v>VEMMEEVVV20</v>
      </c>
    </row>
    <row r="2903" spans="2:9" x14ac:dyDescent="0.25">
      <c r="B2903" t="s">
        <v>1508</v>
      </c>
      <c r="C2903" s="22" t="s">
        <v>31</v>
      </c>
      <c r="D2903">
        <v>1</v>
      </c>
      <c r="G2903" s="25">
        <f>Table132[[#This Row],[nb win]]/Table132[[#This Row],[nb play]]</f>
        <v>0</v>
      </c>
      <c r="H2903" t="str">
        <f>MID(Table132[[#This Row],[ÉTAT]],VALUE(RIGHT(Table132[[#This Row],[next move]],1))+1+VALUE(LEFT(Table132[[#This Row],[next move]],1))*3,1)</f>
        <v>V</v>
      </c>
      <c r="I2903" t="str">
        <f>Table132[[#This Row],[ÉTAT]]&amp;Table132[[#This Row],[next move]]</f>
        <v>VEMMEEVVV22</v>
      </c>
    </row>
    <row r="2904" spans="2:9" x14ac:dyDescent="0.25">
      <c r="B2904" t="s">
        <v>2019</v>
      </c>
      <c r="C2904" s="22" t="s">
        <v>24</v>
      </c>
      <c r="D2904">
        <v>1</v>
      </c>
      <c r="G2904" s="25">
        <f>Table132[[#This Row],[nb win]]/Table132[[#This Row],[nb play]]</f>
        <v>0</v>
      </c>
      <c r="H2904" t="str">
        <f>MID(Table132[[#This Row],[ÉTAT]],VALUE(RIGHT(Table132[[#This Row],[next move]],1))+1+VALUE(LEFT(Table132[[#This Row],[next move]],1))*3,1)</f>
        <v>V</v>
      </c>
      <c r="I2904" t="str">
        <f>Table132[[#This Row],[ÉTAT]]&amp;Table132[[#This Row],[next move]]</f>
        <v>VEMMEEVVM00</v>
      </c>
    </row>
    <row r="2905" spans="2:9" x14ac:dyDescent="0.25">
      <c r="B2905" t="s">
        <v>2019</v>
      </c>
      <c r="C2905" s="22" t="s">
        <v>35</v>
      </c>
      <c r="D2905">
        <v>1</v>
      </c>
      <c r="G2905" s="25">
        <f>Table132[[#This Row],[nb win]]/Table132[[#This Row],[nb play]]</f>
        <v>0</v>
      </c>
      <c r="H2905" t="str">
        <f>MID(Table132[[#This Row],[ÉTAT]],VALUE(RIGHT(Table132[[#This Row],[next move]],1))+1+VALUE(LEFT(Table132[[#This Row],[next move]],1))*3,1)</f>
        <v>V</v>
      </c>
      <c r="I2905" t="str">
        <f>Table132[[#This Row],[ÉTAT]]&amp;Table132[[#This Row],[next move]]</f>
        <v>VEMMEEVVM20</v>
      </c>
    </row>
    <row r="2906" spans="2:9" x14ac:dyDescent="0.25">
      <c r="B2906" t="s">
        <v>1785</v>
      </c>
      <c r="C2906" s="22" t="s">
        <v>31</v>
      </c>
      <c r="D2906">
        <v>1</v>
      </c>
      <c r="E2906">
        <v>1</v>
      </c>
      <c r="G2906" s="25">
        <f>Table132[[#This Row],[nb win]]/Table132[[#This Row],[nb play]]</f>
        <v>1</v>
      </c>
      <c r="H2906" t="str">
        <f>MID(Table132[[#This Row],[ÉTAT]],VALUE(RIGHT(Table132[[#This Row],[next move]],1))+1+VALUE(LEFT(Table132[[#This Row],[next move]],1))*3,1)</f>
        <v>V</v>
      </c>
      <c r="I2906" t="str">
        <f>Table132[[#This Row],[ÉTAT]]&amp;Table132[[#This Row],[next move]]</f>
        <v>VEMMEEVMV22</v>
      </c>
    </row>
    <row r="2907" spans="2:9" x14ac:dyDescent="0.25">
      <c r="B2907" t="s">
        <v>2640</v>
      </c>
      <c r="C2907" s="22" t="s">
        <v>35</v>
      </c>
      <c r="D2907">
        <v>1</v>
      </c>
      <c r="G2907" s="25">
        <f>Table132[[#This Row],[nb win]]/Table132[[#This Row],[nb play]]</f>
        <v>0</v>
      </c>
      <c r="H2907" t="str">
        <f>MID(Table132[[#This Row],[ÉTAT]],VALUE(RIGHT(Table132[[#This Row],[next move]],1))+1+VALUE(LEFT(Table132[[#This Row],[next move]],1))*3,1)</f>
        <v>V</v>
      </c>
      <c r="I2907" t="str">
        <f>Table132[[#This Row],[ÉTAT]]&amp;Table132[[#This Row],[next move]]</f>
        <v>VEMMEEVME20</v>
      </c>
    </row>
    <row r="2908" spans="2:9" x14ac:dyDescent="0.25">
      <c r="B2908" t="s">
        <v>3023</v>
      </c>
      <c r="C2908" s="22" t="s">
        <v>22</v>
      </c>
      <c r="D2908">
        <v>3</v>
      </c>
      <c r="E2908">
        <v>3</v>
      </c>
      <c r="G2908" s="31">
        <f>Table132[[#This Row],[nb win]]/Table132[[#This Row],[nb play]]</f>
        <v>1</v>
      </c>
      <c r="H2908" t="str">
        <f>MID(Table132[[#This Row],[ÉTAT]],VALUE(RIGHT(Table132[[#This Row],[next move]],1))+1+VALUE(LEFT(Table132[[#This Row],[next move]],1))*3,1)</f>
        <v>V</v>
      </c>
      <c r="I2908" t="str">
        <f>Table132[[#This Row],[ÉTAT]]&amp;Table132[[#This Row],[next move]]</f>
        <v>VEMMEEMVV21</v>
      </c>
    </row>
    <row r="2909" spans="2:9" x14ac:dyDescent="0.25">
      <c r="B2909" t="s">
        <v>1610</v>
      </c>
      <c r="C2909" s="22" t="s">
        <v>24</v>
      </c>
      <c r="D2909">
        <v>3</v>
      </c>
      <c r="E2909">
        <v>3</v>
      </c>
      <c r="G2909" s="31">
        <f>Table132[[#This Row],[nb win]]/Table132[[#This Row],[nb play]]</f>
        <v>1</v>
      </c>
      <c r="H2909" t="str">
        <f>MID(Table132[[#This Row],[ÉTAT]],VALUE(RIGHT(Table132[[#This Row],[next move]],1))+1+VALUE(LEFT(Table132[[#This Row],[next move]],1))*3,1)</f>
        <v>V</v>
      </c>
      <c r="I2909" t="str">
        <f>Table132[[#This Row],[ÉTAT]]&amp;Table132[[#This Row],[next move]]</f>
        <v>VEMMEEMVE00</v>
      </c>
    </row>
    <row r="2910" spans="2:9" x14ac:dyDescent="0.25">
      <c r="B2910" t="s">
        <v>1352</v>
      </c>
      <c r="C2910" s="22" t="s">
        <v>24</v>
      </c>
      <c r="D2910">
        <v>10</v>
      </c>
      <c r="E2910">
        <v>10</v>
      </c>
      <c r="G2910" s="31">
        <f>Table132[[#This Row],[nb win]]/Table132[[#This Row],[nb play]]</f>
        <v>1</v>
      </c>
      <c r="H2910" t="str">
        <f>MID(Table132[[#This Row],[ÉTAT]],VALUE(RIGHT(Table132[[#This Row],[next move]],1))+1+VALUE(LEFT(Table132[[#This Row],[next move]],1))*3,1)</f>
        <v>V</v>
      </c>
      <c r="I2910" t="str">
        <f>Table132[[#This Row],[ÉTAT]]&amp;Table132[[#This Row],[next move]]</f>
        <v>VEMMEEMME00</v>
      </c>
    </row>
    <row r="2911" spans="2:9" x14ac:dyDescent="0.25">
      <c r="B2911" t="s">
        <v>3031</v>
      </c>
      <c r="C2911" s="22" t="s">
        <v>24</v>
      </c>
      <c r="D2911">
        <v>1</v>
      </c>
      <c r="G2911" s="30">
        <f>Table132[[#This Row],[nb win]]/Table132[[#This Row],[nb play]]</f>
        <v>0</v>
      </c>
      <c r="H2911" t="str">
        <f>MID(Table132[[#This Row],[ÉTAT]],VALUE(RIGHT(Table132[[#This Row],[next move]],1))+1+VALUE(LEFT(Table132[[#This Row],[next move]],1))*3,1)</f>
        <v>V</v>
      </c>
      <c r="I2911" t="str">
        <f>Table132[[#This Row],[ÉTAT]]&amp;Table132[[#This Row],[next move]]</f>
        <v>VEMMEEEVM00</v>
      </c>
    </row>
    <row r="2912" spans="2:9" x14ac:dyDescent="0.25">
      <c r="B2912" t="s">
        <v>1428</v>
      </c>
      <c r="C2912" s="22" t="s">
        <v>29</v>
      </c>
      <c r="D2912">
        <v>3</v>
      </c>
      <c r="E2912">
        <v>3</v>
      </c>
      <c r="G2912" s="31">
        <f>Table132[[#This Row],[nb win]]/Table132[[#This Row],[nb play]]</f>
        <v>1</v>
      </c>
      <c r="H2912" t="str">
        <f>MID(Table132[[#This Row],[ÉTAT]],VALUE(RIGHT(Table132[[#This Row],[next move]],1))+1+VALUE(LEFT(Table132[[#This Row],[next move]],1))*3,1)</f>
        <v>V</v>
      </c>
      <c r="I2912" t="str">
        <f>Table132[[#This Row],[ÉTAT]]&amp;Table132[[#This Row],[next move]]</f>
        <v>VEMEVVVVV11</v>
      </c>
    </row>
    <row r="2913" spans="2:9" x14ac:dyDescent="0.25">
      <c r="B2913" t="s">
        <v>1428</v>
      </c>
      <c r="C2913" s="22" t="s">
        <v>28</v>
      </c>
      <c r="D2913">
        <v>3</v>
      </c>
      <c r="G2913" s="25">
        <f>Table132[[#This Row],[nb win]]/Table132[[#This Row],[nb play]]</f>
        <v>0</v>
      </c>
      <c r="H2913" t="str">
        <f>MID(Table132[[#This Row],[ÉTAT]],VALUE(RIGHT(Table132[[#This Row],[next move]],1))+1+VALUE(LEFT(Table132[[#This Row],[next move]],1))*3,1)</f>
        <v>V</v>
      </c>
      <c r="I2913" t="str">
        <f>Table132[[#This Row],[ÉTAT]]&amp;Table132[[#This Row],[next move]]</f>
        <v>VEMEVVVVV12</v>
      </c>
    </row>
    <row r="2914" spans="2:9" x14ac:dyDescent="0.25">
      <c r="B2914" t="s">
        <v>1428</v>
      </c>
      <c r="C2914" s="22" t="s">
        <v>31</v>
      </c>
      <c r="D2914">
        <v>4</v>
      </c>
      <c r="E2914">
        <v>1</v>
      </c>
      <c r="G2914" s="31">
        <f>Table132[[#This Row],[nb win]]/Table132[[#This Row],[nb play]]</f>
        <v>0.25</v>
      </c>
      <c r="H2914" t="str">
        <f>MID(Table132[[#This Row],[ÉTAT]],VALUE(RIGHT(Table132[[#This Row],[next move]],1))+1+VALUE(LEFT(Table132[[#This Row],[next move]],1))*3,1)</f>
        <v>V</v>
      </c>
      <c r="I2914" t="str">
        <f>Table132[[#This Row],[ÉTAT]]&amp;Table132[[#This Row],[next move]]</f>
        <v>VEMEVVVVV22</v>
      </c>
    </row>
    <row r="2915" spans="2:9" x14ac:dyDescent="0.25">
      <c r="B2915" t="s">
        <v>3087</v>
      </c>
      <c r="C2915" s="22" t="s">
        <v>29</v>
      </c>
      <c r="D2915">
        <v>2</v>
      </c>
      <c r="E2915">
        <v>2</v>
      </c>
      <c r="G2915" s="31">
        <f>Table132[[#This Row],[nb win]]/Table132[[#This Row],[nb play]]</f>
        <v>1</v>
      </c>
      <c r="H2915" t="str">
        <f>MID(Table132[[#This Row],[ÉTAT]],VALUE(RIGHT(Table132[[#This Row],[next move]],1))+1+VALUE(LEFT(Table132[[#This Row],[next move]],1))*3,1)</f>
        <v>V</v>
      </c>
      <c r="I2915" t="str">
        <f>Table132[[#This Row],[ÉTAT]]&amp;Table132[[#This Row],[next move]]</f>
        <v>VEMEVVVVM11</v>
      </c>
    </row>
    <row r="2916" spans="2:9" x14ac:dyDescent="0.25">
      <c r="B2916" t="s">
        <v>3087</v>
      </c>
      <c r="C2916" s="22" t="s">
        <v>22</v>
      </c>
      <c r="D2916">
        <v>3</v>
      </c>
      <c r="E2916">
        <v>2</v>
      </c>
      <c r="G2916" s="31">
        <f>Table132[[#This Row],[nb win]]/Table132[[#This Row],[nb play]]</f>
        <v>0.66666666666666663</v>
      </c>
      <c r="H2916" t="str">
        <f>MID(Table132[[#This Row],[ÉTAT]],VALUE(RIGHT(Table132[[#This Row],[next move]],1))+1+VALUE(LEFT(Table132[[#This Row],[next move]],1))*3,1)</f>
        <v>V</v>
      </c>
      <c r="I2916" t="str">
        <f>Table132[[#This Row],[ÉTAT]]&amp;Table132[[#This Row],[next move]]</f>
        <v>VEMEVVVVM21</v>
      </c>
    </row>
    <row r="2917" spans="2:9" x14ac:dyDescent="0.25">
      <c r="B2917" t="s">
        <v>1395</v>
      </c>
      <c r="C2917" s="22" t="s">
        <v>31</v>
      </c>
      <c r="D2917">
        <v>6</v>
      </c>
      <c r="E2917">
        <v>6</v>
      </c>
      <c r="G2917" s="31">
        <f>Table132[[#This Row],[nb win]]/Table132[[#This Row],[nb play]]</f>
        <v>1</v>
      </c>
      <c r="H2917" t="str">
        <f>MID(Table132[[#This Row],[ÉTAT]],VALUE(RIGHT(Table132[[#This Row],[next move]],1))+1+VALUE(LEFT(Table132[[#This Row],[next move]],1))*3,1)</f>
        <v>V</v>
      </c>
      <c r="I2917" t="str">
        <f>Table132[[#This Row],[ÉTAT]]&amp;Table132[[#This Row],[next move]]</f>
        <v>VEMEVVVMV22</v>
      </c>
    </row>
    <row r="2918" spans="2:9" x14ac:dyDescent="0.25">
      <c r="B2918" t="s">
        <v>1475</v>
      </c>
      <c r="C2918" s="22" t="s">
        <v>24</v>
      </c>
      <c r="D2918">
        <v>1</v>
      </c>
      <c r="G2918" s="25">
        <f>Table132[[#This Row],[nb win]]/Table132[[#This Row],[nb play]]</f>
        <v>0</v>
      </c>
      <c r="H2918" t="str">
        <f>MID(Table132[[#This Row],[ÉTAT]],VALUE(RIGHT(Table132[[#This Row],[next move]],1))+1+VALUE(LEFT(Table132[[#This Row],[next move]],1))*3,1)</f>
        <v>V</v>
      </c>
      <c r="I2918" t="str">
        <f>Table132[[#This Row],[ÉTAT]]&amp;Table132[[#This Row],[next move]]</f>
        <v>VEMEVVVME00</v>
      </c>
    </row>
    <row r="2919" spans="2:9" x14ac:dyDescent="0.25">
      <c r="B2919" t="s">
        <v>1475</v>
      </c>
      <c r="C2919" s="22" t="s">
        <v>29</v>
      </c>
      <c r="D2919">
        <v>1</v>
      </c>
      <c r="G2919" s="25">
        <f>Table132[[#This Row],[nb win]]/Table132[[#This Row],[nb play]]</f>
        <v>0</v>
      </c>
      <c r="H2919" t="str">
        <f>MID(Table132[[#This Row],[ÉTAT]],VALUE(RIGHT(Table132[[#This Row],[next move]],1))+1+VALUE(LEFT(Table132[[#This Row],[next move]],1))*3,1)</f>
        <v>V</v>
      </c>
      <c r="I2919" t="str">
        <f>Table132[[#This Row],[ÉTAT]]&amp;Table132[[#This Row],[next move]]</f>
        <v>VEMEVVVME11</v>
      </c>
    </row>
    <row r="2920" spans="2:9" x14ac:dyDescent="0.25">
      <c r="B2920" t="s">
        <v>1475</v>
      </c>
      <c r="C2920" s="22" t="s">
        <v>28</v>
      </c>
      <c r="D2920">
        <v>1</v>
      </c>
      <c r="G2920" s="25">
        <f>Table132[[#This Row],[nb win]]/Table132[[#This Row],[nb play]]</f>
        <v>0</v>
      </c>
      <c r="H2920" t="str">
        <f>MID(Table132[[#This Row],[ÉTAT]],VALUE(RIGHT(Table132[[#This Row],[next move]],1))+1+VALUE(LEFT(Table132[[#This Row],[next move]],1))*3,1)</f>
        <v>V</v>
      </c>
      <c r="I2920" t="str">
        <f>Table132[[#This Row],[ÉTAT]]&amp;Table132[[#This Row],[next move]]</f>
        <v>VEMEVVVME12</v>
      </c>
    </row>
    <row r="2921" spans="2:9" x14ac:dyDescent="0.25">
      <c r="B2921" t="s">
        <v>1475</v>
      </c>
      <c r="C2921" s="22" t="s">
        <v>35</v>
      </c>
      <c r="D2921">
        <v>1</v>
      </c>
      <c r="G2921" s="25">
        <f>Table132[[#This Row],[nb win]]/Table132[[#This Row],[nb play]]</f>
        <v>0</v>
      </c>
      <c r="H2921" t="str">
        <f>MID(Table132[[#This Row],[ÉTAT]],VALUE(RIGHT(Table132[[#This Row],[next move]],1))+1+VALUE(LEFT(Table132[[#This Row],[next move]],1))*3,1)</f>
        <v>V</v>
      </c>
      <c r="I2921" t="str">
        <f>Table132[[#This Row],[ÉTAT]]&amp;Table132[[#This Row],[next move]]</f>
        <v>VEMEVVVME20</v>
      </c>
    </row>
    <row r="2922" spans="2:9" x14ac:dyDescent="0.25">
      <c r="B2922" t="s">
        <v>2025</v>
      </c>
      <c r="C2922" s="22" t="s">
        <v>24</v>
      </c>
      <c r="D2922">
        <v>2</v>
      </c>
      <c r="G2922" s="30">
        <f>Table132[[#This Row],[nb win]]/Table132[[#This Row],[nb play]]</f>
        <v>0</v>
      </c>
      <c r="H2922" t="str">
        <f>MID(Table132[[#This Row],[ÉTAT]],VALUE(RIGHT(Table132[[#This Row],[next move]],1))+1+VALUE(LEFT(Table132[[#This Row],[next move]],1))*3,1)</f>
        <v>V</v>
      </c>
      <c r="I2922" t="str">
        <f>Table132[[#This Row],[ÉTAT]]&amp;Table132[[#This Row],[next move]]</f>
        <v>VEMEVVVEM00</v>
      </c>
    </row>
    <row r="2923" spans="2:9" x14ac:dyDescent="0.25">
      <c r="B2923" t="s">
        <v>2025</v>
      </c>
      <c r="C2923" s="22" t="s">
        <v>29</v>
      </c>
      <c r="D2923">
        <v>3</v>
      </c>
      <c r="E2923">
        <v>3</v>
      </c>
      <c r="G2923" s="31">
        <f>Table132[[#This Row],[nb win]]/Table132[[#This Row],[nb play]]</f>
        <v>1</v>
      </c>
      <c r="H2923" t="str">
        <f>MID(Table132[[#This Row],[ÉTAT]],VALUE(RIGHT(Table132[[#This Row],[next move]],1))+1+VALUE(LEFT(Table132[[#This Row],[next move]],1))*3,1)</f>
        <v>V</v>
      </c>
      <c r="I2923" t="str">
        <f>Table132[[#This Row],[ÉTAT]]&amp;Table132[[#This Row],[next move]]</f>
        <v>VEMEVVVEM11</v>
      </c>
    </row>
    <row r="2924" spans="2:9" x14ac:dyDescent="0.25">
      <c r="B2924" t="s">
        <v>2025</v>
      </c>
      <c r="C2924" s="22" t="s">
        <v>35</v>
      </c>
      <c r="D2924">
        <v>3</v>
      </c>
      <c r="G2924" s="30">
        <f>Table132[[#This Row],[nb win]]/Table132[[#This Row],[nb play]]</f>
        <v>0</v>
      </c>
      <c r="H2924" t="str">
        <f>MID(Table132[[#This Row],[ÉTAT]],VALUE(RIGHT(Table132[[#This Row],[next move]],1))+1+VALUE(LEFT(Table132[[#This Row],[next move]],1))*3,1)</f>
        <v>V</v>
      </c>
      <c r="I2924" t="str">
        <f>Table132[[#This Row],[ÉTAT]]&amp;Table132[[#This Row],[next move]]</f>
        <v>VEMEVVVEM20</v>
      </c>
    </row>
    <row r="2925" spans="2:9" x14ac:dyDescent="0.25">
      <c r="B2925" t="s">
        <v>1700</v>
      </c>
      <c r="C2925" s="22" t="s">
        <v>28</v>
      </c>
      <c r="D2925">
        <v>4</v>
      </c>
      <c r="E2925">
        <v>3</v>
      </c>
      <c r="G2925" s="30">
        <f>Table132[[#This Row],[nb win]]/Table132[[#This Row],[nb play]]</f>
        <v>0.75</v>
      </c>
      <c r="H2925" t="str">
        <f>MID(Table132[[#This Row],[ÉTAT]],VALUE(RIGHT(Table132[[#This Row],[next move]],1))+1+VALUE(LEFT(Table132[[#This Row],[next move]],1))*3,1)</f>
        <v>V</v>
      </c>
      <c r="I2925" t="str">
        <f>Table132[[#This Row],[ÉTAT]]&amp;Table132[[#This Row],[next move]]</f>
        <v>VEMEVVMVV12</v>
      </c>
    </row>
    <row r="2926" spans="2:9" x14ac:dyDescent="0.25">
      <c r="B2926" t="s">
        <v>1539</v>
      </c>
      <c r="C2926" s="22" t="s">
        <v>29</v>
      </c>
      <c r="D2926">
        <v>2</v>
      </c>
      <c r="E2926">
        <v>2</v>
      </c>
      <c r="G2926" s="25">
        <f>Table132[[#This Row],[nb win]]/Table132[[#This Row],[nb play]]</f>
        <v>1</v>
      </c>
      <c r="H2926" t="str">
        <f>MID(Table132[[#This Row],[ÉTAT]],VALUE(RIGHT(Table132[[#This Row],[next move]],1))+1+VALUE(LEFT(Table132[[#This Row],[next move]],1))*3,1)</f>
        <v>V</v>
      </c>
      <c r="I2926" t="str">
        <f>Table132[[#This Row],[ÉTAT]]&amp;Table132[[#This Row],[next move]]</f>
        <v>VEMEVVMME11</v>
      </c>
    </row>
    <row r="2927" spans="2:9" x14ac:dyDescent="0.25">
      <c r="B2927" t="s">
        <v>1388</v>
      </c>
      <c r="C2927" s="22" t="s">
        <v>29</v>
      </c>
      <c r="D2927">
        <v>1</v>
      </c>
      <c r="E2927">
        <v>1</v>
      </c>
      <c r="G2927" s="25">
        <f>Table132[[#This Row],[nb win]]/Table132[[#This Row],[nb play]]</f>
        <v>1</v>
      </c>
      <c r="H2927" t="str">
        <f>MID(Table132[[#This Row],[ÉTAT]],VALUE(RIGHT(Table132[[#This Row],[next move]],1))+1+VALUE(LEFT(Table132[[#This Row],[next move]],1))*3,1)</f>
        <v>V</v>
      </c>
      <c r="I2927" t="str">
        <f>Table132[[#This Row],[ÉTAT]]&amp;Table132[[#This Row],[next move]]</f>
        <v>VEMEVVMEV11</v>
      </c>
    </row>
    <row r="2928" spans="2:9" x14ac:dyDescent="0.25">
      <c r="B2928" t="s">
        <v>1388</v>
      </c>
      <c r="C2928" s="22" t="s">
        <v>28</v>
      </c>
      <c r="D2928">
        <v>5</v>
      </c>
      <c r="E2928">
        <v>1</v>
      </c>
      <c r="G2928" s="30">
        <f>Table132[[#This Row],[nb win]]/Table132[[#This Row],[nb play]]</f>
        <v>0.2</v>
      </c>
      <c r="H2928" t="str">
        <f>MID(Table132[[#This Row],[ÉTAT]],VALUE(RIGHT(Table132[[#This Row],[next move]],1))+1+VALUE(LEFT(Table132[[#This Row],[next move]],1))*3,1)</f>
        <v>V</v>
      </c>
      <c r="I2928" t="str">
        <f>Table132[[#This Row],[ÉTAT]]&amp;Table132[[#This Row],[next move]]</f>
        <v>VEMEVVMEV12</v>
      </c>
    </row>
    <row r="2929" spans="2:9" x14ac:dyDescent="0.25">
      <c r="B2929" t="s">
        <v>1388</v>
      </c>
      <c r="C2929" s="22" t="s">
        <v>31</v>
      </c>
      <c r="D2929">
        <v>2</v>
      </c>
      <c r="G2929" s="30">
        <f>Table132[[#This Row],[nb win]]/Table132[[#This Row],[nb play]]</f>
        <v>0</v>
      </c>
      <c r="H2929" t="str">
        <f>MID(Table132[[#This Row],[ÉTAT]],VALUE(RIGHT(Table132[[#This Row],[next move]],1))+1+VALUE(LEFT(Table132[[#This Row],[next move]],1))*3,1)</f>
        <v>V</v>
      </c>
      <c r="I2929" t="str">
        <f>Table132[[#This Row],[ÉTAT]]&amp;Table132[[#This Row],[next move]]</f>
        <v>VEMEVVMEV22</v>
      </c>
    </row>
    <row r="2930" spans="2:9" x14ac:dyDescent="0.25">
      <c r="B2930" t="s">
        <v>1906</v>
      </c>
      <c r="C2930" s="22" t="s">
        <v>24</v>
      </c>
      <c r="D2930">
        <v>2</v>
      </c>
      <c r="E2930">
        <v>1</v>
      </c>
      <c r="G2930" s="30">
        <f>Table132[[#This Row],[nb win]]/Table132[[#This Row],[nb play]]</f>
        <v>0.5</v>
      </c>
      <c r="H2930" t="str">
        <f>MID(Table132[[#This Row],[ÉTAT]],VALUE(RIGHT(Table132[[#This Row],[next move]],1))+1+VALUE(LEFT(Table132[[#This Row],[next move]],1))*3,1)</f>
        <v>V</v>
      </c>
      <c r="I2930" t="str">
        <f>Table132[[#This Row],[ÉTAT]]&amp;Table132[[#This Row],[next move]]</f>
        <v>VEMEVVMEM00</v>
      </c>
    </row>
    <row r="2931" spans="2:9" x14ac:dyDescent="0.25">
      <c r="B2931" t="s">
        <v>3012</v>
      </c>
      <c r="C2931" s="22" t="s">
        <v>29</v>
      </c>
      <c r="D2931">
        <v>1</v>
      </c>
      <c r="E2931">
        <v>1</v>
      </c>
      <c r="G2931" s="25">
        <f>Table132[[#This Row],[nb win]]/Table132[[#This Row],[nb play]]</f>
        <v>1</v>
      </c>
      <c r="H2931" t="str">
        <f>MID(Table132[[#This Row],[ÉTAT]],VALUE(RIGHT(Table132[[#This Row],[next move]],1))+1+VALUE(LEFT(Table132[[#This Row],[next move]],1))*3,1)</f>
        <v>V</v>
      </c>
      <c r="I2931" t="str">
        <f>Table132[[#This Row],[ÉTAT]]&amp;Table132[[#This Row],[next move]]</f>
        <v>VEMEVVEVM11</v>
      </c>
    </row>
    <row r="2932" spans="2:9" x14ac:dyDescent="0.25">
      <c r="B2932" t="s">
        <v>1571</v>
      </c>
      <c r="C2932" s="22" t="s">
        <v>24</v>
      </c>
      <c r="D2932">
        <v>2</v>
      </c>
      <c r="E2932">
        <v>2</v>
      </c>
      <c r="G2932" s="31">
        <f>Table132[[#This Row],[nb win]]/Table132[[#This Row],[nb play]]</f>
        <v>1</v>
      </c>
      <c r="H2932" t="str">
        <f>MID(Table132[[#This Row],[ÉTAT]],VALUE(RIGHT(Table132[[#This Row],[next move]],1))+1+VALUE(LEFT(Table132[[#This Row],[next move]],1))*3,1)</f>
        <v>V</v>
      </c>
      <c r="I2932" t="str">
        <f>Table132[[#This Row],[ÉTAT]]&amp;Table132[[#This Row],[next move]]</f>
        <v>VEMEVVEMM00</v>
      </c>
    </row>
    <row r="2933" spans="2:9" x14ac:dyDescent="0.25">
      <c r="B2933" t="s">
        <v>1548</v>
      </c>
      <c r="C2933" s="22" t="s">
        <v>35</v>
      </c>
      <c r="D2933">
        <v>4</v>
      </c>
      <c r="E2933">
        <v>4</v>
      </c>
      <c r="G2933" s="31">
        <f>Table132[[#This Row],[nb win]]/Table132[[#This Row],[nb play]]</f>
        <v>1</v>
      </c>
      <c r="H2933" t="str">
        <f>MID(Table132[[#This Row],[ÉTAT]],VALUE(RIGHT(Table132[[#This Row],[next move]],1))+1+VALUE(LEFT(Table132[[#This Row],[next move]],1))*3,1)</f>
        <v>V</v>
      </c>
      <c r="I2933" t="str">
        <f>Table132[[#This Row],[ÉTAT]]&amp;Table132[[#This Row],[next move]]</f>
        <v>VEMEVMVVV20</v>
      </c>
    </row>
    <row r="2934" spans="2:9" x14ac:dyDescent="0.25">
      <c r="B2934" t="s">
        <v>1823</v>
      </c>
      <c r="C2934" s="22" t="s">
        <v>24</v>
      </c>
      <c r="D2934">
        <v>1</v>
      </c>
      <c r="G2934" s="25">
        <f>Table132[[#This Row],[nb win]]/Table132[[#This Row],[nb play]]</f>
        <v>0</v>
      </c>
      <c r="H2934" t="str">
        <f>MID(Table132[[#This Row],[ÉTAT]],VALUE(RIGHT(Table132[[#This Row],[next move]],1))+1+VALUE(LEFT(Table132[[#This Row],[next move]],1))*3,1)</f>
        <v>V</v>
      </c>
      <c r="I2934" t="str">
        <f>Table132[[#This Row],[ÉTAT]]&amp;Table132[[#This Row],[next move]]</f>
        <v>VEMEVMVVE00</v>
      </c>
    </row>
    <row r="2935" spans="2:9" x14ac:dyDescent="0.25">
      <c r="B2935" t="s">
        <v>1823</v>
      </c>
      <c r="C2935" s="22" t="s">
        <v>29</v>
      </c>
      <c r="D2935">
        <v>1</v>
      </c>
      <c r="G2935" s="25">
        <f>Table132[[#This Row],[nb win]]/Table132[[#This Row],[nb play]]</f>
        <v>0</v>
      </c>
      <c r="H2935" t="str">
        <f>MID(Table132[[#This Row],[ÉTAT]],VALUE(RIGHT(Table132[[#This Row],[next move]],1))+1+VALUE(LEFT(Table132[[#This Row],[next move]],1))*3,1)</f>
        <v>V</v>
      </c>
      <c r="I2935" t="str">
        <f>Table132[[#This Row],[ÉTAT]]&amp;Table132[[#This Row],[next move]]</f>
        <v>VEMEVMVVE11</v>
      </c>
    </row>
    <row r="2936" spans="2:9" x14ac:dyDescent="0.25">
      <c r="B2936" t="s">
        <v>1823</v>
      </c>
      <c r="C2936" s="22" t="s">
        <v>35</v>
      </c>
      <c r="D2936">
        <v>1</v>
      </c>
      <c r="G2936" s="25">
        <f>Table132[[#This Row],[nb win]]/Table132[[#This Row],[nb play]]</f>
        <v>0</v>
      </c>
      <c r="H2936" t="str">
        <f>MID(Table132[[#This Row],[ÉTAT]],VALUE(RIGHT(Table132[[#This Row],[next move]],1))+1+VALUE(LEFT(Table132[[#This Row],[next move]],1))*3,1)</f>
        <v>V</v>
      </c>
      <c r="I2936" t="str">
        <f>Table132[[#This Row],[ÉTAT]]&amp;Table132[[#This Row],[next move]]</f>
        <v>VEMEVMVVE20</v>
      </c>
    </row>
    <row r="2937" spans="2:9" x14ac:dyDescent="0.25">
      <c r="B2937" t="s">
        <v>1107</v>
      </c>
      <c r="C2937" s="22" t="s">
        <v>24</v>
      </c>
      <c r="D2937">
        <v>1</v>
      </c>
      <c r="G2937" s="25">
        <f>Table132[[#This Row],[nb win]]/Table132[[#This Row],[nb play]]</f>
        <v>0</v>
      </c>
      <c r="H2937" t="str">
        <f>MID(Table132[[#This Row],[ÉTAT]],VALUE(RIGHT(Table132[[#This Row],[next move]],1))+1+VALUE(LEFT(Table132[[#This Row],[next move]],1))*3,1)</f>
        <v>V</v>
      </c>
      <c r="I2937" t="str">
        <f>Table132[[#This Row],[ÉTAT]]&amp;Table132[[#This Row],[next move]]</f>
        <v>VEMEVMVEV00</v>
      </c>
    </row>
    <row r="2938" spans="2:9" x14ac:dyDescent="0.25">
      <c r="B2938" t="s">
        <v>1107</v>
      </c>
      <c r="C2938" s="22" t="s">
        <v>29</v>
      </c>
      <c r="D2938">
        <v>3</v>
      </c>
      <c r="E2938">
        <v>1</v>
      </c>
      <c r="G2938" s="31">
        <f>Table132[[#This Row],[nb win]]/Table132[[#This Row],[nb play]]</f>
        <v>0.33333333333333331</v>
      </c>
      <c r="H2938" t="str">
        <f>MID(Table132[[#This Row],[ÉTAT]],VALUE(RIGHT(Table132[[#This Row],[next move]],1))+1+VALUE(LEFT(Table132[[#This Row],[next move]],1))*3,1)</f>
        <v>V</v>
      </c>
      <c r="I2938" t="str">
        <f>Table132[[#This Row],[ÉTAT]]&amp;Table132[[#This Row],[next move]]</f>
        <v>VEMEVMVEV11</v>
      </c>
    </row>
    <row r="2939" spans="2:9" x14ac:dyDescent="0.25">
      <c r="B2939" t="s">
        <v>1107</v>
      </c>
      <c r="C2939" s="22" t="s">
        <v>35</v>
      </c>
      <c r="D2939">
        <v>2</v>
      </c>
      <c r="G2939" s="30">
        <f>Table132[[#This Row],[nb win]]/Table132[[#This Row],[nb play]]</f>
        <v>0</v>
      </c>
      <c r="H2939" t="str">
        <f>MID(Table132[[#This Row],[ÉTAT]],VALUE(RIGHT(Table132[[#This Row],[next move]],1))+1+VALUE(LEFT(Table132[[#This Row],[next move]],1))*3,1)</f>
        <v>V</v>
      </c>
      <c r="I2939" t="str">
        <f>Table132[[#This Row],[ÉTAT]]&amp;Table132[[#This Row],[next move]]</f>
        <v>VEMEVMVEV20</v>
      </c>
    </row>
    <row r="2940" spans="2:9" x14ac:dyDescent="0.25">
      <c r="B2940" t="s">
        <v>1107</v>
      </c>
      <c r="C2940" s="22" t="s">
        <v>31</v>
      </c>
      <c r="D2940">
        <v>1</v>
      </c>
      <c r="E2940">
        <v>1</v>
      </c>
      <c r="G2940" s="25">
        <f>Table132[[#This Row],[nb win]]/Table132[[#This Row],[nb play]]</f>
        <v>1</v>
      </c>
      <c r="H2940" t="str">
        <f>MID(Table132[[#This Row],[ÉTAT]],VALUE(RIGHT(Table132[[#This Row],[next move]],1))+1+VALUE(LEFT(Table132[[#This Row],[next move]],1))*3,1)</f>
        <v>V</v>
      </c>
      <c r="I2940" t="str">
        <f>Table132[[#This Row],[ÉTAT]]&amp;Table132[[#This Row],[next move]]</f>
        <v>VEMEVMVEV22</v>
      </c>
    </row>
    <row r="2941" spans="2:9" x14ac:dyDescent="0.25">
      <c r="B2941" t="s">
        <v>1685</v>
      </c>
      <c r="C2941" s="22" t="s">
        <v>29</v>
      </c>
      <c r="D2941">
        <v>6</v>
      </c>
      <c r="E2941">
        <v>6</v>
      </c>
      <c r="G2941" s="31">
        <f>Table132[[#This Row],[nb win]]/Table132[[#This Row],[nb play]]</f>
        <v>1</v>
      </c>
      <c r="H2941" t="str">
        <f>MID(Table132[[#This Row],[ÉTAT]],VALUE(RIGHT(Table132[[#This Row],[next move]],1))+1+VALUE(LEFT(Table132[[#This Row],[next move]],1))*3,1)</f>
        <v>V</v>
      </c>
      <c r="I2941" t="str">
        <f>Table132[[#This Row],[ÉTAT]]&amp;Table132[[#This Row],[next move]]</f>
        <v>VEMEVMMVE11</v>
      </c>
    </row>
    <row r="2942" spans="2:9" x14ac:dyDescent="0.25">
      <c r="B2942" t="s">
        <v>1696</v>
      </c>
      <c r="C2942" s="22" t="s">
        <v>24</v>
      </c>
      <c r="D2942">
        <v>2</v>
      </c>
      <c r="E2942">
        <v>1</v>
      </c>
      <c r="G2942" s="30">
        <f>Table132[[#This Row],[nb win]]/Table132[[#This Row],[nb play]]</f>
        <v>0.5</v>
      </c>
      <c r="H2942" t="str">
        <f>MID(Table132[[#This Row],[ÉTAT]],VALUE(RIGHT(Table132[[#This Row],[next move]],1))+1+VALUE(LEFT(Table132[[#This Row],[next move]],1))*3,1)</f>
        <v>V</v>
      </c>
      <c r="I2942" t="str">
        <f>Table132[[#This Row],[ÉTAT]]&amp;Table132[[#This Row],[next move]]</f>
        <v>VEMEVMMEV00</v>
      </c>
    </row>
    <row r="2943" spans="2:9" x14ac:dyDescent="0.25">
      <c r="B2943" t="s">
        <v>1232</v>
      </c>
      <c r="C2943" s="22" t="s">
        <v>24</v>
      </c>
      <c r="D2943">
        <v>2</v>
      </c>
      <c r="G2943" s="25">
        <f>Table132[[#This Row],[nb win]]/Table132[[#This Row],[nb play]]</f>
        <v>0</v>
      </c>
      <c r="H2943" t="str">
        <f>MID(Table132[[#This Row],[ÉTAT]],VALUE(RIGHT(Table132[[#This Row],[next move]],1))+1+VALUE(LEFT(Table132[[#This Row],[next move]],1))*3,1)</f>
        <v>V</v>
      </c>
      <c r="I2943" t="str">
        <f>Table132[[#This Row],[ÉTAT]]&amp;Table132[[#This Row],[next move]]</f>
        <v>VEMEVMMEE00</v>
      </c>
    </row>
    <row r="2944" spans="2:9" x14ac:dyDescent="0.25">
      <c r="B2944" t="s">
        <v>1232</v>
      </c>
      <c r="C2944" s="22" t="s">
        <v>29</v>
      </c>
      <c r="D2944">
        <v>1</v>
      </c>
      <c r="E2944">
        <v>1</v>
      </c>
      <c r="G2944" s="25">
        <f>Table132[[#This Row],[nb win]]/Table132[[#This Row],[nb play]]</f>
        <v>1</v>
      </c>
      <c r="H2944" t="str">
        <f>MID(Table132[[#This Row],[ÉTAT]],VALUE(RIGHT(Table132[[#This Row],[next move]],1))+1+VALUE(LEFT(Table132[[#This Row],[next move]],1))*3,1)</f>
        <v>V</v>
      </c>
      <c r="I2944" t="str">
        <f>Table132[[#This Row],[ÉTAT]]&amp;Table132[[#This Row],[next move]]</f>
        <v>VEMEVMMEE11</v>
      </c>
    </row>
    <row r="2945" spans="2:9" x14ac:dyDescent="0.25">
      <c r="B2945" t="s">
        <v>2457</v>
      </c>
      <c r="C2945" s="22" t="s">
        <v>22</v>
      </c>
      <c r="D2945">
        <v>1</v>
      </c>
      <c r="E2945">
        <v>1</v>
      </c>
      <c r="G2945" s="25">
        <f>Table132[[#This Row],[nb win]]/Table132[[#This Row],[nb play]]</f>
        <v>1</v>
      </c>
      <c r="H2945" t="str">
        <f>MID(Table132[[#This Row],[ÉTAT]],VALUE(RIGHT(Table132[[#This Row],[next move]],1))+1+VALUE(LEFT(Table132[[#This Row],[next move]],1))*3,1)</f>
        <v>V</v>
      </c>
      <c r="I2945" t="str">
        <f>Table132[[#This Row],[ÉTAT]]&amp;Table132[[#This Row],[next move]]</f>
        <v>VEMEVMEVV21</v>
      </c>
    </row>
    <row r="2946" spans="2:9" x14ac:dyDescent="0.25">
      <c r="B2946" t="s">
        <v>3494</v>
      </c>
      <c r="C2946" s="22" t="s">
        <v>29</v>
      </c>
      <c r="D2946">
        <v>1</v>
      </c>
      <c r="G2946" s="30">
        <f>Table132[[#This Row],[nb win]]/Table132[[#This Row],[nb play]]</f>
        <v>0</v>
      </c>
      <c r="H2946" t="str">
        <f>MID(Table132[[#This Row],[ÉTAT]],VALUE(RIGHT(Table132[[#This Row],[next move]],1))+1+VALUE(LEFT(Table132[[#This Row],[next move]],1))*3,1)</f>
        <v>V</v>
      </c>
      <c r="I2946" t="str">
        <f>Table132[[#This Row],[ÉTAT]]&amp;Table132[[#This Row],[next move]]</f>
        <v>VEMEVMEMV11</v>
      </c>
    </row>
    <row r="2947" spans="2:9" x14ac:dyDescent="0.25">
      <c r="B2947" t="s">
        <v>3114</v>
      </c>
      <c r="C2947" s="22" t="s">
        <v>29</v>
      </c>
      <c r="D2947">
        <v>1</v>
      </c>
      <c r="G2947" s="30">
        <f>Table132[[#This Row],[nb win]]/Table132[[#This Row],[nb play]]</f>
        <v>0</v>
      </c>
      <c r="H2947" t="str">
        <f>MID(Table132[[#This Row],[ÉTAT]],VALUE(RIGHT(Table132[[#This Row],[next move]],1))+1+VALUE(LEFT(Table132[[#This Row],[next move]],1))*3,1)</f>
        <v>V</v>
      </c>
      <c r="I2947" t="str">
        <f>Table132[[#This Row],[ÉTAT]]&amp;Table132[[#This Row],[next move]]</f>
        <v>VEMEVMEME11</v>
      </c>
    </row>
    <row r="2948" spans="2:9" x14ac:dyDescent="0.25">
      <c r="B2948" t="s">
        <v>1612</v>
      </c>
      <c r="C2948" s="22" t="s">
        <v>22</v>
      </c>
      <c r="D2948">
        <v>1</v>
      </c>
      <c r="G2948" s="25">
        <f>Table132[[#This Row],[nb win]]/Table132[[#This Row],[nb play]]</f>
        <v>0</v>
      </c>
      <c r="H2948" t="str">
        <f>MID(Table132[[#This Row],[ÉTAT]],VALUE(RIGHT(Table132[[#This Row],[next move]],1))+1+VALUE(LEFT(Table132[[#This Row],[next move]],1))*3,1)</f>
        <v>V</v>
      </c>
      <c r="I2948" t="str">
        <f>Table132[[#This Row],[ÉTAT]]&amp;Table132[[#This Row],[next move]]</f>
        <v>VEMEVEVVM21</v>
      </c>
    </row>
    <row r="2949" spans="2:9" x14ac:dyDescent="0.25">
      <c r="B2949" t="s">
        <v>2929</v>
      </c>
      <c r="C2949" s="22" t="s">
        <v>29</v>
      </c>
      <c r="D2949">
        <v>2</v>
      </c>
      <c r="E2949">
        <v>1</v>
      </c>
      <c r="G2949" s="30">
        <f>Table132[[#This Row],[nb win]]/Table132[[#This Row],[nb play]]</f>
        <v>0.5</v>
      </c>
      <c r="H2949" t="str">
        <f>MID(Table132[[#This Row],[ÉTAT]],VALUE(RIGHT(Table132[[#This Row],[next move]],1))+1+VALUE(LEFT(Table132[[#This Row],[next move]],1))*3,1)</f>
        <v>V</v>
      </c>
      <c r="I2949" t="str">
        <f>Table132[[#This Row],[ÉTAT]]&amp;Table132[[#This Row],[next move]]</f>
        <v>VEMEVEVMV11</v>
      </c>
    </row>
    <row r="2950" spans="2:9" x14ac:dyDescent="0.25">
      <c r="B2950" t="s">
        <v>2929</v>
      </c>
      <c r="C2950" s="22" t="s">
        <v>35</v>
      </c>
      <c r="D2950">
        <v>1</v>
      </c>
      <c r="G2950" s="30">
        <f>Table132[[#This Row],[nb win]]/Table132[[#This Row],[nb play]]</f>
        <v>0</v>
      </c>
      <c r="H2950" t="str">
        <f>MID(Table132[[#This Row],[ÉTAT]],VALUE(RIGHT(Table132[[#This Row],[next move]],1))+1+VALUE(LEFT(Table132[[#This Row],[next move]],1))*3,1)</f>
        <v>V</v>
      </c>
      <c r="I2950" t="str">
        <f>Table132[[#This Row],[ÉTAT]]&amp;Table132[[#This Row],[next move]]</f>
        <v>VEMEVEVMV20</v>
      </c>
    </row>
    <row r="2951" spans="2:9" x14ac:dyDescent="0.25">
      <c r="B2951" t="s">
        <v>1805</v>
      </c>
      <c r="C2951" s="22" t="s">
        <v>24</v>
      </c>
      <c r="D2951">
        <v>2</v>
      </c>
      <c r="E2951">
        <v>1</v>
      </c>
      <c r="G2951" s="30">
        <f>Table132[[#This Row],[nb win]]/Table132[[#This Row],[nb play]]</f>
        <v>0.5</v>
      </c>
      <c r="H2951" t="str">
        <f>MID(Table132[[#This Row],[ÉTAT]],VALUE(RIGHT(Table132[[#This Row],[next move]],1))+1+VALUE(LEFT(Table132[[#This Row],[next move]],1))*3,1)</f>
        <v>V</v>
      </c>
      <c r="I2951" t="str">
        <f>Table132[[#This Row],[ÉTAT]]&amp;Table132[[#This Row],[next move]]</f>
        <v>VEMEVEVMM00</v>
      </c>
    </row>
    <row r="2952" spans="2:9" x14ac:dyDescent="0.25">
      <c r="B2952" t="s">
        <v>1805</v>
      </c>
      <c r="C2952" s="22" t="s">
        <v>29</v>
      </c>
      <c r="D2952">
        <v>1</v>
      </c>
      <c r="E2952">
        <v>1</v>
      </c>
      <c r="G2952" s="31">
        <f>Table132[[#This Row],[nb win]]/Table132[[#This Row],[nb play]]</f>
        <v>1</v>
      </c>
      <c r="H2952" t="str">
        <f>MID(Table132[[#This Row],[ÉTAT]],VALUE(RIGHT(Table132[[#This Row],[next move]],1))+1+VALUE(LEFT(Table132[[#This Row],[next move]],1))*3,1)</f>
        <v>V</v>
      </c>
      <c r="I2952" t="str">
        <f>Table132[[#This Row],[ÉTAT]]&amp;Table132[[#This Row],[next move]]</f>
        <v>VEMEVEVMM11</v>
      </c>
    </row>
    <row r="2953" spans="2:9" x14ac:dyDescent="0.25">
      <c r="B2953" t="s">
        <v>413</v>
      </c>
      <c r="C2953" s="22" t="s">
        <v>24</v>
      </c>
      <c r="D2953">
        <v>2</v>
      </c>
      <c r="G2953" s="30">
        <f>Table132[[#This Row],[nb win]]/Table132[[#This Row],[nb play]]</f>
        <v>0</v>
      </c>
      <c r="H2953" t="str">
        <f>MID(Table132[[#This Row],[ÉTAT]],VALUE(RIGHT(Table132[[#This Row],[next move]],1))+1+VALUE(LEFT(Table132[[#This Row],[next move]],1))*3,1)</f>
        <v>V</v>
      </c>
      <c r="I2953" t="str">
        <f>Table132[[#This Row],[ÉTAT]]&amp;Table132[[#This Row],[next move]]</f>
        <v>VEMEVEMMV00</v>
      </c>
    </row>
    <row r="2954" spans="2:9" x14ac:dyDescent="0.25">
      <c r="B2954" t="s">
        <v>413</v>
      </c>
      <c r="C2954" s="22" t="s">
        <v>31</v>
      </c>
      <c r="D2954">
        <v>1</v>
      </c>
      <c r="E2954">
        <v>1</v>
      </c>
      <c r="G2954" s="25">
        <f>Table132[[#This Row],[nb win]]/Table132[[#This Row],[nb play]]</f>
        <v>1</v>
      </c>
      <c r="H2954" t="str">
        <f>MID(Table132[[#This Row],[ÉTAT]],VALUE(RIGHT(Table132[[#This Row],[next move]],1))+1+VALUE(LEFT(Table132[[#This Row],[next move]],1))*3,1)</f>
        <v>V</v>
      </c>
      <c r="I2954" t="str">
        <f>Table132[[#This Row],[ÉTAT]]&amp;Table132[[#This Row],[next move]]</f>
        <v>VEMEVEMMV22</v>
      </c>
    </row>
    <row r="2955" spans="2:9" x14ac:dyDescent="0.25">
      <c r="B2955" t="s">
        <v>1889</v>
      </c>
      <c r="C2955" s="22" t="s">
        <v>24</v>
      </c>
      <c r="D2955">
        <v>1</v>
      </c>
      <c r="G2955" s="25">
        <f>Table132[[#This Row],[nb win]]/Table132[[#This Row],[nb play]]</f>
        <v>0</v>
      </c>
      <c r="H2955" t="str">
        <f>MID(Table132[[#This Row],[ÉTAT]],VALUE(RIGHT(Table132[[#This Row],[next move]],1))+1+VALUE(LEFT(Table132[[#This Row],[next move]],1))*3,1)</f>
        <v>V</v>
      </c>
      <c r="I2955" t="str">
        <f>Table132[[#This Row],[ÉTAT]]&amp;Table132[[#This Row],[next move]]</f>
        <v>VEMEVEMME00</v>
      </c>
    </row>
    <row r="2956" spans="2:9" x14ac:dyDescent="0.25">
      <c r="B2956" t="s">
        <v>1614</v>
      </c>
      <c r="C2956" s="22" t="s">
        <v>24</v>
      </c>
      <c r="D2956">
        <v>1</v>
      </c>
      <c r="G2956" s="25">
        <f>Table132[[#This Row],[nb win]]/Table132[[#This Row],[nb play]]</f>
        <v>0</v>
      </c>
      <c r="H2956" t="str">
        <f>MID(Table132[[#This Row],[ÉTAT]],VALUE(RIGHT(Table132[[#This Row],[next move]],1))+1+VALUE(LEFT(Table132[[#This Row],[next move]],1))*3,1)</f>
        <v>V</v>
      </c>
      <c r="I2956" t="str">
        <f>Table132[[#This Row],[ÉTAT]]&amp;Table132[[#This Row],[next move]]</f>
        <v>VEMEVEEMM00</v>
      </c>
    </row>
    <row r="2957" spans="2:9" x14ac:dyDescent="0.25">
      <c r="B2957" t="s">
        <v>1614</v>
      </c>
      <c r="C2957" s="22" t="s">
        <v>29</v>
      </c>
      <c r="D2957">
        <v>1</v>
      </c>
      <c r="G2957" s="30">
        <f>Table132[[#This Row],[nb win]]/Table132[[#This Row],[nb play]]</f>
        <v>0</v>
      </c>
      <c r="H2957" t="str">
        <f>MID(Table132[[#This Row],[ÉTAT]],VALUE(RIGHT(Table132[[#This Row],[next move]],1))+1+VALUE(LEFT(Table132[[#This Row],[next move]],1))*3,1)</f>
        <v>V</v>
      </c>
      <c r="I2957" t="str">
        <f>Table132[[#This Row],[ÉTAT]]&amp;Table132[[#This Row],[next move]]</f>
        <v>VEMEVEEMM11</v>
      </c>
    </row>
    <row r="2958" spans="2:9" x14ac:dyDescent="0.25">
      <c r="B2958" t="s">
        <v>303</v>
      </c>
      <c r="C2958" s="22" t="s">
        <v>35</v>
      </c>
      <c r="D2958">
        <v>10</v>
      </c>
      <c r="E2958">
        <v>10</v>
      </c>
      <c r="G2958" s="31">
        <f>Table132[[#This Row],[nb win]]/Table132[[#This Row],[nb play]]</f>
        <v>1</v>
      </c>
      <c r="H2958" t="str">
        <f>MID(Table132[[#This Row],[ÉTAT]],VALUE(RIGHT(Table132[[#This Row],[next move]],1))+1+VALUE(LEFT(Table132[[#This Row],[next move]],1))*3,1)</f>
        <v>V</v>
      </c>
      <c r="I2958" t="str">
        <f>Table132[[#This Row],[ÉTAT]]&amp;Table132[[#This Row],[next move]]</f>
        <v>VEMEMVVVV20</v>
      </c>
    </row>
    <row r="2959" spans="2:9" x14ac:dyDescent="0.25">
      <c r="B2959" t="s">
        <v>482</v>
      </c>
      <c r="C2959" s="22" t="s">
        <v>24</v>
      </c>
      <c r="D2959">
        <v>2</v>
      </c>
      <c r="E2959">
        <v>1</v>
      </c>
      <c r="G2959" s="30">
        <f>Table132[[#This Row],[nb win]]/Table132[[#This Row],[nb play]]</f>
        <v>0.5</v>
      </c>
      <c r="H2959" t="str">
        <f>MID(Table132[[#This Row],[ÉTAT]],VALUE(RIGHT(Table132[[#This Row],[next move]],1))+1+VALUE(LEFT(Table132[[#This Row],[next move]],1))*3,1)</f>
        <v>V</v>
      </c>
      <c r="I2959" t="str">
        <f>Table132[[#This Row],[ÉTAT]]&amp;Table132[[#This Row],[next move]]</f>
        <v>VEMEMVVVE00</v>
      </c>
    </row>
    <row r="2960" spans="2:9" x14ac:dyDescent="0.25">
      <c r="B2960" t="s">
        <v>482</v>
      </c>
      <c r="C2960" s="22" t="s">
        <v>22</v>
      </c>
      <c r="D2960">
        <v>1</v>
      </c>
      <c r="G2960" s="25">
        <f>Table132[[#This Row],[nb win]]/Table132[[#This Row],[nb play]]</f>
        <v>0</v>
      </c>
      <c r="H2960" t="str">
        <f>MID(Table132[[#This Row],[ÉTAT]],VALUE(RIGHT(Table132[[#This Row],[next move]],1))+1+VALUE(LEFT(Table132[[#This Row],[next move]],1))*3,1)</f>
        <v>V</v>
      </c>
      <c r="I2960" t="str">
        <f>Table132[[#This Row],[ÉTAT]]&amp;Table132[[#This Row],[next move]]</f>
        <v>VEMEMVVVE21</v>
      </c>
    </row>
    <row r="2961" spans="2:9" x14ac:dyDescent="0.25">
      <c r="B2961" t="s">
        <v>2130</v>
      </c>
      <c r="C2961" s="22" t="s">
        <v>31</v>
      </c>
      <c r="D2961">
        <v>2</v>
      </c>
      <c r="E2961">
        <v>2</v>
      </c>
      <c r="G2961" s="31">
        <f>Table132[[#This Row],[nb win]]/Table132[[#This Row],[nb play]]</f>
        <v>1</v>
      </c>
      <c r="H2961" t="str">
        <f>MID(Table132[[#This Row],[ÉTAT]],VALUE(RIGHT(Table132[[#This Row],[next move]],1))+1+VALUE(LEFT(Table132[[#This Row],[next move]],1))*3,1)</f>
        <v>V</v>
      </c>
      <c r="I2961" t="str">
        <f>Table132[[#This Row],[ÉTAT]]&amp;Table132[[#This Row],[next move]]</f>
        <v>VEMEMVVEV22</v>
      </c>
    </row>
    <row r="2962" spans="2:9" x14ac:dyDescent="0.25">
      <c r="B2962" t="s">
        <v>1012</v>
      </c>
      <c r="C2962" s="22" t="s">
        <v>24</v>
      </c>
      <c r="D2962">
        <v>7</v>
      </c>
      <c r="E2962">
        <v>7</v>
      </c>
      <c r="G2962" s="31">
        <f>Table132[[#This Row],[nb win]]/Table132[[#This Row],[nb play]]</f>
        <v>1</v>
      </c>
      <c r="H2962" t="str">
        <f>MID(Table132[[#This Row],[ÉTAT]],VALUE(RIGHT(Table132[[#This Row],[next move]],1))+1+VALUE(LEFT(Table132[[#This Row],[next move]],1))*3,1)</f>
        <v>V</v>
      </c>
      <c r="I2962" t="str">
        <f>Table132[[#This Row],[ÉTAT]]&amp;Table132[[#This Row],[next move]]</f>
        <v>VEMEMVVEM00</v>
      </c>
    </row>
    <row r="2963" spans="2:9" x14ac:dyDescent="0.25">
      <c r="B2963" t="s">
        <v>3122</v>
      </c>
      <c r="C2963" s="22" t="s">
        <v>28</v>
      </c>
      <c r="D2963">
        <v>2</v>
      </c>
      <c r="E2963">
        <v>2</v>
      </c>
      <c r="G2963" s="31">
        <f>Table132[[#This Row],[nb win]]/Table132[[#This Row],[nb play]]</f>
        <v>1</v>
      </c>
      <c r="H2963" t="str">
        <f>MID(Table132[[#This Row],[ÉTAT]],VALUE(RIGHT(Table132[[#This Row],[next move]],1))+1+VALUE(LEFT(Table132[[#This Row],[next move]],1))*3,1)</f>
        <v>V</v>
      </c>
      <c r="I2963" t="str">
        <f>Table132[[#This Row],[ÉTAT]]&amp;Table132[[#This Row],[next move]]</f>
        <v>VEMEMVEVM12</v>
      </c>
    </row>
    <row r="2964" spans="2:9" x14ac:dyDescent="0.25">
      <c r="B2964" t="s">
        <v>933</v>
      </c>
      <c r="C2964" s="22" t="s">
        <v>31</v>
      </c>
      <c r="D2964">
        <v>1</v>
      </c>
      <c r="E2964">
        <v>1</v>
      </c>
      <c r="G2964" s="25">
        <f>Table132[[#This Row],[nb win]]/Table132[[#This Row],[nb play]]</f>
        <v>1</v>
      </c>
      <c r="H2964" t="str">
        <f>MID(Table132[[#This Row],[ÉTAT]],VALUE(RIGHT(Table132[[#This Row],[next move]],1))+1+VALUE(LEFT(Table132[[#This Row],[next move]],1))*3,1)</f>
        <v>V</v>
      </c>
      <c r="I2964" t="str">
        <f>Table132[[#This Row],[ÉTAT]]&amp;Table132[[#This Row],[next move]]</f>
        <v>VEMEMVEMV22</v>
      </c>
    </row>
    <row r="2965" spans="2:9" x14ac:dyDescent="0.25">
      <c r="B2965" t="s">
        <v>1625</v>
      </c>
      <c r="C2965" s="22" t="s">
        <v>28</v>
      </c>
      <c r="D2965">
        <v>1</v>
      </c>
      <c r="G2965" s="25">
        <f>Table132[[#This Row],[nb win]]/Table132[[#This Row],[nb play]]</f>
        <v>0</v>
      </c>
      <c r="H2965" t="str">
        <f>MID(Table132[[#This Row],[ÉTAT]],VALUE(RIGHT(Table132[[#This Row],[next move]],1))+1+VALUE(LEFT(Table132[[#This Row],[next move]],1))*3,1)</f>
        <v>V</v>
      </c>
      <c r="I2965" t="str">
        <f>Table132[[#This Row],[ÉTAT]]&amp;Table132[[#This Row],[next move]]</f>
        <v>VEMEMVEME12</v>
      </c>
    </row>
    <row r="2966" spans="2:9" x14ac:dyDescent="0.25">
      <c r="B2966" t="s">
        <v>2132</v>
      </c>
      <c r="C2966" s="22" t="s">
        <v>28</v>
      </c>
      <c r="D2966">
        <v>4</v>
      </c>
      <c r="E2966">
        <v>4</v>
      </c>
      <c r="G2966" s="31">
        <f>Table132[[#This Row],[nb win]]/Table132[[#This Row],[nb play]]</f>
        <v>1</v>
      </c>
      <c r="H2966" t="str">
        <f>MID(Table132[[#This Row],[ÉTAT]],VALUE(RIGHT(Table132[[#This Row],[next move]],1))+1+VALUE(LEFT(Table132[[#This Row],[next move]],1))*3,1)</f>
        <v>V</v>
      </c>
      <c r="I2966" t="str">
        <f>Table132[[#This Row],[ÉTAT]]&amp;Table132[[#This Row],[next move]]</f>
        <v>VEMEMVEEM12</v>
      </c>
    </row>
    <row r="2967" spans="2:9" x14ac:dyDescent="0.25">
      <c r="B2967" t="s">
        <v>2828</v>
      </c>
      <c r="C2967" s="22" t="s">
        <v>35</v>
      </c>
      <c r="D2967">
        <v>1</v>
      </c>
      <c r="E2967">
        <v>1</v>
      </c>
      <c r="G2967" s="25">
        <f>Table132[[#This Row],[nb win]]/Table132[[#This Row],[nb play]]</f>
        <v>1</v>
      </c>
      <c r="H2967" t="str">
        <f>MID(Table132[[#This Row],[ÉTAT]],VALUE(RIGHT(Table132[[#This Row],[next move]],1))+1+VALUE(LEFT(Table132[[#This Row],[next move]],1))*3,1)</f>
        <v>V</v>
      </c>
      <c r="I2967" t="str">
        <f>Table132[[#This Row],[ÉTAT]]&amp;Table132[[#This Row],[next move]]</f>
        <v>VEMEMMVVE20</v>
      </c>
    </row>
    <row r="2968" spans="2:9" x14ac:dyDescent="0.25">
      <c r="B2968" t="s">
        <v>313</v>
      </c>
      <c r="C2968" s="22" t="s">
        <v>31</v>
      </c>
      <c r="D2968">
        <v>2</v>
      </c>
      <c r="E2968">
        <v>2</v>
      </c>
      <c r="G2968" s="25">
        <f>Table132[[#This Row],[nb win]]/Table132[[#This Row],[nb play]]</f>
        <v>1</v>
      </c>
      <c r="H2968" t="str">
        <f>MID(Table132[[#This Row],[ÉTAT]],VALUE(RIGHT(Table132[[#This Row],[next move]],1))+1+VALUE(LEFT(Table132[[#This Row],[next move]],1))*3,1)</f>
        <v>V</v>
      </c>
      <c r="I2968" t="str">
        <f>Table132[[#This Row],[ÉTAT]]&amp;Table132[[#This Row],[next move]]</f>
        <v>VEMEMMVEV22</v>
      </c>
    </row>
    <row r="2969" spans="2:9" x14ac:dyDescent="0.25">
      <c r="B2969" t="s">
        <v>3373</v>
      </c>
      <c r="C2969" s="22" t="s">
        <v>31</v>
      </c>
      <c r="D2969">
        <v>1</v>
      </c>
      <c r="E2969">
        <v>1</v>
      </c>
      <c r="G2969" s="31">
        <f>Table132[[#This Row],[nb win]]/Table132[[#This Row],[nb play]]</f>
        <v>1</v>
      </c>
      <c r="H2969" t="str">
        <f>MID(Table132[[#This Row],[ÉTAT]],VALUE(RIGHT(Table132[[#This Row],[next move]],1))+1+VALUE(LEFT(Table132[[#This Row],[next move]],1))*3,1)</f>
        <v>V</v>
      </c>
      <c r="I2969" t="str">
        <f>Table132[[#This Row],[ÉTAT]]&amp;Table132[[#This Row],[next move]]</f>
        <v>VEMEMMEVV22</v>
      </c>
    </row>
    <row r="2970" spans="2:9" x14ac:dyDescent="0.25">
      <c r="B2970" t="s">
        <v>2851</v>
      </c>
      <c r="C2970" s="22" t="s">
        <v>22</v>
      </c>
      <c r="D2970">
        <v>1</v>
      </c>
      <c r="G2970" s="25">
        <f>Table132[[#This Row],[nb win]]/Table132[[#This Row],[nb play]]</f>
        <v>0</v>
      </c>
      <c r="H2970" t="str">
        <f>MID(Table132[[#This Row],[ÉTAT]],VALUE(RIGHT(Table132[[#This Row],[next move]],1))+1+VALUE(LEFT(Table132[[#This Row],[next move]],1))*3,1)</f>
        <v>V</v>
      </c>
      <c r="I2970" t="str">
        <f>Table132[[#This Row],[ÉTAT]]&amp;Table132[[#This Row],[next move]]</f>
        <v>VEMEMMEVE21</v>
      </c>
    </row>
    <row r="2971" spans="2:9" x14ac:dyDescent="0.25">
      <c r="B2971" t="s">
        <v>2013</v>
      </c>
      <c r="C2971" s="22" t="s">
        <v>24</v>
      </c>
      <c r="D2971">
        <v>2</v>
      </c>
      <c r="G2971" s="25">
        <f>Table132[[#This Row],[nb win]]/Table132[[#This Row],[nb play]]</f>
        <v>0</v>
      </c>
      <c r="H2971" t="str">
        <f>MID(Table132[[#This Row],[ÉTAT]],VALUE(RIGHT(Table132[[#This Row],[next move]],1))+1+VALUE(LEFT(Table132[[#This Row],[next move]],1))*3,1)</f>
        <v>V</v>
      </c>
      <c r="I2971" t="str">
        <f>Table132[[#This Row],[ÉTAT]]&amp;Table132[[#This Row],[next move]]</f>
        <v>VEMEMMEEV00</v>
      </c>
    </row>
    <row r="2972" spans="2:9" x14ac:dyDescent="0.25">
      <c r="B2972" t="s">
        <v>2013</v>
      </c>
      <c r="C2972" s="22" t="s">
        <v>31</v>
      </c>
      <c r="D2972">
        <v>2</v>
      </c>
      <c r="E2972">
        <v>2</v>
      </c>
      <c r="G2972" s="31">
        <f>Table132[[#This Row],[nb win]]/Table132[[#This Row],[nb play]]</f>
        <v>1</v>
      </c>
      <c r="H2972" t="str">
        <f>MID(Table132[[#This Row],[ÉTAT]],VALUE(RIGHT(Table132[[#This Row],[next move]],1))+1+VALUE(LEFT(Table132[[#This Row],[next move]],1))*3,1)</f>
        <v>V</v>
      </c>
      <c r="I2972" t="str">
        <f>Table132[[#This Row],[ÉTAT]]&amp;Table132[[#This Row],[next move]]</f>
        <v>VEMEMMEEV22</v>
      </c>
    </row>
    <row r="2973" spans="2:9" x14ac:dyDescent="0.25">
      <c r="B2973" t="s">
        <v>2912</v>
      </c>
      <c r="C2973" s="22" t="s">
        <v>35</v>
      </c>
      <c r="D2973">
        <v>2</v>
      </c>
      <c r="E2973">
        <v>2</v>
      </c>
      <c r="G2973" s="31">
        <f>Table132[[#This Row],[nb win]]/Table132[[#This Row],[nb play]]</f>
        <v>1</v>
      </c>
      <c r="H2973" t="str">
        <f>MID(Table132[[#This Row],[ÉTAT]],VALUE(RIGHT(Table132[[#This Row],[next move]],1))+1+VALUE(LEFT(Table132[[#This Row],[next move]],1))*3,1)</f>
        <v>V</v>
      </c>
      <c r="I2973" t="str">
        <f>Table132[[#This Row],[ÉTAT]]&amp;Table132[[#This Row],[next move]]</f>
        <v>VEMEMEVVV20</v>
      </c>
    </row>
    <row r="2974" spans="2:9" x14ac:dyDescent="0.25">
      <c r="B2974" t="s">
        <v>2483</v>
      </c>
      <c r="C2974" s="22" t="s">
        <v>22</v>
      </c>
      <c r="D2974">
        <v>1</v>
      </c>
      <c r="E2974">
        <v>1</v>
      </c>
      <c r="G2974" s="25">
        <f>Table132[[#This Row],[nb win]]/Table132[[#This Row],[nb play]]</f>
        <v>1</v>
      </c>
      <c r="H2974" t="str">
        <f>MID(Table132[[#This Row],[ÉTAT]],VALUE(RIGHT(Table132[[#This Row],[next move]],1))+1+VALUE(LEFT(Table132[[#This Row],[next move]],1))*3,1)</f>
        <v>V</v>
      </c>
      <c r="I2974" t="str">
        <f>Table132[[#This Row],[ÉTAT]]&amp;Table132[[#This Row],[next move]]</f>
        <v>VEMEMEVVM21</v>
      </c>
    </row>
    <row r="2975" spans="2:9" x14ac:dyDescent="0.25">
      <c r="B2975" t="s">
        <v>2956</v>
      </c>
      <c r="C2975" s="22" t="s">
        <v>35</v>
      </c>
      <c r="D2975">
        <v>3</v>
      </c>
      <c r="E2975">
        <v>3</v>
      </c>
      <c r="G2975" s="31">
        <f>Table132[[#This Row],[nb win]]/Table132[[#This Row],[nb play]]</f>
        <v>1</v>
      </c>
      <c r="H2975" t="str">
        <f>MID(Table132[[#This Row],[ÉTAT]],VALUE(RIGHT(Table132[[#This Row],[next move]],1))+1+VALUE(LEFT(Table132[[#This Row],[next move]],1))*3,1)</f>
        <v>V</v>
      </c>
      <c r="I2975" t="str">
        <f>Table132[[#This Row],[ÉTAT]]&amp;Table132[[#This Row],[next move]]</f>
        <v>VEMEMEVME20</v>
      </c>
    </row>
    <row r="2976" spans="2:9" x14ac:dyDescent="0.25">
      <c r="B2976" t="s">
        <v>2597</v>
      </c>
      <c r="C2976" s="22" t="s">
        <v>24</v>
      </c>
      <c r="D2976">
        <v>1</v>
      </c>
      <c r="E2976">
        <v>1</v>
      </c>
      <c r="G2976" s="25">
        <f>Table132[[#This Row],[nb win]]/Table132[[#This Row],[nb play]]</f>
        <v>1</v>
      </c>
      <c r="H2976" t="str">
        <f>MID(Table132[[#This Row],[ÉTAT]],VALUE(RIGHT(Table132[[#This Row],[next move]],1))+1+VALUE(LEFT(Table132[[#This Row],[next move]],1))*3,1)</f>
        <v>V</v>
      </c>
      <c r="I2976" t="str">
        <f>Table132[[#This Row],[ÉTAT]]&amp;Table132[[#This Row],[next move]]</f>
        <v>VEMEMEVEM00</v>
      </c>
    </row>
    <row r="2977" spans="2:9" x14ac:dyDescent="0.25">
      <c r="B2977" t="s">
        <v>3013</v>
      </c>
      <c r="C2977" s="22" t="s">
        <v>24</v>
      </c>
      <c r="D2977">
        <v>1</v>
      </c>
      <c r="E2977">
        <v>1</v>
      </c>
      <c r="G2977" s="25">
        <f>Table132[[#This Row],[nb win]]/Table132[[#This Row],[nb play]]</f>
        <v>1</v>
      </c>
      <c r="H2977" t="str">
        <f>MID(Table132[[#This Row],[ÉTAT]],VALUE(RIGHT(Table132[[#This Row],[next move]],1))+1+VALUE(LEFT(Table132[[#This Row],[next move]],1))*3,1)</f>
        <v>V</v>
      </c>
      <c r="I2977" t="str">
        <f>Table132[[#This Row],[ÉTAT]]&amp;Table132[[#This Row],[next move]]</f>
        <v>VEMEMEEVM00</v>
      </c>
    </row>
    <row r="2978" spans="2:9" x14ac:dyDescent="0.25">
      <c r="B2978" t="s">
        <v>3234</v>
      </c>
      <c r="C2978" s="22" t="s">
        <v>31</v>
      </c>
      <c r="D2978">
        <v>1</v>
      </c>
      <c r="G2978" s="30">
        <f>Table132[[#This Row],[nb win]]/Table132[[#This Row],[nb play]]</f>
        <v>0</v>
      </c>
      <c r="H2978" t="str">
        <f>MID(Table132[[#This Row],[ÉTAT]],VALUE(RIGHT(Table132[[#This Row],[next move]],1))+1+VALUE(LEFT(Table132[[#This Row],[next move]],1))*3,1)</f>
        <v>V</v>
      </c>
      <c r="I2978" t="str">
        <f>Table132[[#This Row],[ÉTAT]]&amp;Table132[[#This Row],[next move]]</f>
        <v>VEMEMEEMV22</v>
      </c>
    </row>
    <row r="2979" spans="2:9" x14ac:dyDescent="0.25">
      <c r="B2979" t="s">
        <v>175</v>
      </c>
      <c r="C2979" s="22" t="s">
        <v>24</v>
      </c>
      <c r="D2979">
        <v>4</v>
      </c>
      <c r="E2979">
        <v>4</v>
      </c>
      <c r="G2979" s="25">
        <f>Table132[[#This Row],[nb win]]/Table132[[#This Row],[nb play]]</f>
        <v>1</v>
      </c>
      <c r="H2979" t="str">
        <f>MID(Table132[[#This Row],[ÉTAT]],VALUE(RIGHT(Table132[[#This Row],[next move]],1))+1+VALUE(LEFT(Table132[[#This Row],[next move]],1))*3,1)</f>
        <v>V</v>
      </c>
      <c r="I2979" t="str">
        <f>Table132[[#This Row],[ÉTAT]]&amp;Table132[[#This Row],[next move]]</f>
        <v>VEMEMEEMM00</v>
      </c>
    </row>
    <row r="2980" spans="2:9" x14ac:dyDescent="0.25">
      <c r="B2980" t="s">
        <v>1165</v>
      </c>
      <c r="C2980" s="22" t="s">
        <v>24</v>
      </c>
      <c r="D2980">
        <v>2</v>
      </c>
      <c r="G2980" s="30">
        <f>Table132[[#This Row],[nb win]]/Table132[[#This Row],[nb play]]</f>
        <v>0</v>
      </c>
      <c r="H2980" t="str">
        <f>MID(Table132[[#This Row],[ÉTAT]],VALUE(RIGHT(Table132[[#This Row],[next move]],1))+1+VALUE(LEFT(Table132[[#This Row],[next move]],1))*3,1)</f>
        <v>V</v>
      </c>
      <c r="I2980" t="str">
        <f>Table132[[#This Row],[ÉTAT]]&amp;Table132[[#This Row],[next move]]</f>
        <v>VEMEEVVVM00</v>
      </c>
    </row>
    <row r="2981" spans="2:9" x14ac:dyDescent="0.25">
      <c r="B2981" t="s">
        <v>1165</v>
      </c>
      <c r="C2981" s="22" t="s">
        <v>28</v>
      </c>
      <c r="D2981">
        <v>1</v>
      </c>
      <c r="E2981">
        <v>1</v>
      </c>
      <c r="G2981" s="25">
        <f>Table132[[#This Row],[nb win]]/Table132[[#This Row],[nb play]]</f>
        <v>1</v>
      </c>
      <c r="H2981" t="str">
        <f>MID(Table132[[#This Row],[ÉTAT]],VALUE(RIGHT(Table132[[#This Row],[next move]],1))+1+VALUE(LEFT(Table132[[#This Row],[next move]],1))*3,1)</f>
        <v>V</v>
      </c>
      <c r="I2981" t="str">
        <f>Table132[[#This Row],[ÉTAT]]&amp;Table132[[#This Row],[next move]]</f>
        <v>VEMEEVVVM12</v>
      </c>
    </row>
    <row r="2982" spans="2:9" x14ac:dyDescent="0.25">
      <c r="B2982" t="s">
        <v>1165</v>
      </c>
      <c r="C2982" s="22" t="s">
        <v>35</v>
      </c>
      <c r="D2982">
        <v>2</v>
      </c>
      <c r="G2982" s="30">
        <f>Table132[[#This Row],[nb win]]/Table132[[#This Row],[nb play]]</f>
        <v>0</v>
      </c>
      <c r="H2982" t="str">
        <f>MID(Table132[[#This Row],[ÉTAT]],VALUE(RIGHT(Table132[[#This Row],[next move]],1))+1+VALUE(LEFT(Table132[[#This Row],[next move]],1))*3,1)</f>
        <v>V</v>
      </c>
      <c r="I2982" t="str">
        <f>Table132[[#This Row],[ÉTAT]]&amp;Table132[[#This Row],[next move]]</f>
        <v>VEMEEVVVM20</v>
      </c>
    </row>
    <row r="2983" spans="2:9" x14ac:dyDescent="0.25">
      <c r="B2983" t="s">
        <v>1165</v>
      </c>
      <c r="C2983" s="22" t="s">
        <v>22</v>
      </c>
      <c r="D2983">
        <v>1</v>
      </c>
      <c r="G2983" s="25">
        <f>Table132[[#This Row],[nb win]]/Table132[[#This Row],[nb play]]</f>
        <v>0</v>
      </c>
      <c r="H2983" t="str">
        <f>MID(Table132[[#This Row],[ÉTAT]],VALUE(RIGHT(Table132[[#This Row],[next move]],1))+1+VALUE(LEFT(Table132[[#This Row],[next move]],1))*3,1)</f>
        <v>V</v>
      </c>
      <c r="I2983" t="str">
        <f>Table132[[#This Row],[ÉTAT]]&amp;Table132[[#This Row],[next move]]</f>
        <v>VEMEEVVVM21</v>
      </c>
    </row>
    <row r="2984" spans="2:9" x14ac:dyDescent="0.25">
      <c r="B2984" t="s">
        <v>1080</v>
      </c>
      <c r="C2984" s="22" t="s">
        <v>28</v>
      </c>
      <c r="D2984">
        <v>2</v>
      </c>
      <c r="E2984">
        <v>1</v>
      </c>
      <c r="G2984" s="31">
        <f>Table132[[#This Row],[nb win]]/Table132[[#This Row],[nb play]]</f>
        <v>0.5</v>
      </c>
      <c r="H2984" t="str">
        <f>MID(Table132[[#This Row],[ÉTAT]],VALUE(RIGHT(Table132[[#This Row],[next move]],1))+1+VALUE(LEFT(Table132[[#This Row],[next move]],1))*3,1)</f>
        <v>V</v>
      </c>
      <c r="I2984" t="str">
        <f>Table132[[#This Row],[ÉTAT]]&amp;Table132[[#This Row],[next move]]</f>
        <v>VEMEEVVMV12</v>
      </c>
    </row>
    <row r="2985" spans="2:9" x14ac:dyDescent="0.25">
      <c r="B2985" t="s">
        <v>1080</v>
      </c>
      <c r="C2985" s="22" t="s">
        <v>35</v>
      </c>
      <c r="D2985">
        <v>1</v>
      </c>
      <c r="E2985">
        <v>1</v>
      </c>
      <c r="G2985" s="25">
        <f>Table132[[#This Row],[nb win]]/Table132[[#This Row],[nb play]]</f>
        <v>1</v>
      </c>
      <c r="H2985" t="str">
        <f>MID(Table132[[#This Row],[ÉTAT]],VALUE(RIGHT(Table132[[#This Row],[next move]],1))+1+VALUE(LEFT(Table132[[#This Row],[next move]],1))*3,1)</f>
        <v>V</v>
      </c>
      <c r="I2985" t="str">
        <f>Table132[[#This Row],[ÉTAT]]&amp;Table132[[#This Row],[next move]]</f>
        <v>VEMEEVVMV20</v>
      </c>
    </row>
    <row r="2986" spans="2:9" x14ac:dyDescent="0.25">
      <c r="B2986" t="s">
        <v>1628</v>
      </c>
      <c r="C2986" s="22" t="s">
        <v>24</v>
      </c>
      <c r="D2986">
        <v>2</v>
      </c>
      <c r="E2986">
        <v>1</v>
      </c>
      <c r="G2986" s="30">
        <f>Table132[[#This Row],[nb win]]/Table132[[#This Row],[nb play]]</f>
        <v>0.5</v>
      </c>
      <c r="H2986" t="str">
        <f>MID(Table132[[#This Row],[ÉTAT]],VALUE(RIGHT(Table132[[#This Row],[next move]],1))+1+VALUE(LEFT(Table132[[#This Row],[next move]],1))*3,1)</f>
        <v>V</v>
      </c>
      <c r="I2986" t="str">
        <f>Table132[[#This Row],[ÉTAT]]&amp;Table132[[#This Row],[next move]]</f>
        <v>VEMEEVVMM00</v>
      </c>
    </row>
    <row r="2987" spans="2:9" x14ac:dyDescent="0.25">
      <c r="B2987" t="s">
        <v>2467</v>
      </c>
      <c r="C2987" s="22" t="s">
        <v>24</v>
      </c>
      <c r="D2987">
        <v>1</v>
      </c>
      <c r="G2987" s="30">
        <f>Table132[[#This Row],[nb win]]/Table132[[#This Row],[nb play]]</f>
        <v>0</v>
      </c>
      <c r="H2987" t="str">
        <f>MID(Table132[[#This Row],[ÉTAT]],VALUE(RIGHT(Table132[[#This Row],[next move]],1))+1+VALUE(LEFT(Table132[[#This Row],[next move]],1))*3,1)</f>
        <v>V</v>
      </c>
      <c r="I2987" t="str">
        <f>Table132[[#This Row],[ÉTAT]]&amp;Table132[[#This Row],[next move]]</f>
        <v>VEMEEVMVV00</v>
      </c>
    </row>
    <row r="2988" spans="2:9" x14ac:dyDescent="0.25">
      <c r="B2988" t="s">
        <v>2467</v>
      </c>
      <c r="C2988" s="22" t="s">
        <v>28</v>
      </c>
      <c r="D2988">
        <v>2</v>
      </c>
      <c r="G2988" s="30">
        <f>Table132[[#This Row],[nb win]]/Table132[[#This Row],[nb play]]</f>
        <v>0</v>
      </c>
      <c r="H2988" t="str">
        <f>MID(Table132[[#This Row],[ÉTAT]],VALUE(RIGHT(Table132[[#This Row],[next move]],1))+1+VALUE(LEFT(Table132[[#This Row],[next move]],1))*3,1)</f>
        <v>V</v>
      </c>
      <c r="I2988" t="str">
        <f>Table132[[#This Row],[ÉTAT]]&amp;Table132[[#This Row],[next move]]</f>
        <v>VEMEEVMVV12</v>
      </c>
    </row>
    <row r="2989" spans="2:9" x14ac:dyDescent="0.25">
      <c r="B2989" t="s">
        <v>2467</v>
      </c>
      <c r="C2989" s="22" t="s">
        <v>22</v>
      </c>
      <c r="D2989">
        <v>2</v>
      </c>
      <c r="G2989" s="30">
        <f>Table132[[#This Row],[nb win]]/Table132[[#This Row],[nb play]]</f>
        <v>0</v>
      </c>
      <c r="H2989" t="str">
        <f>MID(Table132[[#This Row],[ÉTAT]],VALUE(RIGHT(Table132[[#This Row],[next move]],1))+1+VALUE(LEFT(Table132[[#This Row],[next move]],1))*3,1)</f>
        <v>V</v>
      </c>
      <c r="I2989" t="str">
        <f>Table132[[#This Row],[ÉTAT]]&amp;Table132[[#This Row],[next move]]</f>
        <v>VEMEEVMVV21</v>
      </c>
    </row>
    <row r="2990" spans="2:9" x14ac:dyDescent="0.25">
      <c r="B2990" t="s">
        <v>2036</v>
      </c>
      <c r="C2990" s="22" t="s">
        <v>24</v>
      </c>
      <c r="D2990">
        <v>1</v>
      </c>
      <c r="G2990" s="25">
        <f>Table132[[#This Row],[nb win]]/Table132[[#This Row],[nb play]]</f>
        <v>0</v>
      </c>
      <c r="H2990" t="str">
        <f>MID(Table132[[#This Row],[ÉTAT]],VALUE(RIGHT(Table132[[#This Row],[next move]],1))+1+VALUE(LEFT(Table132[[#This Row],[next move]],1))*3,1)</f>
        <v>V</v>
      </c>
      <c r="I2990" t="str">
        <f>Table132[[#This Row],[ÉTAT]]&amp;Table132[[#This Row],[next move]]</f>
        <v>VEMEEVMVM00</v>
      </c>
    </row>
    <row r="2991" spans="2:9" x14ac:dyDescent="0.25">
      <c r="B2991" t="s">
        <v>556</v>
      </c>
      <c r="C2991" s="22" t="s">
        <v>28</v>
      </c>
      <c r="D2991">
        <v>4</v>
      </c>
      <c r="E2991">
        <v>4</v>
      </c>
      <c r="G2991" s="31">
        <f>Table132[[#This Row],[nb win]]/Table132[[#This Row],[nb play]]</f>
        <v>1</v>
      </c>
      <c r="H2991" t="str">
        <f>MID(Table132[[#This Row],[ÉTAT]],VALUE(RIGHT(Table132[[#This Row],[next move]],1))+1+VALUE(LEFT(Table132[[#This Row],[next move]],1))*3,1)</f>
        <v>V</v>
      </c>
      <c r="I2991" t="str">
        <f>Table132[[#This Row],[ÉTAT]]&amp;Table132[[#This Row],[next move]]</f>
        <v>VEMEEVEMM12</v>
      </c>
    </row>
    <row r="2992" spans="2:9" x14ac:dyDescent="0.25">
      <c r="B2992" t="s">
        <v>2041</v>
      </c>
      <c r="C2992" s="22" t="s">
        <v>31</v>
      </c>
      <c r="D2992">
        <v>1</v>
      </c>
      <c r="E2992">
        <v>1</v>
      </c>
      <c r="G2992" s="25">
        <f>Table132[[#This Row],[nb win]]/Table132[[#This Row],[nb play]]</f>
        <v>1</v>
      </c>
      <c r="H2992" t="str">
        <f>MID(Table132[[#This Row],[ÉTAT]],VALUE(RIGHT(Table132[[#This Row],[next move]],1))+1+VALUE(LEFT(Table132[[#This Row],[next move]],1))*3,1)</f>
        <v>V</v>
      </c>
      <c r="I2992" t="str">
        <f>Table132[[#This Row],[ÉTAT]]&amp;Table132[[#This Row],[next move]]</f>
        <v>VEMEEMVMV22</v>
      </c>
    </row>
    <row r="2993" spans="2:9" x14ac:dyDescent="0.25">
      <c r="B2993" t="s">
        <v>2096</v>
      </c>
      <c r="C2993" s="22" t="s">
        <v>35</v>
      </c>
      <c r="D2993">
        <v>1</v>
      </c>
      <c r="G2993" s="25">
        <f>Table132[[#This Row],[nb win]]/Table132[[#This Row],[nb play]]</f>
        <v>0</v>
      </c>
      <c r="H2993" t="str">
        <f>MID(Table132[[#This Row],[ÉTAT]],VALUE(RIGHT(Table132[[#This Row],[next move]],1))+1+VALUE(LEFT(Table132[[#This Row],[next move]],1))*3,1)</f>
        <v>V</v>
      </c>
      <c r="I2993" t="str">
        <f>Table132[[#This Row],[ÉTAT]]&amp;Table132[[#This Row],[next move]]</f>
        <v>VEMEEMVME20</v>
      </c>
    </row>
    <row r="2994" spans="2:9" x14ac:dyDescent="0.25">
      <c r="B2994" t="s">
        <v>631</v>
      </c>
      <c r="C2994" s="22" t="s">
        <v>31</v>
      </c>
      <c r="D2994">
        <v>5</v>
      </c>
      <c r="E2994">
        <v>5</v>
      </c>
      <c r="G2994" s="31">
        <f>Table132[[#This Row],[nb win]]/Table132[[#This Row],[nb play]]</f>
        <v>1</v>
      </c>
      <c r="H2994" t="str">
        <f>MID(Table132[[#This Row],[ÉTAT]],VALUE(RIGHT(Table132[[#This Row],[next move]],1))+1+VALUE(LEFT(Table132[[#This Row],[next move]],1))*3,1)</f>
        <v>V</v>
      </c>
      <c r="I2994" t="str">
        <f>Table132[[#This Row],[ÉTAT]]&amp;Table132[[#This Row],[next move]]</f>
        <v>VEMEEMMVV22</v>
      </c>
    </row>
    <row r="2995" spans="2:9" x14ac:dyDescent="0.25">
      <c r="B2995" t="s">
        <v>2686</v>
      </c>
      <c r="C2995" s="22" t="s">
        <v>24</v>
      </c>
      <c r="D2995">
        <v>2</v>
      </c>
      <c r="G2995" s="30">
        <f>Table132[[#This Row],[nb win]]/Table132[[#This Row],[nb play]]</f>
        <v>0</v>
      </c>
      <c r="H2995" t="str">
        <f>MID(Table132[[#This Row],[ÉTAT]],VALUE(RIGHT(Table132[[#This Row],[next move]],1))+1+VALUE(LEFT(Table132[[#This Row],[next move]],1))*3,1)</f>
        <v>V</v>
      </c>
      <c r="I2995" t="str">
        <f>Table132[[#This Row],[ÉTAT]]&amp;Table132[[#This Row],[next move]]</f>
        <v>VEMEEMMVE00</v>
      </c>
    </row>
    <row r="2996" spans="2:9" x14ac:dyDescent="0.25">
      <c r="B2996" t="s">
        <v>2686</v>
      </c>
      <c r="C2996" s="22" t="s">
        <v>22</v>
      </c>
      <c r="D2996">
        <v>2</v>
      </c>
      <c r="G2996" s="30">
        <f>Table132[[#This Row],[nb win]]/Table132[[#This Row],[nb play]]</f>
        <v>0</v>
      </c>
      <c r="H2996" t="str">
        <f>MID(Table132[[#This Row],[ÉTAT]],VALUE(RIGHT(Table132[[#This Row],[next move]],1))+1+VALUE(LEFT(Table132[[#This Row],[next move]],1))*3,1)</f>
        <v>V</v>
      </c>
      <c r="I2996" t="str">
        <f>Table132[[#This Row],[ÉTAT]]&amp;Table132[[#This Row],[next move]]</f>
        <v>VEMEEMMVE21</v>
      </c>
    </row>
    <row r="2997" spans="2:9" x14ac:dyDescent="0.25">
      <c r="B2997" t="s">
        <v>2459</v>
      </c>
      <c r="C2997" s="22" t="s">
        <v>31</v>
      </c>
      <c r="D2997">
        <v>1</v>
      </c>
      <c r="E2997">
        <v>1</v>
      </c>
      <c r="G2997" s="25">
        <f>Table132[[#This Row],[nb win]]/Table132[[#This Row],[nb play]]</f>
        <v>1</v>
      </c>
      <c r="H2997" t="str">
        <f>MID(Table132[[#This Row],[ÉTAT]],VALUE(RIGHT(Table132[[#This Row],[next move]],1))+1+VALUE(LEFT(Table132[[#This Row],[next move]],1))*3,1)</f>
        <v>V</v>
      </c>
      <c r="I2997" t="str">
        <f>Table132[[#This Row],[ÉTAT]]&amp;Table132[[#This Row],[next move]]</f>
        <v>VEMEEMEMV22</v>
      </c>
    </row>
    <row r="2998" spans="2:9" x14ac:dyDescent="0.25">
      <c r="B2998" t="s">
        <v>1742</v>
      </c>
      <c r="C2998" s="22" t="s">
        <v>24</v>
      </c>
      <c r="D2998">
        <v>3</v>
      </c>
      <c r="E2998">
        <v>3</v>
      </c>
      <c r="G2998" s="31">
        <f>Table132[[#This Row],[nb win]]/Table132[[#This Row],[nb play]]</f>
        <v>1</v>
      </c>
      <c r="H2998" t="str">
        <f>MID(Table132[[#This Row],[ÉTAT]],VALUE(RIGHT(Table132[[#This Row],[next move]],1))+1+VALUE(LEFT(Table132[[#This Row],[next move]],1))*3,1)</f>
        <v>V</v>
      </c>
      <c r="I2998" t="str">
        <f>Table132[[#This Row],[ÉTAT]]&amp;Table132[[#This Row],[next move]]</f>
        <v>VEEVVVVVM00</v>
      </c>
    </row>
    <row r="2999" spans="2:9" x14ac:dyDescent="0.25">
      <c r="B2999" t="s">
        <v>1742</v>
      </c>
      <c r="C2999" s="22" t="s">
        <v>29</v>
      </c>
      <c r="D2999">
        <v>5</v>
      </c>
      <c r="E2999">
        <v>2</v>
      </c>
      <c r="G2999" s="31">
        <f>Table132[[#This Row],[nb win]]/Table132[[#This Row],[nb play]]</f>
        <v>0.4</v>
      </c>
      <c r="H2999" t="str">
        <f>MID(Table132[[#This Row],[ÉTAT]],VALUE(RIGHT(Table132[[#This Row],[next move]],1))+1+VALUE(LEFT(Table132[[#This Row],[next move]],1))*3,1)</f>
        <v>V</v>
      </c>
      <c r="I2999" t="str">
        <f>Table132[[#This Row],[ÉTAT]]&amp;Table132[[#This Row],[next move]]</f>
        <v>VEEVVVVVM11</v>
      </c>
    </row>
    <row r="3000" spans="2:9" x14ac:dyDescent="0.25">
      <c r="B3000" t="s">
        <v>1742</v>
      </c>
      <c r="C3000" s="22" t="s">
        <v>22</v>
      </c>
      <c r="D3000">
        <v>8</v>
      </c>
      <c r="E3000">
        <v>3</v>
      </c>
      <c r="G3000" s="31">
        <f>Table132[[#This Row],[nb win]]/Table132[[#This Row],[nb play]]</f>
        <v>0.375</v>
      </c>
      <c r="H3000" t="str">
        <f>MID(Table132[[#This Row],[ÉTAT]],VALUE(RIGHT(Table132[[#This Row],[next move]],1))+1+VALUE(LEFT(Table132[[#This Row],[next move]],1))*3,1)</f>
        <v>V</v>
      </c>
      <c r="I3000" t="str">
        <f>Table132[[#This Row],[ÉTAT]]&amp;Table132[[#This Row],[next move]]</f>
        <v>VEEVVVVVM21</v>
      </c>
    </row>
    <row r="3001" spans="2:9" x14ac:dyDescent="0.25">
      <c r="B3001" t="s">
        <v>2528</v>
      </c>
      <c r="C3001" s="22" t="s">
        <v>24</v>
      </c>
      <c r="D3001">
        <v>2</v>
      </c>
      <c r="E3001">
        <v>1</v>
      </c>
      <c r="G3001" s="30">
        <f>Table132[[#This Row],[nb win]]/Table132[[#This Row],[nb play]]</f>
        <v>0.5</v>
      </c>
      <c r="H3001" t="str">
        <f>MID(Table132[[#This Row],[ÉTAT]],VALUE(RIGHT(Table132[[#This Row],[next move]],1))+1+VALUE(LEFT(Table132[[#This Row],[next move]],1))*3,1)</f>
        <v>V</v>
      </c>
      <c r="I3001" t="str">
        <f>Table132[[#This Row],[ÉTAT]]&amp;Table132[[#This Row],[next move]]</f>
        <v>VEEVVVVMV00</v>
      </c>
    </row>
    <row r="3002" spans="2:9" x14ac:dyDescent="0.25">
      <c r="B3002" t="s">
        <v>2528</v>
      </c>
      <c r="C3002" s="22" t="s">
        <v>30</v>
      </c>
      <c r="D3002">
        <v>3</v>
      </c>
      <c r="E3002">
        <v>1</v>
      </c>
      <c r="G3002" s="30">
        <f>Table132[[#This Row],[nb win]]/Table132[[#This Row],[nb play]]</f>
        <v>0.33333333333333331</v>
      </c>
      <c r="H3002" t="str">
        <f>MID(Table132[[#This Row],[ÉTAT]],VALUE(RIGHT(Table132[[#This Row],[next move]],1))+1+VALUE(LEFT(Table132[[#This Row],[next move]],1))*3,1)</f>
        <v>V</v>
      </c>
      <c r="I3002" t="str">
        <f>Table132[[#This Row],[ÉTAT]]&amp;Table132[[#This Row],[next move]]</f>
        <v>VEEVVVVMV10</v>
      </c>
    </row>
    <row r="3003" spans="2:9" x14ac:dyDescent="0.25">
      <c r="B3003" t="s">
        <v>2528</v>
      </c>
      <c r="C3003" s="22" t="s">
        <v>29</v>
      </c>
      <c r="D3003">
        <v>1</v>
      </c>
      <c r="G3003" s="30">
        <f>Table132[[#This Row],[nb win]]/Table132[[#This Row],[nb play]]</f>
        <v>0</v>
      </c>
      <c r="H3003" t="str">
        <f>MID(Table132[[#This Row],[ÉTAT]],VALUE(RIGHT(Table132[[#This Row],[next move]],1))+1+VALUE(LEFT(Table132[[#This Row],[next move]],1))*3,1)</f>
        <v>V</v>
      </c>
      <c r="I3003" t="str">
        <f>Table132[[#This Row],[ÉTAT]]&amp;Table132[[#This Row],[next move]]</f>
        <v>VEEVVVVMV11</v>
      </c>
    </row>
    <row r="3004" spans="2:9" x14ac:dyDescent="0.25">
      <c r="B3004" t="s">
        <v>2528</v>
      </c>
      <c r="C3004" s="22" t="s">
        <v>28</v>
      </c>
      <c r="D3004">
        <v>4</v>
      </c>
      <c r="G3004" s="30">
        <f>Table132[[#This Row],[nb win]]/Table132[[#This Row],[nb play]]</f>
        <v>0</v>
      </c>
      <c r="H3004" t="str">
        <f>MID(Table132[[#This Row],[ÉTAT]],VALUE(RIGHT(Table132[[#This Row],[next move]],1))+1+VALUE(LEFT(Table132[[#This Row],[next move]],1))*3,1)</f>
        <v>V</v>
      </c>
      <c r="I3004" t="str">
        <f>Table132[[#This Row],[ÉTAT]]&amp;Table132[[#This Row],[next move]]</f>
        <v>VEEVVVVMV12</v>
      </c>
    </row>
    <row r="3005" spans="2:9" x14ac:dyDescent="0.25">
      <c r="B3005" t="s">
        <v>2528</v>
      </c>
      <c r="C3005" s="22" t="s">
        <v>35</v>
      </c>
      <c r="D3005">
        <v>6</v>
      </c>
      <c r="G3005" s="30">
        <f>Table132[[#This Row],[nb win]]/Table132[[#This Row],[nb play]]</f>
        <v>0</v>
      </c>
      <c r="H3005" t="str">
        <f>MID(Table132[[#This Row],[ÉTAT]],VALUE(RIGHT(Table132[[#This Row],[next move]],1))+1+VALUE(LEFT(Table132[[#This Row],[next move]],1))*3,1)</f>
        <v>V</v>
      </c>
      <c r="I3005" t="str">
        <f>Table132[[#This Row],[ÉTAT]]&amp;Table132[[#This Row],[next move]]</f>
        <v>VEEVVVVMV20</v>
      </c>
    </row>
    <row r="3006" spans="2:9" x14ac:dyDescent="0.25">
      <c r="B3006" t="s">
        <v>2528</v>
      </c>
      <c r="C3006" s="22" t="s">
        <v>31</v>
      </c>
      <c r="D3006">
        <v>4</v>
      </c>
      <c r="E3006">
        <v>2</v>
      </c>
      <c r="G3006" s="30">
        <f>Table132[[#This Row],[nb win]]/Table132[[#This Row],[nb play]]</f>
        <v>0.5</v>
      </c>
      <c r="H3006" t="str">
        <f>MID(Table132[[#This Row],[ÉTAT]],VALUE(RIGHT(Table132[[#This Row],[next move]],1))+1+VALUE(LEFT(Table132[[#This Row],[next move]],1))*3,1)</f>
        <v>V</v>
      </c>
      <c r="I3006" t="str">
        <f>Table132[[#This Row],[ÉTAT]]&amp;Table132[[#This Row],[next move]]</f>
        <v>VEEVVVVMV22</v>
      </c>
    </row>
    <row r="3007" spans="2:9" x14ac:dyDescent="0.25">
      <c r="B3007" t="s">
        <v>2015</v>
      </c>
      <c r="C3007" s="22" t="s">
        <v>35</v>
      </c>
      <c r="D3007">
        <v>4</v>
      </c>
      <c r="E3007">
        <v>4</v>
      </c>
      <c r="G3007" s="31">
        <f>Table132[[#This Row],[nb win]]/Table132[[#This Row],[nb play]]</f>
        <v>1</v>
      </c>
      <c r="H3007" t="str">
        <f>MID(Table132[[#This Row],[ÉTAT]],VALUE(RIGHT(Table132[[#This Row],[next move]],1))+1+VALUE(LEFT(Table132[[#This Row],[next move]],1))*3,1)</f>
        <v>V</v>
      </c>
      <c r="I3007" t="str">
        <f>Table132[[#This Row],[ÉTAT]]&amp;Table132[[#This Row],[next move]]</f>
        <v>VEEVVVVMM20</v>
      </c>
    </row>
    <row r="3008" spans="2:9" x14ac:dyDescent="0.25">
      <c r="B3008" t="s">
        <v>1996</v>
      </c>
      <c r="C3008" s="22" t="s">
        <v>30</v>
      </c>
      <c r="D3008">
        <v>3</v>
      </c>
      <c r="E3008">
        <v>2</v>
      </c>
      <c r="G3008" s="30">
        <f>Table132[[#This Row],[nb win]]/Table132[[#This Row],[nb play]]</f>
        <v>0.66666666666666663</v>
      </c>
      <c r="H3008" t="str">
        <f>MID(Table132[[#This Row],[ÉTAT]],VALUE(RIGHT(Table132[[#This Row],[next move]],1))+1+VALUE(LEFT(Table132[[#This Row],[next move]],1))*3,1)</f>
        <v>V</v>
      </c>
      <c r="I3008" t="str">
        <f>Table132[[#This Row],[ÉTAT]]&amp;Table132[[#This Row],[next move]]</f>
        <v>VEEVVVMVV10</v>
      </c>
    </row>
    <row r="3009" spans="2:9" x14ac:dyDescent="0.25">
      <c r="B3009" t="s">
        <v>1996</v>
      </c>
      <c r="C3009" s="22" t="s">
        <v>22</v>
      </c>
      <c r="D3009">
        <v>1</v>
      </c>
      <c r="G3009" s="25">
        <f>Table132[[#This Row],[nb win]]/Table132[[#This Row],[nb play]]</f>
        <v>0</v>
      </c>
      <c r="H3009" t="str">
        <f>MID(Table132[[#This Row],[ÉTAT]],VALUE(RIGHT(Table132[[#This Row],[next move]],1))+1+VALUE(LEFT(Table132[[#This Row],[next move]],1))*3,1)</f>
        <v>V</v>
      </c>
      <c r="I3009" t="str">
        <f>Table132[[#This Row],[ÉTAT]]&amp;Table132[[#This Row],[next move]]</f>
        <v>VEEVVVMVV21</v>
      </c>
    </row>
    <row r="3010" spans="2:9" x14ac:dyDescent="0.25">
      <c r="B3010" t="s">
        <v>550</v>
      </c>
      <c r="C3010" s="22" t="s">
        <v>24</v>
      </c>
      <c r="D3010">
        <v>3</v>
      </c>
      <c r="E3010">
        <v>3</v>
      </c>
      <c r="G3010" s="31">
        <f>Table132[[#This Row],[nb win]]/Table132[[#This Row],[nb play]]</f>
        <v>1</v>
      </c>
      <c r="H3010" t="str">
        <f>MID(Table132[[#This Row],[ÉTAT]],VALUE(RIGHT(Table132[[#This Row],[next move]],1))+1+VALUE(LEFT(Table132[[#This Row],[next move]],1))*3,1)</f>
        <v>V</v>
      </c>
      <c r="I3010" t="str">
        <f>Table132[[#This Row],[ÉTAT]]&amp;Table132[[#This Row],[next move]]</f>
        <v>VEEVVVMVM00</v>
      </c>
    </row>
    <row r="3011" spans="2:9" x14ac:dyDescent="0.25">
      <c r="B3011" t="s">
        <v>550</v>
      </c>
      <c r="C3011" s="22" t="s">
        <v>29</v>
      </c>
      <c r="D3011">
        <v>8</v>
      </c>
      <c r="E3011">
        <v>7</v>
      </c>
      <c r="G3011" s="31">
        <f>Table132[[#This Row],[nb win]]/Table132[[#This Row],[nb play]]</f>
        <v>0.875</v>
      </c>
      <c r="H3011" t="str">
        <f>MID(Table132[[#This Row],[ÉTAT]],VALUE(RIGHT(Table132[[#This Row],[next move]],1))+1+VALUE(LEFT(Table132[[#This Row],[next move]],1))*3,1)</f>
        <v>V</v>
      </c>
      <c r="I3011" t="str">
        <f>Table132[[#This Row],[ÉTAT]]&amp;Table132[[#This Row],[next move]]</f>
        <v>VEEVVVMVM11</v>
      </c>
    </row>
    <row r="3012" spans="2:9" x14ac:dyDescent="0.25">
      <c r="B3012" t="s">
        <v>2294</v>
      </c>
      <c r="C3012" s="22" t="s">
        <v>30</v>
      </c>
      <c r="D3012">
        <v>2</v>
      </c>
      <c r="E3012">
        <v>2</v>
      </c>
      <c r="G3012" s="31">
        <f>Table132[[#This Row],[nb win]]/Table132[[#This Row],[nb play]]</f>
        <v>1</v>
      </c>
      <c r="H3012" t="str">
        <f>MID(Table132[[#This Row],[ÉTAT]],VALUE(RIGHT(Table132[[#This Row],[next move]],1))+1+VALUE(LEFT(Table132[[#This Row],[next move]],1))*3,1)</f>
        <v>V</v>
      </c>
      <c r="I3012" t="str">
        <f>Table132[[#This Row],[ÉTAT]]&amp;Table132[[#This Row],[next move]]</f>
        <v>VEEVVVMMV10</v>
      </c>
    </row>
    <row r="3013" spans="2:9" x14ac:dyDescent="0.25">
      <c r="B3013" t="s">
        <v>2294</v>
      </c>
      <c r="C3013" s="22" t="s">
        <v>28</v>
      </c>
      <c r="D3013">
        <v>2</v>
      </c>
      <c r="E3013">
        <v>1</v>
      </c>
      <c r="G3013" s="30">
        <f>Table132[[#This Row],[nb win]]/Table132[[#This Row],[nb play]]</f>
        <v>0.5</v>
      </c>
      <c r="H3013" t="str">
        <f>MID(Table132[[#This Row],[ÉTAT]],VALUE(RIGHT(Table132[[#This Row],[next move]],1))+1+VALUE(LEFT(Table132[[#This Row],[next move]],1))*3,1)</f>
        <v>V</v>
      </c>
      <c r="I3013" t="str">
        <f>Table132[[#This Row],[ÉTAT]]&amp;Table132[[#This Row],[next move]]</f>
        <v>VEEVVVMMV12</v>
      </c>
    </row>
    <row r="3014" spans="2:9" x14ac:dyDescent="0.25">
      <c r="B3014" t="s">
        <v>2446</v>
      </c>
      <c r="C3014" s="22" t="s">
        <v>24</v>
      </c>
      <c r="D3014">
        <v>1</v>
      </c>
      <c r="E3014">
        <v>1</v>
      </c>
      <c r="G3014" s="25">
        <f>Table132[[#This Row],[nb win]]/Table132[[#This Row],[nb play]]</f>
        <v>1</v>
      </c>
      <c r="H3014" t="str">
        <f>MID(Table132[[#This Row],[ÉTAT]],VALUE(RIGHT(Table132[[#This Row],[next move]],1))+1+VALUE(LEFT(Table132[[#This Row],[next move]],1))*3,1)</f>
        <v>V</v>
      </c>
      <c r="I3014" t="str">
        <f>Table132[[#This Row],[ÉTAT]]&amp;Table132[[#This Row],[next move]]</f>
        <v>VEEVVVMME00</v>
      </c>
    </row>
    <row r="3015" spans="2:9" x14ac:dyDescent="0.25">
      <c r="B3015" t="s">
        <v>601</v>
      </c>
      <c r="C3015" s="22" t="s">
        <v>24</v>
      </c>
      <c r="D3015">
        <v>1</v>
      </c>
      <c r="G3015" s="25">
        <f>Table132[[#This Row],[nb win]]/Table132[[#This Row],[nb play]]</f>
        <v>0</v>
      </c>
      <c r="H3015" t="str">
        <f>MID(Table132[[#This Row],[ÉTAT]],VALUE(RIGHT(Table132[[#This Row],[next move]],1))+1+VALUE(LEFT(Table132[[#This Row],[next move]],1))*3,1)</f>
        <v>V</v>
      </c>
      <c r="I3015" t="str">
        <f>Table132[[#This Row],[ÉTAT]]&amp;Table132[[#This Row],[next move]]</f>
        <v>VEEVVVMEM00</v>
      </c>
    </row>
    <row r="3016" spans="2:9" x14ac:dyDescent="0.25">
      <c r="B3016" t="s">
        <v>601</v>
      </c>
      <c r="C3016" s="22" t="s">
        <v>30</v>
      </c>
      <c r="D3016">
        <v>1</v>
      </c>
      <c r="G3016" s="25">
        <f>Table132[[#This Row],[nb win]]/Table132[[#This Row],[nb play]]</f>
        <v>0</v>
      </c>
      <c r="H3016" t="str">
        <f>MID(Table132[[#This Row],[ÉTAT]],VALUE(RIGHT(Table132[[#This Row],[next move]],1))+1+VALUE(LEFT(Table132[[#This Row],[next move]],1))*3,1)</f>
        <v>V</v>
      </c>
      <c r="I3016" t="str">
        <f>Table132[[#This Row],[ÉTAT]]&amp;Table132[[#This Row],[next move]]</f>
        <v>VEEVVVMEM10</v>
      </c>
    </row>
    <row r="3017" spans="2:9" x14ac:dyDescent="0.25">
      <c r="B3017" t="s">
        <v>601</v>
      </c>
      <c r="C3017" s="22" t="s">
        <v>29</v>
      </c>
      <c r="D3017">
        <v>1</v>
      </c>
      <c r="E3017">
        <v>1</v>
      </c>
      <c r="G3017" s="31">
        <f>Table132[[#This Row],[nb win]]/Table132[[#This Row],[nb play]]</f>
        <v>1</v>
      </c>
      <c r="H3017" t="str">
        <f>MID(Table132[[#This Row],[ÉTAT]],VALUE(RIGHT(Table132[[#This Row],[next move]],1))+1+VALUE(LEFT(Table132[[#This Row],[next move]],1))*3,1)</f>
        <v>V</v>
      </c>
      <c r="I3017" t="str">
        <f>Table132[[#This Row],[ÉTAT]]&amp;Table132[[#This Row],[next move]]</f>
        <v>VEEVVVMEM11</v>
      </c>
    </row>
    <row r="3018" spans="2:9" x14ac:dyDescent="0.25">
      <c r="B3018" t="s">
        <v>604</v>
      </c>
      <c r="C3018" s="22" t="s">
        <v>24</v>
      </c>
      <c r="D3018">
        <v>2</v>
      </c>
      <c r="G3018" s="30">
        <f>Table132[[#This Row],[nb win]]/Table132[[#This Row],[nb play]]</f>
        <v>0</v>
      </c>
      <c r="H3018" t="str">
        <f>MID(Table132[[#This Row],[ÉTAT]],VALUE(RIGHT(Table132[[#This Row],[next move]],1))+1+VALUE(LEFT(Table132[[#This Row],[next move]],1))*3,1)</f>
        <v>V</v>
      </c>
      <c r="I3018" t="str">
        <f>Table132[[#This Row],[ÉTAT]]&amp;Table132[[#This Row],[next move]]</f>
        <v>VEEVVVEMM00</v>
      </c>
    </row>
    <row r="3019" spans="2:9" x14ac:dyDescent="0.25">
      <c r="B3019" t="s">
        <v>604</v>
      </c>
      <c r="C3019" s="22" t="s">
        <v>30</v>
      </c>
      <c r="D3019">
        <v>3</v>
      </c>
      <c r="G3019" s="30">
        <f>Table132[[#This Row],[nb win]]/Table132[[#This Row],[nb play]]</f>
        <v>0</v>
      </c>
      <c r="H3019" t="str">
        <f>MID(Table132[[#This Row],[ÉTAT]],VALUE(RIGHT(Table132[[#This Row],[next move]],1))+1+VALUE(LEFT(Table132[[#This Row],[next move]],1))*3,1)</f>
        <v>V</v>
      </c>
      <c r="I3019" t="str">
        <f>Table132[[#This Row],[ÉTAT]]&amp;Table132[[#This Row],[next move]]</f>
        <v>VEEVVVEMM10</v>
      </c>
    </row>
    <row r="3020" spans="2:9" x14ac:dyDescent="0.25">
      <c r="B3020" t="s">
        <v>604</v>
      </c>
      <c r="C3020" s="22" t="s">
        <v>29</v>
      </c>
      <c r="D3020">
        <v>3</v>
      </c>
      <c r="G3020" s="30">
        <f>Table132[[#This Row],[nb win]]/Table132[[#This Row],[nb play]]</f>
        <v>0</v>
      </c>
      <c r="H3020" t="str">
        <f>MID(Table132[[#This Row],[ÉTAT]],VALUE(RIGHT(Table132[[#This Row],[next move]],1))+1+VALUE(LEFT(Table132[[#This Row],[next move]],1))*3,1)</f>
        <v>V</v>
      </c>
      <c r="I3020" t="str">
        <f>Table132[[#This Row],[ÉTAT]]&amp;Table132[[#This Row],[next move]]</f>
        <v>VEEVVVEMM11</v>
      </c>
    </row>
    <row r="3021" spans="2:9" x14ac:dyDescent="0.25">
      <c r="B3021" t="s">
        <v>604</v>
      </c>
      <c r="C3021" s="22" t="s">
        <v>28</v>
      </c>
      <c r="D3021">
        <v>2</v>
      </c>
      <c r="G3021" s="25">
        <f>Table132[[#This Row],[nb win]]/Table132[[#This Row],[nb play]]</f>
        <v>0</v>
      </c>
      <c r="H3021" t="str">
        <f>MID(Table132[[#This Row],[ÉTAT]],VALUE(RIGHT(Table132[[#This Row],[next move]],1))+1+VALUE(LEFT(Table132[[#This Row],[next move]],1))*3,1)</f>
        <v>V</v>
      </c>
      <c r="I3021" t="str">
        <f>Table132[[#This Row],[ÉTAT]]&amp;Table132[[#This Row],[next move]]</f>
        <v>VEEVVVEMM12</v>
      </c>
    </row>
    <row r="3022" spans="2:9" x14ac:dyDescent="0.25">
      <c r="B3022" t="s">
        <v>1911</v>
      </c>
      <c r="C3022" s="22" t="s">
        <v>24</v>
      </c>
      <c r="D3022">
        <v>2</v>
      </c>
      <c r="E3022">
        <v>1</v>
      </c>
      <c r="G3022" s="30">
        <f>Table132[[#This Row],[nb win]]/Table132[[#This Row],[nb play]]</f>
        <v>0.5</v>
      </c>
      <c r="H3022" t="str">
        <f>MID(Table132[[#This Row],[ÉTAT]],VALUE(RIGHT(Table132[[#This Row],[next move]],1))+1+VALUE(LEFT(Table132[[#This Row],[next move]],1))*3,1)</f>
        <v>V</v>
      </c>
      <c r="I3022" t="str">
        <f>Table132[[#This Row],[ÉTAT]]&amp;Table132[[#This Row],[next move]]</f>
        <v>VEEVVMVVV00</v>
      </c>
    </row>
    <row r="3023" spans="2:9" x14ac:dyDescent="0.25">
      <c r="B3023" t="s">
        <v>1911</v>
      </c>
      <c r="C3023" s="22" t="s">
        <v>30</v>
      </c>
      <c r="D3023">
        <v>3</v>
      </c>
      <c r="E3023">
        <v>1</v>
      </c>
      <c r="G3023" s="30">
        <f>Table132[[#This Row],[nb win]]/Table132[[#This Row],[nb play]]</f>
        <v>0.33333333333333331</v>
      </c>
      <c r="H3023" t="str">
        <f>MID(Table132[[#This Row],[ÉTAT]],VALUE(RIGHT(Table132[[#This Row],[next move]],1))+1+VALUE(LEFT(Table132[[#This Row],[next move]],1))*3,1)</f>
        <v>V</v>
      </c>
      <c r="I3023" t="str">
        <f>Table132[[#This Row],[ÉTAT]]&amp;Table132[[#This Row],[next move]]</f>
        <v>VEEVVMVVV10</v>
      </c>
    </row>
    <row r="3024" spans="2:9" x14ac:dyDescent="0.25">
      <c r="B3024" t="s">
        <v>1911</v>
      </c>
      <c r="C3024" s="22" t="s">
        <v>31</v>
      </c>
      <c r="D3024">
        <v>2</v>
      </c>
      <c r="G3024" s="30">
        <f>Table132[[#This Row],[nb win]]/Table132[[#This Row],[nb play]]</f>
        <v>0</v>
      </c>
      <c r="H3024" t="str">
        <f>MID(Table132[[#This Row],[ÉTAT]],VALUE(RIGHT(Table132[[#This Row],[next move]],1))+1+VALUE(LEFT(Table132[[#This Row],[next move]],1))*3,1)</f>
        <v>V</v>
      </c>
      <c r="I3024" t="str">
        <f>Table132[[#This Row],[ÉTAT]]&amp;Table132[[#This Row],[next move]]</f>
        <v>VEEVVMVVV22</v>
      </c>
    </row>
    <row r="3025" spans="2:9" x14ac:dyDescent="0.25">
      <c r="B3025" t="s">
        <v>678</v>
      </c>
      <c r="C3025" s="22" t="s">
        <v>24</v>
      </c>
      <c r="D3025">
        <v>2</v>
      </c>
      <c r="G3025" s="25">
        <f>Table132[[#This Row],[nb win]]/Table132[[#This Row],[nb play]]</f>
        <v>0</v>
      </c>
      <c r="H3025" t="str">
        <f>MID(Table132[[#This Row],[ÉTAT]],VALUE(RIGHT(Table132[[#This Row],[next move]],1))+1+VALUE(LEFT(Table132[[#This Row],[next move]],1))*3,1)</f>
        <v>V</v>
      </c>
      <c r="I3025" t="str">
        <f>Table132[[#This Row],[ÉTAT]]&amp;Table132[[#This Row],[next move]]</f>
        <v>VEEVVMVVM00</v>
      </c>
    </row>
    <row r="3026" spans="2:9" x14ac:dyDescent="0.25">
      <c r="B3026" t="s">
        <v>678</v>
      </c>
      <c r="C3026" s="22" t="s">
        <v>30</v>
      </c>
      <c r="D3026">
        <v>3</v>
      </c>
      <c r="E3026">
        <v>1</v>
      </c>
      <c r="G3026" s="30">
        <f>Table132[[#This Row],[nb win]]/Table132[[#This Row],[nb play]]</f>
        <v>0.33333333333333331</v>
      </c>
      <c r="H3026" t="str">
        <f>MID(Table132[[#This Row],[ÉTAT]],VALUE(RIGHT(Table132[[#This Row],[next move]],1))+1+VALUE(LEFT(Table132[[#This Row],[next move]],1))*3,1)</f>
        <v>V</v>
      </c>
      <c r="I3026" t="str">
        <f>Table132[[#This Row],[ÉTAT]]&amp;Table132[[#This Row],[next move]]</f>
        <v>VEEVVMVVM10</v>
      </c>
    </row>
    <row r="3027" spans="2:9" x14ac:dyDescent="0.25">
      <c r="B3027" t="s">
        <v>678</v>
      </c>
      <c r="C3027" s="22" t="s">
        <v>29</v>
      </c>
      <c r="D3027">
        <v>1</v>
      </c>
      <c r="G3027" s="25">
        <f>Table132[[#This Row],[nb win]]/Table132[[#This Row],[nb play]]</f>
        <v>0</v>
      </c>
      <c r="H3027" t="str">
        <f>MID(Table132[[#This Row],[ÉTAT]],VALUE(RIGHT(Table132[[#This Row],[next move]],1))+1+VALUE(LEFT(Table132[[#This Row],[next move]],1))*3,1)</f>
        <v>V</v>
      </c>
      <c r="I3027" t="str">
        <f>Table132[[#This Row],[ÉTAT]]&amp;Table132[[#This Row],[next move]]</f>
        <v>VEEVVMVVM11</v>
      </c>
    </row>
    <row r="3028" spans="2:9" x14ac:dyDescent="0.25">
      <c r="B3028" t="s">
        <v>678</v>
      </c>
      <c r="C3028" s="22" t="s">
        <v>35</v>
      </c>
      <c r="D3028">
        <v>2</v>
      </c>
      <c r="G3028" s="25">
        <f>Table132[[#This Row],[nb win]]/Table132[[#This Row],[nb play]]</f>
        <v>0</v>
      </c>
      <c r="H3028" t="str">
        <f>MID(Table132[[#This Row],[ÉTAT]],VALUE(RIGHT(Table132[[#This Row],[next move]],1))+1+VALUE(LEFT(Table132[[#This Row],[next move]],1))*3,1)</f>
        <v>V</v>
      </c>
      <c r="I3028" t="str">
        <f>Table132[[#This Row],[ÉTAT]]&amp;Table132[[#This Row],[next move]]</f>
        <v>VEEVVMVVM20</v>
      </c>
    </row>
    <row r="3029" spans="2:9" x14ac:dyDescent="0.25">
      <c r="B3029" t="s">
        <v>678</v>
      </c>
      <c r="C3029" s="22" t="s">
        <v>22</v>
      </c>
      <c r="D3029">
        <v>1</v>
      </c>
      <c r="G3029" s="25">
        <f>Table132[[#This Row],[nb win]]/Table132[[#This Row],[nb play]]</f>
        <v>0</v>
      </c>
      <c r="H3029" t="str">
        <f>MID(Table132[[#This Row],[ÉTAT]],VALUE(RIGHT(Table132[[#This Row],[next move]],1))+1+VALUE(LEFT(Table132[[#This Row],[next move]],1))*3,1)</f>
        <v>V</v>
      </c>
      <c r="I3029" t="str">
        <f>Table132[[#This Row],[ÉTAT]]&amp;Table132[[#This Row],[next move]]</f>
        <v>VEEVVMVVM21</v>
      </c>
    </row>
    <row r="3030" spans="2:9" x14ac:dyDescent="0.25">
      <c r="B3030" t="s">
        <v>1963</v>
      </c>
      <c r="C3030" s="22" t="s">
        <v>24</v>
      </c>
      <c r="D3030">
        <v>1</v>
      </c>
      <c r="E3030">
        <v>1</v>
      </c>
      <c r="G3030" s="31">
        <f>Table132[[#This Row],[nb win]]/Table132[[#This Row],[nb play]]</f>
        <v>1</v>
      </c>
      <c r="H3030" t="str">
        <f>MID(Table132[[#This Row],[ÉTAT]],VALUE(RIGHT(Table132[[#This Row],[next move]],1))+1+VALUE(LEFT(Table132[[#This Row],[next move]],1))*3,1)</f>
        <v>V</v>
      </c>
      <c r="I3030" t="str">
        <f>Table132[[#This Row],[ÉTAT]]&amp;Table132[[#This Row],[next move]]</f>
        <v>VEEVVMVMV00</v>
      </c>
    </row>
    <row r="3031" spans="2:9" x14ac:dyDescent="0.25">
      <c r="B3031" t="s">
        <v>1963</v>
      </c>
      <c r="C3031" s="22" t="s">
        <v>29</v>
      </c>
      <c r="D3031">
        <v>2</v>
      </c>
      <c r="G3031" s="30">
        <f>Table132[[#This Row],[nb win]]/Table132[[#This Row],[nb play]]</f>
        <v>0</v>
      </c>
      <c r="H3031" t="str">
        <f>MID(Table132[[#This Row],[ÉTAT]],VALUE(RIGHT(Table132[[#This Row],[next move]],1))+1+VALUE(LEFT(Table132[[#This Row],[next move]],1))*3,1)</f>
        <v>V</v>
      </c>
      <c r="I3031" t="str">
        <f>Table132[[#This Row],[ÉTAT]]&amp;Table132[[#This Row],[next move]]</f>
        <v>VEEVVMVMV11</v>
      </c>
    </row>
    <row r="3032" spans="2:9" x14ac:dyDescent="0.25">
      <c r="B3032" t="s">
        <v>1963</v>
      </c>
      <c r="C3032" s="22" t="s">
        <v>31</v>
      </c>
      <c r="D3032">
        <v>1</v>
      </c>
      <c r="G3032" s="30">
        <f>Table132[[#This Row],[nb win]]/Table132[[#This Row],[nb play]]</f>
        <v>0</v>
      </c>
      <c r="H3032" t="str">
        <f>MID(Table132[[#This Row],[ÉTAT]],VALUE(RIGHT(Table132[[#This Row],[next move]],1))+1+VALUE(LEFT(Table132[[#This Row],[next move]],1))*3,1)</f>
        <v>V</v>
      </c>
      <c r="I3032" t="str">
        <f>Table132[[#This Row],[ÉTAT]]&amp;Table132[[#This Row],[next move]]</f>
        <v>VEEVVMVMV22</v>
      </c>
    </row>
    <row r="3033" spans="2:9" x14ac:dyDescent="0.25">
      <c r="B3033" t="s">
        <v>2145</v>
      </c>
      <c r="C3033" s="22" t="s">
        <v>24</v>
      </c>
      <c r="D3033">
        <v>1</v>
      </c>
      <c r="G3033" s="30">
        <f>Table132[[#This Row],[nb win]]/Table132[[#This Row],[nb play]]</f>
        <v>0</v>
      </c>
      <c r="H3033" t="str">
        <f>MID(Table132[[#This Row],[ÉTAT]],VALUE(RIGHT(Table132[[#This Row],[next move]],1))+1+VALUE(LEFT(Table132[[#This Row],[next move]],1))*3,1)</f>
        <v>V</v>
      </c>
      <c r="I3033" t="str">
        <f>Table132[[#This Row],[ÉTAT]]&amp;Table132[[#This Row],[next move]]</f>
        <v>VEEVVMVEM00</v>
      </c>
    </row>
    <row r="3034" spans="2:9" x14ac:dyDescent="0.25">
      <c r="B3034" t="s">
        <v>2145</v>
      </c>
      <c r="C3034" s="22" t="s">
        <v>30</v>
      </c>
      <c r="D3034">
        <v>2</v>
      </c>
      <c r="G3034" s="30">
        <f>Table132[[#This Row],[nb win]]/Table132[[#This Row],[nb play]]</f>
        <v>0</v>
      </c>
      <c r="H3034" t="str">
        <f>MID(Table132[[#This Row],[ÉTAT]],VALUE(RIGHT(Table132[[#This Row],[next move]],1))+1+VALUE(LEFT(Table132[[#This Row],[next move]],1))*3,1)</f>
        <v>V</v>
      </c>
      <c r="I3034" t="str">
        <f>Table132[[#This Row],[ÉTAT]]&amp;Table132[[#This Row],[next move]]</f>
        <v>VEEVVMVEM10</v>
      </c>
    </row>
    <row r="3035" spans="2:9" x14ac:dyDescent="0.25">
      <c r="B3035" t="s">
        <v>2145</v>
      </c>
      <c r="C3035" s="22" t="s">
        <v>29</v>
      </c>
      <c r="D3035">
        <v>1</v>
      </c>
      <c r="E3035">
        <v>1</v>
      </c>
      <c r="G3035" s="31">
        <f>Table132[[#This Row],[nb win]]/Table132[[#This Row],[nb play]]</f>
        <v>1</v>
      </c>
      <c r="H3035" t="str">
        <f>MID(Table132[[#This Row],[ÉTAT]],VALUE(RIGHT(Table132[[#This Row],[next move]],1))+1+VALUE(LEFT(Table132[[#This Row],[next move]],1))*3,1)</f>
        <v>V</v>
      </c>
      <c r="I3035" t="str">
        <f>Table132[[#This Row],[ÉTAT]]&amp;Table132[[#This Row],[next move]]</f>
        <v>VEEVVMVEM11</v>
      </c>
    </row>
    <row r="3036" spans="2:9" x14ac:dyDescent="0.25">
      <c r="B3036" t="s">
        <v>2145</v>
      </c>
      <c r="C3036" s="22" t="s">
        <v>35</v>
      </c>
      <c r="D3036">
        <v>1</v>
      </c>
      <c r="G3036" s="25">
        <f>Table132[[#This Row],[nb win]]/Table132[[#This Row],[nb play]]</f>
        <v>0</v>
      </c>
      <c r="H3036" t="str">
        <f>MID(Table132[[#This Row],[ÉTAT]],VALUE(RIGHT(Table132[[#This Row],[next move]],1))+1+VALUE(LEFT(Table132[[#This Row],[next move]],1))*3,1)</f>
        <v>V</v>
      </c>
      <c r="I3036" t="str">
        <f>Table132[[#This Row],[ÉTAT]]&amp;Table132[[#This Row],[next move]]</f>
        <v>VEEVVMVEM20</v>
      </c>
    </row>
    <row r="3037" spans="2:9" x14ac:dyDescent="0.25">
      <c r="B3037" t="s">
        <v>554</v>
      </c>
      <c r="C3037" s="22" t="s">
        <v>30</v>
      </c>
      <c r="D3037">
        <v>3</v>
      </c>
      <c r="G3037" s="30">
        <f>Table132[[#This Row],[nb win]]/Table132[[#This Row],[nb play]]</f>
        <v>0</v>
      </c>
      <c r="H3037" t="str">
        <f>MID(Table132[[#This Row],[ÉTAT]],VALUE(RIGHT(Table132[[#This Row],[next move]],1))+1+VALUE(LEFT(Table132[[#This Row],[next move]],1))*3,1)</f>
        <v>V</v>
      </c>
      <c r="I3037" t="str">
        <f>Table132[[#This Row],[ÉTAT]]&amp;Table132[[#This Row],[next move]]</f>
        <v>VEEVVMMVV10</v>
      </c>
    </row>
    <row r="3038" spans="2:9" x14ac:dyDescent="0.25">
      <c r="B3038" t="s">
        <v>554</v>
      </c>
      <c r="C3038" s="22" t="s">
        <v>29</v>
      </c>
      <c r="D3038">
        <v>1</v>
      </c>
      <c r="E3038">
        <v>1</v>
      </c>
      <c r="G3038" s="25">
        <f>Table132[[#This Row],[nb win]]/Table132[[#This Row],[nb play]]</f>
        <v>1</v>
      </c>
      <c r="H3038" t="str">
        <f>MID(Table132[[#This Row],[ÉTAT]],VALUE(RIGHT(Table132[[#This Row],[next move]],1))+1+VALUE(LEFT(Table132[[#This Row],[next move]],1))*3,1)</f>
        <v>V</v>
      </c>
      <c r="I3038" t="str">
        <f>Table132[[#This Row],[ÉTAT]]&amp;Table132[[#This Row],[next move]]</f>
        <v>VEEVVMMVV11</v>
      </c>
    </row>
    <row r="3039" spans="2:9" x14ac:dyDescent="0.25">
      <c r="B3039" t="s">
        <v>554</v>
      </c>
      <c r="C3039" s="22" t="s">
        <v>31</v>
      </c>
      <c r="D3039">
        <v>2</v>
      </c>
      <c r="G3039" s="30">
        <f>Table132[[#This Row],[nb win]]/Table132[[#This Row],[nb play]]</f>
        <v>0</v>
      </c>
      <c r="H3039" t="str">
        <f>MID(Table132[[#This Row],[ÉTAT]],VALUE(RIGHT(Table132[[#This Row],[next move]],1))+1+VALUE(LEFT(Table132[[#This Row],[next move]],1))*3,1)</f>
        <v>V</v>
      </c>
      <c r="I3039" t="str">
        <f>Table132[[#This Row],[ÉTAT]]&amp;Table132[[#This Row],[next move]]</f>
        <v>VEEVVMMVV22</v>
      </c>
    </row>
    <row r="3040" spans="2:9" x14ac:dyDescent="0.25">
      <c r="B3040" t="s">
        <v>873</v>
      </c>
      <c r="C3040" s="22" t="s">
        <v>24</v>
      </c>
      <c r="D3040">
        <v>1</v>
      </c>
      <c r="E3040">
        <v>1</v>
      </c>
      <c r="G3040" s="25">
        <f>Table132[[#This Row],[nb win]]/Table132[[#This Row],[nb play]]</f>
        <v>1</v>
      </c>
      <c r="H3040" t="str">
        <f>MID(Table132[[#This Row],[ÉTAT]],VALUE(RIGHT(Table132[[#This Row],[next move]],1))+1+VALUE(LEFT(Table132[[#This Row],[next move]],1))*3,1)</f>
        <v>V</v>
      </c>
      <c r="I3040" t="str">
        <f>Table132[[#This Row],[ÉTAT]]&amp;Table132[[#This Row],[next move]]</f>
        <v>VEEVVMMVE00</v>
      </c>
    </row>
    <row r="3041" spans="2:9" x14ac:dyDescent="0.25">
      <c r="B3041" t="s">
        <v>873</v>
      </c>
      <c r="C3041" s="22" t="s">
        <v>29</v>
      </c>
      <c r="D3041">
        <v>2</v>
      </c>
      <c r="G3041" s="25">
        <f>Table132[[#This Row],[nb win]]/Table132[[#This Row],[nb play]]</f>
        <v>0</v>
      </c>
      <c r="H3041" t="str">
        <f>MID(Table132[[#This Row],[ÉTAT]],VALUE(RIGHT(Table132[[#This Row],[next move]],1))+1+VALUE(LEFT(Table132[[#This Row],[next move]],1))*3,1)</f>
        <v>V</v>
      </c>
      <c r="I3041" t="str">
        <f>Table132[[#This Row],[ÉTAT]]&amp;Table132[[#This Row],[next move]]</f>
        <v>VEEVVMMVE11</v>
      </c>
    </row>
    <row r="3042" spans="2:9" x14ac:dyDescent="0.25">
      <c r="B3042" t="s">
        <v>1810</v>
      </c>
      <c r="C3042" s="22" t="s">
        <v>30</v>
      </c>
      <c r="D3042">
        <v>1</v>
      </c>
      <c r="G3042" s="25">
        <f>Table132[[#This Row],[nb win]]/Table132[[#This Row],[nb play]]</f>
        <v>0</v>
      </c>
      <c r="H3042" t="str">
        <f>MID(Table132[[#This Row],[ÉTAT]],VALUE(RIGHT(Table132[[#This Row],[next move]],1))+1+VALUE(LEFT(Table132[[#This Row],[next move]],1))*3,1)</f>
        <v>V</v>
      </c>
      <c r="I3042" t="str">
        <f>Table132[[#This Row],[ÉTAT]]&amp;Table132[[#This Row],[next move]]</f>
        <v>VEEVVMMME10</v>
      </c>
    </row>
    <row r="3043" spans="2:9" x14ac:dyDescent="0.25">
      <c r="B3043" t="s">
        <v>1810</v>
      </c>
      <c r="C3043" s="22" t="s">
        <v>29</v>
      </c>
      <c r="D3043">
        <v>1</v>
      </c>
      <c r="G3043" s="25">
        <f>Table132[[#This Row],[nb win]]/Table132[[#This Row],[nb play]]</f>
        <v>0</v>
      </c>
      <c r="H3043" t="str">
        <f>MID(Table132[[#This Row],[ÉTAT]],VALUE(RIGHT(Table132[[#This Row],[next move]],1))+1+VALUE(LEFT(Table132[[#This Row],[next move]],1))*3,1)</f>
        <v>V</v>
      </c>
      <c r="I3043" t="str">
        <f>Table132[[#This Row],[ÉTAT]]&amp;Table132[[#This Row],[next move]]</f>
        <v>VEEVVMMME11</v>
      </c>
    </row>
    <row r="3044" spans="2:9" x14ac:dyDescent="0.25">
      <c r="B3044" t="s">
        <v>2112</v>
      </c>
      <c r="C3044" s="22" t="s">
        <v>24</v>
      </c>
      <c r="D3044">
        <v>2</v>
      </c>
      <c r="G3044" s="30">
        <f>Table132[[#This Row],[nb win]]/Table132[[#This Row],[nb play]]</f>
        <v>0</v>
      </c>
      <c r="H3044" t="str">
        <f>MID(Table132[[#This Row],[ÉTAT]],VALUE(RIGHT(Table132[[#This Row],[next move]],1))+1+VALUE(LEFT(Table132[[#This Row],[next move]],1))*3,1)</f>
        <v>V</v>
      </c>
      <c r="I3044" t="str">
        <f>Table132[[#This Row],[ÉTAT]]&amp;Table132[[#This Row],[next move]]</f>
        <v>VEEVVMMEV00</v>
      </c>
    </row>
    <row r="3045" spans="2:9" x14ac:dyDescent="0.25">
      <c r="B3045" t="s">
        <v>2112</v>
      </c>
      <c r="C3045" s="22" t="s">
        <v>30</v>
      </c>
      <c r="D3045">
        <v>2</v>
      </c>
      <c r="E3045">
        <v>1</v>
      </c>
      <c r="G3045" s="30">
        <f>Table132[[#This Row],[nb win]]/Table132[[#This Row],[nb play]]</f>
        <v>0.5</v>
      </c>
      <c r="H3045" t="str">
        <f>MID(Table132[[#This Row],[ÉTAT]],VALUE(RIGHT(Table132[[#This Row],[next move]],1))+1+VALUE(LEFT(Table132[[#This Row],[next move]],1))*3,1)</f>
        <v>V</v>
      </c>
      <c r="I3045" t="str">
        <f>Table132[[#This Row],[ÉTAT]]&amp;Table132[[#This Row],[next move]]</f>
        <v>VEEVVMMEV10</v>
      </c>
    </row>
    <row r="3046" spans="2:9" x14ac:dyDescent="0.25">
      <c r="B3046" t="s">
        <v>406</v>
      </c>
      <c r="C3046" s="22" t="s">
        <v>24</v>
      </c>
      <c r="D3046">
        <v>2</v>
      </c>
      <c r="G3046" s="30">
        <f>Table132[[#This Row],[nb win]]/Table132[[#This Row],[nb play]]</f>
        <v>0</v>
      </c>
      <c r="H3046" t="str">
        <f>MID(Table132[[#This Row],[ÉTAT]],VALUE(RIGHT(Table132[[#This Row],[next move]],1))+1+VALUE(LEFT(Table132[[#This Row],[next move]],1))*3,1)</f>
        <v>V</v>
      </c>
      <c r="I3046" t="str">
        <f>Table132[[#This Row],[ÉTAT]]&amp;Table132[[#This Row],[next move]]</f>
        <v>VEEVVMEMV00</v>
      </c>
    </row>
    <row r="3047" spans="2:9" x14ac:dyDescent="0.25">
      <c r="B3047" t="s">
        <v>406</v>
      </c>
      <c r="C3047" s="22" t="s">
        <v>31</v>
      </c>
      <c r="D3047">
        <v>1</v>
      </c>
      <c r="G3047" s="25">
        <f>Table132[[#This Row],[nb win]]/Table132[[#This Row],[nb play]]</f>
        <v>0</v>
      </c>
      <c r="H3047" t="str">
        <f>MID(Table132[[#This Row],[ÉTAT]],VALUE(RIGHT(Table132[[#This Row],[next move]],1))+1+VALUE(LEFT(Table132[[#This Row],[next move]],1))*3,1)</f>
        <v>V</v>
      </c>
      <c r="I3047" t="str">
        <f>Table132[[#This Row],[ÉTAT]]&amp;Table132[[#This Row],[next move]]</f>
        <v>VEEVVMEMV22</v>
      </c>
    </row>
    <row r="3048" spans="2:9" x14ac:dyDescent="0.25">
      <c r="B3048" t="s">
        <v>282</v>
      </c>
      <c r="C3048" s="22" t="s">
        <v>30</v>
      </c>
      <c r="D3048">
        <v>1</v>
      </c>
      <c r="G3048" s="25">
        <f>Table132[[#This Row],[nb win]]/Table132[[#This Row],[nb play]]</f>
        <v>0</v>
      </c>
      <c r="H3048" t="str">
        <f>MID(Table132[[#This Row],[ÉTAT]],VALUE(RIGHT(Table132[[#This Row],[next move]],1))+1+VALUE(LEFT(Table132[[#This Row],[next move]],1))*3,1)</f>
        <v>V</v>
      </c>
      <c r="I3048" t="str">
        <f>Table132[[#This Row],[ÉTAT]]&amp;Table132[[#This Row],[next move]]</f>
        <v>VEEVVMEMM10</v>
      </c>
    </row>
    <row r="3049" spans="2:9" x14ac:dyDescent="0.25">
      <c r="B3049" t="s">
        <v>282</v>
      </c>
      <c r="C3049" s="22" t="s">
        <v>29</v>
      </c>
      <c r="D3049">
        <v>1</v>
      </c>
      <c r="G3049" s="30">
        <f>Table132[[#This Row],[nb win]]/Table132[[#This Row],[nb play]]</f>
        <v>0</v>
      </c>
      <c r="H3049" t="str">
        <f>MID(Table132[[#This Row],[ÉTAT]],VALUE(RIGHT(Table132[[#This Row],[next move]],1))+1+VALUE(LEFT(Table132[[#This Row],[next move]],1))*3,1)</f>
        <v>V</v>
      </c>
      <c r="I3049" t="str">
        <f>Table132[[#This Row],[ÉTAT]]&amp;Table132[[#This Row],[next move]]</f>
        <v>VEEVVMEMM11</v>
      </c>
    </row>
    <row r="3050" spans="2:9" x14ac:dyDescent="0.25">
      <c r="B3050" t="s">
        <v>2591</v>
      </c>
      <c r="C3050" s="22" t="s">
        <v>24</v>
      </c>
      <c r="D3050">
        <v>3</v>
      </c>
      <c r="E3050">
        <v>2</v>
      </c>
      <c r="G3050" s="30">
        <f>Table132[[#This Row],[nb win]]/Table132[[#This Row],[nb play]]</f>
        <v>0.66666666666666663</v>
      </c>
      <c r="H3050" t="str">
        <f>MID(Table132[[#This Row],[ÉTAT]],VALUE(RIGHT(Table132[[#This Row],[next move]],1))+1+VALUE(LEFT(Table132[[#This Row],[next move]],1))*3,1)</f>
        <v>V</v>
      </c>
      <c r="I3050" t="str">
        <f>Table132[[#This Row],[ÉTAT]]&amp;Table132[[#This Row],[next move]]</f>
        <v>VEEVVEVMM00</v>
      </c>
    </row>
    <row r="3051" spans="2:9" x14ac:dyDescent="0.25">
      <c r="B3051" t="s">
        <v>3345</v>
      </c>
      <c r="C3051" s="22" t="s">
        <v>29</v>
      </c>
      <c r="D3051">
        <v>1</v>
      </c>
      <c r="G3051" s="30">
        <f>Table132[[#This Row],[nb win]]/Table132[[#This Row],[nb play]]</f>
        <v>0</v>
      </c>
      <c r="H3051" t="str">
        <f>MID(Table132[[#This Row],[ÉTAT]],VALUE(RIGHT(Table132[[#This Row],[next move]],1))+1+VALUE(LEFT(Table132[[#This Row],[next move]],1))*3,1)</f>
        <v>V</v>
      </c>
      <c r="I3051" t="str">
        <f>Table132[[#This Row],[ÉTAT]]&amp;Table132[[#This Row],[next move]]</f>
        <v>VEEVVEMVM11</v>
      </c>
    </row>
    <row r="3052" spans="2:9" x14ac:dyDescent="0.25">
      <c r="B3052" t="s">
        <v>793</v>
      </c>
      <c r="C3052" s="22" t="s">
        <v>24</v>
      </c>
      <c r="D3052">
        <v>4</v>
      </c>
      <c r="E3052">
        <v>2</v>
      </c>
      <c r="G3052" s="30">
        <f>Table132[[#This Row],[nb win]]/Table132[[#This Row],[nb play]]</f>
        <v>0.5</v>
      </c>
      <c r="H3052" t="str">
        <f>MID(Table132[[#This Row],[ÉTAT]],VALUE(RIGHT(Table132[[#This Row],[next move]],1))+1+VALUE(LEFT(Table132[[#This Row],[next move]],1))*3,1)</f>
        <v>V</v>
      </c>
      <c r="I3052" t="str">
        <f>Table132[[#This Row],[ÉTAT]]&amp;Table132[[#This Row],[next move]]</f>
        <v>VEEVMVVVV00</v>
      </c>
    </row>
    <row r="3053" spans="2:9" x14ac:dyDescent="0.25">
      <c r="B3053" t="s">
        <v>793</v>
      </c>
      <c r="C3053" s="22" t="s">
        <v>28</v>
      </c>
      <c r="D3053">
        <v>2</v>
      </c>
      <c r="E3053">
        <v>1</v>
      </c>
      <c r="G3053" s="30">
        <f>Table132[[#This Row],[nb win]]/Table132[[#This Row],[nb play]]</f>
        <v>0.5</v>
      </c>
      <c r="H3053" t="str">
        <f>MID(Table132[[#This Row],[ÉTAT]],VALUE(RIGHT(Table132[[#This Row],[next move]],1))+1+VALUE(LEFT(Table132[[#This Row],[next move]],1))*3,1)</f>
        <v>V</v>
      </c>
      <c r="I3053" t="str">
        <f>Table132[[#This Row],[ÉTAT]]&amp;Table132[[#This Row],[next move]]</f>
        <v>VEEVMVVVV12</v>
      </c>
    </row>
    <row r="3054" spans="2:9" x14ac:dyDescent="0.25">
      <c r="B3054" t="s">
        <v>793</v>
      </c>
      <c r="C3054" s="22" t="s">
        <v>35</v>
      </c>
      <c r="D3054">
        <v>4</v>
      </c>
      <c r="E3054">
        <v>2</v>
      </c>
      <c r="G3054" s="30">
        <f>Table132[[#This Row],[nb win]]/Table132[[#This Row],[nb play]]</f>
        <v>0.5</v>
      </c>
      <c r="H3054" t="str">
        <f>MID(Table132[[#This Row],[ÉTAT]],VALUE(RIGHT(Table132[[#This Row],[next move]],1))+1+VALUE(LEFT(Table132[[#This Row],[next move]],1))*3,1)</f>
        <v>V</v>
      </c>
      <c r="I3054" t="str">
        <f>Table132[[#This Row],[ÉTAT]]&amp;Table132[[#This Row],[next move]]</f>
        <v>VEEVMVVVV20</v>
      </c>
    </row>
    <row r="3055" spans="2:9" x14ac:dyDescent="0.25">
      <c r="B3055" t="s">
        <v>793</v>
      </c>
      <c r="C3055" s="22" t="s">
        <v>31</v>
      </c>
      <c r="D3055">
        <v>6</v>
      </c>
      <c r="E3055">
        <v>3</v>
      </c>
      <c r="G3055" s="31">
        <f>Table132[[#This Row],[nb win]]/Table132[[#This Row],[nb play]]</f>
        <v>0.5</v>
      </c>
      <c r="H3055" t="str">
        <f>MID(Table132[[#This Row],[ÉTAT]],VALUE(RIGHT(Table132[[#This Row],[next move]],1))+1+VALUE(LEFT(Table132[[#This Row],[next move]],1))*3,1)</f>
        <v>V</v>
      </c>
      <c r="I3055" t="str">
        <f>Table132[[#This Row],[ÉTAT]]&amp;Table132[[#This Row],[next move]]</f>
        <v>VEEVMVVVV22</v>
      </c>
    </row>
    <row r="3056" spans="2:9" x14ac:dyDescent="0.25">
      <c r="B3056" t="s">
        <v>1117</v>
      </c>
      <c r="C3056" s="22" t="s">
        <v>24</v>
      </c>
      <c r="D3056">
        <v>3</v>
      </c>
      <c r="E3056">
        <v>3</v>
      </c>
      <c r="G3056" s="31">
        <f>Table132[[#This Row],[nb win]]/Table132[[#This Row],[nb play]]</f>
        <v>1</v>
      </c>
      <c r="H3056" t="str">
        <f>MID(Table132[[#This Row],[ÉTAT]],VALUE(RIGHT(Table132[[#This Row],[next move]],1))+1+VALUE(LEFT(Table132[[#This Row],[next move]],1))*3,1)</f>
        <v>V</v>
      </c>
      <c r="I3056" t="str">
        <f>Table132[[#This Row],[ÉTAT]]&amp;Table132[[#This Row],[next move]]</f>
        <v>VEEVMVVVM00</v>
      </c>
    </row>
    <row r="3057" spans="2:9" x14ac:dyDescent="0.25">
      <c r="B3057" t="s">
        <v>1117</v>
      </c>
      <c r="C3057" s="22" t="s">
        <v>28</v>
      </c>
      <c r="D3057">
        <v>1</v>
      </c>
      <c r="G3057" s="25">
        <f>Table132[[#This Row],[nb win]]/Table132[[#This Row],[nb play]]</f>
        <v>0</v>
      </c>
      <c r="H3057" t="str">
        <f>MID(Table132[[#This Row],[ÉTAT]],VALUE(RIGHT(Table132[[#This Row],[next move]],1))+1+VALUE(LEFT(Table132[[#This Row],[next move]],1))*3,1)</f>
        <v>V</v>
      </c>
      <c r="I3057" t="str">
        <f>Table132[[#This Row],[ÉTAT]]&amp;Table132[[#This Row],[next move]]</f>
        <v>VEEVMVVVM12</v>
      </c>
    </row>
    <row r="3058" spans="2:9" x14ac:dyDescent="0.25">
      <c r="B3058" t="s">
        <v>1117</v>
      </c>
      <c r="C3058" s="22" t="s">
        <v>22</v>
      </c>
      <c r="D3058">
        <v>4</v>
      </c>
      <c r="E3058">
        <v>2</v>
      </c>
      <c r="G3058" s="25">
        <f>Table132[[#This Row],[nb win]]/Table132[[#This Row],[nb play]]</f>
        <v>0.5</v>
      </c>
      <c r="H3058" t="str">
        <f>MID(Table132[[#This Row],[ÉTAT]],VALUE(RIGHT(Table132[[#This Row],[next move]],1))+1+VALUE(LEFT(Table132[[#This Row],[next move]],1))*3,1)</f>
        <v>V</v>
      </c>
      <c r="I3058" t="str">
        <f>Table132[[#This Row],[ÉTAT]]&amp;Table132[[#This Row],[next move]]</f>
        <v>VEEVMVVVM21</v>
      </c>
    </row>
    <row r="3059" spans="2:9" x14ac:dyDescent="0.25">
      <c r="B3059" t="s">
        <v>1666</v>
      </c>
      <c r="C3059" s="22" t="s">
        <v>24</v>
      </c>
      <c r="D3059">
        <v>3</v>
      </c>
      <c r="E3059">
        <v>2</v>
      </c>
      <c r="G3059" s="25">
        <f>Table132[[#This Row],[nb win]]/Table132[[#This Row],[nb play]]</f>
        <v>0.66666666666666663</v>
      </c>
      <c r="H3059" t="str">
        <f>MID(Table132[[#This Row],[ÉTAT]],VALUE(RIGHT(Table132[[#This Row],[next move]],1))+1+VALUE(LEFT(Table132[[#This Row],[next move]],1))*3,1)</f>
        <v>V</v>
      </c>
      <c r="I3059" t="str">
        <f>Table132[[#This Row],[ÉTAT]]&amp;Table132[[#This Row],[next move]]</f>
        <v>VEEVMVVMV00</v>
      </c>
    </row>
    <row r="3060" spans="2:9" x14ac:dyDescent="0.25">
      <c r="B3060" t="s">
        <v>1666</v>
      </c>
      <c r="C3060" s="22" t="s">
        <v>30</v>
      </c>
      <c r="D3060">
        <v>3</v>
      </c>
      <c r="G3060" s="25">
        <f>Table132[[#This Row],[nb win]]/Table132[[#This Row],[nb play]]</f>
        <v>0</v>
      </c>
      <c r="H3060" t="str">
        <f>MID(Table132[[#This Row],[ÉTAT]],VALUE(RIGHT(Table132[[#This Row],[next move]],1))+1+VALUE(LEFT(Table132[[#This Row],[next move]],1))*3,1)</f>
        <v>V</v>
      </c>
      <c r="I3060" t="str">
        <f>Table132[[#This Row],[ÉTAT]]&amp;Table132[[#This Row],[next move]]</f>
        <v>VEEVMVVMV10</v>
      </c>
    </row>
    <row r="3061" spans="2:9" x14ac:dyDescent="0.25">
      <c r="B3061" t="s">
        <v>1666</v>
      </c>
      <c r="C3061" s="22" t="s">
        <v>28</v>
      </c>
      <c r="D3061">
        <v>1</v>
      </c>
      <c r="G3061" s="30">
        <f>Table132[[#This Row],[nb win]]/Table132[[#This Row],[nb play]]</f>
        <v>0</v>
      </c>
      <c r="H3061" t="str">
        <f>MID(Table132[[#This Row],[ÉTAT]],VALUE(RIGHT(Table132[[#This Row],[next move]],1))+1+VALUE(LEFT(Table132[[#This Row],[next move]],1))*3,1)</f>
        <v>V</v>
      </c>
      <c r="I3061" t="str">
        <f>Table132[[#This Row],[ÉTAT]]&amp;Table132[[#This Row],[next move]]</f>
        <v>VEEVMVVMV12</v>
      </c>
    </row>
    <row r="3062" spans="2:9" x14ac:dyDescent="0.25">
      <c r="B3062" t="s">
        <v>1666</v>
      </c>
      <c r="C3062" s="22" t="s">
        <v>35</v>
      </c>
      <c r="D3062">
        <v>2</v>
      </c>
      <c r="E3062">
        <v>1</v>
      </c>
      <c r="G3062" s="30">
        <f>Table132[[#This Row],[nb win]]/Table132[[#This Row],[nb play]]</f>
        <v>0.5</v>
      </c>
      <c r="H3062" t="str">
        <f>MID(Table132[[#This Row],[ÉTAT]],VALUE(RIGHT(Table132[[#This Row],[next move]],1))+1+VALUE(LEFT(Table132[[#This Row],[next move]],1))*3,1)</f>
        <v>V</v>
      </c>
      <c r="I3062" t="str">
        <f>Table132[[#This Row],[ÉTAT]]&amp;Table132[[#This Row],[next move]]</f>
        <v>VEEVMVVMV20</v>
      </c>
    </row>
    <row r="3063" spans="2:9" x14ac:dyDescent="0.25">
      <c r="B3063" t="s">
        <v>1666</v>
      </c>
      <c r="C3063" s="22" t="s">
        <v>31</v>
      </c>
      <c r="D3063">
        <v>4</v>
      </c>
      <c r="E3063">
        <v>2</v>
      </c>
      <c r="G3063" s="31">
        <f>Table132[[#This Row],[nb win]]/Table132[[#This Row],[nb play]]</f>
        <v>0.5</v>
      </c>
      <c r="H3063" t="str">
        <f>MID(Table132[[#This Row],[ÉTAT]],VALUE(RIGHT(Table132[[#This Row],[next move]],1))+1+VALUE(LEFT(Table132[[#This Row],[next move]],1))*3,1)</f>
        <v>V</v>
      </c>
      <c r="I3063" t="str">
        <f>Table132[[#This Row],[ÉTAT]]&amp;Table132[[#This Row],[next move]]</f>
        <v>VEEVMVVMV22</v>
      </c>
    </row>
    <row r="3064" spans="2:9" x14ac:dyDescent="0.25">
      <c r="B3064" t="s">
        <v>3125</v>
      </c>
      <c r="C3064" s="22" t="s">
        <v>24</v>
      </c>
      <c r="D3064">
        <v>1</v>
      </c>
      <c r="G3064" s="30">
        <f>Table132[[#This Row],[nb win]]/Table132[[#This Row],[nb play]]</f>
        <v>0</v>
      </c>
      <c r="H3064" t="str">
        <f>MID(Table132[[#This Row],[ÉTAT]],VALUE(RIGHT(Table132[[#This Row],[next move]],1))+1+VALUE(LEFT(Table132[[#This Row],[next move]],1))*3,1)</f>
        <v>V</v>
      </c>
      <c r="I3064" t="str">
        <f>Table132[[#This Row],[ÉTAT]]&amp;Table132[[#This Row],[next move]]</f>
        <v>VEEVMVVME00</v>
      </c>
    </row>
    <row r="3065" spans="2:9" x14ac:dyDescent="0.25">
      <c r="B3065" t="s">
        <v>3125</v>
      </c>
      <c r="C3065" s="22" t="s">
        <v>28</v>
      </c>
      <c r="D3065">
        <v>1</v>
      </c>
      <c r="G3065" s="30">
        <f>Table132[[#This Row],[nb win]]/Table132[[#This Row],[nb play]]</f>
        <v>0</v>
      </c>
      <c r="H3065" t="str">
        <f>MID(Table132[[#This Row],[ÉTAT]],VALUE(RIGHT(Table132[[#This Row],[next move]],1))+1+VALUE(LEFT(Table132[[#This Row],[next move]],1))*3,1)</f>
        <v>V</v>
      </c>
      <c r="I3065" t="str">
        <f>Table132[[#This Row],[ÉTAT]]&amp;Table132[[#This Row],[next move]]</f>
        <v>VEEVMVVME12</v>
      </c>
    </row>
    <row r="3066" spans="2:9" x14ac:dyDescent="0.25">
      <c r="B3066" t="s">
        <v>2006</v>
      </c>
      <c r="C3066" s="22" t="s">
        <v>24</v>
      </c>
      <c r="D3066">
        <v>5</v>
      </c>
      <c r="E3066">
        <v>5</v>
      </c>
      <c r="G3066" s="31">
        <f>Table132[[#This Row],[nb win]]/Table132[[#This Row],[nb play]]</f>
        <v>1</v>
      </c>
      <c r="H3066" t="str">
        <f>MID(Table132[[#This Row],[ÉTAT]],VALUE(RIGHT(Table132[[#This Row],[next move]],1))+1+VALUE(LEFT(Table132[[#This Row],[next move]],1))*3,1)</f>
        <v>V</v>
      </c>
      <c r="I3066" t="str">
        <f>Table132[[#This Row],[ÉTAT]]&amp;Table132[[#This Row],[next move]]</f>
        <v>VEEVMVVEM00</v>
      </c>
    </row>
    <row r="3067" spans="2:9" x14ac:dyDescent="0.25">
      <c r="B3067" t="s">
        <v>2289</v>
      </c>
      <c r="C3067" s="22" t="s">
        <v>24</v>
      </c>
      <c r="D3067">
        <v>1</v>
      </c>
      <c r="G3067" s="25">
        <f>Table132[[#This Row],[nb win]]/Table132[[#This Row],[nb play]]</f>
        <v>0</v>
      </c>
      <c r="H3067" t="str">
        <f>MID(Table132[[#This Row],[ÉTAT]],VALUE(RIGHT(Table132[[#This Row],[next move]],1))+1+VALUE(LEFT(Table132[[#This Row],[next move]],1))*3,1)</f>
        <v>V</v>
      </c>
      <c r="I3067" t="str">
        <f>Table132[[#This Row],[ÉTAT]]&amp;Table132[[#This Row],[next move]]</f>
        <v>VEEVMVMVE00</v>
      </c>
    </row>
    <row r="3068" spans="2:9" x14ac:dyDescent="0.25">
      <c r="B3068" t="s">
        <v>2289</v>
      </c>
      <c r="C3068" s="22" t="s">
        <v>30</v>
      </c>
      <c r="D3068">
        <v>5</v>
      </c>
      <c r="E3068">
        <v>1</v>
      </c>
      <c r="G3068" s="30">
        <f>Table132[[#This Row],[nb win]]/Table132[[#This Row],[nb play]]</f>
        <v>0.2</v>
      </c>
      <c r="H3068" t="str">
        <f>MID(Table132[[#This Row],[ÉTAT]],VALUE(RIGHT(Table132[[#This Row],[next move]],1))+1+VALUE(LEFT(Table132[[#This Row],[next move]],1))*3,1)</f>
        <v>V</v>
      </c>
      <c r="I3068" t="str">
        <f>Table132[[#This Row],[ÉTAT]]&amp;Table132[[#This Row],[next move]]</f>
        <v>VEEVMVMVE10</v>
      </c>
    </row>
    <row r="3069" spans="2:9" x14ac:dyDescent="0.25">
      <c r="B3069" t="s">
        <v>2097</v>
      </c>
      <c r="C3069" s="22" t="s">
        <v>24</v>
      </c>
      <c r="D3069">
        <v>1</v>
      </c>
      <c r="E3069">
        <v>1</v>
      </c>
      <c r="G3069" s="31">
        <f>Table132[[#This Row],[nb win]]/Table132[[#This Row],[nb play]]</f>
        <v>1</v>
      </c>
      <c r="H3069" t="str">
        <f>MID(Table132[[#This Row],[ÉTAT]],VALUE(RIGHT(Table132[[#This Row],[next move]],1))+1+VALUE(LEFT(Table132[[#This Row],[next move]],1))*3,1)</f>
        <v>V</v>
      </c>
      <c r="I3069" t="str">
        <f>Table132[[#This Row],[ÉTAT]]&amp;Table132[[#This Row],[next move]]</f>
        <v>VEEVMVMEV00</v>
      </c>
    </row>
    <row r="3070" spans="2:9" x14ac:dyDescent="0.25">
      <c r="B3070" t="s">
        <v>2097</v>
      </c>
      <c r="C3070" s="22" t="s">
        <v>30</v>
      </c>
      <c r="D3070">
        <v>1</v>
      </c>
      <c r="G3070" s="25">
        <f>Table132[[#This Row],[nb win]]/Table132[[#This Row],[nb play]]</f>
        <v>0</v>
      </c>
      <c r="H3070" t="str">
        <f>MID(Table132[[#This Row],[ÉTAT]],VALUE(RIGHT(Table132[[#This Row],[next move]],1))+1+VALUE(LEFT(Table132[[#This Row],[next move]],1))*3,1)</f>
        <v>V</v>
      </c>
      <c r="I3070" t="str">
        <f>Table132[[#This Row],[ÉTAT]]&amp;Table132[[#This Row],[next move]]</f>
        <v>VEEVMVMEV10</v>
      </c>
    </row>
    <row r="3071" spans="2:9" x14ac:dyDescent="0.25">
      <c r="B3071" t="s">
        <v>889</v>
      </c>
      <c r="C3071" s="22" t="s">
        <v>24</v>
      </c>
      <c r="D3071">
        <v>4</v>
      </c>
      <c r="E3071">
        <v>4</v>
      </c>
      <c r="G3071" s="31">
        <f>Table132[[#This Row],[nb win]]/Table132[[#This Row],[nb play]]</f>
        <v>1</v>
      </c>
      <c r="H3071" t="str">
        <f>MID(Table132[[#This Row],[ÉTAT]],VALUE(RIGHT(Table132[[#This Row],[next move]],1))+1+VALUE(LEFT(Table132[[#This Row],[next move]],1))*3,1)</f>
        <v>V</v>
      </c>
      <c r="I3071" t="str">
        <f>Table132[[#This Row],[ÉTAT]]&amp;Table132[[#This Row],[next move]]</f>
        <v>VEEVMVMEM00</v>
      </c>
    </row>
    <row r="3072" spans="2:9" x14ac:dyDescent="0.25">
      <c r="B3072" t="s">
        <v>1017</v>
      </c>
      <c r="C3072" s="22" t="s">
        <v>30</v>
      </c>
      <c r="D3072">
        <v>1</v>
      </c>
      <c r="G3072" s="25">
        <f>Table132[[#This Row],[nb win]]/Table132[[#This Row],[nb play]]</f>
        <v>0</v>
      </c>
      <c r="H3072" t="str">
        <f>MID(Table132[[#This Row],[ÉTAT]],VALUE(RIGHT(Table132[[#This Row],[next move]],1))+1+VALUE(LEFT(Table132[[#This Row],[next move]],1))*3,1)</f>
        <v>V</v>
      </c>
      <c r="I3072" t="str">
        <f>Table132[[#This Row],[ÉTAT]]&amp;Table132[[#This Row],[next move]]</f>
        <v>VEEVMVEVM10</v>
      </c>
    </row>
    <row r="3073" spans="2:9" x14ac:dyDescent="0.25">
      <c r="B3073" t="s">
        <v>1017</v>
      </c>
      <c r="C3073" s="22" t="s">
        <v>28</v>
      </c>
      <c r="D3073">
        <v>3</v>
      </c>
      <c r="E3073">
        <v>2</v>
      </c>
      <c r="G3073" s="30">
        <f>Table132[[#This Row],[nb win]]/Table132[[#This Row],[nb play]]</f>
        <v>0.66666666666666663</v>
      </c>
      <c r="H3073" t="str">
        <f>MID(Table132[[#This Row],[ÉTAT]],VALUE(RIGHT(Table132[[#This Row],[next move]],1))+1+VALUE(LEFT(Table132[[#This Row],[next move]],1))*3,1)</f>
        <v>V</v>
      </c>
      <c r="I3073" t="str">
        <f>Table132[[#This Row],[ÉTAT]]&amp;Table132[[#This Row],[next move]]</f>
        <v>VEEVMVEVM12</v>
      </c>
    </row>
    <row r="3074" spans="2:9" x14ac:dyDescent="0.25">
      <c r="B3074" t="s">
        <v>1017</v>
      </c>
      <c r="C3074" s="22" t="s">
        <v>22</v>
      </c>
      <c r="D3074">
        <v>3</v>
      </c>
      <c r="G3074" s="30">
        <f>Table132[[#This Row],[nb win]]/Table132[[#This Row],[nb play]]</f>
        <v>0</v>
      </c>
      <c r="H3074" t="str">
        <f>MID(Table132[[#This Row],[ÉTAT]],VALUE(RIGHT(Table132[[#This Row],[next move]],1))+1+VALUE(LEFT(Table132[[#This Row],[next move]],1))*3,1)</f>
        <v>V</v>
      </c>
      <c r="I3074" t="str">
        <f>Table132[[#This Row],[ÉTAT]]&amp;Table132[[#This Row],[next move]]</f>
        <v>VEEVMVEVM21</v>
      </c>
    </row>
    <row r="3075" spans="2:9" x14ac:dyDescent="0.25">
      <c r="B3075" t="s">
        <v>3135</v>
      </c>
      <c r="C3075" s="22" t="s">
        <v>24</v>
      </c>
      <c r="D3075">
        <v>2</v>
      </c>
      <c r="E3075">
        <v>2</v>
      </c>
      <c r="G3075" s="31">
        <f>Table132[[#This Row],[nb win]]/Table132[[#This Row],[nb play]]</f>
        <v>1</v>
      </c>
      <c r="H3075" t="str">
        <f>MID(Table132[[#This Row],[ÉTAT]],VALUE(RIGHT(Table132[[#This Row],[next move]],1))+1+VALUE(LEFT(Table132[[#This Row],[next move]],1))*3,1)</f>
        <v>V</v>
      </c>
      <c r="I3075" t="str">
        <f>Table132[[#This Row],[ÉTAT]]&amp;Table132[[#This Row],[next move]]</f>
        <v>VEEVMVEMM00</v>
      </c>
    </row>
    <row r="3076" spans="2:9" x14ac:dyDescent="0.25">
      <c r="B3076" t="s">
        <v>3135</v>
      </c>
      <c r="C3076" s="22" t="s">
        <v>30</v>
      </c>
      <c r="D3076">
        <v>1</v>
      </c>
      <c r="G3076" s="30">
        <f>Table132[[#This Row],[nb win]]/Table132[[#This Row],[nb play]]</f>
        <v>0</v>
      </c>
      <c r="H3076" t="str">
        <f>MID(Table132[[#This Row],[ÉTAT]],VALUE(RIGHT(Table132[[#This Row],[next move]],1))+1+VALUE(LEFT(Table132[[#This Row],[next move]],1))*3,1)</f>
        <v>V</v>
      </c>
      <c r="I3076" t="str">
        <f>Table132[[#This Row],[ÉTAT]]&amp;Table132[[#This Row],[next move]]</f>
        <v>VEEVMVEMM10</v>
      </c>
    </row>
    <row r="3077" spans="2:9" x14ac:dyDescent="0.25">
      <c r="B3077" t="s">
        <v>2423</v>
      </c>
      <c r="C3077" s="22" t="s">
        <v>30</v>
      </c>
      <c r="D3077">
        <v>4</v>
      </c>
      <c r="E3077">
        <v>4</v>
      </c>
      <c r="G3077" s="31">
        <f>Table132[[#This Row],[nb win]]/Table132[[#This Row],[nb play]]</f>
        <v>1</v>
      </c>
      <c r="H3077" t="str">
        <f>MID(Table132[[#This Row],[ÉTAT]],VALUE(RIGHT(Table132[[#This Row],[next move]],1))+1+VALUE(LEFT(Table132[[#This Row],[next move]],1))*3,1)</f>
        <v>V</v>
      </c>
      <c r="I3077" t="str">
        <f>Table132[[#This Row],[ÉTAT]]&amp;Table132[[#This Row],[next move]]</f>
        <v>VEEVMMVVV10</v>
      </c>
    </row>
    <row r="3078" spans="2:9" x14ac:dyDescent="0.25">
      <c r="B3078" t="s">
        <v>2423</v>
      </c>
      <c r="C3078" s="22" t="s">
        <v>22</v>
      </c>
      <c r="D3078">
        <v>2</v>
      </c>
      <c r="G3078" s="25">
        <f>Table132[[#This Row],[nb win]]/Table132[[#This Row],[nb play]]</f>
        <v>0</v>
      </c>
      <c r="H3078" t="str">
        <f>MID(Table132[[#This Row],[ÉTAT]],VALUE(RIGHT(Table132[[#This Row],[next move]],1))+1+VALUE(LEFT(Table132[[#This Row],[next move]],1))*3,1)</f>
        <v>V</v>
      </c>
      <c r="I3078" t="str">
        <f>Table132[[#This Row],[ÉTAT]]&amp;Table132[[#This Row],[next move]]</f>
        <v>VEEVMMVVV21</v>
      </c>
    </row>
    <row r="3079" spans="2:9" x14ac:dyDescent="0.25">
      <c r="B3079" t="s">
        <v>1298</v>
      </c>
      <c r="C3079" s="22" t="s">
        <v>30</v>
      </c>
      <c r="D3079">
        <v>3</v>
      </c>
      <c r="E3079">
        <v>3</v>
      </c>
      <c r="G3079" s="31">
        <f>Table132[[#This Row],[nb win]]/Table132[[#This Row],[nb play]]</f>
        <v>1</v>
      </c>
      <c r="H3079" t="str">
        <f>MID(Table132[[#This Row],[ÉTAT]],VALUE(RIGHT(Table132[[#This Row],[next move]],1))+1+VALUE(LEFT(Table132[[#This Row],[next move]],1))*3,1)</f>
        <v>V</v>
      </c>
      <c r="I3079" t="str">
        <f>Table132[[#This Row],[ÉTAT]]&amp;Table132[[#This Row],[next move]]</f>
        <v>VEEVMMVVE10</v>
      </c>
    </row>
    <row r="3080" spans="2:9" x14ac:dyDescent="0.25">
      <c r="B3080" t="s">
        <v>374</v>
      </c>
      <c r="C3080" s="22" t="s">
        <v>24</v>
      </c>
      <c r="D3080">
        <v>4</v>
      </c>
      <c r="E3080">
        <v>4</v>
      </c>
      <c r="G3080" s="31">
        <f>Table132[[#This Row],[nb win]]/Table132[[#This Row],[nb play]]</f>
        <v>1</v>
      </c>
      <c r="H3080" t="str">
        <f>MID(Table132[[#This Row],[ÉTAT]],VALUE(RIGHT(Table132[[#This Row],[next move]],1))+1+VALUE(LEFT(Table132[[#This Row],[next move]],1))*3,1)</f>
        <v>V</v>
      </c>
      <c r="I3080" t="str">
        <f>Table132[[#This Row],[ÉTAT]]&amp;Table132[[#This Row],[next move]]</f>
        <v>VEEVMMVEV00</v>
      </c>
    </row>
    <row r="3081" spans="2:9" x14ac:dyDescent="0.25">
      <c r="B3081" t="s">
        <v>1099</v>
      </c>
      <c r="C3081" s="22" t="s">
        <v>24</v>
      </c>
      <c r="D3081">
        <v>1</v>
      </c>
      <c r="E3081">
        <v>1</v>
      </c>
      <c r="G3081" s="31">
        <f>Table132[[#This Row],[nb win]]/Table132[[#This Row],[nb play]]</f>
        <v>1</v>
      </c>
      <c r="H3081" t="str">
        <f>MID(Table132[[#This Row],[ÉTAT]],VALUE(RIGHT(Table132[[#This Row],[next move]],1))+1+VALUE(LEFT(Table132[[#This Row],[next move]],1))*3,1)</f>
        <v>V</v>
      </c>
      <c r="I3081" t="str">
        <f>Table132[[#This Row],[ÉTAT]]&amp;Table132[[#This Row],[next move]]</f>
        <v>VEEVMMVEM00</v>
      </c>
    </row>
    <row r="3082" spans="2:9" x14ac:dyDescent="0.25">
      <c r="B3082" t="s">
        <v>1099</v>
      </c>
      <c r="C3082" s="22" t="s">
        <v>35</v>
      </c>
      <c r="D3082">
        <v>2</v>
      </c>
      <c r="E3082">
        <v>1</v>
      </c>
      <c r="G3082" s="25">
        <f>Table132[[#This Row],[nb win]]/Table132[[#This Row],[nb play]]</f>
        <v>0.5</v>
      </c>
      <c r="H3082" t="str">
        <f>MID(Table132[[#This Row],[ÉTAT]],VALUE(RIGHT(Table132[[#This Row],[next move]],1))+1+VALUE(LEFT(Table132[[#This Row],[next move]],1))*3,1)</f>
        <v>V</v>
      </c>
      <c r="I3082" t="str">
        <f>Table132[[#This Row],[ÉTAT]]&amp;Table132[[#This Row],[next move]]</f>
        <v>VEEVMMVEM20</v>
      </c>
    </row>
    <row r="3083" spans="2:9" x14ac:dyDescent="0.25">
      <c r="B3083" t="s">
        <v>632</v>
      </c>
      <c r="C3083" s="22" t="s">
        <v>30</v>
      </c>
      <c r="D3083">
        <v>1</v>
      </c>
      <c r="E3083">
        <v>1</v>
      </c>
      <c r="G3083" s="25">
        <f>Table132[[#This Row],[nb win]]/Table132[[#This Row],[nb play]]</f>
        <v>1</v>
      </c>
      <c r="H3083" t="str">
        <f>MID(Table132[[#This Row],[ÉTAT]],VALUE(RIGHT(Table132[[#This Row],[next move]],1))+1+VALUE(LEFT(Table132[[#This Row],[next move]],1))*3,1)</f>
        <v>V</v>
      </c>
      <c r="I3083" t="str">
        <f>Table132[[#This Row],[ÉTAT]]&amp;Table132[[#This Row],[next move]]</f>
        <v>VEEVMMMEV10</v>
      </c>
    </row>
    <row r="3084" spans="2:9" x14ac:dyDescent="0.25">
      <c r="B3084" t="s">
        <v>450</v>
      </c>
      <c r="C3084" s="22" t="s">
        <v>30</v>
      </c>
      <c r="D3084">
        <v>4</v>
      </c>
      <c r="E3084">
        <v>4</v>
      </c>
      <c r="G3084" s="31">
        <f>Table132[[#This Row],[nb win]]/Table132[[#This Row],[nb play]]</f>
        <v>1</v>
      </c>
      <c r="H3084" t="str">
        <f>MID(Table132[[#This Row],[ÉTAT]],VALUE(RIGHT(Table132[[#This Row],[next move]],1))+1+VALUE(LEFT(Table132[[#This Row],[next move]],1))*3,1)</f>
        <v>V</v>
      </c>
      <c r="I3084" t="str">
        <f>Table132[[#This Row],[ÉTAT]]&amp;Table132[[#This Row],[next move]]</f>
        <v>VEEVMMMEE10</v>
      </c>
    </row>
    <row r="3085" spans="2:9" x14ac:dyDescent="0.25">
      <c r="B3085" t="s">
        <v>1885</v>
      </c>
      <c r="C3085" s="22" t="s">
        <v>24</v>
      </c>
      <c r="D3085">
        <v>1</v>
      </c>
      <c r="E3085">
        <v>1</v>
      </c>
      <c r="G3085" s="25">
        <f>Table132[[#This Row],[nb win]]/Table132[[#This Row],[nb play]]</f>
        <v>1</v>
      </c>
      <c r="H3085" t="str">
        <f>MID(Table132[[#This Row],[ÉTAT]],VALUE(RIGHT(Table132[[#This Row],[next move]],1))+1+VALUE(LEFT(Table132[[#This Row],[next move]],1))*3,1)</f>
        <v>V</v>
      </c>
      <c r="I3085" t="str">
        <f>Table132[[#This Row],[ÉTAT]]&amp;Table132[[#This Row],[next move]]</f>
        <v>VEEVMMEVV00</v>
      </c>
    </row>
    <row r="3086" spans="2:9" x14ac:dyDescent="0.25">
      <c r="B3086" t="s">
        <v>2782</v>
      </c>
      <c r="C3086" s="22" t="s">
        <v>30</v>
      </c>
      <c r="D3086">
        <v>2</v>
      </c>
      <c r="E3086">
        <v>2</v>
      </c>
      <c r="G3086" s="31">
        <f>Table132[[#This Row],[nb win]]/Table132[[#This Row],[nb play]]</f>
        <v>1</v>
      </c>
      <c r="H3086" t="str">
        <f>MID(Table132[[#This Row],[ÉTAT]],VALUE(RIGHT(Table132[[#This Row],[next move]],1))+1+VALUE(LEFT(Table132[[#This Row],[next move]],1))*3,1)</f>
        <v>V</v>
      </c>
      <c r="I3086" t="str">
        <f>Table132[[#This Row],[ÉTAT]]&amp;Table132[[#This Row],[next move]]</f>
        <v>VEEVMMEMV10</v>
      </c>
    </row>
    <row r="3087" spans="2:9" x14ac:dyDescent="0.25">
      <c r="B3087" t="s">
        <v>1639</v>
      </c>
      <c r="C3087" s="22" t="s">
        <v>30</v>
      </c>
      <c r="D3087">
        <v>3</v>
      </c>
      <c r="E3087">
        <v>3</v>
      </c>
      <c r="G3087" s="31">
        <f>Table132[[#This Row],[nb win]]/Table132[[#This Row],[nb play]]</f>
        <v>1</v>
      </c>
      <c r="H3087" t="str">
        <f>MID(Table132[[#This Row],[ÉTAT]],VALUE(RIGHT(Table132[[#This Row],[next move]],1))+1+VALUE(LEFT(Table132[[#This Row],[next move]],1))*3,1)</f>
        <v>V</v>
      </c>
      <c r="I3087" t="str">
        <f>Table132[[#This Row],[ÉTAT]]&amp;Table132[[#This Row],[next move]]</f>
        <v>VEEVMMEEM10</v>
      </c>
    </row>
    <row r="3088" spans="2:9" x14ac:dyDescent="0.25">
      <c r="B3088" t="s">
        <v>2615</v>
      </c>
      <c r="C3088" s="22" t="s">
        <v>24</v>
      </c>
      <c r="D3088">
        <v>2</v>
      </c>
      <c r="E3088">
        <v>2</v>
      </c>
      <c r="G3088" s="31">
        <f>Table132[[#This Row],[nb win]]/Table132[[#This Row],[nb play]]</f>
        <v>1</v>
      </c>
      <c r="H3088" t="str">
        <f>MID(Table132[[#This Row],[ÉTAT]],VALUE(RIGHT(Table132[[#This Row],[next move]],1))+1+VALUE(LEFT(Table132[[#This Row],[next move]],1))*3,1)</f>
        <v>V</v>
      </c>
      <c r="I3088" t="str">
        <f>Table132[[#This Row],[ÉTAT]]&amp;Table132[[#This Row],[next move]]</f>
        <v>VEEVMEVVM00</v>
      </c>
    </row>
    <row r="3089" spans="2:9" x14ac:dyDescent="0.25">
      <c r="B3089" t="s">
        <v>2615</v>
      </c>
      <c r="C3089" s="22" t="s">
        <v>35</v>
      </c>
      <c r="D3089">
        <v>3</v>
      </c>
      <c r="G3089" s="30">
        <f>Table132[[#This Row],[nb win]]/Table132[[#This Row],[nb play]]</f>
        <v>0</v>
      </c>
      <c r="H3089" t="str">
        <f>MID(Table132[[#This Row],[ÉTAT]],VALUE(RIGHT(Table132[[#This Row],[next move]],1))+1+VALUE(LEFT(Table132[[#This Row],[next move]],1))*3,1)</f>
        <v>V</v>
      </c>
      <c r="I3089" t="str">
        <f>Table132[[#This Row],[ÉTAT]]&amp;Table132[[#This Row],[next move]]</f>
        <v>VEEVMEVVM20</v>
      </c>
    </row>
    <row r="3090" spans="2:9" x14ac:dyDescent="0.25">
      <c r="B3090" t="s">
        <v>3035</v>
      </c>
      <c r="C3090" s="22" t="s">
        <v>24</v>
      </c>
      <c r="D3090">
        <v>1</v>
      </c>
      <c r="E3090">
        <v>1</v>
      </c>
      <c r="G3090" s="31">
        <f>Table132[[#This Row],[nb win]]/Table132[[#This Row],[nb play]]</f>
        <v>1</v>
      </c>
      <c r="H3090" t="str">
        <f>MID(Table132[[#This Row],[ÉTAT]],VALUE(RIGHT(Table132[[#This Row],[next move]],1))+1+VALUE(LEFT(Table132[[#This Row],[next move]],1))*3,1)</f>
        <v>V</v>
      </c>
      <c r="I3090" t="str">
        <f>Table132[[#This Row],[ÉTAT]]&amp;Table132[[#This Row],[next move]]</f>
        <v>VEEVMEVMV00</v>
      </c>
    </row>
    <row r="3091" spans="2:9" x14ac:dyDescent="0.25">
      <c r="B3091" t="s">
        <v>3035</v>
      </c>
      <c r="C3091" s="22" t="s">
        <v>35</v>
      </c>
      <c r="D3091">
        <v>1</v>
      </c>
      <c r="G3091" s="25">
        <f>Table132[[#This Row],[nb win]]/Table132[[#This Row],[nb play]]</f>
        <v>0</v>
      </c>
      <c r="H3091" t="str">
        <f>MID(Table132[[#This Row],[ÉTAT]],VALUE(RIGHT(Table132[[#This Row],[next move]],1))+1+VALUE(LEFT(Table132[[#This Row],[next move]],1))*3,1)</f>
        <v>V</v>
      </c>
      <c r="I3091" t="str">
        <f>Table132[[#This Row],[ÉTAT]]&amp;Table132[[#This Row],[next move]]</f>
        <v>VEEVMEVMV20</v>
      </c>
    </row>
    <row r="3092" spans="2:9" x14ac:dyDescent="0.25">
      <c r="B3092" t="s">
        <v>141</v>
      </c>
      <c r="C3092" s="22" t="s">
        <v>35</v>
      </c>
      <c r="D3092">
        <v>5</v>
      </c>
      <c r="E3092">
        <v>5</v>
      </c>
      <c r="G3092" s="31">
        <f>Table132[[#This Row],[nb win]]/Table132[[#This Row],[nb play]]</f>
        <v>1</v>
      </c>
      <c r="H3092" t="str">
        <f>MID(Table132[[#This Row],[ÉTAT]],VALUE(RIGHT(Table132[[#This Row],[next move]],1))+1+VALUE(LEFT(Table132[[#This Row],[next move]],1))*3,1)</f>
        <v>V</v>
      </c>
      <c r="I3092" t="str">
        <f>Table132[[#This Row],[ÉTAT]]&amp;Table132[[#This Row],[next move]]</f>
        <v>VEEVMEVMM20</v>
      </c>
    </row>
    <row r="3093" spans="2:9" x14ac:dyDescent="0.25">
      <c r="B3093" t="s">
        <v>941</v>
      </c>
      <c r="C3093" s="22" t="s">
        <v>24</v>
      </c>
      <c r="D3093">
        <v>1</v>
      </c>
      <c r="E3093">
        <v>1</v>
      </c>
      <c r="G3093" s="25">
        <f>Table132[[#This Row],[nb win]]/Table132[[#This Row],[nb play]]</f>
        <v>1</v>
      </c>
      <c r="H3093" t="str">
        <f>MID(Table132[[#This Row],[ÉTAT]],VALUE(RIGHT(Table132[[#This Row],[next move]],1))+1+VALUE(LEFT(Table132[[#This Row],[next move]],1))*3,1)</f>
        <v>V</v>
      </c>
      <c r="I3093" t="str">
        <f>Table132[[#This Row],[ÉTAT]]&amp;Table132[[#This Row],[next move]]</f>
        <v>VEEVMEMVV00</v>
      </c>
    </row>
    <row r="3094" spans="2:9" x14ac:dyDescent="0.25">
      <c r="B3094" t="s">
        <v>941</v>
      </c>
      <c r="C3094" s="22" t="s">
        <v>30</v>
      </c>
      <c r="D3094">
        <v>1</v>
      </c>
      <c r="G3094" s="25">
        <f>Table132[[#This Row],[nb win]]/Table132[[#This Row],[nb play]]</f>
        <v>0</v>
      </c>
      <c r="H3094" t="str">
        <f>MID(Table132[[#This Row],[ÉTAT]],VALUE(RIGHT(Table132[[#This Row],[next move]],1))+1+VALUE(LEFT(Table132[[#This Row],[next move]],1))*3,1)</f>
        <v>V</v>
      </c>
      <c r="I3094" t="str">
        <f>Table132[[#This Row],[ÉTAT]]&amp;Table132[[#This Row],[next move]]</f>
        <v>VEEVMEMVV10</v>
      </c>
    </row>
    <row r="3095" spans="2:9" x14ac:dyDescent="0.25">
      <c r="B3095" t="s">
        <v>628</v>
      </c>
      <c r="C3095" s="22" t="s">
        <v>24</v>
      </c>
      <c r="D3095">
        <v>5</v>
      </c>
      <c r="E3095">
        <v>5</v>
      </c>
      <c r="G3095" s="31">
        <f>Table132[[#This Row],[nb win]]/Table132[[#This Row],[nb play]]</f>
        <v>1</v>
      </c>
      <c r="H3095" t="str">
        <f>MID(Table132[[#This Row],[ÉTAT]],VALUE(RIGHT(Table132[[#This Row],[next move]],1))+1+VALUE(LEFT(Table132[[#This Row],[next move]],1))*3,1)</f>
        <v>V</v>
      </c>
      <c r="I3095" t="str">
        <f>Table132[[#This Row],[ÉTAT]]&amp;Table132[[#This Row],[next move]]</f>
        <v>VEEVMEMVM00</v>
      </c>
    </row>
    <row r="3096" spans="2:9" x14ac:dyDescent="0.25">
      <c r="B3096" t="s">
        <v>3393</v>
      </c>
      <c r="C3096" s="22" t="s">
        <v>24</v>
      </c>
      <c r="D3096">
        <v>1</v>
      </c>
      <c r="E3096">
        <v>1</v>
      </c>
      <c r="G3096" s="31">
        <f>Table132[[#This Row],[nb win]]/Table132[[#This Row],[nb play]]</f>
        <v>1</v>
      </c>
      <c r="H3096" t="str">
        <f>MID(Table132[[#This Row],[ÉTAT]],VALUE(RIGHT(Table132[[#This Row],[next move]],1))+1+VALUE(LEFT(Table132[[#This Row],[next move]],1))*3,1)</f>
        <v>V</v>
      </c>
      <c r="I3096" t="str">
        <f>Table132[[#This Row],[ÉTAT]]&amp;Table132[[#This Row],[next move]]</f>
        <v>VEEVMEMEM00</v>
      </c>
    </row>
    <row r="3097" spans="2:9" x14ac:dyDescent="0.25">
      <c r="B3097" t="s">
        <v>3393</v>
      </c>
      <c r="C3097" s="22" t="s">
        <v>30</v>
      </c>
      <c r="D3097">
        <v>1</v>
      </c>
      <c r="G3097" s="30">
        <f>Table132[[#This Row],[nb win]]/Table132[[#This Row],[nb play]]</f>
        <v>0</v>
      </c>
      <c r="H3097" t="str">
        <f>MID(Table132[[#This Row],[ÉTAT]],VALUE(RIGHT(Table132[[#This Row],[next move]],1))+1+VALUE(LEFT(Table132[[#This Row],[next move]],1))*3,1)</f>
        <v>V</v>
      </c>
      <c r="I3097" t="str">
        <f>Table132[[#This Row],[ÉTAT]]&amp;Table132[[#This Row],[next move]]</f>
        <v>VEEVMEMEM10</v>
      </c>
    </row>
    <row r="3098" spans="2:9" x14ac:dyDescent="0.25">
      <c r="B3098" t="s">
        <v>2972</v>
      </c>
      <c r="C3098" s="22" t="s">
        <v>24</v>
      </c>
      <c r="D3098">
        <v>4</v>
      </c>
      <c r="E3098">
        <v>4</v>
      </c>
      <c r="G3098" s="31">
        <f>Table132[[#This Row],[nb win]]/Table132[[#This Row],[nb play]]</f>
        <v>1</v>
      </c>
      <c r="H3098" t="str">
        <f>MID(Table132[[#This Row],[ÉTAT]],VALUE(RIGHT(Table132[[#This Row],[next move]],1))+1+VALUE(LEFT(Table132[[#This Row],[next move]],1))*3,1)</f>
        <v>V</v>
      </c>
      <c r="I3098" t="str">
        <f>Table132[[#This Row],[ÉTAT]]&amp;Table132[[#This Row],[next move]]</f>
        <v>VEEVMEEMM00</v>
      </c>
    </row>
    <row r="3099" spans="2:9" x14ac:dyDescent="0.25">
      <c r="B3099" t="s">
        <v>2357</v>
      </c>
      <c r="C3099" s="22" t="s">
        <v>24</v>
      </c>
      <c r="D3099">
        <v>2</v>
      </c>
      <c r="G3099" s="30">
        <f>Table132[[#This Row],[nb win]]/Table132[[#This Row],[nb play]]</f>
        <v>0</v>
      </c>
      <c r="H3099" t="str">
        <f>MID(Table132[[#This Row],[ÉTAT]],VALUE(RIGHT(Table132[[#This Row],[next move]],1))+1+VALUE(LEFT(Table132[[#This Row],[next move]],1))*3,1)</f>
        <v>V</v>
      </c>
      <c r="I3099" t="str">
        <f>Table132[[#This Row],[ÉTAT]]&amp;Table132[[#This Row],[next move]]</f>
        <v>VEEVEVVMM00</v>
      </c>
    </row>
    <row r="3100" spans="2:9" x14ac:dyDescent="0.25">
      <c r="B3100" t="s">
        <v>2357</v>
      </c>
      <c r="C3100" s="22" t="s">
        <v>30</v>
      </c>
      <c r="D3100">
        <v>3</v>
      </c>
      <c r="G3100" s="30">
        <f>Table132[[#This Row],[nb win]]/Table132[[#This Row],[nb play]]</f>
        <v>0</v>
      </c>
      <c r="H3100" t="str">
        <f>MID(Table132[[#This Row],[ÉTAT]],VALUE(RIGHT(Table132[[#This Row],[next move]],1))+1+VALUE(LEFT(Table132[[#This Row],[next move]],1))*3,1)</f>
        <v>V</v>
      </c>
      <c r="I3100" t="str">
        <f>Table132[[#This Row],[ÉTAT]]&amp;Table132[[#This Row],[next move]]</f>
        <v>VEEVEVVMM10</v>
      </c>
    </row>
    <row r="3101" spans="2:9" x14ac:dyDescent="0.25">
      <c r="B3101" t="s">
        <v>2357</v>
      </c>
      <c r="C3101" s="22" t="s">
        <v>28</v>
      </c>
      <c r="D3101">
        <v>2</v>
      </c>
      <c r="G3101" s="30">
        <f>Table132[[#This Row],[nb win]]/Table132[[#This Row],[nb play]]</f>
        <v>0</v>
      </c>
      <c r="H3101" t="str">
        <f>MID(Table132[[#This Row],[ÉTAT]],VALUE(RIGHT(Table132[[#This Row],[next move]],1))+1+VALUE(LEFT(Table132[[#This Row],[next move]],1))*3,1)</f>
        <v>V</v>
      </c>
      <c r="I3101" t="str">
        <f>Table132[[#This Row],[ÉTAT]]&amp;Table132[[#This Row],[next move]]</f>
        <v>VEEVEVVMM12</v>
      </c>
    </row>
    <row r="3102" spans="2:9" x14ac:dyDescent="0.25">
      <c r="B3102" t="s">
        <v>2357</v>
      </c>
      <c r="C3102" s="22" t="s">
        <v>35</v>
      </c>
      <c r="D3102">
        <v>3</v>
      </c>
      <c r="E3102">
        <v>3</v>
      </c>
      <c r="G3102" s="31">
        <f>Table132[[#This Row],[nb win]]/Table132[[#This Row],[nb play]]</f>
        <v>1</v>
      </c>
      <c r="H3102" t="str">
        <f>MID(Table132[[#This Row],[ÉTAT]],VALUE(RIGHT(Table132[[#This Row],[next move]],1))+1+VALUE(LEFT(Table132[[#This Row],[next move]],1))*3,1)</f>
        <v>V</v>
      </c>
      <c r="I3102" t="str">
        <f>Table132[[#This Row],[ÉTAT]]&amp;Table132[[#This Row],[next move]]</f>
        <v>VEEVEVVMM20</v>
      </c>
    </row>
    <row r="3103" spans="2:9" x14ac:dyDescent="0.25">
      <c r="B3103" t="s">
        <v>1647</v>
      </c>
      <c r="C3103" s="22" t="s">
        <v>30</v>
      </c>
      <c r="D3103">
        <v>1</v>
      </c>
      <c r="G3103" s="25">
        <f>Table132[[#This Row],[nb win]]/Table132[[#This Row],[nb play]]</f>
        <v>0</v>
      </c>
      <c r="H3103" t="str">
        <f>MID(Table132[[#This Row],[ÉTAT]],VALUE(RIGHT(Table132[[#This Row],[next move]],1))+1+VALUE(LEFT(Table132[[#This Row],[next move]],1))*3,1)</f>
        <v>V</v>
      </c>
      <c r="I3103" t="str">
        <f>Table132[[#This Row],[ÉTAT]]&amp;Table132[[#This Row],[next move]]</f>
        <v>VEEVEVMVM10</v>
      </c>
    </row>
    <row r="3104" spans="2:9" x14ac:dyDescent="0.25">
      <c r="B3104" t="s">
        <v>3209</v>
      </c>
      <c r="C3104" s="22" t="s">
        <v>30</v>
      </c>
      <c r="D3104">
        <v>1</v>
      </c>
      <c r="G3104" s="30">
        <f>Table132[[#This Row],[nb win]]/Table132[[#This Row],[nb play]]</f>
        <v>0</v>
      </c>
      <c r="H3104" t="str">
        <f>MID(Table132[[#This Row],[ÉTAT]],VALUE(RIGHT(Table132[[#This Row],[next move]],1))+1+VALUE(LEFT(Table132[[#This Row],[next move]],1))*3,1)</f>
        <v>V</v>
      </c>
      <c r="I3104" t="str">
        <f>Table132[[#This Row],[ÉTAT]]&amp;Table132[[#This Row],[next move]]</f>
        <v>VEEVEMVMM10</v>
      </c>
    </row>
    <row r="3105" spans="2:9" x14ac:dyDescent="0.25">
      <c r="B3105" t="s">
        <v>849</v>
      </c>
      <c r="C3105" s="22" t="s">
        <v>24</v>
      </c>
      <c r="D3105">
        <v>6</v>
      </c>
      <c r="G3105" s="30">
        <f>Table132[[#This Row],[nb win]]/Table132[[#This Row],[nb play]]</f>
        <v>0</v>
      </c>
      <c r="H3105" t="str">
        <f>MID(Table132[[#This Row],[ÉTAT]],VALUE(RIGHT(Table132[[#This Row],[next move]],1))+1+VALUE(LEFT(Table132[[#This Row],[next move]],1))*3,1)</f>
        <v>V</v>
      </c>
      <c r="I3105" t="str">
        <f>Table132[[#This Row],[ÉTAT]]&amp;Table132[[#This Row],[next move]]</f>
        <v>VEEVEMMVV00</v>
      </c>
    </row>
    <row r="3106" spans="2:9" x14ac:dyDescent="0.25">
      <c r="B3106" t="s">
        <v>849</v>
      </c>
      <c r="C3106" s="22" t="s">
        <v>30</v>
      </c>
      <c r="D3106">
        <v>4</v>
      </c>
      <c r="G3106" s="30">
        <f>Table132[[#This Row],[nb win]]/Table132[[#This Row],[nb play]]</f>
        <v>0</v>
      </c>
      <c r="H3106" t="str">
        <f>MID(Table132[[#This Row],[ÉTAT]],VALUE(RIGHT(Table132[[#This Row],[next move]],1))+1+VALUE(LEFT(Table132[[#This Row],[next move]],1))*3,1)</f>
        <v>V</v>
      </c>
      <c r="I3106" t="str">
        <f>Table132[[#This Row],[ÉTAT]]&amp;Table132[[#This Row],[next move]]</f>
        <v>VEEVEMMVV10</v>
      </c>
    </row>
    <row r="3107" spans="2:9" x14ac:dyDescent="0.25">
      <c r="B3107" t="s">
        <v>849</v>
      </c>
      <c r="C3107" s="22" t="s">
        <v>22</v>
      </c>
      <c r="D3107">
        <v>4</v>
      </c>
      <c r="G3107" s="30">
        <f>Table132[[#This Row],[nb win]]/Table132[[#This Row],[nb play]]</f>
        <v>0</v>
      </c>
      <c r="H3107" t="str">
        <f>MID(Table132[[#This Row],[ÉTAT]],VALUE(RIGHT(Table132[[#This Row],[next move]],1))+1+VALUE(LEFT(Table132[[#This Row],[next move]],1))*3,1)</f>
        <v>V</v>
      </c>
      <c r="I3107" t="str">
        <f>Table132[[#This Row],[ÉTAT]]&amp;Table132[[#This Row],[next move]]</f>
        <v>VEEVEMMVV21</v>
      </c>
    </row>
    <row r="3108" spans="2:9" x14ac:dyDescent="0.25">
      <c r="B3108" t="s">
        <v>849</v>
      </c>
      <c r="C3108" s="22" t="s">
        <v>31</v>
      </c>
      <c r="D3108">
        <v>2</v>
      </c>
      <c r="G3108" s="30">
        <f>Table132[[#This Row],[nb win]]/Table132[[#This Row],[nb play]]</f>
        <v>0</v>
      </c>
      <c r="H3108" t="str">
        <f>MID(Table132[[#This Row],[ÉTAT]],VALUE(RIGHT(Table132[[#This Row],[next move]],1))+1+VALUE(LEFT(Table132[[#This Row],[next move]],1))*3,1)</f>
        <v>V</v>
      </c>
      <c r="I3108" t="str">
        <f>Table132[[#This Row],[ÉTAT]]&amp;Table132[[#This Row],[next move]]</f>
        <v>VEEVEMMVV22</v>
      </c>
    </row>
    <row r="3109" spans="2:9" x14ac:dyDescent="0.25">
      <c r="B3109" t="s">
        <v>2153</v>
      </c>
      <c r="C3109" s="22" t="s">
        <v>24</v>
      </c>
      <c r="D3109">
        <v>2</v>
      </c>
      <c r="E3109">
        <v>2</v>
      </c>
      <c r="G3109" s="25">
        <f>Table132[[#This Row],[nb win]]/Table132[[#This Row],[nb play]]</f>
        <v>1</v>
      </c>
      <c r="H3109" t="str">
        <f>MID(Table132[[#This Row],[ÉTAT]],VALUE(RIGHT(Table132[[#This Row],[next move]],1))+1+VALUE(LEFT(Table132[[#This Row],[next move]],1))*3,1)</f>
        <v>V</v>
      </c>
      <c r="I3109" t="str">
        <f>Table132[[#This Row],[ÉTAT]]&amp;Table132[[#This Row],[next move]]</f>
        <v>VEEVEMMMV00</v>
      </c>
    </row>
    <row r="3110" spans="2:9" x14ac:dyDescent="0.25">
      <c r="B3110" t="s">
        <v>421</v>
      </c>
      <c r="C3110" s="22" t="s">
        <v>24</v>
      </c>
      <c r="D3110">
        <v>4</v>
      </c>
      <c r="E3110">
        <v>3</v>
      </c>
      <c r="G3110" s="30">
        <f>Table132[[#This Row],[nb win]]/Table132[[#This Row],[nb play]]</f>
        <v>0.75</v>
      </c>
      <c r="H3110" t="str">
        <f>MID(Table132[[#This Row],[ÉTAT]],VALUE(RIGHT(Table132[[#This Row],[next move]],1))+1+VALUE(LEFT(Table132[[#This Row],[next move]],1))*3,1)</f>
        <v>V</v>
      </c>
      <c r="I3110" t="str">
        <f>Table132[[#This Row],[ÉTAT]]&amp;Table132[[#This Row],[next move]]</f>
        <v>VEEMVVVVV00</v>
      </c>
    </row>
    <row r="3111" spans="2:9" x14ac:dyDescent="0.25">
      <c r="B3111" t="s">
        <v>421</v>
      </c>
      <c r="C3111" s="22" t="s">
        <v>28</v>
      </c>
      <c r="D3111">
        <v>3</v>
      </c>
      <c r="E3111">
        <v>1</v>
      </c>
      <c r="G3111" s="30">
        <f>Table132[[#This Row],[nb win]]/Table132[[#This Row],[nb play]]</f>
        <v>0.33333333333333331</v>
      </c>
      <c r="H3111" t="str">
        <f>MID(Table132[[#This Row],[ÉTAT]],VALUE(RIGHT(Table132[[#This Row],[next move]],1))+1+VALUE(LEFT(Table132[[#This Row],[next move]],1))*3,1)</f>
        <v>V</v>
      </c>
      <c r="I3111" t="str">
        <f>Table132[[#This Row],[ÉTAT]]&amp;Table132[[#This Row],[next move]]</f>
        <v>VEEMVVVVV12</v>
      </c>
    </row>
    <row r="3112" spans="2:9" x14ac:dyDescent="0.25">
      <c r="B3112" t="s">
        <v>421</v>
      </c>
      <c r="C3112" s="22" t="s">
        <v>35</v>
      </c>
      <c r="D3112">
        <v>6</v>
      </c>
      <c r="E3112">
        <v>2</v>
      </c>
      <c r="G3112" s="30">
        <f>Table132[[#This Row],[nb win]]/Table132[[#This Row],[nb play]]</f>
        <v>0.33333333333333331</v>
      </c>
      <c r="H3112" t="str">
        <f>MID(Table132[[#This Row],[ÉTAT]],VALUE(RIGHT(Table132[[#This Row],[next move]],1))+1+VALUE(LEFT(Table132[[#This Row],[next move]],1))*3,1)</f>
        <v>V</v>
      </c>
      <c r="I3112" t="str">
        <f>Table132[[#This Row],[ÉTAT]]&amp;Table132[[#This Row],[next move]]</f>
        <v>VEEMVVVVV20</v>
      </c>
    </row>
    <row r="3113" spans="2:9" x14ac:dyDescent="0.25">
      <c r="B3113" t="s">
        <v>421</v>
      </c>
      <c r="C3113" s="22" t="s">
        <v>22</v>
      </c>
      <c r="D3113">
        <v>1</v>
      </c>
      <c r="G3113" s="25">
        <f>Table132[[#This Row],[nb win]]/Table132[[#This Row],[nb play]]</f>
        <v>0</v>
      </c>
      <c r="H3113" t="str">
        <f>MID(Table132[[#This Row],[ÉTAT]],VALUE(RIGHT(Table132[[#This Row],[next move]],1))+1+VALUE(LEFT(Table132[[#This Row],[next move]],1))*3,1)</f>
        <v>V</v>
      </c>
      <c r="I3113" t="str">
        <f>Table132[[#This Row],[ÉTAT]]&amp;Table132[[#This Row],[next move]]</f>
        <v>VEEMVVVVV21</v>
      </c>
    </row>
    <row r="3114" spans="2:9" x14ac:dyDescent="0.25">
      <c r="B3114" t="s">
        <v>581</v>
      </c>
      <c r="C3114" s="22" t="s">
        <v>24</v>
      </c>
      <c r="D3114">
        <v>1</v>
      </c>
      <c r="E3114">
        <v>1</v>
      </c>
      <c r="G3114" s="31">
        <f>Table132[[#This Row],[nb win]]/Table132[[#This Row],[nb play]]</f>
        <v>1</v>
      </c>
      <c r="H3114" t="str">
        <f>MID(Table132[[#This Row],[ÉTAT]],VALUE(RIGHT(Table132[[#This Row],[next move]],1))+1+VALUE(LEFT(Table132[[#This Row],[next move]],1))*3,1)</f>
        <v>V</v>
      </c>
      <c r="I3114" t="str">
        <f>Table132[[#This Row],[ÉTAT]]&amp;Table132[[#This Row],[next move]]</f>
        <v>VEEMVVVVM00</v>
      </c>
    </row>
    <row r="3115" spans="2:9" x14ac:dyDescent="0.25">
      <c r="B3115" t="s">
        <v>581</v>
      </c>
      <c r="C3115" s="22" t="s">
        <v>29</v>
      </c>
      <c r="D3115">
        <v>6</v>
      </c>
      <c r="E3115">
        <v>4</v>
      </c>
      <c r="G3115" s="31">
        <f>Table132[[#This Row],[nb win]]/Table132[[#This Row],[nb play]]</f>
        <v>0.66666666666666663</v>
      </c>
      <c r="H3115" t="str">
        <f>MID(Table132[[#This Row],[ÉTAT]],VALUE(RIGHT(Table132[[#This Row],[next move]],1))+1+VALUE(LEFT(Table132[[#This Row],[next move]],1))*3,1)</f>
        <v>V</v>
      </c>
      <c r="I3115" t="str">
        <f>Table132[[#This Row],[ÉTAT]]&amp;Table132[[#This Row],[next move]]</f>
        <v>VEEMVVVVM11</v>
      </c>
    </row>
    <row r="3116" spans="2:9" x14ac:dyDescent="0.25">
      <c r="B3116" t="s">
        <v>581</v>
      </c>
      <c r="C3116" s="22" t="s">
        <v>22</v>
      </c>
      <c r="D3116">
        <v>2</v>
      </c>
      <c r="E3116">
        <v>1</v>
      </c>
      <c r="G3116" s="30">
        <f>Table132[[#This Row],[nb win]]/Table132[[#This Row],[nb play]]</f>
        <v>0.5</v>
      </c>
      <c r="H3116" t="str">
        <f>MID(Table132[[#This Row],[ÉTAT]],VALUE(RIGHT(Table132[[#This Row],[next move]],1))+1+VALUE(LEFT(Table132[[#This Row],[next move]],1))*3,1)</f>
        <v>V</v>
      </c>
      <c r="I3116" t="str">
        <f>Table132[[#This Row],[ÉTAT]]&amp;Table132[[#This Row],[next move]]</f>
        <v>VEEMVVVVM21</v>
      </c>
    </row>
    <row r="3117" spans="2:9" x14ac:dyDescent="0.25">
      <c r="B3117" t="s">
        <v>3239</v>
      </c>
      <c r="C3117" s="22" t="s">
        <v>24</v>
      </c>
      <c r="D3117">
        <v>1</v>
      </c>
      <c r="G3117" s="30">
        <f>Table132[[#This Row],[nb win]]/Table132[[#This Row],[nb play]]</f>
        <v>0</v>
      </c>
      <c r="H3117" t="str">
        <f>MID(Table132[[#This Row],[ÉTAT]],VALUE(RIGHT(Table132[[#This Row],[next move]],1))+1+VALUE(LEFT(Table132[[#This Row],[next move]],1))*3,1)</f>
        <v>V</v>
      </c>
      <c r="I3117" t="str">
        <f>Table132[[#This Row],[ÉTAT]]&amp;Table132[[#This Row],[next move]]</f>
        <v>VEEMVVVMV00</v>
      </c>
    </row>
    <row r="3118" spans="2:9" x14ac:dyDescent="0.25">
      <c r="B3118" t="s">
        <v>3239</v>
      </c>
      <c r="C3118" s="22" t="s">
        <v>29</v>
      </c>
      <c r="D3118">
        <v>1</v>
      </c>
      <c r="G3118" s="30">
        <f>Table132[[#This Row],[nb win]]/Table132[[#This Row],[nb play]]</f>
        <v>0</v>
      </c>
      <c r="H3118" t="str">
        <f>MID(Table132[[#This Row],[ÉTAT]],VALUE(RIGHT(Table132[[#This Row],[next move]],1))+1+VALUE(LEFT(Table132[[#This Row],[next move]],1))*3,1)</f>
        <v>V</v>
      </c>
      <c r="I3118" t="str">
        <f>Table132[[#This Row],[ÉTAT]]&amp;Table132[[#This Row],[next move]]</f>
        <v>VEEMVVVMV11</v>
      </c>
    </row>
    <row r="3119" spans="2:9" x14ac:dyDescent="0.25">
      <c r="B3119" t="s">
        <v>3239</v>
      </c>
      <c r="C3119" s="22" t="s">
        <v>35</v>
      </c>
      <c r="D3119">
        <v>1</v>
      </c>
      <c r="E3119">
        <v>1</v>
      </c>
      <c r="G3119" s="31">
        <f>Table132[[#This Row],[nb win]]/Table132[[#This Row],[nb play]]</f>
        <v>1</v>
      </c>
      <c r="H3119" t="str">
        <f>MID(Table132[[#This Row],[ÉTAT]],VALUE(RIGHT(Table132[[#This Row],[next move]],1))+1+VALUE(LEFT(Table132[[#This Row],[next move]],1))*3,1)</f>
        <v>V</v>
      </c>
      <c r="I3119" t="str">
        <f>Table132[[#This Row],[ÉTAT]]&amp;Table132[[#This Row],[next move]]</f>
        <v>VEEMVVVMV20</v>
      </c>
    </row>
    <row r="3120" spans="2:9" x14ac:dyDescent="0.25">
      <c r="B3120" t="s">
        <v>3239</v>
      </c>
      <c r="C3120" s="22" t="s">
        <v>31</v>
      </c>
      <c r="D3120">
        <v>1</v>
      </c>
      <c r="G3120" s="30">
        <f>Table132[[#This Row],[nb win]]/Table132[[#This Row],[nb play]]</f>
        <v>0</v>
      </c>
      <c r="H3120" t="str">
        <f>MID(Table132[[#This Row],[ÉTAT]],VALUE(RIGHT(Table132[[#This Row],[next move]],1))+1+VALUE(LEFT(Table132[[#This Row],[next move]],1))*3,1)</f>
        <v>V</v>
      </c>
      <c r="I3120" t="str">
        <f>Table132[[#This Row],[ÉTAT]]&amp;Table132[[#This Row],[next move]]</f>
        <v>VEEMVVVMV22</v>
      </c>
    </row>
    <row r="3121" spans="2:9" x14ac:dyDescent="0.25">
      <c r="B3121" t="s">
        <v>622</v>
      </c>
      <c r="C3121" s="22" t="s">
        <v>24</v>
      </c>
      <c r="D3121">
        <v>5</v>
      </c>
      <c r="E3121">
        <v>5</v>
      </c>
      <c r="G3121" s="31">
        <f>Table132[[#This Row],[nb win]]/Table132[[#This Row],[nb play]]</f>
        <v>1</v>
      </c>
      <c r="H3121" t="str">
        <f>MID(Table132[[#This Row],[ÉTAT]],VALUE(RIGHT(Table132[[#This Row],[next move]],1))+1+VALUE(LEFT(Table132[[#This Row],[next move]],1))*3,1)</f>
        <v>V</v>
      </c>
      <c r="I3121" t="str">
        <f>Table132[[#This Row],[ÉTAT]]&amp;Table132[[#This Row],[next move]]</f>
        <v>VEEMVVMVE00</v>
      </c>
    </row>
    <row r="3122" spans="2:9" x14ac:dyDescent="0.25">
      <c r="B3122" t="s">
        <v>3470</v>
      </c>
      <c r="C3122" s="22" t="s">
        <v>28</v>
      </c>
      <c r="D3122">
        <v>1</v>
      </c>
      <c r="G3122" s="30">
        <f>Table132[[#This Row],[nb win]]/Table132[[#This Row],[nb play]]</f>
        <v>0</v>
      </c>
      <c r="H3122" t="str">
        <f>MID(Table132[[#This Row],[ÉTAT]],VALUE(RIGHT(Table132[[#This Row],[next move]],1))+1+VALUE(LEFT(Table132[[#This Row],[next move]],1))*3,1)</f>
        <v>V</v>
      </c>
      <c r="I3122" t="str">
        <f>Table132[[#This Row],[ÉTAT]]&amp;Table132[[#This Row],[next move]]</f>
        <v>VEEMVVMME12</v>
      </c>
    </row>
    <row r="3123" spans="2:9" x14ac:dyDescent="0.25">
      <c r="B3123" t="s">
        <v>3143</v>
      </c>
      <c r="C3123" s="22" t="s">
        <v>24</v>
      </c>
      <c r="D3123">
        <v>2</v>
      </c>
      <c r="E3123">
        <v>2</v>
      </c>
      <c r="G3123" s="31">
        <f>Table132[[#This Row],[nb win]]/Table132[[#This Row],[nb play]]</f>
        <v>1</v>
      </c>
      <c r="H3123" t="str">
        <f>MID(Table132[[#This Row],[ÉTAT]],VALUE(RIGHT(Table132[[#This Row],[next move]],1))+1+VALUE(LEFT(Table132[[#This Row],[next move]],1))*3,1)</f>
        <v>V</v>
      </c>
      <c r="I3123" t="str">
        <f>Table132[[#This Row],[ÉTAT]]&amp;Table132[[#This Row],[next move]]</f>
        <v>VEEMVVMEV00</v>
      </c>
    </row>
    <row r="3124" spans="2:9" x14ac:dyDescent="0.25">
      <c r="B3124" t="s">
        <v>2562</v>
      </c>
      <c r="C3124" s="22" t="s">
        <v>29</v>
      </c>
      <c r="D3124">
        <v>1</v>
      </c>
      <c r="E3124">
        <v>1</v>
      </c>
      <c r="G3124" s="25">
        <f>Table132[[#This Row],[nb win]]/Table132[[#This Row],[nb play]]</f>
        <v>1</v>
      </c>
      <c r="H3124" t="str">
        <f>MID(Table132[[#This Row],[ÉTAT]],VALUE(RIGHT(Table132[[#This Row],[next move]],1))+1+VALUE(LEFT(Table132[[#This Row],[next move]],1))*3,1)</f>
        <v>V</v>
      </c>
      <c r="I3124" t="str">
        <f>Table132[[#This Row],[ÉTAT]]&amp;Table132[[#This Row],[next move]]</f>
        <v>VEEMVVEMM11</v>
      </c>
    </row>
    <row r="3125" spans="2:9" x14ac:dyDescent="0.25">
      <c r="B3125" t="s">
        <v>2461</v>
      </c>
      <c r="C3125" s="22" t="s">
        <v>35</v>
      </c>
      <c r="D3125">
        <v>1</v>
      </c>
      <c r="G3125" s="25">
        <f>Table132[[#This Row],[nb win]]/Table132[[#This Row],[nb play]]</f>
        <v>0</v>
      </c>
      <c r="H3125" t="str">
        <f>MID(Table132[[#This Row],[ÉTAT]],VALUE(RIGHT(Table132[[#This Row],[next move]],1))+1+VALUE(LEFT(Table132[[#This Row],[next move]],1))*3,1)</f>
        <v>V</v>
      </c>
      <c r="I3125" t="str">
        <f>Table132[[#This Row],[ÉTAT]]&amp;Table132[[#This Row],[next move]]</f>
        <v>VEEMVMVVV20</v>
      </c>
    </row>
    <row r="3126" spans="2:9" x14ac:dyDescent="0.25">
      <c r="B3126" t="s">
        <v>2461</v>
      </c>
      <c r="C3126" s="22" t="s">
        <v>22</v>
      </c>
      <c r="D3126">
        <v>2</v>
      </c>
      <c r="E3126">
        <v>1</v>
      </c>
      <c r="G3126" s="30">
        <f>Table132[[#This Row],[nb win]]/Table132[[#This Row],[nb play]]</f>
        <v>0.5</v>
      </c>
      <c r="H3126" t="str">
        <f>MID(Table132[[#This Row],[ÉTAT]],VALUE(RIGHT(Table132[[#This Row],[next move]],1))+1+VALUE(LEFT(Table132[[#This Row],[next move]],1))*3,1)</f>
        <v>V</v>
      </c>
      <c r="I3126" t="str">
        <f>Table132[[#This Row],[ÉTAT]]&amp;Table132[[#This Row],[next move]]</f>
        <v>VEEMVMVVV21</v>
      </c>
    </row>
    <row r="3127" spans="2:9" x14ac:dyDescent="0.25">
      <c r="B3127" t="s">
        <v>1774</v>
      </c>
      <c r="C3127" s="22" t="s">
        <v>29</v>
      </c>
      <c r="D3127">
        <v>3</v>
      </c>
      <c r="E3127">
        <v>3</v>
      </c>
      <c r="G3127" s="31">
        <f>Table132[[#This Row],[nb win]]/Table132[[#This Row],[nb play]]</f>
        <v>1</v>
      </c>
      <c r="H3127" t="str">
        <f>MID(Table132[[#This Row],[ÉTAT]],VALUE(RIGHT(Table132[[#This Row],[next move]],1))+1+VALUE(LEFT(Table132[[#This Row],[next move]],1))*3,1)</f>
        <v>V</v>
      </c>
      <c r="I3127" t="str">
        <f>Table132[[#This Row],[ÉTAT]]&amp;Table132[[#This Row],[next move]]</f>
        <v>VEEMVMVVE11</v>
      </c>
    </row>
    <row r="3128" spans="2:9" x14ac:dyDescent="0.25">
      <c r="B3128" t="s">
        <v>2486</v>
      </c>
      <c r="C3128" s="22" t="s">
        <v>24</v>
      </c>
      <c r="D3128">
        <v>1</v>
      </c>
      <c r="E3128">
        <v>1</v>
      </c>
      <c r="G3128" s="25">
        <f>Table132[[#This Row],[nb win]]/Table132[[#This Row],[nb play]]</f>
        <v>1</v>
      </c>
      <c r="H3128" t="str">
        <f>MID(Table132[[#This Row],[ÉTAT]],VALUE(RIGHT(Table132[[#This Row],[next move]],1))+1+VALUE(LEFT(Table132[[#This Row],[next move]],1))*3,1)</f>
        <v>V</v>
      </c>
      <c r="I3128" t="str">
        <f>Table132[[#This Row],[ÉTAT]]&amp;Table132[[#This Row],[next move]]</f>
        <v>VEEMVMVME00</v>
      </c>
    </row>
    <row r="3129" spans="2:9" x14ac:dyDescent="0.25">
      <c r="B3129" t="s">
        <v>838</v>
      </c>
      <c r="C3129" s="22" t="s">
        <v>29</v>
      </c>
      <c r="D3129">
        <v>3</v>
      </c>
      <c r="E3129">
        <v>3</v>
      </c>
      <c r="G3129" s="31">
        <f>Table132[[#This Row],[nb win]]/Table132[[#This Row],[nb play]]</f>
        <v>1</v>
      </c>
      <c r="H3129" t="str">
        <f>MID(Table132[[#This Row],[ÉTAT]],VALUE(RIGHT(Table132[[#This Row],[next move]],1))+1+VALUE(LEFT(Table132[[#This Row],[next move]],1))*3,1)</f>
        <v>V</v>
      </c>
      <c r="I3129" t="str">
        <f>Table132[[#This Row],[ÉTAT]]&amp;Table132[[#This Row],[next move]]</f>
        <v>VEEMVMVEV11</v>
      </c>
    </row>
    <row r="3130" spans="2:9" x14ac:dyDescent="0.25">
      <c r="B3130" t="s">
        <v>2055</v>
      </c>
      <c r="C3130" s="22" t="s">
        <v>29</v>
      </c>
      <c r="D3130">
        <v>3</v>
      </c>
      <c r="E3130">
        <v>3</v>
      </c>
      <c r="G3130" s="31">
        <f>Table132[[#This Row],[nb win]]/Table132[[#This Row],[nb play]]</f>
        <v>1</v>
      </c>
      <c r="H3130" t="str">
        <f>MID(Table132[[#This Row],[ÉTAT]],VALUE(RIGHT(Table132[[#This Row],[next move]],1))+1+VALUE(LEFT(Table132[[#This Row],[next move]],1))*3,1)</f>
        <v>V</v>
      </c>
      <c r="I3130" t="str">
        <f>Table132[[#This Row],[ÉTAT]]&amp;Table132[[#This Row],[next move]]</f>
        <v>VEEMVMVEM11</v>
      </c>
    </row>
    <row r="3131" spans="2:9" x14ac:dyDescent="0.25">
      <c r="B3131" t="s">
        <v>1585</v>
      </c>
      <c r="C3131" s="22" t="s">
        <v>29</v>
      </c>
      <c r="D3131">
        <v>2</v>
      </c>
      <c r="E3131">
        <v>2</v>
      </c>
      <c r="G3131" s="25">
        <f>Table132[[#This Row],[nb win]]/Table132[[#This Row],[nb play]]</f>
        <v>1</v>
      </c>
      <c r="H3131" t="str">
        <f>MID(Table132[[#This Row],[ÉTAT]],VALUE(RIGHT(Table132[[#This Row],[next move]],1))+1+VALUE(LEFT(Table132[[#This Row],[next move]],1))*3,1)</f>
        <v>V</v>
      </c>
      <c r="I3131" t="str">
        <f>Table132[[#This Row],[ÉTAT]]&amp;Table132[[#This Row],[next move]]</f>
        <v>VEEMVMMVE11</v>
      </c>
    </row>
    <row r="3132" spans="2:9" x14ac:dyDescent="0.25">
      <c r="B3132" t="s">
        <v>3171</v>
      </c>
      <c r="C3132" s="22" t="s">
        <v>24</v>
      </c>
      <c r="D3132">
        <v>1</v>
      </c>
      <c r="E3132">
        <v>1</v>
      </c>
      <c r="G3132" s="31">
        <f>Table132[[#This Row],[nb win]]/Table132[[#This Row],[nb play]]</f>
        <v>1</v>
      </c>
      <c r="H3132" t="str">
        <f>MID(Table132[[#This Row],[ÉTAT]],VALUE(RIGHT(Table132[[#This Row],[next move]],1))+1+VALUE(LEFT(Table132[[#This Row],[next move]],1))*3,1)</f>
        <v>V</v>
      </c>
      <c r="I3132" t="str">
        <f>Table132[[#This Row],[ÉTAT]]&amp;Table132[[#This Row],[next move]]</f>
        <v>VEEMVMMEV00</v>
      </c>
    </row>
    <row r="3133" spans="2:9" x14ac:dyDescent="0.25">
      <c r="B3133" t="s">
        <v>2535</v>
      </c>
      <c r="C3133" s="22" t="s">
        <v>29</v>
      </c>
      <c r="D3133">
        <v>1</v>
      </c>
      <c r="E3133">
        <v>1</v>
      </c>
      <c r="G3133" s="25">
        <f>Table132[[#This Row],[nb win]]/Table132[[#This Row],[nb play]]</f>
        <v>1</v>
      </c>
      <c r="H3133" t="str">
        <f>MID(Table132[[#This Row],[ÉTAT]],VALUE(RIGHT(Table132[[#This Row],[next move]],1))+1+VALUE(LEFT(Table132[[#This Row],[next move]],1))*3,1)</f>
        <v>V</v>
      </c>
      <c r="I3133" t="str">
        <f>Table132[[#This Row],[ÉTAT]]&amp;Table132[[#This Row],[next move]]</f>
        <v>VEEMVMMEE11</v>
      </c>
    </row>
    <row r="3134" spans="2:9" x14ac:dyDescent="0.25">
      <c r="B3134" t="s">
        <v>1603</v>
      </c>
      <c r="C3134" s="22" t="s">
        <v>24</v>
      </c>
      <c r="D3134">
        <v>1</v>
      </c>
      <c r="G3134" s="25">
        <f>Table132[[#This Row],[nb win]]/Table132[[#This Row],[nb play]]</f>
        <v>0</v>
      </c>
      <c r="H3134" t="str">
        <f>MID(Table132[[#This Row],[ÉTAT]],VALUE(RIGHT(Table132[[#This Row],[next move]],1))+1+VALUE(LEFT(Table132[[#This Row],[next move]],1))*3,1)</f>
        <v>V</v>
      </c>
      <c r="I3134" t="str">
        <f>Table132[[#This Row],[ÉTAT]]&amp;Table132[[#This Row],[next move]]</f>
        <v>VEEMVMEVV00</v>
      </c>
    </row>
    <row r="3135" spans="2:9" x14ac:dyDescent="0.25">
      <c r="B3135" t="s">
        <v>1603</v>
      </c>
      <c r="C3135" s="22" t="s">
        <v>29</v>
      </c>
      <c r="D3135">
        <v>1</v>
      </c>
      <c r="E3135">
        <v>1</v>
      </c>
      <c r="G3135" s="31">
        <f>Table132[[#This Row],[nb win]]/Table132[[#This Row],[nb play]]</f>
        <v>1</v>
      </c>
      <c r="H3135" t="str">
        <f>MID(Table132[[#This Row],[ÉTAT]],VALUE(RIGHT(Table132[[#This Row],[next move]],1))+1+VALUE(LEFT(Table132[[#This Row],[next move]],1))*3,1)</f>
        <v>V</v>
      </c>
      <c r="I3135" t="str">
        <f>Table132[[#This Row],[ÉTAT]]&amp;Table132[[#This Row],[next move]]</f>
        <v>VEEMVMEVV11</v>
      </c>
    </row>
    <row r="3136" spans="2:9" x14ac:dyDescent="0.25">
      <c r="B3136" t="s">
        <v>1603</v>
      </c>
      <c r="C3136" s="22" t="s">
        <v>31</v>
      </c>
      <c r="D3136">
        <v>2</v>
      </c>
      <c r="G3136" s="30">
        <f>Table132[[#This Row],[nb win]]/Table132[[#This Row],[nb play]]</f>
        <v>0</v>
      </c>
      <c r="H3136" t="str">
        <f>MID(Table132[[#This Row],[ÉTAT]],VALUE(RIGHT(Table132[[#This Row],[next move]],1))+1+VALUE(LEFT(Table132[[#This Row],[next move]],1))*3,1)</f>
        <v>V</v>
      </c>
      <c r="I3136" t="str">
        <f>Table132[[#This Row],[ÉTAT]]&amp;Table132[[#This Row],[next move]]</f>
        <v>VEEMVMEVV22</v>
      </c>
    </row>
    <row r="3137" spans="2:9" x14ac:dyDescent="0.25">
      <c r="B3137" t="s">
        <v>1185</v>
      </c>
      <c r="C3137" s="22" t="s">
        <v>29</v>
      </c>
      <c r="D3137">
        <v>1</v>
      </c>
      <c r="E3137">
        <v>1</v>
      </c>
      <c r="G3137" s="25">
        <f>Table132[[#This Row],[nb win]]/Table132[[#This Row],[nb play]]</f>
        <v>1</v>
      </c>
      <c r="H3137" t="str">
        <f>MID(Table132[[#This Row],[ÉTAT]],VALUE(RIGHT(Table132[[#This Row],[next move]],1))+1+VALUE(LEFT(Table132[[#This Row],[next move]],1))*3,1)</f>
        <v>V</v>
      </c>
      <c r="I3137" t="str">
        <f>Table132[[#This Row],[ÉTAT]]&amp;Table132[[#This Row],[next move]]</f>
        <v>VEEMVMEVM11</v>
      </c>
    </row>
    <row r="3138" spans="2:9" x14ac:dyDescent="0.25">
      <c r="B3138" t="s">
        <v>1185</v>
      </c>
      <c r="C3138" s="22" t="s">
        <v>22</v>
      </c>
      <c r="D3138">
        <v>1</v>
      </c>
      <c r="G3138" s="25">
        <f>Table132[[#This Row],[nb win]]/Table132[[#This Row],[nb play]]</f>
        <v>0</v>
      </c>
      <c r="H3138" t="str">
        <f>MID(Table132[[#This Row],[ÉTAT]],VALUE(RIGHT(Table132[[#This Row],[next move]],1))+1+VALUE(LEFT(Table132[[#This Row],[next move]],1))*3,1)</f>
        <v>V</v>
      </c>
      <c r="I3138" t="str">
        <f>Table132[[#This Row],[ÉTAT]]&amp;Table132[[#This Row],[next move]]</f>
        <v>VEEMVMEVM21</v>
      </c>
    </row>
    <row r="3139" spans="2:9" x14ac:dyDescent="0.25">
      <c r="B3139" t="s">
        <v>2709</v>
      </c>
      <c r="C3139" s="22" t="s">
        <v>24</v>
      </c>
      <c r="D3139">
        <v>1</v>
      </c>
      <c r="G3139" s="25">
        <f>Table132[[#This Row],[nb win]]/Table132[[#This Row],[nb play]]</f>
        <v>0</v>
      </c>
      <c r="H3139" t="str">
        <f>MID(Table132[[#This Row],[ÉTAT]],VALUE(RIGHT(Table132[[#This Row],[next move]],1))+1+VALUE(LEFT(Table132[[#This Row],[next move]],1))*3,1)</f>
        <v>V</v>
      </c>
      <c r="I3139" t="str">
        <f>Table132[[#This Row],[ÉTAT]]&amp;Table132[[#This Row],[next move]]</f>
        <v>VEEMVMEMV00</v>
      </c>
    </row>
    <row r="3140" spans="2:9" x14ac:dyDescent="0.25">
      <c r="B3140" t="s">
        <v>3070</v>
      </c>
      <c r="C3140" s="22" t="s">
        <v>29</v>
      </c>
      <c r="D3140">
        <v>2</v>
      </c>
      <c r="E3140">
        <v>2</v>
      </c>
      <c r="G3140" s="31">
        <f>Table132[[#This Row],[nb win]]/Table132[[#This Row],[nb play]]</f>
        <v>1</v>
      </c>
      <c r="H3140" t="str">
        <f>MID(Table132[[#This Row],[ÉTAT]],VALUE(RIGHT(Table132[[#This Row],[next move]],1))+1+VALUE(LEFT(Table132[[#This Row],[next move]],1))*3,1)</f>
        <v>V</v>
      </c>
      <c r="I3140" t="str">
        <f>Table132[[#This Row],[ÉTAT]]&amp;Table132[[#This Row],[next move]]</f>
        <v>VEEMVMEEM11</v>
      </c>
    </row>
    <row r="3141" spans="2:9" x14ac:dyDescent="0.25">
      <c r="B3141" t="s">
        <v>1256</v>
      </c>
      <c r="C3141" s="22" t="s">
        <v>29</v>
      </c>
      <c r="D3141">
        <v>3</v>
      </c>
      <c r="G3141" s="30">
        <f>Table132[[#This Row],[nb win]]/Table132[[#This Row],[nb play]]</f>
        <v>0</v>
      </c>
      <c r="H3141" t="str">
        <f>MID(Table132[[#This Row],[ÉTAT]],VALUE(RIGHT(Table132[[#This Row],[next move]],1))+1+VALUE(LEFT(Table132[[#This Row],[next move]],1))*3,1)</f>
        <v>V</v>
      </c>
      <c r="I3141" t="str">
        <f>Table132[[#This Row],[ÉTAT]]&amp;Table132[[#This Row],[next move]]</f>
        <v>VEEMVEVMV11</v>
      </c>
    </row>
    <row r="3142" spans="2:9" x14ac:dyDescent="0.25">
      <c r="B3142" t="s">
        <v>1256</v>
      </c>
      <c r="C3142" s="22" t="s">
        <v>35</v>
      </c>
      <c r="D3142">
        <v>2</v>
      </c>
      <c r="E3142">
        <v>1</v>
      </c>
      <c r="G3142" s="30">
        <f>Table132[[#This Row],[nb win]]/Table132[[#This Row],[nb play]]</f>
        <v>0.5</v>
      </c>
      <c r="H3142" t="str">
        <f>MID(Table132[[#This Row],[ÉTAT]],VALUE(RIGHT(Table132[[#This Row],[next move]],1))+1+VALUE(LEFT(Table132[[#This Row],[next move]],1))*3,1)</f>
        <v>V</v>
      </c>
      <c r="I3142" t="str">
        <f>Table132[[#This Row],[ÉTAT]]&amp;Table132[[#This Row],[next move]]</f>
        <v>VEEMVEVMV20</v>
      </c>
    </row>
    <row r="3143" spans="2:9" x14ac:dyDescent="0.25">
      <c r="B3143" t="s">
        <v>877</v>
      </c>
      <c r="C3143" s="22" t="s">
        <v>24</v>
      </c>
      <c r="D3143">
        <v>1</v>
      </c>
      <c r="E3143">
        <v>1</v>
      </c>
      <c r="G3143" s="25">
        <f>Table132[[#This Row],[nb win]]/Table132[[#This Row],[nb play]]</f>
        <v>1</v>
      </c>
      <c r="H3143" t="str">
        <f>MID(Table132[[#This Row],[ÉTAT]],VALUE(RIGHT(Table132[[#This Row],[next move]],1))+1+VALUE(LEFT(Table132[[#This Row],[next move]],1))*3,1)</f>
        <v>V</v>
      </c>
      <c r="I3143" t="str">
        <f>Table132[[#This Row],[ÉTAT]]&amp;Table132[[#This Row],[next move]]</f>
        <v>VEEMVEVMM00</v>
      </c>
    </row>
    <row r="3144" spans="2:9" x14ac:dyDescent="0.25">
      <c r="B3144" t="s">
        <v>1214</v>
      </c>
      <c r="C3144" s="22" t="s">
        <v>24</v>
      </c>
      <c r="D3144">
        <v>3</v>
      </c>
      <c r="E3144">
        <v>3</v>
      </c>
      <c r="G3144" s="31">
        <f>Table132[[#This Row],[nb win]]/Table132[[#This Row],[nb play]]</f>
        <v>1</v>
      </c>
      <c r="H3144" t="str">
        <f>MID(Table132[[#This Row],[ÉTAT]],VALUE(RIGHT(Table132[[#This Row],[next move]],1))+1+VALUE(LEFT(Table132[[#This Row],[next move]],1))*3,1)</f>
        <v>V</v>
      </c>
      <c r="I3144" t="str">
        <f>Table132[[#This Row],[ÉTAT]]&amp;Table132[[#This Row],[next move]]</f>
        <v>VEEMVEMVV00</v>
      </c>
    </row>
    <row r="3145" spans="2:9" x14ac:dyDescent="0.25">
      <c r="B3145" t="s">
        <v>3482</v>
      </c>
      <c r="C3145" s="22" t="s">
        <v>24</v>
      </c>
      <c r="D3145">
        <v>1</v>
      </c>
      <c r="E3145">
        <v>1</v>
      </c>
      <c r="G3145" s="31">
        <f>Table132[[#This Row],[nb win]]/Table132[[#This Row],[nb play]]</f>
        <v>1</v>
      </c>
      <c r="H3145" t="str">
        <f>MID(Table132[[#This Row],[ÉTAT]],VALUE(RIGHT(Table132[[#This Row],[next move]],1))+1+VALUE(LEFT(Table132[[#This Row],[next move]],1))*3,1)</f>
        <v>V</v>
      </c>
      <c r="I3145" t="str">
        <f>Table132[[#This Row],[ÉTAT]]&amp;Table132[[#This Row],[next move]]</f>
        <v>VEEMVEMMV00</v>
      </c>
    </row>
    <row r="3146" spans="2:9" x14ac:dyDescent="0.25">
      <c r="B3146" t="s">
        <v>741</v>
      </c>
      <c r="C3146" s="22" t="s">
        <v>24</v>
      </c>
      <c r="D3146">
        <v>2</v>
      </c>
      <c r="E3146">
        <v>2</v>
      </c>
      <c r="G3146" s="31">
        <f>Table132[[#This Row],[nb win]]/Table132[[#This Row],[nb play]]</f>
        <v>1</v>
      </c>
      <c r="H3146" t="str">
        <f>MID(Table132[[#This Row],[ÉTAT]],VALUE(RIGHT(Table132[[#This Row],[next move]],1))+1+VALUE(LEFT(Table132[[#This Row],[next move]],1))*3,1)</f>
        <v>V</v>
      </c>
      <c r="I3146" t="str">
        <f>Table132[[#This Row],[ÉTAT]]&amp;Table132[[#This Row],[next move]]</f>
        <v>VEEMVEMEM00</v>
      </c>
    </row>
    <row r="3147" spans="2:9" x14ac:dyDescent="0.25">
      <c r="B3147" t="s">
        <v>741</v>
      </c>
      <c r="C3147" s="22" t="s">
        <v>29</v>
      </c>
      <c r="D3147">
        <v>5</v>
      </c>
      <c r="G3147" s="30">
        <f>Table132[[#This Row],[nb win]]/Table132[[#This Row],[nb play]]</f>
        <v>0</v>
      </c>
      <c r="H3147" t="str">
        <f>MID(Table132[[#This Row],[ÉTAT]],VALUE(RIGHT(Table132[[#This Row],[next move]],1))+1+VALUE(LEFT(Table132[[#This Row],[next move]],1))*3,1)</f>
        <v>V</v>
      </c>
      <c r="I3147" t="str">
        <f>Table132[[#This Row],[ÉTAT]]&amp;Table132[[#This Row],[next move]]</f>
        <v>VEEMVEMEM11</v>
      </c>
    </row>
    <row r="3148" spans="2:9" x14ac:dyDescent="0.25">
      <c r="B3148" t="s">
        <v>755</v>
      </c>
      <c r="C3148" s="22" t="s">
        <v>24</v>
      </c>
      <c r="D3148">
        <v>1</v>
      </c>
      <c r="G3148" s="25">
        <f>Table132[[#This Row],[nb win]]/Table132[[#This Row],[nb play]]</f>
        <v>0</v>
      </c>
      <c r="H3148" t="str">
        <f>MID(Table132[[#This Row],[ÉTAT]],VALUE(RIGHT(Table132[[#This Row],[next move]],1))+1+VALUE(LEFT(Table132[[#This Row],[next move]],1))*3,1)</f>
        <v>V</v>
      </c>
      <c r="I3148" t="str">
        <f>Table132[[#This Row],[ÉTAT]]&amp;Table132[[#This Row],[next move]]</f>
        <v>VEEMVEEMM00</v>
      </c>
    </row>
    <row r="3149" spans="2:9" x14ac:dyDescent="0.25">
      <c r="B3149" t="s">
        <v>755</v>
      </c>
      <c r="C3149" s="22" t="s">
        <v>29</v>
      </c>
      <c r="D3149">
        <v>3</v>
      </c>
      <c r="G3149" s="30">
        <f>Table132[[#This Row],[nb win]]/Table132[[#This Row],[nb play]]</f>
        <v>0</v>
      </c>
      <c r="H3149" t="str">
        <f>MID(Table132[[#This Row],[ÉTAT]],VALUE(RIGHT(Table132[[#This Row],[next move]],1))+1+VALUE(LEFT(Table132[[#This Row],[next move]],1))*3,1)</f>
        <v>V</v>
      </c>
      <c r="I3149" t="str">
        <f>Table132[[#This Row],[ÉTAT]]&amp;Table132[[#This Row],[next move]]</f>
        <v>VEEMVEEMM11</v>
      </c>
    </row>
    <row r="3150" spans="2:9" x14ac:dyDescent="0.25">
      <c r="B3150" t="s">
        <v>1346</v>
      </c>
      <c r="C3150" s="22" t="s">
        <v>28</v>
      </c>
      <c r="D3150">
        <v>10</v>
      </c>
      <c r="E3150">
        <v>10</v>
      </c>
      <c r="G3150" s="31">
        <f>Table132[[#This Row],[nb win]]/Table132[[#This Row],[nb play]]</f>
        <v>1</v>
      </c>
      <c r="H3150" t="str">
        <f>MID(Table132[[#This Row],[ÉTAT]],VALUE(RIGHT(Table132[[#This Row],[next move]],1))+1+VALUE(LEFT(Table132[[#This Row],[next move]],1))*3,1)</f>
        <v>V</v>
      </c>
      <c r="I3150" t="str">
        <f>Table132[[#This Row],[ÉTAT]]&amp;Table132[[#This Row],[next move]]</f>
        <v>VEEMMVVVV12</v>
      </c>
    </row>
    <row r="3151" spans="2:9" x14ac:dyDescent="0.25">
      <c r="B3151" t="s">
        <v>1128</v>
      </c>
      <c r="C3151" s="22" t="s">
        <v>28</v>
      </c>
      <c r="D3151">
        <v>3</v>
      </c>
      <c r="E3151">
        <v>3</v>
      </c>
      <c r="G3151" s="31">
        <f>Table132[[#This Row],[nb win]]/Table132[[#This Row],[nb play]]</f>
        <v>1</v>
      </c>
      <c r="H3151" t="str">
        <f>MID(Table132[[#This Row],[ÉTAT]],VALUE(RIGHT(Table132[[#This Row],[next move]],1))+1+VALUE(LEFT(Table132[[#This Row],[next move]],1))*3,1)</f>
        <v>V</v>
      </c>
      <c r="I3151" t="str">
        <f>Table132[[#This Row],[ÉTAT]]&amp;Table132[[#This Row],[next move]]</f>
        <v>VEEMMVVEV12</v>
      </c>
    </row>
    <row r="3152" spans="2:9" x14ac:dyDescent="0.25">
      <c r="B3152" t="s">
        <v>1128</v>
      </c>
      <c r="C3152" s="22" t="s">
        <v>35</v>
      </c>
      <c r="D3152">
        <v>1</v>
      </c>
      <c r="G3152" s="25">
        <f>Table132[[#This Row],[nb win]]/Table132[[#This Row],[nb play]]</f>
        <v>0</v>
      </c>
      <c r="H3152" t="str">
        <f>MID(Table132[[#This Row],[ÉTAT]],VALUE(RIGHT(Table132[[#This Row],[next move]],1))+1+VALUE(LEFT(Table132[[#This Row],[next move]],1))*3,1)</f>
        <v>V</v>
      </c>
      <c r="I3152" t="str">
        <f>Table132[[#This Row],[ÉTAT]]&amp;Table132[[#This Row],[next move]]</f>
        <v>VEEMMVVEV20</v>
      </c>
    </row>
    <row r="3153" spans="2:9" x14ac:dyDescent="0.25">
      <c r="B3153" t="s">
        <v>1128</v>
      </c>
      <c r="C3153" s="22" t="s">
        <v>31</v>
      </c>
      <c r="D3153">
        <v>1</v>
      </c>
      <c r="G3153" s="25">
        <f>Table132[[#This Row],[nb win]]/Table132[[#This Row],[nb play]]</f>
        <v>0</v>
      </c>
      <c r="H3153" t="str">
        <f>MID(Table132[[#This Row],[ÉTAT]],VALUE(RIGHT(Table132[[#This Row],[next move]],1))+1+VALUE(LEFT(Table132[[#This Row],[next move]],1))*3,1)</f>
        <v>V</v>
      </c>
      <c r="I3153" t="str">
        <f>Table132[[#This Row],[ÉTAT]]&amp;Table132[[#This Row],[next move]]</f>
        <v>VEEMMVVEV22</v>
      </c>
    </row>
    <row r="3154" spans="2:9" x14ac:dyDescent="0.25">
      <c r="B3154" t="s">
        <v>2314</v>
      </c>
      <c r="C3154" s="22" t="s">
        <v>24</v>
      </c>
      <c r="D3154">
        <v>2</v>
      </c>
      <c r="E3154">
        <v>2</v>
      </c>
      <c r="G3154" s="25">
        <f>Table132[[#This Row],[nb win]]/Table132[[#This Row],[nb play]]</f>
        <v>1</v>
      </c>
      <c r="H3154" t="str">
        <f>MID(Table132[[#This Row],[ÉTAT]],VALUE(RIGHT(Table132[[#This Row],[next move]],1))+1+VALUE(LEFT(Table132[[#This Row],[next move]],1))*3,1)</f>
        <v>V</v>
      </c>
      <c r="I3154" t="str">
        <f>Table132[[#This Row],[ÉTAT]]&amp;Table132[[#This Row],[next move]]</f>
        <v>VEEMMVVEM00</v>
      </c>
    </row>
    <row r="3155" spans="2:9" x14ac:dyDescent="0.25">
      <c r="B3155" t="s">
        <v>145</v>
      </c>
      <c r="C3155" s="22" t="s">
        <v>28</v>
      </c>
      <c r="D3155">
        <v>1</v>
      </c>
      <c r="E3155">
        <v>1</v>
      </c>
      <c r="G3155" s="25">
        <f>Table132[[#This Row],[nb win]]/Table132[[#This Row],[nb play]]</f>
        <v>1</v>
      </c>
      <c r="H3155" t="str">
        <f>MID(Table132[[#This Row],[ÉTAT]],VALUE(RIGHT(Table132[[#This Row],[next move]],1))+1+VALUE(LEFT(Table132[[#This Row],[next move]],1))*3,1)</f>
        <v>V</v>
      </c>
      <c r="I3155" t="str">
        <f>Table132[[#This Row],[ÉTAT]]&amp;Table132[[#This Row],[next move]]</f>
        <v>VEEMMVMVE12</v>
      </c>
    </row>
    <row r="3156" spans="2:9" x14ac:dyDescent="0.25">
      <c r="B3156" t="s">
        <v>145</v>
      </c>
      <c r="C3156" s="22" t="s">
        <v>22</v>
      </c>
      <c r="D3156">
        <v>1</v>
      </c>
      <c r="G3156" s="25">
        <f>Table132[[#This Row],[nb win]]/Table132[[#This Row],[nb play]]</f>
        <v>0</v>
      </c>
      <c r="H3156" t="str">
        <f>MID(Table132[[#This Row],[ÉTAT]],VALUE(RIGHT(Table132[[#This Row],[next move]],1))+1+VALUE(LEFT(Table132[[#This Row],[next move]],1))*3,1)</f>
        <v>V</v>
      </c>
      <c r="I3156" t="str">
        <f>Table132[[#This Row],[ÉTAT]]&amp;Table132[[#This Row],[next move]]</f>
        <v>VEEMMVMVE21</v>
      </c>
    </row>
    <row r="3157" spans="2:9" x14ac:dyDescent="0.25">
      <c r="B3157" t="s">
        <v>924</v>
      </c>
      <c r="C3157" s="22" t="s">
        <v>31</v>
      </c>
      <c r="D3157">
        <v>1</v>
      </c>
      <c r="E3157">
        <v>1</v>
      </c>
      <c r="G3157" s="25">
        <f>Table132[[#This Row],[nb win]]/Table132[[#This Row],[nb play]]</f>
        <v>1</v>
      </c>
      <c r="H3157" t="str">
        <f>MID(Table132[[#This Row],[ÉTAT]],VALUE(RIGHT(Table132[[#This Row],[next move]],1))+1+VALUE(LEFT(Table132[[#This Row],[next move]],1))*3,1)</f>
        <v>V</v>
      </c>
      <c r="I3157" t="str">
        <f>Table132[[#This Row],[ÉTAT]]&amp;Table132[[#This Row],[next move]]</f>
        <v>VEEMMVMEV22</v>
      </c>
    </row>
    <row r="3158" spans="2:9" x14ac:dyDescent="0.25">
      <c r="B3158" t="s">
        <v>2544</v>
      </c>
      <c r="C3158" s="22" t="s">
        <v>28</v>
      </c>
      <c r="D3158">
        <v>2</v>
      </c>
      <c r="E3158">
        <v>2</v>
      </c>
      <c r="G3158" s="31">
        <f>Table132[[#This Row],[nb win]]/Table132[[#This Row],[nb play]]</f>
        <v>1</v>
      </c>
      <c r="H3158" t="str">
        <f>MID(Table132[[#This Row],[ÉTAT]],VALUE(RIGHT(Table132[[#This Row],[next move]],1))+1+VALUE(LEFT(Table132[[#This Row],[next move]],1))*3,1)</f>
        <v>V</v>
      </c>
      <c r="I3158" t="str">
        <f>Table132[[#This Row],[ÉTAT]]&amp;Table132[[#This Row],[next move]]</f>
        <v>VEEMMVMEE12</v>
      </c>
    </row>
    <row r="3159" spans="2:9" x14ac:dyDescent="0.25">
      <c r="B3159" t="s">
        <v>2159</v>
      </c>
      <c r="C3159" s="22" t="s">
        <v>28</v>
      </c>
      <c r="D3159">
        <v>3</v>
      </c>
      <c r="E3159">
        <v>3</v>
      </c>
      <c r="G3159" s="31">
        <f>Table132[[#This Row],[nb win]]/Table132[[#This Row],[nb play]]</f>
        <v>1</v>
      </c>
      <c r="H3159" t="str">
        <f>MID(Table132[[#This Row],[ÉTAT]],VALUE(RIGHT(Table132[[#This Row],[next move]],1))+1+VALUE(LEFT(Table132[[#This Row],[next move]],1))*3,1)</f>
        <v>V</v>
      </c>
      <c r="I3159" t="str">
        <f>Table132[[#This Row],[ÉTAT]]&amp;Table132[[#This Row],[next move]]</f>
        <v>VEEMMVEVM12</v>
      </c>
    </row>
    <row r="3160" spans="2:9" x14ac:dyDescent="0.25">
      <c r="B3160" t="s">
        <v>1956</v>
      </c>
      <c r="C3160" s="22" t="s">
        <v>24</v>
      </c>
      <c r="D3160">
        <v>1</v>
      </c>
      <c r="E3160">
        <v>1</v>
      </c>
      <c r="G3160" s="25">
        <f>Table132[[#This Row],[nb win]]/Table132[[#This Row],[nb play]]</f>
        <v>1</v>
      </c>
      <c r="H3160" t="str">
        <f>MID(Table132[[#This Row],[ÉTAT]],VALUE(RIGHT(Table132[[#This Row],[next move]],1))+1+VALUE(LEFT(Table132[[#This Row],[next move]],1))*3,1)</f>
        <v>V</v>
      </c>
      <c r="I3160" t="str">
        <f>Table132[[#This Row],[ÉTAT]]&amp;Table132[[#This Row],[next move]]</f>
        <v>VEEMMVEMV00</v>
      </c>
    </row>
    <row r="3161" spans="2:9" x14ac:dyDescent="0.25">
      <c r="B3161" t="s">
        <v>2127</v>
      </c>
      <c r="C3161" s="22" t="s">
        <v>24</v>
      </c>
      <c r="D3161">
        <v>3</v>
      </c>
      <c r="G3161" s="30">
        <f>Table132[[#This Row],[nb win]]/Table132[[#This Row],[nb play]]</f>
        <v>0</v>
      </c>
      <c r="H3161" t="str">
        <f>MID(Table132[[#This Row],[ÉTAT]],VALUE(RIGHT(Table132[[#This Row],[next move]],1))+1+VALUE(LEFT(Table132[[#This Row],[next move]],1))*3,1)</f>
        <v>V</v>
      </c>
      <c r="I3161" t="str">
        <f>Table132[[#This Row],[ÉTAT]]&amp;Table132[[#This Row],[next move]]</f>
        <v>VEEMMVEME00</v>
      </c>
    </row>
    <row r="3162" spans="2:9" x14ac:dyDescent="0.25">
      <c r="B3162" t="s">
        <v>2127</v>
      </c>
      <c r="C3162" s="22" t="s">
        <v>28</v>
      </c>
      <c r="D3162">
        <v>1</v>
      </c>
      <c r="E3162">
        <v>1</v>
      </c>
      <c r="G3162" s="25">
        <f>Table132[[#This Row],[nb win]]/Table132[[#This Row],[nb play]]</f>
        <v>1</v>
      </c>
      <c r="H3162" t="str">
        <f>MID(Table132[[#This Row],[ÉTAT]],VALUE(RIGHT(Table132[[#This Row],[next move]],1))+1+VALUE(LEFT(Table132[[#This Row],[next move]],1))*3,1)</f>
        <v>V</v>
      </c>
      <c r="I3162" t="str">
        <f>Table132[[#This Row],[ÉTAT]]&amp;Table132[[#This Row],[next move]]</f>
        <v>VEEMMVEME12</v>
      </c>
    </row>
    <row r="3163" spans="2:9" x14ac:dyDescent="0.25">
      <c r="B3163" t="s">
        <v>402</v>
      </c>
      <c r="C3163" s="22" t="s">
        <v>24</v>
      </c>
      <c r="D3163">
        <v>1</v>
      </c>
      <c r="E3163">
        <v>1</v>
      </c>
      <c r="G3163" s="25">
        <f>Table132[[#This Row],[nb win]]/Table132[[#This Row],[nb play]]</f>
        <v>1</v>
      </c>
      <c r="H3163" t="str">
        <f>MID(Table132[[#This Row],[ÉTAT]],VALUE(RIGHT(Table132[[#This Row],[next move]],1))+1+VALUE(LEFT(Table132[[#This Row],[next move]],1))*3,1)</f>
        <v>V</v>
      </c>
      <c r="I3163" t="str">
        <f>Table132[[#This Row],[ÉTAT]]&amp;Table132[[#This Row],[next move]]</f>
        <v>VEEMMEVVV00</v>
      </c>
    </row>
    <row r="3164" spans="2:9" x14ac:dyDescent="0.25">
      <c r="B3164" t="s">
        <v>402</v>
      </c>
      <c r="C3164" s="22" t="s">
        <v>35</v>
      </c>
      <c r="D3164">
        <v>1</v>
      </c>
      <c r="G3164" s="25">
        <f>Table132[[#This Row],[nb win]]/Table132[[#This Row],[nb play]]</f>
        <v>0</v>
      </c>
      <c r="H3164" t="str">
        <f>MID(Table132[[#This Row],[ÉTAT]],VALUE(RIGHT(Table132[[#This Row],[next move]],1))+1+VALUE(LEFT(Table132[[#This Row],[next move]],1))*3,1)</f>
        <v>V</v>
      </c>
      <c r="I3164" t="str">
        <f>Table132[[#This Row],[ÉTAT]]&amp;Table132[[#This Row],[next move]]</f>
        <v>VEEMMEVVV20</v>
      </c>
    </row>
    <row r="3165" spans="2:9" x14ac:dyDescent="0.25">
      <c r="B3165" t="s">
        <v>797</v>
      </c>
      <c r="C3165" s="22" t="s">
        <v>24</v>
      </c>
      <c r="D3165">
        <v>8</v>
      </c>
      <c r="E3165">
        <v>8</v>
      </c>
      <c r="G3165" s="31">
        <f>Table132[[#This Row],[nb win]]/Table132[[#This Row],[nb play]]</f>
        <v>1</v>
      </c>
      <c r="H3165" t="str">
        <f>MID(Table132[[#This Row],[ÉTAT]],VALUE(RIGHT(Table132[[#This Row],[next move]],1))+1+VALUE(LEFT(Table132[[#This Row],[next move]],1))*3,1)</f>
        <v>V</v>
      </c>
      <c r="I3165" t="str">
        <f>Table132[[#This Row],[ÉTAT]]&amp;Table132[[#This Row],[next move]]</f>
        <v>VEEMMEVVM00</v>
      </c>
    </row>
    <row r="3166" spans="2:9" x14ac:dyDescent="0.25">
      <c r="B3166" t="s">
        <v>1892</v>
      </c>
      <c r="C3166" s="22" t="s">
        <v>24</v>
      </c>
      <c r="D3166">
        <v>1</v>
      </c>
      <c r="E3166">
        <v>1</v>
      </c>
      <c r="G3166" s="25">
        <f>Table132[[#This Row],[nb win]]/Table132[[#This Row],[nb play]]</f>
        <v>1</v>
      </c>
      <c r="H3166" t="str">
        <f>MID(Table132[[#This Row],[ÉTAT]],VALUE(RIGHT(Table132[[#This Row],[next move]],1))+1+VALUE(LEFT(Table132[[#This Row],[next move]],1))*3,1)</f>
        <v>V</v>
      </c>
      <c r="I3166" t="str">
        <f>Table132[[#This Row],[ÉTAT]]&amp;Table132[[#This Row],[next move]]</f>
        <v>VEEMMEMEV00</v>
      </c>
    </row>
    <row r="3167" spans="2:9" x14ac:dyDescent="0.25">
      <c r="B3167" t="s">
        <v>926</v>
      </c>
      <c r="C3167" s="22" t="s">
        <v>24</v>
      </c>
      <c r="D3167">
        <v>6</v>
      </c>
      <c r="E3167">
        <v>6</v>
      </c>
      <c r="G3167" s="31">
        <f>Table132[[#This Row],[nb win]]/Table132[[#This Row],[nb play]]</f>
        <v>1</v>
      </c>
      <c r="H3167" t="str">
        <f>MID(Table132[[#This Row],[ÉTAT]],VALUE(RIGHT(Table132[[#This Row],[next move]],1))+1+VALUE(LEFT(Table132[[#This Row],[next move]],1))*3,1)</f>
        <v>V</v>
      </c>
      <c r="I3167" t="str">
        <f>Table132[[#This Row],[ÉTAT]]&amp;Table132[[#This Row],[next move]]</f>
        <v>VEEMMEMEM00</v>
      </c>
    </row>
    <row r="3168" spans="2:9" x14ac:dyDescent="0.25">
      <c r="B3168" t="s">
        <v>1985</v>
      </c>
      <c r="C3168" s="22" t="s">
        <v>24</v>
      </c>
      <c r="D3168">
        <v>2</v>
      </c>
      <c r="G3168" s="30">
        <f>Table132[[#This Row],[nb win]]/Table132[[#This Row],[nb play]]</f>
        <v>0</v>
      </c>
      <c r="H3168" t="str">
        <f>MID(Table132[[#This Row],[ÉTAT]],VALUE(RIGHT(Table132[[#This Row],[next move]],1))+1+VALUE(LEFT(Table132[[#This Row],[next move]],1))*3,1)</f>
        <v>V</v>
      </c>
      <c r="I3168" t="str">
        <f>Table132[[#This Row],[ÉTAT]]&amp;Table132[[#This Row],[next move]]</f>
        <v>VEEMMEEMV00</v>
      </c>
    </row>
    <row r="3169" spans="2:9" x14ac:dyDescent="0.25">
      <c r="B3169" t="s">
        <v>1985</v>
      </c>
      <c r="C3169" s="22" t="s">
        <v>31</v>
      </c>
      <c r="D3169">
        <v>2</v>
      </c>
      <c r="G3169" s="30">
        <f>Table132[[#This Row],[nb win]]/Table132[[#This Row],[nb play]]</f>
        <v>0</v>
      </c>
      <c r="H3169" t="str">
        <f>MID(Table132[[#This Row],[ÉTAT]],VALUE(RIGHT(Table132[[#This Row],[next move]],1))+1+VALUE(LEFT(Table132[[#This Row],[next move]],1))*3,1)</f>
        <v>V</v>
      </c>
      <c r="I3169" t="str">
        <f>Table132[[#This Row],[ÉTAT]]&amp;Table132[[#This Row],[next move]]</f>
        <v>VEEMMEEMV22</v>
      </c>
    </row>
    <row r="3170" spans="2:9" x14ac:dyDescent="0.25">
      <c r="B3170" t="s">
        <v>2564</v>
      </c>
      <c r="C3170" s="22" t="s">
        <v>24</v>
      </c>
      <c r="D3170">
        <v>3</v>
      </c>
      <c r="E3170">
        <v>3</v>
      </c>
      <c r="G3170" s="31">
        <f>Table132[[#This Row],[nb win]]/Table132[[#This Row],[nb play]]</f>
        <v>1</v>
      </c>
      <c r="H3170" t="str">
        <f>MID(Table132[[#This Row],[ÉTAT]],VALUE(RIGHT(Table132[[#This Row],[next move]],1))+1+VALUE(LEFT(Table132[[#This Row],[next move]],1))*3,1)</f>
        <v>V</v>
      </c>
      <c r="I3170" t="str">
        <f>Table132[[#This Row],[ÉTAT]]&amp;Table132[[#This Row],[next move]]</f>
        <v>VEEMMEEMM00</v>
      </c>
    </row>
    <row r="3171" spans="2:9" x14ac:dyDescent="0.25">
      <c r="B3171" t="s">
        <v>2957</v>
      </c>
      <c r="C3171" s="22" t="s">
        <v>24</v>
      </c>
      <c r="D3171">
        <v>1</v>
      </c>
      <c r="G3171" s="25">
        <f>Table132[[#This Row],[nb win]]/Table132[[#This Row],[nb play]]</f>
        <v>0</v>
      </c>
      <c r="H3171" t="str">
        <f>MID(Table132[[#This Row],[ÉTAT]],VALUE(RIGHT(Table132[[#This Row],[next move]],1))+1+VALUE(LEFT(Table132[[#This Row],[next move]],1))*3,1)</f>
        <v>V</v>
      </c>
      <c r="I3171" t="str">
        <f>Table132[[#This Row],[ÉTAT]]&amp;Table132[[#This Row],[next move]]</f>
        <v>VEEMEVVVM00</v>
      </c>
    </row>
    <row r="3172" spans="2:9" x14ac:dyDescent="0.25">
      <c r="B3172" t="s">
        <v>2674</v>
      </c>
      <c r="C3172" s="22" t="s">
        <v>35</v>
      </c>
      <c r="D3172">
        <v>1</v>
      </c>
      <c r="G3172" s="25">
        <f>Table132[[#This Row],[nb win]]/Table132[[#This Row],[nb play]]</f>
        <v>0</v>
      </c>
      <c r="H3172" t="str">
        <f>MID(Table132[[#This Row],[ÉTAT]],VALUE(RIGHT(Table132[[#This Row],[next move]],1))+1+VALUE(LEFT(Table132[[#This Row],[next move]],1))*3,1)</f>
        <v>V</v>
      </c>
      <c r="I3172" t="str">
        <f>Table132[[#This Row],[ÉTAT]]&amp;Table132[[#This Row],[next move]]</f>
        <v>VEEMEVVMV20</v>
      </c>
    </row>
    <row r="3173" spans="2:9" x14ac:dyDescent="0.25">
      <c r="B3173" t="s">
        <v>2449</v>
      </c>
      <c r="C3173" s="22" t="s">
        <v>24</v>
      </c>
      <c r="D3173">
        <v>1</v>
      </c>
      <c r="E3173">
        <v>1</v>
      </c>
      <c r="G3173" s="25">
        <f>Table132[[#This Row],[nb win]]/Table132[[#This Row],[nb play]]</f>
        <v>1</v>
      </c>
      <c r="H3173" t="str">
        <f>MID(Table132[[#This Row],[ÉTAT]],VALUE(RIGHT(Table132[[#This Row],[next move]],1))+1+VALUE(LEFT(Table132[[#This Row],[next move]],1))*3,1)</f>
        <v>V</v>
      </c>
      <c r="I3173" t="str">
        <f>Table132[[#This Row],[ÉTAT]]&amp;Table132[[#This Row],[next move]]</f>
        <v>VEEMEVVMM00</v>
      </c>
    </row>
    <row r="3174" spans="2:9" x14ac:dyDescent="0.25">
      <c r="B3174" t="s">
        <v>2449</v>
      </c>
      <c r="C3174" s="22" t="s">
        <v>28</v>
      </c>
      <c r="D3174">
        <v>1</v>
      </c>
      <c r="G3174" s="25">
        <f>Table132[[#This Row],[nb win]]/Table132[[#This Row],[nb play]]</f>
        <v>0</v>
      </c>
      <c r="H3174" t="str">
        <f>MID(Table132[[#This Row],[ÉTAT]],VALUE(RIGHT(Table132[[#This Row],[next move]],1))+1+VALUE(LEFT(Table132[[#This Row],[next move]],1))*3,1)</f>
        <v>V</v>
      </c>
      <c r="I3174" t="str">
        <f>Table132[[#This Row],[ÉTAT]]&amp;Table132[[#This Row],[next move]]</f>
        <v>VEEMEVVMM12</v>
      </c>
    </row>
    <row r="3175" spans="2:9" x14ac:dyDescent="0.25">
      <c r="B3175" t="s">
        <v>3409</v>
      </c>
      <c r="C3175" s="22" t="s">
        <v>24</v>
      </c>
      <c r="D3175">
        <v>1</v>
      </c>
      <c r="E3175">
        <v>1</v>
      </c>
      <c r="G3175" s="31">
        <f>Table132[[#This Row],[nb win]]/Table132[[#This Row],[nb play]]</f>
        <v>1</v>
      </c>
      <c r="H3175" t="str">
        <f>MID(Table132[[#This Row],[ÉTAT]],VALUE(RIGHT(Table132[[#This Row],[next move]],1))+1+VALUE(LEFT(Table132[[#This Row],[next move]],1))*3,1)</f>
        <v>V</v>
      </c>
      <c r="I3175" t="str">
        <f>Table132[[#This Row],[ÉTAT]]&amp;Table132[[#This Row],[next move]]</f>
        <v>VEEMEVMVV00</v>
      </c>
    </row>
    <row r="3176" spans="2:9" x14ac:dyDescent="0.25">
      <c r="B3176" t="s">
        <v>3409</v>
      </c>
      <c r="C3176" s="22" t="s">
        <v>28</v>
      </c>
      <c r="D3176">
        <v>1</v>
      </c>
      <c r="G3176" s="30">
        <f>Table132[[#This Row],[nb win]]/Table132[[#This Row],[nb play]]</f>
        <v>0</v>
      </c>
      <c r="H3176" t="str">
        <f>MID(Table132[[#This Row],[ÉTAT]],VALUE(RIGHT(Table132[[#This Row],[next move]],1))+1+VALUE(LEFT(Table132[[#This Row],[next move]],1))*3,1)</f>
        <v>V</v>
      </c>
      <c r="I3176" t="str">
        <f>Table132[[#This Row],[ÉTAT]]&amp;Table132[[#This Row],[next move]]</f>
        <v>VEEMEVMVV12</v>
      </c>
    </row>
    <row r="3177" spans="2:9" x14ac:dyDescent="0.25">
      <c r="B3177" t="s">
        <v>3110</v>
      </c>
      <c r="C3177" s="22" t="s">
        <v>24</v>
      </c>
      <c r="D3177">
        <v>2</v>
      </c>
      <c r="E3177">
        <v>2</v>
      </c>
      <c r="G3177" s="31">
        <f>Table132[[#This Row],[nb win]]/Table132[[#This Row],[nb play]]</f>
        <v>1</v>
      </c>
      <c r="H3177" t="str">
        <f>MID(Table132[[#This Row],[ÉTAT]],VALUE(RIGHT(Table132[[#This Row],[next move]],1))+1+VALUE(LEFT(Table132[[#This Row],[next move]],1))*3,1)</f>
        <v>V</v>
      </c>
      <c r="I3177" t="str">
        <f>Table132[[#This Row],[ÉTAT]]&amp;Table132[[#This Row],[next move]]</f>
        <v>VEEMEVMVM00</v>
      </c>
    </row>
    <row r="3178" spans="2:9" x14ac:dyDescent="0.25">
      <c r="B3178" t="s">
        <v>3117</v>
      </c>
      <c r="C3178" s="22" t="s">
        <v>24</v>
      </c>
      <c r="D3178">
        <v>2</v>
      </c>
      <c r="E3178">
        <v>2</v>
      </c>
      <c r="G3178" s="31">
        <f>Table132[[#This Row],[nb win]]/Table132[[#This Row],[nb play]]</f>
        <v>1</v>
      </c>
      <c r="H3178" t="str">
        <f>MID(Table132[[#This Row],[ÉTAT]],VALUE(RIGHT(Table132[[#This Row],[next move]],1))+1+VALUE(LEFT(Table132[[#This Row],[next move]],1))*3,1)</f>
        <v>V</v>
      </c>
      <c r="I3178" t="str">
        <f>Table132[[#This Row],[ÉTAT]]&amp;Table132[[#This Row],[next move]]</f>
        <v>VEEMEVMMV00</v>
      </c>
    </row>
    <row r="3179" spans="2:9" x14ac:dyDescent="0.25">
      <c r="B3179" t="s">
        <v>2676</v>
      </c>
      <c r="C3179" s="22" t="s">
        <v>24</v>
      </c>
      <c r="D3179">
        <v>3</v>
      </c>
      <c r="E3179">
        <v>3</v>
      </c>
      <c r="G3179" s="31">
        <f>Table132[[#This Row],[nb win]]/Table132[[#This Row],[nb play]]</f>
        <v>1</v>
      </c>
      <c r="H3179" t="str">
        <f>MID(Table132[[#This Row],[ÉTAT]],VALUE(RIGHT(Table132[[#This Row],[next move]],1))+1+VALUE(LEFT(Table132[[#This Row],[next move]],1))*3,1)</f>
        <v>V</v>
      </c>
      <c r="I3179" t="str">
        <f>Table132[[#This Row],[ÉTAT]]&amp;Table132[[#This Row],[next move]]</f>
        <v>VEEMEVMME00</v>
      </c>
    </row>
    <row r="3180" spans="2:9" x14ac:dyDescent="0.25">
      <c r="B3180" t="s">
        <v>2676</v>
      </c>
      <c r="C3180" s="22" t="s">
        <v>28</v>
      </c>
      <c r="D3180">
        <v>1</v>
      </c>
      <c r="G3180" s="25">
        <f>Table132[[#This Row],[nb win]]/Table132[[#This Row],[nb play]]</f>
        <v>0</v>
      </c>
      <c r="H3180" t="str">
        <f>MID(Table132[[#This Row],[ÉTAT]],VALUE(RIGHT(Table132[[#This Row],[next move]],1))+1+VALUE(LEFT(Table132[[#This Row],[next move]],1))*3,1)</f>
        <v>V</v>
      </c>
      <c r="I3180" t="str">
        <f>Table132[[#This Row],[ÉTAT]]&amp;Table132[[#This Row],[next move]]</f>
        <v>VEEMEVMME12</v>
      </c>
    </row>
    <row r="3181" spans="2:9" x14ac:dyDescent="0.25">
      <c r="B3181" t="s">
        <v>2023</v>
      </c>
      <c r="C3181" s="22" t="s">
        <v>24</v>
      </c>
      <c r="D3181">
        <v>1</v>
      </c>
      <c r="G3181" s="30">
        <f>Table132[[#This Row],[nb win]]/Table132[[#This Row],[nb play]]</f>
        <v>0</v>
      </c>
      <c r="H3181" t="str">
        <f>MID(Table132[[#This Row],[ÉTAT]],VALUE(RIGHT(Table132[[#This Row],[next move]],1))+1+VALUE(LEFT(Table132[[#This Row],[next move]],1))*3,1)</f>
        <v>V</v>
      </c>
      <c r="I3181" t="str">
        <f>Table132[[#This Row],[ÉTAT]]&amp;Table132[[#This Row],[next move]]</f>
        <v>VEEMEMVVV00</v>
      </c>
    </row>
    <row r="3182" spans="2:9" x14ac:dyDescent="0.25">
      <c r="B3182" t="s">
        <v>2023</v>
      </c>
      <c r="C3182" s="22" t="s">
        <v>35</v>
      </c>
      <c r="D3182">
        <v>1</v>
      </c>
      <c r="G3182" s="30">
        <f>Table132[[#This Row],[nb win]]/Table132[[#This Row],[nb play]]</f>
        <v>0</v>
      </c>
      <c r="H3182" t="str">
        <f>MID(Table132[[#This Row],[ÉTAT]],VALUE(RIGHT(Table132[[#This Row],[next move]],1))+1+VALUE(LEFT(Table132[[#This Row],[next move]],1))*3,1)</f>
        <v>V</v>
      </c>
      <c r="I3182" t="str">
        <f>Table132[[#This Row],[ÉTAT]]&amp;Table132[[#This Row],[next move]]</f>
        <v>VEEMEMVVV20</v>
      </c>
    </row>
    <row r="3183" spans="2:9" x14ac:dyDescent="0.25">
      <c r="B3183" t="s">
        <v>2023</v>
      </c>
      <c r="C3183" s="22" t="s">
        <v>31</v>
      </c>
      <c r="D3183">
        <v>1</v>
      </c>
      <c r="G3183" s="25">
        <f>Table132[[#This Row],[nb win]]/Table132[[#This Row],[nb play]]</f>
        <v>0</v>
      </c>
      <c r="H3183" t="str">
        <f>MID(Table132[[#This Row],[ÉTAT]],VALUE(RIGHT(Table132[[#This Row],[next move]],1))+1+VALUE(LEFT(Table132[[#This Row],[next move]],1))*3,1)</f>
        <v>V</v>
      </c>
      <c r="I3183" t="str">
        <f>Table132[[#This Row],[ÉTAT]]&amp;Table132[[#This Row],[next move]]</f>
        <v>VEEMEMVVV22</v>
      </c>
    </row>
    <row r="3184" spans="2:9" x14ac:dyDescent="0.25">
      <c r="B3184" t="s">
        <v>3474</v>
      </c>
      <c r="C3184" s="22" t="s">
        <v>31</v>
      </c>
      <c r="D3184">
        <v>1</v>
      </c>
      <c r="G3184" s="30">
        <f>Table132[[#This Row],[nb win]]/Table132[[#This Row],[nb play]]</f>
        <v>0</v>
      </c>
      <c r="H3184" t="str">
        <f>MID(Table132[[#This Row],[ÉTAT]],VALUE(RIGHT(Table132[[#This Row],[next move]],1))+1+VALUE(LEFT(Table132[[#This Row],[next move]],1))*3,1)</f>
        <v>V</v>
      </c>
      <c r="I3184" t="str">
        <f>Table132[[#This Row],[ÉTAT]]&amp;Table132[[#This Row],[next move]]</f>
        <v>VEEMEMVMV22</v>
      </c>
    </row>
    <row r="3185" spans="2:9" x14ac:dyDescent="0.25">
      <c r="B3185" t="s">
        <v>1880</v>
      </c>
      <c r="C3185" s="22" t="s">
        <v>24</v>
      </c>
      <c r="D3185">
        <v>2</v>
      </c>
      <c r="G3185" s="30">
        <f>Table132[[#This Row],[nb win]]/Table132[[#This Row],[nb play]]</f>
        <v>0</v>
      </c>
      <c r="H3185" t="str">
        <f>MID(Table132[[#This Row],[ÉTAT]],VALUE(RIGHT(Table132[[#This Row],[next move]],1))+1+VALUE(LEFT(Table132[[#This Row],[next move]],1))*3,1)</f>
        <v>V</v>
      </c>
      <c r="I3185" t="str">
        <f>Table132[[#This Row],[ÉTAT]]&amp;Table132[[#This Row],[next move]]</f>
        <v>VEEMEMVME00</v>
      </c>
    </row>
    <row r="3186" spans="2:9" x14ac:dyDescent="0.25">
      <c r="B3186" t="s">
        <v>1880</v>
      </c>
      <c r="C3186" s="22" t="s">
        <v>35</v>
      </c>
      <c r="D3186">
        <v>3</v>
      </c>
      <c r="G3186" s="30">
        <f>Table132[[#This Row],[nb win]]/Table132[[#This Row],[nb play]]</f>
        <v>0</v>
      </c>
      <c r="H3186" t="str">
        <f>MID(Table132[[#This Row],[ÉTAT]],VALUE(RIGHT(Table132[[#This Row],[next move]],1))+1+VALUE(LEFT(Table132[[#This Row],[next move]],1))*3,1)</f>
        <v>V</v>
      </c>
      <c r="I3186" t="str">
        <f>Table132[[#This Row],[ÉTAT]]&amp;Table132[[#This Row],[next move]]</f>
        <v>VEEMEMVME20</v>
      </c>
    </row>
    <row r="3187" spans="2:9" x14ac:dyDescent="0.25">
      <c r="B3187" t="s">
        <v>3364</v>
      </c>
      <c r="C3187" s="22" t="s">
        <v>22</v>
      </c>
      <c r="D3187">
        <v>1</v>
      </c>
      <c r="G3187" s="30">
        <f>Table132[[#This Row],[nb win]]/Table132[[#This Row],[nb play]]</f>
        <v>0</v>
      </c>
      <c r="H3187" t="str">
        <f>MID(Table132[[#This Row],[ÉTAT]],VALUE(RIGHT(Table132[[#This Row],[next move]],1))+1+VALUE(LEFT(Table132[[#This Row],[next move]],1))*3,1)</f>
        <v>V</v>
      </c>
      <c r="I3187" t="str">
        <f>Table132[[#This Row],[ÉTAT]]&amp;Table132[[#This Row],[next move]]</f>
        <v>VEEMEMMVE21</v>
      </c>
    </row>
    <row r="3188" spans="2:9" x14ac:dyDescent="0.25">
      <c r="B3188" t="s">
        <v>2815</v>
      </c>
      <c r="C3188" s="22" t="s">
        <v>24</v>
      </c>
      <c r="D3188">
        <v>2</v>
      </c>
      <c r="E3188">
        <v>2</v>
      </c>
      <c r="G3188" s="31">
        <f>Table132[[#This Row],[nb win]]/Table132[[#This Row],[nb play]]</f>
        <v>1</v>
      </c>
      <c r="H3188" t="str">
        <f>MID(Table132[[#This Row],[ÉTAT]],VALUE(RIGHT(Table132[[#This Row],[next move]],1))+1+VALUE(LEFT(Table132[[#This Row],[next move]],1))*3,1)</f>
        <v>V</v>
      </c>
      <c r="I3188" t="str">
        <f>Table132[[#This Row],[ÉTAT]]&amp;Table132[[#This Row],[next move]]</f>
        <v>VEEMEMMME00</v>
      </c>
    </row>
    <row r="3189" spans="2:9" x14ac:dyDescent="0.25">
      <c r="B3189" t="s">
        <v>3401</v>
      </c>
      <c r="C3189" s="22" t="s">
        <v>35</v>
      </c>
      <c r="D3189">
        <v>1</v>
      </c>
      <c r="E3189">
        <v>1</v>
      </c>
      <c r="G3189" s="31">
        <f>Table132[[#This Row],[nb win]]/Table132[[#This Row],[nb play]]</f>
        <v>1</v>
      </c>
      <c r="H3189" t="str">
        <f>MID(Table132[[#This Row],[ÉTAT]],VALUE(RIGHT(Table132[[#This Row],[next move]],1))+1+VALUE(LEFT(Table132[[#This Row],[next move]],1))*3,1)</f>
        <v>V</v>
      </c>
      <c r="I3189" t="str">
        <f>Table132[[#This Row],[ÉTAT]]&amp;Table132[[#This Row],[next move]]</f>
        <v>VEEMEEVMM20</v>
      </c>
    </row>
    <row r="3190" spans="2:9" x14ac:dyDescent="0.25">
      <c r="B3190" t="s">
        <v>179</v>
      </c>
      <c r="C3190" s="22" t="s">
        <v>24</v>
      </c>
      <c r="D3190">
        <v>1</v>
      </c>
      <c r="E3190">
        <v>1</v>
      </c>
      <c r="G3190" s="25">
        <f>Table132[[#This Row],[nb win]]/Table132[[#This Row],[nb play]]</f>
        <v>1</v>
      </c>
      <c r="H3190" t="str">
        <f>MID(Table132[[#This Row],[ÉTAT]],VALUE(RIGHT(Table132[[#This Row],[next move]],1))+1+VALUE(LEFT(Table132[[#This Row],[next move]],1))*3,1)</f>
        <v>V</v>
      </c>
      <c r="I3190" t="str">
        <f>Table132[[#This Row],[ÉTAT]]&amp;Table132[[#This Row],[next move]]</f>
        <v>VEEMEEMVM00</v>
      </c>
    </row>
    <row r="3191" spans="2:9" x14ac:dyDescent="0.25">
      <c r="B3191" t="s">
        <v>2558</v>
      </c>
      <c r="C3191" s="22" t="s">
        <v>31</v>
      </c>
      <c r="D3191">
        <v>5</v>
      </c>
      <c r="E3191">
        <v>5</v>
      </c>
      <c r="G3191" s="31">
        <f>Table132[[#This Row],[nb win]]/Table132[[#This Row],[nb play]]</f>
        <v>1</v>
      </c>
      <c r="H3191" t="str">
        <f>MID(Table132[[#This Row],[ÉTAT]],VALUE(RIGHT(Table132[[#This Row],[next move]],1))+1+VALUE(LEFT(Table132[[#This Row],[next move]],1))*3,1)</f>
        <v>V</v>
      </c>
      <c r="I3191" t="str">
        <f>Table132[[#This Row],[ÉTAT]]&amp;Table132[[#This Row],[next move]]</f>
        <v>VEEMEEMMV22</v>
      </c>
    </row>
    <row r="3192" spans="2:9" x14ac:dyDescent="0.25">
      <c r="B3192" t="s">
        <v>1732</v>
      </c>
      <c r="C3192" s="22" t="s">
        <v>29</v>
      </c>
      <c r="D3192">
        <v>3</v>
      </c>
      <c r="E3192">
        <v>2</v>
      </c>
      <c r="G3192" s="30">
        <f>Table132[[#This Row],[nb win]]/Table132[[#This Row],[nb play]]</f>
        <v>0.66666666666666663</v>
      </c>
      <c r="H3192" t="str">
        <f>MID(Table132[[#This Row],[ÉTAT]],VALUE(RIGHT(Table132[[#This Row],[next move]],1))+1+VALUE(LEFT(Table132[[#This Row],[next move]],1))*3,1)</f>
        <v>V</v>
      </c>
      <c r="I3192" t="str">
        <f>Table132[[#This Row],[ÉTAT]]&amp;Table132[[#This Row],[next move]]</f>
        <v>VEEEVVVMM11</v>
      </c>
    </row>
    <row r="3193" spans="2:9" x14ac:dyDescent="0.25">
      <c r="B3193" t="s">
        <v>1732</v>
      </c>
      <c r="C3193" s="22" t="s">
        <v>28</v>
      </c>
      <c r="D3193">
        <v>5</v>
      </c>
      <c r="G3193" s="30">
        <f>Table132[[#This Row],[nb win]]/Table132[[#This Row],[nb play]]</f>
        <v>0</v>
      </c>
      <c r="H3193" t="str">
        <f>MID(Table132[[#This Row],[ÉTAT]],VALUE(RIGHT(Table132[[#This Row],[next move]],1))+1+VALUE(LEFT(Table132[[#This Row],[next move]],1))*3,1)</f>
        <v>V</v>
      </c>
      <c r="I3193" t="str">
        <f>Table132[[#This Row],[ÉTAT]]&amp;Table132[[#This Row],[next move]]</f>
        <v>VEEEVVVMM12</v>
      </c>
    </row>
    <row r="3194" spans="2:9" x14ac:dyDescent="0.25">
      <c r="B3194" t="s">
        <v>1732</v>
      </c>
      <c r="C3194" s="22" t="s">
        <v>35</v>
      </c>
      <c r="D3194">
        <v>2</v>
      </c>
      <c r="E3194">
        <v>2</v>
      </c>
      <c r="G3194" s="31">
        <f>Table132[[#This Row],[nb win]]/Table132[[#This Row],[nb play]]</f>
        <v>1</v>
      </c>
      <c r="H3194" t="str">
        <f>MID(Table132[[#This Row],[ÉTAT]],VALUE(RIGHT(Table132[[#This Row],[next move]],1))+1+VALUE(LEFT(Table132[[#This Row],[next move]],1))*3,1)</f>
        <v>V</v>
      </c>
      <c r="I3194" t="str">
        <f>Table132[[#This Row],[ÉTAT]]&amp;Table132[[#This Row],[next move]]</f>
        <v>VEEEVVVMM20</v>
      </c>
    </row>
    <row r="3195" spans="2:9" x14ac:dyDescent="0.25">
      <c r="B3195" t="s">
        <v>2394</v>
      </c>
      <c r="C3195" s="22" t="s">
        <v>24</v>
      </c>
      <c r="D3195">
        <v>2</v>
      </c>
      <c r="E3195">
        <v>2</v>
      </c>
      <c r="G3195" s="31">
        <f>Table132[[#This Row],[nb win]]/Table132[[#This Row],[nb play]]</f>
        <v>1</v>
      </c>
      <c r="H3195" t="str">
        <f>MID(Table132[[#This Row],[ÉTAT]],VALUE(RIGHT(Table132[[#This Row],[next move]],1))+1+VALUE(LEFT(Table132[[#This Row],[next move]],1))*3,1)</f>
        <v>V</v>
      </c>
      <c r="I3195" t="str">
        <f>Table132[[#This Row],[ÉTAT]]&amp;Table132[[#This Row],[next move]]</f>
        <v>VEEEVVMVM00</v>
      </c>
    </row>
    <row r="3196" spans="2:9" x14ac:dyDescent="0.25">
      <c r="B3196" t="s">
        <v>650</v>
      </c>
      <c r="C3196" s="22" t="s">
        <v>24</v>
      </c>
      <c r="D3196">
        <v>2</v>
      </c>
      <c r="E3196">
        <v>2</v>
      </c>
      <c r="G3196" s="25">
        <f>Table132[[#This Row],[nb win]]/Table132[[#This Row],[nb play]]</f>
        <v>1</v>
      </c>
      <c r="H3196" t="str">
        <f>MID(Table132[[#This Row],[ÉTAT]],VALUE(RIGHT(Table132[[#This Row],[next move]],1))+1+VALUE(LEFT(Table132[[#This Row],[next move]],1))*3,1)</f>
        <v>V</v>
      </c>
      <c r="I3196" t="str">
        <f>Table132[[#This Row],[ÉTAT]]&amp;Table132[[#This Row],[next move]]</f>
        <v>VEEEVMVMM00</v>
      </c>
    </row>
    <row r="3197" spans="2:9" x14ac:dyDescent="0.25">
      <c r="B3197" t="s">
        <v>552</v>
      </c>
      <c r="C3197" s="22" t="s">
        <v>22</v>
      </c>
      <c r="D3197">
        <v>2</v>
      </c>
      <c r="E3197">
        <v>2</v>
      </c>
      <c r="G3197" s="25">
        <f>Table132[[#This Row],[nb win]]/Table132[[#This Row],[nb play]]</f>
        <v>1</v>
      </c>
      <c r="H3197" t="str">
        <f>MID(Table132[[#This Row],[ÉTAT]],VALUE(RIGHT(Table132[[#This Row],[next move]],1))+1+VALUE(LEFT(Table132[[#This Row],[next move]],1))*3,1)</f>
        <v>V</v>
      </c>
      <c r="I3197" t="str">
        <f>Table132[[#This Row],[ÉTAT]]&amp;Table132[[#This Row],[next move]]</f>
        <v>VEEEVMMVM21</v>
      </c>
    </row>
    <row r="3198" spans="2:9" x14ac:dyDescent="0.25">
      <c r="B3198" t="s">
        <v>3062</v>
      </c>
      <c r="C3198" s="22" t="s">
        <v>29</v>
      </c>
      <c r="D3198">
        <v>1</v>
      </c>
      <c r="G3198" s="30">
        <f>Table132[[#This Row],[nb win]]/Table132[[#This Row],[nb play]]</f>
        <v>0</v>
      </c>
      <c r="H3198" t="str">
        <f>MID(Table132[[#This Row],[ÉTAT]],VALUE(RIGHT(Table132[[#This Row],[next move]],1))+1+VALUE(LEFT(Table132[[#This Row],[next move]],1))*3,1)</f>
        <v>V</v>
      </c>
      <c r="I3198" t="str">
        <f>Table132[[#This Row],[ÉTAT]]&amp;Table132[[#This Row],[next move]]</f>
        <v>VEEEVMMMV11</v>
      </c>
    </row>
    <row r="3199" spans="2:9" x14ac:dyDescent="0.25">
      <c r="B3199" t="s">
        <v>2165</v>
      </c>
      <c r="C3199" s="22" t="s">
        <v>24</v>
      </c>
      <c r="D3199">
        <v>2</v>
      </c>
      <c r="G3199" s="30">
        <f>Table132[[#This Row],[nb win]]/Table132[[#This Row],[nb play]]</f>
        <v>0</v>
      </c>
      <c r="H3199" t="str">
        <f>MID(Table132[[#This Row],[ÉTAT]],VALUE(RIGHT(Table132[[#This Row],[next move]],1))+1+VALUE(LEFT(Table132[[#This Row],[next move]],1))*3,1)</f>
        <v>V</v>
      </c>
      <c r="I3199" t="str">
        <f>Table132[[#This Row],[ÉTAT]]&amp;Table132[[#This Row],[next move]]</f>
        <v>VEEEVMMEM00</v>
      </c>
    </row>
    <row r="3200" spans="2:9" x14ac:dyDescent="0.25">
      <c r="B3200" t="s">
        <v>2165</v>
      </c>
      <c r="C3200" s="22" t="s">
        <v>29</v>
      </c>
      <c r="D3200">
        <v>1</v>
      </c>
      <c r="G3200" s="25">
        <f>Table132[[#This Row],[nb win]]/Table132[[#This Row],[nb play]]</f>
        <v>0</v>
      </c>
      <c r="H3200" t="str">
        <f>MID(Table132[[#This Row],[ÉTAT]],VALUE(RIGHT(Table132[[#This Row],[next move]],1))+1+VALUE(LEFT(Table132[[#This Row],[next move]],1))*3,1)</f>
        <v>V</v>
      </c>
      <c r="I3200" t="str">
        <f>Table132[[#This Row],[ÉTAT]]&amp;Table132[[#This Row],[next move]]</f>
        <v>VEEEVMMEM11</v>
      </c>
    </row>
    <row r="3201" spans="2:9" x14ac:dyDescent="0.25">
      <c r="B3201" t="s">
        <v>724</v>
      </c>
      <c r="C3201" s="22" t="s">
        <v>24</v>
      </c>
      <c r="D3201">
        <v>2</v>
      </c>
      <c r="G3201" s="25">
        <f>Table132[[#This Row],[nb win]]/Table132[[#This Row],[nb play]]</f>
        <v>0</v>
      </c>
      <c r="H3201" t="str">
        <f>MID(Table132[[#This Row],[ÉTAT]],VALUE(RIGHT(Table132[[#This Row],[next move]],1))+1+VALUE(LEFT(Table132[[#This Row],[next move]],1))*3,1)</f>
        <v>V</v>
      </c>
      <c r="I3201" t="str">
        <f>Table132[[#This Row],[ÉTAT]]&amp;Table132[[#This Row],[next move]]</f>
        <v>VEEEVMEMM00</v>
      </c>
    </row>
    <row r="3202" spans="2:9" x14ac:dyDescent="0.25">
      <c r="B3202" t="s">
        <v>724</v>
      </c>
      <c r="C3202" s="22" t="s">
        <v>29</v>
      </c>
      <c r="D3202">
        <v>3</v>
      </c>
      <c r="G3202" s="25">
        <f>Table132[[#This Row],[nb win]]/Table132[[#This Row],[nb play]]</f>
        <v>0</v>
      </c>
      <c r="H3202" t="str">
        <f>MID(Table132[[#This Row],[ÉTAT]],VALUE(RIGHT(Table132[[#This Row],[next move]],1))+1+VALUE(LEFT(Table132[[#This Row],[next move]],1))*3,1)</f>
        <v>V</v>
      </c>
      <c r="I3202" t="str">
        <f>Table132[[#This Row],[ÉTAT]]&amp;Table132[[#This Row],[next move]]</f>
        <v>VEEEVMEMM11</v>
      </c>
    </row>
    <row r="3203" spans="2:9" x14ac:dyDescent="0.25">
      <c r="B3203" t="s">
        <v>2210</v>
      </c>
      <c r="C3203" s="22" t="s">
        <v>28</v>
      </c>
      <c r="D3203">
        <v>2</v>
      </c>
      <c r="E3203">
        <v>1</v>
      </c>
      <c r="G3203" s="25">
        <f>Table132[[#This Row],[nb win]]/Table132[[#This Row],[nb play]]</f>
        <v>0.5</v>
      </c>
      <c r="H3203" t="str">
        <f>MID(Table132[[#This Row],[ÉTAT]],VALUE(RIGHT(Table132[[#This Row],[next move]],1))+1+VALUE(LEFT(Table132[[#This Row],[next move]],1))*3,1)</f>
        <v>V</v>
      </c>
      <c r="I3203" t="str">
        <f>Table132[[#This Row],[ÉTAT]]&amp;Table132[[#This Row],[next move]]</f>
        <v>VEEEMVVVM12</v>
      </c>
    </row>
    <row r="3204" spans="2:9" x14ac:dyDescent="0.25">
      <c r="B3204" t="s">
        <v>2210</v>
      </c>
      <c r="C3204" s="22" t="s">
        <v>35</v>
      </c>
      <c r="D3204">
        <v>1</v>
      </c>
      <c r="E3204">
        <v>1</v>
      </c>
      <c r="G3204" s="25">
        <f>Table132[[#This Row],[nb win]]/Table132[[#This Row],[nb play]]</f>
        <v>1</v>
      </c>
      <c r="H3204" t="str">
        <f>MID(Table132[[#This Row],[ÉTAT]],VALUE(RIGHT(Table132[[#This Row],[next move]],1))+1+VALUE(LEFT(Table132[[#This Row],[next move]],1))*3,1)</f>
        <v>V</v>
      </c>
      <c r="I3204" t="str">
        <f>Table132[[#This Row],[ÉTAT]]&amp;Table132[[#This Row],[next move]]</f>
        <v>VEEEMVVVM20</v>
      </c>
    </row>
    <row r="3205" spans="2:9" x14ac:dyDescent="0.25">
      <c r="B3205" t="s">
        <v>3422</v>
      </c>
      <c r="C3205" s="22" t="s">
        <v>24</v>
      </c>
      <c r="D3205">
        <v>3</v>
      </c>
      <c r="E3205">
        <v>2</v>
      </c>
      <c r="G3205" s="31">
        <f>Table132[[#This Row],[nb win]]/Table132[[#This Row],[nb play]]</f>
        <v>0.66666666666666663</v>
      </c>
      <c r="H3205" t="str">
        <f>MID(Table132[[#This Row],[ÉTAT]],VALUE(RIGHT(Table132[[#This Row],[next move]],1))+1+VALUE(LEFT(Table132[[#This Row],[next move]],1))*3,1)</f>
        <v>V</v>
      </c>
      <c r="I3205" t="str">
        <f>Table132[[#This Row],[ÉTAT]]&amp;Table132[[#This Row],[next move]]</f>
        <v>VEEEMVVMV00</v>
      </c>
    </row>
    <row r="3206" spans="2:9" x14ac:dyDescent="0.25">
      <c r="B3206" t="s">
        <v>3422</v>
      </c>
      <c r="C3206" s="22" t="s">
        <v>35</v>
      </c>
      <c r="D3206">
        <v>1</v>
      </c>
      <c r="G3206" s="30">
        <f>Table132[[#This Row],[nb win]]/Table132[[#This Row],[nb play]]</f>
        <v>0</v>
      </c>
      <c r="H3206" t="str">
        <f>MID(Table132[[#This Row],[ÉTAT]],VALUE(RIGHT(Table132[[#This Row],[next move]],1))+1+VALUE(LEFT(Table132[[#This Row],[next move]],1))*3,1)</f>
        <v>V</v>
      </c>
      <c r="I3206" t="str">
        <f>Table132[[#This Row],[ÉTAT]]&amp;Table132[[#This Row],[next move]]</f>
        <v>VEEEMVVMV20</v>
      </c>
    </row>
    <row r="3207" spans="2:9" x14ac:dyDescent="0.25">
      <c r="B3207" t="s">
        <v>295</v>
      </c>
      <c r="C3207" s="22" t="s">
        <v>28</v>
      </c>
      <c r="D3207">
        <v>2</v>
      </c>
      <c r="E3207">
        <v>2</v>
      </c>
      <c r="G3207" s="25">
        <f>Table132[[#This Row],[nb win]]/Table132[[#This Row],[nb play]]</f>
        <v>1</v>
      </c>
      <c r="H3207" t="str">
        <f>MID(Table132[[#This Row],[ÉTAT]],VALUE(RIGHT(Table132[[#This Row],[next move]],1))+1+VALUE(LEFT(Table132[[#This Row],[next move]],1))*3,1)</f>
        <v>V</v>
      </c>
      <c r="I3207" t="str">
        <f>Table132[[#This Row],[ÉTAT]]&amp;Table132[[#This Row],[next move]]</f>
        <v>VEEEMVVMM12</v>
      </c>
    </row>
    <row r="3208" spans="2:9" x14ac:dyDescent="0.25">
      <c r="B3208" t="s">
        <v>2406</v>
      </c>
      <c r="C3208" s="22" t="s">
        <v>24</v>
      </c>
      <c r="D3208">
        <v>1</v>
      </c>
      <c r="E3208">
        <v>1</v>
      </c>
      <c r="G3208" s="31">
        <f>Table132[[#This Row],[nb win]]/Table132[[#This Row],[nb play]]</f>
        <v>1</v>
      </c>
      <c r="H3208" t="str">
        <f>MID(Table132[[#This Row],[ÉTAT]],VALUE(RIGHT(Table132[[#This Row],[next move]],1))+1+VALUE(LEFT(Table132[[#This Row],[next move]],1))*3,1)</f>
        <v>V</v>
      </c>
      <c r="I3208" t="str">
        <f>Table132[[#This Row],[ÉTAT]]&amp;Table132[[#This Row],[next move]]</f>
        <v>VEEEMVMVV00</v>
      </c>
    </row>
    <row r="3209" spans="2:9" x14ac:dyDescent="0.25">
      <c r="B3209" t="s">
        <v>2406</v>
      </c>
      <c r="C3209" s="22" t="s">
        <v>28</v>
      </c>
      <c r="D3209">
        <v>1</v>
      </c>
      <c r="G3209" s="25">
        <f>Table132[[#This Row],[nb win]]/Table132[[#This Row],[nb play]]</f>
        <v>0</v>
      </c>
      <c r="H3209" t="str">
        <f>MID(Table132[[#This Row],[ÉTAT]],VALUE(RIGHT(Table132[[#This Row],[next move]],1))+1+VALUE(LEFT(Table132[[#This Row],[next move]],1))*3,1)</f>
        <v>V</v>
      </c>
      <c r="I3209" t="str">
        <f>Table132[[#This Row],[ÉTAT]]&amp;Table132[[#This Row],[next move]]</f>
        <v>VEEEMVMVV12</v>
      </c>
    </row>
    <row r="3210" spans="2:9" x14ac:dyDescent="0.25">
      <c r="B3210" t="s">
        <v>2406</v>
      </c>
      <c r="C3210" s="22" t="s">
        <v>22</v>
      </c>
      <c r="D3210">
        <v>1</v>
      </c>
      <c r="G3210" s="25">
        <f>Table132[[#This Row],[nb win]]/Table132[[#This Row],[nb play]]</f>
        <v>0</v>
      </c>
      <c r="H3210" t="str">
        <f>MID(Table132[[#This Row],[ÉTAT]],VALUE(RIGHT(Table132[[#This Row],[next move]],1))+1+VALUE(LEFT(Table132[[#This Row],[next move]],1))*3,1)</f>
        <v>V</v>
      </c>
      <c r="I3210" t="str">
        <f>Table132[[#This Row],[ÉTAT]]&amp;Table132[[#This Row],[next move]]</f>
        <v>VEEEMVMVV21</v>
      </c>
    </row>
    <row r="3211" spans="2:9" x14ac:dyDescent="0.25">
      <c r="B3211" t="s">
        <v>2406</v>
      </c>
      <c r="C3211" s="22" t="s">
        <v>31</v>
      </c>
      <c r="D3211">
        <v>1</v>
      </c>
      <c r="G3211" s="30">
        <f>Table132[[#This Row],[nb win]]/Table132[[#This Row],[nb play]]</f>
        <v>0</v>
      </c>
      <c r="H3211" t="str">
        <f>MID(Table132[[#This Row],[ÉTAT]],VALUE(RIGHT(Table132[[#This Row],[next move]],1))+1+VALUE(LEFT(Table132[[#This Row],[next move]],1))*3,1)</f>
        <v>V</v>
      </c>
      <c r="I3211" t="str">
        <f>Table132[[#This Row],[ÉTAT]]&amp;Table132[[#This Row],[next move]]</f>
        <v>VEEEMVMVV22</v>
      </c>
    </row>
    <row r="3212" spans="2:9" x14ac:dyDescent="0.25">
      <c r="B3212" t="s">
        <v>1561</v>
      </c>
      <c r="C3212" s="22" t="s">
        <v>22</v>
      </c>
      <c r="D3212">
        <v>1</v>
      </c>
      <c r="E3212">
        <v>1</v>
      </c>
      <c r="G3212" s="25">
        <f>Table132[[#This Row],[nb win]]/Table132[[#This Row],[nb play]]</f>
        <v>1</v>
      </c>
      <c r="H3212" t="str">
        <f>MID(Table132[[#This Row],[ÉTAT]],VALUE(RIGHT(Table132[[#This Row],[next move]],1))+1+VALUE(LEFT(Table132[[#This Row],[next move]],1))*3,1)</f>
        <v>V</v>
      </c>
      <c r="I3212" t="str">
        <f>Table132[[#This Row],[ÉTAT]]&amp;Table132[[#This Row],[next move]]</f>
        <v>VEEEMVMVM21</v>
      </c>
    </row>
    <row r="3213" spans="2:9" x14ac:dyDescent="0.25">
      <c r="B3213" t="s">
        <v>1131</v>
      </c>
      <c r="C3213" s="22" t="s">
        <v>28</v>
      </c>
      <c r="D3213">
        <v>1</v>
      </c>
      <c r="G3213" s="25">
        <f>Table132[[#This Row],[nb win]]/Table132[[#This Row],[nb play]]</f>
        <v>0</v>
      </c>
      <c r="H3213" t="str">
        <f>MID(Table132[[#This Row],[ÉTAT]],VALUE(RIGHT(Table132[[#This Row],[next move]],1))+1+VALUE(LEFT(Table132[[#This Row],[next move]],1))*3,1)</f>
        <v>V</v>
      </c>
      <c r="I3213" t="str">
        <f>Table132[[#This Row],[ÉTAT]]&amp;Table132[[#This Row],[next move]]</f>
        <v>VEEEMVMMV12</v>
      </c>
    </row>
    <row r="3214" spans="2:9" x14ac:dyDescent="0.25">
      <c r="B3214" t="s">
        <v>1131</v>
      </c>
      <c r="C3214" s="22" t="s">
        <v>31</v>
      </c>
      <c r="D3214">
        <v>3</v>
      </c>
      <c r="E3214">
        <v>3</v>
      </c>
      <c r="G3214" s="31">
        <f>Table132[[#This Row],[nb win]]/Table132[[#This Row],[nb play]]</f>
        <v>1</v>
      </c>
      <c r="H3214" t="str">
        <f>MID(Table132[[#This Row],[ÉTAT]],VALUE(RIGHT(Table132[[#This Row],[next move]],1))+1+VALUE(LEFT(Table132[[#This Row],[next move]],1))*3,1)</f>
        <v>V</v>
      </c>
      <c r="I3214" t="str">
        <f>Table132[[#This Row],[ÉTAT]]&amp;Table132[[#This Row],[next move]]</f>
        <v>VEEEMVMMV22</v>
      </c>
    </row>
    <row r="3215" spans="2:9" x14ac:dyDescent="0.25">
      <c r="B3215" t="s">
        <v>2408</v>
      </c>
      <c r="C3215" s="22" t="s">
        <v>24</v>
      </c>
      <c r="D3215">
        <v>2</v>
      </c>
      <c r="G3215" s="30">
        <f>Table132[[#This Row],[nb win]]/Table132[[#This Row],[nb play]]</f>
        <v>0</v>
      </c>
      <c r="H3215" t="str">
        <f>MID(Table132[[#This Row],[ÉTAT]],VALUE(RIGHT(Table132[[#This Row],[next move]],1))+1+VALUE(LEFT(Table132[[#This Row],[next move]],1))*3,1)</f>
        <v>V</v>
      </c>
      <c r="I3215" t="str">
        <f>Table132[[#This Row],[ÉTAT]]&amp;Table132[[#This Row],[next move]]</f>
        <v>VEEEMVMME00</v>
      </c>
    </row>
    <row r="3216" spans="2:9" x14ac:dyDescent="0.25">
      <c r="B3216" t="s">
        <v>2408</v>
      </c>
      <c r="C3216" s="22" t="s">
        <v>28</v>
      </c>
      <c r="D3216">
        <v>1</v>
      </c>
      <c r="G3216" s="25">
        <f>Table132[[#This Row],[nb win]]/Table132[[#This Row],[nb play]]</f>
        <v>0</v>
      </c>
      <c r="H3216" t="str">
        <f>MID(Table132[[#This Row],[ÉTAT]],VALUE(RIGHT(Table132[[#This Row],[next move]],1))+1+VALUE(LEFT(Table132[[#This Row],[next move]],1))*3,1)</f>
        <v>V</v>
      </c>
      <c r="I3216" t="str">
        <f>Table132[[#This Row],[ÉTAT]]&amp;Table132[[#This Row],[next move]]</f>
        <v>VEEEMVMME12</v>
      </c>
    </row>
    <row r="3217" spans="2:9" x14ac:dyDescent="0.25">
      <c r="B3217" t="s">
        <v>3204</v>
      </c>
      <c r="C3217" s="22" t="s">
        <v>24</v>
      </c>
      <c r="D3217">
        <v>1</v>
      </c>
      <c r="E3217">
        <v>1</v>
      </c>
      <c r="G3217" s="31">
        <f>Table132[[#This Row],[nb win]]/Table132[[#This Row],[nb play]]</f>
        <v>1</v>
      </c>
      <c r="H3217" t="str">
        <f>MID(Table132[[#This Row],[ÉTAT]],VALUE(RIGHT(Table132[[#This Row],[next move]],1))+1+VALUE(LEFT(Table132[[#This Row],[next move]],1))*3,1)</f>
        <v>V</v>
      </c>
      <c r="I3217" t="str">
        <f>Table132[[#This Row],[ÉTAT]]&amp;Table132[[#This Row],[next move]]</f>
        <v>VEEEMVMEM00</v>
      </c>
    </row>
    <row r="3218" spans="2:9" x14ac:dyDescent="0.25">
      <c r="B3218" t="s">
        <v>3204</v>
      </c>
      <c r="C3218" s="22" t="s">
        <v>28</v>
      </c>
      <c r="D3218">
        <v>1</v>
      </c>
      <c r="G3218" s="30">
        <f>Table132[[#This Row],[nb win]]/Table132[[#This Row],[nb play]]</f>
        <v>0</v>
      </c>
      <c r="H3218" t="str">
        <f>MID(Table132[[#This Row],[ÉTAT]],VALUE(RIGHT(Table132[[#This Row],[next move]],1))+1+VALUE(LEFT(Table132[[#This Row],[next move]],1))*3,1)</f>
        <v>V</v>
      </c>
      <c r="I3218" t="str">
        <f>Table132[[#This Row],[ÉTAT]]&amp;Table132[[#This Row],[next move]]</f>
        <v>VEEEMVMEM12</v>
      </c>
    </row>
    <row r="3219" spans="2:9" x14ac:dyDescent="0.25">
      <c r="B3219" t="s">
        <v>579</v>
      </c>
      <c r="C3219" s="22" t="s">
        <v>24</v>
      </c>
      <c r="D3219">
        <v>2</v>
      </c>
      <c r="E3219">
        <v>2</v>
      </c>
      <c r="G3219" s="31">
        <f>Table132[[#This Row],[nb win]]/Table132[[#This Row],[nb play]]</f>
        <v>1</v>
      </c>
      <c r="H3219" t="str">
        <f>MID(Table132[[#This Row],[ÉTAT]],VALUE(RIGHT(Table132[[#This Row],[next move]],1))+1+VALUE(LEFT(Table132[[#This Row],[next move]],1))*3,1)</f>
        <v>V</v>
      </c>
      <c r="I3219" t="str">
        <f>Table132[[#This Row],[ÉTAT]]&amp;Table132[[#This Row],[next move]]</f>
        <v>VEEEMVEMM00</v>
      </c>
    </row>
    <row r="3220" spans="2:9" x14ac:dyDescent="0.25">
      <c r="B3220" t="s">
        <v>579</v>
      </c>
      <c r="C3220" s="22" t="s">
        <v>28</v>
      </c>
      <c r="D3220">
        <v>7</v>
      </c>
      <c r="G3220" s="30">
        <f>Table132[[#This Row],[nb win]]/Table132[[#This Row],[nb play]]</f>
        <v>0</v>
      </c>
      <c r="H3220" t="str">
        <f>MID(Table132[[#This Row],[ÉTAT]],VALUE(RIGHT(Table132[[#This Row],[next move]],1))+1+VALUE(LEFT(Table132[[#This Row],[next move]],1))*3,1)</f>
        <v>V</v>
      </c>
      <c r="I3220" t="str">
        <f>Table132[[#This Row],[ÉTAT]]&amp;Table132[[#This Row],[next move]]</f>
        <v>VEEEMVEMM12</v>
      </c>
    </row>
    <row r="3221" spans="2:9" x14ac:dyDescent="0.25">
      <c r="B3221" t="s">
        <v>2365</v>
      </c>
      <c r="C3221" s="22" t="s">
        <v>24</v>
      </c>
      <c r="D3221">
        <v>1</v>
      </c>
      <c r="E3221">
        <v>1</v>
      </c>
      <c r="G3221" s="31">
        <f>Table132[[#This Row],[nb win]]/Table132[[#This Row],[nb play]]</f>
        <v>1</v>
      </c>
      <c r="H3221" t="str">
        <f>MID(Table132[[#This Row],[ÉTAT]],VALUE(RIGHT(Table132[[#This Row],[next move]],1))+1+VALUE(LEFT(Table132[[#This Row],[next move]],1))*3,1)</f>
        <v>V</v>
      </c>
      <c r="I3221" t="str">
        <f>Table132[[#This Row],[ÉTAT]]&amp;Table132[[#This Row],[next move]]</f>
        <v>VEEEMMVVV00</v>
      </c>
    </row>
    <row r="3222" spans="2:9" x14ac:dyDescent="0.25">
      <c r="B3222" t="s">
        <v>2365</v>
      </c>
      <c r="C3222" s="22" t="s">
        <v>22</v>
      </c>
      <c r="D3222">
        <v>1</v>
      </c>
      <c r="G3222" s="25">
        <f>Table132[[#This Row],[nb win]]/Table132[[#This Row],[nb play]]</f>
        <v>0</v>
      </c>
      <c r="H3222" t="str">
        <f>MID(Table132[[#This Row],[ÉTAT]],VALUE(RIGHT(Table132[[#This Row],[next move]],1))+1+VALUE(LEFT(Table132[[#This Row],[next move]],1))*3,1)</f>
        <v>V</v>
      </c>
      <c r="I3222" t="str">
        <f>Table132[[#This Row],[ÉTAT]]&amp;Table132[[#This Row],[next move]]</f>
        <v>VEEEMMVVV21</v>
      </c>
    </row>
    <row r="3223" spans="2:9" x14ac:dyDescent="0.25">
      <c r="B3223" t="s">
        <v>2365</v>
      </c>
      <c r="C3223" s="22" t="s">
        <v>31</v>
      </c>
      <c r="D3223">
        <v>1</v>
      </c>
      <c r="G3223" s="25">
        <f>Table132[[#This Row],[nb win]]/Table132[[#This Row],[nb play]]</f>
        <v>0</v>
      </c>
      <c r="H3223" t="str">
        <f>MID(Table132[[#This Row],[ÉTAT]],VALUE(RIGHT(Table132[[#This Row],[next move]],1))+1+VALUE(LEFT(Table132[[#This Row],[next move]],1))*3,1)</f>
        <v>V</v>
      </c>
      <c r="I3223" t="str">
        <f>Table132[[#This Row],[ÉTAT]]&amp;Table132[[#This Row],[next move]]</f>
        <v>VEEEMMVVV22</v>
      </c>
    </row>
    <row r="3224" spans="2:9" x14ac:dyDescent="0.25">
      <c r="B3224" t="s">
        <v>1119</v>
      </c>
      <c r="C3224" s="22" t="s">
        <v>35</v>
      </c>
      <c r="D3224">
        <v>1</v>
      </c>
      <c r="G3224" s="25">
        <f>Table132[[#This Row],[nb win]]/Table132[[#This Row],[nb play]]</f>
        <v>0</v>
      </c>
      <c r="H3224" t="str">
        <f>MID(Table132[[#This Row],[ÉTAT]],VALUE(RIGHT(Table132[[#This Row],[next move]],1))+1+VALUE(LEFT(Table132[[#This Row],[next move]],1))*3,1)</f>
        <v>V</v>
      </c>
      <c r="I3224" t="str">
        <f>Table132[[#This Row],[ÉTAT]]&amp;Table132[[#This Row],[next move]]</f>
        <v>VEEEMMVVM20</v>
      </c>
    </row>
    <row r="3225" spans="2:9" x14ac:dyDescent="0.25">
      <c r="B3225" t="s">
        <v>1119</v>
      </c>
      <c r="C3225" s="22" t="s">
        <v>22</v>
      </c>
      <c r="D3225">
        <v>1</v>
      </c>
      <c r="G3225" s="25">
        <f>Table132[[#This Row],[nb win]]/Table132[[#This Row],[nb play]]</f>
        <v>0</v>
      </c>
      <c r="H3225" t="str">
        <f>MID(Table132[[#This Row],[ÉTAT]],VALUE(RIGHT(Table132[[#This Row],[next move]],1))+1+VALUE(LEFT(Table132[[#This Row],[next move]],1))*3,1)</f>
        <v>V</v>
      </c>
      <c r="I3225" t="str">
        <f>Table132[[#This Row],[ÉTAT]]&amp;Table132[[#This Row],[next move]]</f>
        <v>VEEEMMVVM21</v>
      </c>
    </row>
    <row r="3226" spans="2:9" x14ac:dyDescent="0.25">
      <c r="B3226" t="s">
        <v>2749</v>
      </c>
      <c r="C3226" s="22" t="s">
        <v>31</v>
      </c>
      <c r="D3226">
        <v>1</v>
      </c>
      <c r="E3226">
        <v>1</v>
      </c>
      <c r="G3226" s="25">
        <f>Table132[[#This Row],[nb win]]/Table132[[#This Row],[nb play]]</f>
        <v>1</v>
      </c>
      <c r="H3226" t="str">
        <f>MID(Table132[[#This Row],[ÉTAT]],VALUE(RIGHT(Table132[[#This Row],[next move]],1))+1+VALUE(LEFT(Table132[[#This Row],[next move]],1))*3,1)</f>
        <v>V</v>
      </c>
      <c r="I3226" t="str">
        <f>Table132[[#This Row],[ÉTAT]]&amp;Table132[[#This Row],[next move]]</f>
        <v>VEEEMMVMV22</v>
      </c>
    </row>
    <row r="3227" spans="2:9" x14ac:dyDescent="0.25">
      <c r="B3227" t="s">
        <v>3211</v>
      </c>
      <c r="C3227" s="22" t="s">
        <v>24</v>
      </c>
      <c r="D3227">
        <v>1</v>
      </c>
      <c r="E3227">
        <v>1</v>
      </c>
      <c r="G3227" s="31">
        <f>Table132[[#This Row],[nb win]]/Table132[[#This Row],[nb play]]</f>
        <v>1</v>
      </c>
      <c r="H3227" t="str">
        <f>MID(Table132[[#This Row],[ÉTAT]],VALUE(RIGHT(Table132[[#This Row],[next move]],1))+1+VALUE(LEFT(Table132[[#This Row],[next move]],1))*3,1)</f>
        <v>V</v>
      </c>
      <c r="I3227" t="str">
        <f>Table132[[#This Row],[ÉTAT]]&amp;Table132[[#This Row],[next move]]</f>
        <v>VEEEMMVEM00</v>
      </c>
    </row>
    <row r="3228" spans="2:9" x14ac:dyDescent="0.25">
      <c r="B3228" t="s">
        <v>110</v>
      </c>
      <c r="C3228" s="22" t="s">
        <v>24</v>
      </c>
      <c r="D3228">
        <v>1</v>
      </c>
      <c r="E3228">
        <v>1</v>
      </c>
      <c r="G3228" s="25">
        <f>Table132[[#This Row],[nb win]]/Table132[[#This Row],[nb play]]</f>
        <v>1</v>
      </c>
      <c r="H3228" t="str">
        <f>MID(Table132[[#This Row],[ÉTAT]],VALUE(RIGHT(Table132[[#This Row],[next move]],1))+1+VALUE(LEFT(Table132[[#This Row],[next move]],1))*3,1)</f>
        <v>V</v>
      </c>
      <c r="I3228" t="str">
        <f>Table132[[#This Row],[ÉTAT]]&amp;Table132[[#This Row],[next move]]</f>
        <v>VEEEMMMVV00</v>
      </c>
    </row>
    <row r="3229" spans="2:9" x14ac:dyDescent="0.25">
      <c r="B3229" t="s">
        <v>110</v>
      </c>
      <c r="C3229" s="22" t="s">
        <v>31</v>
      </c>
      <c r="D3229">
        <v>1</v>
      </c>
      <c r="G3229" s="25">
        <f>Table132[[#This Row],[nb win]]/Table132[[#This Row],[nb play]]</f>
        <v>0</v>
      </c>
      <c r="H3229" t="str">
        <f>MID(Table132[[#This Row],[ÉTAT]],VALUE(RIGHT(Table132[[#This Row],[next move]],1))+1+VALUE(LEFT(Table132[[#This Row],[next move]],1))*3,1)</f>
        <v>V</v>
      </c>
      <c r="I3229" t="str">
        <f>Table132[[#This Row],[ÉTAT]]&amp;Table132[[#This Row],[next move]]</f>
        <v>VEEEMMMVV22</v>
      </c>
    </row>
    <row r="3230" spans="2:9" x14ac:dyDescent="0.25">
      <c r="B3230" t="s">
        <v>3452</v>
      </c>
      <c r="C3230" s="22" t="s">
        <v>22</v>
      </c>
      <c r="D3230">
        <v>1</v>
      </c>
      <c r="G3230" s="30">
        <f>Table132[[#This Row],[nb win]]/Table132[[#This Row],[nb play]]</f>
        <v>0</v>
      </c>
      <c r="H3230" t="str">
        <f>MID(Table132[[#This Row],[ÉTAT]],VALUE(RIGHT(Table132[[#This Row],[next move]],1))+1+VALUE(LEFT(Table132[[#This Row],[next move]],1))*3,1)</f>
        <v>V</v>
      </c>
      <c r="I3230" t="str">
        <f>Table132[[#This Row],[ÉTAT]]&amp;Table132[[#This Row],[next move]]</f>
        <v>VEEEMMMVE21</v>
      </c>
    </row>
    <row r="3231" spans="2:9" x14ac:dyDescent="0.25">
      <c r="B3231" t="s">
        <v>2355</v>
      </c>
      <c r="C3231" s="22" t="s">
        <v>31</v>
      </c>
      <c r="D3231">
        <v>1</v>
      </c>
      <c r="G3231" s="25">
        <f>Table132[[#This Row],[nb win]]/Table132[[#This Row],[nb play]]</f>
        <v>0</v>
      </c>
      <c r="H3231" t="str">
        <f>MID(Table132[[#This Row],[ÉTAT]],VALUE(RIGHT(Table132[[#This Row],[next move]],1))+1+VALUE(LEFT(Table132[[#This Row],[next move]],1))*3,1)</f>
        <v>V</v>
      </c>
      <c r="I3231" t="str">
        <f>Table132[[#This Row],[ÉTAT]]&amp;Table132[[#This Row],[next move]]</f>
        <v>VEEEMMMEV22</v>
      </c>
    </row>
    <row r="3232" spans="2:9" x14ac:dyDescent="0.25">
      <c r="B3232" t="s">
        <v>112</v>
      </c>
      <c r="C3232" s="22" t="s">
        <v>24</v>
      </c>
      <c r="D3232">
        <v>2</v>
      </c>
      <c r="E3232">
        <v>2</v>
      </c>
      <c r="G3232" s="25">
        <f>Table132[[#This Row],[nb win]]/Table132[[#This Row],[nb play]]</f>
        <v>1</v>
      </c>
      <c r="H3232" t="str">
        <f>MID(Table132[[#This Row],[ÉTAT]],VALUE(RIGHT(Table132[[#This Row],[next move]],1))+1+VALUE(LEFT(Table132[[#This Row],[next move]],1))*3,1)</f>
        <v>V</v>
      </c>
      <c r="I3232" t="str">
        <f>Table132[[#This Row],[ÉTAT]]&amp;Table132[[#This Row],[next move]]</f>
        <v>VEEEMMMEM00</v>
      </c>
    </row>
    <row r="3233" spans="2:9" x14ac:dyDescent="0.25">
      <c r="B3233" t="s">
        <v>2212</v>
      </c>
      <c r="C3233" s="22" t="s">
        <v>24</v>
      </c>
      <c r="D3233">
        <v>2</v>
      </c>
      <c r="E3233">
        <v>2</v>
      </c>
      <c r="G3233" s="31">
        <f>Table132[[#This Row],[nb win]]/Table132[[#This Row],[nb play]]</f>
        <v>1</v>
      </c>
      <c r="H3233" t="str">
        <f>MID(Table132[[#This Row],[ÉTAT]],VALUE(RIGHT(Table132[[#This Row],[next move]],1))+1+VALUE(LEFT(Table132[[#This Row],[next move]],1))*3,1)</f>
        <v>V</v>
      </c>
      <c r="I3233" t="str">
        <f>Table132[[#This Row],[ÉTAT]]&amp;Table132[[#This Row],[next move]]</f>
        <v>VEEEMMEVM00</v>
      </c>
    </row>
    <row r="3234" spans="2:9" x14ac:dyDescent="0.25">
      <c r="B3234" t="s">
        <v>297</v>
      </c>
      <c r="C3234" s="22" t="s">
        <v>24</v>
      </c>
      <c r="D3234">
        <v>4</v>
      </c>
      <c r="E3234">
        <v>4</v>
      </c>
      <c r="G3234" s="25">
        <f>Table132[[#This Row],[nb win]]/Table132[[#This Row],[nb play]]</f>
        <v>1</v>
      </c>
      <c r="H3234" t="str">
        <f>MID(Table132[[#This Row],[ÉTAT]],VALUE(RIGHT(Table132[[#This Row],[next move]],1))+1+VALUE(LEFT(Table132[[#This Row],[next move]],1))*3,1)</f>
        <v>V</v>
      </c>
      <c r="I3234" t="str">
        <f>Table132[[#This Row],[ÉTAT]]&amp;Table132[[#This Row],[next move]]</f>
        <v>VEEEMMEMM00</v>
      </c>
    </row>
    <row r="3235" spans="2:9" x14ac:dyDescent="0.25">
      <c r="B3235" t="s">
        <v>2182</v>
      </c>
      <c r="C3235" s="22" t="s">
        <v>35</v>
      </c>
      <c r="D3235">
        <v>3</v>
      </c>
      <c r="E3235">
        <v>3</v>
      </c>
      <c r="G3235" s="31">
        <f>Table132[[#This Row],[nb win]]/Table132[[#This Row],[nb play]]</f>
        <v>1</v>
      </c>
      <c r="H3235" t="str">
        <f>MID(Table132[[#This Row],[ÉTAT]],VALUE(RIGHT(Table132[[#This Row],[next move]],1))+1+VALUE(LEFT(Table132[[#This Row],[next move]],1))*3,1)</f>
        <v>V</v>
      </c>
      <c r="I3235" t="str">
        <f>Table132[[#This Row],[ÉTAT]]&amp;Table132[[#This Row],[next move]]</f>
        <v>VEEEMEVMM20</v>
      </c>
    </row>
    <row r="3236" spans="2:9" x14ac:dyDescent="0.25">
      <c r="B3236" t="s">
        <v>2761</v>
      </c>
      <c r="C3236" s="22" t="s">
        <v>24</v>
      </c>
      <c r="D3236">
        <v>1</v>
      </c>
      <c r="E3236">
        <v>1</v>
      </c>
      <c r="G3236" s="25">
        <f>Table132[[#This Row],[nb win]]/Table132[[#This Row],[nb play]]</f>
        <v>1</v>
      </c>
      <c r="H3236" t="str">
        <f>MID(Table132[[#This Row],[ÉTAT]],VALUE(RIGHT(Table132[[#This Row],[next move]],1))+1+VALUE(LEFT(Table132[[#This Row],[next move]],1))*3,1)</f>
        <v>V</v>
      </c>
      <c r="I3236" t="str">
        <f>Table132[[#This Row],[ÉTAT]]&amp;Table132[[#This Row],[next move]]</f>
        <v>VEEEMEMVM00</v>
      </c>
    </row>
    <row r="3237" spans="2:9" x14ac:dyDescent="0.25">
      <c r="B3237" t="s">
        <v>410</v>
      </c>
      <c r="C3237" s="22" t="s">
        <v>24</v>
      </c>
      <c r="D3237">
        <v>1</v>
      </c>
      <c r="G3237" s="25">
        <f>Table132[[#This Row],[nb win]]/Table132[[#This Row],[nb play]]</f>
        <v>0</v>
      </c>
      <c r="H3237" t="str">
        <f>MID(Table132[[#This Row],[ÉTAT]],VALUE(RIGHT(Table132[[#This Row],[next move]],1))+1+VALUE(LEFT(Table132[[#This Row],[next move]],1))*3,1)</f>
        <v>V</v>
      </c>
      <c r="I3237" t="str">
        <f>Table132[[#This Row],[ÉTAT]]&amp;Table132[[#This Row],[next move]]</f>
        <v>VEEEMEMMV00</v>
      </c>
    </row>
    <row r="3238" spans="2:9" x14ac:dyDescent="0.25">
      <c r="B3238" t="s">
        <v>427</v>
      </c>
      <c r="C3238" s="22" t="s">
        <v>35</v>
      </c>
      <c r="D3238">
        <v>3</v>
      </c>
      <c r="E3238">
        <v>3</v>
      </c>
      <c r="G3238" s="31">
        <f>Table132[[#This Row],[nb win]]/Table132[[#This Row],[nb play]]</f>
        <v>1</v>
      </c>
      <c r="H3238" t="str">
        <f>MID(Table132[[#This Row],[ÉTAT]],VALUE(RIGHT(Table132[[#This Row],[next move]],1))+1+VALUE(LEFT(Table132[[#This Row],[next move]],1))*3,1)</f>
        <v>V</v>
      </c>
      <c r="I3238" t="str">
        <f>Table132[[#This Row],[ÉTAT]]&amp;Table132[[#This Row],[next move]]</f>
        <v>VEEEEMVMM20</v>
      </c>
    </row>
    <row r="3239" spans="2:9" x14ac:dyDescent="0.25">
      <c r="B3239" t="s">
        <v>3481</v>
      </c>
      <c r="C3239" s="22" t="s">
        <v>22</v>
      </c>
      <c r="D3239">
        <v>1</v>
      </c>
      <c r="E3239">
        <v>1</v>
      </c>
      <c r="G3239" s="31">
        <f>Table132[[#This Row],[nb win]]/Table132[[#This Row],[nb play]]</f>
        <v>1</v>
      </c>
      <c r="H3239" t="str">
        <f>MID(Table132[[#This Row],[ÉTAT]],VALUE(RIGHT(Table132[[#This Row],[next move]],1))+1+VALUE(LEFT(Table132[[#This Row],[next move]],1))*3,1)</f>
        <v>V</v>
      </c>
      <c r="I3239" t="str">
        <f>Table132[[#This Row],[ÉTAT]]&amp;Table132[[#This Row],[next move]]</f>
        <v>VEEEEMMVM21</v>
      </c>
    </row>
    <row r="3240" spans="2:9" x14ac:dyDescent="0.25">
      <c r="B3240" t="s">
        <v>33</v>
      </c>
      <c r="C3240" s="22" t="s">
        <v>26</v>
      </c>
      <c r="D3240">
        <v>7</v>
      </c>
      <c r="E3240">
        <v>3</v>
      </c>
      <c r="G3240" s="30">
        <f>Table132[[#This Row],[nb win]]/Table132[[#This Row],[nb play]]</f>
        <v>0.42857142857142855</v>
      </c>
      <c r="H3240" t="str">
        <f>MID(Table132[[#This Row],[ÉTAT]],VALUE(RIGHT(Table132[[#This Row],[next move]],1))+1+VALUE(LEFT(Table132[[#This Row],[next move]],1))*3,1)</f>
        <v>V</v>
      </c>
      <c r="I3240" t="str">
        <f>Table132[[#This Row],[ÉTAT]]&amp;Table132[[#This Row],[next move]]</f>
        <v>MVVVVVVVE01</v>
      </c>
    </row>
    <row r="3241" spans="2:9" x14ac:dyDescent="0.25">
      <c r="B3241" t="s">
        <v>33</v>
      </c>
      <c r="C3241" s="22" t="s">
        <v>20</v>
      </c>
      <c r="D3241">
        <v>6</v>
      </c>
      <c r="E3241">
        <v>5</v>
      </c>
      <c r="G3241" s="31">
        <f>Table132[[#This Row],[nb win]]/Table132[[#This Row],[nb play]]</f>
        <v>0.83333333333333337</v>
      </c>
      <c r="H3241" t="str">
        <f>MID(Table132[[#This Row],[ÉTAT]],VALUE(RIGHT(Table132[[#This Row],[next move]],1))+1+VALUE(LEFT(Table132[[#This Row],[next move]],1))*3,1)</f>
        <v>V</v>
      </c>
      <c r="I3241" t="str">
        <f>Table132[[#This Row],[ÉTAT]]&amp;Table132[[#This Row],[next move]]</f>
        <v>MVVVVVVVE02</v>
      </c>
    </row>
    <row r="3242" spans="2:9" x14ac:dyDescent="0.25">
      <c r="B3242" t="s">
        <v>33</v>
      </c>
      <c r="C3242" s="22" t="s">
        <v>30</v>
      </c>
      <c r="D3242">
        <v>4</v>
      </c>
      <c r="E3242">
        <v>4</v>
      </c>
      <c r="G3242" s="31">
        <f>Table132[[#This Row],[nb win]]/Table132[[#This Row],[nb play]]</f>
        <v>1</v>
      </c>
      <c r="H3242" t="str">
        <f>MID(Table132[[#This Row],[ÉTAT]],VALUE(RIGHT(Table132[[#This Row],[next move]],1))+1+VALUE(LEFT(Table132[[#This Row],[next move]],1))*3,1)</f>
        <v>V</v>
      </c>
      <c r="I3242" t="str">
        <f>Table132[[#This Row],[ÉTAT]]&amp;Table132[[#This Row],[next move]]</f>
        <v>MVVVVVVVE10</v>
      </c>
    </row>
    <row r="3243" spans="2:9" x14ac:dyDescent="0.25">
      <c r="B3243" t="s">
        <v>33</v>
      </c>
      <c r="C3243" s="22" t="s">
        <v>29</v>
      </c>
      <c r="D3243">
        <v>2</v>
      </c>
      <c r="E3243">
        <v>1</v>
      </c>
      <c r="G3243" s="30">
        <f>Table132[[#This Row],[nb win]]/Table132[[#This Row],[nb play]]</f>
        <v>0.5</v>
      </c>
      <c r="H3243" t="str">
        <f>MID(Table132[[#This Row],[ÉTAT]],VALUE(RIGHT(Table132[[#This Row],[next move]],1))+1+VALUE(LEFT(Table132[[#This Row],[next move]],1))*3,1)</f>
        <v>V</v>
      </c>
      <c r="I3243" t="str">
        <f>Table132[[#This Row],[ÉTAT]]&amp;Table132[[#This Row],[next move]]</f>
        <v>MVVVVVVVE11</v>
      </c>
    </row>
    <row r="3244" spans="2:9" x14ac:dyDescent="0.25">
      <c r="B3244" t="s">
        <v>33</v>
      </c>
      <c r="C3244" s="22" t="s">
        <v>28</v>
      </c>
      <c r="D3244">
        <v>18</v>
      </c>
      <c r="E3244">
        <v>13</v>
      </c>
      <c r="G3244" s="30">
        <f>Table132[[#This Row],[nb win]]/Table132[[#This Row],[nb play]]</f>
        <v>0.72222222222222221</v>
      </c>
      <c r="H3244" t="str">
        <f>MID(Table132[[#This Row],[ÉTAT]],VALUE(RIGHT(Table132[[#This Row],[next move]],1))+1+VALUE(LEFT(Table132[[#This Row],[next move]],1))*3,1)</f>
        <v>V</v>
      </c>
      <c r="I3244" t="str">
        <f>Table132[[#This Row],[ÉTAT]]&amp;Table132[[#This Row],[next move]]</f>
        <v>MVVVVVVVE12</v>
      </c>
    </row>
    <row r="3245" spans="2:9" x14ac:dyDescent="0.25">
      <c r="B3245" t="s">
        <v>33</v>
      </c>
      <c r="C3245" s="22" t="s">
        <v>35</v>
      </c>
      <c r="D3245">
        <v>3</v>
      </c>
      <c r="E3245">
        <v>2</v>
      </c>
      <c r="G3245" s="31">
        <f>Table132[[#This Row],[nb win]]/Table132[[#This Row],[nb play]]</f>
        <v>0.66666666666666663</v>
      </c>
      <c r="H3245" t="str">
        <f>MID(Table132[[#This Row],[ÉTAT]],VALUE(RIGHT(Table132[[#This Row],[next move]],1))+1+VALUE(LEFT(Table132[[#This Row],[next move]],1))*3,1)</f>
        <v>V</v>
      </c>
      <c r="I3245" t="str">
        <f>Table132[[#This Row],[ÉTAT]]&amp;Table132[[#This Row],[next move]]</f>
        <v>MVVVVVVVE20</v>
      </c>
    </row>
    <row r="3246" spans="2:9" x14ac:dyDescent="0.25">
      <c r="B3246" t="s">
        <v>33</v>
      </c>
      <c r="C3246" s="22" t="s">
        <v>22</v>
      </c>
      <c r="D3246">
        <v>9</v>
      </c>
      <c r="E3246">
        <v>7</v>
      </c>
      <c r="G3246" s="30">
        <f>Table132[[#This Row],[nb win]]/Table132[[#This Row],[nb play]]</f>
        <v>0.77777777777777779</v>
      </c>
      <c r="H3246" t="str">
        <f>MID(Table132[[#This Row],[ÉTAT]],VALUE(RIGHT(Table132[[#This Row],[next move]],1))+1+VALUE(LEFT(Table132[[#This Row],[next move]],1))*3,1)</f>
        <v>V</v>
      </c>
      <c r="I3246" t="str">
        <f>Table132[[#This Row],[ÉTAT]]&amp;Table132[[#This Row],[next move]]</f>
        <v>MVVVVVVVE21</v>
      </c>
    </row>
    <row r="3247" spans="2:9" x14ac:dyDescent="0.25">
      <c r="B3247" t="s">
        <v>36</v>
      </c>
      <c r="C3247" s="22" t="s">
        <v>26</v>
      </c>
      <c r="D3247">
        <v>19</v>
      </c>
      <c r="E3247">
        <v>13</v>
      </c>
      <c r="G3247" s="31">
        <f>Table132[[#This Row],[nb win]]/Table132[[#This Row],[nb play]]</f>
        <v>0.68421052631578949</v>
      </c>
      <c r="H3247" t="str">
        <f>MID(Table132[[#This Row],[ÉTAT]],VALUE(RIGHT(Table132[[#This Row],[next move]],1))+1+VALUE(LEFT(Table132[[#This Row],[next move]],1))*3,1)</f>
        <v>V</v>
      </c>
      <c r="I3247" t="str">
        <f>Table132[[#This Row],[ÉTAT]]&amp;Table132[[#This Row],[next move]]</f>
        <v>MVVVVVVEV01</v>
      </c>
    </row>
    <row r="3248" spans="2:9" x14ac:dyDescent="0.25">
      <c r="B3248" t="s">
        <v>36</v>
      </c>
      <c r="C3248" s="22" t="s">
        <v>30</v>
      </c>
      <c r="D3248">
        <v>6</v>
      </c>
      <c r="E3248">
        <v>2</v>
      </c>
      <c r="G3248" s="31">
        <f>Table132[[#This Row],[nb win]]/Table132[[#This Row],[nb play]]</f>
        <v>0.33333333333333331</v>
      </c>
      <c r="H3248" t="str">
        <f>MID(Table132[[#This Row],[ÉTAT]],VALUE(RIGHT(Table132[[#This Row],[next move]],1))+1+VALUE(LEFT(Table132[[#This Row],[next move]],1))*3,1)</f>
        <v>V</v>
      </c>
      <c r="I3248" t="str">
        <f>Table132[[#This Row],[ÉTAT]]&amp;Table132[[#This Row],[next move]]</f>
        <v>MVVVVVVEV10</v>
      </c>
    </row>
    <row r="3249" spans="2:9" x14ac:dyDescent="0.25">
      <c r="B3249" t="s">
        <v>36</v>
      </c>
      <c r="C3249" s="22" t="s">
        <v>29</v>
      </c>
      <c r="D3249">
        <v>22</v>
      </c>
      <c r="E3249">
        <v>20</v>
      </c>
      <c r="G3249" s="31">
        <f>Table132[[#This Row],[nb win]]/Table132[[#This Row],[nb play]]</f>
        <v>0.90909090909090906</v>
      </c>
      <c r="H3249" t="str">
        <f>MID(Table132[[#This Row],[ÉTAT]],VALUE(RIGHT(Table132[[#This Row],[next move]],1))+1+VALUE(LEFT(Table132[[#This Row],[next move]],1))*3,1)</f>
        <v>V</v>
      </c>
      <c r="I3249" t="str">
        <f>Table132[[#This Row],[ÉTAT]]&amp;Table132[[#This Row],[next move]]</f>
        <v>MVVVVVVEV11</v>
      </c>
    </row>
    <row r="3250" spans="2:9" x14ac:dyDescent="0.25">
      <c r="B3250" t="s">
        <v>36</v>
      </c>
      <c r="C3250" s="22" t="s">
        <v>28</v>
      </c>
      <c r="D3250">
        <v>5</v>
      </c>
      <c r="E3250">
        <v>3</v>
      </c>
      <c r="G3250" s="31">
        <f>Table132[[#This Row],[nb win]]/Table132[[#This Row],[nb play]]</f>
        <v>0.6</v>
      </c>
      <c r="H3250" t="str">
        <f>MID(Table132[[#This Row],[ÉTAT]],VALUE(RIGHT(Table132[[#This Row],[next move]],1))+1+VALUE(LEFT(Table132[[#This Row],[next move]],1))*3,1)</f>
        <v>V</v>
      </c>
      <c r="I3250" t="str">
        <f>Table132[[#This Row],[ÉTAT]]&amp;Table132[[#This Row],[next move]]</f>
        <v>MVVVVVVEV12</v>
      </c>
    </row>
    <row r="3251" spans="2:9" x14ac:dyDescent="0.25">
      <c r="B3251" t="s">
        <v>36</v>
      </c>
      <c r="C3251" s="22" t="s">
        <v>35</v>
      </c>
      <c r="D3251">
        <v>2</v>
      </c>
      <c r="E3251">
        <v>2</v>
      </c>
      <c r="G3251" s="31">
        <f>Table132[[#This Row],[nb win]]/Table132[[#This Row],[nb play]]</f>
        <v>1</v>
      </c>
      <c r="H3251" t="str">
        <f>MID(Table132[[#This Row],[ÉTAT]],VALUE(RIGHT(Table132[[#This Row],[next move]],1))+1+VALUE(LEFT(Table132[[#This Row],[next move]],1))*3,1)</f>
        <v>V</v>
      </c>
      <c r="I3251" t="str">
        <f>Table132[[#This Row],[ÉTAT]]&amp;Table132[[#This Row],[next move]]</f>
        <v>MVVVVVVEV20</v>
      </c>
    </row>
    <row r="3252" spans="2:9" x14ac:dyDescent="0.25">
      <c r="B3252" t="s">
        <v>36</v>
      </c>
      <c r="C3252" s="22" t="s">
        <v>31</v>
      </c>
      <c r="D3252">
        <v>3</v>
      </c>
      <c r="E3252">
        <v>2</v>
      </c>
      <c r="G3252" s="30">
        <f>Table132[[#This Row],[nb win]]/Table132[[#This Row],[nb play]]</f>
        <v>0.66666666666666663</v>
      </c>
      <c r="H3252" t="str">
        <f>MID(Table132[[#This Row],[ÉTAT]],VALUE(RIGHT(Table132[[#This Row],[next move]],1))+1+VALUE(LEFT(Table132[[#This Row],[next move]],1))*3,1)</f>
        <v>V</v>
      </c>
      <c r="I3252" t="str">
        <f>Table132[[#This Row],[ÉTAT]]&amp;Table132[[#This Row],[next move]]</f>
        <v>MVVVVVVEV22</v>
      </c>
    </row>
    <row r="3253" spans="2:9" x14ac:dyDescent="0.25">
      <c r="B3253" t="s">
        <v>342</v>
      </c>
      <c r="C3253" s="22" t="s">
        <v>20</v>
      </c>
      <c r="D3253">
        <v>5</v>
      </c>
      <c r="E3253">
        <v>2</v>
      </c>
      <c r="G3253" s="31">
        <f>Table132[[#This Row],[nb win]]/Table132[[#This Row],[nb play]]</f>
        <v>0.4</v>
      </c>
      <c r="H3253" t="str">
        <f>MID(Table132[[#This Row],[ÉTAT]],VALUE(RIGHT(Table132[[#This Row],[next move]],1))+1+VALUE(LEFT(Table132[[#This Row],[next move]],1))*3,1)</f>
        <v>V</v>
      </c>
      <c r="I3253" t="str">
        <f>Table132[[#This Row],[ÉTAT]]&amp;Table132[[#This Row],[next move]]</f>
        <v>MVVVVVVEE02</v>
      </c>
    </row>
    <row r="3254" spans="2:9" x14ac:dyDescent="0.25">
      <c r="B3254" t="s">
        <v>342</v>
      </c>
      <c r="C3254" s="22" t="s">
        <v>30</v>
      </c>
      <c r="D3254">
        <v>9</v>
      </c>
      <c r="G3254" s="30">
        <f>Table132[[#This Row],[nb win]]/Table132[[#This Row],[nb play]]</f>
        <v>0</v>
      </c>
      <c r="H3254" t="str">
        <f>MID(Table132[[#This Row],[ÉTAT]],VALUE(RIGHT(Table132[[#This Row],[next move]],1))+1+VALUE(LEFT(Table132[[#This Row],[next move]],1))*3,1)</f>
        <v>V</v>
      </c>
      <c r="I3254" t="str">
        <f>Table132[[#This Row],[ÉTAT]]&amp;Table132[[#This Row],[next move]]</f>
        <v>MVVVVVVEE10</v>
      </c>
    </row>
    <row r="3255" spans="2:9" x14ac:dyDescent="0.25">
      <c r="B3255" t="s">
        <v>342</v>
      </c>
      <c r="C3255" s="22" t="s">
        <v>29</v>
      </c>
      <c r="D3255">
        <v>7</v>
      </c>
      <c r="E3255">
        <v>1</v>
      </c>
      <c r="G3255" s="30">
        <f>Table132[[#This Row],[nb win]]/Table132[[#This Row],[nb play]]</f>
        <v>0.14285714285714285</v>
      </c>
      <c r="H3255" t="str">
        <f>MID(Table132[[#This Row],[ÉTAT]],VALUE(RIGHT(Table132[[#This Row],[next move]],1))+1+VALUE(LEFT(Table132[[#This Row],[next move]],1))*3,1)</f>
        <v>V</v>
      </c>
      <c r="I3255" t="str">
        <f>Table132[[#This Row],[ÉTAT]]&amp;Table132[[#This Row],[next move]]</f>
        <v>MVVVVVVEE11</v>
      </c>
    </row>
    <row r="3256" spans="2:9" x14ac:dyDescent="0.25">
      <c r="B3256" t="s">
        <v>342</v>
      </c>
      <c r="C3256" s="22" t="s">
        <v>28</v>
      </c>
      <c r="D3256">
        <v>3</v>
      </c>
      <c r="E3256">
        <v>1</v>
      </c>
      <c r="G3256" s="30">
        <f>Table132[[#This Row],[nb win]]/Table132[[#This Row],[nb play]]</f>
        <v>0.33333333333333331</v>
      </c>
      <c r="H3256" t="str">
        <f>MID(Table132[[#This Row],[ÉTAT]],VALUE(RIGHT(Table132[[#This Row],[next move]],1))+1+VALUE(LEFT(Table132[[#This Row],[next move]],1))*3,1)</f>
        <v>V</v>
      </c>
      <c r="I3256" t="str">
        <f>Table132[[#This Row],[ÉTAT]]&amp;Table132[[#This Row],[next move]]</f>
        <v>MVVVVVVEE12</v>
      </c>
    </row>
    <row r="3257" spans="2:9" x14ac:dyDescent="0.25">
      <c r="B3257" t="s">
        <v>342</v>
      </c>
      <c r="C3257" s="22" t="s">
        <v>35</v>
      </c>
      <c r="D3257">
        <v>2</v>
      </c>
      <c r="E3257">
        <v>2</v>
      </c>
      <c r="G3257" s="25">
        <f>Table132[[#This Row],[nb win]]/Table132[[#This Row],[nb play]]</f>
        <v>1</v>
      </c>
      <c r="H3257" t="str">
        <f>MID(Table132[[#This Row],[ÉTAT]],VALUE(RIGHT(Table132[[#This Row],[next move]],1))+1+VALUE(LEFT(Table132[[#This Row],[next move]],1))*3,1)</f>
        <v>V</v>
      </c>
      <c r="I3257" t="str">
        <f>Table132[[#This Row],[ÉTAT]]&amp;Table132[[#This Row],[next move]]</f>
        <v>MVVVVVVEE20</v>
      </c>
    </row>
    <row r="3258" spans="2:9" x14ac:dyDescent="0.25">
      <c r="B3258" t="s">
        <v>1257</v>
      </c>
      <c r="C3258" s="22" t="s">
        <v>30</v>
      </c>
      <c r="D3258">
        <v>2</v>
      </c>
      <c r="E3258">
        <v>2</v>
      </c>
      <c r="G3258" s="31">
        <f>Table132[[#This Row],[nb win]]/Table132[[#This Row],[nb play]]</f>
        <v>1</v>
      </c>
      <c r="H3258" t="str">
        <f>MID(Table132[[#This Row],[ÉTAT]],VALUE(RIGHT(Table132[[#This Row],[next move]],1))+1+VALUE(LEFT(Table132[[#This Row],[next move]],1))*3,1)</f>
        <v>V</v>
      </c>
      <c r="I3258" t="str">
        <f>Table132[[#This Row],[ÉTAT]]&amp;Table132[[#This Row],[next move]]</f>
        <v>MVVVVVMEE10</v>
      </c>
    </row>
    <row r="3259" spans="2:9" x14ac:dyDescent="0.25">
      <c r="B3259" t="s">
        <v>199</v>
      </c>
      <c r="C3259" s="22" t="s">
        <v>26</v>
      </c>
      <c r="D3259">
        <v>14</v>
      </c>
      <c r="E3259">
        <v>10</v>
      </c>
      <c r="G3259" s="30">
        <f>Table132[[#This Row],[nb win]]/Table132[[#This Row],[nb play]]</f>
        <v>0.7142857142857143</v>
      </c>
      <c r="H3259" t="str">
        <f>MID(Table132[[#This Row],[ÉTAT]],VALUE(RIGHT(Table132[[#This Row],[next move]],1))+1+VALUE(LEFT(Table132[[#This Row],[next move]],1))*3,1)</f>
        <v>V</v>
      </c>
      <c r="I3259" t="str">
        <f>Table132[[#This Row],[ÉTAT]]&amp;Table132[[#This Row],[next move]]</f>
        <v>MVVVVVEVV01</v>
      </c>
    </row>
    <row r="3260" spans="2:9" x14ac:dyDescent="0.25">
      <c r="B3260" t="s">
        <v>199</v>
      </c>
      <c r="C3260" s="22" t="s">
        <v>20</v>
      </c>
      <c r="D3260">
        <v>1</v>
      </c>
      <c r="E3260">
        <v>1</v>
      </c>
      <c r="G3260" s="25">
        <f>Table132[[#This Row],[nb win]]/Table132[[#This Row],[nb play]]</f>
        <v>1</v>
      </c>
      <c r="H3260" t="str">
        <f>MID(Table132[[#This Row],[ÉTAT]],VALUE(RIGHT(Table132[[#This Row],[next move]],1))+1+VALUE(LEFT(Table132[[#This Row],[next move]],1))*3,1)</f>
        <v>V</v>
      </c>
      <c r="I3260" t="str">
        <f>Table132[[#This Row],[ÉTAT]]&amp;Table132[[#This Row],[next move]]</f>
        <v>MVVVVVEVV02</v>
      </c>
    </row>
    <row r="3261" spans="2:9" x14ac:dyDescent="0.25">
      <c r="B3261" t="s">
        <v>199</v>
      </c>
      <c r="C3261" s="22" t="s">
        <v>30</v>
      </c>
      <c r="D3261">
        <v>8</v>
      </c>
      <c r="E3261">
        <v>1</v>
      </c>
      <c r="G3261" s="30">
        <f>Table132[[#This Row],[nb win]]/Table132[[#This Row],[nb play]]</f>
        <v>0.125</v>
      </c>
      <c r="H3261" t="str">
        <f>MID(Table132[[#This Row],[ÉTAT]],VALUE(RIGHT(Table132[[#This Row],[next move]],1))+1+VALUE(LEFT(Table132[[#This Row],[next move]],1))*3,1)</f>
        <v>V</v>
      </c>
      <c r="I3261" t="str">
        <f>Table132[[#This Row],[ÉTAT]]&amp;Table132[[#This Row],[next move]]</f>
        <v>MVVVVVEVV10</v>
      </c>
    </row>
    <row r="3262" spans="2:9" x14ac:dyDescent="0.25">
      <c r="B3262" t="s">
        <v>199</v>
      </c>
      <c r="C3262" s="22" t="s">
        <v>29</v>
      </c>
      <c r="D3262">
        <v>4</v>
      </c>
      <c r="E3262">
        <v>3</v>
      </c>
      <c r="G3262" s="31">
        <f>Table132[[#This Row],[nb win]]/Table132[[#This Row],[nb play]]</f>
        <v>0.75</v>
      </c>
      <c r="H3262" t="str">
        <f>MID(Table132[[#This Row],[ÉTAT]],VALUE(RIGHT(Table132[[#This Row],[next move]],1))+1+VALUE(LEFT(Table132[[#This Row],[next move]],1))*3,1)</f>
        <v>V</v>
      </c>
      <c r="I3262" t="str">
        <f>Table132[[#This Row],[ÉTAT]]&amp;Table132[[#This Row],[next move]]</f>
        <v>MVVVVVEVV11</v>
      </c>
    </row>
    <row r="3263" spans="2:9" x14ac:dyDescent="0.25">
      <c r="B3263" t="s">
        <v>199</v>
      </c>
      <c r="C3263" s="22" t="s">
        <v>28</v>
      </c>
      <c r="D3263">
        <v>10</v>
      </c>
      <c r="E3263">
        <v>8</v>
      </c>
      <c r="G3263" s="31">
        <f>Table132[[#This Row],[nb win]]/Table132[[#This Row],[nb play]]</f>
        <v>0.8</v>
      </c>
      <c r="H3263" t="str">
        <f>MID(Table132[[#This Row],[ÉTAT]],VALUE(RIGHT(Table132[[#This Row],[next move]],1))+1+VALUE(LEFT(Table132[[#This Row],[next move]],1))*3,1)</f>
        <v>V</v>
      </c>
      <c r="I3263" t="str">
        <f>Table132[[#This Row],[ÉTAT]]&amp;Table132[[#This Row],[next move]]</f>
        <v>MVVVVVEVV12</v>
      </c>
    </row>
    <row r="3264" spans="2:9" x14ac:dyDescent="0.25">
      <c r="B3264" t="s">
        <v>199</v>
      </c>
      <c r="C3264" s="22" t="s">
        <v>22</v>
      </c>
      <c r="D3264">
        <v>12</v>
      </c>
      <c r="E3264">
        <v>9</v>
      </c>
      <c r="G3264" s="31">
        <f>Table132[[#This Row],[nb win]]/Table132[[#This Row],[nb play]]</f>
        <v>0.75</v>
      </c>
      <c r="H3264" t="str">
        <f>MID(Table132[[#This Row],[ÉTAT]],VALUE(RIGHT(Table132[[#This Row],[next move]],1))+1+VALUE(LEFT(Table132[[#This Row],[next move]],1))*3,1)</f>
        <v>V</v>
      </c>
      <c r="I3264" t="str">
        <f>Table132[[#This Row],[ÉTAT]]&amp;Table132[[#This Row],[next move]]</f>
        <v>MVVVVVEVV21</v>
      </c>
    </row>
    <row r="3265" spans="2:9" x14ac:dyDescent="0.25">
      <c r="B3265" t="s">
        <v>3238</v>
      </c>
      <c r="C3265" s="22" t="s">
        <v>30</v>
      </c>
      <c r="D3265">
        <v>1</v>
      </c>
      <c r="G3265" s="30">
        <f>Table132[[#This Row],[nb win]]/Table132[[#This Row],[nb play]]</f>
        <v>0</v>
      </c>
      <c r="H3265" t="str">
        <f>MID(Table132[[#This Row],[ÉTAT]],VALUE(RIGHT(Table132[[#This Row],[next move]],1))+1+VALUE(LEFT(Table132[[#This Row],[next move]],1))*3,1)</f>
        <v>V</v>
      </c>
      <c r="I3265" t="str">
        <f>Table132[[#This Row],[ÉTAT]]&amp;Table132[[#This Row],[next move]]</f>
        <v>MVVVVVEVE10</v>
      </c>
    </row>
    <row r="3266" spans="2:9" x14ac:dyDescent="0.25">
      <c r="B3266" t="s">
        <v>3238</v>
      </c>
      <c r="C3266" s="22" t="s">
        <v>29</v>
      </c>
      <c r="D3266">
        <v>1</v>
      </c>
      <c r="G3266" s="30">
        <f>Table132[[#This Row],[nb win]]/Table132[[#This Row],[nb play]]</f>
        <v>0</v>
      </c>
      <c r="H3266" t="str">
        <f>MID(Table132[[#This Row],[ÉTAT]],VALUE(RIGHT(Table132[[#This Row],[next move]],1))+1+VALUE(LEFT(Table132[[#This Row],[next move]],1))*3,1)</f>
        <v>V</v>
      </c>
      <c r="I3266" t="str">
        <f>Table132[[#This Row],[ÉTAT]]&amp;Table132[[#This Row],[next move]]</f>
        <v>MVVVVVEVE11</v>
      </c>
    </row>
    <row r="3267" spans="2:9" x14ac:dyDescent="0.25">
      <c r="B3267" t="s">
        <v>353</v>
      </c>
      <c r="C3267" s="22" t="s">
        <v>26</v>
      </c>
      <c r="D3267">
        <v>9</v>
      </c>
      <c r="E3267">
        <v>9</v>
      </c>
      <c r="G3267" s="31">
        <f>Table132[[#This Row],[nb win]]/Table132[[#This Row],[nb play]]</f>
        <v>1</v>
      </c>
      <c r="H3267" t="str">
        <f>MID(Table132[[#This Row],[ÉTAT]],VALUE(RIGHT(Table132[[#This Row],[next move]],1))+1+VALUE(LEFT(Table132[[#This Row],[next move]],1))*3,1)</f>
        <v>V</v>
      </c>
      <c r="I3267" t="str">
        <f>Table132[[#This Row],[ÉTAT]]&amp;Table132[[#This Row],[next move]]</f>
        <v>MVVVVVEME01</v>
      </c>
    </row>
    <row r="3268" spans="2:9" x14ac:dyDescent="0.25">
      <c r="B3268" t="s">
        <v>472</v>
      </c>
      <c r="C3268" s="22" t="s">
        <v>26</v>
      </c>
      <c r="D3268">
        <v>4</v>
      </c>
      <c r="E3268">
        <v>2</v>
      </c>
      <c r="G3268" s="31">
        <f>Table132[[#This Row],[nb win]]/Table132[[#This Row],[nb play]]</f>
        <v>0.5</v>
      </c>
      <c r="H3268" t="str">
        <f>MID(Table132[[#This Row],[ÉTAT]],VALUE(RIGHT(Table132[[#This Row],[next move]],1))+1+VALUE(LEFT(Table132[[#This Row],[next move]],1))*3,1)</f>
        <v>V</v>
      </c>
      <c r="I3268" t="str">
        <f>Table132[[#This Row],[ÉTAT]]&amp;Table132[[#This Row],[next move]]</f>
        <v>MVVVVVEEV01</v>
      </c>
    </row>
    <row r="3269" spans="2:9" x14ac:dyDescent="0.25">
      <c r="B3269" t="s">
        <v>472</v>
      </c>
      <c r="C3269" s="22" t="s">
        <v>20</v>
      </c>
      <c r="D3269">
        <v>2</v>
      </c>
      <c r="G3269" s="25">
        <f>Table132[[#This Row],[nb win]]/Table132[[#This Row],[nb play]]</f>
        <v>0</v>
      </c>
      <c r="H3269" t="str">
        <f>MID(Table132[[#This Row],[ÉTAT]],VALUE(RIGHT(Table132[[#This Row],[next move]],1))+1+VALUE(LEFT(Table132[[#This Row],[next move]],1))*3,1)</f>
        <v>V</v>
      </c>
      <c r="I3269" t="str">
        <f>Table132[[#This Row],[ÉTAT]]&amp;Table132[[#This Row],[next move]]</f>
        <v>MVVVVVEEV02</v>
      </c>
    </row>
    <row r="3270" spans="2:9" x14ac:dyDescent="0.25">
      <c r="B3270" t="s">
        <v>472</v>
      </c>
      <c r="C3270" s="22" t="s">
        <v>30</v>
      </c>
      <c r="D3270">
        <v>2</v>
      </c>
      <c r="G3270" s="25">
        <f>Table132[[#This Row],[nb win]]/Table132[[#This Row],[nb play]]</f>
        <v>0</v>
      </c>
      <c r="H3270" t="str">
        <f>MID(Table132[[#This Row],[ÉTAT]],VALUE(RIGHT(Table132[[#This Row],[next move]],1))+1+VALUE(LEFT(Table132[[#This Row],[next move]],1))*3,1)</f>
        <v>V</v>
      </c>
      <c r="I3270" t="str">
        <f>Table132[[#This Row],[ÉTAT]]&amp;Table132[[#This Row],[next move]]</f>
        <v>MVVVVVEEV10</v>
      </c>
    </row>
    <row r="3271" spans="2:9" x14ac:dyDescent="0.25">
      <c r="B3271" t="s">
        <v>472</v>
      </c>
      <c r="C3271" s="22" t="s">
        <v>29</v>
      </c>
      <c r="D3271">
        <v>4</v>
      </c>
      <c r="E3271">
        <v>2</v>
      </c>
      <c r="G3271" s="31">
        <f>Table132[[#This Row],[nb win]]/Table132[[#This Row],[nb play]]</f>
        <v>0.5</v>
      </c>
      <c r="H3271" t="str">
        <f>MID(Table132[[#This Row],[ÉTAT]],VALUE(RIGHT(Table132[[#This Row],[next move]],1))+1+VALUE(LEFT(Table132[[#This Row],[next move]],1))*3,1)</f>
        <v>V</v>
      </c>
      <c r="I3271" t="str">
        <f>Table132[[#This Row],[ÉTAT]]&amp;Table132[[#This Row],[next move]]</f>
        <v>MVVVVVEEV11</v>
      </c>
    </row>
    <row r="3272" spans="2:9" x14ac:dyDescent="0.25">
      <c r="B3272" t="s">
        <v>472</v>
      </c>
      <c r="C3272" s="22" t="s">
        <v>28</v>
      </c>
      <c r="D3272">
        <v>3</v>
      </c>
      <c r="E3272">
        <v>1</v>
      </c>
      <c r="G3272" s="30">
        <f>Table132[[#This Row],[nb win]]/Table132[[#This Row],[nb play]]</f>
        <v>0.33333333333333331</v>
      </c>
      <c r="H3272" t="str">
        <f>MID(Table132[[#This Row],[ÉTAT]],VALUE(RIGHT(Table132[[#This Row],[next move]],1))+1+VALUE(LEFT(Table132[[#This Row],[next move]],1))*3,1)</f>
        <v>V</v>
      </c>
      <c r="I3272" t="str">
        <f>Table132[[#This Row],[ÉTAT]]&amp;Table132[[#This Row],[next move]]</f>
        <v>MVVVVVEEV12</v>
      </c>
    </row>
    <row r="3273" spans="2:9" x14ac:dyDescent="0.25">
      <c r="B3273" t="s">
        <v>472</v>
      </c>
      <c r="C3273" s="22" t="s">
        <v>31</v>
      </c>
      <c r="D3273">
        <v>4</v>
      </c>
      <c r="E3273">
        <v>2</v>
      </c>
      <c r="G3273" s="30">
        <f>Table132[[#This Row],[nb win]]/Table132[[#This Row],[nb play]]</f>
        <v>0.5</v>
      </c>
      <c r="H3273" t="str">
        <f>MID(Table132[[#This Row],[ÉTAT]],VALUE(RIGHT(Table132[[#This Row],[next move]],1))+1+VALUE(LEFT(Table132[[#This Row],[next move]],1))*3,1)</f>
        <v>V</v>
      </c>
      <c r="I3273" t="str">
        <f>Table132[[#This Row],[ÉTAT]]&amp;Table132[[#This Row],[next move]]</f>
        <v>MVVVVVEEV22</v>
      </c>
    </row>
    <row r="3274" spans="2:9" x14ac:dyDescent="0.25">
      <c r="B3274" t="s">
        <v>2976</v>
      </c>
      <c r="C3274" s="22" t="s">
        <v>26</v>
      </c>
      <c r="D3274">
        <v>2</v>
      </c>
      <c r="E3274">
        <v>2</v>
      </c>
      <c r="G3274" s="31">
        <f>Table132[[#This Row],[nb win]]/Table132[[#This Row],[nb play]]</f>
        <v>1</v>
      </c>
      <c r="H3274" t="str">
        <f>MID(Table132[[#This Row],[ÉTAT]],VALUE(RIGHT(Table132[[#This Row],[next move]],1))+1+VALUE(LEFT(Table132[[#This Row],[next move]],1))*3,1)</f>
        <v>V</v>
      </c>
      <c r="I3274" t="str">
        <f>Table132[[#This Row],[ÉTAT]]&amp;Table132[[#This Row],[next move]]</f>
        <v>MVVVVVEEM01</v>
      </c>
    </row>
    <row r="3275" spans="2:9" x14ac:dyDescent="0.25">
      <c r="B3275" t="s">
        <v>764</v>
      </c>
      <c r="C3275" s="22" t="s">
        <v>26</v>
      </c>
      <c r="D3275">
        <v>2</v>
      </c>
      <c r="E3275">
        <v>1</v>
      </c>
      <c r="G3275" s="30">
        <f>Table132[[#This Row],[nb win]]/Table132[[#This Row],[nb play]]</f>
        <v>0.5</v>
      </c>
      <c r="H3275" t="str">
        <f>MID(Table132[[#This Row],[ÉTAT]],VALUE(RIGHT(Table132[[#This Row],[next move]],1))+1+VALUE(LEFT(Table132[[#This Row],[next move]],1))*3,1)</f>
        <v>V</v>
      </c>
      <c r="I3275" t="str">
        <f>Table132[[#This Row],[ÉTAT]]&amp;Table132[[#This Row],[next move]]</f>
        <v>MVVVVMVEE01</v>
      </c>
    </row>
    <row r="3276" spans="2:9" x14ac:dyDescent="0.25">
      <c r="B3276" t="s">
        <v>764</v>
      </c>
      <c r="C3276" s="22" t="s">
        <v>20</v>
      </c>
      <c r="D3276">
        <v>1</v>
      </c>
      <c r="E3276">
        <v>1</v>
      </c>
      <c r="G3276" s="31">
        <f>Table132[[#This Row],[nb win]]/Table132[[#This Row],[nb play]]</f>
        <v>1</v>
      </c>
      <c r="H3276" t="str">
        <f>MID(Table132[[#This Row],[ÉTAT]],VALUE(RIGHT(Table132[[#This Row],[next move]],1))+1+VALUE(LEFT(Table132[[#This Row],[next move]],1))*3,1)</f>
        <v>V</v>
      </c>
      <c r="I3276" t="str">
        <f>Table132[[#This Row],[ÉTAT]]&amp;Table132[[#This Row],[next move]]</f>
        <v>MVVVVMVEE02</v>
      </c>
    </row>
    <row r="3277" spans="2:9" x14ac:dyDescent="0.25">
      <c r="B3277" t="s">
        <v>764</v>
      </c>
      <c r="C3277" s="22" t="s">
        <v>30</v>
      </c>
      <c r="D3277">
        <v>6</v>
      </c>
      <c r="E3277">
        <v>5</v>
      </c>
      <c r="G3277" s="30">
        <f>Table132[[#This Row],[nb win]]/Table132[[#This Row],[nb play]]</f>
        <v>0.83333333333333337</v>
      </c>
      <c r="H3277" t="str">
        <f>MID(Table132[[#This Row],[ÉTAT]],VALUE(RIGHT(Table132[[#This Row],[next move]],1))+1+VALUE(LEFT(Table132[[#This Row],[next move]],1))*3,1)</f>
        <v>V</v>
      </c>
      <c r="I3277" t="str">
        <f>Table132[[#This Row],[ÉTAT]]&amp;Table132[[#This Row],[next move]]</f>
        <v>MVVVVMVEE10</v>
      </c>
    </row>
    <row r="3278" spans="2:9" x14ac:dyDescent="0.25">
      <c r="B3278" t="s">
        <v>764</v>
      </c>
      <c r="C3278" s="22" t="s">
        <v>29</v>
      </c>
      <c r="D3278">
        <v>2</v>
      </c>
      <c r="E3278">
        <v>1</v>
      </c>
      <c r="G3278" s="30">
        <f>Table132[[#This Row],[nb win]]/Table132[[#This Row],[nb play]]</f>
        <v>0.5</v>
      </c>
      <c r="H3278" t="str">
        <f>MID(Table132[[#This Row],[ÉTAT]],VALUE(RIGHT(Table132[[#This Row],[next move]],1))+1+VALUE(LEFT(Table132[[#This Row],[next move]],1))*3,1)</f>
        <v>V</v>
      </c>
      <c r="I3278" t="str">
        <f>Table132[[#This Row],[ÉTAT]]&amp;Table132[[#This Row],[next move]]</f>
        <v>MVVVVMVEE11</v>
      </c>
    </row>
    <row r="3279" spans="2:9" x14ac:dyDescent="0.25">
      <c r="B3279" t="s">
        <v>764</v>
      </c>
      <c r="C3279" s="22" t="s">
        <v>35</v>
      </c>
      <c r="D3279">
        <v>1</v>
      </c>
      <c r="G3279" s="30">
        <f>Table132[[#This Row],[nb win]]/Table132[[#This Row],[nb play]]</f>
        <v>0</v>
      </c>
      <c r="H3279" t="str">
        <f>MID(Table132[[#This Row],[ÉTAT]],VALUE(RIGHT(Table132[[#This Row],[next move]],1))+1+VALUE(LEFT(Table132[[#This Row],[next move]],1))*3,1)</f>
        <v>V</v>
      </c>
      <c r="I3279" t="str">
        <f>Table132[[#This Row],[ÉTAT]]&amp;Table132[[#This Row],[next move]]</f>
        <v>MVVVVMVEE20</v>
      </c>
    </row>
    <row r="3280" spans="2:9" x14ac:dyDescent="0.25">
      <c r="B3280" t="s">
        <v>735</v>
      </c>
      <c r="C3280" s="22" t="s">
        <v>26</v>
      </c>
      <c r="D3280">
        <v>3</v>
      </c>
      <c r="E3280">
        <v>2</v>
      </c>
      <c r="G3280" s="30">
        <f>Table132[[#This Row],[nb win]]/Table132[[#This Row],[nb play]]</f>
        <v>0.66666666666666663</v>
      </c>
      <c r="H3280" t="str">
        <f>MID(Table132[[#This Row],[ÉTAT]],VALUE(RIGHT(Table132[[#This Row],[next move]],1))+1+VALUE(LEFT(Table132[[#This Row],[next move]],1))*3,1)</f>
        <v>V</v>
      </c>
      <c r="I3280" t="str">
        <f>Table132[[#This Row],[ÉTAT]]&amp;Table132[[#This Row],[next move]]</f>
        <v>MVVVVMEVE01</v>
      </c>
    </row>
    <row r="3281" spans="2:9" x14ac:dyDescent="0.25">
      <c r="B3281" t="s">
        <v>735</v>
      </c>
      <c r="C3281" s="22" t="s">
        <v>29</v>
      </c>
      <c r="D3281">
        <v>2</v>
      </c>
      <c r="G3281" s="25">
        <f>Table132[[#This Row],[nb win]]/Table132[[#This Row],[nb play]]</f>
        <v>0</v>
      </c>
      <c r="H3281" t="str">
        <f>MID(Table132[[#This Row],[ÉTAT]],VALUE(RIGHT(Table132[[#This Row],[next move]],1))+1+VALUE(LEFT(Table132[[#This Row],[next move]],1))*3,1)</f>
        <v>V</v>
      </c>
      <c r="I3281" t="str">
        <f>Table132[[#This Row],[ÉTAT]]&amp;Table132[[#This Row],[next move]]</f>
        <v>MVVVVMEVE11</v>
      </c>
    </row>
    <row r="3282" spans="2:9" x14ac:dyDescent="0.25">
      <c r="B3282" t="s">
        <v>2300</v>
      </c>
      <c r="C3282" s="22" t="s">
        <v>26</v>
      </c>
      <c r="D3282">
        <v>2</v>
      </c>
      <c r="E3282">
        <v>1</v>
      </c>
      <c r="G3282" s="31">
        <f>Table132[[#This Row],[nb win]]/Table132[[#This Row],[nb play]]</f>
        <v>0.5</v>
      </c>
      <c r="H3282" t="str">
        <f>MID(Table132[[#This Row],[ÉTAT]],VALUE(RIGHT(Table132[[#This Row],[next move]],1))+1+VALUE(LEFT(Table132[[#This Row],[next move]],1))*3,1)</f>
        <v>V</v>
      </c>
      <c r="I3282" t="str">
        <f>Table132[[#This Row],[ÉTAT]]&amp;Table132[[#This Row],[next move]]</f>
        <v>MVVVVMEEV01</v>
      </c>
    </row>
    <row r="3283" spans="2:9" x14ac:dyDescent="0.25">
      <c r="B3283" t="s">
        <v>2300</v>
      </c>
      <c r="C3283" s="22" t="s">
        <v>20</v>
      </c>
      <c r="D3283">
        <v>1</v>
      </c>
      <c r="G3283" s="30">
        <f>Table132[[#This Row],[nb win]]/Table132[[#This Row],[nb play]]</f>
        <v>0</v>
      </c>
      <c r="H3283" t="str">
        <f>MID(Table132[[#This Row],[ÉTAT]],VALUE(RIGHT(Table132[[#This Row],[next move]],1))+1+VALUE(LEFT(Table132[[#This Row],[next move]],1))*3,1)</f>
        <v>V</v>
      </c>
      <c r="I3283" t="str">
        <f>Table132[[#This Row],[ÉTAT]]&amp;Table132[[#This Row],[next move]]</f>
        <v>MVVVVMEEV02</v>
      </c>
    </row>
    <row r="3284" spans="2:9" x14ac:dyDescent="0.25">
      <c r="B3284" t="s">
        <v>2300</v>
      </c>
      <c r="C3284" s="22" t="s">
        <v>30</v>
      </c>
      <c r="D3284">
        <v>1</v>
      </c>
      <c r="G3284" s="30">
        <f>Table132[[#This Row],[nb win]]/Table132[[#This Row],[nb play]]</f>
        <v>0</v>
      </c>
      <c r="H3284" t="str">
        <f>MID(Table132[[#This Row],[ÉTAT]],VALUE(RIGHT(Table132[[#This Row],[next move]],1))+1+VALUE(LEFT(Table132[[#This Row],[next move]],1))*3,1)</f>
        <v>V</v>
      </c>
      <c r="I3284" t="str">
        <f>Table132[[#This Row],[ÉTAT]]&amp;Table132[[#This Row],[next move]]</f>
        <v>MVVVVMEEV10</v>
      </c>
    </row>
    <row r="3285" spans="2:9" x14ac:dyDescent="0.25">
      <c r="B3285" t="s">
        <v>2300</v>
      </c>
      <c r="C3285" s="22" t="s">
        <v>29</v>
      </c>
      <c r="D3285">
        <v>2</v>
      </c>
      <c r="E3285">
        <v>1</v>
      </c>
      <c r="G3285" s="25">
        <f>Table132[[#This Row],[nb win]]/Table132[[#This Row],[nb play]]</f>
        <v>0.5</v>
      </c>
      <c r="H3285" t="str">
        <f>MID(Table132[[#This Row],[ÉTAT]],VALUE(RIGHT(Table132[[#This Row],[next move]],1))+1+VALUE(LEFT(Table132[[#This Row],[next move]],1))*3,1)</f>
        <v>V</v>
      </c>
      <c r="I3285" t="str">
        <f>Table132[[#This Row],[ÉTAT]]&amp;Table132[[#This Row],[next move]]</f>
        <v>MVVVVMEEV11</v>
      </c>
    </row>
    <row r="3286" spans="2:9" x14ac:dyDescent="0.25">
      <c r="B3286" t="s">
        <v>2300</v>
      </c>
      <c r="C3286" s="22" t="s">
        <v>31</v>
      </c>
      <c r="D3286">
        <v>1</v>
      </c>
      <c r="E3286">
        <v>1</v>
      </c>
      <c r="G3286" s="31">
        <f>Table132[[#This Row],[nb win]]/Table132[[#This Row],[nb play]]</f>
        <v>1</v>
      </c>
      <c r="H3286" t="str">
        <f>MID(Table132[[#This Row],[ÉTAT]],VALUE(RIGHT(Table132[[#This Row],[next move]],1))+1+VALUE(LEFT(Table132[[#This Row],[next move]],1))*3,1)</f>
        <v>V</v>
      </c>
      <c r="I3286" t="str">
        <f>Table132[[#This Row],[ÉTAT]]&amp;Table132[[#This Row],[next move]]</f>
        <v>MVVVVMEEV22</v>
      </c>
    </row>
    <row r="3287" spans="2:9" x14ac:dyDescent="0.25">
      <c r="B3287" t="s">
        <v>125</v>
      </c>
      <c r="C3287" s="22" t="s">
        <v>20</v>
      </c>
      <c r="D3287">
        <v>6</v>
      </c>
      <c r="E3287">
        <v>3</v>
      </c>
      <c r="G3287" s="30">
        <f>Table132[[#This Row],[nb win]]/Table132[[#This Row],[nb play]]</f>
        <v>0.5</v>
      </c>
      <c r="H3287" t="str">
        <f>MID(Table132[[#This Row],[ÉTAT]],VALUE(RIGHT(Table132[[#This Row],[next move]],1))+1+VALUE(LEFT(Table132[[#This Row],[next move]],1))*3,1)</f>
        <v>V</v>
      </c>
      <c r="I3287" t="str">
        <f>Table132[[#This Row],[ÉTAT]]&amp;Table132[[#This Row],[next move]]</f>
        <v>MVVVVEVVV02</v>
      </c>
    </row>
    <row r="3288" spans="2:9" x14ac:dyDescent="0.25">
      <c r="B3288" t="s">
        <v>125</v>
      </c>
      <c r="C3288" s="22" t="s">
        <v>29</v>
      </c>
      <c r="D3288">
        <v>12</v>
      </c>
      <c r="E3288">
        <v>10</v>
      </c>
      <c r="G3288" s="31">
        <f>Table132[[#This Row],[nb win]]/Table132[[#This Row],[nb play]]</f>
        <v>0.83333333333333337</v>
      </c>
      <c r="H3288" t="str">
        <f>MID(Table132[[#This Row],[ÉTAT]],VALUE(RIGHT(Table132[[#This Row],[next move]],1))+1+VALUE(LEFT(Table132[[#This Row],[next move]],1))*3,1)</f>
        <v>V</v>
      </c>
      <c r="I3288" t="str">
        <f>Table132[[#This Row],[ÉTAT]]&amp;Table132[[#This Row],[next move]]</f>
        <v>MVVVVEVVV11</v>
      </c>
    </row>
    <row r="3289" spans="2:9" x14ac:dyDescent="0.25">
      <c r="B3289" t="s">
        <v>125</v>
      </c>
      <c r="C3289" s="22" t="s">
        <v>35</v>
      </c>
      <c r="D3289">
        <v>15</v>
      </c>
      <c r="E3289">
        <v>8</v>
      </c>
      <c r="G3289" s="31">
        <f>Table132[[#This Row],[nb win]]/Table132[[#This Row],[nb play]]</f>
        <v>0.53333333333333333</v>
      </c>
      <c r="H3289" t="str">
        <f>MID(Table132[[#This Row],[ÉTAT]],VALUE(RIGHT(Table132[[#This Row],[next move]],1))+1+VALUE(LEFT(Table132[[#This Row],[next move]],1))*3,1)</f>
        <v>V</v>
      </c>
      <c r="I3289" t="str">
        <f>Table132[[#This Row],[ÉTAT]]&amp;Table132[[#This Row],[next move]]</f>
        <v>MVVVVEVVV20</v>
      </c>
    </row>
    <row r="3290" spans="2:9" x14ac:dyDescent="0.25">
      <c r="B3290" t="s">
        <v>125</v>
      </c>
      <c r="C3290" s="22" t="s">
        <v>22</v>
      </c>
      <c r="D3290">
        <v>5</v>
      </c>
      <c r="E3290">
        <v>5</v>
      </c>
      <c r="G3290" s="31">
        <f>Table132[[#This Row],[nb win]]/Table132[[#This Row],[nb play]]</f>
        <v>1</v>
      </c>
      <c r="H3290" t="str">
        <f>MID(Table132[[#This Row],[ÉTAT]],VALUE(RIGHT(Table132[[#This Row],[next move]],1))+1+VALUE(LEFT(Table132[[#This Row],[next move]],1))*3,1)</f>
        <v>V</v>
      </c>
      <c r="I3290" t="str">
        <f>Table132[[#This Row],[ÉTAT]]&amp;Table132[[#This Row],[next move]]</f>
        <v>MVVVVEVVV21</v>
      </c>
    </row>
    <row r="3291" spans="2:9" x14ac:dyDescent="0.25">
      <c r="B3291" t="s">
        <v>125</v>
      </c>
      <c r="C3291" s="22" t="s">
        <v>31</v>
      </c>
      <c r="D3291">
        <v>8</v>
      </c>
      <c r="E3291">
        <v>6</v>
      </c>
      <c r="G3291" s="30">
        <f>Table132[[#This Row],[nb win]]/Table132[[#This Row],[nb play]]</f>
        <v>0.75</v>
      </c>
      <c r="H3291" t="str">
        <f>MID(Table132[[#This Row],[ÉTAT]],VALUE(RIGHT(Table132[[#This Row],[next move]],1))+1+VALUE(LEFT(Table132[[#This Row],[next move]],1))*3,1)</f>
        <v>V</v>
      </c>
      <c r="I3291" t="str">
        <f>Table132[[#This Row],[ÉTAT]]&amp;Table132[[#This Row],[next move]]</f>
        <v>MVVVVEVVV22</v>
      </c>
    </row>
    <row r="3292" spans="2:9" x14ac:dyDescent="0.25">
      <c r="B3292" t="s">
        <v>1970</v>
      </c>
      <c r="C3292" s="22" t="s">
        <v>20</v>
      </c>
      <c r="D3292">
        <v>5</v>
      </c>
      <c r="E3292">
        <v>5</v>
      </c>
      <c r="G3292" s="31">
        <f>Table132[[#This Row],[nb win]]/Table132[[#This Row],[nb play]]</f>
        <v>1</v>
      </c>
      <c r="H3292" t="str">
        <f>MID(Table132[[#This Row],[ÉTAT]],VALUE(RIGHT(Table132[[#This Row],[next move]],1))+1+VALUE(LEFT(Table132[[#This Row],[next move]],1))*3,1)</f>
        <v>V</v>
      </c>
      <c r="I3292" t="str">
        <f>Table132[[#This Row],[ÉTAT]]&amp;Table132[[#This Row],[next move]]</f>
        <v>MVVVVEVVE02</v>
      </c>
    </row>
    <row r="3293" spans="2:9" x14ac:dyDescent="0.25">
      <c r="B3293" t="s">
        <v>2931</v>
      </c>
      <c r="C3293" s="22" t="s">
        <v>20</v>
      </c>
      <c r="D3293">
        <v>3</v>
      </c>
      <c r="E3293">
        <v>3</v>
      </c>
      <c r="G3293" s="31">
        <f>Table132[[#This Row],[nb win]]/Table132[[#This Row],[nb play]]</f>
        <v>1</v>
      </c>
      <c r="H3293" t="str">
        <f>MID(Table132[[#This Row],[ÉTAT]],VALUE(RIGHT(Table132[[#This Row],[next move]],1))+1+VALUE(LEFT(Table132[[#This Row],[next move]],1))*3,1)</f>
        <v>V</v>
      </c>
      <c r="I3293" t="str">
        <f>Table132[[#This Row],[ÉTAT]]&amp;Table132[[#This Row],[next move]]</f>
        <v>MVVVVEVME02</v>
      </c>
    </row>
    <row r="3294" spans="2:9" x14ac:dyDescent="0.25">
      <c r="B3294" t="s">
        <v>1540</v>
      </c>
      <c r="C3294" s="22" t="s">
        <v>26</v>
      </c>
      <c r="D3294">
        <v>3</v>
      </c>
      <c r="E3294">
        <v>3</v>
      </c>
      <c r="G3294" s="31">
        <f>Table132[[#This Row],[nb win]]/Table132[[#This Row],[nb play]]</f>
        <v>1</v>
      </c>
      <c r="H3294" t="str">
        <f>MID(Table132[[#This Row],[ÉTAT]],VALUE(RIGHT(Table132[[#This Row],[next move]],1))+1+VALUE(LEFT(Table132[[#This Row],[next move]],1))*3,1)</f>
        <v>V</v>
      </c>
      <c r="I3294" t="str">
        <f>Table132[[#This Row],[ÉTAT]]&amp;Table132[[#This Row],[next move]]</f>
        <v>MVVVVEVEV01</v>
      </c>
    </row>
    <row r="3295" spans="2:9" x14ac:dyDescent="0.25">
      <c r="B3295" t="s">
        <v>1540</v>
      </c>
      <c r="C3295" s="22" t="s">
        <v>20</v>
      </c>
      <c r="D3295">
        <v>4</v>
      </c>
      <c r="E3295">
        <v>3</v>
      </c>
      <c r="G3295" s="31">
        <f>Table132[[#This Row],[nb win]]/Table132[[#This Row],[nb play]]</f>
        <v>0.75</v>
      </c>
      <c r="H3295" t="str">
        <f>MID(Table132[[#This Row],[ÉTAT]],VALUE(RIGHT(Table132[[#This Row],[next move]],1))+1+VALUE(LEFT(Table132[[#This Row],[next move]],1))*3,1)</f>
        <v>V</v>
      </c>
      <c r="I3295" t="str">
        <f>Table132[[#This Row],[ÉTAT]]&amp;Table132[[#This Row],[next move]]</f>
        <v>MVVVVEVEV02</v>
      </c>
    </row>
    <row r="3296" spans="2:9" x14ac:dyDescent="0.25">
      <c r="B3296" t="s">
        <v>1540</v>
      </c>
      <c r="C3296" s="22" t="s">
        <v>30</v>
      </c>
      <c r="D3296">
        <v>2</v>
      </c>
      <c r="G3296" s="30">
        <f>Table132[[#This Row],[nb win]]/Table132[[#This Row],[nb play]]</f>
        <v>0</v>
      </c>
      <c r="H3296" t="str">
        <f>MID(Table132[[#This Row],[ÉTAT]],VALUE(RIGHT(Table132[[#This Row],[next move]],1))+1+VALUE(LEFT(Table132[[#This Row],[next move]],1))*3,1)</f>
        <v>V</v>
      </c>
      <c r="I3296" t="str">
        <f>Table132[[#This Row],[ÉTAT]]&amp;Table132[[#This Row],[next move]]</f>
        <v>MVVVVEVEV10</v>
      </c>
    </row>
    <row r="3297" spans="2:9" x14ac:dyDescent="0.25">
      <c r="B3297" t="s">
        <v>1540</v>
      </c>
      <c r="C3297" s="22" t="s">
        <v>29</v>
      </c>
      <c r="D3297">
        <v>1</v>
      </c>
      <c r="G3297" s="30">
        <f>Table132[[#This Row],[nb win]]/Table132[[#This Row],[nb play]]</f>
        <v>0</v>
      </c>
      <c r="H3297" t="str">
        <f>MID(Table132[[#This Row],[ÉTAT]],VALUE(RIGHT(Table132[[#This Row],[next move]],1))+1+VALUE(LEFT(Table132[[#This Row],[next move]],1))*3,1)</f>
        <v>V</v>
      </c>
      <c r="I3297" t="str">
        <f>Table132[[#This Row],[ÉTAT]]&amp;Table132[[#This Row],[next move]]</f>
        <v>MVVVVEVEV11</v>
      </c>
    </row>
    <row r="3298" spans="2:9" x14ac:dyDescent="0.25">
      <c r="B3298" t="s">
        <v>1540</v>
      </c>
      <c r="C3298" s="22" t="s">
        <v>31</v>
      </c>
      <c r="D3298">
        <v>1</v>
      </c>
      <c r="G3298" s="30">
        <f>Table132[[#This Row],[nb win]]/Table132[[#This Row],[nb play]]</f>
        <v>0</v>
      </c>
      <c r="H3298" t="str">
        <f>MID(Table132[[#This Row],[ÉTAT]],VALUE(RIGHT(Table132[[#This Row],[next move]],1))+1+VALUE(LEFT(Table132[[#This Row],[next move]],1))*3,1)</f>
        <v>V</v>
      </c>
      <c r="I3298" t="str">
        <f>Table132[[#This Row],[ÉTAT]]&amp;Table132[[#This Row],[next move]]</f>
        <v>MVVVVEVEV22</v>
      </c>
    </row>
    <row r="3299" spans="2:9" x14ac:dyDescent="0.25">
      <c r="B3299" t="s">
        <v>2531</v>
      </c>
      <c r="C3299" s="22" t="s">
        <v>20</v>
      </c>
      <c r="D3299">
        <v>5</v>
      </c>
      <c r="E3299">
        <v>5</v>
      </c>
      <c r="G3299" s="31">
        <f>Table132[[#This Row],[nb win]]/Table132[[#This Row],[nb play]]</f>
        <v>1</v>
      </c>
      <c r="H3299" t="str">
        <f>MID(Table132[[#This Row],[ÉTAT]],VALUE(RIGHT(Table132[[#This Row],[next move]],1))+1+VALUE(LEFT(Table132[[#This Row],[next move]],1))*3,1)</f>
        <v>V</v>
      </c>
      <c r="I3299" t="str">
        <f>Table132[[#This Row],[ÉTAT]]&amp;Table132[[#This Row],[next move]]</f>
        <v>MVVVVEVEM02</v>
      </c>
    </row>
    <row r="3300" spans="2:9" x14ac:dyDescent="0.25">
      <c r="B3300" t="s">
        <v>948</v>
      </c>
      <c r="C3300" s="22" t="s">
        <v>26</v>
      </c>
      <c r="D3300">
        <v>1</v>
      </c>
      <c r="G3300" s="30">
        <f>Table132[[#This Row],[nb win]]/Table132[[#This Row],[nb play]]</f>
        <v>0</v>
      </c>
      <c r="H3300" t="str">
        <f>MID(Table132[[#This Row],[ÉTAT]],VALUE(RIGHT(Table132[[#This Row],[next move]],1))+1+VALUE(LEFT(Table132[[#This Row],[next move]],1))*3,1)</f>
        <v>V</v>
      </c>
      <c r="I3300" t="str">
        <f>Table132[[#This Row],[ÉTAT]]&amp;Table132[[#This Row],[next move]]</f>
        <v>MVVVVEMVE01</v>
      </c>
    </row>
    <row r="3301" spans="2:9" x14ac:dyDescent="0.25">
      <c r="B3301" t="s">
        <v>948</v>
      </c>
      <c r="C3301" s="22" t="s">
        <v>30</v>
      </c>
      <c r="D3301">
        <v>3</v>
      </c>
      <c r="E3301">
        <v>3</v>
      </c>
      <c r="G3301" s="31">
        <f>Table132[[#This Row],[nb win]]/Table132[[#This Row],[nb play]]</f>
        <v>1</v>
      </c>
      <c r="H3301" t="str">
        <f>MID(Table132[[#This Row],[ÉTAT]],VALUE(RIGHT(Table132[[#This Row],[next move]],1))+1+VALUE(LEFT(Table132[[#This Row],[next move]],1))*3,1)</f>
        <v>V</v>
      </c>
      <c r="I3301" t="str">
        <f>Table132[[#This Row],[ÉTAT]]&amp;Table132[[#This Row],[next move]]</f>
        <v>MVVVVEMVE10</v>
      </c>
    </row>
    <row r="3302" spans="2:9" x14ac:dyDescent="0.25">
      <c r="B3302" t="s">
        <v>948</v>
      </c>
      <c r="C3302" s="22" t="s">
        <v>29</v>
      </c>
      <c r="D3302">
        <v>2</v>
      </c>
      <c r="E3302">
        <v>1</v>
      </c>
      <c r="G3302" s="25">
        <f>Table132[[#This Row],[nb win]]/Table132[[#This Row],[nb play]]</f>
        <v>0.5</v>
      </c>
      <c r="H3302" t="str">
        <f>MID(Table132[[#This Row],[ÉTAT]],VALUE(RIGHT(Table132[[#This Row],[next move]],1))+1+VALUE(LEFT(Table132[[#This Row],[next move]],1))*3,1)</f>
        <v>V</v>
      </c>
      <c r="I3302" t="str">
        <f>Table132[[#This Row],[ÉTAT]]&amp;Table132[[#This Row],[next move]]</f>
        <v>MVVVVEMVE11</v>
      </c>
    </row>
    <row r="3303" spans="2:9" x14ac:dyDescent="0.25">
      <c r="B3303" t="s">
        <v>798</v>
      </c>
      <c r="C3303" s="22" t="s">
        <v>31</v>
      </c>
      <c r="D3303">
        <v>4</v>
      </c>
      <c r="E3303">
        <v>3</v>
      </c>
      <c r="G3303" s="25">
        <f>Table132[[#This Row],[nb win]]/Table132[[#This Row],[nb play]]</f>
        <v>0.75</v>
      </c>
      <c r="H3303" t="str">
        <f>MID(Table132[[#This Row],[ÉTAT]],VALUE(RIGHT(Table132[[#This Row],[next move]],1))+1+VALUE(LEFT(Table132[[#This Row],[next move]],1))*3,1)</f>
        <v>V</v>
      </c>
      <c r="I3303" t="str">
        <f>Table132[[#This Row],[ÉTAT]]&amp;Table132[[#This Row],[next move]]</f>
        <v>MVVVVEMEV22</v>
      </c>
    </row>
    <row r="3304" spans="2:9" x14ac:dyDescent="0.25">
      <c r="B3304" t="s">
        <v>1761</v>
      </c>
      <c r="C3304" s="22" t="s">
        <v>26</v>
      </c>
      <c r="D3304">
        <v>1</v>
      </c>
      <c r="E3304">
        <v>1</v>
      </c>
      <c r="G3304" s="25">
        <f>Table132[[#This Row],[nb win]]/Table132[[#This Row],[nb play]]</f>
        <v>1</v>
      </c>
      <c r="H3304" t="str">
        <f>MID(Table132[[#This Row],[ÉTAT]],VALUE(RIGHT(Table132[[#This Row],[next move]],1))+1+VALUE(LEFT(Table132[[#This Row],[next move]],1))*3,1)</f>
        <v>V</v>
      </c>
      <c r="I3304" t="str">
        <f>Table132[[#This Row],[ÉTAT]]&amp;Table132[[#This Row],[next move]]</f>
        <v>MVVVVEMEE01</v>
      </c>
    </row>
    <row r="3305" spans="2:9" x14ac:dyDescent="0.25">
      <c r="B3305" t="s">
        <v>770</v>
      </c>
      <c r="C3305" s="22" t="s">
        <v>26</v>
      </c>
      <c r="D3305">
        <v>2</v>
      </c>
      <c r="E3305">
        <v>2</v>
      </c>
      <c r="G3305" s="31">
        <f>Table132[[#This Row],[nb win]]/Table132[[#This Row],[nb play]]</f>
        <v>1</v>
      </c>
      <c r="H3305" t="str">
        <f>MID(Table132[[#This Row],[ÉTAT]],VALUE(RIGHT(Table132[[#This Row],[next move]],1))+1+VALUE(LEFT(Table132[[#This Row],[next move]],1))*3,1)</f>
        <v>V</v>
      </c>
      <c r="I3305" t="str">
        <f>Table132[[#This Row],[ÉTAT]]&amp;Table132[[#This Row],[next move]]</f>
        <v>MVVVVEEMV01</v>
      </c>
    </row>
    <row r="3306" spans="2:9" x14ac:dyDescent="0.25">
      <c r="B3306" t="s">
        <v>770</v>
      </c>
      <c r="C3306" s="22" t="s">
        <v>31</v>
      </c>
      <c r="D3306">
        <v>5</v>
      </c>
      <c r="E3306">
        <v>3</v>
      </c>
      <c r="G3306" s="31">
        <f>Table132[[#This Row],[nb win]]/Table132[[#This Row],[nb play]]</f>
        <v>0.6</v>
      </c>
      <c r="H3306" t="str">
        <f>MID(Table132[[#This Row],[ÉTAT]],VALUE(RIGHT(Table132[[#This Row],[next move]],1))+1+VALUE(LEFT(Table132[[#This Row],[next move]],1))*3,1)</f>
        <v>V</v>
      </c>
      <c r="I3306" t="str">
        <f>Table132[[#This Row],[ÉTAT]]&amp;Table132[[#This Row],[next move]]</f>
        <v>MVVVVEEMV22</v>
      </c>
    </row>
    <row r="3307" spans="2:9" x14ac:dyDescent="0.25">
      <c r="B3307" t="s">
        <v>3381</v>
      </c>
      <c r="C3307" s="22" t="s">
        <v>20</v>
      </c>
      <c r="D3307">
        <v>1</v>
      </c>
      <c r="E3307">
        <v>1</v>
      </c>
      <c r="G3307" s="31">
        <f>Table132[[#This Row],[nb win]]/Table132[[#This Row],[nb play]]</f>
        <v>1</v>
      </c>
      <c r="H3307" t="str">
        <f>MID(Table132[[#This Row],[ÉTAT]],VALUE(RIGHT(Table132[[#This Row],[next move]],1))+1+VALUE(LEFT(Table132[[#This Row],[next move]],1))*3,1)</f>
        <v>V</v>
      </c>
      <c r="I3307" t="str">
        <f>Table132[[#This Row],[ÉTAT]]&amp;Table132[[#This Row],[next move]]</f>
        <v>MVVVVEEME02</v>
      </c>
    </row>
    <row r="3308" spans="2:9" x14ac:dyDescent="0.25">
      <c r="B3308" t="s">
        <v>473</v>
      </c>
      <c r="C3308" s="22" t="s">
        <v>30</v>
      </c>
      <c r="D3308">
        <v>2</v>
      </c>
      <c r="E3308">
        <v>1</v>
      </c>
      <c r="G3308" s="30">
        <f>Table132[[#This Row],[nb win]]/Table132[[#This Row],[nb play]]</f>
        <v>0.5</v>
      </c>
      <c r="H3308" t="str">
        <f>MID(Table132[[#This Row],[ÉTAT]],VALUE(RIGHT(Table132[[#This Row],[next move]],1))+1+VALUE(LEFT(Table132[[#This Row],[next move]],1))*3,1)</f>
        <v>V</v>
      </c>
      <c r="I3308" t="str">
        <f>Table132[[#This Row],[ÉTAT]]&amp;Table132[[#This Row],[next move]]</f>
        <v>MVVVVEEEM10</v>
      </c>
    </row>
    <row r="3309" spans="2:9" x14ac:dyDescent="0.25">
      <c r="B3309" t="s">
        <v>1329</v>
      </c>
      <c r="C3309" s="22" t="s">
        <v>26</v>
      </c>
      <c r="D3309">
        <v>2</v>
      </c>
      <c r="G3309" s="30">
        <f>Table132[[#This Row],[nb win]]/Table132[[#This Row],[nb play]]</f>
        <v>0</v>
      </c>
      <c r="H3309" t="str">
        <f>MID(Table132[[#This Row],[ÉTAT]],VALUE(RIGHT(Table132[[#This Row],[next move]],1))+1+VALUE(LEFT(Table132[[#This Row],[next move]],1))*3,1)</f>
        <v>V</v>
      </c>
      <c r="I3309" t="str">
        <f>Table132[[#This Row],[ÉTAT]]&amp;Table132[[#This Row],[next move]]</f>
        <v>MVVVMVVEE01</v>
      </c>
    </row>
    <row r="3310" spans="2:9" x14ac:dyDescent="0.25">
      <c r="B3310" t="s">
        <v>1329</v>
      </c>
      <c r="C3310" s="22" t="s">
        <v>20</v>
      </c>
      <c r="D3310">
        <v>1</v>
      </c>
      <c r="G3310" s="30">
        <f>Table132[[#This Row],[nb win]]/Table132[[#This Row],[nb play]]</f>
        <v>0</v>
      </c>
      <c r="H3310" t="str">
        <f>MID(Table132[[#This Row],[ÉTAT]],VALUE(RIGHT(Table132[[#This Row],[next move]],1))+1+VALUE(LEFT(Table132[[#This Row],[next move]],1))*3,1)</f>
        <v>V</v>
      </c>
      <c r="I3310" t="str">
        <f>Table132[[#This Row],[ÉTAT]]&amp;Table132[[#This Row],[next move]]</f>
        <v>MVVVMVVEE02</v>
      </c>
    </row>
    <row r="3311" spans="2:9" x14ac:dyDescent="0.25">
      <c r="B3311" t="s">
        <v>1329</v>
      </c>
      <c r="C3311" s="22" t="s">
        <v>35</v>
      </c>
      <c r="D3311">
        <v>1</v>
      </c>
      <c r="E3311">
        <v>1</v>
      </c>
      <c r="G3311" s="31">
        <f>Table132[[#This Row],[nb win]]/Table132[[#This Row],[nb play]]</f>
        <v>1</v>
      </c>
      <c r="H3311" t="str">
        <f>MID(Table132[[#This Row],[ÉTAT]],VALUE(RIGHT(Table132[[#This Row],[next move]],1))+1+VALUE(LEFT(Table132[[#This Row],[next move]],1))*3,1)</f>
        <v>V</v>
      </c>
      <c r="I3311" t="str">
        <f>Table132[[#This Row],[ÉTAT]]&amp;Table132[[#This Row],[next move]]</f>
        <v>MVVVMVVEE20</v>
      </c>
    </row>
    <row r="3312" spans="2:9" x14ac:dyDescent="0.25">
      <c r="B3312" t="s">
        <v>417</v>
      </c>
      <c r="C3312" s="22" t="s">
        <v>30</v>
      </c>
      <c r="D3312">
        <v>1</v>
      </c>
      <c r="G3312" s="25">
        <f>Table132[[#This Row],[nb win]]/Table132[[#This Row],[nb play]]</f>
        <v>0</v>
      </c>
      <c r="H3312" t="str">
        <f>MID(Table132[[#This Row],[ÉTAT]],VALUE(RIGHT(Table132[[#This Row],[next move]],1))+1+VALUE(LEFT(Table132[[#This Row],[next move]],1))*3,1)</f>
        <v>V</v>
      </c>
      <c r="I3312" t="str">
        <f>Table132[[#This Row],[ÉTAT]]&amp;Table132[[#This Row],[next move]]</f>
        <v>MVVVMVEVE10</v>
      </c>
    </row>
    <row r="3313" spans="2:9" x14ac:dyDescent="0.25">
      <c r="B3313" t="s">
        <v>417</v>
      </c>
      <c r="C3313" s="22" t="s">
        <v>22</v>
      </c>
      <c r="D3313">
        <v>2</v>
      </c>
      <c r="E3313">
        <v>2</v>
      </c>
      <c r="G3313" s="31">
        <f>Table132[[#This Row],[nb win]]/Table132[[#This Row],[nb play]]</f>
        <v>1</v>
      </c>
      <c r="H3313" t="str">
        <f>MID(Table132[[#This Row],[ÉTAT]],VALUE(RIGHT(Table132[[#This Row],[next move]],1))+1+VALUE(LEFT(Table132[[#This Row],[next move]],1))*3,1)</f>
        <v>V</v>
      </c>
      <c r="I3313" t="str">
        <f>Table132[[#This Row],[ÉTAT]]&amp;Table132[[#This Row],[next move]]</f>
        <v>MVVVMVEVE21</v>
      </c>
    </row>
    <row r="3314" spans="2:9" x14ac:dyDescent="0.25">
      <c r="B3314" t="s">
        <v>1439</v>
      </c>
      <c r="C3314" s="22" t="s">
        <v>20</v>
      </c>
      <c r="D3314">
        <v>2</v>
      </c>
      <c r="E3314">
        <v>1</v>
      </c>
      <c r="G3314" s="25">
        <f>Table132[[#This Row],[nb win]]/Table132[[#This Row],[nb play]]</f>
        <v>0.5</v>
      </c>
      <c r="H3314" t="str">
        <f>MID(Table132[[#This Row],[ÉTAT]],VALUE(RIGHT(Table132[[#This Row],[next move]],1))+1+VALUE(LEFT(Table132[[#This Row],[next move]],1))*3,1)</f>
        <v>V</v>
      </c>
      <c r="I3314" t="str">
        <f>Table132[[#This Row],[ÉTAT]]&amp;Table132[[#This Row],[next move]]</f>
        <v>MVVVMVEEV02</v>
      </c>
    </row>
    <row r="3315" spans="2:9" x14ac:dyDescent="0.25">
      <c r="B3315" t="s">
        <v>1439</v>
      </c>
      <c r="C3315" s="22" t="s">
        <v>31</v>
      </c>
      <c r="D3315">
        <v>4</v>
      </c>
      <c r="E3315">
        <v>4</v>
      </c>
      <c r="G3315" s="31">
        <f>Table132[[#This Row],[nb win]]/Table132[[#This Row],[nb play]]</f>
        <v>1</v>
      </c>
      <c r="H3315" t="str">
        <f>MID(Table132[[#This Row],[ÉTAT]],VALUE(RIGHT(Table132[[#This Row],[next move]],1))+1+VALUE(LEFT(Table132[[#This Row],[next move]],1))*3,1)</f>
        <v>V</v>
      </c>
      <c r="I3315" t="str">
        <f>Table132[[#This Row],[ÉTAT]]&amp;Table132[[#This Row],[next move]]</f>
        <v>MVVVMVEEV22</v>
      </c>
    </row>
    <row r="3316" spans="2:9" x14ac:dyDescent="0.25">
      <c r="B3316" t="s">
        <v>3417</v>
      </c>
      <c r="C3316" s="22" t="s">
        <v>30</v>
      </c>
      <c r="D3316">
        <v>1</v>
      </c>
      <c r="E3316">
        <v>1</v>
      </c>
      <c r="G3316" s="31">
        <f>Table132[[#This Row],[nb win]]/Table132[[#This Row],[nb play]]</f>
        <v>1</v>
      </c>
      <c r="H3316" t="str">
        <f>MID(Table132[[#This Row],[ÉTAT]],VALUE(RIGHT(Table132[[#This Row],[next move]],1))+1+VALUE(LEFT(Table132[[#This Row],[next move]],1))*3,1)</f>
        <v>V</v>
      </c>
      <c r="I3316" t="str">
        <f>Table132[[#This Row],[ÉTAT]]&amp;Table132[[#This Row],[next move]]</f>
        <v>MVVVMEVVE10</v>
      </c>
    </row>
    <row r="3317" spans="2:9" x14ac:dyDescent="0.25">
      <c r="B3317" t="s">
        <v>231</v>
      </c>
      <c r="C3317" s="22" t="s">
        <v>20</v>
      </c>
      <c r="D3317">
        <v>5</v>
      </c>
      <c r="E3317">
        <v>5</v>
      </c>
      <c r="G3317" s="31">
        <f>Table132[[#This Row],[nb win]]/Table132[[#This Row],[nb play]]</f>
        <v>1</v>
      </c>
      <c r="H3317" t="str">
        <f>MID(Table132[[#This Row],[ÉTAT]],VALUE(RIGHT(Table132[[#This Row],[next move]],1))+1+VALUE(LEFT(Table132[[#This Row],[next move]],1))*3,1)</f>
        <v>V</v>
      </c>
      <c r="I3317" t="str">
        <f>Table132[[#This Row],[ÉTAT]]&amp;Table132[[#This Row],[next move]]</f>
        <v>MVVVMEVEV02</v>
      </c>
    </row>
    <row r="3318" spans="2:9" x14ac:dyDescent="0.25">
      <c r="B3318" t="s">
        <v>231</v>
      </c>
      <c r="C3318" s="22" t="s">
        <v>31</v>
      </c>
      <c r="D3318">
        <v>5</v>
      </c>
      <c r="E3318">
        <v>5</v>
      </c>
      <c r="G3318" s="31">
        <f>Table132[[#This Row],[nb win]]/Table132[[#This Row],[nb play]]</f>
        <v>1</v>
      </c>
      <c r="H3318" t="str">
        <f>MID(Table132[[#This Row],[ÉTAT]],VALUE(RIGHT(Table132[[#This Row],[next move]],1))+1+VALUE(LEFT(Table132[[#This Row],[next move]],1))*3,1)</f>
        <v>V</v>
      </c>
      <c r="I3318" t="str">
        <f>Table132[[#This Row],[ÉTAT]]&amp;Table132[[#This Row],[next move]]</f>
        <v>MVVVMEVEV22</v>
      </c>
    </row>
    <row r="3319" spans="2:9" x14ac:dyDescent="0.25">
      <c r="B3319" t="s">
        <v>1233</v>
      </c>
      <c r="C3319" s="22" t="s">
        <v>20</v>
      </c>
      <c r="D3319">
        <v>1</v>
      </c>
      <c r="G3319" s="30">
        <f>Table132[[#This Row],[nb win]]/Table132[[#This Row],[nb play]]</f>
        <v>0</v>
      </c>
      <c r="H3319" t="str">
        <f>MID(Table132[[#This Row],[ÉTAT]],VALUE(RIGHT(Table132[[#This Row],[next move]],1))+1+VALUE(LEFT(Table132[[#This Row],[next move]],1))*3,1)</f>
        <v>V</v>
      </c>
      <c r="I3319" t="str">
        <f>Table132[[#This Row],[ÉTAT]]&amp;Table132[[#This Row],[next move]]</f>
        <v>MVVVMEVEE02</v>
      </c>
    </row>
    <row r="3320" spans="2:9" x14ac:dyDescent="0.25">
      <c r="B3320" t="s">
        <v>1233</v>
      </c>
      <c r="C3320" s="22" t="s">
        <v>30</v>
      </c>
      <c r="D3320">
        <v>2</v>
      </c>
      <c r="E3320">
        <v>1</v>
      </c>
      <c r="G3320" s="30">
        <f>Table132[[#This Row],[nb win]]/Table132[[#This Row],[nb play]]</f>
        <v>0.5</v>
      </c>
      <c r="H3320" t="str">
        <f>MID(Table132[[#This Row],[ÉTAT]],VALUE(RIGHT(Table132[[#This Row],[next move]],1))+1+VALUE(LEFT(Table132[[#This Row],[next move]],1))*3,1)</f>
        <v>V</v>
      </c>
      <c r="I3320" t="str">
        <f>Table132[[#This Row],[ÉTAT]]&amp;Table132[[#This Row],[next move]]</f>
        <v>MVVVMEVEE10</v>
      </c>
    </row>
    <row r="3321" spans="2:9" x14ac:dyDescent="0.25">
      <c r="B3321" t="s">
        <v>1619</v>
      </c>
      <c r="C3321" s="22" t="s">
        <v>30</v>
      </c>
      <c r="D3321">
        <v>2</v>
      </c>
      <c r="E3321">
        <v>1</v>
      </c>
      <c r="G3321" s="25">
        <f>Table132[[#This Row],[nb win]]/Table132[[#This Row],[nb play]]</f>
        <v>0.5</v>
      </c>
      <c r="H3321" t="str">
        <f>MID(Table132[[#This Row],[ÉTAT]],VALUE(RIGHT(Table132[[#This Row],[next move]],1))+1+VALUE(LEFT(Table132[[#This Row],[next move]],1))*3,1)</f>
        <v>V</v>
      </c>
      <c r="I3321" t="str">
        <f>Table132[[#This Row],[ÉTAT]]&amp;Table132[[#This Row],[next move]]</f>
        <v>MVVVMEEVV10</v>
      </c>
    </row>
    <row r="3322" spans="2:9" x14ac:dyDescent="0.25">
      <c r="B3322" t="s">
        <v>1619</v>
      </c>
      <c r="C3322" s="22" t="s">
        <v>31</v>
      </c>
      <c r="D3322">
        <v>2</v>
      </c>
      <c r="E3322">
        <v>2</v>
      </c>
      <c r="G3322" s="31">
        <f>Table132[[#This Row],[nb win]]/Table132[[#This Row],[nb play]]</f>
        <v>1</v>
      </c>
      <c r="H3322" t="str">
        <f>MID(Table132[[#This Row],[ÉTAT]],VALUE(RIGHT(Table132[[#This Row],[next move]],1))+1+VALUE(LEFT(Table132[[#This Row],[next move]],1))*3,1)</f>
        <v>V</v>
      </c>
      <c r="I3322" t="str">
        <f>Table132[[#This Row],[ÉTAT]]&amp;Table132[[#This Row],[next move]]</f>
        <v>MVVVMEEVV22</v>
      </c>
    </row>
    <row r="3323" spans="2:9" x14ac:dyDescent="0.25">
      <c r="B3323" t="s">
        <v>2566</v>
      </c>
      <c r="C3323" s="22" t="s">
        <v>26</v>
      </c>
      <c r="D3323">
        <v>2</v>
      </c>
      <c r="E3323">
        <v>1</v>
      </c>
      <c r="G3323" s="30">
        <f>Table132[[#This Row],[nb win]]/Table132[[#This Row],[nb play]]</f>
        <v>0.5</v>
      </c>
      <c r="H3323" t="str">
        <f>MID(Table132[[#This Row],[ÉTAT]],VALUE(RIGHT(Table132[[#This Row],[next move]],1))+1+VALUE(LEFT(Table132[[#This Row],[next move]],1))*3,1)</f>
        <v>V</v>
      </c>
      <c r="I3323" t="str">
        <f>Table132[[#This Row],[ÉTAT]]&amp;Table132[[#This Row],[next move]]</f>
        <v>MVVVMEEVE01</v>
      </c>
    </row>
    <row r="3324" spans="2:9" x14ac:dyDescent="0.25">
      <c r="B3324" t="s">
        <v>2566</v>
      </c>
      <c r="C3324" s="22" t="s">
        <v>20</v>
      </c>
      <c r="D3324">
        <v>2</v>
      </c>
      <c r="G3324" s="30">
        <f>Table132[[#This Row],[nb win]]/Table132[[#This Row],[nb play]]</f>
        <v>0</v>
      </c>
      <c r="H3324" t="str">
        <f>MID(Table132[[#This Row],[ÉTAT]],VALUE(RIGHT(Table132[[#This Row],[next move]],1))+1+VALUE(LEFT(Table132[[#This Row],[next move]],1))*3,1)</f>
        <v>V</v>
      </c>
      <c r="I3324" t="str">
        <f>Table132[[#This Row],[ÉTAT]]&amp;Table132[[#This Row],[next move]]</f>
        <v>MVVVMEEVE02</v>
      </c>
    </row>
    <row r="3325" spans="2:9" x14ac:dyDescent="0.25">
      <c r="B3325" t="s">
        <v>2566</v>
      </c>
      <c r="C3325" s="22" t="s">
        <v>30</v>
      </c>
      <c r="D3325">
        <v>2</v>
      </c>
      <c r="G3325" s="30">
        <f>Table132[[#This Row],[nb win]]/Table132[[#This Row],[nb play]]</f>
        <v>0</v>
      </c>
      <c r="H3325" t="str">
        <f>MID(Table132[[#This Row],[ÉTAT]],VALUE(RIGHT(Table132[[#This Row],[next move]],1))+1+VALUE(LEFT(Table132[[#This Row],[next move]],1))*3,1)</f>
        <v>V</v>
      </c>
      <c r="I3325" t="str">
        <f>Table132[[#This Row],[ÉTAT]]&amp;Table132[[#This Row],[next move]]</f>
        <v>MVVVMEEVE10</v>
      </c>
    </row>
    <row r="3326" spans="2:9" x14ac:dyDescent="0.25">
      <c r="B3326" t="s">
        <v>2566</v>
      </c>
      <c r="C3326" s="22" t="s">
        <v>22</v>
      </c>
      <c r="D3326">
        <v>1</v>
      </c>
      <c r="G3326" s="25">
        <f>Table132[[#This Row],[nb win]]/Table132[[#This Row],[nb play]]</f>
        <v>0</v>
      </c>
      <c r="H3326" t="str">
        <f>MID(Table132[[#This Row],[ÉTAT]],VALUE(RIGHT(Table132[[#This Row],[next move]],1))+1+VALUE(LEFT(Table132[[#This Row],[next move]],1))*3,1)</f>
        <v>V</v>
      </c>
      <c r="I3326" t="str">
        <f>Table132[[#This Row],[ÉTAT]]&amp;Table132[[#This Row],[next move]]</f>
        <v>MVVVMEEVE21</v>
      </c>
    </row>
    <row r="3327" spans="2:9" x14ac:dyDescent="0.25">
      <c r="B3327" t="s">
        <v>1174</v>
      </c>
      <c r="C3327" s="22" t="s">
        <v>26</v>
      </c>
      <c r="D3327">
        <v>1</v>
      </c>
      <c r="E3327">
        <v>1</v>
      </c>
      <c r="G3327" s="25">
        <f>Table132[[#This Row],[nb win]]/Table132[[#This Row],[nb play]]</f>
        <v>1</v>
      </c>
      <c r="H3327" t="str">
        <f>MID(Table132[[#This Row],[ÉTAT]],VALUE(RIGHT(Table132[[#This Row],[next move]],1))+1+VALUE(LEFT(Table132[[#This Row],[next move]],1))*3,1)</f>
        <v>V</v>
      </c>
      <c r="I3327" t="str">
        <f>Table132[[#This Row],[ÉTAT]]&amp;Table132[[#This Row],[next move]]</f>
        <v>MVVVMEEME01</v>
      </c>
    </row>
    <row r="3328" spans="2:9" x14ac:dyDescent="0.25">
      <c r="B3328" t="s">
        <v>3469</v>
      </c>
      <c r="C3328" s="22" t="s">
        <v>31</v>
      </c>
      <c r="D3328">
        <v>1</v>
      </c>
      <c r="E3328">
        <v>1</v>
      </c>
      <c r="G3328" s="31">
        <f>Table132[[#This Row],[nb win]]/Table132[[#This Row],[nb play]]</f>
        <v>1</v>
      </c>
      <c r="H3328" t="str">
        <f>MID(Table132[[#This Row],[ÉTAT]],VALUE(RIGHT(Table132[[#This Row],[next move]],1))+1+VALUE(LEFT(Table132[[#This Row],[next move]],1))*3,1)</f>
        <v>V</v>
      </c>
      <c r="I3328" t="str">
        <f>Table132[[#This Row],[ÉTAT]]&amp;Table132[[#This Row],[next move]]</f>
        <v>MVVVMEEEV22</v>
      </c>
    </row>
    <row r="3329" spans="2:9" x14ac:dyDescent="0.25">
      <c r="B3329" t="s">
        <v>117</v>
      </c>
      <c r="C3329" s="22" t="s">
        <v>26</v>
      </c>
      <c r="D3329">
        <v>8</v>
      </c>
      <c r="E3329">
        <v>2</v>
      </c>
      <c r="G3329" s="31">
        <f>Table132[[#This Row],[nb win]]/Table132[[#This Row],[nb play]]</f>
        <v>0.25</v>
      </c>
      <c r="H3329" t="str">
        <f>MID(Table132[[#This Row],[ÉTAT]],VALUE(RIGHT(Table132[[#This Row],[next move]],1))+1+VALUE(LEFT(Table132[[#This Row],[next move]],1))*3,1)</f>
        <v>V</v>
      </c>
      <c r="I3329" t="str">
        <f>Table132[[#This Row],[ÉTAT]]&amp;Table132[[#This Row],[next move]]</f>
        <v>MVVVEVVVV01</v>
      </c>
    </row>
    <row r="3330" spans="2:9" x14ac:dyDescent="0.25">
      <c r="B3330" t="s">
        <v>117</v>
      </c>
      <c r="C3330" s="22" t="s">
        <v>20</v>
      </c>
      <c r="D3330">
        <v>6</v>
      </c>
      <c r="E3330">
        <v>3</v>
      </c>
      <c r="G3330" s="31">
        <f>Table132[[#This Row],[nb win]]/Table132[[#This Row],[nb play]]</f>
        <v>0.5</v>
      </c>
      <c r="H3330" t="str">
        <f>MID(Table132[[#This Row],[ÉTAT]],VALUE(RIGHT(Table132[[#This Row],[next move]],1))+1+VALUE(LEFT(Table132[[#This Row],[next move]],1))*3,1)</f>
        <v>V</v>
      </c>
      <c r="I3330" t="str">
        <f>Table132[[#This Row],[ÉTAT]]&amp;Table132[[#This Row],[next move]]</f>
        <v>MVVVEVVVV02</v>
      </c>
    </row>
    <row r="3331" spans="2:9" x14ac:dyDescent="0.25">
      <c r="B3331" t="s">
        <v>117</v>
      </c>
      <c r="C3331" s="22" t="s">
        <v>30</v>
      </c>
      <c r="D3331">
        <v>12</v>
      </c>
      <c r="E3331">
        <v>7</v>
      </c>
      <c r="G3331" s="30">
        <f>Table132[[#This Row],[nb win]]/Table132[[#This Row],[nb play]]</f>
        <v>0.58333333333333337</v>
      </c>
      <c r="H3331" t="str">
        <f>MID(Table132[[#This Row],[ÉTAT]],VALUE(RIGHT(Table132[[#This Row],[next move]],1))+1+VALUE(LEFT(Table132[[#This Row],[next move]],1))*3,1)</f>
        <v>V</v>
      </c>
      <c r="I3331" t="str">
        <f>Table132[[#This Row],[ÉTAT]]&amp;Table132[[#This Row],[next move]]</f>
        <v>MVVVEVVVV10</v>
      </c>
    </row>
    <row r="3332" spans="2:9" x14ac:dyDescent="0.25">
      <c r="B3332" t="s">
        <v>117</v>
      </c>
      <c r="C3332" s="22" t="s">
        <v>28</v>
      </c>
      <c r="D3332">
        <v>9</v>
      </c>
      <c r="E3332">
        <v>5</v>
      </c>
      <c r="G3332" s="30">
        <f>Table132[[#This Row],[nb win]]/Table132[[#This Row],[nb play]]</f>
        <v>0.55555555555555558</v>
      </c>
      <c r="H3332" t="str">
        <f>MID(Table132[[#This Row],[ÉTAT]],VALUE(RIGHT(Table132[[#This Row],[next move]],1))+1+VALUE(LEFT(Table132[[#This Row],[next move]],1))*3,1)</f>
        <v>V</v>
      </c>
      <c r="I3332" t="str">
        <f>Table132[[#This Row],[ÉTAT]]&amp;Table132[[#This Row],[next move]]</f>
        <v>MVVVEVVVV12</v>
      </c>
    </row>
    <row r="3333" spans="2:9" x14ac:dyDescent="0.25">
      <c r="B3333" t="s">
        <v>117</v>
      </c>
      <c r="C3333" s="22" t="s">
        <v>35</v>
      </c>
      <c r="D3333">
        <v>5</v>
      </c>
      <c r="E3333">
        <v>3</v>
      </c>
      <c r="G3333" s="31">
        <f>Table132[[#This Row],[nb win]]/Table132[[#This Row],[nb play]]</f>
        <v>0.6</v>
      </c>
      <c r="H3333" t="str">
        <f>MID(Table132[[#This Row],[ÉTAT]],VALUE(RIGHT(Table132[[#This Row],[next move]],1))+1+VALUE(LEFT(Table132[[#This Row],[next move]],1))*3,1)</f>
        <v>V</v>
      </c>
      <c r="I3333" t="str">
        <f>Table132[[#This Row],[ÉTAT]]&amp;Table132[[#This Row],[next move]]</f>
        <v>MVVVEVVVV20</v>
      </c>
    </row>
    <row r="3334" spans="2:9" x14ac:dyDescent="0.25">
      <c r="B3334" t="s">
        <v>117</v>
      </c>
      <c r="C3334" s="22" t="s">
        <v>22</v>
      </c>
      <c r="D3334">
        <v>10</v>
      </c>
      <c r="E3334">
        <v>4</v>
      </c>
      <c r="G3334" s="31">
        <f>Table132[[#This Row],[nb win]]/Table132[[#This Row],[nb play]]</f>
        <v>0.4</v>
      </c>
      <c r="H3334" t="str">
        <f>MID(Table132[[#This Row],[ÉTAT]],VALUE(RIGHT(Table132[[#This Row],[next move]],1))+1+VALUE(LEFT(Table132[[#This Row],[next move]],1))*3,1)</f>
        <v>V</v>
      </c>
      <c r="I3334" t="str">
        <f>Table132[[#This Row],[ÉTAT]]&amp;Table132[[#This Row],[next move]]</f>
        <v>MVVVEVVVV21</v>
      </c>
    </row>
    <row r="3335" spans="2:9" x14ac:dyDescent="0.25">
      <c r="B3335" t="s">
        <v>117</v>
      </c>
      <c r="C3335" s="22" t="s">
        <v>31</v>
      </c>
      <c r="D3335">
        <v>22</v>
      </c>
      <c r="E3335">
        <v>11</v>
      </c>
      <c r="G3335" s="30">
        <f>Table132[[#This Row],[nb win]]/Table132[[#This Row],[nb play]]</f>
        <v>0.5</v>
      </c>
      <c r="H3335" t="str">
        <f>MID(Table132[[#This Row],[ÉTAT]],VALUE(RIGHT(Table132[[#This Row],[next move]],1))+1+VALUE(LEFT(Table132[[#This Row],[next move]],1))*3,1)</f>
        <v>V</v>
      </c>
      <c r="I3335" t="str">
        <f>Table132[[#This Row],[ÉTAT]]&amp;Table132[[#This Row],[next move]]</f>
        <v>MVVVEVVVV22</v>
      </c>
    </row>
    <row r="3336" spans="2:9" x14ac:dyDescent="0.25">
      <c r="B3336" t="s">
        <v>226</v>
      </c>
      <c r="C3336" s="22" t="s">
        <v>26</v>
      </c>
      <c r="D3336">
        <v>1</v>
      </c>
      <c r="G3336" s="25">
        <f>Table132[[#This Row],[nb win]]/Table132[[#This Row],[nb play]]</f>
        <v>0</v>
      </c>
      <c r="H3336" t="str">
        <f>MID(Table132[[#This Row],[ÉTAT]],VALUE(RIGHT(Table132[[#This Row],[next move]],1))+1+VALUE(LEFT(Table132[[#This Row],[next move]],1))*3,1)</f>
        <v>V</v>
      </c>
      <c r="I3336" t="str">
        <f>Table132[[#This Row],[ÉTAT]]&amp;Table132[[#This Row],[next move]]</f>
        <v>MVVVEVVVE01</v>
      </c>
    </row>
    <row r="3337" spans="2:9" x14ac:dyDescent="0.25">
      <c r="B3337" t="s">
        <v>226</v>
      </c>
      <c r="C3337" s="22" t="s">
        <v>20</v>
      </c>
      <c r="D3337">
        <v>3</v>
      </c>
      <c r="E3337">
        <v>1</v>
      </c>
      <c r="G3337" s="25">
        <f>Table132[[#This Row],[nb win]]/Table132[[#This Row],[nb play]]</f>
        <v>0.33333333333333331</v>
      </c>
      <c r="H3337" t="str">
        <f>MID(Table132[[#This Row],[ÉTAT]],VALUE(RIGHT(Table132[[#This Row],[next move]],1))+1+VALUE(LEFT(Table132[[#This Row],[next move]],1))*3,1)</f>
        <v>V</v>
      </c>
      <c r="I3337" t="str">
        <f>Table132[[#This Row],[ÉTAT]]&amp;Table132[[#This Row],[next move]]</f>
        <v>MVVVEVVVE02</v>
      </c>
    </row>
    <row r="3338" spans="2:9" x14ac:dyDescent="0.25">
      <c r="B3338" t="s">
        <v>226</v>
      </c>
      <c r="C3338" s="22" t="s">
        <v>30</v>
      </c>
      <c r="D3338">
        <v>3</v>
      </c>
      <c r="E3338">
        <v>1</v>
      </c>
      <c r="G3338" s="25">
        <f>Table132[[#This Row],[nb win]]/Table132[[#This Row],[nb play]]</f>
        <v>0.33333333333333331</v>
      </c>
      <c r="H3338" t="str">
        <f>MID(Table132[[#This Row],[ÉTAT]],VALUE(RIGHT(Table132[[#This Row],[next move]],1))+1+VALUE(LEFT(Table132[[#This Row],[next move]],1))*3,1)</f>
        <v>V</v>
      </c>
      <c r="I3338" t="str">
        <f>Table132[[#This Row],[ÉTAT]]&amp;Table132[[#This Row],[next move]]</f>
        <v>MVVVEVVVE10</v>
      </c>
    </row>
    <row r="3339" spans="2:9" x14ac:dyDescent="0.25">
      <c r="B3339" t="s">
        <v>226</v>
      </c>
      <c r="C3339" s="22" t="s">
        <v>28</v>
      </c>
      <c r="D3339">
        <v>2</v>
      </c>
      <c r="E3339">
        <v>1</v>
      </c>
      <c r="G3339" s="25">
        <f>Table132[[#This Row],[nb win]]/Table132[[#This Row],[nb play]]</f>
        <v>0.5</v>
      </c>
      <c r="H3339" t="str">
        <f>MID(Table132[[#This Row],[ÉTAT]],VALUE(RIGHT(Table132[[#This Row],[next move]],1))+1+VALUE(LEFT(Table132[[#This Row],[next move]],1))*3,1)</f>
        <v>V</v>
      </c>
      <c r="I3339" t="str">
        <f>Table132[[#This Row],[ÉTAT]]&amp;Table132[[#This Row],[next move]]</f>
        <v>MVVVEVVVE12</v>
      </c>
    </row>
    <row r="3340" spans="2:9" x14ac:dyDescent="0.25">
      <c r="B3340" t="s">
        <v>226</v>
      </c>
      <c r="C3340" s="22" t="s">
        <v>35</v>
      </c>
      <c r="D3340">
        <v>5</v>
      </c>
      <c r="E3340">
        <v>4</v>
      </c>
      <c r="G3340" s="31">
        <f>Table132[[#This Row],[nb win]]/Table132[[#This Row],[nb play]]</f>
        <v>0.8</v>
      </c>
      <c r="H3340" t="str">
        <f>MID(Table132[[#This Row],[ÉTAT]],VALUE(RIGHT(Table132[[#This Row],[next move]],1))+1+VALUE(LEFT(Table132[[#This Row],[next move]],1))*3,1)</f>
        <v>V</v>
      </c>
      <c r="I3340" t="str">
        <f>Table132[[#This Row],[ÉTAT]]&amp;Table132[[#This Row],[next move]]</f>
        <v>MVVVEVVVE20</v>
      </c>
    </row>
    <row r="3341" spans="2:9" x14ac:dyDescent="0.25">
      <c r="B3341" t="s">
        <v>226</v>
      </c>
      <c r="C3341" s="22" t="s">
        <v>22</v>
      </c>
      <c r="D3341">
        <v>1</v>
      </c>
      <c r="G3341" s="30">
        <f>Table132[[#This Row],[nb win]]/Table132[[#This Row],[nb play]]</f>
        <v>0</v>
      </c>
      <c r="H3341" t="str">
        <f>MID(Table132[[#This Row],[ÉTAT]],VALUE(RIGHT(Table132[[#This Row],[next move]],1))+1+VALUE(LEFT(Table132[[#This Row],[next move]],1))*3,1)</f>
        <v>V</v>
      </c>
      <c r="I3341" t="str">
        <f>Table132[[#This Row],[ÉTAT]]&amp;Table132[[#This Row],[next move]]</f>
        <v>MVVVEVVVE21</v>
      </c>
    </row>
    <row r="3342" spans="2:9" x14ac:dyDescent="0.25">
      <c r="B3342" t="s">
        <v>2519</v>
      </c>
      <c r="C3342" s="22" t="s">
        <v>28</v>
      </c>
      <c r="D3342">
        <v>1</v>
      </c>
      <c r="E3342">
        <v>1</v>
      </c>
      <c r="G3342" s="25">
        <f>Table132[[#This Row],[nb win]]/Table132[[#This Row],[nb play]]</f>
        <v>1</v>
      </c>
      <c r="H3342" t="str">
        <f>MID(Table132[[#This Row],[ÉTAT]],VALUE(RIGHT(Table132[[#This Row],[next move]],1))+1+VALUE(LEFT(Table132[[#This Row],[next move]],1))*3,1)</f>
        <v>V</v>
      </c>
      <c r="I3342" t="str">
        <f>Table132[[#This Row],[ÉTAT]]&amp;Table132[[#This Row],[next move]]</f>
        <v>MVVVEVVME12</v>
      </c>
    </row>
    <row r="3343" spans="2:9" x14ac:dyDescent="0.25">
      <c r="B3343" t="s">
        <v>1315</v>
      </c>
      <c r="C3343" s="22" t="s">
        <v>26</v>
      </c>
      <c r="D3343">
        <v>5</v>
      </c>
      <c r="E3343">
        <v>4</v>
      </c>
      <c r="G3343" s="31">
        <f>Table132[[#This Row],[nb win]]/Table132[[#This Row],[nb play]]</f>
        <v>0.8</v>
      </c>
      <c r="H3343" t="str">
        <f>MID(Table132[[#This Row],[ÉTAT]],VALUE(RIGHT(Table132[[#This Row],[next move]],1))+1+VALUE(LEFT(Table132[[#This Row],[next move]],1))*3,1)</f>
        <v>V</v>
      </c>
      <c r="I3343" t="str">
        <f>Table132[[#This Row],[ÉTAT]]&amp;Table132[[#This Row],[next move]]</f>
        <v>MVVVEVVEV01</v>
      </c>
    </row>
    <row r="3344" spans="2:9" x14ac:dyDescent="0.25">
      <c r="B3344" t="s">
        <v>1315</v>
      </c>
      <c r="C3344" s="22" t="s">
        <v>20</v>
      </c>
      <c r="D3344">
        <v>2</v>
      </c>
      <c r="E3344">
        <v>1</v>
      </c>
      <c r="G3344" s="30">
        <f>Table132[[#This Row],[nb win]]/Table132[[#This Row],[nb play]]</f>
        <v>0.5</v>
      </c>
      <c r="H3344" t="str">
        <f>MID(Table132[[#This Row],[ÉTAT]],VALUE(RIGHT(Table132[[#This Row],[next move]],1))+1+VALUE(LEFT(Table132[[#This Row],[next move]],1))*3,1)</f>
        <v>V</v>
      </c>
      <c r="I3344" t="str">
        <f>Table132[[#This Row],[ÉTAT]]&amp;Table132[[#This Row],[next move]]</f>
        <v>MVVVEVVEV02</v>
      </c>
    </row>
    <row r="3345" spans="2:9" x14ac:dyDescent="0.25">
      <c r="B3345" t="s">
        <v>1315</v>
      </c>
      <c r="C3345" s="22" t="s">
        <v>30</v>
      </c>
      <c r="D3345">
        <v>8</v>
      </c>
      <c r="E3345">
        <v>6</v>
      </c>
      <c r="G3345" s="31">
        <f>Table132[[#This Row],[nb win]]/Table132[[#This Row],[nb play]]</f>
        <v>0.75</v>
      </c>
      <c r="H3345" t="str">
        <f>MID(Table132[[#This Row],[ÉTAT]],VALUE(RIGHT(Table132[[#This Row],[next move]],1))+1+VALUE(LEFT(Table132[[#This Row],[next move]],1))*3,1)</f>
        <v>V</v>
      </c>
      <c r="I3345" t="str">
        <f>Table132[[#This Row],[ÉTAT]]&amp;Table132[[#This Row],[next move]]</f>
        <v>MVVVEVVEV10</v>
      </c>
    </row>
    <row r="3346" spans="2:9" x14ac:dyDescent="0.25">
      <c r="B3346" t="s">
        <v>1311</v>
      </c>
      <c r="C3346" s="22" t="s">
        <v>26</v>
      </c>
      <c r="D3346">
        <v>2</v>
      </c>
      <c r="E3346">
        <v>2</v>
      </c>
      <c r="G3346" s="31">
        <f>Table132[[#This Row],[nb win]]/Table132[[#This Row],[nb play]]</f>
        <v>1</v>
      </c>
      <c r="H3346" t="str">
        <f>MID(Table132[[#This Row],[ÉTAT]],VALUE(RIGHT(Table132[[#This Row],[next move]],1))+1+VALUE(LEFT(Table132[[#This Row],[next move]],1))*3,1)</f>
        <v>V</v>
      </c>
      <c r="I3346" t="str">
        <f>Table132[[#This Row],[ÉTAT]]&amp;Table132[[#This Row],[next move]]</f>
        <v>MVVVEVVEM01</v>
      </c>
    </row>
    <row r="3347" spans="2:9" x14ac:dyDescent="0.25">
      <c r="B3347" t="s">
        <v>1311</v>
      </c>
      <c r="C3347" s="22" t="s">
        <v>28</v>
      </c>
      <c r="D3347">
        <v>3</v>
      </c>
      <c r="G3347" s="30">
        <f>Table132[[#This Row],[nb win]]/Table132[[#This Row],[nb play]]</f>
        <v>0</v>
      </c>
      <c r="H3347" t="str">
        <f>MID(Table132[[#This Row],[ÉTAT]],VALUE(RIGHT(Table132[[#This Row],[next move]],1))+1+VALUE(LEFT(Table132[[#This Row],[next move]],1))*3,1)</f>
        <v>V</v>
      </c>
      <c r="I3347" t="str">
        <f>Table132[[#This Row],[ÉTAT]]&amp;Table132[[#This Row],[next move]]</f>
        <v>MVVVEVVEM12</v>
      </c>
    </row>
    <row r="3348" spans="2:9" x14ac:dyDescent="0.25">
      <c r="B3348" t="s">
        <v>1483</v>
      </c>
      <c r="C3348" s="22" t="s">
        <v>30</v>
      </c>
      <c r="D3348">
        <v>5</v>
      </c>
      <c r="E3348">
        <v>5</v>
      </c>
      <c r="G3348" s="31">
        <f>Table132[[#This Row],[nb win]]/Table132[[#This Row],[nb play]]</f>
        <v>1</v>
      </c>
      <c r="H3348" t="str">
        <f>MID(Table132[[#This Row],[ÉTAT]],VALUE(RIGHT(Table132[[#This Row],[next move]],1))+1+VALUE(LEFT(Table132[[#This Row],[next move]],1))*3,1)</f>
        <v>V</v>
      </c>
      <c r="I3348" t="str">
        <f>Table132[[#This Row],[ÉTAT]]&amp;Table132[[#This Row],[next move]]</f>
        <v>MVVVEVMVE10</v>
      </c>
    </row>
    <row r="3349" spans="2:9" x14ac:dyDescent="0.25">
      <c r="B3349" t="s">
        <v>1483</v>
      </c>
      <c r="C3349" s="22" t="s">
        <v>22</v>
      </c>
      <c r="D3349">
        <v>1</v>
      </c>
      <c r="G3349" s="25">
        <f>Table132[[#This Row],[nb win]]/Table132[[#This Row],[nb play]]</f>
        <v>0</v>
      </c>
      <c r="H3349" t="str">
        <f>MID(Table132[[#This Row],[ÉTAT]],VALUE(RIGHT(Table132[[#This Row],[next move]],1))+1+VALUE(LEFT(Table132[[#This Row],[next move]],1))*3,1)</f>
        <v>V</v>
      </c>
      <c r="I3349" t="str">
        <f>Table132[[#This Row],[ÉTAT]]&amp;Table132[[#This Row],[next move]]</f>
        <v>MVVVEVMVE21</v>
      </c>
    </row>
    <row r="3350" spans="2:9" x14ac:dyDescent="0.25">
      <c r="B3350" t="s">
        <v>1450</v>
      </c>
      <c r="C3350" s="22" t="s">
        <v>28</v>
      </c>
      <c r="D3350">
        <v>2</v>
      </c>
      <c r="E3350">
        <v>1</v>
      </c>
      <c r="G3350" s="25">
        <f>Table132[[#This Row],[nb win]]/Table132[[#This Row],[nb play]]</f>
        <v>0.5</v>
      </c>
      <c r="H3350" t="str">
        <f>MID(Table132[[#This Row],[ÉTAT]],VALUE(RIGHT(Table132[[#This Row],[next move]],1))+1+VALUE(LEFT(Table132[[#This Row],[next move]],1))*3,1)</f>
        <v>V</v>
      </c>
      <c r="I3350" t="str">
        <f>Table132[[#This Row],[ÉTAT]]&amp;Table132[[#This Row],[next move]]</f>
        <v>MVVVEVMEE12</v>
      </c>
    </row>
    <row r="3351" spans="2:9" x14ac:dyDescent="0.25">
      <c r="B3351" t="s">
        <v>202</v>
      </c>
      <c r="C3351" s="22" t="s">
        <v>26</v>
      </c>
      <c r="D3351">
        <v>6</v>
      </c>
      <c r="G3351" s="30">
        <f>Table132[[#This Row],[nb win]]/Table132[[#This Row],[nb play]]</f>
        <v>0</v>
      </c>
      <c r="H3351" t="str">
        <f>MID(Table132[[#This Row],[ÉTAT]],VALUE(RIGHT(Table132[[#This Row],[next move]],1))+1+VALUE(LEFT(Table132[[#This Row],[next move]],1))*3,1)</f>
        <v>V</v>
      </c>
      <c r="I3351" t="str">
        <f>Table132[[#This Row],[ÉTAT]]&amp;Table132[[#This Row],[next move]]</f>
        <v>MVVVEVEVV01</v>
      </c>
    </row>
    <row r="3352" spans="2:9" x14ac:dyDescent="0.25">
      <c r="B3352" t="s">
        <v>202</v>
      </c>
      <c r="C3352" s="22" t="s">
        <v>20</v>
      </c>
      <c r="D3352">
        <v>12</v>
      </c>
      <c r="E3352">
        <v>8</v>
      </c>
      <c r="G3352" s="25">
        <f>Table132[[#This Row],[nb win]]/Table132[[#This Row],[nb play]]</f>
        <v>0.66666666666666663</v>
      </c>
      <c r="H3352" t="str">
        <f>MID(Table132[[#This Row],[ÉTAT]],VALUE(RIGHT(Table132[[#This Row],[next move]],1))+1+VALUE(LEFT(Table132[[#This Row],[next move]],1))*3,1)</f>
        <v>V</v>
      </c>
      <c r="I3352" t="str">
        <f>Table132[[#This Row],[ÉTAT]]&amp;Table132[[#This Row],[next move]]</f>
        <v>MVVVEVEVV02</v>
      </c>
    </row>
    <row r="3353" spans="2:9" x14ac:dyDescent="0.25">
      <c r="B3353" t="s">
        <v>202</v>
      </c>
      <c r="C3353" s="22" t="s">
        <v>30</v>
      </c>
      <c r="D3353">
        <v>7</v>
      </c>
      <c r="G3353" s="30">
        <f>Table132[[#This Row],[nb win]]/Table132[[#This Row],[nb play]]</f>
        <v>0</v>
      </c>
      <c r="H3353" t="str">
        <f>MID(Table132[[#This Row],[ÉTAT]],VALUE(RIGHT(Table132[[#This Row],[next move]],1))+1+VALUE(LEFT(Table132[[#This Row],[next move]],1))*3,1)</f>
        <v>V</v>
      </c>
      <c r="I3353" t="str">
        <f>Table132[[#This Row],[ÉTAT]]&amp;Table132[[#This Row],[next move]]</f>
        <v>MVVVEVEVV10</v>
      </c>
    </row>
    <row r="3354" spans="2:9" x14ac:dyDescent="0.25">
      <c r="B3354" t="s">
        <v>202</v>
      </c>
      <c r="C3354" s="22" t="s">
        <v>28</v>
      </c>
      <c r="D3354">
        <v>2</v>
      </c>
      <c r="G3354" s="30">
        <f>Table132[[#This Row],[nb win]]/Table132[[#This Row],[nb play]]</f>
        <v>0</v>
      </c>
      <c r="H3354" t="str">
        <f>MID(Table132[[#This Row],[ÉTAT]],VALUE(RIGHT(Table132[[#This Row],[next move]],1))+1+VALUE(LEFT(Table132[[#This Row],[next move]],1))*3,1)</f>
        <v>V</v>
      </c>
      <c r="I3354" t="str">
        <f>Table132[[#This Row],[ÉTAT]]&amp;Table132[[#This Row],[next move]]</f>
        <v>MVVVEVEVV12</v>
      </c>
    </row>
    <row r="3355" spans="2:9" x14ac:dyDescent="0.25">
      <c r="B3355" t="s">
        <v>202</v>
      </c>
      <c r="C3355" s="22" t="s">
        <v>22</v>
      </c>
      <c r="D3355">
        <v>2</v>
      </c>
      <c r="G3355" s="30">
        <f>Table132[[#This Row],[nb win]]/Table132[[#This Row],[nb play]]</f>
        <v>0</v>
      </c>
      <c r="H3355" t="str">
        <f>MID(Table132[[#This Row],[ÉTAT]],VALUE(RIGHT(Table132[[#This Row],[next move]],1))+1+VALUE(LEFT(Table132[[#This Row],[next move]],1))*3,1)</f>
        <v>V</v>
      </c>
      <c r="I3355" t="str">
        <f>Table132[[#This Row],[ÉTAT]]&amp;Table132[[#This Row],[next move]]</f>
        <v>MVVVEVEVV21</v>
      </c>
    </row>
    <row r="3356" spans="2:9" x14ac:dyDescent="0.25">
      <c r="B3356" t="s">
        <v>202</v>
      </c>
      <c r="C3356" s="22" t="s">
        <v>31</v>
      </c>
      <c r="D3356">
        <v>3</v>
      </c>
      <c r="G3356" s="30">
        <f>Table132[[#This Row],[nb win]]/Table132[[#This Row],[nb play]]</f>
        <v>0</v>
      </c>
      <c r="H3356" t="str">
        <f>MID(Table132[[#This Row],[ÉTAT]],VALUE(RIGHT(Table132[[#This Row],[next move]],1))+1+VALUE(LEFT(Table132[[#This Row],[next move]],1))*3,1)</f>
        <v>V</v>
      </c>
      <c r="I3356" t="str">
        <f>Table132[[#This Row],[ÉTAT]]&amp;Table132[[#This Row],[next move]]</f>
        <v>MVVVEVEVV22</v>
      </c>
    </row>
    <row r="3357" spans="2:9" x14ac:dyDescent="0.25">
      <c r="B3357" t="s">
        <v>2003</v>
      </c>
      <c r="C3357" s="22" t="s">
        <v>20</v>
      </c>
      <c r="D3357">
        <v>3</v>
      </c>
      <c r="E3357">
        <v>3</v>
      </c>
      <c r="G3357" s="31">
        <f>Table132[[#This Row],[nb win]]/Table132[[#This Row],[nb play]]</f>
        <v>1</v>
      </c>
      <c r="H3357" t="str">
        <f>MID(Table132[[#This Row],[ÉTAT]],VALUE(RIGHT(Table132[[#This Row],[next move]],1))+1+VALUE(LEFT(Table132[[#This Row],[next move]],1))*3,1)</f>
        <v>V</v>
      </c>
      <c r="I3357" t="str">
        <f>Table132[[#This Row],[ÉTAT]]&amp;Table132[[#This Row],[next move]]</f>
        <v>MVVVEVEVM02</v>
      </c>
    </row>
    <row r="3358" spans="2:9" x14ac:dyDescent="0.25">
      <c r="B3358" t="s">
        <v>2003</v>
      </c>
      <c r="C3358" s="22" t="s">
        <v>22</v>
      </c>
      <c r="D3358">
        <v>3</v>
      </c>
      <c r="G3358" s="30">
        <f>Table132[[#This Row],[nb win]]/Table132[[#This Row],[nb play]]</f>
        <v>0</v>
      </c>
      <c r="H3358" t="str">
        <f>MID(Table132[[#This Row],[ÉTAT]],VALUE(RIGHT(Table132[[#This Row],[next move]],1))+1+VALUE(LEFT(Table132[[#This Row],[next move]],1))*3,1)</f>
        <v>V</v>
      </c>
      <c r="I3358" t="str">
        <f>Table132[[#This Row],[ÉTAT]]&amp;Table132[[#This Row],[next move]]</f>
        <v>MVVVEVEVM21</v>
      </c>
    </row>
    <row r="3359" spans="2:9" x14ac:dyDescent="0.25">
      <c r="B3359" t="s">
        <v>1623</v>
      </c>
      <c r="C3359" s="22" t="s">
        <v>26</v>
      </c>
      <c r="D3359">
        <v>1</v>
      </c>
      <c r="G3359" s="25">
        <f>Table132[[#This Row],[nb win]]/Table132[[#This Row],[nb play]]</f>
        <v>0</v>
      </c>
      <c r="H3359" t="str">
        <f>MID(Table132[[#This Row],[ÉTAT]],VALUE(RIGHT(Table132[[#This Row],[next move]],1))+1+VALUE(LEFT(Table132[[#This Row],[next move]],1))*3,1)</f>
        <v>V</v>
      </c>
      <c r="I3359" t="str">
        <f>Table132[[#This Row],[ÉTAT]]&amp;Table132[[#This Row],[next move]]</f>
        <v>MVVVEVEMV01</v>
      </c>
    </row>
    <row r="3360" spans="2:9" x14ac:dyDescent="0.25">
      <c r="B3360" t="s">
        <v>1623</v>
      </c>
      <c r="C3360" s="22" t="s">
        <v>30</v>
      </c>
      <c r="D3360">
        <v>1</v>
      </c>
      <c r="G3360" s="25">
        <f>Table132[[#This Row],[nb win]]/Table132[[#This Row],[nb play]]</f>
        <v>0</v>
      </c>
      <c r="H3360" t="str">
        <f>MID(Table132[[#This Row],[ÉTAT]],VALUE(RIGHT(Table132[[#This Row],[next move]],1))+1+VALUE(LEFT(Table132[[#This Row],[next move]],1))*3,1)</f>
        <v>V</v>
      </c>
      <c r="I3360" t="str">
        <f>Table132[[#This Row],[ÉTAT]]&amp;Table132[[#This Row],[next move]]</f>
        <v>MVVVEVEMV10</v>
      </c>
    </row>
    <row r="3361" spans="2:9" x14ac:dyDescent="0.25">
      <c r="B3361" t="s">
        <v>1623</v>
      </c>
      <c r="C3361" s="22" t="s">
        <v>28</v>
      </c>
      <c r="D3361">
        <v>1</v>
      </c>
      <c r="G3361" s="25">
        <f>Table132[[#This Row],[nb win]]/Table132[[#This Row],[nb play]]</f>
        <v>0</v>
      </c>
      <c r="H3361" t="str">
        <f>MID(Table132[[#This Row],[ÉTAT]],VALUE(RIGHT(Table132[[#This Row],[next move]],1))+1+VALUE(LEFT(Table132[[#This Row],[next move]],1))*3,1)</f>
        <v>V</v>
      </c>
      <c r="I3361" t="str">
        <f>Table132[[#This Row],[ÉTAT]]&amp;Table132[[#This Row],[next move]]</f>
        <v>MVVVEVEMV12</v>
      </c>
    </row>
    <row r="3362" spans="2:9" x14ac:dyDescent="0.25">
      <c r="B3362" t="s">
        <v>1623</v>
      </c>
      <c r="C3362" s="22" t="s">
        <v>31</v>
      </c>
      <c r="D3362">
        <v>1</v>
      </c>
      <c r="G3362" s="25">
        <f>Table132[[#This Row],[nb win]]/Table132[[#This Row],[nb play]]</f>
        <v>0</v>
      </c>
      <c r="H3362" t="str">
        <f>MID(Table132[[#This Row],[ÉTAT]],VALUE(RIGHT(Table132[[#This Row],[next move]],1))+1+VALUE(LEFT(Table132[[#This Row],[next move]],1))*3,1)</f>
        <v>V</v>
      </c>
      <c r="I3362" t="str">
        <f>Table132[[#This Row],[ÉTAT]]&amp;Table132[[#This Row],[next move]]</f>
        <v>MVVVEVEMV22</v>
      </c>
    </row>
    <row r="3363" spans="2:9" x14ac:dyDescent="0.25">
      <c r="B3363" t="s">
        <v>1368</v>
      </c>
      <c r="C3363" s="22" t="s">
        <v>26</v>
      </c>
      <c r="D3363">
        <v>2</v>
      </c>
      <c r="E3363">
        <v>1</v>
      </c>
      <c r="G3363" s="25">
        <f>Table132[[#This Row],[nb win]]/Table132[[#This Row],[nb play]]</f>
        <v>0.5</v>
      </c>
      <c r="H3363" t="str">
        <f>MID(Table132[[#This Row],[ÉTAT]],VALUE(RIGHT(Table132[[#This Row],[next move]],1))+1+VALUE(LEFT(Table132[[#This Row],[next move]],1))*3,1)</f>
        <v>V</v>
      </c>
      <c r="I3363" t="str">
        <f>Table132[[#This Row],[ÉTAT]]&amp;Table132[[#This Row],[next move]]</f>
        <v>MVVVEVEEM01</v>
      </c>
    </row>
    <row r="3364" spans="2:9" x14ac:dyDescent="0.25">
      <c r="B3364" t="s">
        <v>789</v>
      </c>
      <c r="C3364" s="22" t="s">
        <v>30</v>
      </c>
      <c r="D3364">
        <v>3</v>
      </c>
      <c r="E3364">
        <v>3</v>
      </c>
      <c r="G3364" s="25">
        <f>Table132[[#This Row],[nb win]]/Table132[[#This Row],[nb play]]</f>
        <v>1</v>
      </c>
      <c r="H3364" t="str">
        <f>MID(Table132[[#This Row],[ÉTAT]],VALUE(RIGHT(Table132[[#This Row],[next move]],1))+1+VALUE(LEFT(Table132[[#This Row],[next move]],1))*3,1)</f>
        <v>V</v>
      </c>
      <c r="I3364" t="str">
        <f>Table132[[#This Row],[ÉTAT]]&amp;Table132[[#This Row],[next move]]</f>
        <v>MVVVEMVVE10</v>
      </c>
    </row>
    <row r="3365" spans="2:9" x14ac:dyDescent="0.25">
      <c r="B3365" t="s">
        <v>349</v>
      </c>
      <c r="C3365" s="22" t="s">
        <v>35</v>
      </c>
      <c r="D3365">
        <v>4</v>
      </c>
      <c r="E3365">
        <v>3</v>
      </c>
      <c r="G3365" s="30">
        <f>Table132[[#This Row],[nb win]]/Table132[[#This Row],[nb play]]</f>
        <v>0.75</v>
      </c>
      <c r="H3365" t="str">
        <f>MID(Table132[[#This Row],[ÉTAT]],VALUE(RIGHT(Table132[[#This Row],[next move]],1))+1+VALUE(LEFT(Table132[[#This Row],[next move]],1))*3,1)</f>
        <v>V</v>
      </c>
      <c r="I3365" t="str">
        <f>Table132[[#This Row],[ÉTAT]]&amp;Table132[[#This Row],[next move]]</f>
        <v>MVVVEMVEV20</v>
      </c>
    </row>
    <row r="3366" spans="2:9" x14ac:dyDescent="0.25">
      <c r="B3366" t="s">
        <v>3081</v>
      </c>
      <c r="C3366" s="22" t="s">
        <v>20</v>
      </c>
      <c r="D3366">
        <v>1</v>
      </c>
      <c r="G3366" s="30">
        <f>Table132[[#This Row],[nb win]]/Table132[[#This Row],[nb play]]</f>
        <v>0</v>
      </c>
      <c r="H3366" t="str">
        <f>MID(Table132[[#This Row],[ÉTAT]],VALUE(RIGHT(Table132[[#This Row],[next move]],1))+1+VALUE(LEFT(Table132[[#This Row],[next move]],1))*3,1)</f>
        <v>V</v>
      </c>
      <c r="I3366" t="str">
        <f>Table132[[#This Row],[ÉTAT]]&amp;Table132[[#This Row],[next move]]</f>
        <v>MVVVEMVEE02</v>
      </c>
    </row>
    <row r="3367" spans="2:9" x14ac:dyDescent="0.25">
      <c r="B3367" t="s">
        <v>3081</v>
      </c>
      <c r="C3367" s="22" t="s">
        <v>30</v>
      </c>
      <c r="D3367">
        <v>1</v>
      </c>
      <c r="G3367" s="30">
        <f>Table132[[#This Row],[nb win]]/Table132[[#This Row],[nb play]]</f>
        <v>0</v>
      </c>
      <c r="H3367" t="str">
        <f>MID(Table132[[#This Row],[ÉTAT]],VALUE(RIGHT(Table132[[#This Row],[next move]],1))+1+VALUE(LEFT(Table132[[#This Row],[next move]],1))*3,1)</f>
        <v>V</v>
      </c>
      <c r="I3367" t="str">
        <f>Table132[[#This Row],[ÉTAT]]&amp;Table132[[#This Row],[next move]]</f>
        <v>MVVVEMVEE10</v>
      </c>
    </row>
    <row r="3368" spans="2:9" x14ac:dyDescent="0.25">
      <c r="B3368" t="s">
        <v>1027</v>
      </c>
      <c r="C3368" s="22" t="s">
        <v>26</v>
      </c>
      <c r="D3368">
        <v>2</v>
      </c>
      <c r="E3368">
        <v>2</v>
      </c>
      <c r="G3368" s="25">
        <f>Table132[[#This Row],[nb win]]/Table132[[#This Row],[nb play]]</f>
        <v>1</v>
      </c>
      <c r="H3368" t="str">
        <f>MID(Table132[[#This Row],[ÉTAT]],VALUE(RIGHT(Table132[[#This Row],[next move]],1))+1+VALUE(LEFT(Table132[[#This Row],[next move]],1))*3,1)</f>
        <v>V</v>
      </c>
      <c r="I3368" t="str">
        <f>Table132[[#This Row],[ÉTAT]]&amp;Table132[[#This Row],[next move]]</f>
        <v>MVVVEMMEE01</v>
      </c>
    </row>
    <row r="3369" spans="2:9" x14ac:dyDescent="0.25">
      <c r="B3369" t="s">
        <v>1027</v>
      </c>
      <c r="C3369" s="22" t="s">
        <v>20</v>
      </c>
      <c r="D3369">
        <v>2</v>
      </c>
      <c r="G3369" s="30">
        <f>Table132[[#This Row],[nb win]]/Table132[[#This Row],[nb play]]</f>
        <v>0</v>
      </c>
      <c r="H3369" t="str">
        <f>MID(Table132[[#This Row],[ÉTAT]],VALUE(RIGHT(Table132[[#This Row],[next move]],1))+1+VALUE(LEFT(Table132[[#This Row],[next move]],1))*3,1)</f>
        <v>V</v>
      </c>
      <c r="I3369" t="str">
        <f>Table132[[#This Row],[ÉTAT]]&amp;Table132[[#This Row],[next move]]</f>
        <v>MVVVEMMEE02</v>
      </c>
    </row>
    <row r="3370" spans="2:9" x14ac:dyDescent="0.25">
      <c r="B3370" t="s">
        <v>223</v>
      </c>
      <c r="C3370" s="22" t="s">
        <v>26</v>
      </c>
      <c r="D3370">
        <v>3</v>
      </c>
      <c r="E3370">
        <v>2</v>
      </c>
      <c r="G3370" s="25">
        <f>Table132[[#This Row],[nb win]]/Table132[[#This Row],[nb play]]</f>
        <v>0.66666666666666663</v>
      </c>
      <c r="H3370" t="str">
        <f>MID(Table132[[#This Row],[ÉTAT]],VALUE(RIGHT(Table132[[#This Row],[next move]],1))+1+VALUE(LEFT(Table132[[#This Row],[next move]],1))*3,1)</f>
        <v>V</v>
      </c>
      <c r="I3370" t="str">
        <f>Table132[[#This Row],[ÉTAT]]&amp;Table132[[#This Row],[next move]]</f>
        <v>MVVVEMEVV01</v>
      </c>
    </row>
    <row r="3371" spans="2:9" x14ac:dyDescent="0.25">
      <c r="B3371" t="s">
        <v>223</v>
      </c>
      <c r="C3371" s="22" t="s">
        <v>20</v>
      </c>
      <c r="D3371">
        <v>2</v>
      </c>
      <c r="E3371">
        <v>2</v>
      </c>
      <c r="G3371" s="31">
        <f>Table132[[#This Row],[nb win]]/Table132[[#This Row],[nb play]]</f>
        <v>1</v>
      </c>
      <c r="H3371" t="str">
        <f>MID(Table132[[#This Row],[ÉTAT]],VALUE(RIGHT(Table132[[#This Row],[next move]],1))+1+VALUE(LEFT(Table132[[#This Row],[next move]],1))*3,1)</f>
        <v>V</v>
      </c>
      <c r="I3371" t="str">
        <f>Table132[[#This Row],[ÉTAT]]&amp;Table132[[#This Row],[next move]]</f>
        <v>MVVVEMEVV02</v>
      </c>
    </row>
    <row r="3372" spans="2:9" x14ac:dyDescent="0.25">
      <c r="B3372" t="s">
        <v>223</v>
      </c>
      <c r="C3372" s="22" t="s">
        <v>30</v>
      </c>
      <c r="D3372">
        <v>1</v>
      </c>
      <c r="G3372" s="25">
        <f>Table132[[#This Row],[nb win]]/Table132[[#This Row],[nb play]]</f>
        <v>0</v>
      </c>
      <c r="H3372" t="str">
        <f>MID(Table132[[#This Row],[ÉTAT]],VALUE(RIGHT(Table132[[#This Row],[next move]],1))+1+VALUE(LEFT(Table132[[#This Row],[next move]],1))*3,1)</f>
        <v>V</v>
      </c>
      <c r="I3372" t="str">
        <f>Table132[[#This Row],[ÉTAT]]&amp;Table132[[#This Row],[next move]]</f>
        <v>MVVVEMEVV10</v>
      </c>
    </row>
    <row r="3373" spans="2:9" x14ac:dyDescent="0.25">
      <c r="B3373" t="s">
        <v>223</v>
      </c>
      <c r="C3373" s="22" t="s">
        <v>22</v>
      </c>
      <c r="D3373">
        <v>1</v>
      </c>
      <c r="G3373" s="25">
        <f>Table132[[#This Row],[nb win]]/Table132[[#This Row],[nb play]]</f>
        <v>0</v>
      </c>
      <c r="H3373" t="str">
        <f>MID(Table132[[#This Row],[ÉTAT]],VALUE(RIGHT(Table132[[#This Row],[next move]],1))+1+VALUE(LEFT(Table132[[#This Row],[next move]],1))*3,1)</f>
        <v>V</v>
      </c>
      <c r="I3373" t="str">
        <f>Table132[[#This Row],[ÉTAT]]&amp;Table132[[#This Row],[next move]]</f>
        <v>MVVVEMEVV21</v>
      </c>
    </row>
    <row r="3374" spans="2:9" x14ac:dyDescent="0.25">
      <c r="B3374" t="s">
        <v>223</v>
      </c>
      <c r="C3374" s="22" t="s">
        <v>31</v>
      </c>
      <c r="D3374">
        <v>1</v>
      </c>
      <c r="G3374" s="25">
        <f>Table132[[#This Row],[nb win]]/Table132[[#This Row],[nb play]]</f>
        <v>0</v>
      </c>
      <c r="H3374" t="str">
        <f>MID(Table132[[#This Row],[ÉTAT]],VALUE(RIGHT(Table132[[#This Row],[next move]],1))+1+VALUE(LEFT(Table132[[#This Row],[next move]],1))*3,1)</f>
        <v>V</v>
      </c>
      <c r="I3374" t="str">
        <f>Table132[[#This Row],[ÉTAT]]&amp;Table132[[#This Row],[next move]]</f>
        <v>MVVVEMEVV22</v>
      </c>
    </row>
    <row r="3375" spans="2:9" x14ac:dyDescent="0.25">
      <c r="B3375" t="s">
        <v>2099</v>
      </c>
      <c r="C3375" s="22" t="s">
        <v>26</v>
      </c>
      <c r="D3375">
        <v>1</v>
      </c>
      <c r="G3375" s="25">
        <f>Table132[[#This Row],[nb win]]/Table132[[#This Row],[nb play]]</f>
        <v>0</v>
      </c>
      <c r="H3375" t="str">
        <f>MID(Table132[[#This Row],[ÉTAT]],VALUE(RIGHT(Table132[[#This Row],[next move]],1))+1+VALUE(LEFT(Table132[[#This Row],[next move]],1))*3,1)</f>
        <v>V</v>
      </c>
      <c r="I3375" t="str">
        <f>Table132[[#This Row],[ÉTAT]]&amp;Table132[[#This Row],[next move]]</f>
        <v>MVVVEMEVE01</v>
      </c>
    </row>
    <row r="3376" spans="2:9" x14ac:dyDescent="0.25">
      <c r="B3376" t="s">
        <v>2099</v>
      </c>
      <c r="C3376" s="22" t="s">
        <v>20</v>
      </c>
      <c r="D3376">
        <v>2</v>
      </c>
      <c r="G3376" s="30">
        <f>Table132[[#This Row],[nb win]]/Table132[[#This Row],[nb play]]</f>
        <v>0</v>
      </c>
      <c r="H3376" t="str">
        <f>MID(Table132[[#This Row],[ÉTAT]],VALUE(RIGHT(Table132[[#This Row],[next move]],1))+1+VALUE(LEFT(Table132[[#This Row],[next move]],1))*3,1)</f>
        <v>V</v>
      </c>
      <c r="I3376" t="str">
        <f>Table132[[#This Row],[ÉTAT]]&amp;Table132[[#This Row],[next move]]</f>
        <v>MVVVEMEVE02</v>
      </c>
    </row>
    <row r="3377" spans="2:9" x14ac:dyDescent="0.25">
      <c r="B3377" t="s">
        <v>2099</v>
      </c>
      <c r="C3377" s="22" t="s">
        <v>30</v>
      </c>
      <c r="D3377">
        <v>1</v>
      </c>
      <c r="G3377" s="25">
        <f>Table132[[#This Row],[nb win]]/Table132[[#This Row],[nb play]]</f>
        <v>0</v>
      </c>
      <c r="H3377" t="str">
        <f>MID(Table132[[#This Row],[ÉTAT]],VALUE(RIGHT(Table132[[#This Row],[next move]],1))+1+VALUE(LEFT(Table132[[#This Row],[next move]],1))*3,1)</f>
        <v>V</v>
      </c>
      <c r="I3377" t="str">
        <f>Table132[[#This Row],[ÉTAT]]&amp;Table132[[#This Row],[next move]]</f>
        <v>MVVVEMEVE10</v>
      </c>
    </row>
    <row r="3378" spans="2:9" x14ac:dyDescent="0.25">
      <c r="B3378" t="s">
        <v>2412</v>
      </c>
      <c r="C3378" s="22" t="s">
        <v>20</v>
      </c>
      <c r="D3378">
        <v>1</v>
      </c>
      <c r="E3378">
        <v>1</v>
      </c>
      <c r="G3378" s="31">
        <f>Table132[[#This Row],[nb win]]/Table132[[#This Row],[nb play]]</f>
        <v>1</v>
      </c>
      <c r="H3378" t="str">
        <f>MID(Table132[[#This Row],[ÉTAT]],VALUE(RIGHT(Table132[[#This Row],[next move]],1))+1+VALUE(LEFT(Table132[[#This Row],[next move]],1))*3,1)</f>
        <v>V</v>
      </c>
      <c r="I3378" t="str">
        <f>Table132[[#This Row],[ÉTAT]]&amp;Table132[[#This Row],[next move]]</f>
        <v>MVVVEMEME02</v>
      </c>
    </row>
    <row r="3379" spans="2:9" x14ac:dyDescent="0.25">
      <c r="B3379" t="s">
        <v>2412</v>
      </c>
      <c r="C3379" s="22" t="s">
        <v>30</v>
      </c>
      <c r="D3379">
        <v>1</v>
      </c>
      <c r="G3379" s="30">
        <f>Table132[[#This Row],[nb win]]/Table132[[#This Row],[nb play]]</f>
        <v>0</v>
      </c>
      <c r="H3379" t="str">
        <f>MID(Table132[[#This Row],[ÉTAT]],VALUE(RIGHT(Table132[[#This Row],[next move]],1))+1+VALUE(LEFT(Table132[[#This Row],[next move]],1))*3,1)</f>
        <v>V</v>
      </c>
      <c r="I3379" t="str">
        <f>Table132[[#This Row],[ÉTAT]]&amp;Table132[[#This Row],[next move]]</f>
        <v>MVVVEMEME10</v>
      </c>
    </row>
    <row r="3380" spans="2:9" x14ac:dyDescent="0.25">
      <c r="B3380" t="s">
        <v>2762</v>
      </c>
      <c r="C3380" s="22" t="s">
        <v>26</v>
      </c>
      <c r="D3380">
        <v>1</v>
      </c>
      <c r="G3380" s="30">
        <f>Table132[[#This Row],[nb win]]/Table132[[#This Row],[nb play]]</f>
        <v>0</v>
      </c>
      <c r="H3380" t="str">
        <f>MID(Table132[[#This Row],[ÉTAT]],VALUE(RIGHT(Table132[[#This Row],[next move]],1))+1+VALUE(LEFT(Table132[[#This Row],[next move]],1))*3,1)</f>
        <v>V</v>
      </c>
      <c r="I3380" t="str">
        <f>Table132[[#This Row],[ÉTAT]]&amp;Table132[[#This Row],[next move]]</f>
        <v>MVVVEMEEV01</v>
      </c>
    </row>
    <row r="3381" spans="2:9" x14ac:dyDescent="0.25">
      <c r="B3381" t="s">
        <v>2762</v>
      </c>
      <c r="C3381" s="22" t="s">
        <v>31</v>
      </c>
      <c r="D3381">
        <v>2</v>
      </c>
      <c r="E3381">
        <v>1</v>
      </c>
      <c r="G3381" s="30">
        <f>Table132[[#This Row],[nb win]]/Table132[[#This Row],[nb play]]</f>
        <v>0.5</v>
      </c>
      <c r="H3381" t="str">
        <f>MID(Table132[[#This Row],[ÉTAT]],VALUE(RIGHT(Table132[[#This Row],[next move]],1))+1+VALUE(LEFT(Table132[[#This Row],[next move]],1))*3,1)</f>
        <v>V</v>
      </c>
      <c r="I3381" t="str">
        <f>Table132[[#This Row],[ÉTAT]]&amp;Table132[[#This Row],[next move]]</f>
        <v>MVVVEMEEV22</v>
      </c>
    </row>
    <row r="3382" spans="2:9" x14ac:dyDescent="0.25">
      <c r="B3382" t="s">
        <v>1644</v>
      </c>
      <c r="C3382" s="22" t="s">
        <v>26</v>
      </c>
      <c r="D3382">
        <v>2</v>
      </c>
      <c r="G3382" s="30">
        <f>Table132[[#This Row],[nb win]]/Table132[[#This Row],[nb play]]</f>
        <v>0</v>
      </c>
      <c r="H3382" t="str">
        <f>MID(Table132[[#This Row],[ÉTAT]],VALUE(RIGHT(Table132[[#This Row],[next move]],1))+1+VALUE(LEFT(Table132[[#This Row],[next move]],1))*3,1)</f>
        <v>V</v>
      </c>
      <c r="I3382" t="str">
        <f>Table132[[#This Row],[ÉTAT]]&amp;Table132[[#This Row],[next move]]</f>
        <v>MVVVEEVVV01</v>
      </c>
    </row>
    <row r="3383" spans="2:9" x14ac:dyDescent="0.25">
      <c r="B3383" t="s">
        <v>1644</v>
      </c>
      <c r="C3383" s="22" t="s">
        <v>20</v>
      </c>
      <c r="D3383">
        <v>3</v>
      </c>
      <c r="E3383">
        <v>2</v>
      </c>
      <c r="G3383" s="30">
        <f>Table132[[#This Row],[nb win]]/Table132[[#This Row],[nb play]]</f>
        <v>0.66666666666666663</v>
      </c>
      <c r="H3383" t="str">
        <f>MID(Table132[[#This Row],[ÉTAT]],VALUE(RIGHT(Table132[[#This Row],[next move]],1))+1+VALUE(LEFT(Table132[[#This Row],[next move]],1))*3,1)</f>
        <v>V</v>
      </c>
      <c r="I3383" t="str">
        <f>Table132[[#This Row],[ÉTAT]]&amp;Table132[[#This Row],[next move]]</f>
        <v>MVVVEEVVV02</v>
      </c>
    </row>
    <row r="3384" spans="2:9" x14ac:dyDescent="0.25">
      <c r="B3384" t="s">
        <v>1644</v>
      </c>
      <c r="C3384" s="22" t="s">
        <v>30</v>
      </c>
      <c r="D3384">
        <v>5</v>
      </c>
      <c r="E3384">
        <v>4</v>
      </c>
      <c r="G3384" s="31">
        <f>Table132[[#This Row],[nb win]]/Table132[[#This Row],[nb play]]</f>
        <v>0.8</v>
      </c>
      <c r="H3384" t="str">
        <f>MID(Table132[[#This Row],[ÉTAT]],VALUE(RIGHT(Table132[[#This Row],[next move]],1))+1+VALUE(LEFT(Table132[[#This Row],[next move]],1))*3,1)</f>
        <v>V</v>
      </c>
      <c r="I3384" t="str">
        <f>Table132[[#This Row],[ÉTAT]]&amp;Table132[[#This Row],[next move]]</f>
        <v>MVVVEEVVV10</v>
      </c>
    </row>
    <row r="3385" spans="2:9" x14ac:dyDescent="0.25">
      <c r="B3385" t="s">
        <v>1846</v>
      </c>
      <c r="C3385" s="22" t="s">
        <v>26</v>
      </c>
      <c r="D3385">
        <v>4</v>
      </c>
      <c r="E3385">
        <v>2</v>
      </c>
      <c r="G3385" s="30">
        <f>Table132[[#This Row],[nb win]]/Table132[[#This Row],[nb play]]</f>
        <v>0.5</v>
      </c>
      <c r="H3385" t="str">
        <f>MID(Table132[[#This Row],[ÉTAT]],VALUE(RIGHT(Table132[[#This Row],[next move]],1))+1+VALUE(LEFT(Table132[[#This Row],[next move]],1))*3,1)</f>
        <v>V</v>
      </c>
      <c r="I3385" t="str">
        <f>Table132[[#This Row],[ÉTAT]]&amp;Table132[[#This Row],[next move]]</f>
        <v>MVVVEEVVM01</v>
      </c>
    </row>
    <row r="3386" spans="2:9" x14ac:dyDescent="0.25">
      <c r="B3386" t="s">
        <v>1846</v>
      </c>
      <c r="C3386" s="22" t="s">
        <v>20</v>
      </c>
      <c r="D3386">
        <v>2</v>
      </c>
      <c r="G3386" s="30">
        <f>Table132[[#This Row],[nb win]]/Table132[[#This Row],[nb play]]</f>
        <v>0</v>
      </c>
      <c r="H3386" t="str">
        <f>MID(Table132[[#This Row],[ÉTAT]],VALUE(RIGHT(Table132[[#This Row],[next move]],1))+1+VALUE(LEFT(Table132[[#This Row],[next move]],1))*3,1)</f>
        <v>V</v>
      </c>
      <c r="I3386" t="str">
        <f>Table132[[#This Row],[ÉTAT]]&amp;Table132[[#This Row],[next move]]</f>
        <v>MVVVEEVVM02</v>
      </c>
    </row>
    <row r="3387" spans="2:9" x14ac:dyDescent="0.25">
      <c r="B3387" t="s">
        <v>1846</v>
      </c>
      <c r="C3387" s="22" t="s">
        <v>30</v>
      </c>
      <c r="D3387">
        <v>3</v>
      </c>
      <c r="E3387">
        <v>1</v>
      </c>
      <c r="G3387" s="30">
        <f>Table132[[#This Row],[nb win]]/Table132[[#This Row],[nb play]]</f>
        <v>0.33333333333333331</v>
      </c>
      <c r="H3387" t="str">
        <f>MID(Table132[[#This Row],[ÉTAT]],VALUE(RIGHT(Table132[[#This Row],[next move]],1))+1+VALUE(LEFT(Table132[[#This Row],[next move]],1))*3,1)</f>
        <v>V</v>
      </c>
      <c r="I3387" t="str">
        <f>Table132[[#This Row],[ÉTAT]]&amp;Table132[[#This Row],[next move]]</f>
        <v>MVVVEEVVM10</v>
      </c>
    </row>
    <row r="3388" spans="2:9" x14ac:dyDescent="0.25">
      <c r="B3388" t="s">
        <v>1846</v>
      </c>
      <c r="C3388" s="22" t="s">
        <v>22</v>
      </c>
      <c r="D3388">
        <v>3</v>
      </c>
      <c r="G3388" s="30">
        <f>Table132[[#This Row],[nb win]]/Table132[[#This Row],[nb play]]</f>
        <v>0</v>
      </c>
      <c r="H3388" t="str">
        <f>MID(Table132[[#This Row],[ÉTAT]],VALUE(RIGHT(Table132[[#This Row],[next move]],1))+1+VALUE(LEFT(Table132[[#This Row],[next move]],1))*3,1)</f>
        <v>V</v>
      </c>
      <c r="I3388" t="str">
        <f>Table132[[#This Row],[ÉTAT]]&amp;Table132[[#This Row],[next move]]</f>
        <v>MVVVEEVVM21</v>
      </c>
    </row>
    <row r="3389" spans="2:9" x14ac:dyDescent="0.25">
      <c r="B3389" t="s">
        <v>1897</v>
      </c>
      <c r="C3389" s="22" t="s">
        <v>20</v>
      </c>
      <c r="D3389">
        <v>2</v>
      </c>
      <c r="E3389">
        <v>1</v>
      </c>
      <c r="G3389" s="30">
        <f>Table132[[#This Row],[nb win]]/Table132[[#This Row],[nb play]]</f>
        <v>0.5</v>
      </c>
      <c r="H3389" t="str">
        <f>MID(Table132[[#This Row],[ÉTAT]],VALUE(RIGHT(Table132[[#This Row],[next move]],1))+1+VALUE(LEFT(Table132[[#This Row],[next move]],1))*3,1)</f>
        <v>V</v>
      </c>
      <c r="I3389" t="str">
        <f>Table132[[#This Row],[ÉTAT]]&amp;Table132[[#This Row],[next move]]</f>
        <v>MVVVEEVMV02</v>
      </c>
    </row>
    <row r="3390" spans="2:9" x14ac:dyDescent="0.25">
      <c r="B3390" t="s">
        <v>1897</v>
      </c>
      <c r="C3390" s="22" t="s">
        <v>30</v>
      </c>
      <c r="D3390">
        <v>1</v>
      </c>
      <c r="E3390">
        <v>1</v>
      </c>
      <c r="G3390" s="31">
        <f>Table132[[#This Row],[nb win]]/Table132[[#This Row],[nb play]]</f>
        <v>1</v>
      </c>
      <c r="H3390" t="str">
        <f>MID(Table132[[#This Row],[ÉTAT]],VALUE(RIGHT(Table132[[#This Row],[next move]],1))+1+VALUE(LEFT(Table132[[#This Row],[next move]],1))*3,1)</f>
        <v>V</v>
      </c>
      <c r="I3390" t="str">
        <f>Table132[[#This Row],[ÉTAT]]&amp;Table132[[#This Row],[next move]]</f>
        <v>MVVVEEVMV10</v>
      </c>
    </row>
    <row r="3391" spans="2:9" x14ac:dyDescent="0.25">
      <c r="B3391" t="s">
        <v>1897</v>
      </c>
      <c r="C3391" s="22" t="s">
        <v>35</v>
      </c>
      <c r="D3391">
        <v>5</v>
      </c>
      <c r="E3391">
        <v>4</v>
      </c>
      <c r="G3391" s="31">
        <f>Table132[[#This Row],[nb win]]/Table132[[#This Row],[nb play]]</f>
        <v>0.8</v>
      </c>
      <c r="H3391" t="str">
        <f>MID(Table132[[#This Row],[ÉTAT]],VALUE(RIGHT(Table132[[#This Row],[next move]],1))+1+VALUE(LEFT(Table132[[#This Row],[next move]],1))*3,1)</f>
        <v>V</v>
      </c>
      <c r="I3391" t="str">
        <f>Table132[[#This Row],[ÉTAT]]&amp;Table132[[#This Row],[next move]]</f>
        <v>MVVVEEVMV20</v>
      </c>
    </row>
    <row r="3392" spans="2:9" x14ac:dyDescent="0.25">
      <c r="B3392" t="s">
        <v>1897</v>
      </c>
      <c r="C3392" s="22" t="s">
        <v>31</v>
      </c>
      <c r="D3392">
        <v>1</v>
      </c>
      <c r="G3392" s="30">
        <f>Table132[[#This Row],[nb win]]/Table132[[#This Row],[nb play]]</f>
        <v>0</v>
      </c>
      <c r="H3392" t="str">
        <f>MID(Table132[[#This Row],[ÉTAT]],VALUE(RIGHT(Table132[[#This Row],[next move]],1))+1+VALUE(LEFT(Table132[[#This Row],[next move]],1))*3,1)</f>
        <v>V</v>
      </c>
      <c r="I3392" t="str">
        <f>Table132[[#This Row],[ÉTAT]]&amp;Table132[[#This Row],[next move]]</f>
        <v>MVVVEEVMV22</v>
      </c>
    </row>
    <row r="3393" spans="2:9" x14ac:dyDescent="0.25">
      <c r="B3393" t="s">
        <v>1290</v>
      </c>
      <c r="C3393" s="22" t="s">
        <v>30</v>
      </c>
      <c r="D3393">
        <v>1</v>
      </c>
      <c r="E3393">
        <v>1</v>
      </c>
      <c r="G3393" s="25">
        <f>Table132[[#This Row],[nb win]]/Table132[[#This Row],[nb play]]</f>
        <v>1</v>
      </c>
      <c r="H3393" t="str">
        <f>MID(Table132[[#This Row],[ÉTAT]],VALUE(RIGHT(Table132[[#This Row],[next move]],1))+1+VALUE(LEFT(Table132[[#This Row],[next move]],1))*3,1)</f>
        <v>V</v>
      </c>
      <c r="I3393" t="str">
        <f>Table132[[#This Row],[ÉTAT]]&amp;Table132[[#This Row],[next move]]</f>
        <v>MVVVEEVME10</v>
      </c>
    </row>
    <row r="3394" spans="2:9" x14ac:dyDescent="0.25">
      <c r="B3394" t="s">
        <v>3376</v>
      </c>
      <c r="C3394" s="22" t="s">
        <v>35</v>
      </c>
      <c r="D3394">
        <v>1</v>
      </c>
      <c r="G3394" s="30">
        <f>Table132[[#This Row],[nb win]]/Table132[[#This Row],[nb play]]</f>
        <v>0</v>
      </c>
      <c r="H3394" t="str">
        <f>MID(Table132[[#This Row],[ÉTAT]],VALUE(RIGHT(Table132[[#This Row],[next move]],1))+1+VALUE(LEFT(Table132[[#This Row],[next move]],1))*3,1)</f>
        <v>V</v>
      </c>
      <c r="I3394" t="str">
        <f>Table132[[#This Row],[ÉTAT]]&amp;Table132[[#This Row],[next move]]</f>
        <v>MVVVEEVEM20</v>
      </c>
    </row>
    <row r="3395" spans="2:9" x14ac:dyDescent="0.25">
      <c r="B3395" t="s">
        <v>2504</v>
      </c>
      <c r="C3395" s="22" t="s">
        <v>31</v>
      </c>
      <c r="D3395">
        <v>3</v>
      </c>
      <c r="E3395">
        <v>2</v>
      </c>
      <c r="G3395" s="25">
        <f>Table132[[#This Row],[nb win]]/Table132[[#This Row],[nb play]]</f>
        <v>0.66666666666666663</v>
      </c>
      <c r="H3395" t="str">
        <f>MID(Table132[[#This Row],[ÉTAT]],VALUE(RIGHT(Table132[[#This Row],[next move]],1))+1+VALUE(LEFT(Table132[[#This Row],[next move]],1))*3,1)</f>
        <v>V</v>
      </c>
      <c r="I3395" t="str">
        <f>Table132[[#This Row],[ÉTAT]]&amp;Table132[[#This Row],[next move]]</f>
        <v>MVVVEEMVV22</v>
      </c>
    </row>
    <row r="3396" spans="2:9" x14ac:dyDescent="0.25">
      <c r="B3396" t="s">
        <v>712</v>
      </c>
      <c r="C3396" s="22" t="s">
        <v>30</v>
      </c>
      <c r="D3396">
        <v>4</v>
      </c>
      <c r="E3396">
        <v>4</v>
      </c>
      <c r="G3396" s="31">
        <f>Table132[[#This Row],[nb win]]/Table132[[#This Row],[nb play]]</f>
        <v>1</v>
      </c>
      <c r="H3396" t="str">
        <f>MID(Table132[[#This Row],[ÉTAT]],VALUE(RIGHT(Table132[[#This Row],[next move]],1))+1+VALUE(LEFT(Table132[[#This Row],[next move]],1))*3,1)</f>
        <v>V</v>
      </c>
      <c r="I3396" t="str">
        <f>Table132[[#This Row],[ÉTAT]]&amp;Table132[[#This Row],[next move]]</f>
        <v>MVVVEEMVE10</v>
      </c>
    </row>
    <row r="3397" spans="2:9" x14ac:dyDescent="0.25">
      <c r="B3397" t="s">
        <v>2540</v>
      </c>
      <c r="C3397" s="22" t="s">
        <v>30</v>
      </c>
      <c r="D3397">
        <v>2</v>
      </c>
      <c r="E3397">
        <v>2</v>
      </c>
      <c r="G3397" s="31">
        <f>Table132[[#This Row],[nb win]]/Table132[[#This Row],[nb play]]</f>
        <v>1</v>
      </c>
      <c r="H3397" t="str">
        <f>MID(Table132[[#This Row],[ÉTAT]],VALUE(RIGHT(Table132[[#This Row],[next move]],1))+1+VALUE(LEFT(Table132[[#This Row],[next move]],1))*3,1)</f>
        <v>V</v>
      </c>
      <c r="I3397" t="str">
        <f>Table132[[#This Row],[ÉTAT]]&amp;Table132[[#This Row],[next move]]</f>
        <v>MVVVEEMME10</v>
      </c>
    </row>
    <row r="3398" spans="2:9" x14ac:dyDescent="0.25">
      <c r="B3398" t="s">
        <v>1074</v>
      </c>
      <c r="C3398" s="22" t="s">
        <v>20</v>
      </c>
      <c r="D3398">
        <v>3</v>
      </c>
      <c r="G3398" s="25">
        <f>Table132[[#This Row],[nb win]]/Table132[[#This Row],[nb play]]</f>
        <v>0</v>
      </c>
      <c r="H3398" t="str">
        <f>MID(Table132[[#This Row],[ÉTAT]],VALUE(RIGHT(Table132[[#This Row],[next move]],1))+1+VALUE(LEFT(Table132[[#This Row],[next move]],1))*3,1)</f>
        <v>V</v>
      </c>
      <c r="I3398" t="str">
        <f>Table132[[#This Row],[ÉTAT]]&amp;Table132[[#This Row],[next move]]</f>
        <v>MVVVEEMEV02</v>
      </c>
    </row>
    <row r="3399" spans="2:9" x14ac:dyDescent="0.25">
      <c r="B3399" t="s">
        <v>1074</v>
      </c>
      <c r="C3399" s="22" t="s">
        <v>30</v>
      </c>
      <c r="D3399">
        <v>3</v>
      </c>
      <c r="E3399">
        <v>3</v>
      </c>
      <c r="G3399" s="31">
        <f>Table132[[#This Row],[nb win]]/Table132[[#This Row],[nb play]]</f>
        <v>1</v>
      </c>
      <c r="H3399" t="str">
        <f>MID(Table132[[#This Row],[ÉTAT]],VALUE(RIGHT(Table132[[#This Row],[next move]],1))+1+VALUE(LEFT(Table132[[#This Row],[next move]],1))*3,1)</f>
        <v>V</v>
      </c>
      <c r="I3399" t="str">
        <f>Table132[[#This Row],[ÉTAT]]&amp;Table132[[#This Row],[next move]]</f>
        <v>MVVVEEMEV10</v>
      </c>
    </row>
    <row r="3400" spans="2:9" x14ac:dyDescent="0.25">
      <c r="B3400" t="s">
        <v>2368</v>
      </c>
      <c r="C3400" s="22" t="s">
        <v>26</v>
      </c>
      <c r="D3400">
        <v>2</v>
      </c>
      <c r="G3400" s="30">
        <f>Table132[[#This Row],[nb win]]/Table132[[#This Row],[nb play]]</f>
        <v>0</v>
      </c>
      <c r="H3400" t="str">
        <f>MID(Table132[[#This Row],[ÉTAT]],VALUE(RIGHT(Table132[[#This Row],[next move]],1))+1+VALUE(LEFT(Table132[[#This Row],[next move]],1))*3,1)</f>
        <v>V</v>
      </c>
      <c r="I3400" t="str">
        <f>Table132[[#This Row],[ÉTAT]]&amp;Table132[[#This Row],[next move]]</f>
        <v>MVVVEEEMM01</v>
      </c>
    </row>
    <row r="3401" spans="2:9" x14ac:dyDescent="0.25">
      <c r="B3401" t="s">
        <v>2368</v>
      </c>
      <c r="C3401" s="22" t="s">
        <v>20</v>
      </c>
      <c r="D3401">
        <v>3</v>
      </c>
      <c r="G3401" s="30">
        <f>Table132[[#This Row],[nb win]]/Table132[[#This Row],[nb play]]</f>
        <v>0</v>
      </c>
      <c r="H3401" t="str">
        <f>MID(Table132[[#This Row],[ÉTAT]],VALUE(RIGHT(Table132[[#This Row],[next move]],1))+1+VALUE(LEFT(Table132[[#This Row],[next move]],1))*3,1)</f>
        <v>V</v>
      </c>
      <c r="I3401" t="str">
        <f>Table132[[#This Row],[ÉTAT]]&amp;Table132[[#This Row],[next move]]</f>
        <v>MVVVEEEMM02</v>
      </c>
    </row>
    <row r="3402" spans="2:9" x14ac:dyDescent="0.25">
      <c r="B3402" t="s">
        <v>2368</v>
      </c>
      <c r="C3402" s="22" t="s">
        <v>30</v>
      </c>
      <c r="D3402">
        <v>2</v>
      </c>
      <c r="G3402" s="30">
        <f>Table132[[#This Row],[nb win]]/Table132[[#This Row],[nb play]]</f>
        <v>0</v>
      </c>
      <c r="H3402" t="str">
        <f>MID(Table132[[#This Row],[ÉTAT]],VALUE(RIGHT(Table132[[#This Row],[next move]],1))+1+VALUE(LEFT(Table132[[#This Row],[next move]],1))*3,1)</f>
        <v>V</v>
      </c>
      <c r="I3402" t="str">
        <f>Table132[[#This Row],[ÉTAT]]&amp;Table132[[#This Row],[next move]]</f>
        <v>MVVVEEEMM10</v>
      </c>
    </row>
    <row r="3403" spans="2:9" x14ac:dyDescent="0.25">
      <c r="B3403" t="s">
        <v>1800</v>
      </c>
      <c r="C3403" s="22" t="s">
        <v>26</v>
      </c>
      <c r="D3403">
        <v>1</v>
      </c>
      <c r="G3403" s="25">
        <f>Table132[[#This Row],[nb win]]/Table132[[#This Row],[nb play]]</f>
        <v>0</v>
      </c>
      <c r="H3403" t="str">
        <f>MID(Table132[[#This Row],[ÉTAT]],VALUE(RIGHT(Table132[[#This Row],[next move]],1))+1+VALUE(LEFT(Table132[[#This Row],[next move]],1))*3,1)</f>
        <v>V</v>
      </c>
      <c r="I3403" t="str">
        <f>Table132[[#This Row],[ÉTAT]]&amp;Table132[[#This Row],[next move]]</f>
        <v>MVVMVVVEE01</v>
      </c>
    </row>
    <row r="3404" spans="2:9" x14ac:dyDescent="0.25">
      <c r="B3404" t="s">
        <v>1800</v>
      </c>
      <c r="C3404" s="22" t="s">
        <v>20</v>
      </c>
      <c r="D3404">
        <v>2</v>
      </c>
      <c r="E3404">
        <v>2</v>
      </c>
      <c r="G3404" s="31">
        <f>Table132[[#This Row],[nb win]]/Table132[[#This Row],[nb play]]</f>
        <v>1</v>
      </c>
      <c r="H3404" t="str">
        <f>MID(Table132[[#This Row],[ÉTAT]],VALUE(RIGHT(Table132[[#This Row],[next move]],1))+1+VALUE(LEFT(Table132[[#This Row],[next move]],1))*3,1)</f>
        <v>V</v>
      </c>
      <c r="I3404" t="str">
        <f>Table132[[#This Row],[ÉTAT]]&amp;Table132[[#This Row],[next move]]</f>
        <v>MVVMVVVEE02</v>
      </c>
    </row>
    <row r="3405" spans="2:9" x14ac:dyDescent="0.25">
      <c r="B3405" t="s">
        <v>1800</v>
      </c>
      <c r="C3405" s="22" t="s">
        <v>28</v>
      </c>
      <c r="D3405">
        <v>3</v>
      </c>
      <c r="E3405">
        <v>1</v>
      </c>
      <c r="G3405" s="30">
        <f>Table132[[#This Row],[nb win]]/Table132[[#This Row],[nb play]]</f>
        <v>0.33333333333333331</v>
      </c>
      <c r="H3405" t="str">
        <f>MID(Table132[[#This Row],[ÉTAT]],VALUE(RIGHT(Table132[[#This Row],[next move]],1))+1+VALUE(LEFT(Table132[[#This Row],[next move]],1))*3,1)</f>
        <v>V</v>
      </c>
      <c r="I3405" t="str">
        <f>Table132[[#This Row],[ÉTAT]]&amp;Table132[[#This Row],[next move]]</f>
        <v>MVVMVVVEE12</v>
      </c>
    </row>
    <row r="3406" spans="2:9" x14ac:dyDescent="0.25">
      <c r="B3406" t="s">
        <v>2601</v>
      </c>
      <c r="C3406" s="22" t="s">
        <v>26</v>
      </c>
      <c r="D3406">
        <v>2</v>
      </c>
      <c r="E3406">
        <v>1</v>
      </c>
      <c r="G3406" s="30">
        <f>Table132[[#This Row],[nb win]]/Table132[[#This Row],[nb play]]</f>
        <v>0.5</v>
      </c>
      <c r="H3406" t="str">
        <f>MID(Table132[[#This Row],[ÉTAT]],VALUE(RIGHT(Table132[[#This Row],[next move]],1))+1+VALUE(LEFT(Table132[[#This Row],[next move]],1))*3,1)</f>
        <v>V</v>
      </c>
      <c r="I3406" t="str">
        <f>Table132[[#This Row],[ÉTAT]]&amp;Table132[[#This Row],[next move]]</f>
        <v>MVVMVVEVE01</v>
      </c>
    </row>
    <row r="3407" spans="2:9" x14ac:dyDescent="0.25">
      <c r="B3407" t="s">
        <v>2601</v>
      </c>
      <c r="C3407" s="22" t="s">
        <v>28</v>
      </c>
      <c r="D3407">
        <v>1</v>
      </c>
      <c r="G3407" s="30">
        <f>Table132[[#This Row],[nb win]]/Table132[[#This Row],[nb play]]</f>
        <v>0</v>
      </c>
      <c r="H3407" t="str">
        <f>MID(Table132[[#This Row],[ÉTAT]],VALUE(RIGHT(Table132[[#This Row],[next move]],1))+1+VALUE(LEFT(Table132[[#This Row],[next move]],1))*3,1)</f>
        <v>V</v>
      </c>
      <c r="I3407" t="str">
        <f>Table132[[#This Row],[ÉTAT]]&amp;Table132[[#This Row],[next move]]</f>
        <v>MVVMVVEVE12</v>
      </c>
    </row>
    <row r="3408" spans="2:9" x14ac:dyDescent="0.25">
      <c r="B3408" t="s">
        <v>1686</v>
      </c>
      <c r="C3408" s="22" t="s">
        <v>26</v>
      </c>
      <c r="D3408">
        <v>1</v>
      </c>
      <c r="G3408" s="30">
        <f>Table132[[#This Row],[nb win]]/Table132[[#This Row],[nb play]]</f>
        <v>0</v>
      </c>
      <c r="H3408" t="str">
        <f>MID(Table132[[#This Row],[ÉTAT]],VALUE(RIGHT(Table132[[#This Row],[next move]],1))+1+VALUE(LEFT(Table132[[#This Row],[next move]],1))*3,1)</f>
        <v>V</v>
      </c>
      <c r="I3408" t="str">
        <f>Table132[[#This Row],[ÉTAT]]&amp;Table132[[#This Row],[next move]]</f>
        <v>MVVMVVEEV01</v>
      </c>
    </row>
    <row r="3409" spans="2:9" x14ac:dyDescent="0.25">
      <c r="B3409" t="s">
        <v>1686</v>
      </c>
      <c r="C3409" s="22" t="s">
        <v>20</v>
      </c>
      <c r="D3409">
        <v>4</v>
      </c>
      <c r="G3409" s="30">
        <f>Table132[[#This Row],[nb win]]/Table132[[#This Row],[nb play]]</f>
        <v>0</v>
      </c>
      <c r="H3409" t="str">
        <f>MID(Table132[[#This Row],[ÉTAT]],VALUE(RIGHT(Table132[[#This Row],[next move]],1))+1+VALUE(LEFT(Table132[[#This Row],[next move]],1))*3,1)</f>
        <v>V</v>
      </c>
      <c r="I3409" t="str">
        <f>Table132[[#This Row],[ÉTAT]]&amp;Table132[[#This Row],[next move]]</f>
        <v>MVVMVVEEV02</v>
      </c>
    </row>
    <row r="3410" spans="2:9" x14ac:dyDescent="0.25">
      <c r="B3410" t="s">
        <v>1686</v>
      </c>
      <c r="C3410" s="22" t="s">
        <v>29</v>
      </c>
      <c r="D3410">
        <v>2</v>
      </c>
      <c r="E3410">
        <v>1</v>
      </c>
      <c r="G3410" s="25">
        <f>Table132[[#This Row],[nb win]]/Table132[[#This Row],[nb play]]</f>
        <v>0.5</v>
      </c>
      <c r="H3410" t="str">
        <f>MID(Table132[[#This Row],[ÉTAT]],VALUE(RIGHT(Table132[[#This Row],[next move]],1))+1+VALUE(LEFT(Table132[[#This Row],[next move]],1))*3,1)</f>
        <v>V</v>
      </c>
      <c r="I3410" t="str">
        <f>Table132[[#This Row],[ÉTAT]]&amp;Table132[[#This Row],[next move]]</f>
        <v>MVVMVVEEV11</v>
      </c>
    </row>
    <row r="3411" spans="2:9" x14ac:dyDescent="0.25">
      <c r="B3411" t="s">
        <v>1686</v>
      </c>
      <c r="C3411" s="22" t="s">
        <v>28</v>
      </c>
      <c r="D3411">
        <v>1</v>
      </c>
      <c r="E3411">
        <v>1</v>
      </c>
      <c r="G3411" s="31">
        <f>Table132[[#This Row],[nb win]]/Table132[[#This Row],[nb play]]</f>
        <v>1</v>
      </c>
      <c r="H3411" t="str">
        <f>MID(Table132[[#This Row],[ÉTAT]],VALUE(RIGHT(Table132[[#This Row],[next move]],1))+1+VALUE(LEFT(Table132[[#This Row],[next move]],1))*3,1)</f>
        <v>V</v>
      </c>
      <c r="I3411" t="str">
        <f>Table132[[#This Row],[ÉTAT]]&amp;Table132[[#This Row],[next move]]</f>
        <v>MVVMVVEEV12</v>
      </c>
    </row>
    <row r="3412" spans="2:9" x14ac:dyDescent="0.25">
      <c r="B3412" t="s">
        <v>1686</v>
      </c>
      <c r="C3412" s="22" t="s">
        <v>31</v>
      </c>
      <c r="D3412">
        <v>1</v>
      </c>
      <c r="G3412" s="30">
        <f>Table132[[#This Row],[nb win]]/Table132[[#This Row],[nb play]]</f>
        <v>0</v>
      </c>
      <c r="H3412" t="str">
        <f>MID(Table132[[#This Row],[ÉTAT]],VALUE(RIGHT(Table132[[#This Row],[next move]],1))+1+VALUE(LEFT(Table132[[#This Row],[next move]],1))*3,1)</f>
        <v>V</v>
      </c>
      <c r="I3412" t="str">
        <f>Table132[[#This Row],[ÉTAT]]&amp;Table132[[#This Row],[next move]]</f>
        <v>MVVMVVEEV22</v>
      </c>
    </row>
    <row r="3413" spans="2:9" x14ac:dyDescent="0.25">
      <c r="B3413" t="s">
        <v>491</v>
      </c>
      <c r="C3413" s="22" t="s">
        <v>35</v>
      </c>
      <c r="D3413">
        <v>7</v>
      </c>
      <c r="E3413">
        <v>7</v>
      </c>
      <c r="G3413" s="31">
        <f>Table132[[#This Row],[nb win]]/Table132[[#This Row],[nb play]]</f>
        <v>1</v>
      </c>
      <c r="H3413" t="str">
        <f>MID(Table132[[#This Row],[ÉTAT]],VALUE(RIGHT(Table132[[#This Row],[next move]],1))+1+VALUE(LEFT(Table132[[#This Row],[next move]],1))*3,1)</f>
        <v>V</v>
      </c>
      <c r="I3413" t="str">
        <f>Table132[[#This Row],[ÉTAT]]&amp;Table132[[#This Row],[next move]]</f>
        <v>MVVMVEVVE20</v>
      </c>
    </row>
    <row r="3414" spans="2:9" x14ac:dyDescent="0.25">
      <c r="B3414" t="s">
        <v>57</v>
      </c>
      <c r="C3414" s="22" t="s">
        <v>29</v>
      </c>
      <c r="D3414">
        <v>3</v>
      </c>
      <c r="E3414">
        <v>1</v>
      </c>
      <c r="G3414" s="31">
        <f>Table132[[#This Row],[nb win]]/Table132[[#This Row],[nb play]]</f>
        <v>0.33333333333333331</v>
      </c>
      <c r="H3414" t="str">
        <f>MID(Table132[[#This Row],[ÉTAT]],VALUE(RIGHT(Table132[[#This Row],[next move]],1))+1+VALUE(LEFT(Table132[[#This Row],[next move]],1))*3,1)</f>
        <v>V</v>
      </c>
      <c r="I3414" t="str">
        <f>Table132[[#This Row],[ÉTAT]]&amp;Table132[[#This Row],[next move]]</f>
        <v>MVVMVEVEV11</v>
      </c>
    </row>
    <row r="3415" spans="2:9" x14ac:dyDescent="0.25">
      <c r="B3415" t="s">
        <v>57</v>
      </c>
      <c r="C3415" s="22" t="s">
        <v>35</v>
      </c>
      <c r="D3415">
        <v>5</v>
      </c>
      <c r="E3415">
        <v>5</v>
      </c>
      <c r="G3415" s="31">
        <f>Table132[[#This Row],[nb win]]/Table132[[#This Row],[nb play]]</f>
        <v>1</v>
      </c>
      <c r="H3415" t="str">
        <f>MID(Table132[[#This Row],[ÉTAT]],VALUE(RIGHT(Table132[[#This Row],[next move]],1))+1+VALUE(LEFT(Table132[[#This Row],[next move]],1))*3,1)</f>
        <v>V</v>
      </c>
      <c r="I3415" t="str">
        <f>Table132[[#This Row],[ÉTAT]]&amp;Table132[[#This Row],[next move]]</f>
        <v>MVVMVEVEV20</v>
      </c>
    </row>
    <row r="3416" spans="2:9" x14ac:dyDescent="0.25">
      <c r="B3416" t="s">
        <v>1731</v>
      </c>
      <c r="C3416" s="22" t="s">
        <v>20</v>
      </c>
      <c r="D3416">
        <v>1</v>
      </c>
      <c r="E3416">
        <v>1</v>
      </c>
      <c r="G3416" s="25">
        <f>Table132[[#This Row],[nb win]]/Table132[[#This Row],[nb play]]</f>
        <v>1</v>
      </c>
      <c r="H3416" t="str">
        <f>MID(Table132[[#This Row],[ÉTAT]],VALUE(RIGHT(Table132[[#This Row],[next move]],1))+1+VALUE(LEFT(Table132[[#This Row],[next move]],1))*3,1)</f>
        <v>V</v>
      </c>
      <c r="I3416" t="str">
        <f>Table132[[#This Row],[ÉTAT]]&amp;Table132[[#This Row],[next move]]</f>
        <v>MVVMVEEVV02</v>
      </c>
    </row>
    <row r="3417" spans="2:9" x14ac:dyDescent="0.25">
      <c r="B3417" t="s">
        <v>1731</v>
      </c>
      <c r="C3417" s="22" t="s">
        <v>29</v>
      </c>
      <c r="D3417">
        <v>2</v>
      </c>
      <c r="E3417">
        <v>1</v>
      </c>
      <c r="G3417" s="25">
        <f>Table132[[#This Row],[nb win]]/Table132[[#This Row],[nb play]]</f>
        <v>0.5</v>
      </c>
      <c r="H3417" t="str">
        <f>MID(Table132[[#This Row],[ÉTAT]],VALUE(RIGHT(Table132[[#This Row],[next move]],1))+1+VALUE(LEFT(Table132[[#This Row],[next move]],1))*3,1)</f>
        <v>V</v>
      </c>
      <c r="I3417" t="str">
        <f>Table132[[#This Row],[ÉTAT]]&amp;Table132[[#This Row],[next move]]</f>
        <v>MVVMVEEVV11</v>
      </c>
    </row>
    <row r="3418" spans="2:9" x14ac:dyDescent="0.25">
      <c r="B3418" t="s">
        <v>1731</v>
      </c>
      <c r="C3418" s="22" t="s">
        <v>22</v>
      </c>
      <c r="D3418">
        <v>2</v>
      </c>
      <c r="G3418" s="30">
        <f>Table132[[#This Row],[nb win]]/Table132[[#This Row],[nb play]]</f>
        <v>0</v>
      </c>
      <c r="H3418" t="str">
        <f>MID(Table132[[#This Row],[ÉTAT]],VALUE(RIGHT(Table132[[#This Row],[next move]],1))+1+VALUE(LEFT(Table132[[#This Row],[next move]],1))*3,1)</f>
        <v>V</v>
      </c>
      <c r="I3418" t="str">
        <f>Table132[[#This Row],[ÉTAT]]&amp;Table132[[#This Row],[next move]]</f>
        <v>MVVMVEEVV21</v>
      </c>
    </row>
    <row r="3419" spans="2:9" x14ac:dyDescent="0.25">
      <c r="B3419" t="s">
        <v>3359</v>
      </c>
      <c r="C3419" s="22" t="s">
        <v>29</v>
      </c>
      <c r="D3419">
        <v>1</v>
      </c>
      <c r="G3419" s="30">
        <f>Table132[[#This Row],[nb win]]/Table132[[#This Row],[nb play]]</f>
        <v>0</v>
      </c>
      <c r="H3419" t="str">
        <f>MID(Table132[[#This Row],[ÉTAT]],VALUE(RIGHT(Table132[[#This Row],[next move]],1))+1+VALUE(LEFT(Table132[[#This Row],[next move]],1))*3,1)</f>
        <v>V</v>
      </c>
      <c r="I3419" t="str">
        <f>Table132[[#This Row],[ÉTAT]]&amp;Table132[[#This Row],[next move]]</f>
        <v>MVVMVEEME11</v>
      </c>
    </row>
    <row r="3420" spans="2:9" x14ac:dyDescent="0.25">
      <c r="B3420" t="s">
        <v>1237</v>
      </c>
      <c r="C3420" s="22" t="s">
        <v>26</v>
      </c>
      <c r="D3420">
        <v>2</v>
      </c>
      <c r="G3420" s="30">
        <f>Table132[[#This Row],[nb win]]/Table132[[#This Row],[nb play]]</f>
        <v>0</v>
      </c>
      <c r="H3420" t="str">
        <f>MID(Table132[[#This Row],[ÉTAT]],VALUE(RIGHT(Table132[[#This Row],[next move]],1))+1+VALUE(LEFT(Table132[[#This Row],[next move]],1))*3,1)</f>
        <v>V</v>
      </c>
      <c r="I3420" t="str">
        <f>Table132[[#This Row],[ÉTAT]]&amp;Table132[[#This Row],[next move]]</f>
        <v>MVVMVEEEV01</v>
      </c>
    </row>
    <row r="3421" spans="2:9" x14ac:dyDescent="0.25">
      <c r="B3421" t="s">
        <v>1237</v>
      </c>
      <c r="C3421" s="22" t="s">
        <v>20</v>
      </c>
      <c r="D3421">
        <v>3</v>
      </c>
      <c r="G3421" s="30">
        <f>Table132[[#This Row],[nb win]]/Table132[[#This Row],[nb play]]</f>
        <v>0</v>
      </c>
      <c r="H3421" t="str">
        <f>MID(Table132[[#This Row],[ÉTAT]],VALUE(RIGHT(Table132[[#This Row],[next move]],1))+1+VALUE(LEFT(Table132[[#This Row],[next move]],1))*3,1)</f>
        <v>V</v>
      </c>
      <c r="I3421" t="str">
        <f>Table132[[#This Row],[ÉTAT]]&amp;Table132[[#This Row],[next move]]</f>
        <v>MVVMVEEEV02</v>
      </c>
    </row>
    <row r="3422" spans="2:9" x14ac:dyDescent="0.25">
      <c r="B3422" t="s">
        <v>1237</v>
      </c>
      <c r="C3422" s="22" t="s">
        <v>29</v>
      </c>
      <c r="D3422">
        <v>1</v>
      </c>
      <c r="G3422" s="25">
        <f>Table132[[#This Row],[nb win]]/Table132[[#This Row],[nb play]]</f>
        <v>0</v>
      </c>
      <c r="H3422" t="str">
        <f>MID(Table132[[#This Row],[ÉTAT]],VALUE(RIGHT(Table132[[#This Row],[next move]],1))+1+VALUE(LEFT(Table132[[#This Row],[next move]],1))*3,1)</f>
        <v>V</v>
      </c>
      <c r="I3422" t="str">
        <f>Table132[[#This Row],[ÉTAT]]&amp;Table132[[#This Row],[next move]]</f>
        <v>MVVMVEEEV11</v>
      </c>
    </row>
    <row r="3423" spans="2:9" x14ac:dyDescent="0.25">
      <c r="B3423" t="s">
        <v>1237</v>
      </c>
      <c r="C3423" s="22" t="s">
        <v>31</v>
      </c>
      <c r="D3423">
        <v>2</v>
      </c>
      <c r="G3423" s="30">
        <f>Table132[[#This Row],[nb win]]/Table132[[#This Row],[nb play]]</f>
        <v>0</v>
      </c>
      <c r="H3423" t="str">
        <f>MID(Table132[[#This Row],[ÉTAT]],VALUE(RIGHT(Table132[[#This Row],[next move]],1))+1+VALUE(LEFT(Table132[[#This Row],[next move]],1))*3,1)</f>
        <v>V</v>
      </c>
      <c r="I3423" t="str">
        <f>Table132[[#This Row],[ÉTAT]]&amp;Table132[[#This Row],[next move]]</f>
        <v>MVVMVEEEV22</v>
      </c>
    </row>
    <row r="3424" spans="2:9" x14ac:dyDescent="0.25">
      <c r="B3424" t="s">
        <v>784</v>
      </c>
      <c r="C3424" s="22" t="s">
        <v>26</v>
      </c>
      <c r="D3424">
        <v>1</v>
      </c>
      <c r="G3424" s="25">
        <f>Table132[[#This Row],[nb win]]/Table132[[#This Row],[nb play]]</f>
        <v>0</v>
      </c>
      <c r="H3424" t="str">
        <f>MID(Table132[[#This Row],[ÉTAT]],VALUE(RIGHT(Table132[[#This Row],[next move]],1))+1+VALUE(LEFT(Table132[[#This Row],[next move]],1))*3,1)</f>
        <v>V</v>
      </c>
      <c r="I3424" t="str">
        <f>Table132[[#This Row],[ÉTAT]]&amp;Table132[[#This Row],[next move]]</f>
        <v>MVVMMEVEE01</v>
      </c>
    </row>
    <row r="3425" spans="2:9" x14ac:dyDescent="0.25">
      <c r="B3425" t="s">
        <v>784</v>
      </c>
      <c r="C3425" s="22" t="s">
        <v>20</v>
      </c>
      <c r="D3425">
        <v>1</v>
      </c>
      <c r="G3425" s="25">
        <f>Table132[[#This Row],[nb win]]/Table132[[#This Row],[nb play]]</f>
        <v>0</v>
      </c>
      <c r="H3425" t="str">
        <f>MID(Table132[[#This Row],[ÉTAT]],VALUE(RIGHT(Table132[[#This Row],[next move]],1))+1+VALUE(LEFT(Table132[[#This Row],[next move]],1))*3,1)</f>
        <v>V</v>
      </c>
      <c r="I3425" t="str">
        <f>Table132[[#This Row],[ÉTAT]]&amp;Table132[[#This Row],[next move]]</f>
        <v>MVVMMEVEE02</v>
      </c>
    </row>
    <row r="3426" spans="2:9" x14ac:dyDescent="0.25">
      <c r="B3426" t="s">
        <v>784</v>
      </c>
      <c r="C3426" s="22" t="s">
        <v>35</v>
      </c>
      <c r="D3426">
        <v>2</v>
      </c>
      <c r="E3426">
        <v>2</v>
      </c>
      <c r="G3426" s="31">
        <f>Table132[[#This Row],[nb win]]/Table132[[#This Row],[nb play]]</f>
        <v>1</v>
      </c>
      <c r="H3426" t="str">
        <f>MID(Table132[[#This Row],[ÉTAT]],VALUE(RIGHT(Table132[[#This Row],[next move]],1))+1+VALUE(LEFT(Table132[[#This Row],[next move]],1))*3,1)</f>
        <v>V</v>
      </c>
      <c r="I3426" t="str">
        <f>Table132[[#This Row],[ÉTAT]]&amp;Table132[[#This Row],[next move]]</f>
        <v>MVVMMEVEE20</v>
      </c>
    </row>
    <row r="3427" spans="2:9" x14ac:dyDescent="0.25">
      <c r="B3427" t="s">
        <v>2149</v>
      </c>
      <c r="C3427" s="22" t="s">
        <v>26</v>
      </c>
      <c r="D3427">
        <v>1</v>
      </c>
      <c r="G3427" s="25">
        <f>Table132[[#This Row],[nb win]]/Table132[[#This Row],[nb play]]</f>
        <v>0</v>
      </c>
      <c r="H3427" t="str">
        <f>MID(Table132[[#This Row],[ÉTAT]],VALUE(RIGHT(Table132[[#This Row],[next move]],1))+1+VALUE(LEFT(Table132[[#This Row],[next move]],1))*3,1)</f>
        <v>V</v>
      </c>
      <c r="I3427" t="str">
        <f>Table132[[#This Row],[ÉTAT]]&amp;Table132[[#This Row],[next move]]</f>
        <v>MVVMMEEVE01</v>
      </c>
    </row>
    <row r="3428" spans="2:9" x14ac:dyDescent="0.25">
      <c r="B3428" t="s">
        <v>2149</v>
      </c>
      <c r="C3428" s="22" t="s">
        <v>22</v>
      </c>
      <c r="D3428">
        <v>1</v>
      </c>
      <c r="G3428" s="25">
        <f>Table132[[#This Row],[nb win]]/Table132[[#This Row],[nb play]]</f>
        <v>0</v>
      </c>
      <c r="H3428" t="str">
        <f>MID(Table132[[#This Row],[ÉTAT]],VALUE(RIGHT(Table132[[#This Row],[next move]],1))+1+VALUE(LEFT(Table132[[#This Row],[next move]],1))*3,1)</f>
        <v>V</v>
      </c>
      <c r="I3428" t="str">
        <f>Table132[[#This Row],[ÉTAT]]&amp;Table132[[#This Row],[next move]]</f>
        <v>MVVMMEEVE21</v>
      </c>
    </row>
    <row r="3429" spans="2:9" x14ac:dyDescent="0.25">
      <c r="B3429" t="s">
        <v>1621</v>
      </c>
      <c r="C3429" s="22" t="s">
        <v>26</v>
      </c>
      <c r="D3429">
        <v>2</v>
      </c>
      <c r="E3429">
        <v>1</v>
      </c>
      <c r="G3429" s="25">
        <f>Table132[[#This Row],[nb win]]/Table132[[#This Row],[nb play]]</f>
        <v>0.5</v>
      </c>
      <c r="H3429" t="str">
        <f>MID(Table132[[#This Row],[ÉTAT]],VALUE(RIGHT(Table132[[#This Row],[next move]],1))+1+VALUE(LEFT(Table132[[#This Row],[next move]],1))*3,1)</f>
        <v>V</v>
      </c>
      <c r="I3429" t="str">
        <f>Table132[[#This Row],[ÉTAT]]&amp;Table132[[#This Row],[next move]]</f>
        <v>MVVMMEEEV01</v>
      </c>
    </row>
    <row r="3430" spans="2:9" x14ac:dyDescent="0.25">
      <c r="B3430" t="s">
        <v>1389</v>
      </c>
      <c r="C3430" s="22" t="s">
        <v>20</v>
      </c>
      <c r="D3430">
        <v>2</v>
      </c>
      <c r="E3430">
        <v>2</v>
      </c>
      <c r="G3430" s="31">
        <f>Table132[[#This Row],[nb win]]/Table132[[#This Row],[nb play]]</f>
        <v>1</v>
      </c>
      <c r="H3430" t="str">
        <f>MID(Table132[[#This Row],[ÉTAT]],VALUE(RIGHT(Table132[[#This Row],[next move]],1))+1+VALUE(LEFT(Table132[[#This Row],[next move]],1))*3,1)</f>
        <v>V</v>
      </c>
      <c r="I3430" t="str">
        <f>Table132[[#This Row],[ÉTAT]]&amp;Table132[[#This Row],[next move]]</f>
        <v>MVVMEVVVE02</v>
      </c>
    </row>
    <row r="3431" spans="2:9" x14ac:dyDescent="0.25">
      <c r="B3431" t="s">
        <v>1389</v>
      </c>
      <c r="C3431" s="22" t="s">
        <v>28</v>
      </c>
      <c r="D3431">
        <v>1</v>
      </c>
      <c r="G3431" s="25">
        <f>Table132[[#This Row],[nb win]]/Table132[[#This Row],[nb play]]</f>
        <v>0</v>
      </c>
      <c r="H3431" t="str">
        <f>MID(Table132[[#This Row],[ÉTAT]],VALUE(RIGHT(Table132[[#This Row],[next move]],1))+1+VALUE(LEFT(Table132[[#This Row],[next move]],1))*3,1)</f>
        <v>V</v>
      </c>
      <c r="I3431" t="str">
        <f>Table132[[#This Row],[ÉTAT]]&amp;Table132[[#This Row],[next move]]</f>
        <v>MVVMEVVVE12</v>
      </c>
    </row>
    <row r="3432" spans="2:9" x14ac:dyDescent="0.25">
      <c r="B3432" t="s">
        <v>1389</v>
      </c>
      <c r="C3432" s="22" t="s">
        <v>22</v>
      </c>
      <c r="D3432">
        <v>1</v>
      </c>
      <c r="G3432" s="25">
        <f>Table132[[#This Row],[nb win]]/Table132[[#This Row],[nb play]]</f>
        <v>0</v>
      </c>
      <c r="H3432" t="str">
        <f>MID(Table132[[#This Row],[ÉTAT]],VALUE(RIGHT(Table132[[#This Row],[next move]],1))+1+VALUE(LEFT(Table132[[#This Row],[next move]],1))*3,1)</f>
        <v>V</v>
      </c>
      <c r="I3432" t="str">
        <f>Table132[[#This Row],[ÉTAT]]&amp;Table132[[#This Row],[next move]]</f>
        <v>MVVMEVVVE21</v>
      </c>
    </row>
    <row r="3433" spans="2:9" x14ac:dyDescent="0.25">
      <c r="B3433" t="s">
        <v>1674</v>
      </c>
      <c r="C3433" s="22" t="s">
        <v>35</v>
      </c>
      <c r="D3433">
        <v>5</v>
      </c>
      <c r="E3433">
        <v>5</v>
      </c>
      <c r="G3433" s="31">
        <f>Table132[[#This Row],[nb win]]/Table132[[#This Row],[nb play]]</f>
        <v>1</v>
      </c>
      <c r="H3433" t="str">
        <f>MID(Table132[[#This Row],[ÉTAT]],VALUE(RIGHT(Table132[[#This Row],[next move]],1))+1+VALUE(LEFT(Table132[[#This Row],[next move]],1))*3,1)</f>
        <v>V</v>
      </c>
      <c r="I3433" t="str">
        <f>Table132[[#This Row],[ÉTAT]]&amp;Table132[[#This Row],[next move]]</f>
        <v>MVVMEVVEV20</v>
      </c>
    </row>
    <row r="3434" spans="2:9" x14ac:dyDescent="0.25">
      <c r="B3434" t="s">
        <v>293</v>
      </c>
      <c r="C3434" s="22" t="s">
        <v>20</v>
      </c>
      <c r="D3434">
        <v>2</v>
      </c>
      <c r="E3434">
        <v>1</v>
      </c>
      <c r="G3434" s="25">
        <f>Table132[[#This Row],[nb win]]/Table132[[#This Row],[nb play]]</f>
        <v>0.5</v>
      </c>
      <c r="H3434" t="str">
        <f>MID(Table132[[#This Row],[ÉTAT]],VALUE(RIGHT(Table132[[#This Row],[next move]],1))+1+VALUE(LEFT(Table132[[#This Row],[next move]],1))*3,1)</f>
        <v>V</v>
      </c>
      <c r="I3434" t="str">
        <f>Table132[[#This Row],[ÉTAT]]&amp;Table132[[#This Row],[next move]]</f>
        <v>MVVMEVVEE02</v>
      </c>
    </row>
    <row r="3435" spans="2:9" x14ac:dyDescent="0.25">
      <c r="B3435" t="s">
        <v>293</v>
      </c>
      <c r="C3435" s="22" t="s">
        <v>28</v>
      </c>
      <c r="D3435">
        <v>1</v>
      </c>
      <c r="G3435" s="25">
        <f>Table132[[#This Row],[nb win]]/Table132[[#This Row],[nb play]]</f>
        <v>0</v>
      </c>
      <c r="H3435" t="str">
        <f>MID(Table132[[#This Row],[ÉTAT]],VALUE(RIGHT(Table132[[#This Row],[next move]],1))+1+VALUE(LEFT(Table132[[#This Row],[next move]],1))*3,1)</f>
        <v>V</v>
      </c>
      <c r="I3435" t="str">
        <f>Table132[[#This Row],[ÉTAT]]&amp;Table132[[#This Row],[next move]]</f>
        <v>MVVMEVVEE12</v>
      </c>
    </row>
    <row r="3436" spans="2:9" x14ac:dyDescent="0.25">
      <c r="B3436" t="s">
        <v>293</v>
      </c>
      <c r="C3436" s="22" t="s">
        <v>35</v>
      </c>
      <c r="D3436">
        <v>1</v>
      </c>
      <c r="E3436">
        <v>1</v>
      </c>
      <c r="G3436" s="25">
        <f>Table132[[#This Row],[nb win]]/Table132[[#This Row],[nb play]]</f>
        <v>1</v>
      </c>
      <c r="H3436" t="str">
        <f>MID(Table132[[#This Row],[ÉTAT]],VALUE(RIGHT(Table132[[#This Row],[next move]],1))+1+VALUE(LEFT(Table132[[#This Row],[next move]],1))*3,1)</f>
        <v>V</v>
      </c>
      <c r="I3436" t="str">
        <f>Table132[[#This Row],[ÉTAT]]&amp;Table132[[#This Row],[next move]]</f>
        <v>MVVMEVVEE20</v>
      </c>
    </row>
    <row r="3437" spans="2:9" x14ac:dyDescent="0.25">
      <c r="B3437" t="s">
        <v>210</v>
      </c>
      <c r="C3437" s="22" t="s">
        <v>26</v>
      </c>
      <c r="D3437">
        <v>3</v>
      </c>
      <c r="G3437" s="30">
        <f>Table132[[#This Row],[nb win]]/Table132[[#This Row],[nb play]]</f>
        <v>0</v>
      </c>
      <c r="H3437" t="str">
        <f>MID(Table132[[#This Row],[ÉTAT]],VALUE(RIGHT(Table132[[#This Row],[next move]],1))+1+VALUE(LEFT(Table132[[#This Row],[next move]],1))*3,1)</f>
        <v>V</v>
      </c>
      <c r="I3437" t="str">
        <f>Table132[[#This Row],[ÉTAT]]&amp;Table132[[#This Row],[next move]]</f>
        <v>MVVMEVEVV01</v>
      </c>
    </row>
    <row r="3438" spans="2:9" x14ac:dyDescent="0.25">
      <c r="B3438" t="s">
        <v>210</v>
      </c>
      <c r="C3438" s="22" t="s">
        <v>20</v>
      </c>
      <c r="D3438">
        <v>3</v>
      </c>
      <c r="E3438">
        <v>1</v>
      </c>
      <c r="G3438" s="30">
        <f>Table132[[#This Row],[nb win]]/Table132[[#This Row],[nb play]]</f>
        <v>0.33333333333333331</v>
      </c>
      <c r="H3438" t="str">
        <f>MID(Table132[[#This Row],[ÉTAT]],VALUE(RIGHT(Table132[[#This Row],[next move]],1))+1+VALUE(LEFT(Table132[[#This Row],[next move]],1))*3,1)</f>
        <v>V</v>
      </c>
      <c r="I3438" t="str">
        <f>Table132[[#This Row],[ÉTAT]]&amp;Table132[[#This Row],[next move]]</f>
        <v>MVVMEVEVV02</v>
      </c>
    </row>
    <row r="3439" spans="2:9" x14ac:dyDescent="0.25">
      <c r="B3439" t="s">
        <v>210</v>
      </c>
      <c r="C3439" s="22" t="s">
        <v>28</v>
      </c>
      <c r="D3439">
        <v>4</v>
      </c>
      <c r="G3439" s="25">
        <f>Table132[[#This Row],[nb win]]/Table132[[#This Row],[nb play]]</f>
        <v>0</v>
      </c>
      <c r="H3439" t="str">
        <f>MID(Table132[[#This Row],[ÉTAT]],VALUE(RIGHT(Table132[[#This Row],[next move]],1))+1+VALUE(LEFT(Table132[[#This Row],[next move]],1))*3,1)</f>
        <v>V</v>
      </c>
      <c r="I3439" t="str">
        <f>Table132[[#This Row],[ÉTAT]]&amp;Table132[[#This Row],[next move]]</f>
        <v>MVVMEVEVV12</v>
      </c>
    </row>
    <row r="3440" spans="2:9" x14ac:dyDescent="0.25">
      <c r="B3440" t="s">
        <v>210</v>
      </c>
      <c r="C3440" s="22" t="s">
        <v>22</v>
      </c>
      <c r="D3440">
        <v>4</v>
      </c>
      <c r="G3440" s="30">
        <f>Table132[[#This Row],[nb win]]/Table132[[#This Row],[nb play]]</f>
        <v>0</v>
      </c>
      <c r="H3440" t="str">
        <f>MID(Table132[[#This Row],[ÉTAT]],VALUE(RIGHT(Table132[[#This Row],[next move]],1))+1+VALUE(LEFT(Table132[[#This Row],[next move]],1))*3,1)</f>
        <v>V</v>
      </c>
      <c r="I3440" t="str">
        <f>Table132[[#This Row],[ÉTAT]]&amp;Table132[[#This Row],[next move]]</f>
        <v>MVVMEVEVV21</v>
      </c>
    </row>
    <row r="3441" spans="2:9" x14ac:dyDescent="0.25">
      <c r="B3441" t="s">
        <v>210</v>
      </c>
      <c r="C3441" s="22" t="s">
        <v>31</v>
      </c>
      <c r="D3441">
        <v>1</v>
      </c>
      <c r="G3441" s="30">
        <f>Table132[[#This Row],[nb win]]/Table132[[#This Row],[nb play]]</f>
        <v>0</v>
      </c>
      <c r="H3441" t="str">
        <f>MID(Table132[[#This Row],[ÉTAT]],VALUE(RIGHT(Table132[[#This Row],[next move]],1))+1+VALUE(LEFT(Table132[[#This Row],[next move]],1))*3,1)</f>
        <v>V</v>
      </c>
      <c r="I3441" t="str">
        <f>Table132[[#This Row],[ÉTAT]]&amp;Table132[[#This Row],[next move]]</f>
        <v>MVVMEVEVV22</v>
      </c>
    </row>
    <row r="3442" spans="2:9" x14ac:dyDescent="0.25">
      <c r="B3442" t="s">
        <v>1421</v>
      </c>
      <c r="C3442" s="22" t="s">
        <v>26</v>
      </c>
      <c r="D3442">
        <v>1</v>
      </c>
      <c r="G3442" s="25">
        <f>Table132[[#This Row],[nb win]]/Table132[[#This Row],[nb play]]</f>
        <v>0</v>
      </c>
      <c r="H3442" t="str">
        <f>MID(Table132[[#This Row],[ÉTAT]],VALUE(RIGHT(Table132[[#This Row],[next move]],1))+1+VALUE(LEFT(Table132[[#This Row],[next move]],1))*3,1)</f>
        <v>V</v>
      </c>
      <c r="I3442" t="str">
        <f>Table132[[#This Row],[ÉTAT]]&amp;Table132[[#This Row],[next move]]</f>
        <v>MVVMEVEVE01</v>
      </c>
    </row>
    <row r="3443" spans="2:9" x14ac:dyDescent="0.25">
      <c r="B3443" t="s">
        <v>1421</v>
      </c>
      <c r="C3443" s="22" t="s">
        <v>20</v>
      </c>
      <c r="D3443">
        <v>1</v>
      </c>
      <c r="E3443">
        <v>1</v>
      </c>
      <c r="G3443" s="25">
        <f>Table132[[#This Row],[nb win]]/Table132[[#This Row],[nb play]]</f>
        <v>1</v>
      </c>
      <c r="H3443" t="str">
        <f>MID(Table132[[#This Row],[ÉTAT]],VALUE(RIGHT(Table132[[#This Row],[next move]],1))+1+VALUE(LEFT(Table132[[#This Row],[next move]],1))*3,1)</f>
        <v>V</v>
      </c>
      <c r="I3443" t="str">
        <f>Table132[[#This Row],[ÉTAT]]&amp;Table132[[#This Row],[next move]]</f>
        <v>MVVMEVEVE02</v>
      </c>
    </row>
    <row r="3444" spans="2:9" x14ac:dyDescent="0.25">
      <c r="B3444" t="s">
        <v>1421</v>
      </c>
      <c r="C3444" s="22" t="s">
        <v>28</v>
      </c>
      <c r="D3444">
        <v>1</v>
      </c>
      <c r="G3444" s="25">
        <f>Table132[[#This Row],[nb win]]/Table132[[#This Row],[nb play]]</f>
        <v>0</v>
      </c>
      <c r="H3444" t="str">
        <f>MID(Table132[[#This Row],[ÉTAT]],VALUE(RIGHT(Table132[[#This Row],[next move]],1))+1+VALUE(LEFT(Table132[[#This Row],[next move]],1))*3,1)</f>
        <v>V</v>
      </c>
      <c r="I3444" t="str">
        <f>Table132[[#This Row],[ÉTAT]]&amp;Table132[[#This Row],[next move]]</f>
        <v>MVVMEVEVE12</v>
      </c>
    </row>
    <row r="3445" spans="2:9" x14ac:dyDescent="0.25">
      <c r="B3445" t="s">
        <v>3326</v>
      </c>
      <c r="C3445" s="22" t="s">
        <v>20</v>
      </c>
      <c r="D3445">
        <v>1</v>
      </c>
      <c r="G3445" s="30">
        <f>Table132[[#This Row],[nb win]]/Table132[[#This Row],[nb play]]</f>
        <v>0</v>
      </c>
      <c r="H3445" t="str">
        <f>MID(Table132[[#This Row],[ÉTAT]],VALUE(RIGHT(Table132[[#This Row],[next move]],1))+1+VALUE(LEFT(Table132[[#This Row],[next move]],1))*3,1)</f>
        <v>V</v>
      </c>
      <c r="I3445" t="str">
        <f>Table132[[#This Row],[ÉTAT]]&amp;Table132[[#This Row],[next move]]</f>
        <v>MVVMEVEEM02</v>
      </c>
    </row>
    <row r="3446" spans="2:9" x14ac:dyDescent="0.25">
      <c r="B3446" t="s">
        <v>993</v>
      </c>
      <c r="C3446" s="22" t="s">
        <v>26</v>
      </c>
      <c r="D3446">
        <v>2</v>
      </c>
      <c r="E3446">
        <v>1</v>
      </c>
      <c r="G3446" s="25">
        <f>Table132[[#This Row],[nb win]]/Table132[[#This Row],[nb play]]</f>
        <v>0.5</v>
      </c>
      <c r="H3446" t="str">
        <f>MID(Table132[[#This Row],[ÉTAT]],VALUE(RIGHT(Table132[[#This Row],[next move]],1))+1+VALUE(LEFT(Table132[[#This Row],[next move]],1))*3,1)</f>
        <v>V</v>
      </c>
      <c r="I3446" t="str">
        <f>Table132[[#This Row],[ÉTAT]]&amp;Table132[[#This Row],[next move]]</f>
        <v>MVVMEMVEE01</v>
      </c>
    </row>
    <row r="3447" spans="2:9" x14ac:dyDescent="0.25">
      <c r="B3447" t="s">
        <v>993</v>
      </c>
      <c r="C3447" s="22" t="s">
        <v>20</v>
      </c>
      <c r="D3447">
        <v>2</v>
      </c>
      <c r="G3447" s="30">
        <f>Table132[[#This Row],[nb win]]/Table132[[#This Row],[nb play]]</f>
        <v>0</v>
      </c>
      <c r="H3447" t="str">
        <f>MID(Table132[[#This Row],[ÉTAT]],VALUE(RIGHT(Table132[[#This Row],[next move]],1))+1+VALUE(LEFT(Table132[[#This Row],[next move]],1))*3,1)</f>
        <v>V</v>
      </c>
      <c r="I3447" t="str">
        <f>Table132[[#This Row],[ÉTAT]]&amp;Table132[[#This Row],[next move]]</f>
        <v>MVVMEMVEE02</v>
      </c>
    </row>
    <row r="3448" spans="2:9" x14ac:dyDescent="0.25">
      <c r="B3448" t="s">
        <v>993</v>
      </c>
      <c r="C3448" s="22" t="s">
        <v>35</v>
      </c>
      <c r="D3448">
        <v>2</v>
      </c>
      <c r="E3448">
        <v>2</v>
      </c>
      <c r="G3448" s="31">
        <f>Table132[[#This Row],[nb win]]/Table132[[#This Row],[nb play]]</f>
        <v>1</v>
      </c>
      <c r="H3448" t="str">
        <f>MID(Table132[[#This Row],[ÉTAT]],VALUE(RIGHT(Table132[[#This Row],[next move]],1))+1+VALUE(LEFT(Table132[[#This Row],[next move]],1))*3,1)</f>
        <v>V</v>
      </c>
      <c r="I3448" t="str">
        <f>Table132[[#This Row],[ÉTAT]]&amp;Table132[[#This Row],[next move]]</f>
        <v>MVVMEMVEE20</v>
      </c>
    </row>
    <row r="3449" spans="2:9" x14ac:dyDescent="0.25">
      <c r="B3449" t="s">
        <v>1390</v>
      </c>
      <c r="C3449" s="22" t="s">
        <v>26</v>
      </c>
      <c r="D3449">
        <v>1</v>
      </c>
      <c r="G3449" s="25">
        <f>Table132[[#This Row],[nb win]]/Table132[[#This Row],[nb play]]</f>
        <v>0</v>
      </c>
      <c r="H3449" t="str">
        <f>MID(Table132[[#This Row],[ÉTAT]],VALUE(RIGHT(Table132[[#This Row],[next move]],1))+1+VALUE(LEFT(Table132[[#This Row],[next move]],1))*3,1)</f>
        <v>V</v>
      </c>
      <c r="I3449" t="str">
        <f>Table132[[#This Row],[ÉTAT]]&amp;Table132[[#This Row],[next move]]</f>
        <v>MVVMEMEVE01</v>
      </c>
    </row>
    <row r="3450" spans="2:9" x14ac:dyDescent="0.25">
      <c r="B3450" t="s">
        <v>1390</v>
      </c>
      <c r="C3450" s="22" t="s">
        <v>20</v>
      </c>
      <c r="D3450">
        <v>1</v>
      </c>
      <c r="G3450" s="25">
        <f>Table132[[#This Row],[nb win]]/Table132[[#This Row],[nb play]]</f>
        <v>0</v>
      </c>
      <c r="H3450" t="str">
        <f>MID(Table132[[#This Row],[ÉTAT]],VALUE(RIGHT(Table132[[#This Row],[next move]],1))+1+VALUE(LEFT(Table132[[#This Row],[next move]],1))*3,1)</f>
        <v>V</v>
      </c>
      <c r="I3450" t="str">
        <f>Table132[[#This Row],[ÉTAT]]&amp;Table132[[#This Row],[next move]]</f>
        <v>MVVMEMEVE02</v>
      </c>
    </row>
    <row r="3451" spans="2:9" x14ac:dyDescent="0.25">
      <c r="B3451" t="s">
        <v>1120</v>
      </c>
      <c r="C3451" s="22" t="s">
        <v>26</v>
      </c>
      <c r="D3451">
        <v>1</v>
      </c>
      <c r="G3451" s="25">
        <f>Table132[[#This Row],[nb win]]/Table132[[#This Row],[nb play]]</f>
        <v>0</v>
      </c>
      <c r="H3451" t="str">
        <f>MID(Table132[[#This Row],[ÉTAT]],VALUE(RIGHT(Table132[[#This Row],[next move]],1))+1+VALUE(LEFT(Table132[[#This Row],[next move]],1))*3,1)</f>
        <v>V</v>
      </c>
      <c r="I3451" t="str">
        <f>Table132[[#This Row],[ÉTAT]]&amp;Table132[[#This Row],[next move]]</f>
        <v>MVVMEMEEV01</v>
      </c>
    </row>
    <row r="3452" spans="2:9" x14ac:dyDescent="0.25">
      <c r="B3452" t="s">
        <v>1120</v>
      </c>
      <c r="C3452" s="22" t="s">
        <v>20</v>
      </c>
      <c r="D3452">
        <v>1</v>
      </c>
      <c r="G3452" s="25">
        <f>Table132[[#This Row],[nb win]]/Table132[[#This Row],[nb play]]</f>
        <v>0</v>
      </c>
      <c r="H3452" t="str">
        <f>MID(Table132[[#This Row],[ÉTAT]],VALUE(RIGHT(Table132[[#This Row],[next move]],1))+1+VALUE(LEFT(Table132[[#This Row],[next move]],1))*3,1)</f>
        <v>V</v>
      </c>
      <c r="I3452" t="str">
        <f>Table132[[#This Row],[ÉTAT]]&amp;Table132[[#This Row],[next move]]</f>
        <v>MVVMEMEEV02</v>
      </c>
    </row>
    <row r="3453" spans="2:9" x14ac:dyDescent="0.25">
      <c r="B3453" t="s">
        <v>1120</v>
      </c>
      <c r="C3453" s="22" t="s">
        <v>31</v>
      </c>
      <c r="D3453">
        <v>5</v>
      </c>
      <c r="G3453" s="30">
        <f>Table132[[#This Row],[nb win]]/Table132[[#This Row],[nb play]]</f>
        <v>0</v>
      </c>
      <c r="H3453" t="str">
        <f>MID(Table132[[#This Row],[ÉTAT]],VALUE(RIGHT(Table132[[#This Row],[next move]],1))+1+VALUE(LEFT(Table132[[#This Row],[next move]],1))*3,1)</f>
        <v>V</v>
      </c>
      <c r="I3453" t="str">
        <f>Table132[[#This Row],[ÉTAT]]&amp;Table132[[#This Row],[next move]]</f>
        <v>MVVMEMEEV22</v>
      </c>
    </row>
    <row r="3454" spans="2:9" x14ac:dyDescent="0.25">
      <c r="B3454" t="s">
        <v>1596</v>
      </c>
      <c r="C3454" s="22" t="s">
        <v>35</v>
      </c>
      <c r="D3454">
        <v>1</v>
      </c>
      <c r="E3454">
        <v>1</v>
      </c>
      <c r="G3454" s="31">
        <f>Table132[[#This Row],[nb win]]/Table132[[#This Row],[nb play]]</f>
        <v>1</v>
      </c>
      <c r="H3454" t="str">
        <f>MID(Table132[[#This Row],[ÉTAT]],VALUE(RIGHT(Table132[[#This Row],[next move]],1))+1+VALUE(LEFT(Table132[[#This Row],[next move]],1))*3,1)</f>
        <v>V</v>
      </c>
      <c r="I3454" t="str">
        <f>Table132[[#This Row],[ÉTAT]]&amp;Table132[[#This Row],[next move]]</f>
        <v>MVVMEEVVV20</v>
      </c>
    </row>
    <row r="3455" spans="2:9" x14ac:dyDescent="0.25">
      <c r="B3455" t="s">
        <v>1596</v>
      </c>
      <c r="C3455" s="22" t="s">
        <v>31</v>
      </c>
      <c r="D3455">
        <v>3</v>
      </c>
      <c r="E3455">
        <v>2</v>
      </c>
      <c r="G3455" s="31">
        <f>Table132[[#This Row],[nb win]]/Table132[[#This Row],[nb play]]</f>
        <v>0.66666666666666663</v>
      </c>
      <c r="H3455" t="str">
        <f>MID(Table132[[#This Row],[ÉTAT]],VALUE(RIGHT(Table132[[#This Row],[next move]],1))+1+VALUE(LEFT(Table132[[#This Row],[next move]],1))*3,1)</f>
        <v>V</v>
      </c>
      <c r="I3455" t="str">
        <f>Table132[[#This Row],[ÉTAT]]&amp;Table132[[#This Row],[next move]]</f>
        <v>MVVMEEVVV22</v>
      </c>
    </row>
    <row r="3456" spans="2:9" x14ac:dyDescent="0.25">
      <c r="B3456" t="s">
        <v>316</v>
      </c>
      <c r="C3456" s="22" t="s">
        <v>35</v>
      </c>
      <c r="D3456">
        <v>6</v>
      </c>
      <c r="E3456">
        <v>6</v>
      </c>
      <c r="G3456" s="31">
        <f>Table132[[#This Row],[nb win]]/Table132[[#This Row],[nb play]]</f>
        <v>1</v>
      </c>
      <c r="H3456" t="str">
        <f>MID(Table132[[#This Row],[ÉTAT]],VALUE(RIGHT(Table132[[#This Row],[next move]],1))+1+VALUE(LEFT(Table132[[#This Row],[next move]],1))*3,1)</f>
        <v>V</v>
      </c>
      <c r="I3456" t="str">
        <f>Table132[[#This Row],[ÉTAT]]&amp;Table132[[#This Row],[next move]]</f>
        <v>MVVMEEVVE20</v>
      </c>
    </row>
    <row r="3457" spans="2:9" x14ac:dyDescent="0.25">
      <c r="B3457" t="s">
        <v>1654</v>
      </c>
      <c r="C3457" s="22" t="s">
        <v>35</v>
      </c>
      <c r="D3457">
        <v>4</v>
      </c>
      <c r="E3457">
        <v>4</v>
      </c>
      <c r="G3457" s="31">
        <f>Table132[[#This Row],[nb win]]/Table132[[#This Row],[nb play]]</f>
        <v>1</v>
      </c>
      <c r="H3457" t="str">
        <f>MID(Table132[[#This Row],[ÉTAT]],VALUE(RIGHT(Table132[[#This Row],[next move]],1))+1+VALUE(LEFT(Table132[[#This Row],[next move]],1))*3,1)</f>
        <v>V</v>
      </c>
      <c r="I3457" t="str">
        <f>Table132[[#This Row],[ÉTAT]]&amp;Table132[[#This Row],[next move]]</f>
        <v>MVVMEEVEV20</v>
      </c>
    </row>
    <row r="3458" spans="2:9" x14ac:dyDescent="0.25">
      <c r="B3458" t="s">
        <v>1654</v>
      </c>
      <c r="C3458" s="22" t="s">
        <v>31</v>
      </c>
      <c r="D3458">
        <v>1</v>
      </c>
      <c r="G3458" s="25">
        <f>Table132[[#This Row],[nb win]]/Table132[[#This Row],[nb play]]</f>
        <v>0</v>
      </c>
      <c r="H3458" t="str">
        <f>MID(Table132[[#This Row],[ÉTAT]],VALUE(RIGHT(Table132[[#This Row],[next move]],1))+1+VALUE(LEFT(Table132[[#This Row],[next move]],1))*3,1)</f>
        <v>V</v>
      </c>
      <c r="I3458" t="str">
        <f>Table132[[#This Row],[ÉTAT]]&amp;Table132[[#This Row],[next move]]</f>
        <v>MVVMEEVEV22</v>
      </c>
    </row>
    <row r="3459" spans="2:9" x14ac:dyDescent="0.25">
      <c r="B3459" t="s">
        <v>1598</v>
      </c>
      <c r="C3459" s="22" t="s">
        <v>26</v>
      </c>
      <c r="D3459">
        <v>1</v>
      </c>
      <c r="E3459">
        <v>1</v>
      </c>
      <c r="G3459" s="25">
        <f>Table132[[#This Row],[nb win]]/Table132[[#This Row],[nb play]]</f>
        <v>1</v>
      </c>
      <c r="H3459" t="str">
        <f>MID(Table132[[#This Row],[ÉTAT]],VALUE(RIGHT(Table132[[#This Row],[next move]],1))+1+VALUE(LEFT(Table132[[#This Row],[next move]],1))*3,1)</f>
        <v>V</v>
      </c>
      <c r="I3459" t="str">
        <f>Table132[[#This Row],[ÉTAT]]&amp;Table132[[#This Row],[next move]]</f>
        <v>MVVMEEVEM01</v>
      </c>
    </row>
    <row r="3460" spans="2:9" x14ac:dyDescent="0.25">
      <c r="B3460" t="s">
        <v>2058</v>
      </c>
      <c r="C3460" s="22" t="s">
        <v>26</v>
      </c>
      <c r="D3460">
        <v>2</v>
      </c>
      <c r="G3460" s="30">
        <f>Table132[[#This Row],[nb win]]/Table132[[#This Row],[nb play]]</f>
        <v>0</v>
      </c>
      <c r="H3460" t="str">
        <f>MID(Table132[[#This Row],[ÉTAT]],VALUE(RIGHT(Table132[[#This Row],[next move]],1))+1+VALUE(LEFT(Table132[[#This Row],[next move]],1))*3,1)</f>
        <v>V</v>
      </c>
      <c r="I3460" t="str">
        <f>Table132[[#This Row],[ÉTAT]]&amp;Table132[[#This Row],[next move]]</f>
        <v>MVVMEEEVM01</v>
      </c>
    </row>
    <row r="3461" spans="2:9" x14ac:dyDescent="0.25">
      <c r="B3461" t="s">
        <v>2058</v>
      </c>
      <c r="C3461" s="22" t="s">
        <v>22</v>
      </c>
      <c r="D3461">
        <v>1</v>
      </c>
      <c r="G3461" s="25">
        <f>Table132[[#This Row],[nb win]]/Table132[[#This Row],[nb play]]</f>
        <v>0</v>
      </c>
      <c r="H3461" t="str">
        <f>MID(Table132[[#This Row],[ÉTAT]],VALUE(RIGHT(Table132[[#This Row],[next move]],1))+1+VALUE(LEFT(Table132[[#This Row],[next move]],1))*3,1)</f>
        <v>V</v>
      </c>
      <c r="I3461" t="str">
        <f>Table132[[#This Row],[ÉTAT]]&amp;Table132[[#This Row],[next move]]</f>
        <v>MVVMEEEVM21</v>
      </c>
    </row>
    <row r="3462" spans="2:9" x14ac:dyDescent="0.25">
      <c r="B3462" t="s">
        <v>3304</v>
      </c>
      <c r="C3462" s="22" t="s">
        <v>31</v>
      </c>
      <c r="D3462">
        <v>1</v>
      </c>
      <c r="G3462" s="30">
        <f>Table132[[#This Row],[nb win]]/Table132[[#This Row],[nb play]]</f>
        <v>0</v>
      </c>
      <c r="H3462" t="str">
        <f>MID(Table132[[#This Row],[ÉTAT]],VALUE(RIGHT(Table132[[#This Row],[next move]],1))+1+VALUE(LEFT(Table132[[#This Row],[next move]],1))*3,1)</f>
        <v>V</v>
      </c>
      <c r="I3462" t="str">
        <f>Table132[[#This Row],[ÉTAT]]&amp;Table132[[#This Row],[next move]]</f>
        <v>MVVMEEEMV22</v>
      </c>
    </row>
    <row r="3463" spans="2:9" x14ac:dyDescent="0.25">
      <c r="B3463" t="s">
        <v>185</v>
      </c>
      <c r="C3463" s="22" t="s">
        <v>26</v>
      </c>
      <c r="D3463">
        <v>5</v>
      </c>
      <c r="G3463" s="30">
        <f>Table132[[#This Row],[nb win]]/Table132[[#This Row],[nb play]]</f>
        <v>0</v>
      </c>
      <c r="H3463" t="str">
        <f>MID(Table132[[#This Row],[ÉTAT]],VALUE(RIGHT(Table132[[#This Row],[next move]],1))+1+VALUE(LEFT(Table132[[#This Row],[next move]],1))*3,1)</f>
        <v>V</v>
      </c>
      <c r="I3463" t="str">
        <f>Table132[[#This Row],[ÉTAT]]&amp;Table132[[#This Row],[next move]]</f>
        <v>MVVMEEEEM01</v>
      </c>
    </row>
    <row r="3464" spans="2:9" x14ac:dyDescent="0.25">
      <c r="B3464" t="s">
        <v>185</v>
      </c>
      <c r="C3464" s="22" t="s">
        <v>20</v>
      </c>
      <c r="D3464">
        <v>3</v>
      </c>
      <c r="G3464" s="30">
        <f>Table132[[#This Row],[nb win]]/Table132[[#This Row],[nb play]]</f>
        <v>0</v>
      </c>
      <c r="H3464" t="str">
        <f>MID(Table132[[#This Row],[ÉTAT]],VALUE(RIGHT(Table132[[#This Row],[next move]],1))+1+VALUE(LEFT(Table132[[#This Row],[next move]],1))*3,1)</f>
        <v>V</v>
      </c>
      <c r="I3464" t="str">
        <f>Table132[[#This Row],[ÉTAT]]&amp;Table132[[#This Row],[next move]]</f>
        <v>MVVMEEEEM02</v>
      </c>
    </row>
    <row r="3465" spans="2:9" x14ac:dyDescent="0.25">
      <c r="B3465" t="s">
        <v>32</v>
      </c>
      <c r="C3465" s="22" t="s">
        <v>29</v>
      </c>
      <c r="D3465">
        <v>20</v>
      </c>
      <c r="E3465">
        <v>20</v>
      </c>
      <c r="G3465" s="31">
        <f>Table132[[#This Row],[nb win]]/Table132[[#This Row],[nb play]]</f>
        <v>1</v>
      </c>
      <c r="H3465" t="str">
        <f>MID(Table132[[#This Row],[ÉTAT]],VALUE(RIGHT(Table132[[#This Row],[next move]],1))+1+VALUE(LEFT(Table132[[#This Row],[next move]],1))*3,1)</f>
        <v>V</v>
      </c>
      <c r="I3465" t="str">
        <f>Table132[[#This Row],[ÉTAT]]&amp;Table132[[#This Row],[next move]]</f>
        <v>MVVEVVVVV11</v>
      </c>
    </row>
    <row r="3466" spans="2:9" x14ac:dyDescent="0.25">
      <c r="B3466" t="s">
        <v>32</v>
      </c>
      <c r="C3466" s="22" t="s">
        <v>35</v>
      </c>
      <c r="D3466">
        <v>15</v>
      </c>
      <c r="E3466">
        <v>7</v>
      </c>
      <c r="G3466" s="31">
        <f>Table132[[#This Row],[nb win]]/Table132[[#This Row],[nb play]]</f>
        <v>0.46666666666666667</v>
      </c>
      <c r="H3466" t="str">
        <f>MID(Table132[[#This Row],[ÉTAT]],VALUE(RIGHT(Table132[[#This Row],[next move]],1))+1+VALUE(LEFT(Table132[[#This Row],[next move]],1))*3,1)</f>
        <v>V</v>
      </c>
      <c r="I3466" t="str">
        <f>Table132[[#This Row],[ÉTAT]]&amp;Table132[[#This Row],[next move]]</f>
        <v>MVVEVVVVV20</v>
      </c>
    </row>
    <row r="3467" spans="2:9" x14ac:dyDescent="0.25">
      <c r="B3467" t="s">
        <v>651</v>
      </c>
      <c r="C3467" s="22" t="s">
        <v>20</v>
      </c>
      <c r="D3467">
        <v>8</v>
      </c>
      <c r="E3467">
        <v>7</v>
      </c>
      <c r="G3467" s="25">
        <f>Table132[[#This Row],[nb win]]/Table132[[#This Row],[nb play]]</f>
        <v>0.875</v>
      </c>
      <c r="H3467" t="str">
        <f>MID(Table132[[#This Row],[ÉTAT]],VALUE(RIGHT(Table132[[#This Row],[next move]],1))+1+VALUE(LEFT(Table132[[#This Row],[next move]],1))*3,1)</f>
        <v>V</v>
      </c>
      <c r="I3467" t="str">
        <f>Table132[[#This Row],[ÉTAT]]&amp;Table132[[#This Row],[next move]]</f>
        <v>MVVEVVVVE02</v>
      </c>
    </row>
    <row r="3468" spans="2:9" x14ac:dyDescent="0.25">
      <c r="B3468" t="s">
        <v>651</v>
      </c>
      <c r="C3468" s="22" t="s">
        <v>29</v>
      </c>
      <c r="D3468">
        <v>1</v>
      </c>
      <c r="G3468" s="30">
        <f>Table132[[#This Row],[nb win]]/Table132[[#This Row],[nb play]]</f>
        <v>0</v>
      </c>
      <c r="H3468" t="str">
        <f>MID(Table132[[#This Row],[ÉTAT]],VALUE(RIGHT(Table132[[#This Row],[next move]],1))+1+VALUE(LEFT(Table132[[#This Row],[next move]],1))*3,1)</f>
        <v>V</v>
      </c>
      <c r="I3468" t="str">
        <f>Table132[[#This Row],[ÉTAT]]&amp;Table132[[#This Row],[next move]]</f>
        <v>MVVEVVVVE11</v>
      </c>
    </row>
    <row r="3469" spans="2:9" x14ac:dyDescent="0.25">
      <c r="B3469" t="s">
        <v>651</v>
      </c>
      <c r="C3469" s="22" t="s">
        <v>35</v>
      </c>
      <c r="D3469">
        <v>1</v>
      </c>
      <c r="G3469" s="30">
        <f>Table132[[#This Row],[nb win]]/Table132[[#This Row],[nb play]]</f>
        <v>0</v>
      </c>
      <c r="H3469" t="str">
        <f>MID(Table132[[#This Row],[ÉTAT]],VALUE(RIGHT(Table132[[#This Row],[next move]],1))+1+VALUE(LEFT(Table132[[#This Row],[next move]],1))*3,1)</f>
        <v>V</v>
      </c>
      <c r="I3469" t="str">
        <f>Table132[[#This Row],[ÉTAT]]&amp;Table132[[#This Row],[next move]]</f>
        <v>MVVEVVVVE20</v>
      </c>
    </row>
    <row r="3470" spans="2:9" x14ac:dyDescent="0.25">
      <c r="B3470" t="s">
        <v>1751</v>
      </c>
      <c r="C3470" s="22" t="s">
        <v>29</v>
      </c>
      <c r="D3470">
        <v>2</v>
      </c>
      <c r="E3470">
        <v>2</v>
      </c>
      <c r="G3470" s="31">
        <f>Table132[[#This Row],[nb win]]/Table132[[#This Row],[nb play]]</f>
        <v>1</v>
      </c>
      <c r="H3470" t="str">
        <f>MID(Table132[[#This Row],[ÉTAT]],VALUE(RIGHT(Table132[[#This Row],[next move]],1))+1+VALUE(LEFT(Table132[[#This Row],[next move]],1))*3,1)</f>
        <v>V</v>
      </c>
      <c r="I3470" t="str">
        <f>Table132[[#This Row],[ÉTAT]]&amp;Table132[[#This Row],[next move]]</f>
        <v>MVVEVVVME11</v>
      </c>
    </row>
    <row r="3471" spans="2:9" x14ac:dyDescent="0.25">
      <c r="B3471" t="s">
        <v>43</v>
      </c>
      <c r="C3471" s="22" t="s">
        <v>28</v>
      </c>
      <c r="D3471">
        <v>4</v>
      </c>
      <c r="E3471">
        <v>3</v>
      </c>
      <c r="G3471" s="31">
        <f>Table132[[#This Row],[nb win]]/Table132[[#This Row],[nb play]]</f>
        <v>0.75</v>
      </c>
      <c r="H3471" t="str">
        <f>MID(Table132[[#This Row],[ÉTAT]],VALUE(RIGHT(Table132[[#This Row],[next move]],1))+1+VALUE(LEFT(Table132[[#This Row],[next move]],1))*3,1)</f>
        <v>V</v>
      </c>
      <c r="I3471" t="str">
        <f>Table132[[#This Row],[ÉTAT]]&amp;Table132[[#This Row],[next move]]</f>
        <v>MVVEVVVEV12</v>
      </c>
    </row>
    <row r="3472" spans="2:9" x14ac:dyDescent="0.25">
      <c r="B3472" t="s">
        <v>43</v>
      </c>
      <c r="C3472" s="22" t="s">
        <v>35</v>
      </c>
      <c r="D3472">
        <v>2</v>
      </c>
      <c r="E3472">
        <v>2</v>
      </c>
      <c r="G3472" s="31">
        <f>Table132[[#This Row],[nb win]]/Table132[[#This Row],[nb play]]</f>
        <v>1</v>
      </c>
      <c r="H3472" t="str">
        <f>MID(Table132[[#This Row],[ÉTAT]],VALUE(RIGHT(Table132[[#This Row],[next move]],1))+1+VALUE(LEFT(Table132[[#This Row],[next move]],1))*3,1)</f>
        <v>V</v>
      </c>
      <c r="I3472" t="str">
        <f>Table132[[#This Row],[ÉTAT]]&amp;Table132[[#This Row],[next move]]</f>
        <v>MVVEVVVEV20</v>
      </c>
    </row>
    <row r="3473" spans="2:9" x14ac:dyDescent="0.25">
      <c r="B3473" t="s">
        <v>43</v>
      </c>
      <c r="C3473" s="22" t="s">
        <v>31</v>
      </c>
      <c r="D3473">
        <v>2</v>
      </c>
      <c r="G3473" s="30">
        <f>Table132[[#This Row],[nb win]]/Table132[[#This Row],[nb play]]</f>
        <v>0</v>
      </c>
      <c r="H3473" t="str">
        <f>MID(Table132[[#This Row],[ÉTAT]],VALUE(RIGHT(Table132[[#This Row],[next move]],1))+1+VALUE(LEFT(Table132[[#This Row],[next move]],1))*3,1)</f>
        <v>V</v>
      </c>
      <c r="I3473" t="str">
        <f>Table132[[#This Row],[ÉTAT]]&amp;Table132[[#This Row],[next move]]</f>
        <v>MVVEVVVEV22</v>
      </c>
    </row>
    <row r="3474" spans="2:9" x14ac:dyDescent="0.25">
      <c r="B3474" t="s">
        <v>1434</v>
      </c>
      <c r="C3474" s="22" t="s">
        <v>20</v>
      </c>
      <c r="D3474">
        <v>2</v>
      </c>
      <c r="E3474">
        <v>2</v>
      </c>
      <c r="G3474" s="31">
        <f>Table132[[#This Row],[nb win]]/Table132[[#This Row],[nb play]]</f>
        <v>1</v>
      </c>
      <c r="H3474" t="str">
        <f>MID(Table132[[#This Row],[ÉTAT]],VALUE(RIGHT(Table132[[#This Row],[next move]],1))+1+VALUE(LEFT(Table132[[#This Row],[next move]],1))*3,1)</f>
        <v>V</v>
      </c>
      <c r="I3474" t="str">
        <f>Table132[[#This Row],[ÉTAT]]&amp;Table132[[#This Row],[next move]]</f>
        <v>MVVEVVVEM02</v>
      </c>
    </row>
    <row r="3475" spans="2:9" x14ac:dyDescent="0.25">
      <c r="B3475" t="s">
        <v>971</v>
      </c>
      <c r="C3475" s="22" t="s">
        <v>26</v>
      </c>
      <c r="D3475">
        <v>2</v>
      </c>
      <c r="E3475">
        <v>1</v>
      </c>
      <c r="G3475" s="31">
        <f>Table132[[#This Row],[nb win]]/Table132[[#This Row],[nb play]]</f>
        <v>0.5</v>
      </c>
      <c r="H3475" t="str">
        <f>MID(Table132[[#This Row],[ÉTAT]],VALUE(RIGHT(Table132[[#This Row],[next move]],1))+1+VALUE(LEFT(Table132[[#This Row],[next move]],1))*3,1)</f>
        <v>V</v>
      </c>
      <c r="I3475" t="str">
        <f>Table132[[#This Row],[ÉTAT]]&amp;Table132[[#This Row],[next move]]</f>
        <v>MVVEVVMVE01</v>
      </c>
    </row>
    <row r="3476" spans="2:9" x14ac:dyDescent="0.25">
      <c r="B3476" t="s">
        <v>971</v>
      </c>
      <c r="C3476" s="22" t="s">
        <v>28</v>
      </c>
      <c r="D3476">
        <v>1</v>
      </c>
      <c r="E3476">
        <v>1</v>
      </c>
      <c r="G3476" s="25">
        <f>Table132[[#This Row],[nb win]]/Table132[[#This Row],[nb play]]</f>
        <v>1</v>
      </c>
      <c r="H3476" t="str">
        <f>MID(Table132[[#This Row],[ÉTAT]],VALUE(RIGHT(Table132[[#This Row],[next move]],1))+1+VALUE(LEFT(Table132[[#This Row],[next move]],1))*3,1)</f>
        <v>V</v>
      </c>
      <c r="I3476" t="str">
        <f>Table132[[#This Row],[ÉTAT]]&amp;Table132[[#This Row],[next move]]</f>
        <v>MVVEVVMVE12</v>
      </c>
    </row>
    <row r="3477" spans="2:9" x14ac:dyDescent="0.25">
      <c r="B3477" t="s">
        <v>971</v>
      </c>
      <c r="C3477" s="22" t="s">
        <v>22</v>
      </c>
      <c r="D3477">
        <v>1</v>
      </c>
      <c r="G3477" s="25">
        <f>Table132[[#This Row],[nb win]]/Table132[[#This Row],[nb play]]</f>
        <v>0</v>
      </c>
      <c r="H3477" t="str">
        <f>MID(Table132[[#This Row],[ÉTAT]],VALUE(RIGHT(Table132[[#This Row],[next move]],1))+1+VALUE(LEFT(Table132[[#This Row],[next move]],1))*3,1)</f>
        <v>V</v>
      </c>
      <c r="I3477" t="str">
        <f>Table132[[#This Row],[ÉTAT]]&amp;Table132[[#This Row],[next move]]</f>
        <v>MVVEVVMVE21</v>
      </c>
    </row>
    <row r="3478" spans="2:9" x14ac:dyDescent="0.25">
      <c r="B3478" t="s">
        <v>595</v>
      </c>
      <c r="C3478" s="22" t="s">
        <v>26</v>
      </c>
      <c r="D3478">
        <v>2</v>
      </c>
      <c r="E3478">
        <v>2</v>
      </c>
      <c r="G3478" s="31">
        <f>Table132[[#This Row],[nb win]]/Table132[[#This Row],[nb play]]</f>
        <v>1</v>
      </c>
      <c r="H3478" t="str">
        <f>MID(Table132[[#This Row],[ÉTAT]],VALUE(RIGHT(Table132[[#This Row],[next move]],1))+1+VALUE(LEFT(Table132[[#This Row],[next move]],1))*3,1)</f>
        <v>V</v>
      </c>
      <c r="I3478" t="str">
        <f>Table132[[#This Row],[ÉTAT]]&amp;Table132[[#This Row],[next move]]</f>
        <v>MVVEVVMEV01</v>
      </c>
    </row>
    <row r="3479" spans="2:9" x14ac:dyDescent="0.25">
      <c r="B3479" t="s">
        <v>595</v>
      </c>
      <c r="C3479" s="22" t="s">
        <v>31</v>
      </c>
      <c r="D3479">
        <v>3</v>
      </c>
      <c r="E3479">
        <v>1</v>
      </c>
      <c r="G3479" s="30">
        <f>Table132[[#This Row],[nb win]]/Table132[[#This Row],[nb play]]</f>
        <v>0.33333333333333331</v>
      </c>
      <c r="H3479" t="str">
        <f>MID(Table132[[#This Row],[ÉTAT]],VALUE(RIGHT(Table132[[#This Row],[next move]],1))+1+VALUE(LEFT(Table132[[#This Row],[next move]],1))*3,1)</f>
        <v>V</v>
      </c>
      <c r="I3479" t="str">
        <f>Table132[[#This Row],[ÉTAT]]&amp;Table132[[#This Row],[next move]]</f>
        <v>MVVEVVMEV22</v>
      </c>
    </row>
    <row r="3480" spans="2:9" x14ac:dyDescent="0.25">
      <c r="B3480" t="s">
        <v>2999</v>
      </c>
      <c r="C3480" s="22" t="s">
        <v>26</v>
      </c>
      <c r="D3480">
        <v>1</v>
      </c>
      <c r="E3480">
        <v>1</v>
      </c>
      <c r="G3480" s="25">
        <f>Table132[[#This Row],[nb win]]/Table132[[#This Row],[nb play]]</f>
        <v>1</v>
      </c>
      <c r="H3480" t="str">
        <f>MID(Table132[[#This Row],[ÉTAT]],VALUE(RIGHT(Table132[[#This Row],[next move]],1))+1+VALUE(LEFT(Table132[[#This Row],[next move]],1))*3,1)</f>
        <v>V</v>
      </c>
      <c r="I3480" t="str">
        <f>Table132[[#This Row],[ÉTAT]]&amp;Table132[[#This Row],[next move]]</f>
        <v>MVVEVVMEE01</v>
      </c>
    </row>
    <row r="3481" spans="2:9" x14ac:dyDescent="0.25">
      <c r="B3481" t="s">
        <v>768</v>
      </c>
      <c r="C3481" s="22" t="s">
        <v>26</v>
      </c>
      <c r="D3481">
        <v>6</v>
      </c>
      <c r="E3481">
        <v>5</v>
      </c>
      <c r="G3481" s="31">
        <f>Table132[[#This Row],[nb win]]/Table132[[#This Row],[nb play]]</f>
        <v>0.83333333333333337</v>
      </c>
      <c r="H3481" t="str">
        <f>MID(Table132[[#This Row],[ÉTAT]],VALUE(RIGHT(Table132[[#This Row],[next move]],1))+1+VALUE(LEFT(Table132[[#This Row],[next move]],1))*3,1)</f>
        <v>V</v>
      </c>
      <c r="I3481" t="str">
        <f>Table132[[#This Row],[ÉTAT]]&amp;Table132[[#This Row],[next move]]</f>
        <v>MVVEVVEVV01</v>
      </c>
    </row>
    <row r="3482" spans="2:9" x14ac:dyDescent="0.25">
      <c r="B3482" t="s">
        <v>768</v>
      </c>
      <c r="C3482" s="22" t="s">
        <v>20</v>
      </c>
      <c r="D3482">
        <v>6</v>
      </c>
      <c r="E3482">
        <v>6</v>
      </c>
      <c r="G3482" s="31">
        <f>Table132[[#This Row],[nb win]]/Table132[[#This Row],[nb play]]</f>
        <v>1</v>
      </c>
      <c r="H3482" t="str">
        <f>MID(Table132[[#This Row],[ÉTAT]],VALUE(RIGHT(Table132[[#This Row],[next move]],1))+1+VALUE(LEFT(Table132[[#This Row],[next move]],1))*3,1)</f>
        <v>V</v>
      </c>
      <c r="I3482" t="str">
        <f>Table132[[#This Row],[ÉTAT]]&amp;Table132[[#This Row],[next move]]</f>
        <v>MVVEVVEVV02</v>
      </c>
    </row>
    <row r="3483" spans="2:9" x14ac:dyDescent="0.25">
      <c r="B3483" t="s">
        <v>768</v>
      </c>
      <c r="C3483" s="22" t="s">
        <v>29</v>
      </c>
      <c r="D3483">
        <v>4</v>
      </c>
      <c r="E3483">
        <v>3</v>
      </c>
      <c r="G3483" s="31">
        <f>Table132[[#This Row],[nb win]]/Table132[[#This Row],[nb play]]</f>
        <v>0.75</v>
      </c>
      <c r="H3483" t="str">
        <f>MID(Table132[[#This Row],[ÉTAT]],VALUE(RIGHT(Table132[[#This Row],[next move]],1))+1+VALUE(LEFT(Table132[[#This Row],[next move]],1))*3,1)</f>
        <v>V</v>
      </c>
      <c r="I3483" t="str">
        <f>Table132[[#This Row],[ÉTAT]]&amp;Table132[[#This Row],[next move]]</f>
        <v>MVVEVVEVV11</v>
      </c>
    </row>
    <row r="3484" spans="2:9" x14ac:dyDescent="0.25">
      <c r="B3484" t="s">
        <v>768</v>
      </c>
      <c r="C3484" s="22" t="s">
        <v>28</v>
      </c>
      <c r="D3484">
        <v>4</v>
      </c>
      <c r="E3484">
        <v>2</v>
      </c>
      <c r="G3484" s="31">
        <f>Table132[[#This Row],[nb win]]/Table132[[#This Row],[nb play]]</f>
        <v>0.5</v>
      </c>
      <c r="H3484" t="str">
        <f>MID(Table132[[#This Row],[ÉTAT]],VALUE(RIGHT(Table132[[#This Row],[next move]],1))+1+VALUE(LEFT(Table132[[#This Row],[next move]],1))*3,1)</f>
        <v>V</v>
      </c>
      <c r="I3484" t="str">
        <f>Table132[[#This Row],[ÉTAT]]&amp;Table132[[#This Row],[next move]]</f>
        <v>MVVEVVEVV12</v>
      </c>
    </row>
    <row r="3485" spans="2:9" x14ac:dyDescent="0.25">
      <c r="B3485" t="s">
        <v>768</v>
      </c>
      <c r="C3485" s="22" t="s">
        <v>31</v>
      </c>
      <c r="D3485">
        <v>9</v>
      </c>
      <c r="E3485">
        <v>6</v>
      </c>
      <c r="G3485" s="31">
        <f>Table132[[#This Row],[nb win]]/Table132[[#This Row],[nb play]]</f>
        <v>0.66666666666666663</v>
      </c>
      <c r="H3485" t="str">
        <f>MID(Table132[[#This Row],[ÉTAT]],VALUE(RIGHT(Table132[[#This Row],[next move]],1))+1+VALUE(LEFT(Table132[[#This Row],[next move]],1))*3,1)</f>
        <v>V</v>
      </c>
      <c r="I3485" t="str">
        <f>Table132[[#This Row],[ÉTAT]]&amp;Table132[[#This Row],[next move]]</f>
        <v>MVVEVVEVV22</v>
      </c>
    </row>
    <row r="3486" spans="2:9" x14ac:dyDescent="0.25">
      <c r="B3486" t="s">
        <v>1283</v>
      </c>
      <c r="C3486" s="22" t="s">
        <v>20</v>
      </c>
      <c r="D3486">
        <v>3</v>
      </c>
      <c r="E3486">
        <v>3</v>
      </c>
      <c r="G3486" s="25">
        <f>Table132[[#This Row],[nb win]]/Table132[[#This Row],[nb play]]</f>
        <v>1</v>
      </c>
      <c r="H3486" t="str">
        <f>MID(Table132[[#This Row],[ÉTAT]],VALUE(RIGHT(Table132[[#This Row],[next move]],1))+1+VALUE(LEFT(Table132[[#This Row],[next move]],1))*3,1)</f>
        <v>V</v>
      </c>
      <c r="I3486" t="str">
        <f>Table132[[#This Row],[ÉTAT]]&amp;Table132[[#This Row],[next move]]</f>
        <v>MVVEVVEMV02</v>
      </c>
    </row>
    <row r="3487" spans="2:9" x14ac:dyDescent="0.25">
      <c r="B3487" t="s">
        <v>997</v>
      </c>
      <c r="C3487" s="22" t="s">
        <v>29</v>
      </c>
      <c r="D3487">
        <v>6</v>
      </c>
      <c r="E3487">
        <v>6</v>
      </c>
      <c r="G3487" s="31">
        <f>Table132[[#This Row],[nb win]]/Table132[[#This Row],[nb play]]</f>
        <v>1</v>
      </c>
      <c r="H3487" t="str">
        <f>MID(Table132[[#This Row],[ÉTAT]],VALUE(RIGHT(Table132[[#This Row],[next move]],1))+1+VALUE(LEFT(Table132[[#This Row],[next move]],1))*3,1)</f>
        <v>V</v>
      </c>
      <c r="I3487" t="str">
        <f>Table132[[#This Row],[ÉTAT]]&amp;Table132[[#This Row],[next move]]</f>
        <v>MVVEVVEEM11</v>
      </c>
    </row>
    <row r="3488" spans="2:9" x14ac:dyDescent="0.25">
      <c r="B3488" t="s">
        <v>691</v>
      </c>
      <c r="C3488" s="22" t="s">
        <v>20</v>
      </c>
      <c r="D3488">
        <v>2</v>
      </c>
      <c r="E3488">
        <v>2</v>
      </c>
      <c r="G3488" s="25">
        <f>Table132[[#This Row],[nb win]]/Table132[[#This Row],[nb play]]</f>
        <v>1</v>
      </c>
      <c r="H3488" t="str">
        <f>MID(Table132[[#This Row],[ÉTAT]],VALUE(RIGHT(Table132[[#This Row],[next move]],1))+1+VALUE(LEFT(Table132[[#This Row],[next move]],1))*3,1)</f>
        <v>V</v>
      </c>
      <c r="I3488" t="str">
        <f>Table132[[#This Row],[ÉTAT]]&amp;Table132[[#This Row],[next move]]</f>
        <v>MVVEVMVVE02</v>
      </c>
    </row>
    <row r="3489" spans="2:9" x14ac:dyDescent="0.25">
      <c r="B3489" t="s">
        <v>3020</v>
      </c>
      <c r="C3489" s="22" t="s">
        <v>26</v>
      </c>
      <c r="D3489">
        <v>1</v>
      </c>
      <c r="E3489">
        <v>1</v>
      </c>
      <c r="G3489" s="25">
        <f>Table132[[#This Row],[nb win]]/Table132[[#This Row],[nb play]]</f>
        <v>1</v>
      </c>
      <c r="H3489" t="str">
        <f>MID(Table132[[#This Row],[ÉTAT]],VALUE(RIGHT(Table132[[#This Row],[next move]],1))+1+VALUE(LEFT(Table132[[#This Row],[next move]],1))*3,1)</f>
        <v>V</v>
      </c>
      <c r="I3489" t="str">
        <f>Table132[[#This Row],[ÉTAT]]&amp;Table132[[#This Row],[next move]]</f>
        <v>MVVEVMVEV01</v>
      </c>
    </row>
    <row r="3490" spans="2:9" x14ac:dyDescent="0.25">
      <c r="B3490" t="s">
        <v>1845</v>
      </c>
      <c r="C3490" s="22" t="s">
        <v>20</v>
      </c>
      <c r="D3490">
        <v>1</v>
      </c>
      <c r="E3490">
        <v>1</v>
      </c>
      <c r="G3490" s="25">
        <f>Table132[[#This Row],[nb win]]/Table132[[#This Row],[nb play]]</f>
        <v>1</v>
      </c>
      <c r="H3490" t="str">
        <f>MID(Table132[[#This Row],[ÉTAT]],VALUE(RIGHT(Table132[[#This Row],[next move]],1))+1+VALUE(LEFT(Table132[[#This Row],[next move]],1))*3,1)</f>
        <v>V</v>
      </c>
      <c r="I3490" t="str">
        <f>Table132[[#This Row],[ÉTAT]]&amp;Table132[[#This Row],[next move]]</f>
        <v>MVVEVMMEE02</v>
      </c>
    </row>
    <row r="3491" spans="2:9" x14ac:dyDescent="0.25">
      <c r="B3491" t="s">
        <v>2460</v>
      </c>
      <c r="C3491" s="22" t="s">
        <v>31</v>
      </c>
      <c r="D3491">
        <v>2</v>
      </c>
      <c r="E3491">
        <v>2</v>
      </c>
      <c r="G3491" s="25">
        <f>Table132[[#This Row],[nb win]]/Table132[[#This Row],[nb play]]</f>
        <v>1</v>
      </c>
      <c r="H3491" t="str">
        <f>MID(Table132[[#This Row],[ÉTAT]],VALUE(RIGHT(Table132[[#This Row],[next move]],1))+1+VALUE(LEFT(Table132[[#This Row],[next move]],1))*3,1)</f>
        <v>V</v>
      </c>
      <c r="I3491" t="str">
        <f>Table132[[#This Row],[ÉTAT]]&amp;Table132[[#This Row],[next move]]</f>
        <v>MVVEVMEVV22</v>
      </c>
    </row>
    <row r="3492" spans="2:9" x14ac:dyDescent="0.25">
      <c r="B3492" t="s">
        <v>3213</v>
      </c>
      <c r="C3492" s="22" t="s">
        <v>29</v>
      </c>
      <c r="D3492">
        <v>1</v>
      </c>
      <c r="G3492" s="30">
        <f>Table132[[#This Row],[nb win]]/Table132[[#This Row],[nb play]]</f>
        <v>0</v>
      </c>
      <c r="H3492" t="str">
        <f>MID(Table132[[#This Row],[ÉTAT]],VALUE(RIGHT(Table132[[#This Row],[next move]],1))+1+VALUE(LEFT(Table132[[#This Row],[next move]],1))*3,1)</f>
        <v>V</v>
      </c>
      <c r="I3492" t="str">
        <f>Table132[[#This Row],[ÉTAT]]&amp;Table132[[#This Row],[next move]]</f>
        <v>MVVEVMEVE11</v>
      </c>
    </row>
    <row r="3493" spans="2:9" x14ac:dyDescent="0.25">
      <c r="B3493" t="s">
        <v>365</v>
      </c>
      <c r="C3493" s="22" t="s">
        <v>26</v>
      </c>
      <c r="D3493">
        <v>2</v>
      </c>
      <c r="E3493">
        <v>2</v>
      </c>
      <c r="G3493" s="31">
        <f>Table132[[#This Row],[nb win]]/Table132[[#This Row],[nb play]]</f>
        <v>1</v>
      </c>
      <c r="H3493" t="str">
        <f>MID(Table132[[#This Row],[ÉTAT]],VALUE(RIGHT(Table132[[#This Row],[next move]],1))+1+VALUE(LEFT(Table132[[#This Row],[next move]],1))*3,1)</f>
        <v>V</v>
      </c>
      <c r="I3493" t="str">
        <f>Table132[[#This Row],[ÉTAT]]&amp;Table132[[#This Row],[next move]]</f>
        <v>MVVEVMEME01</v>
      </c>
    </row>
    <row r="3494" spans="2:9" x14ac:dyDescent="0.25">
      <c r="B3494" t="s">
        <v>982</v>
      </c>
      <c r="C3494" s="22" t="s">
        <v>20</v>
      </c>
      <c r="D3494">
        <v>4</v>
      </c>
      <c r="E3494">
        <v>3</v>
      </c>
      <c r="G3494" s="30">
        <f>Table132[[#This Row],[nb win]]/Table132[[#This Row],[nb play]]</f>
        <v>0.75</v>
      </c>
      <c r="H3494" t="str">
        <f>MID(Table132[[#This Row],[ÉTAT]],VALUE(RIGHT(Table132[[#This Row],[next move]],1))+1+VALUE(LEFT(Table132[[#This Row],[next move]],1))*3,1)</f>
        <v>V</v>
      </c>
      <c r="I3494" t="str">
        <f>Table132[[#This Row],[ÉTAT]]&amp;Table132[[#This Row],[next move]]</f>
        <v>MVVEVMEEV02</v>
      </c>
    </row>
    <row r="3495" spans="2:9" x14ac:dyDescent="0.25">
      <c r="B3495" t="s">
        <v>2909</v>
      </c>
      <c r="C3495" s="22" t="s">
        <v>29</v>
      </c>
      <c r="D3495">
        <v>1</v>
      </c>
      <c r="E3495">
        <v>1</v>
      </c>
      <c r="G3495" s="25">
        <f>Table132[[#This Row],[nb win]]/Table132[[#This Row],[nb play]]</f>
        <v>1</v>
      </c>
      <c r="H3495" t="str">
        <f>MID(Table132[[#This Row],[ÉTAT]],VALUE(RIGHT(Table132[[#This Row],[next move]],1))+1+VALUE(LEFT(Table132[[#This Row],[next move]],1))*3,1)</f>
        <v>V</v>
      </c>
      <c r="I3495" t="str">
        <f>Table132[[#This Row],[ÉTAT]]&amp;Table132[[#This Row],[next move]]</f>
        <v>MVVEVMEEM11</v>
      </c>
    </row>
    <row r="3496" spans="2:9" x14ac:dyDescent="0.25">
      <c r="B3496" t="s">
        <v>668</v>
      </c>
      <c r="C3496" s="22" t="s">
        <v>26</v>
      </c>
      <c r="D3496">
        <v>16</v>
      </c>
      <c r="G3496" s="30">
        <f>Table132[[#This Row],[nb win]]/Table132[[#This Row],[nb play]]</f>
        <v>0</v>
      </c>
      <c r="H3496" t="str">
        <f>MID(Table132[[#This Row],[ÉTAT]],VALUE(RIGHT(Table132[[#This Row],[next move]],1))+1+VALUE(LEFT(Table132[[#This Row],[next move]],1))*3,1)</f>
        <v>V</v>
      </c>
      <c r="I3496" t="str">
        <f>Table132[[#This Row],[ÉTAT]]&amp;Table132[[#This Row],[next move]]</f>
        <v>MVVEVEVVV01</v>
      </c>
    </row>
    <row r="3497" spans="2:9" x14ac:dyDescent="0.25">
      <c r="B3497" t="s">
        <v>668</v>
      </c>
      <c r="C3497" s="22" t="s">
        <v>20</v>
      </c>
      <c r="D3497">
        <v>12</v>
      </c>
      <c r="G3497" s="30">
        <f>Table132[[#This Row],[nb win]]/Table132[[#This Row],[nb play]]</f>
        <v>0</v>
      </c>
      <c r="H3497" t="str">
        <f>MID(Table132[[#This Row],[ÉTAT]],VALUE(RIGHT(Table132[[#This Row],[next move]],1))+1+VALUE(LEFT(Table132[[#This Row],[next move]],1))*3,1)</f>
        <v>V</v>
      </c>
      <c r="I3497" t="str">
        <f>Table132[[#This Row],[ÉTAT]]&amp;Table132[[#This Row],[next move]]</f>
        <v>MVVEVEVVV02</v>
      </c>
    </row>
    <row r="3498" spans="2:9" x14ac:dyDescent="0.25">
      <c r="B3498" t="s">
        <v>668</v>
      </c>
      <c r="C3498" s="22" t="s">
        <v>29</v>
      </c>
      <c r="D3498">
        <v>7</v>
      </c>
      <c r="E3498">
        <v>6</v>
      </c>
      <c r="G3498" s="31">
        <f>Table132[[#This Row],[nb win]]/Table132[[#This Row],[nb play]]</f>
        <v>0.8571428571428571</v>
      </c>
      <c r="H3498" t="str">
        <f>MID(Table132[[#This Row],[ÉTAT]],VALUE(RIGHT(Table132[[#This Row],[next move]],1))+1+VALUE(LEFT(Table132[[#This Row],[next move]],1))*3,1)</f>
        <v>V</v>
      </c>
      <c r="I3498" t="str">
        <f>Table132[[#This Row],[ÉTAT]]&amp;Table132[[#This Row],[next move]]</f>
        <v>MVVEVEVVV11</v>
      </c>
    </row>
    <row r="3499" spans="2:9" x14ac:dyDescent="0.25">
      <c r="B3499" t="s">
        <v>668</v>
      </c>
      <c r="C3499" s="22" t="s">
        <v>35</v>
      </c>
      <c r="D3499">
        <v>15</v>
      </c>
      <c r="G3499" s="30">
        <f>Table132[[#This Row],[nb win]]/Table132[[#This Row],[nb play]]</f>
        <v>0</v>
      </c>
      <c r="H3499" t="str">
        <f>MID(Table132[[#This Row],[ÉTAT]],VALUE(RIGHT(Table132[[#This Row],[next move]],1))+1+VALUE(LEFT(Table132[[#This Row],[next move]],1))*3,1)</f>
        <v>V</v>
      </c>
      <c r="I3499" t="str">
        <f>Table132[[#This Row],[ÉTAT]]&amp;Table132[[#This Row],[next move]]</f>
        <v>MVVEVEVVV20</v>
      </c>
    </row>
    <row r="3500" spans="2:9" x14ac:dyDescent="0.25">
      <c r="B3500" t="s">
        <v>668</v>
      </c>
      <c r="C3500" s="22" t="s">
        <v>22</v>
      </c>
      <c r="D3500">
        <v>1</v>
      </c>
      <c r="G3500" s="25">
        <f>Table132[[#This Row],[nb win]]/Table132[[#This Row],[nb play]]</f>
        <v>0</v>
      </c>
      <c r="H3500" t="str">
        <f>MID(Table132[[#This Row],[ÉTAT]],VALUE(RIGHT(Table132[[#This Row],[next move]],1))+1+VALUE(LEFT(Table132[[#This Row],[next move]],1))*3,1)</f>
        <v>V</v>
      </c>
      <c r="I3500" t="str">
        <f>Table132[[#This Row],[ÉTAT]]&amp;Table132[[#This Row],[next move]]</f>
        <v>MVVEVEVVV21</v>
      </c>
    </row>
    <row r="3501" spans="2:9" x14ac:dyDescent="0.25">
      <c r="B3501" t="s">
        <v>668</v>
      </c>
      <c r="C3501" s="22" t="s">
        <v>31</v>
      </c>
      <c r="D3501">
        <v>3</v>
      </c>
      <c r="E3501">
        <v>2</v>
      </c>
      <c r="G3501" s="31">
        <f>Table132[[#This Row],[nb win]]/Table132[[#This Row],[nb play]]</f>
        <v>0.66666666666666663</v>
      </c>
      <c r="H3501" t="str">
        <f>MID(Table132[[#This Row],[ÉTAT]],VALUE(RIGHT(Table132[[#This Row],[next move]],1))+1+VALUE(LEFT(Table132[[#This Row],[next move]],1))*3,1)</f>
        <v>V</v>
      </c>
      <c r="I3501" t="str">
        <f>Table132[[#This Row],[ÉTAT]]&amp;Table132[[#This Row],[next move]]</f>
        <v>MVVEVEVVV22</v>
      </c>
    </row>
    <row r="3502" spans="2:9" x14ac:dyDescent="0.25">
      <c r="B3502" t="s">
        <v>1747</v>
      </c>
      <c r="C3502" s="22" t="s">
        <v>20</v>
      </c>
      <c r="D3502">
        <v>2</v>
      </c>
      <c r="G3502" s="30">
        <f>Table132[[#This Row],[nb win]]/Table132[[#This Row],[nb play]]</f>
        <v>0</v>
      </c>
      <c r="H3502" t="str">
        <f>MID(Table132[[#This Row],[ÉTAT]],VALUE(RIGHT(Table132[[#This Row],[next move]],1))+1+VALUE(LEFT(Table132[[#This Row],[next move]],1))*3,1)</f>
        <v>V</v>
      </c>
      <c r="I3502" t="str">
        <f>Table132[[#This Row],[ÉTAT]]&amp;Table132[[#This Row],[next move]]</f>
        <v>MVVEVEVVM02</v>
      </c>
    </row>
    <row r="3503" spans="2:9" x14ac:dyDescent="0.25">
      <c r="B3503" t="s">
        <v>1747</v>
      </c>
      <c r="C3503" s="22" t="s">
        <v>29</v>
      </c>
      <c r="D3503">
        <v>2</v>
      </c>
      <c r="E3503">
        <v>2</v>
      </c>
      <c r="G3503" s="31">
        <f>Table132[[#This Row],[nb win]]/Table132[[#This Row],[nb play]]</f>
        <v>1</v>
      </c>
      <c r="H3503" t="str">
        <f>MID(Table132[[#This Row],[ÉTAT]],VALUE(RIGHT(Table132[[#This Row],[next move]],1))+1+VALUE(LEFT(Table132[[#This Row],[next move]],1))*3,1)</f>
        <v>V</v>
      </c>
      <c r="I3503" t="str">
        <f>Table132[[#This Row],[ÉTAT]]&amp;Table132[[#This Row],[next move]]</f>
        <v>MVVEVEVVM11</v>
      </c>
    </row>
    <row r="3504" spans="2:9" x14ac:dyDescent="0.25">
      <c r="B3504" t="s">
        <v>2463</v>
      </c>
      <c r="C3504" s="22" t="s">
        <v>20</v>
      </c>
      <c r="D3504">
        <v>1</v>
      </c>
      <c r="G3504" s="25">
        <f>Table132[[#This Row],[nb win]]/Table132[[#This Row],[nb play]]</f>
        <v>0</v>
      </c>
      <c r="H3504" t="str">
        <f>MID(Table132[[#This Row],[ÉTAT]],VALUE(RIGHT(Table132[[#This Row],[next move]],1))+1+VALUE(LEFT(Table132[[#This Row],[next move]],1))*3,1)</f>
        <v>V</v>
      </c>
      <c r="I3504" t="str">
        <f>Table132[[#This Row],[ÉTAT]]&amp;Table132[[#This Row],[next move]]</f>
        <v>MVVEVEVMV02</v>
      </c>
    </row>
    <row r="3505" spans="2:9" x14ac:dyDescent="0.25">
      <c r="B3505" t="s">
        <v>2463</v>
      </c>
      <c r="C3505" s="22" t="s">
        <v>29</v>
      </c>
      <c r="D3505">
        <v>1</v>
      </c>
      <c r="E3505">
        <v>1</v>
      </c>
      <c r="G3505" s="31">
        <f>Table132[[#This Row],[nb win]]/Table132[[#This Row],[nb play]]</f>
        <v>1</v>
      </c>
      <c r="H3505" t="str">
        <f>MID(Table132[[#This Row],[ÉTAT]],VALUE(RIGHT(Table132[[#This Row],[next move]],1))+1+VALUE(LEFT(Table132[[#This Row],[next move]],1))*3,1)</f>
        <v>V</v>
      </c>
      <c r="I3505" t="str">
        <f>Table132[[#This Row],[ÉTAT]]&amp;Table132[[#This Row],[next move]]</f>
        <v>MVVEVEVMV11</v>
      </c>
    </row>
    <row r="3506" spans="2:9" x14ac:dyDescent="0.25">
      <c r="B3506" t="s">
        <v>2272</v>
      </c>
      <c r="C3506" s="22" t="s">
        <v>26</v>
      </c>
      <c r="D3506">
        <v>1</v>
      </c>
      <c r="G3506" s="30">
        <f>Table132[[#This Row],[nb win]]/Table132[[#This Row],[nb play]]</f>
        <v>0</v>
      </c>
      <c r="H3506" t="str">
        <f>MID(Table132[[#This Row],[ÉTAT]],VALUE(RIGHT(Table132[[#This Row],[next move]],1))+1+VALUE(LEFT(Table132[[#This Row],[next move]],1))*3,1)</f>
        <v>V</v>
      </c>
      <c r="I3506" t="str">
        <f>Table132[[#This Row],[ÉTAT]]&amp;Table132[[#This Row],[next move]]</f>
        <v>MVVEVEVME01</v>
      </c>
    </row>
    <row r="3507" spans="2:9" x14ac:dyDescent="0.25">
      <c r="B3507" t="s">
        <v>2272</v>
      </c>
      <c r="C3507" s="22" t="s">
        <v>20</v>
      </c>
      <c r="D3507">
        <v>1</v>
      </c>
      <c r="G3507" s="25">
        <f>Table132[[#This Row],[nb win]]/Table132[[#This Row],[nb play]]</f>
        <v>0</v>
      </c>
      <c r="H3507" t="str">
        <f>MID(Table132[[#This Row],[ÉTAT]],VALUE(RIGHT(Table132[[#This Row],[next move]],1))+1+VALUE(LEFT(Table132[[#This Row],[next move]],1))*3,1)</f>
        <v>V</v>
      </c>
      <c r="I3507" t="str">
        <f>Table132[[#This Row],[ÉTAT]]&amp;Table132[[#This Row],[next move]]</f>
        <v>MVVEVEVME02</v>
      </c>
    </row>
    <row r="3508" spans="2:9" x14ac:dyDescent="0.25">
      <c r="B3508" t="s">
        <v>2272</v>
      </c>
      <c r="C3508" s="22" t="s">
        <v>35</v>
      </c>
      <c r="D3508">
        <v>1</v>
      </c>
      <c r="G3508" s="25">
        <f>Table132[[#This Row],[nb win]]/Table132[[#This Row],[nb play]]</f>
        <v>0</v>
      </c>
      <c r="H3508" t="str">
        <f>MID(Table132[[#This Row],[ÉTAT]],VALUE(RIGHT(Table132[[#This Row],[next move]],1))+1+VALUE(LEFT(Table132[[#This Row],[next move]],1))*3,1)</f>
        <v>V</v>
      </c>
      <c r="I3508" t="str">
        <f>Table132[[#This Row],[ÉTAT]]&amp;Table132[[#This Row],[next move]]</f>
        <v>MVVEVEVME20</v>
      </c>
    </row>
    <row r="3509" spans="2:9" x14ac:dyDescent="0.25">
      <c r="B3509" t="s">
        <v>2468</v>
      </c>
      <c r="C3509" s="22" t="s">
        <v>20</v>
      </c>
      <c r="D3509">
        <v>4</v>
      </c>
      <c r="G3509" s="30">
        <f>Table132[[#This Row],[nb win]]/Table132[[#This Row],[nb play]]</f>
        <v>0</v>
      </c>
      <c r="H3509" t="str">
        <f>MID(Table132[[#This Row],[ÉTAT]],VALUE(RIGHT(Table132[[#This Row],[next move]],1))+1+VALUE(LEFT(Table132[[#This Row],[next move]],1))*3,1)</f>
        <v>V</v>
      </c>
      <c r="I3509" t="str">
        <f>Table132[[#This Row],[ÉTAT]]&amp;Table132[[#This Row],[next move]]</f>
        <v>MVVEVEMVV02</v>
      </c>
    </row>
    <row r="3510" spans="2:9" x14ac:dyDescent="0.25">
      <c r="B3510" t="s">
        <v>2468</v>
      </c>
      <c r="C3510" s="22" t="s">
        <v>29</v>
      </c>
      <c r="D3510">
        <v>3</v>
      </c>
      <c r="E3510">
        <v>3</v>
      </c>
      <c r="G3510" s="31">
        <f>Table132[[#This Row],[nb win]]/Table132[[#This Row],[nb play]]</f>
        <v>1</v>
      </c>
      <c r="H3510" t="str">
        <f>MID(Table132[[#This Row],[ÉTAT]],VALUE(RIGHT(Table132[[#This Row],[next move]],1))+1+VALUE(LEFT(Table132[[#This Row],[next move]],1))*3,1)</f>
        <v>V</v>
      </c>
      <c r="I3510" t="str">
        <f>Table132[[#This Row],[ÉTAT]]&amp;Table132[[#This Row],[next move]]</f>
        <v>MVVEVEMVV11</v>
      </c>
    </row>
    <row r="3511" spans="2:9" x14ac:dyDescent="0.25">
      <c r="B3511" t="s">
        <v>2468</v>
      </c>
      <c r="C3511" s="22" t="s">
        <v>22</v>
      </c>
      <c r="D3511">
        <v>2</v>
      </c>
      <c r="G3511" s="30">
        <f>Table132[[#This Row],[nb win]]/Table132[[#This Row],[nb play]]</f>
        <v>0</v>
      </c>
      <c r="H3511" t="str">
        <f>MID(Table132[[#This Row],[ÉTAT]],VALUE(RIGHT(Table132[[#This Row],[next move]],1))+1+VALUE(LEFT(Table132[[#This Row],[next move]],1))*3,1)</f>
        <v>V</v>
      </c>
      <c r="I3511" t="str">
        <f>Table132[[#This Row],[ÉTAT]]&amp;Table132[[#This Row],[next move]]</f>
        <v>MVVEVEMVV21</v>
      </c>
    </row>
    <row r="3512" spans="2:9" x14ac:dyDescent="0.25">
      <c r="B3512" t="s">
        <v>3293</v>
      </c>
      <c r="C3512" s="22" t="s">
        <v>26</v>
      </c>
      <c r="D3512">
        <v>1</v>
      </c>
      <c r="G3512" s="30">
        <f>Table132[[#This Row],[nb win]]/Table132[[#This Row],[nb play]]</f>
        <v>0</v>
      </c>
      <c r="H3512" t="str">
        <f>MID(Table132[[#This Row],[ÉTAT]],VALUE(RIGHT(Table132[[#This Row],[next move]],1))+1+VALUE(LEFT(Table132[[#This Row],[next move]],1))*3,1)</f>
        <v>V</v>
      </c>
      <c r="I3512" t="str">
        <f>Table132[[#This Row],[ÉTAT]]&amp;Table132[[#This Row],[next move]]</f>
        <v>MVVEVEMVE01</v>
      </c>
    </row>
    <row r="3513" spans="2:9" x14ac:dyDescent="0.25">
      <c r="B3513" t="s">
        <v>903</v>
      </c>
      <c r="C3513" s="22" t="s">
        <v>26</v>
      </c>
      <c r="D3513">
        <v>1</v>
      </c>
      <c r="G3513" s="25">
        <f>Table132[[#This Row],[nb win]]/Table132[[#This Row],[nb play]]</f>
        <v>0</v>
      </c>
      <c r="H3513" t="str">
        <f>MID(Table132[[#This Row],[ÉTAT]],VALUE(RIGHT(Table132[[#This Row],[next move]],1))+1+VALUE(LEFT(Table132[[#This Row],[next move]],1))*3,1)</f>
        <v>V</v>
      </c>
      <c r="I3513" t="str">
        <f>Table132[[#This Row],[ÉTAT]]&amp;Table132[[#This Row],[next move]]</f>
        <v>MVVEVEMEV01</v>
      </c>
    </row>
    <row r="3514" spans="2:9" x14ac:dyDescent="0.25">
      <c r="B3514" t="s">
        <v>903</v>
      </c>
      <c r="C3514" s="22" t="s">
        <v>20</v>
      </c>
      <c r="D3514">
        <v>1</v>
      </c>
      <c r="G3514" s="25">
        <f>Table132[[#This Row],[nb win]]/Table132[[#This Row],[nb play]]</f>
        <v>0</v>
      </c>
      <c r="H3514" t="str">
        <f>MID(Table132[[#This Row],[ÉTAT]],VALUE(RIGHT(Table132[[#This Row],[next move]],1))+1+VALUE(LEFT(Table132[[#This Row],[next move]],1))*3,1)</f>
        <v>V</v>
      </c>
      <c r="I3514" t="str">
        <f>Table132[[#This Row],[ÉTAT]]&amp;Table132[[#This Row],[next move]]</f>
        <v>MVVEVEMEV02</v>
      </c>
    </row>
    <row r="3515" spans="2:9" x14ac:dyDescent="0.25">
      <c r="B3515" t="s">
        <v>903</v>
      </c>
      <c r="C3515" s="22" t="s">
        <v>29</v>
      </c>
      <c r="D3515">
        <v>1</v>
      </c>
      <c r="E3515">
        <v>1</v>
      </c>
      <c r="G3515" s="25">
        <f>Table132[[#This Row],[nb win]]/Table132[[#This Row],[nb play]]</f>
        <v>1</v>
      </c>
      <c r="H3515" t="str">
        <f>MID(Table132[[#This Row],[ÉTAT]],VALUE(RIGHT(Table132[[#This Row],[next move]],1))+1+VALUE(LEFT(Table132[[#This Row],[next move]],1))*3,1)</f>
        <v>V</v>
      </c>
      <c r="I3515" t="str">
        <f>Table132[[#This Row],[ÉTAT]]&amp;Table132[[#This Row],[next move]]</f>
        <v>MVVEVEMEV11</v>
      </c>
    </row>
    <row r="3516" spans="2:9" x14ac:dyDescent="0.25">
      <c r="B3516" t="s">
        <v>962</v>
      </c>
      <c r="C3516" s="22" t="s">
        <v>26</v>
      </c>
      <c r="D3516">
        <v>2</v>
      </c>
      <c r="E3516">
        <v>1</v>
      </c>
      <c r="G3516" s="25">
        <f>Table132[[#This Row],[nb win]]/Table132[[#This Row],[nb play]]</f>
        <v>0.5</v>
      </c>
      <c r="H3516" t="str">
        <f>MID(Table132[[#This Row],[ÉTAT]],VALUE(RIGHT(Table132[[#This Row],[next move]],1))+1+VALUE(LEFT(Table132[[#This Row],[next move]],1))*3,1)</f>
        <v>V</v>
      </c>
      <c r="I3516" t="str">
        <f>Table132[[#This Row],[ÉTAT]]&amp;Table132[[#This Row],[next move]]</f>
        <v>MVVEVEMEM01</v>
      </c>
    </row>
    <row r="3517" spans="2:9" x14ac:dyDescent="0.25">
      <c r="B3517" t="s">
        <v>962</v>
      </c>
      <c r="C3517" s="22" t="s">
        <v>20</v>
      </c>
      <c r="D3517">
        <v>1</v>
      </c>
      <c r="G3517" s="25">
        <f>Table132[[#This Row],[nb win]]/Table132[[#This Row],[nb play]]</f>
        <v>0</v>
      </c>
      <c r="H3517" t="str">
        <f>MID(Table132[[#This Row],[ÉTAT]],VALUE(RIGHT(Table132[[#This Row],[next move]],1))+1+VALUE(LEFT(Table132[[#This Row],[next move]],1))*3,1)</f>
        <v>V</v>
      </c>
      <c r="I3517" t="str">
        <f>Table132[[#This Row],[ÉTAT]]&amp;Table132[[#This Row],[next move]]</f>
        <v>MVVEVEMEM02</v>
      </c>
    </row>
    <row r="3518" spans="2:9" x14ac:dyDescent="0.25">
      <c r="B3518" t="s">
        <v>962</v>
      </c>
      <c r="C3518" s="22" t="s">
        <v>29</v>
      </c>
      <c r="D3518">
        <v>2</v>
      </c>
      <c r="E3518">
        <v>2</v>
      </c>
      <c r="G3518" s="31">
        <f>Table132[[#This Row],[nb win]]/Table132[[#This Row],[nb play]]</f>
        <v>1</v>
      </c>
      <c r="H3518" t="str">
        <f>MID(Table132[[#This Row],[ÉTAT]],VALUE(RIGHT(Table132[[#This Row],[next move]],1))+1+VALUE(LEFT(Table132[[#This Row],[next move]],1))*3,1)</f>
        <v>V</v>
      </c>
      <c r="I3518" t="str">
        <f>Table132[[#This Row],[ÉTAT]]&amp;Table132[[#This Row],[next move]]</f>
        <v>MVVEVEMEM11</v>
      </c>
    </row>
    <row r="3519" spans="2:9" x14ac:dyDescent="0.25">
      <c r="B3519" t="s">
        <v>731</v>
      </c>
      <c r="C3519" s="22" t="s">
        <v>26</v>
      </c>
      <c r="D3519">
        <v>2</v>
      </c>
      <c r="E3519">
        <v>1</v>
      </c>
      <c r="G3519" s="31">
        <f>Table132[[#This Row],[nb win]]/Table132[[#This Row],[nb play]]</f>
        <v>0.5</v>
      </c>
      <c r="H3519" t="str">
        <f>MID(Table132[[#This Row],[ÉTAT]],VALUE(RIGHT(Table132[[#This Row],[next move]],1))+1+VALUE(LEFT(Table132[[#This Row],[next move]],1))*3,1)</f>
        <v>V</v>
      </c>
      <c r="I3519" t="str">
        <f>Table132[[#This Row],[ÉTAT]]&amp;Table132[[#This Row],[next move]]</f>
        <v>MVVEVEEVM01</v>
      </c>
    </row>
    <row r="3520" spans="2:9" x14ac:dyDescent="0.25">
      <c r="B3520" t="s">
        <v>731</v>
      </c>
      <c r="C3520" s="22" t="s">
        <v>20</v>
      </c>
      <c r="D3520">
        <v>2</v>
      </c>
      <c r="E3520">
        <v>1</v>
      </c>
      <c r="G3520" s="31">
        <f>Table132[[#This Row],[nb win]]/Table132[[#This Row],[nb play]]</f>
        <v>0.5</v>
      </c>
      <c r="H3520" t="str">
        <f>MID(Table132[[#This Row],[ÉTAT]],VALUE(RIGHT(Table132[[#This Row],[next move]],1))+1+VALUE(LEFT(Table132[[#This Row],[next move]],1))*3,1)</f>
        <v>V</v>
      </c>
      <c r="I3520" t="str">
        <f>Table132[[#This Row],[ÉTAT]]&amp;Table132[[#This Row],[next move]]</f>
        <v>MVVEVEEVM02</v>
      </c>
    </row>
    <row r="3521" spans="2:9" x14ac:dyDescent="0.25">
      <c r="B3521" t="s">
        <v>731</v>
      </c>
      <c r="C3521" s="22" t="s">
        <v>29</v>
      </c>
      <c r="D3521">
        <v>2</v>
      </c>
      <c r="E3521">
        <v>2</v>
      </c>
      <c r="G3521" s="31">
        <f>Table132[[#This Row],[nb win]]/Table132[[#This Row],[nb play]]</f>
        <v>1</v>
      </c>
      <c r="H3521" t="str">
        <f>MID(Table132[[#This Row],[ÉTAT]],VALUE(RIGHT(Table132[[#This Row],[next move]],1))+1+VALUE(LEFT(Table132[[#This Row],[next move]],1))*3,1)</f>
        <v>V</v>
      </c>
      <c r="I3521" t="str">
        <f>Table132[[#This Row],[ÉTAT]]&amp;Table132[[#This Row],[next move]]</f>
        <v>MVVEVEEVM11</v>
      </c>
    </row>
    <row r="3522" spans="2:9" x14ac:dyDescent="0.25">
      <c r="B3522" t="s">
        <v>3449</v>
      </c>
      <c r="C3522" s="22" t="s">
        <v>26</v>
      </c>
      <c r="D3522">
        <v>1</v>
      </c>
      <c r="E3522">
        <v>1</v>
      </c>
      <c r="G3522" s="31">
        <f>Table132[[#This Row],[nb win]]/Table132[[#This Row],[nb play]]</f>
        <v>1</v>
      </c>
      <c r="H3522" t="str">
        <f>MID(Table132[[#This Row],[ÉTAT]],VALUE(RIGHT(Table132[[#This Row],[next move]],1))+1+VALUE(LEFT(Table132[[#This Row],[next move]],1))*3,1)</f>
        <v>V</v>
      </c>
      <c r="I3522" t="str">
        <f>Table132[[#This Row],[ÉTAT]]&amp;Table132[[#This Row],[next move]]</f>
        <v>MVVEVEEMV01</v>
      </c>
    </row>
    <row r="3523" spans="2:9" x14ac:dyDescent="0.25">
      <c r="B3523" t="s">
        <v>772</v>
      </c>
      <c r="C3523" s="22" t="s">
        <v>20</v>
      </c>
      <c r="D3523">
        <v>1</v>
      </c>
      <c r="G3523" s="25">
        <f>Table132[[#This Row],[nb win]]/Table132[[#This Row],[nb play]]</f>
        <v>0</v>
      </c>
      <c r="H3523" t="str">
        <f>MID(Table132[[#This Row],[ÉTAT]],VALUE(RIGHT(Table132[[#This Row],[next move]],1))+1+VALUE(LEFT(Table132[[#This Row],[next move]],1))*3,1)</f>
        <v>V</v>
      </c>
      <c r="I3523" t="str">
        <f>Table132[[#This Row],[ÉTAT]]&amp;Table132[[#This Row],[next move]]</f>
        <v>MVVEVEEMM02</v>
      </c>
    </row>
    <row r="3524" spans="2:9" x14ac:dyDescent="0.25">
      <c r="B3524" t="s">
        <v>772</v>
      </c>
      <c r="C3524" s="22" t="s">
        <v>29</v>
      </c>
      <c r="D3524">
        <v>1</v>
      </c>
      <c r="E3524">
        <v>1</v>
      </c>
      <c r="G3524" s="25">
        <f>Table132[[#This Row],[nb win]]/Table132[[#This Row],[nb play]]</f>
        <v>1</v>
      </c>
      <c r="H3524" t="str">
        <f>MID(Table132[[#This Row],[ÉTAT]],VALUE(RIGHT(Table132[[#This Row],[next move]],1))+1+VALUE(LEFT(Table132[[#This Row],[next move]],1))*3,1)</f>
        <v>V</v>
      </c>
      <c r="I3524" t="str">
        <f>Table132[[#This Row],[ÉTAT]]&amp;Table132[[#This Row],[next move]]</f>
        <v>MVVEVEEMM11</v>
      </c>
    </row>
    <row r="3525" spans="2:9" x14ac:dyDescent="0.25">
      <c r="B3525" t="s">
        <v>2102</v>
      </c>
      <c r="C3525" s="22" t="s">
        <v>20</v>
      </c>
      <c r="D3525">
        <v>3</v>
      </c>
      <c r="E3525">
        <v>3</v>
      </c>
      <c r="G3525" s="31">
        <f>Table132[[#This Row],[nb win]]/Table132[[#This Row],[nb play]]</f>
        <v>1</v>
      </c>
      <c r="H3525" t="str">
        <f>MID(Table132[[#This Row],[ÉTAT]],VALUE(RIGHT(Table132[[#This Row],[next move]],1))+1+VALUE(LEFT(Table132[[#This Row],[next move]],1))*3,1)</f>
        <v>V</v>
      </c>
      <c r="I3525" t="str">
        <f>Table132[[#This Row],[ÉTAT]]&amp;Table132[[#This Row],[next move]]</f>
        <v>MVVEMVVVE02</v>
      </c>
    </row>
    <row r="3526" spans="2:9" x14ac:dyDescent="0.25">
      <c r="B3526" t="s">
        <v>2102</v>
      </c>
      <c r="C3526" s="22" t="s">
        <v>28</v>
      </c>
      <c r="D3526">
        <v>3</v>
      </c>
      <c r="E3526">
        <v>1</v>
      </c>
      <c r="G3526" s="30">
        <f>Table132[[#This Row],[nb win]]/Table132[[#This Row],[nb play]]</f>
        <v>0.33333333333333331</v>
      </c>
      <c r="H3526" t="str">
        <f>MID(Table132[[#This Row],[ÉTAT]],VALUE(RIGHT(Table132[[#This Row],[next move]],1))+1+VALUE(LEFT(Table132[[#This Row],[next move]],1))*3,1)</f>
        <v>V</v>
      </c>
      <c r="I3526" t="str">
        <f>Table132[[#This Row],[ÉTAT]]&amp;Table132[[#This Row],[next move]]</f>
        <v>MVVEMVVVE12</v>
      </c>
    </row>
    <row r="3527" spans="2:9" x14ac:dyDescent="0.25">
      <c r="B3527" t="s">
        <v>189</v>
      </c>
      <c r="C3527" s="22" t="s">
        <v>20</v>
      </c>
      <c r="D3527">
        <v>10</v>
      </c>
      <c r="E3527">
        <v>10</v>
      </c>
      <c r="G3527" s="31">
        <f>Table132[[#This Row],[nb win]]/Table132[[#This Row],[nb play]]</f>
        <v>1</v>
      </c>
      <c r="H3527" t="str">
        <f>MID(Table132[[#This Row],[ÉTAT]],VALUE(RIGHT(Table132[[#This Row],[next move]],1))+1+VALUE(LEFT(Table132[[#This Row],[next move]],1))*3,1)</f>
        <v>V</v>
      </c>
      <c r="I3527" t="str">
        <f>Table132[[#This Row],[ÉTAT]]&amp;Table132[[#This Row],[next move]]</f>
        <v>MVVEMVVEV02</v>
      </c>
    </row>
    <row r="3528" spans="2:9" x14ac:dyDescent="0.25">
      <c r="B3528" t="s">
        <v>189</v>
      </c>
      <c r="C3528" s="22" t="s">
        <v>31</v>
      </c>
      <c r="D3528">
        <v>6</v>
      </c>
      <c r="E3528">
        <v>6</v>
      </c>
      <c r="G3528" s="31">
        <f>Table132[[#This Row],[nb win]]/Table132[[#This Row],[nb play]]</f>
        <v>1</v>
      </c>
      <c r="H3528" t="str">
        <f>MID(Table132[[#This Row],[ÉTAT]],VALUE(RIGHT(Table132[[#This Row],[next move]],1))+1+VALUE(LEFT(Table132[[#This Row],[next move]],1))*3,1)</f>
        <v>V</v>
      </c>
      <c r="I3528" t="str">
        <f>Table132[[#This Row],[ÉTAT]]&amp;Table132[[#This Row],[next move]]</f>
        <v>MVVEMVVEV22</v>
      </c>
    </row>
    <row r="3529" spans="2:9" x14ac:dyDescent="0.25">
      <c r="B3529" t="s">
        <v>3016</v>
      </c>
      <c r="C3529" s="22" t="s">
        <v>20</v>
      </c>
      <c r="D3529">
        <v>1</v>
      </c>
      <c r="E3529">
        <v>1</v>
      </c>
      <c r="G3529" s="31">
        <f>Table132[[#This Row],[nb win]]/Table132[[#This Row],[nb play]]</f>
        <v>1</v>
      </c>
      <c r="H3529" t="str">
        <f>MID(Table132[[#This Row],[ÉTAT]],VALUE(RIGHT(Table132[[#This Row],[next move]],1))+1+VALUE(LEFT(Table132[[#This Row],[next move]],1))*3,1)</f>
        <v>V</v>
      </c>
      <c r="I3529" t="str">
        <f>Table132[[#This Row],[ÉTAT]]&amp;Table132[[#This Row],[next move]]</f>
        <v>MVVEMVVEE02</v>
      </c>
    </row>
    <row r="3530" spans="2:9" x14ac:dyDescent="0.25">
      <c r="B3530" t="s">
        <v>3016</v>
      </c>
      <c r="C3530" s="22" t="s">
        <v>28</v>
      </c>
      <c r="D3530">
        <v>1</v>
      </c>
      <c r="G3530" s="25">
        <f>Table132[[#This Row],[nb win]]/Table132[[#This Row],[nb play]]</f>
        <v>0</v>
      </c>
      <c r="H3530" t="str">
        <f>MID(Table132[[#This Row],[ÉTAT]],VALUE(RIGHT(Table132[[#This Row],[next move]],1))+1+VALUE(LEFT(Table132[[#This Row],[next move]],1))*3,1)</f>
        <v>V</v>
      </c>
      <c r="I3530" t="str">
        <f>Table132[[#This Row],[ÉTAT]]&amp;Table132[[#This Row],[next move]]</f>
        <v>MVVEMVVEE12</v>
      </c>
    </row>
    <row r="3531" spans="2:9" x14ac:dyDescent="0.25">
      <c r="B3531" t="s">
        <v>88</v>
      </c>
      <c r="C3531" s="22" t="s">
        <v>22</v>
      </c>
      <c r="D3531">
        <v>5</v>
      </c>
      <c r="E3531">
        <v>5</v>
      </c>
      <c r="G3531" s="31">
        <f>Table132[[#This Row],[nb win]]/Table132[[#This Row],[nb play]]</f>
        <v>1</v>
      </c>
      <c r="H3531" t="str">
        <f>MID(Table132[[#This Row],[ÉTAT]],VALUE(RIGHT(Table132[[#This Row],[next move]],1))+1+VALUE(LEFT(Table132[[#This Row],[next move]],1))*3,1)</f>
        <v>V</v>
      </c>
      <c r="I3531" t="str">
        <f>Table132[[#This Row],[ÉTAT]]&amp;Table132[[#This Row],[next move]]</f>
        <v>MVVEMVEVV21</v>
      </c>
    </row>
    <row r="3532" spans="2:9" x14ac:dyDescent="0.25">
      <c r="B3532" t="s">
        <v>88</v>
      </c>
      <c r="C3532" s="22" t="s">
        <v>31</v>
      </c>
      <c r="D3532">
        <v>6</v>
      </c>
      <c r="E3532">
        <v>6</v>
      </c>
      <c r="G3532" s="31">
        <f>Table132[[#This Row],[nb win]]/Table132[[#This Row],[nb play]]</f>
        <v>1</v>
      </c>
      <c r="H3532" t="str">
        <f>MID(Table132[[#This Row],[ÉTAT]],VALUE(RIGHT(Table132[[#This Row],[next move]],1))+1+VALUE(LEFT(Table132[[#This Row],[next move]],1))*3,1)</f>
        <v>V</v>
      </c>
      <c r="I3532" t="str">
        <f>Table132[[#This Row],[ÉTAT]]&amp;Table132[[#This Row],[next move]]</f>
        <v>MVVEMVEVV22</v>
      </c>
    </row>
    <row r="3533" spans="2:9" x14ac:dyDescent="0.25">
      <c r="B3533" t="s">
        <v>2769</v>
      </c>
      <c r="C3533" s="22" t="s">
        <v>22</v>
      </c>
      <c r="D3533">
        <v>1</v>
      </c>
      <c r="E3533">
        <v>1</v>
      </c>
      <c r="G3533" s="25">
        <f>Table132[[#This Row],[nb win]]/Table132[[#This Row],[nb play]]</f>
        <v>1</v>
      </c>
      <c r="H3533" t="str">
        <f>MID(Table132[[#This Row],[ÉTAT]],VALUE(RIGHT(Table132[[#This Row],[next move]],1))+1+VALUE(LEFT(Table132[[#This Row],[next move]],1))*3,1)</f>
        <v>V</v>
      </c>
      <c r="I3533" t="str">
        <f>Table132[[#This Row],[ÉTAT]]&amp;Table132[[#This Row],[next move]]</f>
        <v>MVVEMVEVE21</v>
      </c>
    </row>
    <row r="3534" spans="2:9" x14ac:dyDescent="0.25">
      <c r="B3534" t="s">
        <v>463</v>
      </c>
      <c r="C3534" s="22" t="s">
        <v>28</v>
      </c>
      <c r="D3534">
        <v>1</v>
      </c>
      <c r="E3534">
        <v>1</v>
      </c>
      <c r="G3534" s="25">
        <f>Table132[[#This Row],[nb win]]/Table132[[#This Row],[nb play]]</f>
        <v>1</v>
      </c>
      <c r="H3534" t="str">
        <f>MID(Table132[[#This Row],[ÉTAT]],VALUE(RIGHT(Table132[[#This Row],[next move]],1))+1+VALUE(LEFT(Table132[[#This Row],[next move]],1))*3,1)</f>
        <v>V</v>
      </c>
      <c r="I3534" t="str">
        <f>Table132[[#This Row],[ÉTAT]]&amp;Table132[[#This Row],[next move]]</f>
        <v>MVVEMVEME12</v>
      </c>
    </row>
    <row r="3535" spans="2:9" x14ac:dyDescent="0.25">
      <c r="B3535" t="s">
        <v>2265</v>
      </c>
      <c r="C3535" s="22" t="s">
        <v>31</v>
      </c>
      <c r="D3535">
        <v>2</v>
      </c>
      <c r="E3535">
        <v>2</v>
      </c>
      <c r="G3535" s="31">
        <f>Table132[[#This Row],[nb win]]/Table132[[#This Row],[nb play]]</f>
        <v>1</v>
      </c>
      <c r="H3535" t="str">
        <f>MID(Table132[[#This Row],[ÉTAT]],VALUE(RIGHT(Table132[[#This Row],[next move]],1))+1+VALUE(LEFT(Table132[[#This Row],[next move]],1))*3,1)</f>
        <v>V</v>
      </c>
      <c r="I3535" t="str">
        <f>Table132[[#This Row],[ÉTAT]]&amp;Table132[[#This Row],[next move]]</f>
        <v>MVVEMVEEV22</v>
      </c>
    </row>
    <row r="3536" spans="2:9" x14ac:dyDescent="0.25">
      <c r="B3536" t="s">
        <v>2622</v>
      </c>
      <c r="C3536" s="22" t="s">
        <v>26</v>
      </c>
      <c r="D3536">
        <v>1</v>
      </c>
      <c r="G3536" s="30">
        <f>Table132[[#This Row],[nb win]]/Table132[[#This Row],[nb play]]</f>
        <v>0</v>
      </c>
      <c r="H3536" t="str">
        <f>MID(Table132[[#This Row],[ÉTAT]],VALUE(RIGHT(Table132[[#This Row],[next move]],1))+1+VALUE(LEFT(Table132[[#This Row],[next move]],1))*3,1)</f>
        <v>V</v>
      </c>
      <c r="I3536" t="str">
        <f>Table132[[#This Row],[ÉTAT]]&amp;Table132[[#This Row],[next move]]</f>
        <v>MVVEMMEVE01</v>
      </c>
    </row>
    <row r="3537" spans="2:9" x14ac:dyDescent="0.25">
      <c r="B3537" t="s">
        <v>2622</v>
      </c>
      <c r="C3537" s="22" t="s">
        <v>20</v>
      </c>
      <c r="D3537">
        <v>1</v>
      </c>
      <c r="G3537" s="25">
        <f>Table132[[#This Row],[nb win]]/Table132[[#This Row],[nb play]]</f>
        <v>0</v>
      </c>
      <c r="H3537" t="str">
        <f>MID(Table132[[#This Row],[ÉTAT]],VALUE(RIGHT(Table132[[#This Row],[next move]],1))+1+VALUE(LEFT(Table132[[#This Row],[next move]],1))*3,1)</f>
        <v>V</v>
      </c>
      <c r="I3537" t="str">
        <f>Table132[[#This Row],[ÉTAT]]&amp;Table132[[#This Row],[next move]]</f>
        <v>MVVEMMEVE02</v>
      </c>
    </row>
    <row r="3538" spans="2:9" x14ac:dyDescent="0.25">
      <c r="B3538" t="s">
        <v>2302</v>
      </c>
      <c r="C3538" s="22" t="s">
        <v>31</v>
      </c>
      <c r="D3538">
        <v>1</v>
      </c>
      <c r="E3538">
        <v>1</v>
      </c>
      <c r="G3538" s="25">
        <f>Table132[[#This Row],[nb win]]/Table132[[#This Row],[nb play]]</f>
        <v>1</v>
      </c>
      <c r="H3538" t="str">
        <f>MID(Table132[[#This Row],[ÉTAT]],VALUE(RIGHT(Table132[[#This Row],[next move]],1))+1+VALUE(LEFT(Table132[[#This Row],[next move]],1))*3,1)</f>
        <v>V</v>
      </c>
      <c r="I3538" t="str">
        <f>Table132[[#This Row],[ÉTAT]]&amp;Table132[[#This Row],[next move]]</f>
        <v>MVVEMMEEV22</v>
      </c>
    </row>
    <row r="3539" spans="2:9" x14ac:dyDescent="0.25">
      <c r="B3539" t="s">
        <v>228</v>
      </c>
      <c r="C3539" s="22" t="s">
        <v>26</v>
      </c>
      <c r="D3539">
        <v>6</v>
      </c>
      <c r="E3539">
        <v>6</v>
      </c>
      <c r="G3539" s="31">
        <f>Table132[[#This Row],[nb win]]/Table132[[#This Row],[nb play]]</f>
        <v>1</v>
      </c>
      <c r="H3539" t="str">
        <f>MID(Table132[[#This Row],[ÉTAT]],VALUE(RIGHT(Table132[[#This Row],[next move]],1))+1+VALUE(LEFT(Table132[[#This Row],[next move]],1))*3,1)</f>
        <v>V</v>
      </c>
      <c r="I3539" t="str">
        <f>Table132[[#This Row],[ÉTAT]]&amp;Table132[[#This Row],[next move]]</f>
        <v>MVVEMEVVV01</v>
      </c>
    </row>
    <row r="3540" spans="2:9" x14ac:dyDescent="0.25">
      <c r="B3540" t="s">
        <v>228</v>
      </c>
      <c r="C3540" s="22" t="s">
        <v>31</v>
      </c>
      <c r="D3540">
        <v>3</v>
      </c>
      <c r="E3540">
        <v>3</v>
      </c>
      <c r="G3540" s="31">
        <f>Table132[[#This Row],[nb win]]/Table132[[#This Row],[nb play]]</f>
        <v>1</v>
      </c>
      <c r="H3540" t="str">
        <f>MID(Table132[[#This Row],[ÉTAT]],VALUE(RIGHT(Table132[[#This Row],[next move]],1))+1+VALUE(LEFT(Table132[[#This Row],[next move]],1))*3,1)</f>
        <v>V</v>
      </c>
      <c r="I3540" t="str">
        <f>Table132[[#This Row],[ÉTAT]]&amp;Table132[[#This Row],[next move]]</f>
        <v>MVVEMEVVV22</v>
      </c>
    </row>
    <row r="3541" spans="2:9" x14ac:dyDescent="0.25">
      <c r="B3541" t="s">
        <v>670</v>
      </c>
      <c r="C3541" s="22" t="s">
        <v>20</v>
      </c>
      <c r="D3541">
        <v>2</v>
      </c>
      <c r="E3541">
        <v>2</v>
      </c>
      <c r="G3541" s="31">
        <f>Table132[[#This Row],[nb win]]/Table132[[#This Row],[nb play]]</f>
        <v>1</v>
      </c>
      <c r="H3541" t="str">
        <f>MID(Table132[[#This Row],[ÉTAT]],VALUE(RIGHT(Table132[[#This Row],[next move]],1))+1+VALUE(LEFT(Table132[[#This Row],[next move]],1))*3,1)</f>
        <v>V</v>
      </c>
      <c r="I3541" t="str">
        <f>Table132[[#This Row],[ÉTAT]]&amp;Table132[[#This Row],[next move]]</f>
        <v>MVVEMEVVE02</v>
      </c>
    </row>
    <row r="3542" spans="2:9" x14ac:dyDescent="0.25">
      <c r="B3542" t="s">
        <v>670</v>
      </c>
      <c r="C3542" s="22" t="s">
        <v>35</v>
      </c>
      <c r="D3542">
        <v>1</v>
      </c>
      <c r="G3542" s="25">
        <f>Table132[[#This Row],[nb win]]/Table132[[#This Row],[nb play]]</f>
        <v>0</v>
      </c>
      <c r="H3542" t="str">
        <f>MID(Table132[[#This Row],[ÉTAT]],VALUE(RIGHT(Table132[[#This Row],[next move]],1))+1+VALUE(LEFT(Table132[[#This Row],[next move]],1))*3,1)</f>
        <v>V</v>
      </c>
      <c r="I3542" t="str">
        <f>Table132[[#This Row],[ÉTAT]]&amp;Table132[[#This Row],[next move]]</f>
        <v>MVVEMEVVE20</v>
      </c>
    </row>
    <row r="3543" spans="2:9" x14ac:dyDescent="0.25">
      <c r="B3543" t="s">
        <v>1752</v>
      </c>
      <c r="C3543" s="22" t="s">
        <v>26</v>
      </c>
      <c r="D3543">
        <v>4</v>
      </c>
      <c r="E3543">
        <v>4</v>
      </c>
      <c r="G3543" s="31">
        <f>Table132[[#This Row],[nb win]]/Table132[[#This Row],[nb play]]</f>
        <v>1</v>
      </c>
      <c r="H3543" t="str">
        <f>MID(Table132[[#This Row],[ÉTAT]],VALUE(RIGHT(Table132[[#This Row],[next move]],1))+1+VALUE(LEFT(Table132[[#This Row],[next move]],1))*3,1)</f>
        <v>V</v>
      </c>
      <c r="I3543" t="str">
        <f>Table132[[#This Row],[ÉTAT]]&amp;Table132[[#This Row],[next move]]</f>
        <v>MVVEMEVME01</v>
      </c>
    </row>
    <row r="3544" spans="2:9" x14ac:dyDescent="0.25">
      <c r="B3544" t="s">
        <v>1192</v>
      </c>
      <c r="C3544" s="22" t="s">
        <v>35</v>
      </c>
      <c r="D3544">
        <v>1</v>
      </c>
      <c r="E3544">
        <v>1</v>
      </c>
      <c r="G3544" s="25">
        <f>Table132[[#This Row],[nb win]]/Table132[[#This Row],[nb play]]</f>
        <v>1</v>
      </c>
      <c r="H3544" t="str">
        <f>MID(Table132[[#This Row],[ÉTAT]],VALUE(RIGHT(Table132[[#This Row],[next move]],1))+1+VALUE(LEFT(Table132[[#This Row],[next move]],1))*3,1)</f>
        <v>V</v>
      </c>
      <c r="I3544" t="str">
        <f>Table132[[#This Row],[ÉTAT]]&amp;Table132[[#This Row],[next move]]</f>
        <v>MVVEMEVEV20</v>
      </c>
    </row>
    <row r="3545" spans="2:9" x14ac:dyDescent="0.25">
      <c r="B3545" t="s">
        <v>116</v>
      </c>
      <c r="C3545" s="22" t="s">
        <v>20</v>
      </c>
      <c r="D3545">
        <v>2</v>
      </c>
      <c r="E3545">
        <v>2</v>
      </c>
      <c r="G3545" s="31">
        <f>Table132[[#This Row],[nb win]]/Table132[[#This Row],[nb play]]</f>
        <v>1</v>
      </c>
      <c r="H3545" t="str">
        <f>MID(Table132[[#This Row],[ÉTAT]],VALUE(RIGHT(Table132[[#This Row],[next move]],1))+1+VALUE(LEFT(Table132[[#This Row],[next move]],1))*3,1)</f>
        <v>V</v>
      </c>
      <c r="I3545" t="str">
        <f>Table132[[#This Row],[ÉTAT]]&amp;Table132[[#This Row],[next move]]</f>
        <v>MVVEMEMVE02</v>
      </c>
    </row>
    <row r="3546" spans="2:9" x14ac:dyDescent="0.25">
      <c r="B3546" t="s">
        <v>1456</v>
      </c>
      <c r="C3546" s="22" t="s">
        <v>26</v>
      </c>
      <c r="D3546">
        <v>1</v>
      </c>
      <c r="E3546">
        <v>1</v>
      </c>
      <c r="G3546" s="25">
        <f>Table132[[#This Row],[nb win]]/Table132[[#This Row],[nb play]]</f>
        <v>1</v>
      </c>
      <c r="H3546" t="str">
        <f>MID(Table132[[#This Row],[ÉTAT]],VALUE(RIGHT(Table132[[#This Row],[next move]],1))+1+VALUE(LEFT(Table132[[#This Row],[next move]],1))*3,1)</f>
        <v>V</v>
      </c>
      <c r="I3546" t="str">
        <f>Table132[[#This Row],[ÉTAT]]&amp;Table132[[#This Row],[next move]]</f>
        <v>MVVEMEMEV01</v>
      </c>
    </row>
    <row r="3547" spans="2:9" x14ac:dyDescent="0.25">
      <c r="B3547" t="s">
        <v>1050</v>
      </c>
      <c r="C3547" s="22" t="s">
        <v>20</v>
      </c>
      <c r="D3547">
        <v>5</v>
      </c>
      <c r="E3547">
        <v>5</v>
      </c>
      <c r="G3547" s="31">
        <f>Table132[[#This Row],[nb win]]/Table132[[#This Row],[nb play]]</f>
        <v>1</v>
      </c>
      <c r="H3547" t="str">
        <f>MID(Table132[[#This Row],[ÉTAT]],VALUE(RIGHT(Table132[[#This Row],[next move]],1))+1+VALUE(LEFT(Table132[[#This Row],[next move]],1))*3,1)</f>
        <v>V</v>
      </c>
      <c r="I3547" t="str">
        <f>Table132[[#This Row],[ÉTAT]]&amp;Table132[[#This Row],[next move]]</f>
        <v>MVVEMEEVV02</v>
      </c>
    </row>
    <row r="3548" spans="2:9" x14ac:dyDescent="0.25">
      <c r="B3548" t="s">
        <v>2352</v>
      </c>
      <c r="C3548" s="22" t="s">
        <v>26</v>
      </c>
      <c r="D3548">
        <v>4</v>
      </c>
      <c r="E3548">
        <v>4</v>
      </c>
      <c r="G3548" s="31">
        <f>Table132[[#This Row],[nb win]]/Table132[[#This Row],[nb play]]</f>
        <v>1</v>
      </c>
      <c r="H3548" t="str">
        <f>MID(Table132[[#This Row],[ÉTAT]],VALUE(RIGHT(Table132[[#This Row],[next move]],1))+1+VALUE(LEFT(Table132[[#This Row],[next move]],1))*3,1)</f>
        <v>V</v>
      </c>
      <c r="I3548" t="str">
        <f>Table132[[#This Row],[ÉTAT]]&amp;Table132[[#This Row],[next move]]</f>
        <v>MVVEMEEMV01</v>
      </c>
    </row>
    <row r="3549" spans="2:9" x14ac:dyDescent="0.25">
      <c r="B3549" t="s">
        <v>1303</v>
      </c>
      <c r="C3549" s="22" t="s">
        <v>26</v>
      </c>
      <c r="D3549">
        <v>4</v>
      </c>
      <c r="G3549" s="25">
        <f>Table132[[#This Row],[nb win]]/Table132[[#This Row],[nb play]]</f>
        <v>0</v>
      </c>
      <c r="H3549" t="str">
        <f>MID(Table132[[#This Row],[ÉTAT]],VALUE(RIGHT(Table132[[#This Row],[next move]],1))+1+VALUE(LEFT(Table132[[#This Row],[next move]],1))*3,1)</f>
        <v>V</v>
      </c>
      <c r="I3549" t="str">
        <f>Table132[[#This Row],[ÉTAT]]&amp;Table132[[#This Row],[next move]]</f>
        <v>MVVEEVVVV01</v>
      </c>
    </row>
    <row r="3550" spans="2:9" x14ac:dyDescent="0.25">
      <c r="B3550" t="s">
        <v>1303</v>
      </c>
      <c r="C3550" s="22" t="s">
        <v>20</v>
      </c>
      <c r="D3550">
        <v>6</v>
      </c>
      <c r="E3550">
        <v>1</v>
      </c>
      <c r="G3550" s="30">
        <f>Table132[[#This Row],[nb win]]/Table132[[#This Row],[nb play]]</f>
        <v>0.16666666666666666</v>
      </c>
      <c r="H3550" t="str">
        <f>MID(Table132[[#This Row],[ÉTAT]],VALUE(RIGHT(Table132[[#This Row],[next move]],1))+1+VALUE(LEFT(Table132[[#This Row],[next move]],1))*3,1)</f>
        <v>V</v>
      </c>
      <c r="I3550" t="str">
        <f>Table132[[#This Row],[ÉTAT]]&amp;Table132[[#This Row],[next move]]</f>
        <v>MVVEEVVVV02</v>
      </c>
    </row>
    <row r="3551" spans="2:9" x14ac:dyDescent="0.25">
      <c r="B3551" t="s">
        <v>1303</v>
      </c>
      <c r="C3551" s="22" t="s">
        <v>28</v>
      </c>
      <c r="D3551">
        <v>12</v>
      </c>
      <c r="E3551">
        <v>3</v>
      </c>
      <c r="G3551" s="30">
        <f>Table132[[#This Row],[nb win]]/Table132[[#This Row],[nb play]]</f>
        <v>0.25</v>
      </c>
      <c r="H3551" t="str">
        <f>MID(Table132[[#This Row],[ÉTAT]],VALUE(RIGHT(Table132[[#This Row],[next move]],1))+1+VALUE(LEFT(Table132[[#This Row],[next move]],1))*3,1)</f>
        <v>V</v>
      </c>
      <c r="I3551" t="str">
        <f>Table132[[#This Row],[ÉTAT]]&amp;Table132[[#This Row],[next move]]</f>
        <v>MVVEEVVVV12</v>
      </c>
    </row>
    <row r="3552" spans="2:9" x14ac:dyDescent="0.25">
      <c r="B3552" t="s">
        <v>1303</v>
      </c>
      <c r="C3552" s="22" t="s">
        <v>35</v>
      </c>
      <c r="D3552">
        <v>3</v>
      </c>
      <c r="G3552" s="30">
        <f>Table132[[#This Row],[nb win]]/Table132[[#This Row],[nb play]]</f>
        <v>0</v>
      </c>
      <c r="H3552" t="str">
        <f>MID(Table132[[#This Row],[ÉTAT]],VALUE(RIGHT(Table132[[#This Row],[next move]],1))+1+VALUE(LEFT(Table132[[#This Row],[next move]],1))*3,1)</f>
        <v>V</v>
      </c>
      <c r="I3552" t="str">
        <f>Table132[[#This Row],[ÉTAT]]&amp;Table132[[#This Row],[next move]]</f>
        <v>MVVEEVVVV20</v>
      </c>
    </row>
    <row r="3553" spans="2:9" x14ac:dyDescent="0.25">
      <c r="B3553" t="s">
        <v>1303</v>
      </c>
      <c r="C3553" s="22" t="s">
        <v>22</v>
      </c>
      <c r="D3553">
        <v>12</v>
      </c>
      <c r="E3553">
        <v>3</v>
      </c>
      <c r="G3553" s="30">
        <f>Table132[[#This Row],[nb win]]/Table132[[#This Row],[nb play]]</f>
        <v>0.25</v>
      </c>
      <c r="H3553" t="str">
        <f>MID(Table132[[#This Row],[ÉTAT]],VALUE(RIGHT(Table132[[#This Row],[next move]],1))+1+VALUE(LEFT(Table132[[#This Row],[next move]],1))*3,1)</f>
        <v>V</v>
      </c>
      <c r="I3553" t="str">
        <f>Table132[[#This Row],[ÉTAT]]&amp;Table132[[#This Row],[next move]]</f>
        <v>MVVEEVVVV21</v>
      </c>
    </row>
    <row r="3554" spans="2:9" x14ac:dyDescent="0.25">
      <c r="B3554" t="s">
        <v>1303</v>
      </c>
      <c r="C3554" s="22" t="s">
        <v>31</v>
      </c>
      <c r="D3554">
        <v>5</v>
      </c>
      <c r="G3554" s="30">
        <f>Table132[[#This Row],[nb win]]/Table132[[#This Row],[nb play]]</f>
        <v>0</v>
      </c>
      <c r="H3554" t="str">
        <f>MID(Table132[[#This Row],[ÉTAT]],VALUE(RIGHT(Table132[[#This Row],[next move]],1))+1+VALUE(LEFT(Table132[[#This Row],[next move]],1))*3,1)</f>
        <v>V</v>
      </c>
      <c r="I3554" t="str">
        <f>Table132[[#This Row],[ÉTAT]]&amp;Table132[[#This Row],[next move]]</f>
        <v>MVVEEVVVV22</v>
      </c>
    </row>
    <row r="3555" spans="2:9" x14ac:dyDescent="0.25">
      <c r="B3555" t="s">
        <v>1302</v>
      </c>
      <c r="C3555" s="22" t="s">
        <v>20</v>
      </c>
      <c r="D3555">
        <v>3</v>
      </c>
      <c r="E3555">
        <v>2</v>
      </c>
      <c r="G3555" s="30">
        <f>Table132[[#This Row],[nb win]]/Table132[[#This Row],[nb play]]</f>
        <v>0.66666666666666663</v>
      </c>
      <c r="H3555" t="str">
        <f>MID(Table132[[#This Row],[ÉTAT]],VALUE(RIGHT(Table132[[#This Row],[next move]],1))+1+VALUE(LEFT(Table132[[#This Row],[next move]],1))*3,1)</f>
        <v>V</v>
      </c>
      <c r="I3555" t="str">
        <f>Table132[[#This Row],[ÉTAT]]&amp;Table132[[#This Row],[next move]]</f>
        <v>MVVEEVVVM02</v>
      </c>
    </row>
    <row r="3556" spans="2:9" x14ac:dyDescent="0.25">
      <c r="B3556" t="s">
        <v>1944</v>
      </c>
      <c r="C3556" s="22" t="s">
        <v>20</v>
      </c>
      <c r="D3556">
        <v>1</v>
      </c>
      <c r="G3556" s="30">
        <f>Table132[[#This Row],[nb win]]/Table132[[#This Row],[nb play]]</f>
        <v>0</v>
      </c>
      <c r="H3556" t="str">
        <f>MID(Table132[[#This Row],[ÉTAT]],VALUE(RIGHT(Table132[[#This Row],[next move]],1))+1+VALUE(LEFT(Table132[[#This Row],[next move]],1))*3,1)</f>
        <v>V</v>
      </c>
      <c r="I3556" t="str">
        <f>Table132[[#This Row],[ÉTAT]]&amp;Table132[[#This Row],[next move]]</f>
        <v>MVVEEVVMV02</v>
      </c>
    </row>
    <row r="3557" spans="2:9" x14ac:dyDescent="0.25">
      <c r="B3557" t="s">
        <v>1944</v>
      </c>
      <c r="C3557" s="22" t="s">
        <v>35</v>
      </c>
      <c r="D3557">
        <v>1</v>
      </c>
      <c r="G3557" s="30">
        <f>Table132[[#This Row],[nb win]]/Table132[[#This Row],[nb play]]</f>
        <v>0</v>
      </c>
      <c r="H3557" t="str">
        <f>MID(Table132[[#This Row],[ÉTAT]],VALUE(RIGHT(Table132[[#This Row],[next move]],1))+1+VALUE(LEFT(Table132[[#This Row],[next move]],1))*3,1)</f>
        <v>V</v>
      </c>
      <c r="I3557" t="str">
        <f>Table132[[#This Row],[ÉTAT]]&amp;Table132[[#This Row],[next move]]</f>
        <v>MVVEEVVMV20</v>
      </c>
    </row>
    <row r="3558" spans="2:9" x14ac:dyDescent="0.25">
      <c r="B3558" t="s">
        <v>1944</v>
      </c>
      <c r="C3558" s="22" t="s">
        <v>31</v>
      </c>
      <c r="D3558">
        <v>1</v>
      </c>
      <c r="G3558" s="25">
        <f>Table132[[#This Row],[nb win]]/Table132[[#This Row],[nb play]]</f>
        <v>0</v>
      </c>
      <c r="H3558" t="str">
        <f>MID(Table132[[#This Row],[ÉTAT]],VALUE(RIGHT(Table132[[#This Row],[next move]],1))+1+VALUE(LEFT(Table132[[#This Row],[next move]],1))*3,1)</f>
        <v>V</v>
      </c>
      <c r="I3558" t="str">
        <f>Table132[[#This Row],[ÉTAT]]&amp;Table132[[#This Row],[next move]]</f>
        <v>MVVEEVVMV22</v>
      </c>
    </row>
    <row r="3559" spans="2:9" x14ac:dyDescent="0.25">
      <c r="B3559" t="s">
        <v>1922</v>
      </c>
      <c r="C3559" s="22" t="s">
        <v>26</v>
      </c>
      <c r="D3559">
        <v>2</v>
      </c>
      <c r="G3559" s="30">
        <f>Table132[[#This Row],[nb win]]/Table132[[#This Row],[nb play]]</f>
        <v>0</v>
      </c>
      <c r="H3559" t="str">
        <f>MID(Table132[[#This Row],[ÉTAT]],VALUE(RIGHT(Table132[[#This Row],[next move]],1))+1+VALUE(LEFT(Table132[[#This Row],[next move]],1))*3,1)</f>
        <v>V</v>
      </c>
      <c r="I3559" t="str">
        <f>Table132[[#This Row],[ÉTAT]]&amp;Table132[[#This Row],[next move]]</f>
        <v>MVVEEVVME01</v>
      </c>
    </row>
    <row r="3560" spans="2:9" x14ac:dyDescent="0.25">
      <c r="B3560" t="s">
        <v>1922</v>
      </c>
      <c r="C3560" s="22" t="s">
        <v>20</v>
      </c>
      <c r="D3560">
        <v>2</v>
      </c>
      <c r="E3560">
        <v>1</v>
      </c>
      <c r="G3560" s="30">
        <f>Table132[[#This Row],[nb win]]/Table132[[#This Row],[nb play]]</f>
        <v>0.5</v>
      </c>
      <c r="H3560" t="str">
        <f>MID(Table132[[#This Row],[ÉTAT]],VALUE(RIGHT(Table132[[#This Row],[next move]],1))+1+VALUE(LEFT(Table132[[#This Row],[next move]],1))*3,1)</f>
        <v>V</v>
      </c>
      <c r="I3560" t="str">
        <f>Table132[[#This Row],[ÉTAT]]&amp;Table132[[#This Row],[next move]]</f>
        <v>MVVEEVVME02</v>
      </c>
    </row>
    <row r="3561" spans="2:9" x14ac:dyDescent="0.25">
      <c r="B3561" t="s">
        <v>1922</v>
      </c>
      <c r="C3561" s="22" t="s">
        <v>28</v>
      </c>
      <c r="D3561">
        <v>1</v>
      </c>
      <c r="G3561" s="25">
        <f>Table132[[#This Row],[nb win]]/Table132[[#This Row],[nb play]]</f>
        <v>0</v>
      </c>
      <c r="H3561" t="str">
        <f>MID(Table132[[#This Row],[ÉTAT]],VALUE(RIGHT(Table132[[#This Row],[next move]],1))+1+VALUE(LEFT(Table132[[#This Row],[next move]],1))*3,1)</f>
        <v>V</v>
      </c>
      <c r="I3561" t="str">
        <f>Table132[[#This Row],[ÉTAT]]&amp;Table132[[#This Row],[next move]]</f>
        <v>MVVEEVVME12</v>
      </c>
    </row>
    <row r="3562" spans="2:9" x14ac:dyDescent="0.25">
      <c r="B3562" t="s">
        <v>1922</v>
      </c>
      <c r="C3562" s="22" t="s">
        <v>35</v>
      </c>
      <c r="D3562">
        <v>1</v>
      </c>
      <c r="G3562" s="25">
        <f>Table132[[#This Row],[nb win]]/Table132[[#This Row],[nb play]]</f>
        <v>0</v>
      </c>
      <c r="H3562" t="str">
        <f>MID(Table132[[#This Row],[ÉTAT]],VALUE(RIGHT(Table132[[#This Row],[next move]],1))+1+VALUE(LEFT(Table132[[#This Row],[next move]],1))*3,1)</f>
        <v>V</v>
      </c>
      <c r="I3562" t="str">
        <f>Table132[[#This Row],[ÉTAT]]&amp;Table132[[#This Row],[next move]]</f>
        <v>MVVEEVVME20</v>
      </c>
    </row>
    <row r="3563" spans="2:9" x14ac:dyDescent="0.25">
      <c r="B3563" t="s">
        <v>1466</v>
      </c>
      <c r="C3563" s="22" t="s">
        <v>26</v>
      </c>
      <c r="D3563">
        <v>1</v>
      </c>
      <c r="G3563" s="30">
        <f>Table132[[#This Row],[nb win]]/Table132[[#This Row],[nb play]]</f>
        <v>0</v>
      </c>
      <c r="H3563" t="str">
        <f>MID(Table132[[#This Row],[ÉTAT]],VALUE(RIGHT(Table132[[#This Row],[next move]],1))+1+VALUE(LEFT(Table132[[#This Row],[next move]],1))*3,1)</f>
        <v>V</v>
      </c>
      <c r="I3563" t="str">
        <f>Table132[[#This Row],[ÉTAT]]&amp;Table132[[#This Row],[next move]]</f>
        <v>MVVEEVVEM01</v>
      </c>
    </row>
    <row r="3564" spans="2:9" x14ac:dyDescent="0.25">
      <c r="B3564" t="s">
        <v>1466</v>
      </c>
      <c r="C3564" s="22" t="s">
        <v>20</v>
      </c>
      <c r="D3564">
        <v>1</v>
      </c>
      <c r="G3564" s="25">
        <f>Table132[[#This Row],[nb win]]/Table132[[#This Row],[nb play]]</f>
        <v>0</v>
      </c>
      <c r="H3564" t="str">
        <f>MID(Table132[[#This Row],[ÉTAT]],VALUE(RIGHT(Table132[[#This Row],[next move]],1))+1+VALUE(LEFT(Table132[[#This Row],[next move]],1))*3,1)</f>
        <v>V</v>
      </c>
      <c r="I3564" t="str">
        <f>Table132[[#This Row],[ÉTAT]]&amp;Table132[[#This Row],[next move]]</f>
        <v>MVVEEVVEM02</v>
      </c>
    </row>
    <row r="3565" spans="2:9" x14ac:dyDescent="0.25">
      <c r="B3565" t="s">
        <v>1466</v>
      </c>
      <c r="C3565" s="22" t="s">
        <v>28</v>
      </c>
      <c r="D3565">
        <v>1</v>
      </c>
      <c r="G3565" s="25">
        <f>Table132[[#This Row],[nb win]]/Table132[[#This Row],[nb play]]</f>
        <v>0</v>
      </c>
      <c r="H3565" t="str">
        <f>MID(Table132[[#This Row],[ÉTAT]],VALUE(RIGHT(Table132[[#This Row],[next move]],1))+1+VALUE(LEFT(Table132[[#This Row],[next move]],1))*3,1)</f>
        <v>V</v>
      </c>
      <c r="I3565" t="str">
        <f>Table132[[#This Row],[ÉTAT]]&amp;Table132[[#This Row],[next move]]</f>
        <v>MVVEEVVEM12</v>
      </c>
    </row>
    <row r="3566" spans="2:9" x14ac:dyDescent="0.25">
      <c r="B3566" t="s">
        <v>1466</v>
      </c>
      <c r="C3566" s="22" t="s">
        <v>35</v>
      </c>
      <c r="D3566">
        <v>1</v>
      </c>
      <c r="G3566" s="30">
        <f>Table132[[#This Row],[nb win]]/Table132[[#This Row],[nb play]]</f>
        <v>0</v>
      </c>
      <c r="H3566" t="str">
        <f>MID(Table132[[#This Row],[ÉTAT]],VALUE(RIGHT(Table132[[#This Row],[next move]],1))+1+VALUE(LEFT(Table132[[#This Row],[next move]],1))*3,1)</f>
        <v>V</v>
      </c>
      <c r="I3566" t="str">
        <f>Table132[[#This Row],[ÉTAT]]&amp;Table132[[#This Row],[next move]]</f>
        <v>MVVEEVVEM20</v>
      </c>
    </row>
    <row r="3567" spans="2:9" x14ac:dyDescent="0.25">
      <c r="B3567" t="s">
        <v>1899</v>
      </c>
      <c r="C3567" s="22" t="s">
        <v>26</v>
      </c>
      <c r="D3567">
        <v>1</v>
      </c>
      <c r="G3567" s="30">
        <f>Table132[[#This Row],[nb win]]/Table132[[#This Row],[nb play]]</f>
        <v>0</v>
      </c>
      <c r="H3567" t="str">
        <f>MID(Table132[[#This Row],[ÉTAT]],VALUE(RIGHT(Table132[[#This Row],[next move]],1))+1+VALUE(LEFT(Table132[[#This Row],[next move]],1))*3,1)</f>
        <v>V</v>
      </c>
      <c r="I3567" t="str">
        <f>Table132[[#This Row],[ÉTAT]]&amp;Table132[[#This Row],[next move]]</f>
        <v>MVVEEVMVV01</v>
      </c>
    </row>
    <row r="3568" spans="2:9" x14ac:dyDescent="0.25">
      <c r="B3568" t="s">
        <v>1899</v>
      </c>
      <c r="C3568" s="22" t="s">
        <v>20</v>
      </c>
      <c r="D3568">
        <v>1</v>
      </c>
      <c r="G3568" s="25">
        <f>Table132[[#This Row],[nb win]]/Table132[[#This Row],[nb play]]</f>
        <v>0</v>
      </c>
      <c r="H3568" t="str">
        <f>MID(Table132[[#This Row],[ÉTAT]],VALUE(RIGHT(Table132[[#This Row],[next move]],1))+1+VALUE(LEFT(Table132[[#This Row],[next move]],1))*3,1)</f>
        <v>V</v>
      </c>
      <c r="I3568" t="str">
        <f>Table132[[#This Row],[ÉTAT]]&amp;Table132[[#This Row],[next move]]</f>
        <v>MVVEEVMVV02</v>
      </c>
    </row>
    <row r="3569" spans="2:9" x14ac:dyDescent="0.25">
      <c r="B3569" t="s">
        <v>1899</v>
      </c>
      <c r="C3569" s="22" t="s">
        <v>22</v>
      </c>
      <c r="D3569">
        <v>1</v>
      </c>
      <c r="G3569" s="25">
        <f>Table132[[#This Row],[nb win]]/Table132[[#This Row],[nb play]]</f>
        <v>0</v>
      </c>
      <c r="H3569" t="str">
        <f>MID(Table132[[#This Row],[ÉTAT]],VALUE(RIGHT(Table132[[#This Row],[next move]],1))+1+VALUE(LEFT(Table132[[#This Row],[next move]],1))*3,1)</f>
        <v>V</v>
      </c>
      <c r="I3569" t="str">
        <f>Table132[[#This Row],[ÉTAT]]&amp;Table132[[#This Row],[next move]]</f>
        <v>MVVEEVMVV21</v>
      </c>
    </row>
    <row r="3570" spans="2:9" x14ac:dyDescent="0.25">
      <c r="B3570" t="s">
        <v>1899</v>
      </c>
      <c r="C3570" s="22" t="s">
        <v>31</v>
      </c>
      <c r="D3570">
        <v>1</v>
      </c>
      <c r="G3570" s="25">
        <f>Table132[[#This Row],[nb win]]/Table132[[#This Row],[nb play]]</f>
        <v>0</v>
      </c>
      <c r="H3570" t="str">
        <f>MID(Table132[[#This Row],[ÉTAT]],VALUE(RIGHT(Table132[[#This Row],[next move]],1))+1+VALUE(LEFT(Table132[[#This Row],[next move]],1))*3,1)</f>
        <v>V</v>
      </c>
      <c r="I3570" t="str">
        <f>Table132[[#This Row],[ÉTAT]]&amp;Table132[[#This Row],[next move]]</f>
        <v>MVVEEVMVV22</v>
      </c>
    </row>
    <row r="3571" spans="2:9" x14ac:dyDescent="0.25">
      <c r="B3571" t="s">
        <v>2073</v>
      </c>
      <c r="C3571" s="22" t="s">
        <v>26</v>
      </c>
      <c r="D3571">
        <v>1</v>
      </c>
      <c r="G3571" s="30">
        <f>Table132[[#This Row],[nb win]]/Table132[[#This Row],[nb play]]</f>
        <v>0</v>
      </c>
      <c r="H3571" t="str">
        <f>MID(Table132[[#This Row],[ÉTAT]],VALUE(RIGHT(Table132[[#This Row],[next move]],1))+1+VALUE(LEFT(Table132[[#This Row],[next move]],1))*3,1)</f>
        <v>V</v>
      </c>
      <c r="I3571" t="str">
        <f>Table132[[#This Row],[ÉTAT]]&amp;Table132[[#This Row],[next move]]</f>
        <v>MVVEEVMVE01</v>
      </c>
    </row>
    <row r="3572" spans="2:9" x14ac:dyDescent="0.25">
      <c r="B3572" t="s">
        <v>2073</v>
      </c>
      <c r="C3572" s="22" t="s">
        <v>20</v>
      </c>
      <c r="D3572">
        <v>2</v>
      </c>
      <c r="E3572">
        <v>1</v>
      </c>
      <c r="G3572" s="30">
        <f>Table132[[#This Row],[nb win]]/Table132[[#This Row],[nb play]]</f>
        <v>0.5</v>
      </c>
      <c r="H3572" t="str">
        <f>MID(Table132[[#This Row],[ÉTAT]],VALUE(RIGHT(Table132[[#This Row],[next move]],1))+1+VALUE(LEFT(Table132[[#This Row],[next move]],1))*3,1)</f>
        <v>V</v>
      </c>
      <c r="I3572" t="str">
        <f>Table132[[#This Row],[ÉTAT]]&amp;Table132[[#This Row],[next move]]</f>
        <v>MVVEEVMVE02</v>
      </c>
    </row>
    <row r="3573" spans="2:9" x14ac:dyDescent="0.25">
      <c r="B3573" t="s">
        <v>2073</v>
      </c>
      <c r="C3573" s="22" t="s">
        <v>28</v>
      </c>
      <c r="D3573">
        <v>1</v>
      </c>
      <c r="G3573" s="25">
        <f>Table132[[#This Row],[nb win]]/Table132[[#This Row],[nb play]]</f>
        <v>0</v>
      </c>
      <c r="H3573" t="str">
        <f>MID(Table132[[#This Row],[ÉTAT]],VALUE(RIGHT(Table132[[#This Row],[next move]],1))+1+VALUE(LEFT(Table132[[#This Row],[next move]],1))*3,1)</f>
        <v>V</v>
      </c>
      <c r="I3573" t="str">
        <f>Table132[[#This Row],[ÉTAT]]&amp;Table132[[#This Row],[next move]]</f>
        <v>MVVEEVMVE12</v>
      </c>
    </row>
    <row r="3574" spans="2:9" x14ac:dyDescent="0.25">
      <c r="B3574" t="s">
        <v>1485</v>
      </c>
      <c r="C3574" s="22" t="s">
        <v>26</v>
      </c>
      <c r="D3574">
        <v>1</v>
      </c>
      <c r="G3574" s="25">
        <f>Table132[[#This Row],[nb win]]/Table132[[#This Row],[nb play]]</f>
        <v>0</v>
      </c>
      <c r="H3574" t="str">
        <f>MID(Table132[[#This Row],[ÉTAT]],VALUE(RIGHT(Table132[[#This Row],[next move]],1))+1+VALUE(LEFT(Table132[[#This Row],[next move]],1))*3,1)</f>
        <v>V</v>
      </c>
      <c r="I3574" t="str">
        <f>Table132[[#This Row],[ÉTAT]]&amp;Table132[[#This Row],[next move]]</f>
        <v>MVVEEVMME01</v>
      </c>
    </row>
    <row r="3575" spans="2:9" x14ac:dyDescent="0.25">
      <c r="B3575" t="s">
        <v>1485</v>
      </c>
      <c r="C3575" s="22" t="s">
        <v>20</v>
      </c>
      <c r="D3575">
        <v>2</v>
      </c>
      <c r="G3575" s="25">
        <f>Table132[[#This Row],[nb win]]/Table132[[#This Row],[nb play]]</f>
        <v>0</v>
      </c>
      <c r="H3575" t="str">
        <f>MID(Table132[[#This Row],[ÉTAT]],VALUE(RIGHT(Table132[[#This Row],[next move]],1))+1+VALUE(LEFT(Table132[[#This Row],[next move]],1))*3,1)</f>
        <v>V</v>
      </c>
      <c r="I3575" t="str">
        <f>Table132[[#This Row],[ÉTAT]]&amp;Table132[[#This Row],[next move]]</f>
        <v>MVVEEVMME02</v>
      </c>
    </row>
    <row r="3576" spans="2:9" x14ac:dyDescent="0.25">
      <c r="B3576" t="s">
        <v>249</v>
      </c>
      <c r="C3576" s="22" t="s">
        <v>26</v>
      </c>
      <c r="D3576">
        <v>1</v>
      </c>
      <c r="G3576" s="30">
        <f>Table132[[#This Row],[nb win]]/Table132[[#This Row],[nb play]]</f>
        <v>0</v>
      </c>
      <c r="H3576" t="str">
        <f>MID(Table132[[#This Row],[ÉTAT]],VALUE(RIGHT(Table132[[#This Row],[next move]],1))+1+VALUE(LEFT(Table132[[#This Row],[next move]],1))*3,1)</f>
        <v>V</v>
      </c>
      <c r="I3576" t="str">
        <f>Table132[[#This Row],[ÉTAT]]&amp;Table132[[#This Row],[next move]]</f>
        <v>MVVEEVMEM01</v>
      </c>
    </row>
    <row r="3577" spans="2:9" x14ac:dyDescent="0.25">
      <c r="B3577" t="s">
        <v>249</v>
      </c>
      <c r="C3577" s="22" t="s">
        <v>20</v>
      </c>
      <c r="D3577">
        <v>1</v>
      </c>
      <c r="G3577" s="25">
        <f>Table132[[#This Row],[nb win]]/Table132[[#This Row],[nb play]]</f>
        <v>0</v>
      </c>
      <c r="H3577" t="str">
        <f>MID(Table132[[#This Row],[ÉTAT]],VALUE(RIGHT(Table132[[#This Row],[next move]],1))+1+VALUE(LEFT(Table132[[#This Row],[next move]],1))*3,1)</f>
        <v>V</v>
      </c>
      <c r="I3577" t="str">
        <f>Table132[[#This Row],[ÉTAT]]&amp;Table132[[#This Row],[next move]]</f>
        <v>MVVEEVMEM02</v>
      </c>
    </row>
    <row r="3578" spans="2:9" x14ac:dyDescent="0.25">
      <c r="B3578" t="s">
        <v>142</v>
      </c>
      <c r="C3578" s="22" t="s">
        <v>26</v>
      </c>
      <c r="D3578">
        <v>1</v>
      </c>
      <c r="G3578" s="25">
        <f>Table132[[#This Row],[nb win]]/Table132[[#This Row],[nb play]]</f>
        <v>0</v>
      </c>
      <c r="H3578" t="str">
        <f>MID(Table132[[#This Row],[ÉTAT]],VALUE(RIGHT(Table132[[#This Row],[next move]],1))+1+VALUE(LEFT(Table132[[#This Row],[next move]],1))*3,1)</f>
        <v>V</v>
      </c>
      <c r="I3578" t="str">
        <f>Table132[[#This Row],[ÉTAT]]&amp;Table132[[#This Row],[next move]]</f>
        <v>MVVEEVEVM01</v>
      </c>
    </row>
    <row r="3579" spans="2:9" x14ac:dyDescent="0.25">
      <c r="B3579" t="s">
        <v>142</v>
      </c>
      <c r="C3579" s="22" t="s">
        <v>28</v>
      </c>
      <c r="D3579">
        <v>1</v>
      </c>
      <c r="E3579">
        <v>1</v>
      </c>
      <c r="G3579" s="25">
        <f>Table132[[#This Row],[nb win]]/Table132[[#This Row],[nb play]]</f>
        <v>1</v>
      </c>
      <c r="H3579" t="str">
        <f>MID(Table132[[#This Row],[ÉTAT]],VALUE(RIGHT(Table132[[#This Row],[next move]],1))+1+VALUE(LEFT(Table132[[#This Row],[next move]],1))*3,1)</f>
        <v>V</v>
      </c>
      <c r="I3579" t="str">
        <f>Table132[[#This Row],[ÉTAT]]&amp;Table132[[#This Row],[next move]]</f>
        <v>MVVEEVEVM12</v>
      </c>
    </row>
    <row r="3580" spans="2:9" x14ac:dyDescent="0.25">
      <c r="B3580" t="s">
        <v>157</v>
      </c>
      <c r="C3580" s="22" t="s">
        <v>26</v>
      </c>
      <c r="D3580">
        <v>1</v>
      </c>
      <c r="G3580" s="25">
        <f>Table132[[#This Row],[nb win]]/Table132[[#This Row],[nb play]]</f>
        <v>0</v>
      </c>
      <c r="H3580" t="str">
        <f>MID(Table132[[#This Row],[ÉTAT]],VALUE(RIGHT(Table132[[#This Row],[next move]],1))+1+VALUE(LEFT(Table132[[#This Row],[next move]],1))*3,1)</f>
        <v>V</v>
      </c>
      <c r="I3580" t="str">
        <f>Table132[[#This Row],[ÉTAT]]&amp;Table132[[#This Row],[next move]]</f>
        <v>MVVEEVEMV01</v>
      </c>
    </row>
    <row r="3581" spans="2:9" x14ac:dyDescent="0.25">
      <c r="B3581" t="s">
        <v>157</v>
      </c>
      <c r="C3581" s="22" t="s">
        <v>20</v>
      </c>
      <c r="D3581">
        <v>4</v>
      </c>
      <c r="E3581">
        <v>1</v>
      </c>
      <c r="G3581" s="30">
        <f>Table132[[#This Row],[nb win]]/Table132[[#This Row],[nb play]]</f>
        <v>0.25</v>
      </c>
      <c r="H3581" t="str">
        <f>MID(Table132[[#This Row],[ÉTAT]],VALUE(RIGHT(Table132[[#This Row],[next move]],1))+1+VALUE(LEFT(Table132[[#This Row],[next move]],1))*3,1)</f>
        <v>V</v>
      </c>
      <c r="I3581" t="str">
        <f>Table132[[#This Row],[ÉTAT]]&amp;Table132[[#This Row],[next move]]</f>
        <v>MVVEEVEMV02</v>
      </c>
    </row>
    <row r="3582" spans="2:9" x14ac:dyDescent="0.25">
      <c r="B3582" t="s">
        <v>157</v>
      </c>
      <c r="C3582" s="22" t="s">
        <v>28</v>
      </c>
      <c r="D3582">
        <v>1</v>
      </c>
      <c r="G3582" s="25">
        <f>Table132[[#This Row],[nb win]]/Table132[[#This Row],[nb play]]</f>
        <v>0</v>
      </c>
      <c r="H3582" t="str">
        <f>MID(Table132[[#This Row],[ÉTAT]],VALUE(RIGHT(Table132[[#This Row],[next move]],1))+1+VALUE(LEFT(Table132[[#This Row],[next move]],1))*3,1)</f>
        <v>V</v>
      </c>
      <c r="I3582" t="str">
        <f>Table132[[#This Row],[ÉTAT]]&amp;Table132[[#This Row],[next move]]</f>
        <v>MVVEEVEMV12</v>
      </c>
    </row>
    <row r="3583" spans="2:9" x14ac:dyDescent="0.25">
      <c r="B3583" t="s">
        <v>157</v>
      </c>
      <c r="C3583" s="22" t="s">
        <v>31</v>
      </c>
      <c r="D3583">
        <v>1</v>
      </c>
      <c r="G3583" s="25">
        <f>Table132[[#This Row],[nb win]]/Table132[[#This Row],[nb play]]</f>
        <v>0</v>
      </c>
      <c r="H3583" t="str">
        <f>MID(Table132[[#This Row],[ÉTAT]],VALUE(RIGHT(Table132[[#This Row],[next move]],1))+1+VALUE(LEFT(Table132[[#This Row],[next move]],1))*3,1)</f>
        <v>V</v>
      </c>
      <c r="I3583" t="str">
        <f>Table132[[#This Row],[ÉTAT]]&amp;Table132[[#This Row],[next move]]</f>
        <v>MVVEEVEMV22</v>
      </c>
    </row>
    <row r="3584" spans="2:9" x14ac:dyDescent="0.25">
      <c r="B3584" t="s">
        <v>2433</v>
      </c>
      <c r="C3584" s="22" t="s">
        <v>26</v>
      </c>
      <c r="D3584">
        <v>1</v>
      </c>
      <c r="G3584" s="25">
        <f>Table132[[#This Row],[nb win]]/Table132[[#This Row],[nb play]]</f>
        <v>0</v>
      </c>
      <c r="H3584" t="str">
        <f>MID(Table132[[#This Row],[ÉTAT]],VALUE(RIGHT(Table132[[#This Row],[next move]],1))+1+VALUE(LEFT(Table132[[#This Row],[next move]],1))*3,1)</f>
        <v>V</v>
      </c>
      <c r="I3584" t="str">
        <f>Table132[[#This Row],[ÉTAT]]&amp;Table132[[#This Row],[next move]]</f>
        <v>MVVEEVEMM01</v>
      </c>
    </row>
    <row r="3585" spans="2:9" x14ac:dyDescent="0.25">
      <c r="B3585" t="s">
        <v>3008</v>
      </c>
      <c r="C3585" s="22" t="s">
        <v>26</v>
      </c>
      <c r="D3585">
        <v>2</v>
      </c>
      <c r="E3585">
        <v>2</v>
      </c>
      <c r="G3585" s="31">
        <f>Table132[[#This Row],[nb win]]/Table132[[#This Row],[nb play]]</f>
        <v>1</v>
      </c>
      <c r="H3585" t="str">
        <f>MID(Table132[[#This Row],[ÉTAT]],VALUE(RIGHT(Table132[[#This Row],[next move]],1))+1+VALUE(LEFT(Table132[[#This Row],[next move]],1))*3,1)</f>
        <v>V</v>
      </c>
      <c r="I3585" t="str">
        <f>Table132[[#This Row],[ÉTAT]]&amp;Table132[[#This Row],[next move]]</f>
        <v>MVVEEMVVV01</v>
      </c>
    </row>
    <row r="3586" spans="2:9" x14ac:dyDescent="0.25">
      <c r="B3586" t="s">
        <v>1946</v>
      </c>
      <c r="C3586" s="22" t="s">
        <v>26</v>
      </c>
      <c r="D3586">
        <v>1</v>
      </c>
      <c r="E3586">
        <v>1</v>
      </c>
      <c r="G3586" s="25">
        <f>Table132[[#This Row],[nb win]]/Table132[[#This Row],[nb play]]</f>
        <v>1</v>
      </c>
      <c r="H3586" t="str">
        <f>MID(Table132[[#This Row],[ÉTAT]],VALUE(RIGHT(Table132[[#This Row],[next move]],1))+1+VALUE(LEFT(Table132[[#This Row],[next move]],1))*3,1)</f>
        <v>V</v>
      </c>
      <c r="I3586" t="str">
        <f>Table132[[#This Row],[ÉTAT]]&amp;Table132[[#This Row],[next move]]</f>
        <v>MVVEEMVME01</v>
      </c>
    </row>
    <row r="3587" spans="2:9" x14ac:dyDescent="0.25">
      <c r="B3587" t="s">
        <v>694</v>
      </c>
      <c r="C3587" s="22" t="s">
        <v>26</v>
      </c>
      <c r="D3587">
        <v>2</v>
      </c>
      <c r="E3587">
        <v>2</v>
      </c>
      <c r="G3587" s="25">
        <f>Table132[[#This Row],[nb win]]/Table132[[#This Row],[nb play]]</f>
        <v>1</v>
      </c>
      <c r="H3587" t="str">
        <f>MID(Table132[[#This Row],[ÉTAT]],VALUE(RIGHT(Table132[[#This Row],[next move]],1))+1+VALUE(LEFT(Table132[[#This Row],[next move]],1))*3,1)</f>
        <v>V</v>
      </c>
      <c r="I3587" t="str">
        <f>Table132[[#This Row],[ÉTAT]]&amp;Table132[[#This Row],[next move]]</f>
        <v>MVVEEMVEV01</v>
      </c>
    </row>
    <row r="3588" spans="2:9" x14ac:dyDescent="0.25">
      <c r="B3588" t="s">
        <v>2168</v>
      </c>
      <c r="C3588" s="22" t="s">
        <v>26</v>
      </c>
      <c r="D3588">
        <v>1</v>
      </c>
      <c r="E3588">
        <v>1</v>
      </c>
      <c r="G3588" s="25">
        <f>Table132[[#This Row],[nb win]]/Table132[[#This Row],[nb play]]</f>
        <v>1</v>
      </c>
      <c r="H3588" t="str">
        <f>MID(Table132[[#This Row],[ÉTAT]],VALUE(RIGHT(Table132[[#This Row],[next move]],1))+1+VALUE(LEFT(Table132[[#This Row],[next move]],1))*3,1)</f>
        <v>V</v>
      </c>
      <c r="I3588" t="str">
        <f>Table132[[#This Row],[ÉTAT]]&amp;Table132[[#This Row],[next move]]</f>
        <v>MVVEEMMEV01</v>
      </c>
    </row>
    <row r="3589" spans="2:9" x14ac:dyDescent="0.25">
      <c r="B3589" t="s">
        <v>2075</v>
      </c>
      <c r="C3589" s="22" t="s">
        <v>20</v>
      </c>
      <c r="D3589">
        <v>1</v>
      </c>
      <c r="G3589" s="25">
        <f>Table132[[#This Row],[nb win]]/Table132[[#This Row],[nb play]]</f>
        <v>0</v>
      </c>
      <c r="H3589" t="str">
        <f>MID(Table132[[#This Row],[ÉTAT]],VALUE(RIGHT(Table132[[#This Row],[next move]],1))+1+VALUE(LEFT(Table132[[#This Row],[next move]],1))*3,1)</f>
        <v>V</v>
      </c>
      <c r="I3589" t="str">
        <f>Table132[[#This Row],[ÉTAT]]&amp;Table132[[#This Row],[next move]]</f>
        <v>MVVEEMMEE02</v>
      </c>
    </row>
    <row r="3590" spans="2:9" x14ac:dyDescent="0.25">
      <c r="B3590" t="s">
        <v>2304</v>
      </c>
      <c r="C3590" s="22" t="s">
        <v>20</v>
      </c>
      <c r="D3590">
        <v>2</v>
      </c>
      <c r="E3590">
        <v>2</v>
      </c>
      <c r="G3590" s="25">
        <f>Table132[[#This Row],[nb win]]/Table132[[#This Row],[nb play]]</f>
        <v>1</v>
      </c>
      <c r="H3590" t="str">
        <f>MID(Table132[[#This Row],[ÉTAT]],VALUE(RIGHT(Table132[[#This Row],[next move]],1))+1+VALUE(LEFT(Table132[[#This Row],[next move]],1))*3,1)</f>
        <v>V</v>
      </c>
      <c r="I3590" t="str">
        <f>Table132[[#This Row],[ÉTAT]]&amp;Table132[[#This Row],[next move]]</f>
        <v>MVVEEMEVV02</v>
      </c>
    </row>
    <row r="3591" spans="2:9" x14ac:dyDescent="0.25">
      <c r="B3591" t="s">
        <v>2304</v>
      </c>
      <c r="C3591" s="22" t="s">
        <v>31</v>
      </c>
      <c r="D3591">
        <v>2</v>
      </c>
      <c r="E3591">
        <v>1</v>
      </c>
      <c r="G3591" s="31">
        <f>Table132[[#This Row],[nb win]]/Table132[[#This Row],[nb play]]</f>
        <v>0.5</v>
      </c>
      <c r="H3591" t="str">
        <f>MID(Table132[[#This Row],[ÉTAT]],VALUE(RIGHT(Table132[[#This Row],[next move]],1))+1+VALUE(LEFT(Table132[[#This Row],[next move]],1))*3,1)</f>
        <v>V</v>
      </c>
      <c r="I3591" t="str">
        <f>Table132[[#This Row],[ÉTAT]]&amp;Table132[[#This Row],[next move]]</f>
        <v>MVVEEMEVV22</v>
      </c>
    </row>
    <row r="3592" spans="2:9" x14ac:dyDescent="0.25">
      <c r="B3592" t="s">
        <v>3384</v>
      </c>
      <c r="C3592" s="22" t="s">
        <v>22</v>
      </c>
      <c r="D3592">
        <v>1</v>
      </c>
      <c r="E3592">
        <v>1</v>
      </c>
      <c r="G3592" s="31">
        <f>Table132[[#This Row],[nb win]]/Table132[[#This Row],[nb play]]</f>
        <v>1</v>
      </c>
      <c r="H3592" t="str">
        <f>MID(Table132[[#This Row],[ÉTAT]],VALUE(RIGHT(Table132[[#This Row],[next move]],1))+1+VALUE(LEFT(Table132[[#This Row],[next move]],1))*3,1)</f>
        <v>V</v>
      </c>
      <c r="I3592" t="str">
        <f>Table132[[#This Row],[ÉTAT]]&amp;Table132[[#This Row],[next move]]</f>
        <v>MVVEEMEVM21</v>
      </c>
    </row>
    <row r="3593" spans="2:9" x14ac:dyDescent="0.25">
      <c r="B3593" t="s">
        <v>2646</v>
      </c>
      <c r="C3593" s="22" t="s">
        <v>26</v>
      </c>
      <c r="D3593">
        <v>1</v>
      </c>
      <c r="G3593" s="25">
        <f>Table132[[#This Row],[nb win]]/Table132[[#This Row],[nb play]]</f>
        <v>0</v>
      </c>
      <c r="H3593" t="str">
        <f>MID(Table132[[#This Row],[ÉTAT]],VALUE(RIGHT(Table132[[#This Row],[next move]],1))+1+VALUE(LEFT(Table132[[#This Row],[next move]],1))*3,1)</f>
        <v>V</v>
      </c>
      <c r="I3593" t="str">
        <f>Table132[[#This Row],[ÉTAT]]&amp;Table132[[#This Row],[next move]]</f>
        <v>MVVEEMEME01</v>
      </c>
    </row>
    <row r="3594" spans="2:9" x14ac:dyDescent="0.25">
      <c r="B3594" t="s">
        <v>2305</v>
      </c>
      <c r="C3594" s="22" t="s">
        <v>26</v>
      </c>
      <c r="D3594">
        <v>1</v>
      </c>
      <c r="G3594" s="25">
        <f>Table132[[#This Row],[nb win]]/Table132[[#This Row],[nb play]]</f>
        <v>0</v>
      </c>
      <c r="H3594" t="str">
        <f>MID(Table132[[#This Row],[ÉTAT]],VALUE(RIGHT(Table132[[#This Row],[next move]],1))+1+VALUE(LEFT(Table132[[#This Row],[next move]],1))*3,1)</f>
        <v>V</v>
      </c>
      <c r="I3594" t="str">
        <f>Table132[[#This Row],[ÉTAT]]&amp;Table132[[#This Row],[next move]]</f>
        <v>MVVEEMEEM01</v>
      </c>
    </row>
    <row r="3595" spans="2:9" x14ac:dyDescent="0.25">
      <c r="B3595" t="s">
        <v>2305</v>
      </c>
      <c r="C3595" s="22" t="s">
        <v>20</v>
      </c>
      <c r="D3595">
        <v>1</v>
      </c>
      <c r="E3595">
        <v>1</v>
      </c>
      <c r="G3595" s="25">
        <f>Table132[[#This Row],[nb win]]/Table132[[#This Row],[nb play]]</f>
        <v>1</v>
      </c>
      <c r="H3595" t="str">
        <f>MID(Table132[[#This Row],[ÉTAT]],VALUE(RIGHT(Table132[[#This Row],[next move]],1))+1+VALUE(LEFT(Table132[[#This Row],[next move]],1))*3,1)</f>
        <v>V</v>
      </c>
      <c r="I3595" t="str">
        <f>Table132[[#This Row],[ÉTAT]]&amp;Table132[[#This Row],[next move]]</f>
        <v>MVVEEMEEM02</v>
      </c>
    </row>
    <row r="3596" spans="2:9" x14ac:dyDescent="0.25">
      <c r="B3596" t="s">
        <v>1857</v>
      </c>
      <c r="C3596" s="22" t="s">
        <v>26</v>
      </c>
      <c r="D3596">
        <v>4</v>
      </c>
      <c r="E3596">
        <v>4</v>
      </c>
      <c r="G3596" s="31">
        <f>Table132[[#This Row],[nb win]]/Table132[[#This Row],[nb play]]</f>
        <v>1</v>
      </c>
      <c r="H3596" t="str">
        <f>MID(Table132[[#This Row],[ÉTAT]],VALUE(RIGHT(Table132[[#This Row],[next move]],1))+1+VALUE(LEFT(Table132[[#This Row],[next move]],1))*3,1)</f>
        <v>V</v>
      </c>
      <c r="I3596" t="str">
        <f>Table132[[#This Row],[ÉTAT]]&amp;Table132[[#This Row],[next move]]</f>
        <v>MVMVVVVEE01</v>
      </c>
    </row>
    <row r="3597" spans="2:9" x14ac:dyDescent="0.25">
      <c r="B3597" t="s">
        <v>2269</v>
      </c>
      <c r="C3597" s="22" t="s">
        <v>26</v>
      </c>
      <c r="D3597">
        <v>2</v>
      </c>
      <c r="E3597">
        <v>2</v>
      </c>
      <c r="G3597" s="31">
        <f>Table132[[#This Row],[nb win]]/Table132[[#This Row],[nb play]]</f>
        <v>1</v>
      </c>
      <c r="H3597" t="str">
        <f>MID(Table132[[#This Row],[ÉTAT]],VALUE(RIGHT(Table132[[#This Row],[next move]],1))+1+VALUE(LEFT(Table132[[#This Row],[next move]],1))*3,1)</f>
        <v>V</v>
      </c>
      <c r="I3597" t="str">
        <f>Table132[[#This Row],[ÉTAT]]&amp;Table132[[#This Row],[next move]]</f>
        <v>MVMVVVEVE01</v>
      </c>
    </row>
    <row r="3598" spans="2:9" x14ac:dyDescent="0.25">
      <c r="B3598" t="s">
        <v>2269</v>
      </c>
      <c r="C3598" s="22" t="s">
        <v>30</v>
      </c>
      <c r="D3598">
        <v>1</v>
      </c>
      <c r="G3598" s="25">
        <f>Table132[[#This Row],[nb win]]/Table132[[#This Row],[nb play]]</f>
        <v>0</v>
      </c>
      <c r="H3598" t="str">
        <f>MID(Table132[[#This Row],[ÉTAT]],VALUE(RIGHT(Table132[[#This Row],[next move]],1))+1+VALUE(LEFT(Table132[[#This Row],[next move]],1))*3,1)</f>
        <v>V</v>
      </c>
      <c r="I3598" t="str">
        <f>Table132[[#This Row],[ÉTAT]]&amp;Table132[[#This Row],[next move]]</f>
        <v>MVMVVVEVE10</v>
      </c>
    </row>
    <row r="3599" spans="2:9" x14ac:dyDescent="0.25">
      <c r="B3599" t="s">
        <v>2269</v>
      </c>
      <c r="C3599" s="22" t="s">
        <v>28</v>
      </c>
      <c r="D3599">
        <v>2</v>
      </c>
      <c r="G3599" s="25">
        <f>Table132[[#This Row],[nb win]]/Table132[[#This Row],[nb play]]</f>
        <v>0</v>
      </c>
      <c r="H3599" t="str">
        <f>MID(Table132[[#This Row],[ÉTAT]],VALUE(RIGHT(Table132[[#This Row],[next move]],1))+1+VALUE(LEFT(Table132[[#This Row],[next move]],1))*3,1)</f>
        <v>V</v>
      </c>
      <c r="I3599" t="str">
        <f>Table132[[#This Row],[ÉTAT]]&amp;Table132[[#This Row],[next move]]</f>
        <v>MVMVVVEVE12</v>
      </c>
    </row>
    <row r="3600" spans="2:9" x14ac:dyDescent="0.25">
      <c r="B3600" t="s">
        <v>2451</v>
      </c>
      <c r="C3600" s="22" t="s">
        <v>26</v>
      </c>
      <c r="D3600">
        <v>2</v>
      </c>
      <c r="E3600">
        <v>2</v>
      </c>
      <c r="G3600" s="31">
        <f>Table132[[#This Row],[nb win]]/Table132[[#This Row],[nb play]]</f>
        <v>1</v>
      </c>
      <c r="H3600" t="str">
        <f>MID(Table132[[#This Row],[ÉTAT]],VALUE(RIGHT(Table132[[#This Row],[next move]],1))+1+VALUE(LEFT(Table132[[#This Row],[next move]],1))*3,1)</f>
        <v>V</v>
      </c>
      <c r="I3600" t="str">
        <f>Table132[[#This Row],[ÉTAT]]&amp;Table132[[#This Row],[next move]]</f>
        <v>MVMVVVEEV01</v>
      </c>
    </row>
    <row r="3601" spans="2:9" x14ac:dyDescent="0.25">
      <c r="B3601" t="s">
        <v>2451</v>
      </c>
      <c r="C3601" s="22" t="s">
        <v>30</v>
      </c>
      <c r="D3601">
        <v>1</v>
      </c>
      <c r="G3601" s="25">
        <f>Table132[[#This Row],[nb win]]/Table132[[#This Row],[nb play]]</f>
        <v>0</v>
      </c>
      <c r="H3601" t="str">
        <f>MID(Table132[[#This Row],[ÉTAT]],VALUE(RIGHT(Table132[[#This Row],[next move]],1))+1+VALUE(LEFT(Table132[[#This Row],[next move]],1))*3,1)</f>
        <v>V</v>
      </c>
      <c r="I3601" t="str">
        <f>Table132[[#This Row],[ÉTAT]]&amp;Table132[[#This Row],[next move]]</f>
        <v>MVMVVVEEV10</v>
      </c>
    </row>
    <row r="3602" spans="2:9" x14ac:dyDescent="0.25">
      <c r="B3602" t="s">
        <v>3269</v>
      </c>
      <c r="C3602" s="22" t="s">
        <v>29</v>
      </c>
      <c r="D3602">
        <v>1</v>
      </c>
      <c r="E3602">
        <v>1</v>
      </c>
      <c r="G3602" s="31">
        <f>Table132[[#This Row],[nb win]]/Table132[[#This Row],[nb play]]</f>
        <v>1</v>
      </c>
      <c r="H3602" t="str">
        <f>MID(Table132[[#This Row],[ÉTAT]],VALUE(RIGHT(Table132[[#This Row],[next move]],1))+1+VALUE(LEFT(Table132[[#This Row],[next move]],1))*3,1)</f>
        <v>V</v>
      </c>
      <c r="I3602" t="str">
        <f>Table132[[#This Row],[ÉTAT]]&amp;Table132[[#This Row],[next move]]</f>
        <v>MVMVVEVVE11</v>
      </c>
    </row>
    <row r="3603" spans="2:9" x14ac:dyDescent="0.25">
      <c r="B3603" t="s">
        <v>3269</v>
      </c>
      <c r="C3603" s="22" t="s">
        <v>22</v>
      </c>
      <c r="D3603">
        <v>1</v>
      </c>
      <c r="G3603" s="30">
        <f>Table132[[#This Row],[nb win]]/Table132[[#This Row],[nb play]]</f>
        <v>0</v>
      </c>
      <c r="H3603" t="str">
        <f>MID(Table132[[#This Row],[ÉTAT]],VALUE(RIGHT(Table132[[#This Row],[next move]],1))+1+VALUE(LEFT(Table132[[#This Row],[next move]],1))*3,1)</f>
        <v>V</v>
      </c>
      <c r="I3603" t="str">
        <f>Table132[[#This Row],[ÉTAT]]&amp;Table132[[#This Row],[next move]]</f>
        <v>MVMVVEVVE21</v>
      </c>
    </row>
    <row r="3604" spans="2:9" x14ac:dyDescent="0.25">
      <c r="B3604" t="s">
        <v>1841</v>
      </c>
      <c r="C3604" s="22" t="s">
        <v>31</v>
      </c>
      <c r="D3604">
        <v>3</v>
      </c>
      <c r="E3604">
        <v>3</v>
      </c>
      <c r="G3604" s="31">
        <f>Table132[[#This Row],[nb win]]/Table132[[#This Row],[nb play]]</f>
        <v>1</v>
      </c>
      <c r="H3604" t="str">
        <f>MID(Table132[[#This Row],[ÉTAT]],VALUE(RIGHT(Table132[[#This Row],[next move]],1))+1+VALUE(LEFT(Table132[[#This Row],[next move]],1))*3,1)</f>
        <v>V</v>
      </c>
      <c r="I3604" t="str">
        <f>Table132[[#This Row],[ÉTAT]]&amp;Table132[[#This Row],[next move]]</f>
        <v>MVMVVEVEV22</v>
      </c>
    </row>
    <row r="3605" spans="2:9" x14ac:dyDescent="0.25">
      <c r="B3605" t="s">
        <v>2997</v>
      </c>
      <c r="C3605" s="22" t="s">
        <v>29</v>
      </c>
      <c r="D3605">
        <v>1</v>
      </c>
      <c r="G3605" s="25">
        <f>Table132[[#This Row],[nb win]]/Table132[[#This Row],[nb play]]</f>
        <v>0</v>
      </c>
      <c r="H3605" t="str">
        <f>MID(Table132[[#This Row],[ÉTAT]],VALUE(RIGHT(Table132[[#This Row],[next move]],1))+1+VALUE(LEFT(Table132[[#This Row],[next move]],1))*3,1)</f>
        <v>V</v>
      </c>
      <c r="I3605" t="str">
        <f>Table132[[#This Row],[ÉTAT]]&amp;Table132[[#This Row],[next move]]</f>
        <v>MVMVVEVEE11</v>
      </c>
    </row>
    <row r="3606" spans="2:9" x14ac:dyDescent="0.25">
      <c r="B3606" t="s">
        <v>2997</v>
      </c>
      <c r="C3606" s="22" t="s">
        <v>35</v>
      </c>
      <c r="D3606">
        <v>2</v>
      </c>
      <c r="E3606">
        <v>2</v>
      </c>
      <c r="G3606" s="31">
        <f>Table132[[#This Row],[nb win]]/Table132[[#This Row],[nb play]]</f>
        <v>1</v>
      </c>
      <c r="H3606" t="str">
        <f>MID(Table132[[#This Row],[ÉTAT]],VALUE(RIGHT(Table132[[#This Row],[next move]],1))+1+VALUE(LEFT(Table132[[#This Row],[next move]],1))*3,1)</f>
        <v>V</v>
      </c>
      <c r="I3606" t="str">
        <f>Table132[[#This Row],[ÉTAT]]&amp;Table132[[#This Row],[next move]]</f>
        <v>MVMVVEVEE20</v>
      </c>
    </row>
    <row r="3607" spans="2:9" x14ac:dyDescent="0.25">
      <c r="B3607" t="s">
        <v>390</v>
      </c>
      <c r="C3607" s="22" t="s">
        <v>26</v>
      </c>
      <c r="D3607">
        <v>2</v>
      </c>
      <c r="E3607">
        <v>2</v>
      </c>
      <c r="G3607" s="25">
        <f>Table132[[#This Row],[nb win]]/Table132[[#This Row],[nb play]]</f>
        <v>1</v>
      </c>
      <c r="H3607" t="str">
        <f>MID(Table132[[#This Row],[ÉTAT]],VALUE(RIGHT(Table132[[#This Row],[next move]],1))+1+VALUE(LEFT(Table132[[#This Row],[next move]],1))*3,1)</f>
        <v>V</v>
      </c>
      <c r="I3607" t="str">
        <f>Table132[[#This Row],[ÉTAT]]&amp;Table132[[#This Row],[next move]]</f>
        <v>MVMVVEEVV01</v>
      </c>
    </row>
    <row r="3608" spans="2:9" x14ac:dyDescent="0.25">
      <c r="B3608" t="s">
        <v>390</v>
      </c>
      <c r="C3608" s="22" t="s">
        <v>22</v>
      </c>
      <c r="D3608">
        <v>1</v>
      </c>
      <c r="G3608" s="25">
        <f>Table132[[#This Row],[nb win]]/Table132[[#This Row],[nb play]]</f>
        <v>0</v>
      </c>
      <c r="H3608" t="str">
        <f>MID(Table132[[#This Row],[ÉTAT]],VALUE(RIGHT(Table132[[#This Row],[next move]],1))+1+VALUE(LEFT(Table132[[#This Row],[next move]],1))*3,1)</f>
        <v>V</v>
      </c>
      <c r="I3608" t="str">
        <f>Table132[[#This Row],[ÉTAT]]&amp;Table132[[#This Row],[next move]]</f>
        <v>MVMVVEEVV21</v>
      </c>
    </row>
    <row r="3609" spans="2:9" x14ac:dyDescent="0.25">
      <c r="B3609" t="s">
        <v>2798</v>
      </c>
      <c r="C3609" s="22" t="s">
        <v>30</v>
      </c>
      <c r="D3609">
        <v>1</v>
      </c>
      <c r="G3609" s="25">
        <f>Table132[[#This Row],[nb win]]/Table132[[#This Row],[nb play]]</f>
        <v>0</v>
      </c>
      <c r="H3609" t="str">
        <f>MID(Table132[[#This Row],[ÉTAT]],VALUE(RIGHT(Table132[[#This Row],[next move]],1))+1+VALUE(LEFT(Table132[[#This Row],[next move]],1))*3,1)</f>
        <v>V</v>
      </c>
      <c r="I3609" t="str">
        <f>Table132[[#This Row],[ÉTAT]]&amp;Table132[[#This Row],[next move]]</f>
        <v>MVMVVEEVE10</v>
      </c>
    </row>
    <row r="3610" spans="2:9" x14ac:dyDescent="0.25">
      <c r="B3610" t="s">
        <v>2798</v>
      </c>
      <c r="C3610" s="22" t="s">
        <v>22</v>
      </c>
      <c r="D3610">
        <v>1</v>
      </c>
      <c r="E3610">
        <v>1</v>
      </c>
      <c r="G3610" s="31">
        <f>Table132[[#This Row],[nb win]]/Table132[[#This Row],[nb play]]</f>
        <v>1</v>
      </c>
      <c r="H3610" t="str">
        <f>MID(Table132[[#This Row],[ÉTAT]],VALUE(RIGHT(Table132[[#This Row],[next move]],1))+1+VALUE(LEFT(Table132[[#This Row],[next move]],1))*3,1)</f>
        <v>V</v>
      </c>
      <c r="I3610" t="str">
        <f>Table132[[#This Row],[ÉTAT]]&amp;Table132[[#This Row],[next move]]</f>
        <v>MVMVVEEVE21</v>
      </c>
    </row>
    <row r="3611" spans="2:9" x14ac:dyDescent="0.25">
      <c r="B3611" t="s">
        <v>2283</v>
      </c>
      <c r="C3611" s="22" t="s">
        <v>29</v>
      </c>
      <c r="D3611">
        <v>1</v>
      </c>
      <c r="E3611">
        <v>1</v>
      </c>
      <c r="G3611" s="25">
        <f>Table132[[#This Row],[nb win]]/Table132[[#This Row],[nb play]]</f>
        <v>1</v>
      </c>
      <c r="H3611" t="str">
        <f>MID(Table132[[#This Row],[ÉTAT]],VALUE(RIGHT(Table132[[#This Row],[next move]],1))+1+VALUE(LEFT(Table132[[#This Row],[next move]],1))*3,1)</f>
        <v>V</v>
      </c>
      <c r="I3611" t="str">
        <f>Table132[[#This Row],[ÉTAT]]&amp;Table132[[#This Row],[next move]]</f>
        <v>MVMVVEEME11</v>
      </c>
    </row>
    <row r="3612" spans="2:9" x14ac:dyDescent="0.25">
      <c r="B3612" t="s">
        <v>2108</v>
      </c>
      <c r="C3612" s="22" t="s">
        <v>29</v>
      </c>
      <c r="D3612">
        <v>1</v>
      </c>
      <c r="E3612">
        <v>1</v>
      </c>
      <c r="G3612" s="25">
        <f>Table132[[#This Row],[nb win]]/Table132[[#This Row],[nb play]]</f>
        <v>1</v>
      </c>
      <c r="H3612" t="str">
        <f>MID(Table132[[#This Row],[ÉTAT]],VALUE(RIGHT(Table132[[#This Row],[next move]],1))+1+VALUE(LEFT(Table132[[#This Row],[next move]],1))*3,1)</f>
        <v>V</v>
      </c>
      <c r="I3612" t="str">
        <f>Table132[[#This Row],[ÉTAT]]&amp;Table132[[#This Row],[next move]]</f>
        <v>MVMVVEEEV11</v>
      </c>
    </row>
    <row r="3613" spans="2:9" x14ac:dyDescent="0.25">
      <c r="B3613" t="s">
        <v>451</v>
      </c>
      <c r="C3613" s="22" t="s">
        <v>29</v>
      </c>
      <c r="D3613">
        <v>4</v>
      </c>
      <c r="E3613">
        <v>4</v>
      </c>
      <c r="G3613" s="31">
        <f>Table132[[#This Row],[nb win]]/Table132[[#This Row],[nb play]]</f>
        <v>1</v>
      </c>
      <c r="H3613" t="str">
        <f>MID(Table132[[#This Row],[ÉTAT]],VALUE(RIGHT(Table132[[#This Row],[next move]],1))+1+VALUE(LEFT(Table132[[#This Row],[next move]],1))*3,1)</f>
        <v>V</v>
      </c>
      <c r="I3613" t="str">
        <f>Table132[[#This Row],[ÉTAT]]&amp;Table132[[#This Row],[next move]]</f>
        <v>MVMVVEEEM11</v>
      </c>
    </row>
    <row r="3614" spans="2:9" x14ac:dyDescent="0.25">
      <c r="B3614" t="s">
        <v>1064</v>
      </c>
      <c r="C3614" s="22" t="s">
        <v>35</v>
      </c>
      <c r="D3614">
        <v>2</v>
      </c>
      <c r="E3614">
        <v>2</v>
      </c>
      <c r="G3614" s="31">
        <f>Table132[[#This Row],[nb win]]/Table132[[#This Row],[nb play]]</f>
        <v>1</v>
      </c>
      <c r="H3614" t="str">
        <f>MID(Table132[[#This Row],[ÉTAT]],VALUE(RIGHT(Table132[[#This Row],[next move]],1))+1+VALUE(LEFT(Table132[[#This Row],[next move]],1))*3,1)</f>
        <v>V</v>
      </c>
      <c r="I3614" t="str">
        <f>Table132[[#This Row],[ÉTAT]]&amp;Table132[[#This Row],[next move]]</f>
        <v>MVMVMEVEE20</v>
      </c>
    </row>
    <row r="3615" spans="2:9" x14ac:dyDescent="0.25">
      <c r="B3615" t="s">
        <v>1698</v>
      </c>
      <c r="C3615" s="22" t="s">
        <v>31</v>
      </c>
      <c r="D3615">
        <v>1</v>
      </c>
      <c r="E3615">
        <v>1</v>
      </c>
      <c r="G3615" s="25">
        <f>Table132[[#This Row],[nb win]]/Table132[[#This Row],[nb play]]</f>
        <v>1</v>
      </c>
      <c r="H3615" t="str">
        <f>MID(Table132[[#This Row],[ÉTAT]],VALUE(RIGHT(Table132[[#This Row],[next move]],1))+1+VALUE(LEFT(Table132[[#This Row],[next move]],1))*3,1)</f>
        <v>V</v>
      </c>
      <c r="I3615" t="str">
        <f>Table132[[#This Row],[ÉTAT]]&amp;Table132[[#This Row],[next move]]</f>
        <v>MVMVMEEEV22</v>
      </c>
    </row>
    <row r="3616" spans="2:9" x14ac:dyDescent="0.25">
      <c r="B3616" t="s">
        <v>2996</v>
      </c>
      <c r="C3616" s="22" t="s">
        <v>26</v>
      </c>
      <c r="D3616">
        <v>4</v>
      </c>
      <c r="E3616">
        <v>4</v>
      </c>
      <c r="G3616" s="31">
        <f>Table132[[#This Row],[nb win]]/Table132[[#This Row],[nb play]]</f>
        <v>1</v>
      </c>
      <c r="H3616" t="str">
        <f>MID(Table132[[#This Row],[ÉTAT]],VALUE(RIGHT(Table132[[#This Row],[next move]],1))+1+VALUE(LEFT(Table132[[#This Row],[next move]],1))*3,1)</f>
        <v>V</v>
      </c>
      <c r="I3616" t="str">
        <f>Table132[[#This Row],[ÉTAT]]&amp;Table132[[#This Row],[next move]]</f>
        <v>MVMVEVVVE01</v>
      </c>
    </row>
    <row r="3617" spans="2:9" x14ac:dyDescent="0.25">
      <c r="B3617" t="s">
        <v>1858</v>
      </c>
      <c r="C3617" s="22" t="s">
        <v>30</v>
      </c>
      <c r="D3617">
        <v>4</v>
      </c>
      <c r="E3617">
        <v>2</v>
      </c>
      <c r="G3617" s="30">
        <f>Table132[[#This Row],[nb win]]/Table132[[#This Row],[nb play]]</f>
        <v>0.5</v>
      </c>
      <c r="H3617" t="str">
        <f>MID(Table132[[#This Row],[ÉTAT]],VALUE(RIGHT(Table132[[#This Row],[next move]],1))+1+VALUE(LEFT(Table132[[#This Row],[next move]],1))*3,1)</f>
        <v>V</v>
      </c>
      <c r="I3617" t="str">
        <f>Table132[[#This Row],[ÉTAT]]&amp;Table132[[#This Row],[next move]]</f>
        <v>MVMVEVVEV10</v>
      </c>
    </row>
    <row r="3618" spans="2:9" x14ac:dyDescent="0.25">
      <c r="B3618" t="s">
        <v>1858</v>
      </c>
      <c r="C3618" s="22" t="s">
        <v>28</v>
      </c>
      <c r="D3618">
        <v>1</v>
      </c>
      <c r="E3618">
        <v>1</v>
      </c>
      <c r="G3618" s="25">
        <f>Table132[[#This Row],[nb win]]/Table132[[#This Row],[nb play]]</f>
        <v>1</v>
      </c>
      <c r="H3618" t="str">
        <f>MID(Table132[[#This Row],[ÉTAT]],VALUE(RIGHT(Table132[[#This Row],[next move]],1))+1+VALUE(LEFT(Table132[[#This Row],[next move]],1))*3,1)</f>
        <v>V</v>
      </c>
      <c r="I3618" t="str">
        <f>Table132[[#This Row],[ÉTAT]]&amp;Table132[[#This Row],[next move]]</f>
        <v>MVMVEVVEV12</v>
      </c>
    </row>
    <row r="3619" spans="2:9" x14ac:dyDescent="0.25">
      <c r="B3619" t="s">
        <v>1019</v>
      </c>
      <c r="C3619" s="22" t="s">
        <v>26</v>
      </c>
      <c r="D3619">
        <v>3</v>
      </c>
      <c r="E3619">
        <v>3</v>
      </c>
      <c r="G3619" s="31">
        <f>Table132[[#This Row],[nb win]]/Table132[[#This Row],[nb play]]</f>
        <v>1</v>
      </c>
      <c r="H3619" t="str">
        <f>MID(Table132[[#This Row],[ÉTAT]],VALUE(RIGHT(Table132[[#This Row],[next move]],1))+1+VALUE(LEFT(Table132[[#This Row],[next move]],1))*3,1)</f>
        <v>V</v>
      </c>
      <c r="I3619" t="str">
        <f>Table132[[#This Row],[ÉTAT]]&amp;Table132[[#This Row],[next move]]</f>
        <v>MVMVEVVEE01</v>
      </c>
    </row>
    <row r="3620" spans="2:9" x14ac:dyDescent="0.25">
      <c r="B3620" t="s">
        <v>1019</v>
      </c>
      <c r="C3620" s="22" t="s">
        <v>30</v>
      </c>
      <c r="D3620">
        <v>3</v>
      </c>
      <c r="E3620">
        <v>2</v>
      </c>
      <c r="G3620" s="31">
        <f>Table132[[#This Row],[nb win]]/Table132[[#This Row],[nb play]]</f>
        <v>0.66666666666666663</v>
      </c>
      <c r="H3620" t="str">
        <f>MID(Table132[[#This Row],[ÉTAT]],VALUE(RIGHT(Table132[[#This Row],[next move]],1))+1+VALUE(LEFT(Table132[[#This Row],[next move]],1))*3,1)</f>
        <v>V</v>
      </c>
      <c r="I3620" t="str">
        <f>Table132[[#This Row],[ÉTAT]]&amp;Table132[[#This Row],[next move]]</f>
        <v>MVMVEVVEE10</v>
      </c>
    </row>
    <row r="3621" spans="2:9" x14ac:dyDescent="0.25">
      <c r="B3621" t="s">
        <v>1019</v>
      </c>
      <c r="C3621" s="22" t="s">
        <v>35</v>
      </c>
      <c r="D3621">
        <v>2</v>
      </c>
      <c r="E3621">
        <v>1</v>
      </c>
      <c r="G3621" s="25">
        <f>Table132[[#This Row],[nb win]]/Table132[[#This Row],[nb play]]</f>
        <v>0.5</v>
      </c>
      <c r="H3621" t="str">
        <f>MID(Table132[[#This Row],[ÉTAT]],VALUE(RIGHT(Table132[[#This Row],[next move]],1))+1+VALUE(LEFT(Table132[[#This Row],[next move]],1))*3,1)</f>
        <v>V</v>
      </c>
      <c r="I3621" t="str">
        <f>Table132[[#This Row],[ÉTAT]]&amp;Table132[[#This Row],[next move]]</f>
        <v>MVMVEVVEE20</v>
      </c>
    </row>
    <row r="3622" spans="2:9" x14ac:dyDescent="0.25">
      <c r="B3622" t="s">
        <v>2643</v>
      </c>
      <c r="C3622" s="22" t="s">
        <v>30</v>
      </c>
      <c r="D3622">
        <v>3</v>
      </c>
      <c r="E3622">
        <v>3</v>
      </c>
      <c r="G3622" s="31">
        <f>Table132[[#This Row],[nb win]]/Table132[[#This Row],[nb play]]</f>
        <v>1</v>
      </c>
      <c r="H3622" t="str">
        <f>MID(Table132[[#This Row],[ÉTAT]],VALUE(RIGHT(Table132[[#This Row],[next move]],1))+1+VALUE(LEFT(Table132[[#This Row],[next move]],1))*3,1)</f>
        <v>V</v>
      </c>
      <c r="I3622" t="str">
        <f>Table132[[#This Row],[ÉTAT]]&amp;Table132[[#This Row],[next move]]</f>
        <v>MVMVEVEVV10</v>
      </c>
    </row>
    <row r="3623" spans="2:9" x14ac:dyDescent="0.25">
      <c r="B3623" t="s">
        <v>216</v>
      </c>
      <c r="C3623" s="22" t="s">
        <v>26</v>
      </c>
      <c r="D3623">
        <v>5</v>
      </c>
      <c r="E3623">
        <v>5</v>
      </c>
      <c r="G3623" s="31">
        <f>Table132[[#This Row],[nb win]]/Table132[[#This Row],[nb play]]</f>
        <v>1</v>
      </c>
      <c r="H3623" t="str">
        <f>MID(Table132[[#This Row],[ÉTAT]],VALUE(RIGHT(Table132[[#This Row],[next move]],1))+1+VALUE(LEFT(Table132[[#This Row],[next move]],1))*3,1)</f>
        <v>V</v>
      </c>
      <c r="I3623" t="str">
        <f>Table132[[#This Row],[ÉTAT]]&amp;Table132[[#This Row],[next move]]</f>
        <v>MVMVEVEVE01</v>
      </c>
    </row>
    <row r="3624" spans="2:9" x14ac:dyDescent="0.25">
      <c r="B3624" t="s">
        <v>216</v>
      </c>
      <c r="C3624" s="22" t="s">
        <v>30</v>
      </c>
      <c r="D3624">
        <v>4</v>
      </c>
      <c r="E3624">
        <v>2</v>
      </c>
      <c r="G3624" s="30">
        <f>Table132[[#This Row],[nb win]]/Table132[[#This Row],[nb play]]</f>
        <v>0.5</v>
      </c>
      <c r="H3624" t="str">
        <f>MID(Table132[[#This Row],[ÉTAT]],VALUE(RIGHT(Table132[[#This Row],[next move]],1))+1+VALUE(LEFT(Table132[[#This Row],[next move]],1))*3,1)</f>
        <v>V</v>
      </c>
      <c r="I3624" t="str">
        <f>Table132[[#This Row],[ÉTAT]]&amp;Table132[[#This Row],[next move]]</f>
        <v>MVMVEVEVE10</v>
      </c>
    </row>
    <row r="3625" spans="2:9" x14ac:dyDescent="0.25">
      <c r="B3625" t="s">
        <v>477</v>
      </c>
      <c r="C3625" s="22" t="s">
        <v>26</v>
      </c>
      <c r="D3625">
        <v>3</v>
      </c>
      <c r="E3625">
        <v>3</v>
      </c>
      <c r="G3625" s="31">
        <f>Table132[[#This Row],[nb win]]/Table132[[#This Row],[nb play]]</f>
        <v>1</v>
      </c>
      <c r="H3625" t="str">
        <f>MID(Table132[[#This Row],[ÉTAT]],VALUE(RIGHT(Table132[[#This Row],[next move]],1))+1+VALUE(LEFT(Table132[[#This Row],[next move]],1))*3,1)</f>
        <v>V</v>
      </c>
      <c r="I3625" t="str">
        <f>Table132[[#This Row],[ÉTAT]]&amp;Table132[[#This Row],[next move]]</f>
        <v>MVMVEVEEV01</v>
      </c>
    </row>
    <row r="3626" spans="2:9" x14ac:dyDescent="0.25">
      <c r="B3626" t="s">
        <v>477</v>
      </c>
      <c r="C3626" s="22" t="s">
        <v>31</v>
      </c>
      <c r="D3626">
        <v>3</v>
      </c>
      <c r="E3626">
        <v>2</v>
      </c>
      <c r="G3626" s="31">
        <f>Table132[[#This Row],[nb win]]/Table132[[#This Row],[nb play]]</f>
        <v>0.66666666666666663</v>
      </c>
      <c r="H3626" t="str">
        <f>MID(Table132[[#This Row],[ÉTAT]],VALUE(RIGHT(Table132[[#This Row],[next move]],1))+1+VALUE(LEFT(Table132[[#This Row],[next move]],1))*3,1)</f>
        <v>V</v>
      </c>
      <c r="I3626" t="str">
        <f>Table132[[#This Row],[ÉTAT]]&amp;Table132[[#This Row],[next move]]</f>
        <v>MVMVEVEEV22</v>
      </c>
    </row>
    <row r="3627" spans="2:9" x14ac:dyDescent="0.25">
      <c r="B3627" t="s">
        <v>880</v>
      </c>
      <c r="C3627" s="22" t="s">
        <v>26</v>
      </c>
      <c r="D3627">
        <v>2</v>
      </c>
      <c r="E3627">
        <v>2</v>
      </c>
      <c r="G3627" s="31">
        <f>Table132[[#This Row],[nb win]]/Table132[[#This Row],[nb play]]</f>
        <v>1</v>
      </c>
      <c r="H3627" t="str">
        <f>MID(Table132[[#This Row],[ÉTAT]],VALUE(RIGHT(Table132[[#This Row],[next move]],1))+1+VALUE(LEFT(Table132[[#This Row],[next move]],1))*3,1)</f>
        <v>V</v>
      </c>
      <c r="I3627" t="str">
        <f>Table132[[#This Row],[ÉTAT]]&amp;Table132[[#This Row],[next move]]</f>
        <v>MVMVEVEEM01</v>
      </c>
    </row>
    <row r="3628" spans="2:9" x14ac:dyDescent="0.25">
      <c r="B3628" t="s">
        <v>1341</v>
      </c>
      <c r="C3628" s="22" t="s">
        <v>26</v>
      </c>
      <c r="D3628">
        <v>2</v>
      </c>
      <c r="E3628">
        <v>2</v>
      </c>
      <c r="G3628" s="31">
        <f>Table132[[#This Row],[nb win]]/Table132[[#This Row],[nb play]]</f>
        <v>1</v>
      </c>
      <c r="H3628" t="str">
        <f>MID(Table132[[#This Row],[ÉTAT]],VALUE(RIGHT(Table132[[#This Row],[next move]],1))+1+VALUE(LEFT(Table132[[#This Row],[next move]],1))*3,1)</f>
        <v>V</v>
      </c>
      <c r="I3628" t="str">
        <f>Table132[[#This Row],[ÉTAT]]&amp;Table132[[#This Row],[next move]]</f>
        <v>MVMVEMVEE01</v>
      </c>
    </row>
    <row r="3629" spans="2:9" x14ac:dyDescent="0.25">
      <c r="B3629" t="s">
        <v>1341</v>
      </c>
      <c r="C3629" s="22" t="s">
        <v>30</v>
      </c>
      <c r="D3629">
        <v>1</v>
      </c>
      <c r="G3629" s="25">
        <f>Table132[[#This Row],[nb win]]/Table132[[#This Row],[nb play]]</f>
        <v>0</v>
      </c>
      <c r="H3629" t="str">
        <f>MID(Table132[[#This Row],[ÉTAT]],VALUE(RIGHT(Table132[[#This Row],[next move]],1))+1+VALUE(LEFT(Table132[[#This Row],[next move]],1))*3,1)</f>
        <v>V</v>
      </c>
      <c r="I3629" t="str">
        <f>Table132[[#This Row],[ÉTAT]]&amp;Table132[[#This Row],[next move]]</f>
        <v>MVMVEMVEE10</v>
      </c>
    </row>
    <row r="3630" spans="2:9" x14ac:dyDescent="0.25">
      <c r="B3630" t="s">
        <v>1341</v>
      </c>
      <c r="C3630" s="22" t="s">
        <v>35</v>
      </c>
      <c r="D3630">
        <v>2</v>
      </c>
      <c r="G3630" s="30">
        <f>Table132[[#This Row],[nb win]]/Table132[[#This Row],[nb play]]</f>
        <v>0</v>
      </c>
      <c r="H3630" t="str">
        <f>MID(Table132[[#This Row],[ÉTAT]],VALUE(RIGHT(Table132[[#This Row],[next move]],1))+1+VALUE(LEFT(Table132[[#This Row],[next move]],1))*3,1)</f>
        <v>V</v>
      </c>
      <c r="I3630" t="str">
        <f>Table132[[#This Row],[ÉTAT]]&amp;Table132[[#This Row],[next move]]</f>
        <v>MVMVEMVEE20</v>
      </c>
    </row>
    <row r="3631" spans="2:9" x14ac:dyDescent="0.25">
      <c r="B3631" t="s">
        <v>2427</v>
      </c>
      <c r="C3631" s="22" t="s">
        <v>26</v>
      </c>
      <c r="D3631">
        <v>2</v>
      </c>
      <c r="E3631">
        <v>2</v>
      </c>
      <c r="G3631" s="25">
        <f>Table132[[#This Row],[nb win]]/Table132[[#This Row],[nb play]]</f>
        <v>1</v>
      </c>
      <c r="H3631" t="str">
        <f>MID(Table132[[#This Row],[ÉTAT]],VALUE(RIGHT(Table132[[#This Row],[next move]],1))+1+VALUE(LEFT(Table132[[#This Row],[next move]],1))*3,1)</f>
        <v>V</v>
      </c>
      <c r="I3631" t="str">
        <f>Table132[[#This Row],[ÉTAT]]&amp;Table132[[#This Row],[next move]]</f>
        <v>MVMVEEVVV01</v>
      </c>
    </row>
    <row r="3632" spans="2:9" x14ac:dyDescent="0.25">
      <c r="B3632" t="s">
        <v>2427</v>
      </c>
      <c r="C3632" s="22" t="s">
        <v>31</v>
      </c>
      <c r="D3632">
        <v>1</v>
      </c>
      <c r="G3632" s="25">
        <f>Table132[[#This Row],[nb win]]/Table132[[#This Row],[nb play]]</f>
        <v>0</v>
      </c>
      <c r="H3632" t="str">
        <f>MID(Table132[[#This Row],[ÉTAT]],VALUE(RIGHT(Table132[[#This Row],[next move]],1))+1+VALUE(LEFT(Table132[[#This Row],[next move]],1))*3,1)</f>
        <v>V</v>
      </c>
      <c r="I3632" t="str">
        <f>Table132[[#This Row],[ÉTAT]]&amp;Table132[[#This Row],[next move]]</f>
        <v>MVMVEEVVV22</v>
      </c>
    </row>
    <row r="3633" spans="2:9" x14ac:dyDescent="0.25">
      <c r="B3633" t="s">
        <v>760</v>
      </c>
      <c r="C3633" s="22" t="s">
        <v>26</v>
      </c>
      <c r="D3633">
        <v>2</v>
      </c>
      <c r="E3633">
        <v>2</v>
      </c>
      <c r="G3633" s="31">
        <f>Table132[[#This Row],[nb win]]/Table132[[#This Row],[nb play]]</f>
        <v>1</v>
      </c>
      <c r="H3633" t="str">
        <f>MID(Table132[[#This Row],[ÉTAT]],VALUE(RIGHT(Table132[[#This Row],[next move]],1))+1+VALUE(LEFT(Table132[[#This Row],[next move]],1))*3,1)</f>
        <v>V</v>
      </c>
      <c r="I3633" t="str">
        <f>Table132[[#This Row],[ÉTAT]]&amp;Table132[[#This Row],[next move]]</f>
        <v>MVMVEEVVE01</v>
      </c>
    </row>
    <row r="3634" spans="2:9" x14ac:dyDescent="0.25">
      <c r="B3634" t="s">
        <v>760</v>
      </c>
      <c r="C3634" s="22" t="s">
        <v>35</v>
      </c>
      <c r="D3634">
        <v>3</v>
      </c>
      <c r="E3634">
        <v>2</v>
      </c>
      <c r="G3634" s="25">
        <f>Table132[[#This Row],[nb win]]/Table132[[#This Row],[nb play]]</f>
        <v>0.66666666666666663</v>
      </c>
      <c r="H3634" t="str">
        <f>MID(Table132[[#This Row],[ÉTAT]],VALUE(RIGHT(Table132[[#This Row],[next move]],1))+1+VALUE(LEFT(Table132[[#This Row],[next move]],1))*3,1)</f>
        <v>V</v>
      </c>
      <c r="I3634" t="str">
        <f>Table132[[#This Row],[ÉTAT]]&amp;Table132[[#This Row],[next move]]</f>
        <v>MVMVEEVVE20</v>
      </c>
    </row>
    <row r="3635" spans="2:9" x14ac:dyDescent="0.25">
      <c r="B3635" t="s">
        <v>2652</v>
      </c>
      <c r="C3635" s="22" t="s">
        <v>26</v>
      </c>
      <c r="D3635">
        <v>2</v>
      </c>
      <c r="E3635">
        <v>2</v>
      </c>
      <c r="G3635" s="31">
        <f>Table132[[#This Row],[nb win]]/Table132[[#This Row],[nb play]]</f>
        <v>1</v>
      </c>
      <c r="H3635" t="str">
        <f>MID(Table132[[#This Row],[ÉTAT]],VALUE(RIGHT(Table132[[#This Row],[next move]],1))+1+VALUE(LEFT(Table132[[#This Row],[next move]],1))*3,1)</f>
        <v>V</v>
      </c>
      <c r="I3635" t="str">
        <f>Table132[[#This Row],[ÉTAT]]&amp;Table132[[#This Row],[next move]]</f>
        <v>MVMVEEVME01</v>
      </c>
    </row>
    <row r="3636" spans="2:9" x14ac:dyDescent="0.25">
      <c r="B3636" t="s">
        <v>2652</v>
      </c>
      <c r="C3636" s="22" t="s">
        <v>35</v>
      </c>
      <c r="D3636">
        <v>2</v>
      </c>
      <c r="G3636" s="30">
        <f>Table132[[#This Row],[nb win]]/Table132[[#This Row],[nb play]]</f>
        <v>0</v>
      </c>
      <c r="H3636" t="str">
        <f>MID(Table132[[#This Row],[ÉTAT]],VALUE(RIGHT(Table132[[#This Row],[next move]],1))+1+VALUE(LEFT(Table132[[#This Row],[next move]],1))*3,1)</f>
        <v>V</v>
      </c>
      <c r="I3636" t="str">
        <f>Table132[[#This Row],[ÉTAT]]&amp;Table132[[#This Row],[next move]]</f>
        <v>MVMVEEVME20</v>
      </c>
    </row>
    <row r="3637" spans="2:9" x14ac:dyDescent="0.25">
      <c r="B3637" t="s">
        <v>2911</v>
      </c>
      <c r="C3637" s="22" t="s">
        <v>26</v>
      </c>
      <c r="D3637">
        <v>5</v>
      </c>
      <c r="E3637">
        <v>5</v>
      </c>
      <c r="G3637" s="31">
        <f>Table132[[#This Row],[nb win]]/Table132[[#This Row],[nb play]]</f>
        <v>1</v>
      </c>
      <c r="H3637" t="str">
        <f>MID(Table132[[#This Row],[ÉTAT]],VALUE(RIGHT(Table132[[#This Row],[next move]],1))+1+VALUE(LEFT(Table132[[#This Row],[next move]],1))*3,1)</f>
        <v>V</v>
      </c>
      <c r="I3637" t="str">
        <f>Table132[[#This Row],[ÉTAT]]&amp;Table132[[#This Row],[next move]]</f>
        <v>MVMVEEVEV01</v>
      </c>
    </row>
    <row r="3638" spans="2:9" x14ac:dyDescent="0.25">
      <c r="B3638" t="s">
        <v>2532</v>
      </c>
      <c r="C3638" s="22" t="s">
        <v>26</v>
      </c>
      <c r="D3638">
        <v>2</v>
      </c>
      <c r="E3638">
        <v>2</v>
      </c>
      <c r="G3638" s="31">
        <f>Table132[[#This Row],[nb win]]/Table132[[#This Row],[nb play]]</f>
        <v>1</v>
      </c>
      <c r="H3638" t="str">
        <f>MID(Table132[[#This Row],[ÉTAT]],VALUE(RIGHT(Table132[[#This Row],[next move]],1))+1+VALUE(LEFT(Table132[[#This Row],[next move]],1))*3,1)</f>
        <v>V</v>
      </c>
      <c r="I3638" t="str">
        <f>Table132[[#This Row],[ÉTAT]]&amp;Table132[[#This Row],[next move]]</f>
        <v>MVMVEEVEM01</v>
      </c>
    </row>
    <row r="3639" spans="2:9" x14ac:dyDescent="0.25">
      <c r="B3639" t="s">
        <v>1021</v>
      </c>
      <c r="C3639" s="22" t="s">
        <v>26</v>
      </c>
      <c r="D3639">
        <v>3</v>
      </c>
      <c r="E3639">
        <v>3</v>
      </c>
      <c r="G3639" s="31">
        <f>Table132[[#This Row],[nb win]]/Table132[[#This Row],[nb play]]</f>
        <v>1</v>
      </c>
      <c r="H3639" t="str">
        <f>MID(Table132[[#This Row],[ÉTAT]],VALUE(RIGHT(Table132[[#This Row],[next move]],1))+1+VALUE(LEFT(Table132[[#This Row],[next move]],1))*3,1)</f>
        <v>V</v>
      </c>
      <c r="I3639" t="str">
        <f>Table132[[#This Row],[ÉTAT]]&amp;Table132[[#This Row],[next move]]</f>
        <v>MVMVEEMEE01</v>
      </c>
    </row>
    <row r="3640" spans="2:9" x14ac:dyDescent="0.25">
      <c r="B3640" t="s">
        <v>1721</v>
      </c>
      <c r="C3640" s="22" t="s">
        <v>26</v>
      </c>
      <c r="D3640">
        <v>8</v>
      </c>
      <c r="E3640">
        <v>8</v>
      </c>
      <c r="G3640" s="31">
        <f>Table132[[#This Row],[nb win]]/Table132[[#This Row],[nb play]]</f>
        <v>1</v>
      </c>
      <c r="H3640" t="str">
        <f>MID(Table132[[#This Row],[ÉTAT]],VALUE(RIGHT(Table132[[#This Row],[next move]],1))+1+VALUE(LEFT(Table132[[#This Row],[next move]],1))*3,1)</f>
        <v>V</v>
      </c>
      <c r="I3640" t="str">
        <f>Table132[[#This Row],[ÉTAT]]&amp;Table132[[#This Row],[next move]]</f>
        <v>MVMVEEEVV01</v>
      </c>
    </row>
    <row r="3641" spans="2:9" x14ac:dyDescent="0.25">
      <c r="B3641" t="s">
        <v>1721</v>
      </c>
      <c r="C3641" s="22" t="s">
        <v>30</v>
      </c>
      <c r="D3641">
        <v>1</v>
      </c>
      <c r="G3641" s="25">
        <f>Table132[[#This Row],[nb win]]/Table132[[#This Row],[nb play]]</f>
        <v>0</v>
      </c>
      <c r="H3641" t="str">
        <f>MID(Table132[[#This Row],[ÉTAT]],VALUE(RIGHT(Table132[[#This Row],[next move]],1))+1+VALUE(LEFT(Table132[[#This Row],[next move]],1))*3,1)</f>
        <v>V</v>
      </c>
      <c r="I3641" t="str">
        <f>Table132[[#This Row],[ÉTAT]]&amp;Table132[[#This Row],[next move]]</f>
        <v>MVMVEEEVV10</v>
      </c>
    </row>
    <row r="3642" spans="2:9" x14ac:dyDescent="0.25">
      <c r="B3642" t="s">
        <v>2841</v>
      </c>
      <c r="C3642" s="22" t="s">
        <v>26</v>
      </c>
      <c r="D3642">
        <v>1</v>
      </c>
      <c r="E3642">
        <v>1</v>
      </c>
      <c r="G3642" s="25">
        <f>Table132[[#This Row],[nb win]]/Table132[[#This Row],[nb play]]</f>
        <v>1</v>
      </c>
      <c r="H3642" t="str">
        <f>MID(Table132[[#This Row],[ÉTAT]],VALUE(RIGHT(Table132[[#This Row],[next move]],1))+1+VALUE(LEFT(Table132[[#This Row],[next move]],1))*3,1)</f>
        <v>V</v>
      </c>
      <c r="I3642" t="str">
        <f>Table132[[#This Row],[ÉTAT]]&amp;Table132[[#This Row],[next move]]</f>
        <v>MVMVEEEVM01</v>
      </c>
    </row>
    <row r="3643" spans="2:9" x14ac:dyDescent="0.25">
      <c r="B3643" t="s">
        <v>1154</v>
      </c>
      <c r="C3643" s="22" t="s">
        <v>30</v>
      </c>
      <c r="D3643">
        <v>1</v>
      </c>
      <c r="E3643">
        <v>1</v>
      </c>
      <c r="G3643" s="25">
        <f>Table132[[#This Row],[nb win]]/Table132[[#This Row],[nb play]]</f>
        <v>1</v>
      </c>
      <c r="H3643" t="str">
        <f>MID(Table132[[#This Row],[ÉTAT]],VALUE(RIGHT(Table132[[#This Row],[next move]],1))+1+VALUE(LEFT(Table132[[#This Row],[next move]],1))*3,1)</f>
        <v>V</v>
      </c>
      <c r="I3643" t="str">
        <f>Table132[[#This Row],[ÉTAT]]&amp;Table132[[#This Row],[next move]]</f>
        <v>MVMVEEEMV10</v>
      </c>
    </row>
    <row r="3644" spans="2:9" x14ac:dyDescent="0.25">
      <c r="B3644" t="s">
        <v>3058</v>
      </c>
      <c r="C3644" s="22" t="s">
        <v>26</v>
      </c>
      <c r="D3644">
        <v>3</v>
      </c>
      <c r="E3644">
        <v>3</v>
      </c>
      <c r="G3644" s="31">
        <f>Table132[[#This Row],[nb win]]/Table132[[#This Row],[nb play]]</f>
        <v>1</v>
      </c>
      <c r="H3644" t="str">
        <f>MID(Table132[[#This Row],[ÉTAT]],VALUE(RIGHT(Table132[[#This Row],[next move]],1))+1+VALUE(LEFT(Table132[[#This Row],[next move]],1))*3,1)</f>
        <v>V</v>
      </c>
      <c r="I3644" t="str">
        <f>Table132[[#This Row],[ÉTAT]]&amp;Table132[[#This Row],[next move]]</f>
        <v>MVMVEEEME01</v>
      </c>
    </row>
    <row r="3645" spans="2:9" x14ac:dyDescent="0.25">
      <c r="B3645" t="s">
        <v>181</v>
      </c>
      <c r="C3645" s="22" t="s">
        <v>26</v>
      </c>
      <c r="D3645">
        <v>1</v>
      </c>
      <c r="E3645">
        <v>1</v>
      </c>
      <c r="G3645" s="31">
        <f>Table132[[#This Row],[nb win]]/Table132[[#This Row],[nb play]]</f>
        <v>1</v>
      </c>
      <c r="H3645" t="str">
        <f>MID(Table132[[#This Row],[ÉTAT]],VALUE(RIGHT(Table132[[#This Row],[next move]],1))+1+VALUE(LEFT(Table132[[#This Row],[next move]],1))*3,1)</f>
        <v>V</v>
      </c>
      <c r="I3645" t="str">
        <f>Table132[[#This Row],[ÉTAT]]&amp;Table132[[#This Row],[next move]]</f>
        <v>MVMVEEEEM01</v>
      </c>
    </row>
    <row r="3646" spans="2:9" x14ac:dyDescent="0.25">
      <c r="B3646" t="s">
        <v>181</v>
      </c>
      <c r="C3646" s="22" t="s">
        <v>30</v>
      </c>
      <c r="D3646">
        <v>1</v>
      </c>
      <c r="G3646" s="25">
        <f>Table132[[#This Row],[nb win]]/Table132[[#This Row],[nb play]]</f>
        <v>0</v>
      </c>
      <c r="H3646" t="str">
        <f>MID(Table132[[#This Row],[ÉTAT]],VALUE(RIGHT(Table132[[#This Row],[next move]],1))+1+VALUE(LEFT(Table132[[#This Row],[next move]],1))*3,1)</f>
        <v>V</v>
      </c>
      <c r="I3646" t="str">
        <f>Table132[[#This Row],[ÉTAT]]&amp;Table132[[#This Row],[next move]]</f>
        <v>MVMVEEEEM10</v>
      </c>
    </row>
    <row r="3647" spans="2:9" x14ac:dyDescent="0.25">
      <c r="B3647" t="s">
        <v>3510</v>
      </c>
      <c r="C3647" s="22" t="s">
        <v>26</v>
      </c>
      <c r="D3647">
        <v>1</v>
      </c>
      <c r="E3647">
        <v>1</v>
      </c>
      <c r="G3647" s="31">
        <f>Table132[[#This Row],[nb win]]/Table132[[#This Row],[nb play]]</f>
        <v>1</v>
      </c>
      <c r="H3647" t="str">
        <f>MID(Table132[[#This Row],[ÉTAT]],VALUE(RIGHT(Table132[[#This Row],[next move]],1))+1+VALUE(LEFT(Table132[[#This Row],[next move]],1))*3,1)</f>
        <v>V</v>
      </c>
      <c r="I3647" t="str">
        <f>Table132[[#This Row],[ÉTAT]]&amp;Table132[[#This Row],[next move]]</f>
        <v>MVMMVEVEE01</v>
      </c>
    </row>
    <row r="3648" spans="2:9" x14ac:dyDescent="0.25">
      <c r="B3648" t="s">
        <v>2820</v>
      </c>
      <c r="C3648" s="22" t="s">
        <v>31</v>
      </c>
      <c r="D3648">
        <v>1</v>
      </c>
      <c r="E3648">
        <v>1</v>
      </c>
      <c r="G3648" s="25">
        <f>Table132[[#This Row],[nb win]]/Table132[[#This Row],[nb play]]</f>
        <v>1</v>
      </c>
      <c r="H3648" t="str">
        <f>MID(Table132[[#This Row],[ÉTAT]],VALUE(RIGHT(Table132[[#This Row],[next move]],1))+1+VALUE(LEFT(Table132[[#This Row],[next move]],1))*3,1)</f>
        <v>V</v>
      </c>
      <c r="I3648" t="str">
        <f>Table132[[#This Row],[ÉTAT]]&amp;Table132[[#This Row],[next move]]</f>
        <v>MVMMVEEEV22</v>
      </c>
    </row>
    <row r="3649" spans="2:9" x14ac:dyDescent="0.25">
      <c r="B3649" t="s">
        <v>2657</v>
      </c>
      <c r="C3649" s="22" t="s">
        <v>28</v>
      </c>
      <c r="D3649">
        <v>2</v>
      </c>
      <c r="G3649" s="30">
        <f>Table132[[#This Row],[nb win]]/Table132[[#This Row],[nb play]]</f>
        <v>0</v>
      </c>
      <c r="H3649" t="str">
        <f>MID(Table132[[#This Row],[ÉTAT]],VALUE(RIGHT(Table132[[#This Row],[next move]],1))+1+VALUE(LEFT(Table132[[#This Row],[next move]],1))*3,1)</f>
        <v>V</v>
      </c>
      <c r="I3649" t="str">
        <f>Table132[[#This Row],[ÉTAT]]&amp;Table132[[#This Row],[next move]]</f>
        <v>MVMMEVVEE12</v>
      </c>
    </row>
    <row r="3650" spans="2:9" x14ac:dyDescent="0.25">
      <c r="B3650" t="s">
        <v>2657</v>
      </c>
      <c r="C3650" s="22" t="s">
        <v>35</v>
      </c>
      <c r="D3650">
        <v>2</v>
      </c>
      <c r="E3650">
        <v>2</v>
      </c>
      <c r="G3650" s="31">
        <f>Table132[[#This Row],[nb win]]/Table132[[#This Row],[nb play]]</f>
        <v>1</v>
      </c>
      <c r="H3650" t="str">
        <f>MID(Table132[[#This Row],[ÉTAT]],VALUE(RIGHT(Table132[[#This Row],[next move]],1))+1+VALUE(LEFT(Table132[[#This Row],[next move]],1))*3,1)</f>
        <v>V</v>
      </c>
      <c r="I3650" t="str">
        <f>Table132[[#This Row],[ÉTAT]]&amp;Table132[[#This Row],[next move]]</f>
        <v>MVMMEVVEE20</v>
      </c>
    </row>
    <row r="3651" spans="2:9" x14ac:dyDescent="0.25">
      <c r="B3651" t="s">
        <v>1606</v>
      </c>
      <c r="C3651" s="22" t="s">
        <v>26</v>
      </c>
      <c r="D3651">
        <v>3</v>
      </c>
      <c r="E3651">
        <v>3</v>
      </c>
      <c r="G3651" s="31">
        <f>Table132[[#This Row],[nb win]]/Table132[[#This Row],[nb play]]</f>
        <v>1</v>
      </c>
      <c r="H3651" t="str">
        <f>MID(Table132[[#This Row],[ÉTAT]],VALUE(RIGHT(Table132[[#This Row],[next move]],1))+1+VALUE(LEFT(Table132[[#This Row],[next move]],1))*3,1)</f>
        <v>V</v>
      </c>
      <c r="I3651" t="str">
        <f>Table132[[#This Row],[ÉTAT]]&amp;Table132[[#This Row],[next move]]</f>
        <v>MVMMEVEVE01</v>
      </c>
    </row>
    <row r="3652" spans="2:9" x14ac:dyDescent="0.25">
      <c r="B3652" t="s">
        <v>2899</v>
      </c>
      <c r="C3652" s="22" t="s">
        <v>26</v>
      </c>
      <c r="D3652">
        <v>3</v>
      </c>
      <c r="E3652">
        <v>3</v>
      </c>
      <c r="G3652" s="31">
        <f>Table132[[#This Row],[nb win]]/Table132[[#This Row],[nb play]]</f>
        <v>1</v>
      </c>
      <c r="H3652" t="str">
        <f>MID(Table132[[#This Row],[ÉTAT]],VALUE(RIGHT(Table132[[#This Row],[next move]],1))+1+VALUE(LEFT(Table132[[#This Row],[next move]],1))*3,1)</f>
        <v>V</v>
      </c>
      <c r="I3652" t="str">
        <f>Table132[[#This Row],[ÉTAT]]&amp;Table132[[#This Row],[next move]]</f>
        <v>MVMMEVEEV01</v>
      </c>
    </row>
    <row r="3653" spans="2:9" x14ac:dyDescent="0.25">
      <c r="B3653" t="s">
        <v>2494</v>
      </c>
      <c r="C3653" s="22" t="s">
        <v>26</v>
      </c>
      <c r="D3653">
        <v>2</v>
      </c>
      <c r="E3653">
        <v>2</v>
      </c>
      <c r="G3653" s="31">
        <f>Table132[[#This Row],[nb win]]/Table132[[#This Row],[nb play]]</f>
        <v>1</v>
      </c>
      <c r="H3653" t="str">
        <f>MID(Table132[[#This Row],[ÉTAT]],VALUE(RIGHT(Table132[[#This Row],[next move]],1))+1+VALUE(LEFT(Table132[[#This Row],[next move]],1))*3,1)</f>
        <v>V</v>
      </c>
      <c r="I3653" t="str">
        <f>Table132[[#This Row],[ÉTAT]]&amp;Table132[[#This Row],[next move]]</f>
        <v>MVMMEEVVE01</v>
      </c>
    </row>
    <row r="3654" spans="2:9" x14ac:dyDescent="0.25">
      <c r="B3654" t="s">
        <v>1860</v>
      </c>
      <c r="C3654" s="22" t="s">
        <v>35</v>
      </c>
      <c r="D3654">
        <v>3</v>
      </c>
      <c r="E3654">
        <v>3</v>
      </c>
      <c r="G3654" s="31">
        <f>Table132[[#This Row],[nb win]]/Table132[[#This Row],[nb play]]</f>
        <v>1</v>
      </c>
      <c r="H3654" t="str">
        <f>MID(Table132[[#This Row],[ÉTAT]],VALUE(RIGHT(Table132[[#This Row],[next move]],1))+1+VALUE(LEFT(Table132[[#This Row],[next move]],1))*3,1)</f>
        <v>V</v>
      </c>
      <c r="I3654" t="str">
        <f>Table132[[#This Row],[ÉTAT]]&amp;Table132[[#This Row],[next move]]</f>
        <v>MVMMEEVEV20</v>
      </c>
    </row>
    <row r="3655" spans="2:9" x14ac:dyDescent="0.25">
      <c r="B3655" t="s">
        <v>1183</v>
      </c>
      <c r="C3655" s="22" t="s">
        <v>26</v>
      </c>
      <c r="D3655">
        <v>4</v>
      </c>
      <c r="E3655">
        <v>4</v>
      </c>
      <c r="G3655" s="31">
        <f>Table132[[#This Row],[nb win]]/Table132[[#This Row],[nb play]]</f>
        <v>1</v>
      </c>
      <c r="H3655" t="str">
        <f>MID(Table132[[#This Row],[ÉTAT]],VALUE(RIGHT(Table132[[#This Row],[next move]],1))+1+VALUE(LEFT(Table132[[#This Row],[next move]],1))*3,1)</f>
        <v>V</v>
      </c>
      <c r="I3655" t="str">
        <f>Table132[[#This Row],[ÉTAT]]&amp;Table132[[#This Row],[next move]]</f>
        <v>MVMMEEVEE01</v>
      </c>
    </row>
    <row r="3656" spans="2:9" x14ac:dyDescent="0.25">
      <c r="B3656" t="s">
        <v>2644</v>
      </c>
      <c r="C3656" s="22" t="s">
        <v>26</v>
      </c>
      <c r="D3656">
        <v>2</v>
      </c>
      <c r="E3656">
        <v>2</v>
      </c>
      <c r="G3656" s="31">
        <f>Table132[[#This Row],[nb win]]/Table132[[#This Row],[nb play]]</f>
        <v>1</v>
      </c>
      <c r="H3656" t="str">
        <f>MID(Table132[[#This Row],[ÉTAT]],VALUE(RIGHT(Table132[[#This Row],[next move]],1))+1+VALUE(LEFT(Table132[[#This Row],[next move]],1))*3,1)</f>
        <v>V</v>
      </c>
      <c r="I3656" t="str">
        <f>Table132[[#This Row],[ÉTAT]]&amp;Table132[[#This Row],[next move]]</f>
        <v>MVMMEEEVV01</v>
      </c>
    </row>
    <row r="3657" spans="2:9" x14ac:dyDescent="0.25">
      <c r="B3657" t="s">
        <v>1242</v>
      </c>
      <c r="C3657" s="22" t="s">
        <v>26</v>
      </c>
      <c r="D3657">
        <v>5</v>
      </c>
      <c r="E3657">
        <v>5</v>
      </c>
      <c r="G3657" s="31">
        <f>Table132[[#This Row],[nb win]]/Table132[[#This Row],[nb play]]</f>
        <v>1</v>
      </c>
      <c r="H3657" t="str">
        <f>MID(Table132[[#This Row],[ÉTAT]],VALUE(RIGHT(Table132[[#This Row],[next move]],1))+1+VALUE(LEFT(Table132[[#This Row],[next move]],1))*3,1)</f>
        <v>V</v>
      </c>
      <c r="I3657" t="str">
        <f>Table132[[#This Row],[ÉTAT]]&amp;Table132[[#This Row],[next move]]</f>
        <v>MVMMEEEVE01</v>
      </c>
    </row>
    <row r="3658" spans="2:9" x14ac:dyDescent="0.25">
      <c r="B3658" t="s">
        <v>1156</v>
      </c>
      <c r="C3658" s="22" t="s">
        <v>26</v>
      </c>
      <c r="D3658">
        <v>3</v>
      </c>
      <c r="E3658">
        <v>3</v>
      </c>
      <c r="G3658" s="31">
        <f>Table132[[#This Row],[nb win]]/Table132[[#This Row],[nb play]]</f>
        <v>1</v>
      </c>
      <c r="H3658" t="str">
        <f>MID(Table132[[#This Row],[ÉTAT]],VALUE(RIGHT(Table132[[#This Row],[next move]],1))+1+VALUE(LEFT(Table132[[#This Row],[next move]],1))*3,1)</f>
        <v>V</v>
      </c>
      <c r="I3658" t="str">
        <f>Table132[[#This Row],[ÉTAT]]&amp;Table132[[#This Row],[next move]]</f>
        <v>MVMMEEEME01</v>
      </c>
    </row>
    <row r="3659" spans="2:9" x14ac:dyDescent="0.25">
      <c r="B3659" t="s">
        <v>2142</v>
      </c>
      <c r="C3659" s="22" t="s">
        <v>26</v>
      </c>
      <c r="D3659">
        <v>1</v>
      </c>
      <c r="E3659">
        <v>1</v>
      </c>
      <c r="G3659" s="25">
        <f>Table132[[#This Row],[nb win]]/Table132[[#This Row],[nb play]]</f>
        <v>1</v>
      </c>
      <c r="H3659" t="str">
        <f>MID(Table132[[#This Row],[ÉTAT]],VALUE(RIGHT(Table132[[#This Row],[next move]],1))+1+VALUE(LEFT(Table132[[#This Row],[next move]],1))*3,1)</f>
        <v>V</v>
      </c>
      <c r="I3659" t="str">
        <f>Table132[[#This Row],[ÉTAT]]&amp;Table132[[#This Row],[next move]]</f>
        <v>MVMMEEEEV01</v>
      </c>
    </row>
    <row r="3660" spans="2:9" x14ac:dyDescent="0.25">
      <c r="B3660" t="s">
        <v>2822</v>
      </c>
      <c r="C3660" s="22" t="s">
        <v>26</v>
      </c>
      <c r="D3660">
        <v>2</v>
      </c>
      <c r="E3660">
        <v>2</v>
      </c>
      <c r="G3660" s="31">
        <f>Table132[[#This Row],[nb win]]/Table132[[#This Row],[nb play]]</f>
        <v>1</v>
      </c>
      <c r="H3660" t="str">
        <f>MID(Table132[[#This Row],[ÉTAT]],VALUE(RIGHT(Table132[[#This Row],[next move]],1))+1+VALUE(LEFT(Table132[[#This Row],[next move]],1))*3,1)</f>
        <v>V</v>
      </c>
      <c r="I3660" t="str">
        <f>Table132[[#This Row],[ÉTAT]]&amp;Table132[[#This Row],[next move]]</f>
        <v>MVMMEEEEM01</v>
      </c>
    </row>
    <row r="3661" spans="2:9" x14ac:dyDescent="0.25">
      <c r="B3661" t="s">
        <v>1615</v>
      </c>
      <c r="C3661" s="22" t="s">
        <v>26</v>
      </c>
      <c r="D3661">
        <v>7</v>
      </c>
      <c r="E3661">
        <v>7</v>
      </c>
      <c r="G3661" s="31">
        <f>Table132[[#This Row],[nb win]]/Table132[[#This Row],[nb play]]</f>
        <v>1</v>
      </c>
      <c r="H3661" t="str">
        <f>MID(Table132[[#This Row],[ÉTAT]],VALUE(RIGHT(Table132[[#This Row],[next move]],1))+1+VALUE(LEFT(Table132[[#This Row],[next move]],1))*3,1)</f>
        <v>V</v>
      </c>
      <c r="I3661" t="str">
        <f>Table132[[#This Row],[ÉTAT]]&amp;Table132[[#This Row],[next move]]</f>
        <v>MVMEVVVVE01</v>
      </c>
    </row>
    <row r="3662" spans="2:9" x14ac:dyDescent="0.25">
      <c r="B3662" t="s">
        <v>2599</v>
      </c>
      <c r="C3662" s="22" t="s">
        <v>29</v>
      </c>
      <c r="D3662">
        <v>1</v>
      </c>
      <c r="E3662">
        <v>1</v>
      </c>
      <c r="G3662" s="25">
        <f>Table132[[#This Row],[nb win]]/Table132[[#This Row],[nb play]]</f>
        <v>1</v>
      </c>
      <c r="H3662" t="str">
        <f>MID(Table132[[#This Row],[ÉTAT]],VALUE(RIGHT(Table132[[#This Row],[next move]],1))+1+VALUE(LEFT(Table132[[#This Row],[next move]],1))*3,1)</f>
        <v>V</v>
      </c>
      <c r="I3662" t="str">
        <f>Table132[[#This Row],[ÉTAT]]&amp;Table132[[#This Row],[next move]]</f>
        <v>MVMEVVVEV11</v>
      </c>
    </row>
    <row r="3663" spans="2:9" x14ac:dyDescent="0.25">
      <c r="B3663" t="s">
        <v>1503</v>
      </c>
      <c r="C3663" s="22" t="s">
        <v>35</v>
      </c>
      <c r="D3663">
        <v>2</v>
      </c>
      <c r="E3663">
        <v>2</v>
      </c>
      <c r="G3663" s="31">
        <f>Table132[[#This Row],[nb win]]/Table132[[#This Row],[nb play]]</f>
        <v>1</v>
      </c>
      <c r="H3663" t="str">
        <f>MID(Table132[[#This Row],[ÉTAT]],VALUE(RIGHT(Table132[[#This Row],[next move]],1))+1+VALUE(LEFT(Table132[[#This Row],[next move]],1))*3,1)</f>
        <v>V</v>
      </c>
      <c r="I3663" t="str">
        <f>Table132[[#This Row],[ÉTAT]]&amp;Table132[[#This Row],[next move]]</f>
        <v>MVMEVVVEE20</v>
      </c>
    </row>
    <row r="3664" spans="2:9" x14ac:dyDescent="0.25">
      <c r="B3664" t="s">
        <v>2633</v>
      </c>
      <c r="C3664" s="22" t="s">
        <v>28</v>
      </c>
      <c r="D3664">
        <v>2</v>
      </c>
      <c r="E3664">
        <v>2</v>
      </c>
      <c r="G3664" s="31">
        <f>Table132[[#This Row],[nb win]]/Table132[[#This Row],[nb play]]</f>
        <v>1</v>
      </c>
      <c r="H3664" t="str">
        <f>MID(Table132[[#This Row],[ÉTAT]],VALUE(RIGHT(Table132[[#This Row],[next move]],1))+1+VALUE(LEFT(Table132[[#This Row],[next move]],1))*3,1)</f>
        <v>V</v>
      </c>
      <c r="I3664" t="str">
        <f>Table132[[#This Row],[ÉTAT]]&amp;Table132[[#This Row],[next move]]</f>
        <v>MVMEVVEVV12</v>
      </c>
    </row>
    <row r="3665" spans="2:9" x14ac:dyDescent="0.25">
      <c r="B3665" t="s">
        <v>2404</v>
      </c>
      <c r="C3665" s="22" t="s">
        <v>26</v>
      </c>
      <c r="D3665">
        <v>3</v>
      </c>
      <c r="E3665">
        <v>3</v>
      </c>
      <c r="G3665" s="25">
        <f>Table132[[#This Row],[nb win]]/Table132[[#This Row],[nb play]]</f>
        <v>1</v>
      </c>
      <c r="H3665" t="str">
        <f>MID(Table132[[#This Row],[ÉTAT]],VALUE(RIGHT(Table132[[#This Row],[next move]],1))+1+VALUE(LEFT(Table132[[#This Row],[next move]],1))*3,1)</f>
        <v>V</v>
      </c>
      <c r="I3665" t="str">
        <f>Table132[[#This Row],[ÉTAT]]&amp;Table132[[#This Row],[next move]]</f>
        <v>MVMEVVEVE01</v>
      </c>
    </row>
    <row r="3666" spans="2:9" x14ac:dyDescent="0.25">
      <c r="B3666" t="s">
        <v>2363</v>
      </c>
      <c r="C3666" s="22" t="s">
        <v>26</v>
      </c>
      <c r="D3666">
        <v>1</v>
      </c>
      <c r="E3666">
        <v>1</v>
      </c>
      <c r="G3666" s="25">
        <f>Table132[[#This Row],[nb win]]/Table132[[#This Row],[nb play]]</f>
        <v>1</v>
      </c>
      <c r="H3666" t="str">
        <f>MID(Table132[[#This Row],[ÉTAT]],VALUE(RIGHT(Table132[[#This Row],[next move]],1))+1+VALUE(LEFT(Table132[[#This Row],[next move]],1))*3,1)</f>
        <v>V</v>
      </c>
      <c r="I3666" t="str">
        <f>Table132[[#This Row],[ÉTAT]]&amp;Table132[[#This Row],[next move]]</f>
        <v>MVMEVVEME01</v>
      </c>
    </row>
    <row r="3667" spans="2:9" x14ac:dyDescent="0.25">
      <c r="B3667" t="s">
        <v>3317</v>
      </c>
      <c r="C3667" s="22" t="s">
        <v>31</v>
      </c>
      <c r="D3667">
        <v>1</v>
      </c>
      <c r="E3667">
        <v>1</v>
      </c>
      <c r="G3667" s="31">
        <f>Table132[[#This Row],[nb win]]/Table132[[#This Row],[nb play]]</f>
        <v>1</v>
      </c>
      <c r="H3667" t="str">
        <f>MID(Table132[[#This Row],[ÉTAT]],VALUE(RIGHT(Table132[[#This Row],[next move]],1))+1+VALUE(LEFT(Table132[[#This Row],[next move]],1))*3,1)</f>
        <v>V</v>
      </c>
      <c r="I3667" t="str">
        <f>Table132[[#This Row],[ÉTAT]]&amp;Table132[[#This Row],[next move]]</f>
        <v>MVMEVVEEV22</v>
      </c>
    </row>
    <row r="3668" spans="2:9" x14ac:dyDescent="0.25">
      <c r="B3668" t="s">
        <v>1436</v>
      </c>
      <c r="C3668" s="22" t="s">
        <v>26</v>
      </c>
      <c r="D3668">
        <v>3</v>
      </c>
      <c r="E3668">
        <v>3</v>
      </c>
      <c r="G3668" s="31">
        <f>Table132[[#This Row],[nb win]]/Table132[[#This Row],[nb play]]</f>
        <v>1</v>
      </c>
      <c r="H3668" t="str">
        <f>MID(Table132[[#This Row],[ÉTAT]],VALUE(RIGHT(Table132[[#This Row],[next move]],1))+1+VALUE(LEFT(Table132[[#This Row],[next move]],1))*3,1)</f>
        <v>V</v>
      </c>
      <c r="I3668" t="str">
        <f>Table132[[#This Row],[ÉTAT]]&amp;Table132[[#This Row],[next move]]</f>
        <v>MVMEVVEEM01</v>
      </c>
    </row>
    <row r="3669" spans="2:9" x14ac:dyDescent="0.25">
      <c r="B3669" t="s">
        <v>1815</v>
      </c>
      <c r="C3669" s="22" t="s">
        <v>26</v>
      </c>
      <c r="D3669">
        <v>1</v>
      </c>
      <c r="E3669">
        <v>1</v>
      </c>
      <c r="G3669" s="25">
        <f>Table132[[#This Row],[nb win]]/Table132[[#This Row],[nb play]]</f>
        <v>1</v>
      </c>
      <c r="H3669" t="str">
        <f>MID(Table132[[#This Row],[ÉTAT]],VALUE(RIGHT(Table132[[#This Row],[next move]],1))+1+VALUE(LEFT(Table132[[#This Row],[next move]],1))*3,1)</f>
        <v>V</v>
      </c>
      <c r="I3669" t="str">
        <f>Table132[[#This Row],[ÉTAT]]&amp;Table132[[#This Row],[next move]]</f>
        <v>MVMEVMVEE01</v>
      </c>
    </row>
    <row r="3670" spans="2:9" x14ac:dyDescent="0.25">
      <c r="B3670" t="s">
        <v>1815</v>
      </c>
      <c r="C3670" s="22" t="s">
        <v>29</v>
      </c>
      <c r="D3670">
        <v>1</v>
      </c>
      <c r="G3670" s="25">
        <f>Table132[[#This Row],[nb win]]/Table132[[#This Row],[nb play]]</f>
        <v>0</v>
      </c>
      <c r="H3670" t="str">
        <f>MID(Table132[[#This Row],[ÉTAT]],VALUE(RIGHT(Table132[[#This Row],[next move]],1))+1+VALUE(LEFT(Table132[[#This Row],[next move]],1))*3,1)</f>
        <v>V</v>
      </c>
      <c r="I3670" t="str">
        <f>Table132[[#This Row],[ÉTAT]]&amp;Table132[[#This Row],[next move]]</f>
        <v>MVMEVMVEE11</v>
      </c>
    </row>
    <row r="3671" spans="2:9" x14ac:dyDescent="0.25">
      <c r="B3671" t="s">
        <v>429</v>
      </c>
      <c r="C3671" s="22" t="s">
        <v>22</v>
      </c>
      <c r="D3671">
        <v>1</v>
      </c>
      <c r="E3671">
        <v>1</v>
      </c>
      <c r="G3671" s="25">
        <f>Table132[[#This Row],[nb win]]/Table132[[#This Row],[nb play]]</f>
        <v>1</v>
      </c>
      <c r="H3671" t="str">
        <f>MID(Table132[[#This Row],[ÉTAT]],VALUE(RIGHT(Table132[[#This Row],[next move]],1))+1+VALUE(LEFT(Table132[[#This Row],[next move]],1))*3,1)</f>
        <v>V</v>
      </c>
      <c r="I3671" t="str">
        <f>Table132[[#This Row],[ÉTAT]]&amp;Table132[[#This Row],[next move]]</f>
        <v>MVMEVMEVE21</v>
      </c>
    </row>
    <row r="3672" spans="2:9" x14ac:dyDescent="0.25">
      <c r="B3672" t="s">
        <v>393</v>
      </c>
      <c r="C3672" s="22" t="s">
        <v>26</v>
      </c>
      <c r="D3672">
        <v>4</v>
      </c>
      <c r="E3672">
        <v>4</v>
      </c>
      <c r="G3672" s="31">
        <f>Table132[[#This Row],[nb win]]/Table132[[#This Row],[nb play]]</f>
        <v>1</v>
      </c>
      <c r="H3672" t="str">
        <f>MID(Table132[[#This Row],[ÉTAT]],VALUE(RIGHT(Table132[[#This Row],[next move]],1))+1+VALUE(LEFT(Table132[[#This Row],[next move]],1))*3,1)</f>
        <v>V</v>
      </c>
      <c r="I3672" t="str">
        <f>Table132[[#This Row],[ÉTAT]]&amp;Table132[[#This Row],[next move]]</f>
        <v>MVMEVMEEV01</v>
      </c>
    </row>
    <row r="3673" spans="2:9" x14ac:dyDescent="0.25">
      <c r="B3673" t="s">
        <v>2713</v>
      </c>
      <c r="C3673" s="22" t="s">
        <v>35</v>
      </c>
      <c r="D3673">
        <v>2</v>
      </c>
      <c r="G3673" s="30">
        <f>Table132[[#This Row],[nb win]]/Table132[[#This Row],[nb play]]</f>
        <v>0</v>
      </c>
      <c r="H3673" t="str">
        <f>MID(Table132[[#This Row],[ÉTAT]],VALUE(RIGHT(Table132[[#This Row],[next move]],1))+1+VALUE(LEFT(Table132[[#This Row],[next move]],1))*3,1)</f>
        <v>V</v>
      </c>
      <c r="I3673" t="str">
        <f>Table132[[#This Row],[ÉTAT]]&amp;Table132[[#This Row],[next move]]</f>
        <v>MVMEVEVVV20</v>
      </c>
    </row>
    <row r="3674" spans="2:9" x14ac:dyDescent="0.25">
      <c r="B3674" t="s">
        <v>2713</v>
      </c>
      <c r="C3674" s="22" t="s">
        <v>31</v>
      </c>
      <c r="D3674">
        <v>3</v>
      </c>
      <c r="E3674">
        <v>2</v>
      </c>
      <c r="G3674" s="30">
        <f>Table132[[#This Row],[nb win]]/Table132[[#This Row],[nb play]]</f>
        <v>0.66666666666666663</v>
      </c>
      <c r="H3674" t="str">
        <f>MID(Table132[[#This Row],[ÉTAT]],VALUE(RIGHT(Table132[[#This Row],[next move]],1))+1+VALUE(LEFT(Table132[[#This Row],[next move]],1))*3,1)</f>
        <v>V</v>
      </c>
      <c r="I3674" t="str">
        <f>Table132[[#This Row],[ÉTAT]]&amp;Table132[[#This Row],[next move]]</f>
        <v>MVMEVEVVV22</v>
      </c>
    </row>
    <row r="3675" spans="2:9" x14ac:dyDescent="0.25">
      <c r="B3675" t="s">
        <v>1971</v>
      </c>
      <c r="C3675" s="22" t="s">
        <v>26</v>
      </c>
      <c r="D3675">
        <v>3</v>
      </c>
      <c r="E3675">
        <v>3</v>
      </c>
      <c r="G3675" s="25">
        <f>Table132[[#This Row],[nb win]]/Table132[[#This Row],[nb play]]</f>
        <v>1</v>
      </c>
      <c r="H3675" t="str">
        <f>MID(Table132[[#This Row],[ÉTAT]],VALUE(RIGHT(Table132[[#This Row],[next move]],1))+1+VALUE(LEFT(Table132[[#This Row],[next move]],1))*3,1)</f>
        <v>V</v>
      </c>
      <c r="I3675" t="str">
        <f>Table132[[#This Row],[ÉTAT]]&amp;Table132[[#This Row],[next move]]</f>
        <v>MVMEVEVVE01</v>
      </c>
    </row>
    <row r="3676" spans="2:9" x14ac:dyDescent="0.25">
      <c r="B3676" t="s">
        <v>2465</v>
      </c>
      <c r="C3676" s="22" t="s">
        <v>29</v>
      </c>
      <c r="D3676">
        <v>2</v>
      </c>
      <c r="E3676">
        <v>2</v>
      </c>
      <c r="G3676" s="31">
        <f>Table132[[#This Row],[nb win]]/Table132[[#This Row],[nb play]]</f>
        <v>1</v>
      </c>
      <c r="H3676" t="str">
        <f>MID(Table132[[#This Row],[ÉTAT]],VALUE(RIGHT(Table132[[#This Row],[next move]],1))+1+VALUE(LEFT(Table132[[#This Row],[next move]],1))*3,1)</f>
        <v>V</v>
      </c>
      <c r="I3676" t="str">
        <f>Table132[[#This Row],[ÉTAT]]&amp;Table132[[#This Row],[next move]]</f>
        <v>MVMEVEVME11</v>
      </c>
    </row>
    <row r="3677" spans="2:9" x14ac:dyDescent="0.25">
      <c r="B3677" t="s">
        <v>2465</v>
      </c>
      <c r="C3677" s="22" t="s">
        <v>35</v>
      </c>
      <c r="D3677">
        <v>1</v>
      </c>
      <c r="G3677" s="25">
        <f>Table132[[#This Row],[nb win]]/Table132[[#This Row],[nb play]]</f>
        <v>0</v>
      </c>
      <c r="H3677" t="str">
        <f>MID(Table132[[#This Row],[ÉTAT]],VALUE(RIGHT(Table132[[#This Row],[next move]],1))+1+VALUE(LEFT(Table132[[#This Row],[next move]],1))*3,1)</f>
        <v>V</v>
      </c>
      <c r="I3677" t="str">
        <f>Table132[[#This Row],[ÉTAT]]&amp;Table132[[#This Row],[next move]]</f>
        <v>MVMEVEVME20</v>
      </c>
    </row>
    <row r="3678" spans="2:9" x14ac:dyDescent="0.25">
      <c r="B3678" t="s">
        <v>2399</v>
      </c>
      <c r="C3678" s="22" t="s">
        <v>26</v>
      </c>
      <c r="D3678">
        <v>1</v>
      </c>
      <c r="E3678">
        <v>1</v>
      </c>
      <c r="G3678" s="25">
        <f>Table132[[#This Row],[nb win]]/Table132[[#This Row],[nb play]]</f>
        <v>1</v>
      </c>
      <c r="H3678" t="str">
        <f>MID(Table132[[#This Row],[ÉTAT]],VALUE(RIGHT(Table132[[#This Row],[next move]],1))+1+VALUE(LEFT(Table132[[#This Row],[next move]],1))*3,1)</f>
        <v>V</v>
      </c>
      <c r="I3678" t="str">
        <f>Table132[[#This Row],[ÉTAT]]&amp;Table132[[#This Row],[next move]]</f>
        <v>MVMEVEVEV01</v>
      </c>
    </row>
    <row r="3679" spans="2:9" x14ac:dyDescent="0.25">
      <c r="B3679" t="s">
        <v>1749</v>
      </c>
      <c r="C3679" s="22" t="s">
        <v>29</v>
      </c>
      <c r="D3679">
        <v>3</v>
      </c>
      <c r="E3679">
        <v>3</v>
      </c>
      <c r="G3679" s="31">
        <f>Table132[[#This Row],[nb win]]/Table132[[#This Row],[nb play]]</f>
        <v>1</v>
      </c>
      <c r="H3679" t="str">
        <f>MID(Table132[[#This Row],[ÉTAT]],VALUE(RIGHT(Table132[[#This Row],[next move]],1))+1+VALUE(LEFT(Table132[[#This Row],[next move]],1))*3,1)</f>
        <v>V</v>
      </c>
      <c r="I3679" t="str">
        <f>Table132[[#This Row],[ÉTAT]]&amp;Table132[[#This Row],[next move]]</f>
        <v>MVMEVEVEM11</v>
      </c>
    </row>
    <row r="3680" spans="2:9" x14ac:dyDescent="0.25">
      <c r="B3680" t="s">
        <v>1749</v>
      </c>
      <c r="C3680" s="22" t="s">
        <v>35</v>
      </c>
      <c r="D3680">
        <v>2</v>
      </c>
      <c r="G3680" s="30">
        <f>Table132[[#This Row],[nb win]]/Table132[[#This Row],[nb play]]</f>
        <v>0</v>
      </c>
      <c r="H3680" t="str">
        <f>MID(Table132[[#This Row],[ÉTAT]],VALUE(RIGHT(Table132[[#This Row],[next move]],1))+1+VALUE(LEFT(Table132[[#This Row],[next move]],1))*3,1)</f>
        <v>V</v>
      </c>
      <c r="I3680" t="str">
        <f>Table132[[#This Row],[ÉTAT]]&amp;Table132[[#This Row],[next move]]</f>
        <v>MVMEVEVEM20</v>
      </c>
    </row>
    <row r="3681" spans="2:9" x14ac:dyDescent="0.25">
      <c r="B3681" t="s">
        <v>2581</v>
      </c>
      <c r="C3681" s="22" t="s">
        <v>26</v>
      </c>
      <c r="D3681">
        <v>2</v>
      </c>
      <c r="E3681">
        <v>2</v>
      </c>
      <c r="G3681" s="31">
        <f>Table132[[#This Row],[nb win]]/Table132[[#This Row],[nb play]]</f>
        <v>1</v>
      </c>
      <c r="H3681" t="str">
        <f>MID(Table132[[#This Row],[ÉTAT]],VALUE(RIGHT(Table132[[#This Row],[next move]],1))+1+VALUE(LEFT(Table132[[#This Row],[next move]],1))*3,1)</f>
        <v>V</v>
      </c>
      <c r="I3681" t="str">
        <f>Table132[[#This Row],[ÉTAT]]&amp;Table132[[#This Row],[next move]]</f>
        <v>MVMEVEMEE01</v>
      </c>
    </row>
    <row r="3682" spans="2:9" x14ac:dyDescent="0.25">
      <c r="B3682" t="s">
        <v>2780</v>
      </c>
      <c r="C3682" s="22" t="s">
        <v>26</v>
      </c>
      <c r="D3682">
        <v>1</v>
      </c>
      <c r="E3682">
        <v>1</v>
      </c>
      <c r="G3682" s="25">
        <f>Table132[[#This Row],[nb win]]/Table132[[#This Row],[nb play]]</f>
        <v>1</v>
      </c>
      <c r="H3682" t="str">
        <f>MID(Table132[[#This Row],[ÉTAT]],VALUE(RIGHT(Table132[[#This Row],[next move]],1))+1+VALUE(LEFT(Table132[[#This Row],[next move]],1))*3,1)</f>
        <v>V</v>
      </c>
      <c r="I3682" t="str">
        <f>Table132[[#This Row],[ÉTAT]]&amp;Table132[[#This Row],[next move]]</f>
        <v>MVMEVEEVV01</v>
      </c>
    </row>
    <row r="3683" spans="2:9" x14ac:dyDescent="0.25">
      <c r="B3683" t="s">
        <v>424</v>
      </c>
      <c r="C3683" s="22" t="s">
        <v>29</v>
      </c>
      <c r="D3683">
        <v>4</v>
      </c>
      <c r="E3683">
        <v>4</v>
      </c>
      <c r="G3683" s="25">
        <f>Table132[[#This Row],[nb win]]/Table132[[#This Row],[nb play]]</f>
        <v>1</v>
      </c>
      <c r="H3683" t="str">
        <f>MID(Table132[[#This Row],[ÉTAT]],VALUE(RIGHT(Table132[[#This Row],[next move]],1))+1+VALUE(LEFT(Table132[[#This Row],[next move]],1))*3,1)</f>
        <v>V</v>
      </c>
      <c r="I3683" t="str">
        <f>Table132[[#This Row],[ÉTAT]]&amp;Table132[[#This Row],[next move]]</f>
        <v>MVMEVEEMV11</v>
      </c>
    </row>
    <row r="3684" spans="2:9" x14ac:dyDescent="0.25">
      <c r="B3684" t="s">
        <v>424</v>
      </c>
      <c r="C3684" s="22" t="s">
        <v>31</v>
      </c>
      <c r="D3684">
        <v>1</v>
      </c>
      <c r="G3684" s="25">
        <f>Table132[[#This Row],[nb win]]/Table132[[#This Row],[nb play]]</f>
        <v>0</v>
      </c>
      <c r="H3684" t="str">
        <f>MID(Table132[[#This Row],[ÉTAT]],VALUE(RIGHT(Table132[[#This Row],[next move]],1))+1+VALUE(LEFT(Table132[[#This Row],[next move]],1))*3,1)</f>
        <v>V</v>
      </c>
      <c r="I3684" t="str">
        <f>Table132[[#This Row],[ÉTAT]]&amp;Table132[[#This Row],[next move]]</f>
        <v>MVMEVEEMV22</v>
      </c>
    </row>
    <row r="3685" spans="2:9" x14ac:dyDescent="0.25">
      <c r="B3685" t="s">
        <v>2603</v>
      </c>
      <c r="C3685" s="22" t="s">
        <v>26</v>
      </c>
      <c r="D3685">
        <v>2</v>
      </c>
      <c r="E3685">
        <v>2</v>
      </c>
      <c r="G3685" s="31">
        <f>Table132[[#This Row],[nb win]]/Table132[[#This Row],[nb play]]</f>
        <v>1</v>
      </c>
      <c r="H3685" t="str">
        <f>MID(Table132[[#This Row],[ÉTAT]],VALUE(RIGHT(Table132[[#This Row],[next move]],1))+1+VALUE(LEFT(Table132[[#This Row],[next move]],1))*3,1)</f>
        <v>V</v>
      </c>
      <c r="I3685" t="str">
        <f>Table132[[#This Row],[ÉTAT]]&amp;Table132[[#This Row],[next move]]</f>
        <v>MVMEVEEME01</v>
      </c>
    </row>
    <row r="3686" spans="2:9" x14ac:dyDescent="0.25">
      <c r="B3686" t="s">
        <v>1521</v>
      </c>
      <c r="C3686" s="22" t="s">
        <v>29</v>
      </c>
      <c r="D3686">
        <v>2</v>
      </c>
      <c r="E3686">
        <v>2</v>
      </c>
      <c r="G3686" s="31">
        <f>Table132[[#This Row],[nb win]]/Table132[[#This Row],[nb play]]</f>
        <v>1</v>
      </c>
      <c r="H3686" t="str">
        <f>MID(Table132[[#This Row],[ÉTAT]],VALUE(RIGHT(Table132[[#This Row],[next move]],1))+1+VALUE(LEFT(Table132[[#This Row],[next move]],1))*3,1)</f>
        <v>V</v>
      </c>
      <c r="I3686" t="str">
        <f>Table132[[#This Row],[ÉTAT]]&amp;Table132[[#This Row],[next move]]</f>
        <v>MVMEVEEEM11</v>
      </c>
    </row>
    <row r="3687" spans="2:9" x14ac:dyDescent="0.25">
      <c r="B3687" t="s">
        <v>2790</v>
      </c>
      <c r="C3687" s="22" t="s">
        <v>35</v>
      </c>
      <c r="D3687">
        <v>3</v>
      </c>
      <c r="E3687">
        <v>3</v>
      </c>
      <c r="G3687" s="31">
        <f>Table132[[#This Row],[nb win]]/Table132[[#This Row],[nb play]]</f>
        <v>1</v>
      </c>
      <c r="H3687" t="str">
        <f>MID(Table132[[#This Row],[ÉTAT]],VALUE(RIGHT(Table132[[#This Row],[next move]],1))+1+VALUE(LEFT(Table132[[#This Row],[next move]],1))*3,1)</f>
        <v>V</v>
      </c>
      <c r="I3687" t="str">
        <f>Table132[[#This Row],[ÉTAT]]&amp;Table132[[#This Row],[next move]]</f>
        <v>MVMEMVVEE20</v>
      </c>
    </row>
    <row r="3688" spans="2:9" x14ac:dyDescent="0.25">
      <c r="B3688" t="s">
        <v>236</v>
      </c>
      <c r="C3688" s="22" t="s">
        <v>26</v>
      </c>
      <c r="D3688">
        <v>1</v>
      </c>
      <c r="E3688">
        <v>1</v>
      </c>
      <c r="G3688" s="25">
        <f>Table132[[#This Row],[nb win]]/Table132[[#This Row],[nb play]]</f>
        <v>1</v>
      </c>
      <c r="H3688" t="str">
        <f>MID(Table132[[#This Row],[ÉTAT]],VALUE(RIGHT(Table132[[#This Row],[next move]],1))+1+VALUE(LEFT(Table132[[#This Row],[next move]],1))*3,1)</f>
        <v>V</v>
      </c>
      <c r="I3688" t="str">
        <f>Table132[[#This Row],[ÉTAT]]&amp;Table132[[#This Row],[next move]]</f>
        <v>MVMEMVEVE01</v>
      </c>
    </row>
    <row r="3689" spans="2:9" x14ac:dyDescent="0.25">
      <c r="B3689" t="s">
        <v>236</v>
      </c>
      <c r="C3689" s="22" t="s">
        <v>28</v>
      </c>
      <c r="D3689">
        <v>1</v>
      </c>
      <c r="G3689" s="25">
        <f>Table132[[#This Row],[nb win]]/Table132[[#This Row],[nb play]]</f>
        <v>0</v>
      </c>
      <c r="H3689" t="str">
        <f>MID(Table132[[#This Row],[ÉTAT]],VALUE(RIGHT(Table132[[#This Row],[next move]],1))+1+VALUE(LEFT(Table132[[#This Row],[next move]],1))*3,1)</f>
        <v>V</v>
      </c>
      <c r="I3689" t="str">
        <f>Table132[[#This Row],[ÉTAT]]&amp;Table132[[#This Row],[next move]]</f>
        <v>MVMEMVEVE12</v>
      </c>
    </row>
    <row r="3690" spans="2:9" x14ac:dyDescent="0.25">
      <c r="B3690" t="s">
        <v>305</v>
      </c>
      <c r="C3690" s="22" t="s">
        <v>26</v>
      </c>
      <c r="D3690">
        <v>5</v>
      </c>
      <c r="E3690">
        <v>5</v>
      </c>
      <c r="G3690" s="31">
        <f>Table132[[#This Row],[nb win]]/Table132[[#This Row],[nb play]]</f>
        <v>1</v>
      </c>
      <c r="H3690" t="str">
        <f>MID(Table132[[#This Row],[ÉTAT]],VALUE(RIGHT(Table132[[#This Row],[next move]],1))+1+VALUE(LEFT(Table132[[#This Row],[next move]],1))*3,1)</f>
        <v>V</v>
      </c>
      <c r="I3690" t="str">
        <f>Table132[[#This Row],[ÉTAT]]&amp;Table132[[#This Row],[next move]]</f>
        <v>MVMEMVEEV01</v>
      </c>
    </row>
    <row r="3691" spans="2:9" x14ac:dyDescent="0.25">
      <c r="B3691" t="s">
        <v>1041</v>
      </c>
      <c r="C3691" s="22" t="s">
        <v>35</v>
      </c>
      <c r="D3691">
        <v>5</v>
      </c>
      <c r="E3691">
        <v>5</v>
      </c>
      <c r="G3691" s="31">
        <f>Table132[[#This Row],[nb win]]/Table132[[#This Row],[nb play]]</f>
        <v>1</v>
      </c>
      <c r="H3691" t="str">
        <f>MID(Table132[[#This Row],[ÉTAT]],VALUE(RIGHT(Table132[[#This Row],[next move]],1))+1+VALUE(LEFT(Table132[[#This Row],[next move]],1))*3,1)</f>
        <v>V</v>
      </c>
      <c r="I3691" t="str">
        <f>Table132[[#This Row],[ÉTAT]]&amp;Table132[[#This Row],[next move]]</f>
        <v>MVMEMEVVE20</v>
      </c>
    </row>
    <row r="3692" spans="2:9" x14ac:dyDescent="0.25">
      <c r="B3692" t="s">
        <v>841</v>
      </c>
      <c r="C3692" s="22" t="s">
        <v>31</v>
      </c>
      <c r="D3692">
        <v>5</v>
      </c>
      <c r="E3692">
        <v>5</v>
      </c>
      <c r="G3692" s="31">
        <f>Table132[[#This Row],[nb win]]/Table132[[#This Row],[nb play]]</f>
        <v>1</v>
      </c>
      <c r="H3692" t="str">
        <f>MID(Table132[[#This Row],[ÉTAT]],VALUE(RIGHT(Table132[[#This Row],[next move]],1))+1+VALUE(LEFT(Table132[[#This Row],[next move]],1))*3,1)</f>
        <v>V</v>
      </c>
      <c r="I3692" t="str">
        <f>Table132[[#This Row],[ÉTAT]]&amp;Table132[[#This Row],[next move]]</f>
        <v>MVMEMEVEV22</v>
      </c>
    </row>
    <row r="3693" spans="2:9" x14ac:dyDescent="0.25">
      <c r="B3693" t="s">
        <v>3291</v>
      </c>
      <c r="C3693" s="22" t="s">
        <v>35</v>
      </c>
      <c r="D3693">
        <v>2</v>
      </c>
      <c r="E3693">
        <v>2</v>
      </c>
      <c r="G3693" s="31">
        <f>Table132[[#This Row],[nb win]]/Table132[[#This Row],[nb play]]</f>
        <v>1</v>
      </c>
      <c r="H3693" t="str">
        <f>MID(Table132[[#This Row],[ÉTAT]],VALUE(RIGHT(Table132[[#This Row],[next move]],1))+1+VALUE(LEFT(Table132[[#This Row],[next move]],1))*3,1)</f>
        <v>V</v>
      </c>
      <c r="I3693" t="str">
        <f>Table132[[#This Row],[ÉTAT]]&amp;Table132[[#This Row],[next move]]</f>
        <v>MVMEMEVEE20</v>
      </c>
    </row>
    <row r="3694" spans="2:9" x14ac:dyDescent="0.25">
      <c r="B3694" t="s">
        <v>979</v>
      </c>
      <c r="C3694" s="22" t="s">
        <v>31</v>
      </c>
      <c r="D3694">
        <v>3</v>
      </c>
      <c r="E3694">
        <v>3</v>
      </c>
      <c r="G3694" s="31">
        <f>Table132[[#This Row],[nb win]]/Table132[[#This Row],[nb play]]</f>
        <v>1</v>
      </c>
      <c r="H3694" t="str">
        <f>MID(Table132[[#This Row],[ÉTAT]],VALUE(RIGHT(Table132[[#This Row],[next move]],1))+1+VALUE(LEFT(Table132[[#This Row],[next move]],1))*3,1)</f>
        <v>V</v>
      </c>
      <c r="I3694" t="str">
        <f>Table132[[#This Row],[ÉTAT]]&amp;Table132[[#This Row],[next move]]</f>
        <v>MVMEMEEVV22</v>
      </c>
    </row>
    <row r="3695" spans="2:9" x14ac:dyDescent="0.25">
      <c r="B3695" t="s">
        <v>1285</v>
      </c>
      <c r="C3695" s="22" t="s">
        <v>26</v>
      </c>
      <c r="D3695">
        <v>2</v>
      </c>
      <c r="E3695">
        <v>2</v>
      </c>
      <c r="G3695" s="31">
        <f>Table132[[#This Row],[nb win]]/Table132[[#This Row],[nb play]]</f>
        <v>1</v>
      </c>
      <c r="H3695" t="str">
        <f>MID(Table132[[#This Row],[ÉTAT]],VALUE(RIGHT(Table132[[#This Row],[next move]],1))+1+VALUE(LEFT(Table132[[#This Row],[next move]],1))*3,1)</f>
        <v>V</v>
      </c>
      <c r="I3695" t="str">
        <f>Table132[[#This Row],[ÉTAT]]&amp;Table132[[#This Row],[next move]]</f>
        <v>MVMEMEEVE01</v>
      </c>
    </row>
    <row r="3696" spans="2:9" x14ac:dyDescent="0.25">
      <c r="B3696" t="s">
        <v>826</v>
      </c>
      <c r="C3696" s="22" t="s">
        <v>26</v>
      </c>
      <c r="D3696">
        <v>5</v>
      </c>
      <c r="E3696">
        <v>5</v>
      </c>
      <c r="G3696" s="31">
        <f>Table132[[#This Row],[nb win]]/Table132[[#This Row],[nb play]]</f>
        <v>1</v>
      </c>
      <c r="H3696" t="str">
        <f>MID(Table132[[#This Row],[ÉTAT]],VALUE(RIGHT(Table132[[#This Row],[next move]],1))+1+VALUE(LEFT(Table132[[#This Row],[next move]],1))*3,1)</f>
        <v>V</v>
      </c>
      <c r="I3696" t="str">
        <f>Table132[[#This Row],[ÉTAT]]&amp;Table132[[#This Row],[next move]]</f>
        <v>MVMEMEEME01</v>
      </c>
    </row>
    <row r="3697" spans="2:9" x14ac:dyDescent="0.25">
      <c r="B3697" t="s">
        <v>817</v>
      </c>
      <c r="C3697" s="22" t="s">
        <v>31</v>
      </c>
      <c r="D3697">
        <v>4</v>
      </c>
      <c r="E3697">
        <v>4</v>
      </c>
      <c r="G3697" s="31">
        <f>Table132[[#This Row],[nb win]]/Table132[[#This Row],[nb play]]</f>
        <v>1</v>
      </c>
      <c r="H3697" t="str">
        <f>MID(Table132[[#This Row],[ÉTAT]],VALUE(RIGHT(Table132[[#This Row],[next move]],1))+1+VALUE(LEFT(Table132[[#This Row],[next move]],1))*3,1)</f>
        <v>V</v>
      </c>
      <c r="I3697" t="str">
        <f>Table132[[#This Row],[ÉTAT]]&amp;Table132[[#This Row],[next move]]</f>
        <v>MVMEMEEEV22</v>
      </c>
    </row>
    <row r="3698" spans="2:9" x14ac:dyDescent="0.25">
      <c r="B3698" t="s">
        <v>1640</v>
      </c>
      <c r="C3698" s="22" t="s">
        <v>26</v>
      </c>
      <c r="D3698">
        <v>3</v>
      </c>
      <c r="E3698">
        <v>3</v>
      </c>
      <c r="G3698" s="31">
        <f>Table132[[#This Row],[nb win]]/Table132[[#This Row],[nb play]]</f>
        <v>1</v>
      </c>
      <c r="H3698" t="str">
        <f>MID(Table132[[#This Row],[ÉTAT]],VALUE(RIGHT(Table132[[#This Row],[next move]],1))+1+VALUE(LEFT(Table132[[#This Row],[next move]],1))*3,1)</f>
        <v>V</v>
      </c>
      <c r="I3698" t="str">
        <f>Table132[[#This Row],[ÉTAT]]&amp;Table132[[#This Row],[next move]]</f>
        <v>MVMEEVVVE01</v>
      </c>
    </row>
    <row r="3699" spans="2:9" x14ac:dyDescent="0.25">
      <c r="B3699" t="s">
        <v>3077</v>
      </c>
      <c r="C3699" s="22" t="s">
        <v>26</v>
      </c>
      <c r="D3699">
        <v>1</v>
      </c>
      <c r="E3699">
        <v>1</v>
      </c>
      <c r="G3699" s="31">
        <f>Table132[[#This Row],[nb win]]/Table132[[#This Row],[nb play]]</f>
        <v>1</v>
      </c>
      <c r="H3699" t="str">
        <f>MID(Table132[[#This Row],[ÉTAT]],VALUE(RIGHT(Table132[[#This Row],[next move]],1))+1+VALUE(LEFT(Table132[[#This Row],[next move]],1))*3,1)</f>
        <v>V</v>
      </c>
      <c r="I3699" t="str">
        <f>Table132[[#This Row],[ÉTAT]]&amp;Table132[[#This Row],[next move]]</f>
        <v>MVMEEVVME01</v>
      </c>
    </row>
    <row r="3700" spans="2:9" x14ac:dyDescent="0.25">
      <c r="B3700" t="s">
        <v>2252</v>
      </c>
      <c r="C3700" s="22" t="s">
        <v>28</v>
      </c>
      <c r="D3700">
        <v>1</v>
      </c>
      <c r="E3700">
        <v>1</v>
      </c>
      <c r="G3700" s="25">
        <f>Table132[[#This Row],[nb win]]/Table132[[#This Row],[nb play]]</f>
        <v>1</v>
      </c>
      <c r="H3700" t="str">
        <f>MID(Table132[[#This Row],[ÉTAT]],VALUE(RIGHT(Table132[[#This Row],[next move]],1))+1+VALUE(LEFT(Table132[[#This Row],[next move]],1))*3,1)</f>
        <v>V</v>
      </c>
      <c r="I3700" t="str">
        <f>Table132[[#This Row],[ÉTAT]]&amp;Table132[[#This Row],[next move]]</f>
        <v>MVMEEVVEV12</v>
      </c>
    </row>
    <row r="3701" spans="2:9" x14ac:dyDescent="0.25">
      <c r="B3701" t="s">
        <v>2776</v>
      </c>
      <c r="C3701" s="22" t="s">
        <v>28</v>
      </c>
      <c r="D3701">
        <v>3</v>
      </c>
      <c r="E3701">
        <v>3</v>
      </c>
      <c r="G3701" s="31">
        <f>Table132[[#This Row],[nb win]]/Table132[[#This Row],[nb play]]</f>
        <v>1</v>
      </c>
      <c r="H3701" t="str">
        <f>MID(Table132[[#This Row],[ÉTAT]],VALUE(RIGHT(Table132[[#This Row],[next move]],1))+1+VALUE(LEFT(Table132[[#This Row],[next move]],1))*3,1)</f>
        <v>V</v>
      </c>
      <c r="I3701" t="str">
        <f>Table132[[#This Row],[ÉTAT]]&amp;Table132[[#This Row],[next move]]</f>
        <v>MVMEEVVEM12</v>
      </c>
    </row>
    <row r="3702" spans="2:9" x14ac:dyDescent="0.25">
      <c r="B3702" t="s">
        <v>2586</v>
      </c>
      <c r="C3702" s="22" t="s">
        <v>31</v>
      </c>
      <c r="D3702">
        <v>1</v>
      </c>
      <c r="G3702" s="25">
        <f>Table132[[#This Row],[nb win]]/Table132[[#This Row],[nb play]]</f>
        <v>0</v>
      </c>
      <c r="H3702" t="str">
        <f>MID(Table132[[#This Row],[ÉTAT]],VALUE(RIGHT(Table132[[#This Row],[next move]],1))+1+VALUE(LEFT(Table132[[#This Row],[next move]],1))*3,1)</f>
        <v>V</v>
      </c>
      <c r="I3702" t="str">
        <f>Table132[[#This Row],[ÉTAT]]&amp;Table132[[#This Row],[next move]]</f>
        <v>MVMEEVMEV22</v>
      </c>
    </row>
    <row r="3703" spans="2:9" x14ac:dyDescent="0.25">
      <c r="B3703" t="s">
        <v>1505</v>
      </c>
      <c r="C3703" s="22" t="s">
        <v>26</v>
      </c>
      <c r="D3703">
        <v>2</v>
      </c>
      <c r="E3703">
        <v>2</v>
      </c>
      <c r="G3703" s="25">
        <f>Table132[[#This Row],[nb win]]/Table132[[#This Row],[nb play]]</f>
        <v>1</v>
      </c>
      <c r="H3703" t="str">
        <f>MID(Table132[[#This Row],[ÉTAT]],VALUE(RIGHT(Table132[[#This Row],[next move]],1))+1+VALUE(LEFT(Table132[[#This Row],[next move]],1))*3,1)</f>
        <v>V</v>
      </c>
      <c r="I3703" t="str">
        <f>Table132[[#This Row],[ÉTAT]]&amp;Table132[[#This Row],[next move]]</f>
        <v>MVMEEVMEE01</v>
      </c>
    </row>
    <row r="3704" spans="2:9" x14ac:dyDescent="0.25">
      <c r="B3704" t="s">
        <v>1990</v>
      </c>
      <c r="C3704" s="22" t="s">
        <v>26</v>
      </c>
      <c r="D3704">
        <v>4</v>
      </c>
      <c r="E3704">
        <v>4</v>
      </c>
      <c r="G3704" s="25">
        <f>Table132[[#This Row],[nb win]]/Table132[[#This Row],[nb play]]</f>
        <v>1</v>
      </c>
      <c r="H3704" t="str">
        <f>MID(Table132[[#This Row],[ÉTAT]],VALUE(RIGHT(Table132[[#This Row],[next move]],1))+1+VALUE(LEFT(Table132[[#This Row],[next move]],1))*3,1)</f>
        <v>V</v>
      </c>
      <c r="I3704" t="str">
        <f>Table132[[#This Row],[ÉTAT]]&amp;Table132[[#This Row],[next move]]</f>
        <v>MVMEEVEVV01</v>
      </c>
    </row>
    <row r="3705" spans="2:9" x14ac:dyDescent="0.25">
      <c r="B3705" t="s">
        <v>239</v>
      </c>
      <c r="C3705" s="22" t="s">
        <v>28</v>
      </c>
      <c r="D3705">
        <v>3</v>
      </c>
      <c r="E3705">
        <v>3</v>
      </c>
      <c r="G3705" s="31">
        <f>Table132[[#This Row],[nb win]]/Table132[[#This Row],[nb play]]</f>
        <v>1</v>
      </c>
      <c r="H3705" t="str">
        <f>MID(Table132[[#This Row],[ÉTAT]],VALUE(RIGHT(Table132[[#This Row],[next move]],1))+1+VALUE(LEFT(Table132[[#This Row],[next move]],1))*3,1)</f>
        <v>V</v>
      </c>
      <c r="I3705" t="str">
        <f>Table132[[#This Row],[ÉTAT]]&amp;Table132[[#This Row],[next move]]</f>
        <v>MVMEEVEVM12</v>
      </c>
    </row>
    <row r="3706" spans="2:9" x14ac:dyDescent="0.25">
      <c r="B3706" t="s">
        <v>1096</v>
      </c>
      <c r="C3706" s="22" t="s">
        <v>26</v>
      </c>
      <c r="D3706">
        <v>2</v>
      </c>
      <c r="E3706">
        <v>2</v>
      </c>
      <c r="G3706" s="25">
        <f>Table132[[#This Row],[nb win]]/Table132[[#This Row],[nb play]]</f>
        <v>1</v>
      </c>
      <c r="H3706" t="str">
        <f>MID(Table132[[#This Row],[ÉTAT]],VALUE(RIGHT(Table132[[#This Row],[next move]],1))+1+VALUE(LEFT(Table132[[#This Row],[next move]],1))*3,1)</f>
        <v>V</v>
      </c>
      <c r="I3706" t="str">
        <f>Table132[[#This Row],[ÉTAT]]&amp;Table132[[#This Row],[next move]]</f>
        <v>MVMEEVEMV01</v>
      </c>
    </row>
    <row r="3707" spans="2:9" x14ac:dyDescent="0.25">
      <c r="B3707" t="s">
        <v>2542</v>
      </c>
      <c r="C3707" s="22" t="s">
        <v>26</v>
      </c>
      <c r="D3707">
        <v>3</v>
      </c>
      <c r="E3707">
        <v>3</v>
      </c>
      <c r="G3707" s="31">
        <f>Table132[[#This Row],[nb win]]/Table132[[#This Row],[nb play]]</f>
        <v>1</v>
      </c>
      <c r="H3707" t="str">
        <f>MID(Table132[[#This Row],[ÉTAT]],VALUE(RIGHT(Table132[[#This Row],[next move]],1))+1+VALUE(LEFT(Table132[[#This Row],[next move]],1))*3,1)</f>
        <v>V</v>
      </c>
      <c r="I3707" t="str">
        <f>Table132[[#This Row],[ÉTAT]]&amp;Table132[[#This Row],[next move]]</f>
        <v>MVMEEVEME01</v>
      </c>
    </row>
    <row r="3708" spans="2:9" x14ac:dyDescent="0.25">
      <c r="B3708" t="s">
        <v>3319</v>
      </c>
      <c r="C3708" s="22" t="s">
        <v>28</v>
      </c>
      <c r="D3708">
        <v>2</v>
      </c>
      <c r="E3708">
        <v>2</v>
      </c>
      <c r="G3708" s="31">
        <f>Table132[[#This Row],[nb win]]/Table132[[#This Row],[nb play]]</f>
        <v>1</v>
      </c>
      <c r="H3708" t="str">
        <f>MID(Table132[[#This Row],[ÉTAT]],VALUE(RIGHT(Table132[[#This Row],[next move]],1))+1+VALUE(LEFT(Table132[[#This Row],[next move]],1))*3,1)</f>
        <v>V</v>
      </c>
      <c r="I3708" t="str">
        <f>Table132[[#This Row],[ÉTAT]]&amp;Table132[[#This Row],[next move]]</f>
        <v>MVMEEVEEM12</v>
      </c>
    </row>
    <row r="3709" spans="2:9" x14ac:dyDescent="0.25">
      <c r="B3709" t="s">
        <v>1423</v>
      </c>
      <c r="C3709" s="22" t="s">
        <v>26</v>
      </c>
      <c r="D3709">
        <v>3</v>
      </c>
      <c r="E3709">
        <v>3</v>
      </c>
      <c r="G3709" s="31">
        <f>Table132[[#This Row],[nb win]]/Table132[[#This Row],[nb play]]</f>
        <v>1</v>
      </c>
      <c r="H3709" t="str">
        <f>MID(Table132[[#This Row],[ÉTAT]],VALUE(RIGHT(Table132[[#This Row],[next move]],1))+1+VALUE(LEFT(Table132[[#This Row],[next move]],1))*3,1)</f>
        <v>V</v>
      </c>
      <c r="I3709" t="str">
        <f>Table132[[#This Row],[ÉTAT]]&amp;Table132[[#This Row],[next move]]</f>
        <v>MVMEEMVEV01</v>
      </c>
    </row>
    <row r="3710" spans="2:9" x14ac:dyDescent="0.25">
      <c r="B3710" t="s">
        <v>246</v>
      </c>
      <c r="C3710" s="22" t="s">
        <v>26</v>
      </c>
      <c r="D3710">
        <v>4</v>
      </c>
      <c r="E3710">
        <v>4</v>
      </c>
      <c r="G3710" s="31">
        <f>Table132[[#This Row],[nb win]]/Table132[[#This Row],[nb play]]</f>
        <v>1</v>
      </c>
      <c r="H3710" t="str">
        <f>MID(Table132[[#This Row],[ÉTAT]],VALUE(RIGHT(Table132[[#This Row],[next move]],1))+1+VALUE(LEFT(Table132[[#This Row],[next move]],1))*3,1)</f>
        <v>V</v>
      </c>
      <c r="I3710" t="str">
        <f>Table132[[#This Row],[ÉTAT]]&amp;Table132[[#This Row],[next move]]</f>
        <v>MVMEEMMEE01</v>
      </c>
    </row>
    <row r="3711" spans="2:9" x14ac:dyDescent="0.25">
      <c r="B3711" t="s">
        <v>454</v>
      </c>
      <c r="C3711" s="22" t="s">
        <v>22</v>
      </c>
      <c r="D3711">
        <v>3</v>
      </c>
      <c r="E3711">
        <v>3</v>
      </c>
      <c r="G3711" s="31">
        <f>Table132[[#This Row],[nb win]]/Table132[[#This Row],[nb play]]</f>
        <v>1</v>
      </c>
      <c r="H3711" t="str">
        <f>MID(Table132[[#This Row],[ÉTAT]],VALUE(RIGHT(Table132[[#This Row],[next move]],1))+1+VALUE(LEFT(Table132[[#This Row],[next move]],1))*3,1)</f>
        <v>V</v>
      </c>
      <c r="I3711" t="str">
        <f>Table132[[#This Row],[ÉTAT]]&amp;Table132[[#This Row],[next move]]</f>
        <v>MVMEEMEVV21</v>
      </c>
    </row>
    <row r="3712" spans="2:9" x14ac:dyDescent="0.25">
      <c r="B3712" t="s">
        <v>2810</v>
      </c>
      <c r="C3712" s="22" t="s">
        <v>26</v>
      </c>
      <c r="D3712">
        <v>1</v>
      </c>
      <c r="E3712">
        <v>1</v>
      </c>
      <c r="G3712" s="25">
        <f>Table132[[#This Row],[nb win]]/Table132[[#This Row],[nb play]]</f>
        <v>1</v>
      </c>
      <c r="H3712" t="str">
        <f>MID(Table132[[#This Row],[ÉTAT]],VALUE(RIGHT(Table132[[#This Row],[next move]],1))+1+VALUE(LEFT(Table132[[#This Row],[next move]],1))*3,1)</f>
        <v>V</v>
      </c>
      <c r="I3712" t="str">
        <f>Table132[[#This Row],[ÉTAT]]&amp;Table132[[#This Row],[next move]]</f>
        <v>MVMEEMEVE01</v>
      </c>
    </row>
    <row r="3713" spans="2:9" x14ac:dyDescent="0.25">
      <c r="B3713" t="s">
        <v>434</v>
      </c>
      <c r="C3713" s="22" t="s">
        <v>26</v>
      </c>
      <c r="D3713">
        <v>3</v>
      </c>
      <c r="E3713">
        <v>3</v>
      </c>
      <c r="G3713" s="31">
        <f>Table132[[#This Row],[nb win]]/Table132[[#This Row],[nb play]]</f>
        <v>1</v>
      </c>
      <c r="H3713" t="str">
        <f>MID(Table132[[#This Row],[ÉTAT]],VALUE(RIGHT(Table132[[#This Row],[next move]],1))+1+VALUE(LEFT(Table132[[#This Row],[next move]],1))*3,1)</f>
        <v>V</v>
      </c>
      <c r="I3713" t="str">
        <f>Table132[[#This Row],[ÉTAT]]&amp;Table132[[#This Row],[next move]]</f>
        <v>MVMEEMEME01</v>
      </c>
    </row>
    <row r="3714" spans="2:9" x14ac:dyDescent="0.25">
      <c r="B3714" t="s">
        <v>984</v>
      </c>
      <c r="C3714" s="22" t="s">
        <v>26</v>
      </c>
      <c r="D3714">
        <v>3</v>
      </c>
      <c r="E3714">
        <v>3</v>
      </c>
      <c r="G3714" s="25">
        <f>Table132[[#This Row],[nb win]]/Table132[[#This Row],[nb play]]</f>
        <v>1</v>
      </c>
      <c r="H3714" t="str">
        <f>MID(Table132[[#This Row],[ÉTAT]],VALUE(RIGHT(Table132[[#This Row],[next move]],1))+1+VALUE(LEFT(Table132[[#This Row],[next move]],1))*3,1)</f>
        <v>V</v>
      </c>
      <c r="I3714" t="str">
        <f>Table132[[#This Row],[ÉTAT]]&amp;Table132[[#This Row],[next move]]</f>
        <v>MVMEEMEEV01</v>
      </c>
    </row>
    <row r="3715" spans="2:9" x14ac:dyDescent="0.25">
      <c r="B3715" t="s">
        <v>121</v>
      </c>
      <c r="C3715" s="22" t="s">
        <v>30</v>
      </c>
      <c r="D3715">
        <v>7</v>
      </c>
      <c r="E3715">
        <v>6</v>
      </c>
      <c r="G3715" s="31">
        <f>Table132[[#This Row],[nb win]]/Table132[[#This Row],[nb play]]</f>
        <v>0.8571428571428571</v>
      </c>
      <c r="H3715" t="str">
        <f>MID(Table132[[#This Row],[ÉTAT]],VALUE(RIGHT(Table132[[#This Row],[next move]],1))+1+VALUE(LEFT(Table132[[#This Row],[next move]],1))*3,1)</f>
        <v>V</v>
      </c>
      <c r="I3715" t="str">
        <f>Table132[[#This Row],[ÉTAT]]&amp;Table132[[#This Row],[next move]]</f>
        <v>MVEVVVVVV10</v>
      </c>
    </row>
    <row r="3716" spans="2:9" x14ac:dyDescent="0.25">
      <c r="B3716" t="s">
        <v>121</v>
      </c>
      <c r="C3716" s="22" t="s">
        <v>29</v>
      </c>
      <c r="D3716">
        <v>17</v>
      </c>
      <c r="E3716">
        <v>15</v>
      </c>
      <c r="G3716" s="31">
        <f>Table132[[#This Row],[nb win]]/Table132[[#This Row],[nb play]]</f>
        <v>0.88235294117647056</v>
      </c>
      <c r="H3716" t="str">
        <f>MID(Table132[[#This Row],[ÉTAT]],VALUE(RIGHT(Table132[[#This Row],[next move]],1))+1+VALUE(LEFT(Table132[[#This Row],[next move]],1))*3,1)</f>
        <v>V</v>
      </c>
      <c r="I3716" t="str">
        <f>Table132[[#This Row],[ÉTAT]]&amp;Table132[[#This Row],[next move]]</f>
        <v>MVEVVVVVV11</v>
      </c>
    </row>
    <row r="3717" spans="2:9" x14ac:dyDescent="0.25">
      <c r="B3717" t="s">
        <v>121</v>
      </c>
      <c r="C3717" s="22" t="s">
        <v>28</v>
      </c>
      <c r="D3717">
        <v>14</v>
      </c>
      <c r="E3717">
        <v>9</v>
      </c>
      <c r="G3717" s="31">
        <f>Table132[[#This Row],[nb win]]/Table132[[#This Row],[nb play]]</f>
        <v>0.6428571428571429</v>
      </c>
      <c r="H3717" t="str">
        <f>MID(Table132[[#This Row],[ÉTAT]],VALUE(RIGHT(Table132[[#This Row],[next move]],1))+1+VALUE(LEFT(Table132[[#This Row],[next move]],1))*3,1)</f>
        <v>V</v>
      </c>
      <c r="I3717" t="str">
        <f>Table132[[#This Row],[ÉTAT]]&amp;Table132[[#This Row],[next move]]</f>
        <v>MVEVVVVVV12</v>
      </c>
    </row>
    <row r="3718" spans="2:9" x14ac:dyDescent="0.25">
      <c r="B3718" t="s">
        <v>121</v>
      </c>
      <c r="C3718" s="22" t="s">
        <v>35</v>
      </c>
      <c r="D3718">
        <v>5</v>
      </c>
      <c r="E3718">
        <v>5</v>
      </c>
      <c r="G3718" s="31">
        <f>Table132[[#This Row],[nb win]]/Table132[[#This Row],[nb play]]</f>
        <v>1</v>
      </c>
      <c r="H3718" t="str">
        <f>MID(Table132[[#This Row],[ÉTAT]],VALUE(RIGHT(Table132[[#This Row],[next move]],1))+1+VALUE(LEFT(Table132[[#This Row],[next move]],1))*3,1)</f>
        <v>V</v>
      </c>
      <c r="I3718" t="str">
        <f>Table132[[#This Row],[ÉTAT]]&amp;Table132[[#This Row],[next move]]</f>
        <v>MVEVVVVVV20</v>
      </c>
    </row>
    <row r="3719" spans="2:9" x14ac:dyDescent="0.25">
      <c r="B3719" t="s">
        <v>1853</v>
      </c>
      <c r="C3719" s="22" t="s">
        <v>26</v>
      </c>
      <c r="D3719">
        <v>2</v>
      </c>
      <c r="G3719" s="30">
        <f>Table132[[#This Row],[nb win]]/Table132[[#This Row],[nb play]]</f>
        <v>0</v>
      </c>
      <c r="H3719" t="str">
        <f>MID(Table132[[#This Row],[ÉTAT]],VALUE(RIGHT(Table132[[#This Row],[next move]],1))+1+VALUE(LEFT(Table132[[#This Row],[next move]],1))*3,1)</f>
        <v>V</v>
      </c>
      <c r="I3719" t="str">
        <f>Table132[[#This Row],[ÉTAT]]&amp;Table132[[#This Row],[next move]]</f>
        <v>MVEVVVVVE01</v>
      </c>
    </row>
    <row r="3720" spans="2:9" x14ac:dyDescent="0.25">
      <c r="B3720" t="s">
        <v>1853</v>
      </c>
      <c r="C3720" s="22" t="s">
        <v>30</v>
      </c>
      <c r="D3720">
        <v>3</v>
      </c>
      <c r="E3720">
        <v>1</v>
      </c>
      <c r="G3720" s="30">
        <f>Table132[[#This Row],[nb win]]/Table132[[#This Row],[nb play]]</f>
        <v>0.33333333333333331</v>
      </c>
      <c r="H3720" t="str">
        <f>MID(Table132[[#This Row],[ÉTAT]],VALUE(RIGHT(Table132[[#This Row],[next move]],1))+1+VALUE(LEFT(Table132[[#This Row],[next move]],1))*3,1)</f>
        <v>V</v>
      </c>
      <c r="I3720" t="str">
        <f>Table132[[#This Row],[ÉTAT]]&amp;Table132[[#This Row],[next move]]</f>
        <v>MVEVVVVVE10</v>
      </c>
    </row>
    <row r="3721" spans="2:9" x14ac:dyDescent="0.25">
      <c r="B3721" t="s">
        <v>1853</v>
      </c>
      <c r="C3721" s="22" t="s">
        <v>29</v>
      </c>
      <c r="D3721">
        <v>1</v>
      </c>
      <c r="G3721" s="30">
        <f>Table132[[#This Row],[nb win]]/Table132[[#This Row],[nb play]]</f>
        <v>0</v>
      </c>
      <c r="H3721" t="str">
        <f>MID(Table132[[#This Row],[ÉTAT]],VALUE(RIGHT(Table132[[#This Row],[next move]],1))+1+VALUE(LEFT(Table132[[#This Row],[next move]],1))*3,1)</f>
        <v>V</v>
      </c>
      <c r="I3721" t="str">
        <f>Table132[[#This Row],[ÉTAT]]&amp;Table132[[#This Row],[next move]]</f>
        <v>MVEVVVVVE11</v>
      </c>
    </row>
    <row r="3722" spans="2:9" x14ac:dyDescent="0.25">
      <c r="B3722" t="s">
        <v>1853</v>
      </c>
      <c r="C3722" s="22" t="s">
        <v>28</v>
      </c>
      <c r="D3722">
        <v>2</v>
      </c>
      <c r="E3722">
        <v>1</v>
      </c>
      <c r="G3722" s="30">
        <f>Table132[[#This Row],[nb win]]/Table132[[#This Row],[nb play]]</f>
        <v>0.5</v>
      </c>
      <c r="H3722" t="str">
        <f>MID(Table132[[#This Row],[ÉTAT]],VALUE(RIGHT(Table132[[#This Row],[next move]],1))+1+VALUE(LEFT(Table132[[#This Row],[next move]],1))*3,1)</f>
        <v>V</v>
      </c>
      <c r="I3722" t="str">
        <f>Table132[[#This Row],[ÉTAT]]&amp;Table132[[#This Row],[next move]]</f>
        <v>MVEVVVVVE12</v>
      </c>
    </row>
    <row r="3723" spans="2:9" x14ac:dyDescent="0.25">
      <c r="B3723" t="s">
        <v>1853</v>
      </c>
      <c r="C3723" s="22" t="s">
        <v>35</v>
      </c>
      <c r="D3723">
        <v>1</v>
      </c>
      <c r="G3723" s="25">
        <f>Table132[[#This Row],[nb win]]/Table132[[#This Row],[nb play]]</f>
        <v>0</v>
      </c>
      <c r="H3723" t="str">
        <f>MID(Table132[[#This Row],[ÉTAT]],VALUE(RIGHT(Table132[[#This Row],[next move]],1))+1+VALUE(LEFT(Table132[[#This Row],[next move]],1))*3,1)</f>
        <v>V</v>
      </c>
      <c r="I3723" t="str">
        <f>Table132[[#This Row],[ÉTAT]]&amp;Table132[[#This Row],[next move]]</f>
        <v>MVEVVVVVE20</v>
      </c>
    </row>
    <row r="3724" spans="2:9" x14ac:dyDescent="0.25">
      <c r="B3724" t="s">
        <v>1853</v>
      </c>
      <c r="C3724" s="22" t="s">
        <v>22</v>
      </c>
      <c r="D3724">
        <v>2</v>
      </c>
      <c r="G3724" s="30">
        <f>Table132[[#This Row],[nb win]]/Table132[[#This Row],[nb play]]</f>
        <v>0</v>
      </c>
      <c r="H3724" t="str">
        <f>MID(Table132[[#This Row],[ÉTAT]],VALUE(RIGHT(Table132[[#This Row],[next move]],1))+1+VALUE(LEFT(Table132[[#This Row],[next move]],1))*3,1)</f>
        <v>V</v>
      </c>
      <c r="I3724" t="str">
        <f>Table132[[#This Row],[ÉTAT]]&amp;Table132[[#This Row],[next move]]</f>
        <v>MVEVVVVVE21</v>
      </c>
    </row>
    <row r="3725" spans="2:9" x14ac:dyDescent="0.25">
      <c r="B3725" t="s">
        <v>2684</v>
      </c>
      <c r="C3725" s="22" t="s">
        <v>26</v>
      </c>
      <c r="D3725">
        <v>4</v>
      </c>
      <c r="E3725">
        <v>1</v>
      </c>
      <c r="G3725" s="31">
        <f>Table132[[#This Row],[nb win]]/Table132[[#This Row],[nb play]]</f>
        <v>0.25</v>
      </c>
      <c r="H3725" t="str">
        <f>MID(Table132[[#This Row],[ÉTAT]],VALUE(RIGHT(Table132[[#This Row],[next move]],1))+1+VALUE(LEFT(Table132[[#This Row],[next move]],1))*3,1)</f>
        <v>V</v>
      </c>
      <c r="I3725" t="str">
        <f>Table132[[#This Row],[ÉTAT]]&amp;Table132[[#This Row],[next move]]</f>
        <v>MVEVVVVME01</v>
      </c>
    </row>
    <row r="3726" spans="2:9" x14ac:dyDescent="0.25">
      <c r="B3726" t="s">
        <v>2684</v>
      </c>
      <c r="C3726" s="22" t="s">
        <v>28</v>
      </c>
      <c r="D3726">
        <v>4</v>
      </c>
      <c r="E3726">
        <v>4</v>
      </c>
      <c r="G3726" s="31">
        <f>Table132[[#This Row],[nb win]]/Table132[[#This Row],[nb play]]</f>
        <v>1</v>
      </c>
      <c r="H3726" t="str">
        <f>MID(Table132[[#This Row],[ÉTAT]],VALUE(RIGHT(Table132[[#This Row],[next move]],1))+1+VALUE(LEFT(Table132[[#This Row],[next move]],1))*3,1)</f>
        <v>V</v>
      </c>
      <c r="I3726" t="str">
        <f>Table132[[#This Row],[ÉTAT]]&amp;Table132[[#This Row],[next move]]</f>
        <v>MVEVVVVME12</v>
      </c>
    </row>
    <row r="3727" spans="2:9" x14ac:dyDescent="0.25">
      <c r="B3727" t="s">
        <v>2007</v>
      </c>
      <c r="C3727" s="22" t="s">
        <v>26</v>
      </c>
      <c r="D3727">
        <v>4</v>
      </c>
      <c r="G3727" s="30">
        <f>Table132[[#This Row],[nb win]]/Table132[[#This Row],[nb play]]</f>
        <v>0</v>
      </c>
      <c r="H3727" t="str">
        <f>MID(Table132[[#This Row],[ÉTAT]],VALUE(RIGHT(Table132[[#This Row],[next move]],1))+1+VALUE(LEFT(Table132[[#This Row],[next move]],1))*3,1)</f>
        <v>V</v>
      </c>
      <c r="I3727" t="str">
        <f>Table132[[#This Row],[ÉTAT]]&amp;Table132[[#This Row],[next move]]</f>
        <v>MVEVVVVEV01</v>
      </c>
    </row>
    <row r="3728" spans="2:9" x14ac:dyDescent="0.25">
      <c r="B3728" t="s">
        <v>2007</v>
      </c>
      <c r="C3728" s="22" t="s">
        <v>30</v>
      </c>
      <c r="D3728">
        <v>4</v>
      </c>
      <c r="E3728">
        <v>2</v>
      </c>
      <c r="G3728" s="30">
        <f>Table132[[#This Row],[nb win]]/Table132[[#This Row],[nb play]]</f>
        <v>0.5</v>
      </c>
      <c r="H3728" t="str">
        <f>MID(Table132[[#This Row],[ÉTAT]],VALUE(RIGHT(Table132[[#This Row],[next move]],1))+1+VALUE(LEFT(Table132[[#This Row],[next move]],1))*3,1)</f>
        <v>V</v>
      </c>
      <c r="I3728" t="str">
        <f>Table132[[#This Row],[ÉTAT]]&amp;Table132[[#This Row],[next move]]</f>
        <v>MVEVVVVEV10</v>
      </c>
    </row>
    <row r="3729" spans="2:9" x14ac:dyDescent="0.25">
      <c r="B3729" t="s">
        <v>2007</v>
      </c>
      <c r="C3729" s="22" t="s">
        <v>29</v>
      </c>
      <c r="D3729">
        <v>2</v>
      </c>
      <c r="G3729" s="30">
        <f>Table132[[#This Row],[nb win]]/Table132[[#This Row],[nb play]]</f>
        <v>0</v>
      </c>
      <c r="H3729" t="str">
        <f>MID(Table132[[#This Row],[ÉTAT]],VALUE(RIGHT(Table132[[#This Row],[next move]],1))+1+VALUE(LEFT(Table132[[#This Row],[next move]],1))*3,1)</f>
        <v>V</v>
      </c>
      <c r="I3729" t="str">
        <f>Table132[[#This Row],[ÉTAT]]&amp;Table132[[#This Row],[next move]]</f>
        <v>MVEVVVVEV11</v>
      </c>
    </row>
    <row r="3730" spans="2:9" x14ac:dyDescent="0.25">
      <c r="B3730" t="s">
        <v>2007</v>
      </c>
      <c r="C3730" s="22" t="s">
        <v>28</v>
      </c>
      <c r="D3730">
        <v>1</v>
      </c>
      <c r="G3730" s="25">
        <f>Table132[[#This Row],[nb win]]/Table132[[#This Row],[nb play]]</f>
        <v>0</v>
      </c>
      <c r="H3730" t="str">
        <f>MID(Table132[[#This Row],[ÉTAT]],VALUE(RIGHT(Table132[[#This Row],[next move]],1))+1+VALUE(LEFT(Table132[[#This Row],[next move]],1))*3,1)</f>
        <v>V</v>
      </c>
      <c r="I3730" t="str">
        <f>Table132[[#This Row],[ÉTAT]]&amp;Table132[[#This Row],[next move]]</f>
        <v>MVEVVVVEV12</v>
      </c>
    </row>
    <row r="3731" spans="2:9" x14ac:dyDescent="0.25">
      <c r="B3731" t="s">
        <v>2007</v>
      </c>
      <c r="C3731" s="22" t="s">
        <v>35</v>
      </c>
      <c r="D3731">
        <v>2</v>
      </c>
      <c r="E3731">
        <v>1</v>
      </c>
      <c r="G3731" s="31">
        <f>Table132[[#This Row],[nb win]]/Table132[[#This Row],[nb play]]</f>
        <v>0.5</v>
      </c>
      <c r="H3731" t="str">
        <f>MID(Table132[[#This Row],[ÉTAT]],VALUE(RIGHT(Table132[[#This Row],[next move]],1))+1+VALUE(LEFT(Table132[[#This Row],[next move]],1))*3,1)</f>
        <v>V</v>
      </c>
      <c r="I3731" t="str">
        <f>Table132[[#This Row],[ÉTAT]]&amp;Table132[[#This Row],[next move]]</f>
        <v>MVEVVVVEV20</v>
      </c>
    </row>
    <row r="3732" spans="2:9" x14ac:dyDescent="0.25">
      <c r="B3732" t="s">
        <v>2007</v>
      </c>
      <c r="C3732" s="22" t="s">
        <v>31</v>
      </c>
      <c r="D3732">
        <v>1</v>
      </c>
      <c r="G3732" s="25">
        <f>Table132[[#This Row],[nb win]]/Table132[[#This Row],[nb play]]</f>
        <v>0</v>
      </c>
      <c r="H3732" t="str">
        <f>MID(Table132[[#This Row],[ÉTAT]],VALUE(RIGHT(Table132[[#This Row],[next move]],1))+1+VALUE(LEFT(Table132[[#This Row],[next move]],1))*3,1)</f>
        <v>V</v>
      </c>
      <c r="I3732" t="str">
        <f>Table132[[#This Row],[ÉTAT]]&amp;Table132[[#This Row],[next move]]</f>
        <v>MVEVVVVEV22</v>
      </c>
    </row>
    <row r="3733" spans="2:9" x14ac:dyDescent="0.25">
      <c r="B3733" t="s">
        <v>2920</v>
      </c>
      <c r="C3733" s="22" t="s">
        <v>26</v>
      </c>
      <c r="D3733">
        <v>1</v>
      </c>
      <c r="E3733">
        <v>1</v>
      </c>
      <c r="G3733" s="25">
        <f>Table132[[#This Row],[nb win]]/Table132[[#This Row],[nb play]]</f>
        <v>1</v>
      </c>
      <c r="H3733" t="str">
        <f>MID(Table132[[#This Row],[ÉTAT]],VALUE(RIGHT(Table132[[#This Row],[next move]],1))+1+VALUE(LEFT(Table132[[#This Row],[next move]],1))*3,1)</f>
        <v>V</v>
      </c>
      <c r="I3733" t="str">
        <f>Table132[[#This Row],[ÉTAT]]&amp;Table132[[#This Row],[next move]]</f>
        <v>MVEVVVVEM01</v>
      </c>
    </row>
    <row r="3734" spans="2:9" x14ac:dyDescent="0.25">
      <c r="B3734" t="s">
        <v>958</v>
      </c>
      <c r="C3734" s="22" t="s">
        <v>28</v>
      </c>
      <c r="D3734">
        <v>1</v>
      </c>
      <c r="E3734">
        <v>1</v>
      </c>
      <c r="G3734" s="25">
        <f>Table132[[#This Row],[nb win]]/Table132[[#This Row],[nb play]]</f>
        <v>1</v>
      </c>
      <c r="H3734" t="str">
        <f>MID(Table132[[#This Row],[ÉTAT]],VALUE(RIGHT(Table132[[#This Row],[next move]],1))+1+VALUE(LEFT(Table132[[#This Row],[next move]],1))*3,1)</f>
        <v>V</v>
      </c>
      <c r="I3734" t="str">
        <f>Table132[[#This Row],[ÉTAT]]&amp;Table132[[#This Row],[next move]]</f>
        <v>MVEVVVMVE12</v>
      </c>
    </row>
    <row r="3735" spans="2:9" x14ac:dyDescent="0.25">
      <c r="B3735" t="s">
        <v>2514</v>
      </c>
      <c r="C3735" s="22" t="s">
        <v>30</v>
      </c>
      <c r="D3735">
        <v>2</v>
      </c>
      <c r="E3735">
        <v>2</v>
      </c>
      <c r="G3735" s="31">
        <f>Table132[[#This Row],[nb win]]/Table132[[#This Row],[nb play]]</f>
        <v>1</v>
      </c>
      <c r="H3735" t="str">
        <f>MID(Table132[[#This Row],[ÉTAT]],VALUE(RIGHT(Table132[[#This Row],[next move]],1))+1+VALUE(LEFT(Table132[[#This Row],[next move]],1))*3,1)</f>
        <v>V</v>
      </c>
      <c r="I3735" t="str">
        <f>Table132[[#This Row],[ÉTAT]]&amp;Table132[[#This Row],[next move]]</f>
        <v>MVEVVVMEV10</v>
      </c>
    </row>
    <row r="3736" spans="2:9" x14ac:dyDescent="0.25">
      <c r="B3736" t="s">
        <v>1088</v>
      </c>
      <c r="C3736" s="22" t="s">
        <v>26</v>
      </c>
      <c r="D3736">
        <v>2</v>
      </c>
      <c r="E3736">
        <v>1</v>
      </c>
      <c r="G3736" s="30">
        <f>Table132[[#This Row],[nb win]]/Table132[[#This Row],[nb play]]</f>
        <v>0.5</v>
      </c>
      <c r="H3736" t="str">
        <f>MID(Table132[[#This Row],[ÉTAT]],VALUE(RIGHT(Table132[[#This Row],[next move]],1))+1+VALUE(LEFT(Table132[[#This Row],[next move]],1))*3,1)</f>
        <v>V</v>
      </c>
      <c r="I3736" t="str">
        <f>Table132[[#This Row],[ÉTAT]]&amp;Table132[[#This Row],[next move]]</f>
        <v>MVEVVVEVV01</v>
      </c>
    </row>
    <row r="3737" spans="2:9" x14ac:dyDescent="0.25">
      <c r="B3737" t="s">
        <v>1088</v>
      </c>
      <c r="C3737" s="22" t="s">
        <v>30</v>
      </c>
      <c r="D3737">
        <v>1</v>
      </c>
      <c r="G3737" s="30">
        <f>Table132[[#This Row],[nb win]]/Table132[[#This Row],[nb play]]</f>
        <v>0</v>
      </c>
      <c r="H3737" t="str">
        <f>MID(Table132[[#This Row],[ÉTAT]],VALUE(RIGHT(Table132[[#This Row],[next move]],1))+1+VALUE(LEFT(Table132[[#This Row],[next move]],1))*3,1)</f>
        <v>V</v>
      </c>
      <c r="I3737" t="str">
        <f>Table132[[#This Row],[ÉTAT]]&amp;Table132[[#This Row],[next move]]</f>
        <v>MVEVVVEVV10</v>
      </c>
    </row>
    <row r="3738" spans="2:9" x14ac:dyDescent="0.25">
      <c r="B3738" t="s">
        <v>1088</v>
      </c>
      <c r="C3738" s="22" t="s">
        <v>29</v>
      </c>
      <c r="D3738">
        <v>4</v>
      </c>
      <c r="E3738">
        <v>3</v>
      </c>
      <c r="G3738" s="31">
        <f>Table132[[#This Row],[nb win]]/Table132[[#This Row],[nb play]]</f>
        <v>0.75</v>
      </c>
      <c r="H3738" t="str">
        <f>MID(Table132[[#This Row],[ÉTAT]],VALUE(RIGHT(Table132[[#This Row],[next move]],1))+1+VALUE(LEFT(Table132[[#This Row],[next move]],1))*3,1)</f>
        <v>V</v>
      </c>
      <c r="I3738" t="str">
        <f>Table132[[#This Row],[ÉTAT]]&amp;Table132[[#This Row],[next move]]</f>
        <v>MVEVVVEVV11</v>
      </c>
    </row>
    <row r="3739" spans="2:9" x14ac:dyDescent="0.25">
      <c r="B3739" t="s">
        <v>1088</v>
      </c>
      <c r="C3739" s="22" t="s">
        <v>31</v>
      </c>
      <c r="D3739">
        <v>11</v>
      </c>
      <c r="E3739">
        <v>5</v>
      </c>
      <c r="G3739" s="31">
        <f>Table132[[#This Row],[nb win]]/Table132[[#This Row],[nb play]]</f>
        <v>0.45454545454545453</v>
      </c>
      <c r="H3739" t="str">
        <f>MID(Table132[[#This Row],[ÉTAT]],VALUE(RIGHT(Table132[[#This Row],[next move]],1))+1+VALUE(LEFT(Table132[[#This Row],[next move]],1))*3,1)</f>
        <v>V</v>
      </c>
      <c r="I3739" t="str">
        <f>Table132[[#This Row],[ÉTAT]]&amp;Table132[[#This Row],[next move]]</f>
        <v>MVEVVVEVV22</v>
      </c>
    </row>
    <row r="3740" spans="2:9" x14ac:dyDescent="0.25">
      <c r="B3740" t="s">
        <v>3053</v>
      </c>
      <c r="C3740" s="22" t="s">
        <v>26</v>
      </c>
      <c r="D3740">
        <v>2</v>
      </c>
      <c r="E3740">
        <v>1</v>
      </c>
      <c r="G3740" s="30">
        <f>Table132[[#This Row],[nb win]]/Table132[[#This Row],[nb play]]</f>
        <v>0.5</v>
      </c>
      <c r="H3740" t="str">
        <f>MID(Table132[[#This Row],[ÉTAT]],VALUE(RIGHT(Table132[[#This Row],[next move]],1))+1+VALUE(LEFT(Table132[[#This Row],[next move]],1))*3,1)</f>
        <v>V</v>
      </c>
      <c r="I3740" t="str">
        <f>Table132[[#This Row],[ÉTAT]]&amp;Table132[[#This Row],[next move]]</f>
        <v>MVEVVVEVM01</v>
      </c>
    </row>
    <row r="3741" spans="2:9" x14ac:dyDescent="0.25">
      <c r="B3741" t="s">
        <v>954</v>
      </c>
      <c r="C3741" s="22" t="s">
        <v>30</v>
      </c>
      <c r="D3741">
        <v>2</v>
      </c>
      <c r="E3741">
        <v>2</v>
      </c>
      <c r="G3741" s="31">
        <f>Table132[[#This Row],[nb win]]/Table132[[#This Row],[nb play]]</f>
        <v>1</v>
      </c>
      <c r="H3741" t="str">
        <f>MID(Table132[[#This Row],[ÉTAT]],VALUE(RIGHT(Table132[[#This Row],[next move]],1))+1+VALUE(LEFT(Table132[[#This Row],[next move]],1))*3,1)</f>
        <v>V</v>
      </c>
      <c r="I3741" t="str">
        <f>Table132[[#This Row],[ÉTAT]]&amp;Table132[[#This Row],[next move]]</f>
        <v>MVEVVVEMV10</v>
      </c>
    </row>
    <row r="3742" spans="2:9" x14ac:dyDescent="0.25">
      <c r="B3742" t="s">
        <v>954</v>
      </c>
      <c r="C3742" s="22" t="s">
        <v>28</v>
      </c>
      <c r="D3742">
        <v>1</v>
      </c>
      <c r="G3742" s="25">
        <f>Table132[[#This Row],[nb win]]/Table132[[#This Row],[nb play]]</f>
        <v>0</v>
      </c>
      <c r="H3742" t="str">
        <f>MID(Table132[[#This Row],[ÉTAT]],VALUE(RIGHT(Table132[[#This Row],[next move]],1))+1+VALUE(LEFT(Table132[[#This Row],[next move]],1))*3,1)</f>
        <v>V</v>
      </c>
      <c r="I3742" t="str">
        <f>Table132[[#This Row],[ÉTAT]]&amp;Table132[[#This Row],[next move]]</f>
        <v>MVEVVVEMV12</v>
      </c>
    </row>
    <row r="3743" spans="2:9" x14ac:dyDescent="0.25">
      <c r="B3743" t="s">
        <v>1221</v>
      </c>
      <c r="C3743" s="22" t="s">
        <v>26</v>
      </c>
      <c r="D3743">
        <v>2</v>
      </c>
      <c r="E3743">
        <v>1</v>
      </c>
      <c r="G3743" s="25">
        <f>Table132[[#This Row],[nb win]]/Table132[[#This Row],[nb play]]</f>
        <v>0.5</v>
      </c>
      <c r="H3743" t="str">
        <f>MID(Table132[[#This Row],[ÉTAT]],VALUE(RIGHT(Table132[[#This Row],[next move]],1))+1+VALUE(LEFT(Table132[[#This Row],[next move]],1))*3,1)</f>
        <v>V</v>
      </c>
      <c r="I3743" t="str">
        <f>Table132[[#This Row],[ÉTAT]]&amp;Table132[[#This Row],[next move]]</f>
        <v>MVEVVVEEM01</v>
      </c>
    </row>
    <row r="3744" spans="2:9" x14ac:dyDescent="0.25">
      <c r="B3744" t="s">
        <v>1221</v>
      </c>
      <c r="C3744" s="22" t="s">
        <v>30</v>
      </c>
      <c r="D3744">
        <v>2</v>
      </c>
      <c r="G3744" s="25">
        <f>Table132[[#This Row],[nb win]]/Table132[[#This Row],[nb play]]</f>
        <v>0</v>
      </c>
      <c r="H3744" t="str">
        <f>MID(Table132[[#This Row],[ÉTAT]],VALUE(RIGHT(Table132[[#This Row],[next move]],1))+1+VALUE(LEFT(Table132[[#This Row],[next move]],1))*3,1)</f>
        <v>V</v>
      </c>
      <c r="I3744" t="str">
        <f>Table132[[#This Row],[ÉTAT]]&amp;Table132[[#This Row],[next move]]</f>
        <v>MVEVVVEEM10</v>
      </c>
    </row>
    <row r="3745" spans="2:9" x14ac:dyDescent="0.25">
      <c r="B3745" t="s">
        <v>1221</v>
      </c>
      <c r="C3745" s="22" t="s">
        <v>29</v>
      </c>
      <c r="D3745">
        <v>2</v>
      </c>
      <c r="E3745">
        <v>2</v>
      </c>
      <c r="G3745" s="25">
        <f>Table132[[#This Row],[nb win]]/Table132[[#This Row],[nb play]]</f>
        <v>1</v>
      </c>
      <c r="H3745" t="str">
        <f>MID(Table132[[#This Row],[ÉTAT]],VALUE(RIGHT(Table132[[#This Row],[next move]],1))+1+VALUE(LEFT(Table132[[#This Row],[next move]],1))*3,1)</f>
        <v>V</v>
      </c>
      <c r="I3745" t="str">
        <f>Table132[[#This Row],[ÉTAT]]&amp;Table132[[#This Row],[next move]]</f>
        <v>MVEVVVEEM11</v>
      </c>
    </row>
    <row r="3746" spans="2:9" x14ac:dyDescent="0.25">
      <c r="B3746" t="s">
        <v>1221</v>
      </c>
      <c r="C3746" s="22" t="s">
        <v>28</v>
      </c>
      <c r="D3746">
        <v>5</v>
      </c>
      <c r="E3746">
        <v>2</v>
      </c>
      <c r="G3746" s="31">
        <f>Table132[[#This Row],[nb win]]/Table132[[#This Row],[nb play]]</f>
        <v>0.4</v>
      </c>
      <c r="H3746" t="str">
        <f>MID(Table132[[#This Row],[ÉTAT]],VALUE(RIGHT(Table132[[#This Row],[next move]],1))+1+VALUE(LEFT(Table132[[#This Row],[next move]],1))*3,1)</f>
        <v>V</v>
      </c>
      <c r="I3746" t="str">
        <f>Table132[[#This Row],[ÉTAT]]&amp;Table132[[#This Row],[next move]]</f>
        <v>MVEVVVEEM12</v>
      </c>
    </row>
    <row r="3747" spans="2:9" x14ac:dyDescent="0.25">
      <c r="B3747" t="s">
        <v>767</v>
      </c>
      <c r="C3747" s="22" t="s">
        <v>30</v>
      </c>
      <c r="D3747">
        <v>3</v>
      </c>
      <c r="E3747">
        <v>2</v>
      </c>
      <c r="G3747" s="25">
        <f>Table132[[#This Row],[nb win]]/Table132[[#This Row],[nb play]]</f>
        <v>0.66666666666666663</v>
      </c>
      <c r="H3747" t="str">
        <f>MID(Table132[[#This Row],[ÉTAT]],VALUE(RIGHT(Table132[[#This Row],[next move]],1))+1+VALUE(LEFT(Table132[[#This Row],[next move]],1))*3,1)</f>
        <v>V</v>
      </c>
      <c r="I3747" t="str">
        <f>Table132[[#This Row],[ÉTAT]]&amp;Table132[[#This Row],[next move]]</f>
        <v>MVEVVMVVE10</v>
      </c>
    </row>
    <row r="3748" spans="2:9" x14ac:dyDescent="0.25">
      <c r="B3748" t="s">
        <v>767</v>
      </c>
      <c r="C3748" s="22" t="s">
        <v>22</v>
      </c>
      <c r="D3748">
        <v>2</v>
      </c>
      <c r="E3748">
        <v>1</v>
      </c>
      <c r="G3748" s="25">
        <f>Table132[[#This Row],[nb win]]/Table132[[#This Row],[nb play]]</f>
        <v>0.5</v>
      </c>
      <c r="H3748" t="str">
        <f>MID(Table132[[#This Row],[ÉTAT]],VALUE(RIGHT(Table132[[#This Row],[next move]],1))+1+VALUE(LEFT(Table132[[#This Row],[next move]],1))*3,1)</f>
        <v>V</v>
      </c>
      <c r="I3748" t="str">
        <f>Table132[[#This Row],[ÉTAT]]&amp;Table132[[#This Row],[next move]]</f>
        <v>MVEVVMVVE21</v>
      </c>
    </row>
    <row r="3749" spans="2:9" x14ac:dyDescent="0.25">
      <c r="B3749" t="s">
        <v>2716</v>
      </c>
      <c r="C3749" s="22" t="s">
        <v>35</v>
      </c>
      <c r="D3749">
        <v>3</v>
      </c>
      <c r="E3749">
        <v>3</v>
      </c>
      <c r="G3749" s="31">
        <f>Table132[[#This Row],[nb win]]/Table132[[#This Row],[nb play]]</f>
        <v>1</v>
      </c>
      <c r="H3749" t="str">
        <f>MID(Table132[[#This Row],[ÉTAT]],VALUE(RIGHT(Table132[[#This Row],[next move]],1))+1+VALUE(LEFT(Table132[[#This Row],[next move]],1))*3,1)</f>
        <v>V</v>
      </c>
      <c r="I3749" t="str">
        <f>Table132[[#This Row],[ÉTAT]]&amp;Table132[[#This Row],[next move]]</f>
        <v>MVEVVMVEV20</v>
      </c>
    </row>
    <row r="3750" spans="2:9" x14ac:dyDescent="0.25">
      <c r="B3750" t="s">
        <v>683</v>
      </c>
      <c r="C3750" s="22" t="s">
        <v>35</v>
      </c>
      <c r="D3750">
        <v>2</v>
      </c>
      <c r="E3750">
        <v>2</v>
      </c>
      <c r="G3750" s="25">
        <f>Table132[[#This Row],[nb win]]/Table132[[#This Row],[nb play]]</f>
        <v>1</v>
      </c>
      <c r="H3750" t="str">
        <f>MID(Table132[[#This Row],[ÉTAT]],VALUE(RIGHT(Table132[[#This Row],[next move]],1))+1+VALUE(LEFT(Table132[[#This Row],[next move]],1))*3,1)</f>
        <v>V</v>
      </c>
      <c r="I3750" t="str">
        <f>Table132[[#This Row],[ÉTAT]]&amp;Table132[[#This Row],[next move]]</f>
        <v>MVEVVMVEE20</v>
      </c>
    </row>
    <row r="3751" spans="2:9" x14ac:dyDescent="0.25">
      <c r="B3751" t="s">
        <v>2718</v>
      </c>
      <c r="C3751" s="22" t="s">
        <v>30</v>
      </c>
      <c r="D3751">
        <v>1</v>
      </c>
      <c r="E3751">
        <v>1</v>
      </c>
      <c r="G3751" s="25">
        <f>Table132[[#This Row],[nb win]]/Table132[[#This Row],[nb play]]</f>
        <v>1</v>
      </c>
      <c r="H3751" t="str">
        <f>MID(Table132[[#This Row],[ÉTAT]],VALUE(RIGHT(Table132[[#This Row],[next move]],1))+1+VALUE(LEFT(Table132[[#This Row],[next move]],1))*3,1)</f>
        <v>V</v>
      </c>
      <c r="I3751" t="str">
        <f>Table132[[#This Row],[ÉTAT]]&amp;Table132[[#This Row],[next move]]</f>
        <v>MVEVVMMEE10</v>
      </c>
    </row>
    <row r="3752" spans="2:9" x14ac:dyDescent="0.25">
      <c r="B3752" t="s">
        <v>2371</v>
      </c>
      <c r="C3752" s="22" t="s">
        <v>30</v>
      </c>
      <c r="D3752">
        <v>1</v>
      </c>
      <c r="G3752" s="25">
        <f>Table132[[#This Row],[nb win]]/Table132[[#This Row],[nb play]]</f>
        <v>0</v>
      </c>
      <c r="H3752" t="str">
        <f>MID(Table132[[#This Row],[ÉTAT]],VALUE(RIGHT(Table132[[#This Row],[next move]],1))+1+VALUE(LEFT(Table132[[#This Row],[next move]],1))*3,1)</f>
        <v>V</v>
      </c>
      <c r="I3752" t="str">
        <f>Table132[[#This Row],[ÉTAT]]&amp;Table132[[#This Row],[next move]]</f>
        <v>MVEVVMEVV10</v>
      </c>
    </row>
    <row r="3753" spans="2:9" x14ac:dyDescent="0.25">
      <c r="B3753" t="s">
        <v>2371</v>
      </c>
      <c r="C3753" s="22" t="s">
        <v>22</v>
      </c>
      <c r="D3753">
        <v>2</v>
      </c>
      <c r="E3753">
        <v>2</v>
      </c>
      <c r="G3753" s="25">
        <f>Table132[[#This Row],[nb win]]/Table132[[#This Row],[nb play]]</f>
        <v>1</v>
      </c>
      <c r="H3753" t="str">
        <f>MID(Table132[[#This Row],[ÉTAT]],VALUE(RIGHT(Table132[[#This Row],[next move]],1))+1+VALUE(LEFT(Table132[[#This Row],[next move]],1))*3,1)</f>
        <v>V</v>
      </c>
      <c r="I3753" t="str">
        <f>Table132[[#This Row],[ÉTAT]]&amp;Table132[[#This Row],[next move]]</f>
        <v>MVEVVMEVV21</v>
      </c>
    </row>
    <row r="3754" spans="2:9" x14ac:dyDescent="0.25">
      <c r="B3754" t="s">
        <v>2002</v>
      </c>
      <c r="C3754" s="22" t="s">
        <v>29</v>
      </c>
      <c r="D3754">
        <v>3</v>
      </c>
      <c r="E3754">
        <v>3</v>
      </c>
      <c r="G3754" s="31">
        <f>Table132[[#This Row],[nb win]]/Table132[[#This Row],[nb play]]</f>
        <v>1</v>
      </c>
      <c r="H3754" t="str">
        <f>MID(Table132[[#This Row],[ÉTAT]],VALUE(RIGHT(Table132[[#This Row],[next move]],1))+1+VALUE(LEFT(Table132[[#This Row],[next move]],1))*3,1)</f>
        <v>V</v>
      </c>
      <c r="I3754" t="str">
        <f>Table132[[#This Row],[ÉTAT]]&amp;Table132[[#This Row],[next move]]</f>
        <v>MVEVVMEME11</v>
      </c>
    </row>
    <row r="3755" spans="2:9" x14ac:dyDescent="0.25">
      <c r="B3755" t="s">
        <v>1870</v>
      </c>
      <c r="C3755" s="22" t="s">
        <v>31</v>
      </c>
      <c r="D3755">
        <v>2</v>
      </c>
      <c r="E3755">
        <v>2</v>
      </c>
      <c r="G3755" s="25">
        <f>Table132[[#This Row],[nb win]]/Table132[[#This Row],[nb play]]</f>
        <v>1</v>
      </c>
      <c r="H3755" t="str">
        <f>MID(Table132[[#This Row],[ÉTAT]],VALUE(RIGHT(Table132[[#This Row],[next move]],1))+1+VALUE(LEFT(Table132[[#This Row],[next move]],1))*3,1)</f>
        <v>V</v>
      </c>
      <c r="I3755" t="str">
        <f>Table132[[#This Row],[ÉTAT]]&amp;Table132[[#This Row],[next move]]</f>
        <v>MVEVVMEEV22</v>
      </c>
    </row>
    <row r="3756" spans="2:9" x14ac:dyDescent="0.25">
      <c r="B3756" t="s">
        <v>3312</v>
      </c>
      <c r="C3756" s="22" t="s">
        <v>29</v>
      </c>
      <c r="D3756">
        <v>2</v>
      </c>
      <c r="E3756">
        <v>2</v>
      </c>
      <c r="G3756" s="31">
        <f>Table132[[#This Row],[nb win]]/Table132[[#This Row],[nb play]]</f>
        <v>1</v>
      </c>
      <c r="H3756" t="str">
        <f>MID(Table132[[#This Row],[ÉTAT]],VALUE(RIGHT(Table132[[#This Row],[next move]],1))+1+VALUE(LEFT(Table132[[#This Row],[next move]],1))*3,1)</f>
        <v>V</v>
      </c>
      <c r="I3756" t="str">
        <f>Table132[[#This Row],[ÉTAT]]&amp;Table132[[#This Row],[next move]]</f>
        <v>MVEVVMEEM11</v>
      </c>
    </row>
    <row r="3757" spans="2:9" x14ac:dyDescent="0.25">
      <c r="B3757" t="s">
        <v>1374</v>
      </c>
      <c r="C3757" s="22" t="s">
        <v>26</v>
      </c>
      <c r="D3757">
        <v>1</v>
      </c>
      <c r="G3757" s="30">
        <f>Table132[[#This Row],[nb win]]/Table132[[#This Row],[nb play]]</f>
        <v>0</v>
      </c>
      <c r="H3757" t="str">
        <f>MID(Table132[[#This Row],[ÉTAT]],VALUE(RIGHT(Table132[[#This Row],[next move]],1))+1+VALUE(LEFT(Table132[[#This Row],[next move]],1))*3,1)</f>
        <v>V</v>
      </c>
      <c r="I3757" t="str">
        <f>Table132[[#This Row],[ÉTAT]]&amp;Table132[[#This Row],[next move]]</f>
        <v>MVEVVEVVV01</v>
      </c>
    </row>
    <row r="3758" spans="2:9" x14ac:dyDescent="0.25">
      <c r="B3758" t="s">
        <v>1374</v>
      </c>
      <c r="C3758" s="22" t="s">
        <v>30</v>
      </c>
      <c r="D3758">
        <v>2</v>
      </c>
      <c r="E3758">
        <v>1</v>
      </c>
      <c r="G3758" s="30">
        <f>Table132[[#This Row],[nb win]]/Table132[[#This Row],[nb play]]</f>
        <v>0.5</v>
      </c>
      <c r="H3758" t="str">
        <f>MID(Table132[[#This Row],[ÉTAT]],VALUE(RIGHT(Table132[[#This Row],[next move]],1))+1+VALUE(LEFT(Table132[[#This Row],[next move]],1))*3,1)</f>
        <v>V</v>
      </c>
      <c r="I3758" t="str">
        <f>Table132[[#This Row],[ÉTAT]]&amp;Table132[[#This Row],[next move]]</f>
        <v>MVEVVEVVV10</v>
      </c>
    </row>
    <row r="3759" spans="2:9" x14ac:dyDescent="0.25">
      <c r="B3759" t="s">
        <v>1374</v>
      </c>
      <c r="C3759" s="22" t="s">
        <v>29</v>
      </c>
      <c r="D3759">
        <v>1</v>
      </c>
      <c r="G3759" s="30">
        <f>Table132[[#This Row],[nb win]]/Table132[[#This Row],[nb play]]</f>
        <v>0</v>
      </c>
      <c r="H3759" t="str">
        <f>MID(Table132[[#This Row],[ÉTAT]],VALUE(RIGHT(Table132[[#This Row],[next move]],1))+1+VALUE(LEFT(Table132[[#This Row],[next move]],1))*3,1)</f>
        <v>V</v>
      </c>
      <c r="I3759" t="str">
        <f>Table132[[#This Row],[ÉTAT]]&amp;Table132[[#This Row],[next move]]</f>
        <v>MVEVVEVVV11</v>
      </c>
    </row>
    <row r="3760" spans="2:9" x14ac:dyDescent="0.25">
      <c r="B3760" t="s">
        <v>1374</v>
      </c>
      <c r="C3760" s="22" t="s">
        <v>22</v>
      </c>
      <c r="D3760">
        <v>4</v>
      </c>
      <c r="E3760">
        <v>1</v>
      </c>
      <c r="G3760" s="30">
        <f>Table132[[#This Row],[nb win]]/Table132[[#This Row],[nb play]]</f>
        <v>0.25</v>
      </c>
      <c r="H3760" t="str">
        <f>MID(Table132[[#This Row],[ÉTAT]],VALUE(RIGHT(Table132[[#This Row],[next move]],1))+1+VALUE(LEFT(Table132[[#This Row],[next move]],1))*3,1)</f>
        <v>V</v>
      </c>
      <c r="I3760" t="str">
        <f>Table132[[#This Row],[ÉTAT]]&amp;Table132[[#This Row],[next move]]</f>
        <v>MVEVVEVVV21</v>
      </c>
    </row>
    <row r="3761" spans="2:9" x14ac:dyDescent="0.25">
      <c r="B3761" t="s">
        <v>1374</v>
      </c>
      <c r="C3761" s="22" t="s">
        <v>31</v>
      </c>
      <c r="D3761">
        <v>1</v>
      </c>
      <c r="E3761">
        <v>1</v>
      </c>
      <c r="G3761" s="31">
        <f>Table132[[#This Row],[nb win]]/Table132[[#This Row],[nb play]]</f>
        <v>1</v>
      </c>
      <c r="H3761" t="str">
        <f>MID(Table132[[#This Row],[ÉTAT]],VALUE(RIGHT(Table132[[#This Row],[next move]],1))+1+VALUE(LEFT(Table132[[#This Row],[next move]],1))*3,1)</f>
        <v>V</v>
      </c>
      <c r="I3761" t="str">
        <f>Table132[[#This Row],[ÉTAT]]&amp;Table132[[#This Row],[next move]]</f>
        <v>MVEVVEVVV22</v>
      </c>
    </row>
    <row r="3762" spans="2:9" x14ac:dyDescent="0.25">
      <c r="B3762" t="s">
        <v>2833</v>
      </c>
      <c r="C3762" s="22" t="s">
        <v>30</v>
      </c>
      <c r="D3762">
        <v>3</v>
      </c>
      <c r="E3762">
        <v>3</v>
      </c>
      <c r="G3762" s="31">
        <f>Table132[[#This Row],[nb win]]/Table132[[#This Row],[nb play]]</f>
        <v>1</v>
      </c>
      <c r="H3762" t="str">
        <f>MID(Table132[[#This Row],[ÉTAT]],VALUE(RIGHT(Table132[[#This Row],[next move]],1))+1+VALUE(LEFT(Table132[[#This Row],[next move]],1))*3,1)</f>
        <v>V</v>
      </c>
      <c r="I3762" t="str">
        <f>Table132[[#This Row],[ÉTAT]]&amp;Table132[[#This Row],[next move]]</f>
        <v>MVEVVEVVM10</v>
      </c>
    </row>
    <row r="3763" spans="2:9" x14ac:dyDescent="0.25">
      <c r="B3763" t="s">
        <v>2833</v>
      </c>
      <c r="C3763" s="22" t="s">
        <v>35</v>
      </c>
      <c r="D3763">
        <v>3</v>
      </c>
      <c r="E3763">
        <v>2</v>
      </c>
      <c r="G3763" s="30">
        <f>Table132[[#This Row],[nb win]]/Table132[[#This Row],[nb play]]</f>
        <v>0.66666666666666663</v>
      </c>
      <c r="H3763" t="str">
        <f>MID(Table132[[#This Row],[ÉTAT]],VALUE(RIGHT(Table132[[#This Row],[next move]],1))+1+VALUE(LEFT(Table132[[#This Row],[next move]],1))*3,1)</f>
        <v>V</v>
      </c>
      <c r="I3763" t="str">
        <f>Table132[[#This Row],[ÉTAT]]&amp;Table132[[#This Row],[next move]]</f>
        <v>MVEVVEVVM20</v>
      </c>
    </row>
    <row r="3764" spans="2:9" x14ac:dyDescent="0.25">
      <c r="B3764" t="s">
        <v>1635</v>
      </c>
      <c r="C3764" s="22" t="s">
        <v>26</v>
      </c>
      <c r="D3764">
        <v>2</v>
      </c>
      <c r="E3764">
        <v>1</v>
      </c>
      <c r="G3764" s="25">
        <f>Table132[[#This Row],[nb win]]/Table132[[#This Row],[nb play]]</f>
        <v>0.5</v>
      </c>
      <c r="H3764" t="str">
        <f>MID(Table132[[#This Row],[ÉTAT]],VALUE(RIGHT(Table132[[#This Row],[next move]],1))+1+VALUE(LEFT(Table132[[#This Row],[next move]],1))*3,1)</f>
        <v>V</v>
      </c>
      <c r="I3764" t="str">
        <f>Table132[[#This Row],[ÉTAT]]&amp;Table132[[#This Row],[next move]]</f>
        <v>MVEVVEVMV01</v>
      </c>
    </row>
    <row r="3765" spans="2:9" x14ac:dyDescent="0.25">
      <c r="B3765" t="s">
        <v>1635</v>
      </c>
      <c r="C3765" s="22" t="s">
        <v>29</v>
      </c>
      <c r="D3765">
        <v>3</v>
      </c>
      <c r="G3765" s="30">
        <f>Table132[[#This Row],[nb win]]/Table132[[#This Row],[nb play]]</f>
        <v>0</v>
      </c>
      <c r="H3765" t="str">
        <f>MID(Table132[[#This Row],[ÉTAT]],VALUE(RIGHT(Table132[[#This Row],[next move]],1))+1+VALUE(LEFT(Table132[[#This Row],[next move]],1))*3,1)</f>
        <v>V</v>
      </c>
      <c r="I3765" t="str">
        <f>Table132[[#This Row],[ÉTAT]]&amp;Table132[[#This Row],[next move]]</f>
        <v>MVEVVEVMV11</v>
      </c>
    </row>
    <row r="3766" spans="2:9" x14ac:dyDescent="0.25">
      <c r="B3766" t="s">
        <v>1635</v>
      </c>
      <c r="C3766" s="22" t="s">
        <v>31</v>
      </c>
      <c r="D3766">
        <v>2</v>
      </c>
      <c r="E3766">
        <v>2</v>
      </c>
      <c r="G3766" s="31">
        <f>Table132[[#This Row],[nb win]]/Table132[[#This Row],[nb play]]</f>
        <v>1</v>
      </c>
      <c r="H3766" t="str">
        <f>MID(Table132[[#This Row],[ÉTAT]],VALUE(RIGHT(Table132[[#This Row],[next move]],1))+1+VALUE(LEFT(Table132[[#This Row],[next move]],1))*3,1)</f>
        <v>V</v>
      </c>
      <c r="I3766" t="str">
        <f>Table132[[#This Row],[ÉTAT]]&amp;Table132[[#This Row],[next move]]</f>
        <v>MVEVVEVMV22</v>
      </c>
    </row>
    <row r="3767" spans="2:9" x14ac:dyDescent="0.25">
      <c r="B3767" t="s">
        <v>999</v>
      </c>
      <c r="C3767" s="22" t="s">
        <v>30</v>
      </c>
      <c r="D3767">
        <v>2</v>
      </c>
      <c r="E3767">
        <v>2</v>
      </c>
      <c r="G3767" s="31">
        <f>Table132[[#This Row],[nb win]]/Table132[[#This Row],[nb play]]</f>
        <v>1</v>
      </c>
      <c r="H3767" t="str">
        <f>MID(Table132[[#This Row],[ÉTAT]],VALUE(RIGHT(Table132[[#This Row],[next move]],1))+1+VALUE(LEFT(Table132[[#This Row],[next move]],1))*3,1)</f>
        <v>V</v>
      </c>
      <c r="I3767" t="str">
        <f>Table132[[#This Row],[ÉTAT]]&amp;Table132[[#This Row],[next move]]</f>
        <v>MVEVVEMVV10</v>
      </c>
    </row>
    <row r="3768" spans="2:9" x14ac:dyDescent="0.25">
      <c r="B3768" t="s">
        <v>999</v>
      </c>
      <c r="C3768" s="22" t="s">
        <v>22</v>
      </c>
      <c r="D3768">
        <v>3</v>
      </c>
      <c r="E3768">
        <v>1</v>
      </c>
      <c r="G3768" s="25">
        <f>Table132[[#This Row],[nb win]]/Table132[[#This Row],[nb play]]</f>
        <v>0.33333333333333331</v>
      </c>
      <c r="H3768" t="str">
        <f>MID(Table132[[#This Row],[ÉTAT]],VALUE(RIGHT(Table132[[#This Row],[next move]],1))+1+VALUE(LEFT(Table132[[#This Row],[next move]],1))*3,1)</f>
        <v>V</v>
      </c>
      <c r="I3768" t="str">
        <f>Table132[[#This Row],[ÉTAT]]&amp;Table132[[#This Row],[next move]]</f>
        <v>MVEVVEMVV21</v>
      </c>
    </row>
    <row r="3769" spans="2:9" x14ac:dyDescent="0.25">
      <c r="B3769" t="s">
        <v>2009</v>
      </c>
      <c r="C3769" s="22" t="s">
        <v>26</v>
      </c>
      <c r="D3769">
        <v>1</v>
      </c>
      <c r="G3769" s="25">
        <f>Table132[[#This Row],[nb win]]/Table132[[#This Row],[nb play]]</f>
        <v>0</v>
      </c>
      <c r="H3769" t="str">
        <f>MID(Table132[[#This Row],[ÉTAT]],VALUE(RIGHT(Table132[[#This Row],[next move]],1))+1+VALUE(LEFT(Table132[[#This Row],[next move]],1))*3,1)</f>
        <v>V</v>
      </c>
      <c r="I3769" t="str">
        <f>Table132[[#This Row],[ÉTAT]]&amp;Table132[[#This Row],[next move]]</f>
        <v>MVEVVEMEV01</v>
      </c>
    </row>
    <row r="3770" spans="2:9" x14ac:dyDescent="0.25">
      <c r="B3770" t="s">
        <v>2009</v>
      </c>
      <c r="C3770" s="22" t="s">
        <v>30</v>
      </c>
      <c r="D3770">
        <v>2</v>
      </c>
      <c r="E3770">
        <v>2</v>
      </c>
      <c r="G3770" s="31">
        <f>Table132[[#This Row],[nb win]]/Table132[[#This Row],[nb play]]</f>
        <v>1</v>
      </c>
      <c r="H3770" t="str">
        <f>MID(Table132[[#This Row],[ÉTAT]],VALUE(RIGHT(Table132[[#This Row],[next move]],1))+1+VALUE(LEFT(Table132[[#This Row],[next move]],1))*3,1)</f>
        <v>V</v>
      </c>
      <c r="I3770" t="str">
        <f>Table132[[#This Row],[ÉTAT]]&amp;Table132[[#This Row],[next move]]</f>
        <v>MVEVVEMEV10</v>
      </c>
    </row>
    <row r="3771" spans="2:9" x14ac:dyDescent="0.25">
      <c r="B3771" t="s">
        <v>2009</v>
      </c>
      <c r="C3771" s="22" t="s">
        <v>29</v>
      </c>
      <c r="D3771">
        <v>1</v>
      </c>
      <c r="G3771" s="25">
        <f>Table132[[#This Row],[nb win]]/Table132[[#This Row],[nb play]]</f>
        <v>0</v>
      </c>
      <c r="H3771" t="str">
        <f>MID(Table132[[#This Row],[ÉTAT]],VALUE(RIGHT(Table132[[#This Row],[next move]],1))+1+VALUE(LEFT(Table132[[#This Row],[next move]],1))*3,1)</f>
        <v>V</v>
      </c>
      <c r="I3771" t="str">
        <f>Table132[[#This Row],[ÉTAT]]&amp;Table132[[#This Row],[next move]]</f>
        <v>MVEVVEMEV11</v>
      </c>
    </row>
    <row r="3772" spans="2:9" x14ac:dyDescent="0.25">
      <c r="B3772" t="s">
        <v>800</v>
      </c>
      <c r="C3772" s="22" t="s">
        <v>29</v>
      </c>
      <c r="D3772">
        <v>3</v>
      </c>
      <c r="E3772">
        <v>3</v>
      </c>
      <c r="G3772" s="25">
        <f>Table132[[#This Row],[nb win]]/Table132[[#This Row],[nb play]]</f>
        <v>1</v>
      </c>
      <c r="H3772" t="str">
        <f>MID(Table132[[#This Row],[ÉTAT]],VALUE(RIGHT(Table132[[#This Row],[next move]],1))+1+VALUE(LEFT(Table132[[#This Row],[next move]],1))*3,1)</f>
        <v>V</v>
      </c>
      <c r="I3772" t="str">
        <f>Table132[[#This Row],[ÉTAT]]&amp;Table132[[#This Row],[next move]]</f>
        <v>MVEVVEMEM11</v>
      </c>
    </row>
    <row r="3773" spans="2:9" x14ac:dyDescent="0.25">
      <c r="B3773" t="s">
        <v>2680</v>
      </c>
      <c r="C3773" s="22" t="s">
        <v>26</v>
      </c>
      <c r="D3773">
        <v>1</v>
      </c>
      <c r="G3773" s="25">
        <f>Table132[[#This Row],[nb win]]/Table132[[#This Row],[nb play]]</f>
        <v>0</v>
      </c>
      <c r="H3773" t="str">
        <f>MID(Table132[[#This Row],[ÉTAT]],VALUE(RIGHT(Table132[[#This Row],[next move]],1))+1+VALUE(LEFT(Table132[[#This Row],[next move]],1))*3,1)</f>
        <v>V</v>
      </c>
      <c r="I3773" t="str">
        <f>Table132[[#This Row],[ÉTAT]]&amp;Table132[[#This Row],[next move]]</f>
        <v>MVEVVEEMV01</v>
      </c>
    </row>
    <row r="3774" spans="2:9" x14ac:dyDescent="0.25">
      <c r="B3774" t="s">
        <v>2680</v>
      </c>
      <c r="C3774" s="22" t="s">
        <v>30</v>
      </c>
      <c r="D3774">
        <v>1</v>
      </c>
      <c r="G3774" s="25">
        <f>Table132[[#This Row],[nb win]]/Table132[[#This Row],[nb play]]</f>
        <v>0</v>
      </c>
      <c r="H3774" t="str">
        <f>MID(Table132[[#This Row],[ÉTAT]],VALUE(RIGHT(Table132[[#This Row],[next move]],1))+1+VALUE(LEFT(Table132[[#This Row],[next move]],1))*3,1)</f>
        <v>V</v>
      </c>
      <c r="I3774" t="str">
        <f>Table132[[#This Row],[ÉTAT]]&amp;Table132[[#This Row],[next move]]</f>
        <v>MVEVVEEMV10</v>
      </c>
    </row>
    <row r="3775" spans="2:9" x14ac:dyDescent="0.25">
      <c r="B3775" t="s">
        <v>2680</v>
      </c>
      <c r="C3775" s="22" t="s">
        <v>29</v>
      </c>
      <c r="D3775">
        <v>1</v>
      </c>
      <c r="E3775">
        <v>1</v>
      </c>
      <c r="G3775" s="31">
        <f>Table132[[#This Row],[nb win]]/Table132[[#This Row],[nb play]]</f>
        <v>1</v>
      </c>
      <c r="H3775" t="str">
        <f>MID(Table132[[#This Row],[ÉTAT]],VALUE(RIGHT(Table132[[#This Row],[next move]],1))+1+VALUE(LEFT(Table132[[#This Row],[next move]],1))*3,1)</f>
        <v>V</v>
      </c>
      <c r="I3775" t="str">
        <f>Table132[[#This Row],[ÉTAT]]&amp;Table132[[#This Row],[next move]]</f>
        <v>MVEVVEEMV11</v>
      </c>
    </row>
    <row r="3776" spans="2:9" x14ac:dyDescent="0.25">
      <c r="B3776" t="s">
        <v>2855</v>
      </c>
      <c r="C3776" s="22" t="s">
        <v>29</v>
      </c>
      <c r="D3776">
        <v>3</v>
      </c>
      <c r="E3776">
        <v>3</v>
      </c>
      <c r="G3776" s="31">
        <f>Table132[[#This Row],[nb win]]/Table132[[#This Row],[nb play]]</f>
        <v>1</v>
      </c>
      <c r="H3776" t="str">
        <f>MID(Table132[[#This Row],[ÉTAT]],VALUE(RIGHT(Table132[[#This Row],[next move]],1))+1+VALUE(LEFT(Table132[[#This Row],[next move]],1))*3,1)</f>
        <v>V</v>
      </c>
      <c r="I3776" t="str">
        <f>Table132[[#This Row],[ÉTAT]]&amp;Table132[[#This Row],[next move]]</f>
        <v>MVEVVEEMM11</v>
      </c>
    </row>
    <row r="3777" spans="2:9" x14ac:dyDescent="0.25">
      <c r="B3777" t="s">
        <v>99</v>
      </c>
      <c r="C3777" s="22" t="s">
        <v>26</v>
      </c>
      <c r="D3777">
        <v>1</v>
      </c>
      <c r="G3777" s="25">
        <f>Table132[[#This Row],[nb win]]/Table132[[#This Row],[nb play]]</f>
        <v>0</v>
      </c>
      <c r="H3777" t="str">
        <f>MID(Table132[[#This Row],[ÉTAT]],VALUE(RIGHT(Table132[[#This Row],[next move]],1))+1+VALUE(LEFT(Table132[[#This Row],[next move]],1))*3,1)</f>
        <v>V</v>
      </c>
      <c r="I3777" t="str">
        <f>Table132[[#This Row],[ÉTAT]]&amp;Table132[[#This Row],[next move]]</f>
        <v>MVEVMVVVE01</v>
      </c>
    </row>
    <row r="3778" spans="2:9" x14ac:dyDescent="0.25">
      <c r="B3778" t="s">
        <v>99</v>
      </c>
      <c r="C3778" s="22" t="s">
        <v>30</v>
      </c>
      <c r="D3778">
        <v>3</v>
      </c>
      <c r="G3778" s="30">
        <f>Table132[[#This Row],[nb win]]/Table132[[#This Row],[nb play]]</f>
        <v>0</v>
      </c>
      <c r="H3778" t="str">
        <f>MID(Table132[[#This Row],[ÉTAT]],VALUE(RIGHT(Table132[[#This Row],[next move]],1))+1+VALUE(LEFT(Table132[[#This Row],[next move]],1))*3,1)</f>
        <v>V</v>
      </c>
      <c r="I3778" t="str">
        <f>Table132[[#This Row],[ÉTAT]]&amp;Table132[[#This Row],[next move]]</f>
        <v>MVEVMVVVE10</v>
      </c>
    </row>
    <row r="3779" spans="2:9" x14ac:dyDescent="0.25">
      <c r="B3779" t="s">
        <v>99</v>
      </c>
      <c r="C3779" s="22" t="s">
        <v>28</v>
      </c>
      <c r="D3779">
        <v>3</v>
      </c>
      <c r="E3779">
        <v>3</v>
      </c>
      <c r="G3779" s="31">
        <f>Table132[[#This Row],[nb win]]/Table132[[#This Row],[nb play]]</f>
        <v>1</v>
      </c>
      <c r="H3779" t="str">
        <f>MID(Table132[[#This Row],[ÉTAT]],VALUE(RIGHT(Table132[[#This Row],[next move]],1))+1+VALUE(LEFT(Table132[[#This Row],[next move]],1))*3,1)</f>
        <v>V</v>
      </c>
      <c r="I3779" t="str">
        <f>Table132[[#This Row],[ÉTAT]]&amp;Table132[[#This Row],[next move]]</f>
        <v>MVEVMVVVE12</v>
      </c>
    </row>
    <row r="3780" spans="2:9" x14ac:dyDescent="0.25">
      <c r="B3780" t="s">
        <v>99</v>
      </c>
      <c r="C3780" s="22" t="s">
        <v>35</v>
      </c>
      <c r="D3780">
        <v>2</v>
      </c>
      <c r="G3780" s="25">
        <f>Table132[[#This Row],[nb win]]/Table132[[#This Row],[nb play]]</f>
        <v>0</v>
      </c>
      <c r="H3780" t="str">
        <f>MID(Table132[[#This Row],[ÉTAT]],VALUE(RIGHT(Table132[[#This Row],[next move]],1))+1+VALUE(LEFT(Table132[[#This Row],[next move]],1))*3,1)</f>
        <v>V</v>
      </c>
      <c r="I3780" t="str">
        <f>Table132[[#This Row],[ÉTAT]]&amp;Table132[[#This Row],[next move]]</f>
        <v>MVEVMVVVE20</v>
      </c>
    </row>
    <row r="3781" spans="2:9" x14ac:dyDescent="0.25">
      <c r="B3781" t="s">
        <v>99</v>
      </c>
      <c r="C3781" s="22" t="s">
        <v>22</v>
      </c>
      <c r="D3781">
        <v>1</v>
      </c>
      <c r="G3781" s="25">
        <f>Table132[[#This Row],[nb win]]/Table132[[#This Row],[nb play]]</f>
        <v>0</v>
      </c>
      <c r="H3781" t="str">
        <f>MID(Table132[[#This Row],[ÉTAT]],VALUE(RIGHT(Table132[[#This Row],[next move]],1))+1+VALUE(LEFT(Table132[[#This Row],[next move]],1))*3,1)</f>
        <v>V</v>
      </c>
      <c r="I3781" t="str">
        <f>Table132[[#This Row],[ÉTAT]]&amp;Table132[[#This Row],[next move]]</f>
        <v>MVEVMVVVE21</v>
      </c>
    </row>
    <row r="3782" spans="2:9" x14ac:dyDescent="0.25">
      <c r="B3782" t="s">
        <v>201</v>
      </c>
      <c r="C3782" s="22" t="s">
        <v>28</v>
      </c>
      <c r="D3782">
        <v>13</v>
      </c>
      <c r="E3782">
        <v>13</v>
      </c>
      <c r="G3782" s="31">
        <f>Table132[[#This Row],[nb win]]/Table132[[#This Row],[nb play]]</f>
        <v>1</v>
      </c>
      <c r="H3782" t="str">
        <f>MID(Table132[[#This Row],[ÉTAT]],VALUE(RIGHT(Table132[[#This Row],[next move]],1))+1+VALUE(LEFT(Table132[[#This Row],[next move]],1))*3,1)</f>
        <v>V</v>
      </c>
      <c r="I3782" t="str">
        <f>Table132[[#This Row],[ÉTAT]]&amp;Table132[[#This Row],[next move]]</f>
        <v>MVEVMVVEV12</v>
      </c>
    </row>
    <row r="3783" spans="2:9" x14ac:dyDescent="0.25">
      <c r="B3783" t="s">
        <v>201</v>
      </c>
      <c r="C3783" s="22" t="s">
        <v>31</v>
      </c>
      <c r="D3783">
        <v>2</v>
      </c>
      <c r="E3783">
        <v>2</v>
      </c>
      <c r="G3783" s="31">
        <f>Table132[[#This Row],[nb win]]/Table132[[#This Row],[nb play]]</f>
        <v>1</v>
      </c>
      <c r="H3783" t="str">
        <f>MID(Table132[[#This Row],[ÉTAT]],VALUE(RIGHT(Table132[[#This Row],[next move]],1))+1+VALUE(LEFT(Table132[[#This Row],[next move]],1))*3,1)</f>
        <v>V</v>
      </c>
      <c r="I3783" t="str">
        <f>Table132[[#This Row],[ÉTAT]]&amp;Table132[[#This Row],[next move]]</f>
        <v>MVEVMVVEV22</v>
      </c>
    </row>
    <row r="3784" spans="2:9" x14ac:dyDescent="0.25">
      <c r="B3784" t="s">
        <v>652</v>
      </c>
      <c r="C3784" s="22" t="s">
        <v>26</v>
      </c>
      <c r="D3784">
        <v>2</v>
      </c>
      <c r="G3784" s="30">
        <f>Table132[[#This Row],[nb win]]/Table132[[#This Row],[nb play]]</f>
        <v>0</v>
      </c>
      <c r="H3784" t="str">
        <f>MID(Table132[[#This Row],[ÉTAT]],VALUE(RIGHT(Table132[[#This Row],[next move]],1))+1+VALUE(LEFT(Table132[[#This Row],[next move]],1))*3,1)</f>
        <v>V</v>
      </c>
      <c r="I3784" t="str">
        <f>Table132[[#This Row],[ÉTAT]]&amp;Table132[[#This Row],[next move]]</f>
        <v>MVEVMVVEE01</v>
      </c>
    </row>
    <row r="3785" spans="2:9" x14ac:dyDescent="0.25">
      <c r="B3785" t="s">
        <v>652</v>
      </c>
      <c r="C3785" s="22" t="s">
        <v>30</v>
      </c>
      <c r="D3785">
        <v>2</v>
      </c>
      <c r="E3785">
        <v>1</v>
      </c>
      <c r="G3785" s="30">
        <f>Table132[[#This Row],[nb win]]/Table132[[#This Row],[nb play]]</f>
        <v>0.5</v>
      </c>
      <c r="H3785" t="str">
        <f>MID(Table132[[#This Row],[ÉTAT]],VALUE(RIGHT(Table132[[#This Row],[next move]],1))+1+VALUE(LEFT(Table132[[#This Row],[next move]],1))*3,1)</f>
        <v>V</v>
      </c>
      <c r="I3785" t="str">
        <f>Table132[[#This Row],[ÉTAT]]&amp;Table132[[#This Row],[next move]]</f>
        <v>MVEVMVVEE10</v>
      </c>
    </row>
    <row r="3786" spans="2:9" x14ac:dyDescent="0.25">
      <c r="B3786" t="s">
        <v>3397</v>
      </c>
      <c r="C3786" s="22" t="s">
        <v>30</v>
      </c>
      <c r="D3786">
        <v>1</v>
      </c>
      <c r="E3786">
        <v>1</v>
      </c>
      <c r="G3786" s="31">
        <f>Table132[[#This Row],[nb win]]/Table132[[#This Row],[nb play]]</f>
        <v>1</v>
      </c>
      <c r="H3786" t="str">
        <f>MID(Table132[[#This Row],[ÉTAT]],VALUE(RIGHT(Table132[[#This Row],[next move]],1))+1+VALUE(LEFT(Table132[[#This Row],[next move]],1))*3,1)</f>
        <v>V</v>
      </c>
      <c r="I3786" t="str">
        <f>Table132[[#This Row],[ÉTAT]]&amp;Table132[[#This Row],[next move]]</f>
        <v>MVEVMVMEE10</v>
      </c>
    </row>
    <row r="3787" spans="2:9" x14ac:dyDescent="0.25">
      <c r="B3787" t="s">
        <v>1463</v>
      </c>
      <c r="C3787" s="22" t="s">
        <v>26</v>
      </c>
      <c r="D3787">
        <v>2</v>
      </c>
      <c r="E3787">
        <v>2</v>
      </c>
      <c r="G3787" s="31">
        <f>Table132[[#This Row],[nb win]]/Table132[[#This Row],[nb play]]</f>
        <v>1</v>
      </c>
      <c r="H3787" t="str">
        <f>MID(Table132[[#This Row],[ÉTAT]],VALUE(RIGHT(Table132[[#This Row],[next move]],1))+1+VALUE(LEFT(Table132[[#This Row],[next move]],1))*3,1)</f>
        <v>V</v>
      </c>
      <c r="I3787" t="str">
        <f>Table132[[#This Row],[ÉTAT]]&amp;Table132[[#This Row],[next move]]</f>
        <v>MVEVMVEVV01</v>
      </c>
    </row>
    <row r="3788" spans="2:9" x14ac:dyDescent="0.25">
      <c r="B3788" t="s">
        <v>1463</v>
      </c>
      <c r="C3788" s="22" t="s">
        <v>22</v>
      </c>
      <c r="D3788">
        <v>2</v>
      </c>
      <c r="E3788">
        <v>1</v>
      </c>
      <c r="G3788" s="25">
        <f>Table132[[#This Row],[nb win]]/Table132[[#This Row],[nb play]]</f>
        <v>0.5</v>
      </c>
      <c r="H3788" t="str">
        <f>MID(Table132[[#This Row],[ÉTAT]],VALUE(RIGHT(Table132[[#This Row],[next move]],1))+1+VALUE(LEFT(Table132[[#This Row],[next move]],1))*3,1)</f>
        <v>V</v>
      </c>
      <c r="I3788" t="str">
        <f>Table132[[#This Row],[ÉTAT]]&amp;Table132[[#This Row],[next move]]</f>
        <v>MVEVMVEVV21</v>
      </c>
    </row>
    <row r="3789" spans="2:9" x14ac:dyDescent="0.25">
      <c r="B3789" t="s">
        <v>2758</v>
      </c>
      <c r="C3789" s="22" t="s">
        <v>26</v>
      </c>
      <c r="D3789">
        <v>1</v>
      </c>
      <c r="G3789" s="25">
        <f>Table132[[#This Row],[nb win]]/Table132[[#This Row],[nb play]]</f>
        <v>0</v>
      </c>
      <c r="H3789" t="str">
        <f>MID(Table132[[#This Row],[ÉTAT]],VALUE(RIGHT(Table132[[#This Row],[next move]],1))+1+VALUE(LEFT(Table132[[#This Row],[next move]],1))*3,1)</f>
        <v>V</v>
      </c>
      <c r="I3789" t="str">
        <f>Table132[[#This Row],[ÉTAT]]&amp;Table132[[#This Row],[next move]]</f>
        <v>MVEVMVEVE01</v>
      </c>
    </row>
    <row r="3790" spans="2:9" x14ac:dyDescent="0.25">
      <c r="B3790" t="s">
        <v>2758</v>
      </c>
      <c r="C3790" s="22" t="s">
        <v>28</v>
      </c>
      <c r="D3790">
        <v>2</v>
      </c>
      <c r="E3790">
        <v>1</v>
      </c>
      <c r="G3790" s="30">
        <f>Table132[[#This Row],[nb win]]/Table132[[#This Row],[nb play]]</f>
        <v>0.5</v>
      </c>
      <c r="H3790" t="str">
        <f>MID(Table132[[#This Row],[ÉTAT]],VALUE(RIGHT(Table132[[#This Row],[next move]],1))+1+VALUE(LEFT(Table132[[#This Row],[next move]],1))*3,1)</f>
        <v>V</v>
      </c>
      <c r="I3790" t="str">
        <f>Table132[[#This Row],[ÉTAT]]&amp;Table132[[#This Row],[next move]]</f>
        <v>MVEVMVEVE12</v>
      </c>
    </row>
    <row r="3791" spans="2:9" x14ac:dyDescent="0.25">
      <c r="B3791" t="s">
        <v>1701</v>
      </c>
      <c r="C3791" s="22" t="s">
        <v>30</v>
      </c>
      <c r="D3791">
        <v>1</v>
      </c>
      <c r="G3791" s="25">
        <f>Table132[[#This Row],[nb win]]/Table132[[#This Row],[nb play]]</f>
        <v>0</v>
      </c>
      <c r="H3791" t="str">
        <f>MID(Table132[[#This Row],[ÉTAT]],VALUE(RIGHT(Table132[[#This Row],[next move]],1))+1+VALUE(LEFT(Table132[[#This Row],[next move]],1))*3,1)</f>
        <v>V</v>
      </c>
      <c r="I3791" t="str">
        <f>Table132[[#This Row],[ÉTAT]]&amp;Table132[[#This Row],[next move]]</f>
        <v>MVEVMVEME10</v>
      </c>
    </row>
    <row r="3792" spans="2:9" x14ac:dyDescent="0.25">
      <c r="B3792" t="s">
        <v>2471</v>
      </c>
      <c r="C3792" s="22" t="s">
        <v>26</v>
      </c>
      <c r="D3792">
        <v>1</v>
      </c>
      <c r="G3792" s="25">
        <f>Table132[[#This Row],[nb win]]/Table132[[#This Row],[nb play]]</f>
        <v>0</v>
      </c>
      <c r="H3792" t="str">
        <f>MID(Table132[[#This Row],[ÉTAT]],VALUE(RIGHT(Table132[[#This Row],[next move]],1))+1+VALUE(LEFT(Table132[[#This Row],[next move]],1))*3,1)</f>
        <v>V</v>
      </c>
      <c r="I3792" t="str">
        <f>Table132[[#This Row],[ÉTAT]]&amp;Table132[[#This Row],[next move]]</f>
        <v>MVEVMVEEV01</v>
      </c>
    </row>
    <row r="3793" spans="2:9" x14ac:dyDescent="0.25">
      <c r="B3793" t="s">
        <v>2471</v>
      </c>
      <c r="C3793" s="22" t="s">
        <v>31</v>
      </c>
      <c r="D3793">
        <v>3</v>
      </c>
      <c r="E3793">
        <v>3</v>
      </c>
      <c r="G3793" s="31">
        <f>Table132[[#This Row],[nb win]]/Table132[[#This Row],[nb play]]</f>
        <v>1</v>
      </c>
      <c r="H3793" t="str">
        <f>MID(Table132[[#This Row],[ÉTAT]],VALUE(RIGHT(Table132[[#This Row],[next move]],1))+1+VALUE(LEFT(Table132[[#This Row],[next move]],1))*3,1)</f>
        <v>V</v>
      </c>
      <c r="I3793" t="str">
        <f>Table132[[#This Row],[ÉTAT]]&amp;Table132[[#This Row],[next move]]</f>
        <v>MVEVMVEEV22</v>
      </c>
    </row>
    <row r="3794" spans="2:9" x14ac:dyDescent="0.25">
      <c r="B3794" t="s">
        <v>542</v>
      </c>
      <c r="C3794" s="22" t="s">
        <v>30</v>
      </c>
      <c r="D3794">
        <v>4</v>
      </c>
      <c r="E3794">
        <v>4</v>
      </c>
      <c r="G3794" s="31">
        <f>Table132[[#This Row],[nb win]]/Table132[[#This Row],[nb play]]</f>
        <v>1</v>
      </c>
      <c r="H3794" t="str">
        <f>MID(Table132[[#This Row],[ÉTAT]],VALUE(RIGHT(Table132[[#This Row],[next move]],1))+1+VALUE(LEFT(Table132[[#This Row],[next move]],1))*3,1)</f>
        <v>V</v>
      </c>
      <c r="I3794" t="str">
        <f>Table132[[#This Row],[ÉTAT]]&amp;Table132[[#This Row],[next move]]</f>
        <v>MVEVMMVEE10</v>
      </c>
    </row>
    <row r="3795" spans="2:9" x14ac:dyDescent="0.25">
      <c r="B3795" t="s">
        <v>2071</v>
      </c>
      <c r="C3795" s="22" t="s">
        <v>30</v>
      </c>
      <c r="D3795">
        <v>1</v>
      </c>
      <c r="E3795">
        <v>1</v>
      </c>
      <c r="G3795" s="25">
        <f>Table132[[#This Row],[nb win]]/Table132[[#This Row],[nb play]]</f>
        <v>1</v>
      </c>
      <c r="H3795" t="str">
        <f>MID(Table132[[#This Row],[ÉTAT]],VALUE(RIGHT(Table132[[#This Row],[next move]],1))+1+VALUE(LEFT(Table132[[#This Row],[next move]],1))*3,1)</f>
        <v>V</v>
      </c>
      <c r="I3795" t="str">
        <f>Table132[[#This Row],[ÉTAT]]&amp;Table132[[#This Row],[next move]]</f>
        <v>MVEVMMEVE10</v>
      </c>
    </row>
    <row r="3796" spans="2:9" x14ac:dyDescent="0.25">
      <c r="B3796" t="s">
        <v>2742</v>
      </c>
      <c r="C3796" s="22" t="s">
        <v>30</v>
      </c>
      <c r="D3796">
        <v>5</v>
      </c>
      <c r="E3796">
        <v>5</v>
      </c>
      <c r="G3796" s="31">
        <f>Table132[[#This Row],[nb win]]/Table132[[#This Row],[nb play]]</f>
        <v>1</v>
      </c>
      <c r="H3796" t="str">
        <f>MID(Table132[[#This Row],[ÉTAT]],VALUE(RIGHT(Table132[[#This Row],[next move]],1))+1+VALUE(LEFT(Table132[[#This Row],[next move]],1))*3,1)</f>
        <v>V</v>
      </c>
      <c r="I3796" t="str">
        <f>Table132[[#This Row],[ÉTAT]]&amp;Table132[[#This Row],[next move]]</f>
        <v>MVEVMMEEV10</v>
      </c>
    </row>
    <row r="3797" spans="2:9" x14ac:dyDescent="0.25">
      <c r="B3797" t="s">
        <v>1320</v>
      </c>
      <c r="C3797" s="22" t="s">
        <v>31</v>
      </c>
      <c r="D3797">
        <v>5</v>
      </c>
      <c r="E3797">
        <v>5</v>
      </c>
      <c r="G3797" s="31">
        <f>Table132[[#This Row],[nb win]]/Table132[[#This Row],[nb play]]</f>
        <v>1</v>
      </c>
      <c r="H3797" t="str">
        <f>MID(Table132[[#This Row],[ÉTAT]],VALUE(RIGHT(Table132[[#This Row],[next move]],1))+1+VALUE(LEFT(Table132[[#This Row],[next move]],1))*3,1)</f>
        <v>V</v>
      </c>
      <c r="I3797" t="str">
        <f>Table132[[#This Row],[ÉTAT]]&amp;Table132[[#This Row],[next move]]</f>
        <v>MVEVMEVVV22</v>
      </c>
    </row>
    <row r="3798" spans="2:9" x14ac:dyDescent="0.25">
      <c r="B3798" t="s">
        <v>2860</v>
      </c>
      <c r="C3798" s="22" t="s">
        <v>30</v>
      </c>
      <c r="D3798">
        <v>1</v>
      </c>
      <c r="G3798" s="25">
        <f>Table132[[#This Row],[nb win]]/Table132[[#This Row],[nb play]]</f>
        <v>0</v>
      </c>
      <c r="H3798" t="str">
        <f>MID(Table132[[#This Row],[ÉTAT]],VALUE(RIGHT(Table132[[#This Row],[next move]],1))+1+VALUE(LEFT(Table132[[#This Row],[next move]],1))*3,1)</f>
        <v>V</v>
      </c>
      <c r="I3798" t="str">
        <f>Table132[[#This Row],[ÉTAT]]&amp;Table132[[#This Row],[next move]]</f>
        <v>MVEVMEVEV10</v>
      </c>
    </row>
    <row r="3799" spans="2:9" x14ac:dyDescent="0.25">
      <c r="B3799" t="s">
        <v>1658</v>
      </c>
      <c r="C3799" s="22" t="s">
        <v>31</v>
      </c>
      <c r="D3799">
        <v>3</v>
      </c>
      <c r="E3799">
        <v>3</v>
      </c>
      <c r="G3799" s="31">
        <f>Table132[[#This Row],[nb win]]/Table132[[#This Row],[nb play]]</f>
        <v>1</v>
      </c>
      <c r="H3799" t="str">
        <f>MID(Table132[[#This Row],[ÉTAT]],VALUE(RIGHT(Table132[[#This Row],[next move]],1))+1+VALUE(LEFT(Table132[[#This Row],[next move]],1))*3,1)</f>
        <v>V</v>
      </c>
      <c r="I3799" t="str">
        <f>Table132[[#This Row],[ÉTAT]]&amp;Table132[[#This Row],[next move]]</f>
        <v>MVEVMEEVV22</v>
      </c>
    </row>
    <row r="3800" spans="2:9" x14ac:dyDescent="0.25">
      <c r="B3800" t="s">
        <v>1465</v>
      </c>
      <c r="C3800" s="22" t="s">
        <v>31</v>
      </c>
      <c r="D3800">
        <v>1</v>
      </c>
      <c r="E3800">
        <v>1</v>
      </c>
      <c r="G3800" s="25">
        <f>Table132[[#This Row],[nb win]]/Table132[[#This Row],[nb play]]</f>
        <v>1</v>
      </c>
      <c r="H3800" t="str">
        <f>MID(Table132[[#This Row],[ÉTAT]],VALUE(RIGHT(Table132[[#This Row],[next move]],1))+1+VALUE(LEFT(Table132[[#This Row],[next move]],1))*3,1)</f>
        <v>V</v>
      </c>
      <c r="I3800" t="str">
        <f>Table132[[#This Row],[ÉTAT]]&amp;Table132[[#This Row],[next move]]</f>
        <v>MVEVMEEMV22</v>
      </c>
    </row>
    <row r="3801" spans="2:9" x14ac:dyDescent="0.25">
      <c r="B3801" t="s">
        <v>196</v>
      </c>
      <c r="C3801" s="22" t="s">
        <v>26</v>
      </c>
      <c r="D3801">
        <v>1</v>
      </c>
      <c r="G3801" s="25">
        <f>Table132[[#This Row],[nb win]]/Table132[[#This Row],[nb play]]</f>
        <v>0</v>
      </c>
      <c r="H3801" t="str">
        <f>MID(Table132[[#This Row],[ÉTAT]],VALUE(RIGHT(Table132[[#This Row],[next move]],1))+1+VALUE(LEFT(Table132[[#This Row],[next move]],1))*3,1)</f>
        <v>V</v>
      </c>
      <c r="I3801" t="str">
        <f>Table132[[#This Row],[ÉTAT]]&amp;Table132[[#This Row],[next move]]</f>
        <v>MVEVEVVVV01</v>
      </c>
    </row>
    <row r="3802" spans="2:9" x14ac:dyDescent="0.25">
      <c r="B3802" t="s">
        <v>196</v>
      </c>
      <c r="C3802" s="22" t="s">
        <v>30</v>
      </c>
      <c r="D3802">
        <v>12</v>
      </c>
      <c r="E3802">
        <v>5</v>
      </c>
      <c r="G3802" s="30">
        <f>Table132[[#This Row],[nb win]]/Table132[[#This Row],[nb play]]</f>
        <v>0.41666666666666669</v>
      </c>
      <c r="H3802" t="str">
        <f>MID(Table132[[#This Row],[ÉTAT]],VALUE(RIGHT(Table132[[#This Row],[next move]],1))+1+VALUE(LEFT(Table132[[#This Row],[next move]],1))*3,1)</f>
        <v>V</v>
      </c>
      <c r="I3802" t="str">
        <f>Table132[[#This Row],[ÉTAT]]&amp;Table132[[#This Row],[next move]]</f>
        <v>MVEVEVVVV10</v>
      </c>
    </row>
    <row r="3803" spans="2:9" x14ac:dyDescent="0.25">
      <c r="B3803" t="s">
        <v>196</v>
      </c>
      <c r="C3803" s="22" t="s">
        <v>28</v>
      </c>
      <c r="D3803">
        <v>2</v>
      </c>
      <c r="G3803" s="30">
        <f>Table132[[#This Row],[nb win]]/Table132[[#This Row],[nb play]]</f>
        <v>0</v>
      </c>
      <c r="H3803" t="str">
        <f>MID(Table132[[#This Row],[ÉTAT]],VALUE(RIGHT(Table132[[#This Row],[next move]],1))+1+VALUE(LEFT(Table132[[#This Row],[next move]],1))*3,1)</f>
        <v>V</v>
      </c>
      <c r="I3803" t="str">
        <f>Table132[[#This Row],[ÉTAT]]&amp;Table132[[#This Row],[next move]]</f>
        <v>MVEVEVVVV12</v>
      </c>
    </row>
    <row r="3804" spans="2:9" x14ac:dyDescent="0.25">
      <c r="B3804" t="s">
        <v>196</v>
      </c>
      <c r="C3804" s="22" t="s">
        <v>35</v>
      </c>
      <c r="D3804">
        <v>1</v>
      </c>
      <c r="G3804" s="25">
        <f>Table132[[#This Row],[nb win]]/Table132[[#This Row],[nb play]]</f>
        <v>0</v>
      </c>
      <c r="H3804" t="str">
        <f>MID(Table132[[#This Row],[ÉTAT]],VALUE(RIGHT(Table132[[#This Row],[next move]],1))+1+VALUE(LEFT(Table132[[#This Row],[next move]],1))*3,1)</f>
        <v>V</v>
      </c>
      <c r="I3804" t="str">
        <f>Table132[[#This Row],[ÉTAT]]&amp;Table132[[#This Row],[next move]]</f>
        <v>MVEVEVVVV20</v>
      </c>
    </row>
    <row r="3805" spans="2:9" x14ac:dyDescent="0.25">
      <c r="B3805" t="s">
        <v>196</v>
      </c>
      <c r="C3805" s="22" t="s">
        <v>22</v>
      </c>
      <c r="D3805">
        <v>8</v>
      </c>
      <c r="E3805">
        <v>3</v>
      </c>
      <c r="G3805" s="30">
        <f>Table132[[#This Row],[nb win]]/Table132[[#This Row],[nb play]]</f>
        <v>0.375</v>
      </c>
      <c r="H3805" t="str">
        <f>MID(Table132[[#This Row],[ÉTAT]],VALUE(RIGHT(Table132[[#This Row],[next move]],1))+1+VALUE(LEFT(Table132[[#This Row],[next move]],1))*3,1)</f>
        <v>V</v>
      </c>
      <c r="I3805" t="str">
        <f>Table132[[#This Row],[ÉTAT]]&amp;Table132[[#This Row],[next move]]</f>
        <v>MVEVEVVVV21</v>
      </c>
    </row>
    <row r="3806" spans="2:9" x14ac:dyDescent="0.25">
      <c r="B3806" t="s">
        <v>196</v>
      </c>
      <c r="C3806" s="22" t="s">
        <v>31</v>
      </c>
      <c r="D3806">
        <v>2</v>
      </c>
      <c r="G3806" s="30">
        <f>Table132[[#This Row],[nb win]]/Table132[[#This Row],[nb play]]</f>
        <v>0</v>
      </c>
      <c r="H3806" t="str">
        <f>MID(Table132[[#This Row],[ÉTAT]],VALUE(RIGHT(Table132[[#This Row],[next move]],1))+1+VALUE(LEFT(Table132[[#This Row],[next move]],1))*3,1)</f>
        <v>V</v>
      </c>
      <c r="I3806" t="str">
        <f>Table132[[#This Row],[ÉTAT]]&amp;Table132[[#This Row],[next move]]</f>
        <v>MVEVEVVVV22</v>
      </c>
    </row>
    <row r="3807" spans="2:9" x14ac:dyDescent="0.25">
      <c r="B3807" t="s">
        <v>119</v>
      </c>
      <c r="C3807" s="22" t="s">
        <v>26</v>
      </c>
      <c r="D3807">
        <v>1</v>
      </c>
      <c r="G3807" s="25">
        <f>Table132[[#This Row],[nb win]]/Table132[[#This Row],[nb play]]</f>
        <v>0</v>
      </c>
      <c r="H3807" t="str">
        <f>MID(Table132[[#This Row],[ÉTAT]],VALUE(RIGHT(Table132[[#This Row],[next move]],1))+1+VALUE(LEFT(Table132[[#This Row],[next move]],1))*3,1)</f>
        <v>V</v>
      </c>
      <c r="I3807" t="str">
        <f>Table132[[#This Row],[ÉTAT]]&amp;Table132[[#This Row],[next move]]</f>
        <v>MVEVEVVVM01</v>
      </c>
    </row>
    <row r="3808" spans="2:9" x14ac:dyDescent="0.25">
      <c r="B3808" t="s">
        <v>119</v>
      </c>
      <c r="C3808" s="22" t="s">
        <v>35</v>
      </c>
      <c r="D3808">
        <v>4</v>
      </c>
      <c r="E3808">
        <v>4</v>
      </c>
      <c r="G3808" s="31">
        <f>Table132[[#This Row],[nb win]]/Table132[[#This Row],[nb play]]</f>
        <v>1</v>
      </c>
      <c r="H3808" t="str">
        <f>MID(Table132[[#This Row],[ÉTAT]],VALUE(RIGHT(Table132[[#This Row],[next move]],1))+1+VALUE(LEFT(Table132[[#This Row],[next move]],1))*3,1)</f>
        <v>V</v>
      </c>
      <c r="I3808" t="str">
        <f>Table132[[#This Row],[ÉTAT]]&amp;Table132[[#This Row],[next move]]</f>
        <v>MVEVEVVVM20</v>
      </c>
    </row>
    <row r="3809" spans="2:9" x14ac:dyDescent="0.25">
      <c r="B3809" t="s">
        <v>119</v>
      </c>
      <c r="C3809" s="22" t="s">
        <v>22</v>
      </c>
      <c r="D3809">
        <v>3</v>
      </c>
      <c r="E3809">
        <v>1</v>
      </c>
      <c r="G3809" s="30">
        <f>Table132[[#This Row],[nb win]]/Table132[[#This Row],[nb play]]</f>
        <v>0.33333333333333331</v>
      </c>
      <c r="H3809" t="str">
        <f>MID(Table132[[#This Row],[ÉTAT]],VALUE(RIGHT(Table132[[#This Row],[next move]],1))+1+VALUE(LEFT(Table132[[#This Row],[next move]],1))*3,1)</f>
        <v>V</v>
      </c>
      <c r="I3809" t="str">
        <f>Table132[[#This Row],[ÉTAT]]&amp;Table132[[#This Row],[next move]]</f>
        <v>MVEVEVVVM21</v>
      </c>
    </row>
    <row r="3810" spans="2:9" x14ac:dyDescent="0.25">
      <c r="B3810" t="s">
        <v>2060</v>
      </c>
      <c r="C3810" s="22" t="s">
        <v>28</v>
      </c>
      <c r="D3810">
        <v>2</v>
      </c>
      <c r="E3810">
        <v>1</v>
      </c>
      <c r="G3810" s="31">
        <f>Table132[[#This Row],[nb win]]/Table132[[#This Row],[nb play]]</f>
        <v>0.5</v>
      </c>
      <c r="H3810" t="str">
        <f>MID(Table132[[#This Row],[ÉTAT]],VALUE(RIGHT(Table132[[#This Row],[next move]],1))+1+VALUE(LEFT(Table132[[#This Row],[next move]],1))*3,1)</f>
        <v>V</v>
      </c>
      <c r="I3810" t="str">
        <f>Table132[[#This Row],[ÉTAT]]&amp;Table132[[#This Row],[next move]]</f>
        <v>MVEVEVVMV12</v>
      </c>
    </row>
    <row r="3811" spans="2:9" x14ac:dyDescent="0.25">
      <c r="B3811" t="s">
        <v>2060</v>
      </c>
      <c r="C3811" s="22" t="s">
        <v>35</v>
      </c>
      <c r="D3811">
        <v>1</v>
      </c>
      <c r="E3811">
        <v>1</v>
      </c>
      <c r="G3811" s="31">
        <f>Table132[[#This Row],[nb win]]/Table132[[#This Row],[nb play]]</f>
        <v>1</v>
      </c>
      <c r="H3811" t="str">
        <f>MID(Table132[[#This Row],[ÉTAT]],VALUE(RIGHT(Table132[[#This Row],[next move]],1))+1+VALUE(LEFT(Table132[[#This Row],[next move]],1))*3,1)</f>
        <v>V</v>
      </c>
      <c r="I3811" t="str">
        <f>Table132[[#This Row],[ÉTAT]]&amp;Table132[[#This Row],[next move]]</f>
        <v>MVEVEVVMV20</v>
      </c>
    </row>
    <row r="3812" spans="2:9" x14ac:dyDescent="0.25">
      <c r="B3812" t="s">
        <v>2060</v>
      </c>
      <c r="C3812" s="22" t="s">
        <v>31</v>
      </c>
      <c r="D3812">
        <v>2</v>
      </c>
      <c r="G3812" s="30">
        <f>Table132[[#This Row],[nb win]]/Table132[[#This Row],[nb play]]</f>
        <v>0</v>
      </c>
      <c r="H3812" t="str">
        <f>MID(Table132[[#This Row],[ÉTAT]],VALUE(RIGHT(Table132[[#This Row],[next move]],1))+1+VALUE(LEFT(Table132[[#This Row],[next move]],1))*3,1)</f>
        <v>V</v>
      </c>
      <c r="I3812" t="str">
        <f>Table132[[#This Row],[ÉTAT]]&amp;Table132[[#This Row],[next move]]</f>
        <v>MVEVEVVMV22</v>
      </c>
    </row>
    <row r="3813" spans="2:9" x14ac:dyDescent="0.25">
      <c r="B3813" t="s">
        <v>419</v>
      </c>
      <c r="C3813" s="22" t="s">
        <v>26</v>
      </c>
      <c r="D3813">
        <v>1</v>
      </c>
      <c r="G3813" s="25">
        <f>Table132[[#This Row],[nb win]]/Table132[[#This Row],[nb play]]</f>
        <v>0</v>
      </c>
      <c r="H3813" t="str">
        <f>MID(Table132[[#This Row],[ÉTAT]],VALUE(RIGHT(Table132[[#This Row],[next move]],1))+1+VALUE(LEFT(Table132[[#This Row],[next move]],1))*3,1)</f>
        <v>V</v>
      </c>
      <c r="I3813" t="str">
        <f>Table132[[#This Row],[ÉTAT]]&amp;Table132[[#This Row],[next move]]</f>
        <v>MVEVEVVME01</v>
      </c>
    </row>
    <row r="3814" spans="2:9" x14ac:dyDescent="0.25">
      <c r="B3814" t="s">
        <v>419</v>
      </c>
      <c r="C3814" s="22" t="s">
        <v>30</v>
      </c>
      <c r="D3814">
        <v>1</v>
      </c>
      <c r="E3814">
        <v>1</v>
      </c>
      <c r="G3814" s="25">
        <f>Table132[[#This Row],[nb win]]/Table132[[#This Row],[nb play]]</f>
        <v>1</v>
      </c>
      <c r="H3814" t="str">
        <f>MID(Table132[[#This Row],[ÉTAT]],VALUE(RIGHT(Table132[[#This Row],[next move]],1))+1+VALUE(LEFT(Table132[[#This Row],[next move]],1))*3,1)</f>
        <v>V</v>
      </c>
      <c r="I3814" t="str">
        <f>Table132[[#This Row],[ÉTAT]]&amp;Table132[[#This Row],[next move]]</f>
        <v>MVEVEVVME10</v>
      </c>
    </row>
    <row r="3815" spans="2:9" x14ac:dyDescent="0.25">
      <c r="B3815" t="s">
        <v>419</v>
      </c>
      <c r="C3815" s="22" t="s">
        <v>35</v>
      </c>
      <c r="D3815">
        <v>1</v>
      </c>
      <c r="G3815" s="25">
        <f>Table132[[#This Row],[nb win]]/Table132[[#This Row],[nb play]]</f>
        <v>0</v>
      </c>
      <c r="H3815" t="str">
        <f>MID(Table132[[#This Row],[ÉTAT]],VALUE(RIGHT(Table132[[#This Row],[next move]],1))+1+VALUE(LEFT(Table132[[#This Row],[next move]],1))*3,1)</f>
        <v>V</v>
      </c>
      <c r="I3815" t="str">
        <f>Table132[[#This Row],[ÉTAT]]&amp;Table132[[#This Row],[next move]]</f>
        <v>MVEVEVVME20</v>
      </c>
    </row>
    <row r="3816" spans="2:9" x14ac:dyDescent="0.25">
      <c r="B3816" t="s">
        <v>514</v>
      </c>
      <c r="C3816" s="22" t="s">
        <v>26</v>
      </c>
      <c r="D3816">
        <v>1</v>
      </c>
      <c r="G3816" s="25">
        <f>Table132[[#This Row],[nb win]]/Table132[[#This Row],[nb play]]</f>
        <v>0</v>
      </c>
      <c r="H3816" t="str">
        <f>MID(Table132[[#This Row],[ÉTAT]],VALUE(RIGHT(Table132[[#This Row],[next move]],1))+1+VALUE(LEFT(Table132[[#This Row],[next move]],1))*3,1)</f>
        <v>V</v>
      </c>
      <c r="I3816" t="str">
        <f>Table132[[#This Row],[ÉTAT]]&amp;Table132[[#This Row],[next move]]</f>
        <v>MVEVEVVEM01</v>
      </c>
    </row>
    <row r="3817" spans="2:9" x14ac:dyDescent="0.25">
      <c r="B3817" t="s">
        <v>514</v>
      </c>
      <c r="C3817" s="22" t="s">
        <v>30</v>
      </c>
      <c r="D3817">
        <v>1</v>
      </c>
      <c r="G3817" s="25">
        <f>Table132[[#This Row],[nb win]]/Table132[[#This Row],[nb play]]</f>
        <v>0</v>
      </c>
      <c r="H3817" t="str">
        <f>MID(Table132[[#This Row],[ÉTAT]],VALUE(RIGHT(Table132[[#This Row],[next move]],1))+1+VALUE(LEFT(Table132[[#This Row],[next move]],1))*3,1)</f>
        <v>V</v>
      </c>
      <c r="I3817" t="str">
        <f>Table132[[#This Row],[ÉTAT]]&amp;Table132[[#This Row],[next move]]</f>
        <v>MVEVEVVEM10</v>
      </c>
    </row>
    <row r="3818" spans="2:9" x14ac:dyDescent="0.25">
      <c r="B3818" t="s">
        <v>514</v>
      </c>
      <c r="C3818" s="22" t="s">
        <v>28</v>
      </c>
      <c r="D3818">
        <v>1</v>
      </c>
      <c r="G3818" s="25">
        <f>Table132[[#This Row],[nb win]]/Table132[[#This Row],[nb play]]</f>
        <v>0</v>
      </c>
      <c r="H3818" t="str">
        <f>MID(Table132[[#This Row],[ÉTAT]],VALUE(RIGHT(Table132[[#This Row],[next move]],1))+1+VALUE(LEFT(Table132[[#This Row],[next move]],1))*3,1)</f>
        <v>V</v>
      </c>
      <c r="I3818" t="str">
        <f>Table132[[#This Row],[ÉTAT]]&amp;Table132[[#This Row],[next move]]</f>
        <v>MVEVEVVEM12</v>
      </c>
    </row>
    <row r="3819" spans="2:9" x14ac:dyDescent="0.25">
      <c r="B3819" t="s">
        <v>514</v>
      </c>
      <c r="C3819" s="22" t="s">
        <v>35</v>
      </c>
      <c r="D3819">
        <v>4</v>
      </c>
      <c r="G3819" s="30">
        <f>Table132[[#This Row],[nb win]]/Table132[[#This Row],[nb play]]</f>
        <v>0</v>
      </c>
      <c r="H3819" t="str">
        <f>MID(Table132[[#This Row],[ÉTAT]],VALUE(RIGHT(Table132[[#This Row],[next move]],1))+1+VALUE(LEFT(Table132[[#This Row],[next move]],1))*3,1)</f>
        <v>V</v>
      </c>
      <c r="I3819" t="str">
        <f>Table132[[#This Row],[ÉTAT]]&amp;Table132[[#This Row],[next move]]</f>
        <v>MVEVEVVEM20</v>
      </c>
    </row>
    <row r="3820" spans="2:9" x14ac:dyDescent="0.25">
      <c r="B3820" t="s">
        <v>3174</v>
      </c>
      <c r="C3820" s="22" t="s">
        <v>31</v>
      </c>
      <c r="D3820">
        <v>1</v>
      </c>
      <c r="E3820">
        <v>1</v>
      </c>
      <c r="G3820" s="31">
        <f>Table132[[#This Row],[nb win]]/Table132[[#This Row],[nb play]]</f>
        <v>1</v>
      </c>
      <c r="H3820" t="str">
        <f>MID(Table132[[#This Row],[ÉTAT]],VALUE(RIGHT(Table132[[#This Row],[next move]],1))+1+VALUE(LEFT(Table132[[#This Row],[next move]],1))*3,1)</f>
        <v>V</v>
      </c>
      <c r="I3820" t="str">
        <f>Table132[[#This Row],[ÉTAT]]&amp;Table132[[#This Row],[next move]]</f>
        <v>MVEVEVMVV22</v>
      </c>
    </row>
    <row r="3821" spans="2:9" x14ac:dyDescent="0.25">
      <c r="B3821" t="s">
        <v>3175</v>
      </c>
      <c r="C3821" s="22" t="s">
        <v>30</v>
      </c>
      <c r="D3821">
        <v>2</v>
      </c>
      <c r="E3821">
        <v>2</v>
      </c>
      <c r="G3821" s="31">
        <f>Table132[[#This Row],[nb win]]/Table132[[#This Row],[nb play]]</f>
        <v>1</v>
      </c>
      <c r="H3821" t="str">
        <f>MID(Table132[[#This Row],[ÉTAT]],VALUE(RIGHT(Table132[[#This Row],[next move]],1))+1+VALUE(LEFT(Table132[[#This Row],[next move]],1))*3,1)</f>
        <v>V</v>
      </c>
      <c r="I3821" t="str">
        <f>Table132[[#This Row],[ÉTAT]]&amp;Table132[[#This Row],[next move]]</f>
        <v>MVEVEVMEM10</v>
      </c>
    </row>
    <row r="3822" spans="2:9" x14ac:dyDescent="0.25">
      <c r="B3822" t="s">
        <v>1848</v>
      </c>
      <c r="C3822" s="22" t="s">
        <v>26</v>
      </c>
      <c r="D3822">
        <v>3</v>
      </c>
      <c r="G3822" s="30">
        <f>Table132[[#This Row],[nb win]]/Table132[[#This Row],[nb play]]</f>
        <v>0</v>
      </c>
      <c r="H3822" t="str">
        <f>MID(Table132[[#This Row],[ÉTAT]],VALUE(RIGHT(Table132[[#This Row],[next move]],1))+1+VALUE(LEFT(Table132[[#This Row],[next move]],1))*3,1)</f>
        <v>V</v>
      </c>
      <c r="I3822" t="str">
        <f>Table132[[#This Row],[ÉTAT]]&amp;Table132[[#This Row],[next move]]</f>
        <v>MVEVEMVVV01</v>
      </c>
    </row>
    <row r="3823" spans="2:9" x14ac:dyDescent="0.25">
      <c r="B3823" t="s">
        <v>1848</v>
      </c>
      <c r="C3823" s="22" t="s">
        <v>30</v>
      </c>
      <c r="D3823">
        <v>3</v>
      </c>
      <c r="E3823">
        <v>2</v>
      </c>
      <c r="G3823" s="30">
        <f>Table132[[#This Row],[nb win]]/Table132[[#This Row],[nb play]]</f>
        <v>0.66666666666666663</v>
      </c>
      <c r="H3823" t="str">
        <f>MID(Table132[[#This Row],[ÉTAT]],VALUE(RIGHT(Table132[[#This Row],[next move]],1))+1+VALUE(LEFT(Table132[[#This Row],[next move]],1))*3,1)</f>
        <v>V</v>
      </c>
      <c r="I3823" t="str">
        <f>Table132[[#This Row],[ÉTAT]]&amp;Table132[[#This Row],[next move]]</f>
        <v>MVEVEMVVV10</v>
      </c>
    </row>
    <row r="3824" spans="2:9" x14ac:dyDescent="0.25">
      <c r="B3824" t="s">
        <v>1848</v>
      </c>
      <c r="C3824" s="22" t="s">
        <v>22</v>
      </c>
      <c r="D3824">
        <v>1</v>
      </c>
      <c r="G3824" s="30">
        <f>Table132[[#This Row],[nb win]]/Table132[[#This Row],[nb play]]</f>
        <v>0</v>
      </c>
      <c r="H3824" t="str">
        <f>MID(Table132[[#This Row],[ÉTAT]],VALUE(RIGHT(Table132[[#This Row],[next move]],1))+1+VALUE(LEFT(Table132[[#This Row],[next move]],1))*3,1)</f>
        <v>V</v>
      </c>
      <c r="I3824" t="str">
        <f>Table132[[#This Row],[ÉTAT]]&amp;Table132[[#This Row],[next move]]</f>
        <v>MVEVEMVVV21</v>
      </c>
    </row>
    <row r="3825" spans="2:9" x14ac:dyDescent="0.25">
      <c r="B3825" t="s">
        <v>1848</v>
      </c>
      <c r="C3825" s="22" t="s">
        <v>31</v>
      </c>
      <c r="D3825">
        <v>1</v>
      </c>
      <c r="G3825" s="30">
        <f>Table132[[#This Row],[nb win]]/Table132[[#This Row],[nb play]]</f>
        <v>0</v>
      </c>
      <c r="H3825" t="str">
        <f>MID(Table132[[#This Row],[ÉTAT]],VALUE(RIGHT(Table132[[#This Row],[next move]],1))+1+VALUE(LEFT(Table132[[#This Row],[next move]],1))*3,1)</f>
        <v>V</v>
      </c>
      <c r="I3825" t="str">
        <f>Table132[[#This Row],[ÉTAT]]&amp;Table132[[#This Row],[next move]]</f>
        <v>MVEVEMVVV22</v>
      </c>
    </row>
    <row r="3826" spans="2:9" x14ac:dyDescent="0.25">
      <c r="B3826" t="s">
        <v>2546</v>
      </c>
      <c r="C3826" s="22" t="s">
        <v>30</v>
      </c>
      <c r="D3826">
        <v>1</v>
      </c>
      <c r="G3826" s="30">
        <f>Table132[[#This Row],[nb win]]/Table132[[#This Row],[nb play]]</f>
        <v>0</v>
      </c>
      <c r="H3826" t="str">
        <f>MID(Table132[[#This Row],[ÉTAT]],VALUE(RIGHT(Table132[[#This Row],[next move]],1))+1+VALUE(LEFT(Table132[[#This Row],[next move]],1))*3,1)</f>
        <v>V</v>
      </c>
      <c r="I3826" t="str">
        <f>Table132[[#This Row],[ÉTAT]]&amp;Table132[[#This Row],[next move]]</f>
        <v>MVEVEMVVE10</v>
      </c>
    </row>
    <row r="3827" spans="2:9" x14ac:dyDescent="0.25">
      <c r="B3827" t="s">
        <v>2879</v>
      </c>
      <c r="C3827" s="22" t="s">
        <v>26</v>
      </c>
      <c r="D3827">
        <v>1</v>
      </c>
      <c r="G3827" s="25">
        <f>Table132[[#This Row],[nb win]]/Table132[[#This Row],[nb play]]</f>
        <v>0</v>
      </c>
      <c r="H3827" t="str">
        <f>MID(Table132[[#This Row],[ÉTAT]],VALUE(RIGHT(Table132[[#This Row],[next move]],1))+1+VALUE(LEFT(Table132[[#This Row],[next move]],1))*3,1)</f>
        <v>V</v>
      </c>
      <c r="I3827" t="str">
        <f>Table132[[#This Row],[ÉTAT]]&amp;Table132[[#This Row],[next move]]</f>
        <v>MVEVEMVME01</v>
      </c>
    </row>
    <row r="3828" spans="2:9" x14ac:dyDescent="0.25">
      <c r="B3828" t="s">
        <v>2118</v>
      </c>
      <c r="C3828" s="22" t="s">
        <v>26</v>
      </c>
      <c r="D3828">
        <v>1</v>
      </c>
      <c r="G3828" s="25">
        <f>Table132[[#This Row],[nb win]]/Table132[[#This Row],[nb play]]</f>
        <v>0</v>
      </c>
      <c r="H3828" t="str">
        <f>MID(Table132[[#This Row],[ÉTAT]],VALUE(RIGHT(Table132[[#This Row],[next move]],1))+1+VALUE(LEFT(Table132[[#This Row],[next move]],1))*3,1)</f>
        <v>V</v>
      </c>
      <c r="I3828" t="str">
        <f>Table132[[#This Row],[ÉTAT]]&amp;Table132[[#This Row],[next move]]</f>
        <v>MVEVEMVEV01</v>
      </c>
    </row>
    <row r="3829" spans="2:9" x14ac:dyDescent="0.25">
      <c r="B3829" t="s">
        <v>2118</v>
      </c>
      <c r="C3829" s="22" t="s">
        <v>30</v>
      </c>
      <c r="D3829">
        <v>3</v>
      </c>
      <c r="G3829" s="30">
        <f>Table132[[#This Row],[nb win]]/Table132[[#This Row],[nb play]]</f>
        <v>0</v>
      </c>
      <c r="H3829" t="str">
        <f>MID(Table132[[#This Row],[ÉTAT]],VALUE(RIGHT(Table132[[#This Row],[next move]],1))+1+VALUE(LEFT(Table132[[#This Row],[next move]],1))*3,1)</f>
        <v>V</v>
      </c>
      <c r="I3829" t="str">
        <f>Table132[[#This Row],[ÉTAT]]&amp;Table132[[#This Row],[next move]]</f>
        <v>MVEVEMVEV10</v>
      </c>
    </row>
    <row r="3830" spans="2:9" x14ac:dyDescent="0.25">
      <c r="B3830" t="s">
        <v>2118</v>
      </c>
      <c r="C3830" s="22" t="s">
        <v>35</v>
      </c>
      <c r="D3830">
        <v>3</v>
      </c>
      <c r="G3830" s="30">
        <f>Table132[[#This Row],[nb win]]/Table132[[#This Row],[nb play]]</f>
        <v>0</v>
      </c>
      <c r="H3830" t="str">
        <f>MID(Table132[[#This Row],[ÉTAT]],VALUE(RIGHT(Table132[[#This Row],[next move]],1))+1+VALUE(LEFT(Table132[[#This Row],[next move]],1))*3,1)</f>
        <v>V</v>
      </c>
      <c r="I3830" t="str">
        <f>Table132[[#This Row],[ÉTAT]]&amp;Table132[[#This Row],[next move]]</f>
        <v>MVEVEMVEV20</v>
      </c>
    </row>
    <row r="3831" spans="2:9" x14ac:dyDescent="0.25">
      <c r="B3831" t="s">
        <v>2118</v>
      </c>
      <c r="C3831" s="22" t="s">
        <v>31</v>
      </c>
      <c r="D3831">
        <v>1</v>
      </c>
      <c r="G3831" s="25">
        <f>Table132[[#This Row],[nb win]]/Table132[[#This Row],[nb play]]</f>
        <v>0</v>
      </c>
      <c r="H3831" t="str">
        <f>MID(Table132[[#This Row],[ÉTAT]],VALUE(RIGHT(Table132[[#This Row],[next move]],1))+1+VALUE(LEFT(Table132[[#This Row],[next move]],1))*3,1)</f>
        <v>V</v>
      </c>
      <c r="I3831" t="str">
        <f>Table132[[#This Row],[ÉTAT]]&amp;Table132[[#This Row],[next move]]</f>
        <v>MVEVEMVEV22</v>
      </c>
    </row>
    <row r="3832" spans="2:9" x14ac:dyDescent="0.25">
      <c r="B3832" t="s">
        <v>960</v>
      </c>
      <c r="C3832" s="22" t="s">
        <v>26</v>
      </c>
      <c r="D3832">
        <v>1</v>
      </c>
      <c r="E3832">
        <v>1</v>
      </c>
      <c r="G3832" s="25">
        <f>Table132[[#This Row],[nb win]]/Table132[[#This Row],[nb play]]</f>
        <v>1</v>
      </c>
      <c r="H3832" t="str">
        <f>MID(Table132[[#This Row],[ÉTAT]],VALUE(RIGHT(Table132[[#This Row],[next move]],1))+1+VALUE(LEFT(Table132[[#This Row],[next move]],1))*3,1)</f>
        <v>V</v>
      </c>
      <c r="I3832" t="str">
        <f>Table132[[#This Row],[ÉTAT]]&amp;Table132[[#This Row],[next move]]</f>
        <v>MVEVEMMVE01</v>
      </c>
    </row>
    <row r="3833" spans="2:9" x14ac:dyDescent="0.25">
      <c r="B3833" t="s">
        <v>747</v>
      </c>
      <c r="C3833" s="22" t="s">
        <v>30</v>
      </c>
      <c r="D3833">
        <v>3</v>
      </c>
      <c r="E3833">
        <v>3</v>
      </c>
      <c r="G3833" s="31">
        <f>Table132[[#This Row],[nb win]]/Table132[[#This Row],[nb play]]</f>
        <v>1</v>
      </c>
      <c r="H3833" t="str">
        <f>MID(Table132[[#This Row],[ÉTAT]],VALUE(RIGHT(Table132[[#This Row],[next move]],1))+1+VALUE(LEFT(Table132[[#This Row],[next move]],1))*3,1)</f>
        <v>V</v>
      </c>
      <c r="I3833" t="str">
        <f>Table132[[#This Row],[ÉTAT]]&amp;Table132[[#This Row],[next move]]</f>
        <v>MVEVEMMEV10</v>
      </c>
    </row>
    <row r="3834" spans="2:9" x14ac:dyDescent="0.25">
      <c r="B3834" t="s">
        <v>1452</v>
      </c>
      <c r="C3834" s="22" t="s">
        <v>30</v>
      </c>
      <c r="D3834">
        <v>2</v>
      </c>
      <c r="E3834">
        <v>2</v>
      </c>
      <c r="G3834" s="25">
        <f>Table132[[#This Row],[nb win]]/Table132[[#This Row],[nb play]]</f>
        <v>1</v>
      </c>
      <c r="H3834" t="str">
        <f>MID(Table132[[#This Row],[ÉTAT]],VALUE(RIGHT(Table132[[#This Row],[next move]],1))+1+VALUE(LEFT(Table132[[#This Row],[next move]],1))*3,1)</f>
        <v>V</v>
      </c>
      <c r="I3834" t="str">
        <f>Table132[[#This Row],[ÉTAT]]&amp;Table132[[#This Row],[next move]]</f>
        <v>MVEVEMMEE10</v>
      </c>
    </row>
    <row r="3835" spans="2:9" x14ac:dyDescent="0.25">
      <c r="B3835" t="s">
        <v>2658</v>
      </c>
      <c r="C3835" s="22" t="s">
        <v>35</v>
      </c>
      <c r="D3835">
        <v>2</v>
      </c>
      <c r="E3835">
        <v>1</v>
      </c>
      <c r="G3835" s="30">
        <f>Table132[[#This Row],[nb win]]/Table132[[#This Row],[nb play]]</f>
        <v>0.5</v>
      </c>
      <c r="H3835" t="str">
        <f>MID(Table132[[#This Row],[ÉTAT]],VALUE(RIGHT(Table132[[#This Row],[next move]],1))+1+VALUE(LEFT(Table132[[#This Row],[next move]],1))*3,1)</f>
        <v>V</v>
      </c>
      <c r="I3835" t="str">
        <f>Table132[[#This Row],[ÉTAT]]&amp;Table132[[#This Row],[next move]]</f>
        <v>MVEVEEVMV20</v>
      </c>
    </row>
    <row r="3836" spans="2:9" x14ac:dyDescent="0.25">
      <c r="B3836" t="s">
        <v>2658</v>
      </c>
      <c r="C3836" s="22" t="s">
        <v>31</v>
      </c>
      <c r="D3836">
        <v>1</v>
      </c>
      <c r="G3836" s="30">
        <f>Table132[[#This Row],[nb win]]/Table132[[#This Row],[nb play]]</f>
        <v>0</v>
      </c>
      <c r="H3836" t="str">
        <f>MID(Table132[[#This Row],[ÉTAT]],VALUE(RIGHT(Table132[[#This Row],[next move]],1))+1+VALUE(LEFT(Table132[[#This Row],[next move]],1))*3,1)</f>
        <v>V</v>
      </c>
      <c r="I3836" t="str">
        <f>Table132[[#This Row],[ÉTAT]]&amp;Table132[[#This Row],[next move]]</f>
        <v>MVEVEEVMV22</v>
      </c>
    </row>
    <row r="3837" spans="2:9" x14ac:dyDescent="0.25">
      <c r="B3837" t="s">
        <v>2061</v>
      </c>
      <c r="C3837" s="22" t="s">
        <v>26</v>
      </c>
      <c r="D3837">
        <v>2</v>
      </c>
      <c r="G3837" s="30">
        <f>Table132[[#This Row],[nb win]]/Table132[[#This Row],[nb play]]</f>
        <v>0</v>
      </c>
      <c r="H3837" t="str">
        <f>MID(Table132[[#This Row],[ÉTAT]],VALUE(RIGHT(Table132[[#This Row],[next move]],1))+1+VALUE(LEFT(Table132[[#This Row],[next move]],1))*3,1)</f>
        <v>V</v>
      </c>
      <c r="I3837" t="str">
        <f>Table132[[#This Row],[ÉTAT]]&amp;Table132[[#This Row],[next move]]</f>
        <v>MVEVEEVMM01</v>
      </c>
    </row>
    <row r="3838" spans="2:9" x14ac:dyDescent="0.25">
      <c r="B3838" t="s">
        <v>2061</v>
      </c>
      <c r="C3838" s="22" t="s">
        <v>35</v>
      </c>
      <c r="D3838">
        <v>1</v>
      </c>
      <c r="E3838">
        <v>1</v>
      </c>
      <c r="G3838" s="31">
        <f>Table132[[#This Row],[nb win]]/Table132[[#This Row],[nb play]]</f>
        <v>1</v>
      </c>
      <c r="H3838" t="str">
        <f>MID(Table132[[#This Row],[ÉTAT]],VALUE(RIGHT(Table132[[#This Row],[next move]],1))+1+VALUE(LEFT(Table132[[#This Row],[next move]],1))*3,1)</f>
        <v>V</v>
      </c>
      <c r="I3838" t="str">
        <f>Table132[[#This Row],[ÉTAT]]&amp;Table132[[#This Row],[next move]]</f>
        <v>MVEVEEVMM20</v>
      </c>
    </row>
    <row r="3839" spans="2:9" x14ac:dyDescent="0.25">
      <c r="B3839" t="s">
        <v>2004</v>
      </c>
      <c r="C3839" s="22" t="s">
        <v>26</v>
      </c>
      <c r="D3839">
        <v>1</v>
      </c>
      <c r="G3839" s="25">
        <f>Table132[[#This Row],[nb win]]/Table132[[#This Row],[nb play]]</f>
        <v>0</v>
      </c>
      <c r="H3839" t="str">
        <f>MID(Table132[[#This Row],[ÉTAT]],VALUE(RIGHT(Table132[[#This Row],[next move]],1))+1+VALUE(LEFT(Table132[[#This Row],[next move]],1))*3,1)</f>
        <v>V</v>
      </c>
      <c r="I3839" t="str">
        <f>Table132[[#This Row],[ÉTAT]]&amp;Table132[[#This Row],[next move]]</f>
        <v>MVEVEEMVV01</v>
      </c>
    </row>
    <row r="3840" spans="2:9" x14ac:dyDescent="0.25">
      <c r="B3840" t="s">
        <v>2004</v>
      </c>
      <c r="C3840" s="22" t="s">
        <v>30</v>
      </c>
      <c r="D3840">
        <v>2</v>
      </c>
      <c r="E3840">
        <v>2</v>
      </c>
      <c r="G3840" s="31">
        <f>Table132[[#This Row],[nb win]]/Table132[[#This Row],[nb play]]</f>
        <v>1</v>
      </c>
      <c r="H3840" t="str">
        <f>MID(Table132[[#This Row],[ÉTAT]],VALUE(RIGHT(Table132[[#This Row],[next move]],1))+1+VALUE(LEFT(Table132[[#This Row],[next move]],1))*3,1)</f>
        <v>V</v>
      </c>
      <c r="I3840" t="str">
        <f>Table132[[#This Row],[ÉTAT]]&amp;Table132[[#This Row],[next move]]</f>
        <v>MVEVEEMVV10</v>
      </c>
    </row>
    <row r="3841" spans="2:9" x14ac:dyDescent="0.25">
      <c r="B3841" t="s">
        <v>2004</v>
      </c>
      <c r="C3841" s="22" t="s">
        <v>22</v>
      </c>
      <c r="D3841">
        <v>1</v>
      </c>
      <c r="G3841" s="25">
        <f>Table132[[#This Row],[nb win]]/Table132[[#This Row],[nb play]]</f>
        <v>0</v>
      </c>
      <c r="H3841" t="str">
        <f>MID(Table132[[#This Row],[ÉTAT]],VALUE(RIGHT(Table132[[#This Row],[next move]],1))+1+VALUE(LEFT(Table132[[#This Row],[next move]],1))*3,1)</f>
        <v>V</v>
      </c>
      <c r="I3841" t="str">
        <f>Table132[[#This Row],[ÉTAT]]&amp;Table132[[#This Row],[next move]]</f>
        <v>MVEVEEMVV21</v>
      </c>
    </row>
    <row r="3842" spans="2:9" x14ac:dyDescent="0.25">
      <c r="B3842" t="s">
        <v>2506</v>
      </c>
      <c r="C3842" s="22" t="s">
        <v>22</v>
      </c>
      <c r="D3842">
        <v>3</v>
      </c>
      <c r="E3842">
        <v>3</v>
      </c>
      <c r="G3842" s="31">
        <f>Table132[[#This Row],[nb win]]/Table132[[#This Row],[nb play]]</f>
        <v>1</v>
      </c>
      <c r="H3842" t="str">
        <f>MID(Table132[[#This Row],[ÉTAT]],VALUE(RIGHT(Table132[[#This Row],[next move]],1))+1+VALUE(LEFT(Table132[[#This Row],[next move]],1))*3,1)</f>
        <v>V</v>
      </c>
      <c r="I3842" t="str">
        <f>Table132[[#This Row],[ÉTAT]]&amp;Table132[[#This Row],[next move]]</f>
        <v>MVEVEEMVM21</v>
      </c>
    </row>
    <row r="3843" spans="2:9" x14ac:dyDescent="0.25">
      <c r="B3843" t="s">
        <v>624</v>
      </c>
      <c r="C3843" s="22" t="s">
        <v>26</v>
      </c>
      <c r="D3843">
        <v>1</v>
      </c>
      <c r="G3843" s="25">
        <f>Table132[[#This Row],[nb win]]/Table132[[#This Row],[nb play]]</f>
        <v>0</v>
      </c>
      <c r="H3843" t="str">
        <f>MID(Table132[[#This Row],[ÉTAT]],VALUE(RIGHT(Table132[[#This Row],[next move]],1))+1+VALUE(LEFT(Table132[[#This Row],[next move]],1))*3,1)</f>
        <v>V</v>
      </c>
      <c r="I3843" t="str">
        <f>Table132[[#This Row],[ÉTAT]]&amp;Table132[[#This Row],[next move]]</f>
        <v>MVEVEEMMV01</v>
      </c>
    </row>
    <row r="3844" spans="2:9" x14ac:dyDescent="0.25">
      <c r="B3844" t="s">
        <v>624</v>
      </c>
      <c r="C3844" s="22" t="s">
        <v>31</v>
      </c>
      <c r="D3844">
        <v>2</v>
      </c>
      <c r="E3844">
        <v>2</v>
      </c>
      <c r="G3844" s="25">
        <f>Table132[[#This Row],[nb win]]/Table132[[#This Row],[nb play]]</f>
        <v>1</v>
      </c>
      <c r="H3844" t="str">
        <f>MID(Table132[[#This Row],[ÉTAT]],VALUE(RIGHT(Table132[[#This Row],[next move]],1))+1+VALUE(LEFT(Table132[[#This Row],[next move]],1))*3,1)</f>
        <v>V</v>
      </c>
      <c r="I3844" t="str">
        <f>Table132[[#This Row],[ÉTAT]]&amp;Table132[[#This Row],[next move]]</f>
        <v>MVEVEEMMV22</v>
      </c>
    </row>
    <row r="3845" spans="2:9" x14ac:dyDescent="0.25">
      <c r="B3845" t="s">
        <v>563</v>
      </c>
      <c r="C3845" s="22" t="s">
        <v>30</v>
      </c>
      <c r="D3845">
        <v>5</v>
      </c>
      <c r="E3845">
        <v>5</v>
      </c>
      <c r="G3845" s="31">
        <f>Table132[[#This Row],[nb win]]/Table132[[#This Row],[nb play]]</f>
        <v>1</v>
      </c>
      <c r="H3845" t="str">
        <f>MID(Table132[[#This Row],[ÉTAT]],VALUE(RIGHT(Table132[[#This Row],[next move]],1))+1+VALUE(LEFT(Table132[[#This Row],[next move]],1))*3,1)</f>
        <v>V</v>
      </c>
      <c r="I3845" t="str">
        <f>Table132[[#This Row],[ÉTAT]]&amp;Table132[[#This Row],[next move]]</f>
        <v>MVEVEEMEM10</v>
      </c>
    </row>
    <row r="3846" spans="2:9" x14ac:dyDescent="0.25">
      <c r="B3846" t="s">
        <v>1254</v>
      </c>
      <c r="C3846" s="22" t="s">
        <v>28</v>
      </c>
      <c r="D3846">
        <v>4</v>
      </c>
      <c r="E3846">
        <v>4</v>
      </c>
      <c r="G3846" s="31">
        <f>Table132[[#This Row],[nb win]]/Table132[[#This Row],[nb play]]</f>
        <v>1</v>
      </c>
      <c r="H3846" t="str">
        <f>MID(Table132[[#This Row],[ÉTAT]],VALUE(RIGHT(Table132[[#This Row],[next move]],1))+1+VALUE(LEFT(Table132[[#This Row],[next move]],1))*3,1)</f>
        <v>V</v>
      </c>
      <c r="I3846" t="str">
        <f>Table132[[#This Row],[ÉTAT]]&amp;Table132[[#This Row],[next move]]</f>
        <v>MVEMVVVVE12</v>
      </c>
    </row>
    <row r="3847" spans="2:9" x14ac:dyDescent="0.25">
      <c r="B3847" t="s">
        <v>2985</v>
      </c>
      <c r="C3847" s="22" t="s">
        <v>26</v>
      </c>
      <c r="D3847">
        <v>1</v>
      </c>
      <c r="E3847">
        <v>1</v>
      </c>
      <c r="G3847" s="25">
        <f>Table132[[#This Row],[nb win]]/Table132[[#This Row],[nb play]]</f>
        <v>1</v>
      </c>
      <c r="H3847" t="str">
        <f>MID(Table132[[#This Row],[ÉTAT]],VALUE(RIGHT(Table132[[#This Row],[next move]],1))+1+VALUE(LEFT(Table132[[#This Row],[next move]],1))*3,1)</f>
        <v>V</v>
      </c>
      <c r="I3847" t="str">
        <f>Table132[[#This Row],[ÉTAT]]&amp;Table132[[#This Row],[next move]]</f>
        <v>MVEMVVVEV01</v>
      </c>
    </row>
    <row r="3848" spans="2:9" x14ac:dyDescent="0.25">
      <c r="B3848" t="s">
        <v>1344</v>
      </c>
      <c r="C3848" s="22" t="s">
        <v>29</v>
      </c>
      <c r="D3848">
        <v>2</v>
      </c>
      <c r="E3848">
        <v>2</v>
      </c>
      <c r="G3848" s="31">
        <f>Table132[[#This Row],[nb win]]/Table132[[#This Row],[nb play]]</f>
        <v>1</v>
      </c>
      <c r="H3848" t="str">
        <f>MID(Table132[[#This Row],[ÉTAT]],VALUE(RIGHT(Table132[[#This Row],[next move]],1))+1+VALUE(LEFT(Table132[[#This Row],[next move]],1))*3,1)</f>
        <v>V</v>
      </c>
      <c r="I3848" t="str">
        <f>Table132[[#This Row],[ÉTAT]]&amp;Table132[[#This Row],[next move]]</f>
        <v>MVEMVVEVV11</v>
      </c>
    </row>
    <row r="3849" spans="2:9" x14ac:dyDescent="0.25">
      <c r="B3849" t="s">
        <v>2312</v>
      </c>
      <c r="C3849" s="22" t="s">
        <v>26</v>
      </c>
      <c r="D3849">
        <v>2</v>
      </c>
      <c r="G3849" s="30">
        <f>Table132[[#This Row],[nb win]]/Table132[[#This Row],[nb play]]</f>
        <v>0</v>
      </c>
      <c r="H3849" t="str">
        <f>MID(Table132[[#This Row],[ÉTAT]],VALUE(RIGHT(Table132[[#This Row],[next move]],1))+1+VALUE(LEFT(Table132[[#This Row],[next move]],1))*3,1)</f>
        <v>V</v>
      </c>
      <c r="I3849" t="str">
        <f>Table132[[#This Row],[ÉTAT]]&amp;Table132[[#This Row],[next move]]</f>
        <v>MVEMVVEVE01</v>
      </c>
    </row>
    <row r="3850" spans="2:9" x14ac:dyDescent="0.25">
      <c r="B3850" t="s">
        <v>2312</v>
      </c>
      <c r="C3850" s="22" t="s">
        <v>29</v>
      </c>
      <c r="D3850">
        <v>1</v>
      </c>
      <c r="G3850" s="30">
        <f>Table132[[#This Row],[nb win]]/Table132[[#This Row],[nb play]]</f>
        <v>0</v>
      </c>
      <c r="H3850" t="str">
        <f>MID(Table132[[#This Row],[ÉTAT]],VALUE(RIGHT(Table132[[#This Row],[next move]],1))+1+VALUE(LEFT(Table132[[#This Row],[next move]],1))*3,1)</f>
        <v>V</v>
      </c>
      <c r="I3850" t="str">
        <f>Table132[[#This Row],[ÉTAT]]&amp;Table132[[#This Row],[next move]]</f>
        <v>MVEMVVEVE11</v>
      </c>
    </row>
    <row r="3851" spans="2:9" x14ac:dyDescent="0.25">
      <c r="B3851" t="s">
        <v>2312</v>
      </c>
      <c r="C3851" s="22" t="s">
        <v>28</v>
      </c>
      <c r="D3851">
        <v>1</v>
      </c>
      <c r="G3851" s="30">
        <f>Table132[[#This Row],[nb win]]/Table132[[#This Row],[nb play]]</f>
        <v>0</v>
      </c>
      <c r="H3851" t="str">
        <f>MID(Table132[[#This Row],[ÉTAT]],VALUE(RIGHT(Table132[[#This Row],[next move]],1))+1+VALUE(LEFT(Table132[[#This Row],[next move]],1))*3,1)</f>
        <v>V</v>
      </c>
      <c r="I3851" t="str">
        <f>Table132[[#This Row],[ÉTAT]]&amp;Table132[[#This Row],[next move]]</f>
        <v>MVEMVVEVE12</v>
      </c>
    </row>
    <row r="3852" spans="2:9" x14ac:dyDescent="0.25">
      <c r="B3852" t="s">
        <v>2312</v>
      </c>
      <c r="C3852" s="22" t="s">
        <v>22</v>
      </c>
      <c r="D3852">
        <v>1</v>
      </c>
      <c r="G3852" s="25">
        <f>Table132[[#This Row],[nb win]]/Table132[[#This Row],[nb play]]</f>
        <v>0</v>
      </c>
      <c r="H3852" t="str">
        <f>MID(Table132[[#This Row],[ÉTAT]],VALUE(RIGHT(Table132[[#This Row],[next move]],1))+1+VALUE(LEFT(Table132[[#This Row],[next move]],1))*3,1)</f>
        <v>V</v>
      </c>
      <c r="I3852" t="str">
        <f>Table132[[#This Row],[ÉTAT]]&amp;Table132[[#This Row],[next move]]</f>
        <v>MVEMVVEVE21</v>
      </c>
    </row>
    <row r="3853" spans="2:9" x14ac:dyDescent="0.25">
      <c r="B3853" t="s">
        <v>2390</v>
      </c>
      <c r="C3853" s="22" t="s">
        <v>26</v>
      </c>
      <c r="D3853">
        <v>1</v>
      </c>
      <c r="G3853" s="25">
        <f>Table132[[#This Row],[nb win]]/Table132[[#This Row],[nb play]]</f>
        <v>0</v>
      </c>
      <c r="H3853" t="str">
        <f>MID(Table132[[#This Row],[ÉTAT]],VALUE(RIGHT(Table132[[#This Row],[next move]],1))+1+VALUE(LEFT(Table132[[#This Row],[next move]],1))*3,1)</f>
        <v>V</v>
      </c>
      <c r="I3853" t="str">
        <f>Table132[[#This Row],[ÉTAT]]&amp;Table132[[#This Row],[next move]]</f>
        <v>MVEMVVEEV01</v>
      </c>
    </row>
    <row r="3854" spans="2:9" x14ac:dyDescent="0.25">
      <c r="B3854" t="s">
        <v>1801</v>
      </c>
      <c r="C3854" s="22" t="s">
        <v>26</v>
      </c>
      <c r="D3854">
        <v>1</v>
      </c>
      <c r="G3854" s="25">
        <f>Table132[[#This Row],[nb win]]/Table132[[#This Row],[nb play]]</f>
        <v>0</v>
      </c>
      <c r="H3854" t="str">
        <f>MID(Table132[[#This Row],[ÉTAT]],VALUE(RIGHT(Table132[[#This Row],[next move]],1))+1+VALUE(LEFT(Table132[[#This Row],[next move]],1))*3,1)</f>
        <v>V</v>
      </c>
      <c r="I3854" t="str">
        <f>Table132[[#This Row],[ÉTAT]]&amp;Table132[[#This Row],[next move]]</f>
        <v>MVEMVMVEE01</v>
      </c>
    </row>
    <row r="3855" spans="2:9" x14ac:dyDescent="0.25">
      <c r="B3855" t="s">
        <v>1801</v>
      </c>
      <c r="C3855" s="22" t="s">
        <v>35</v>
      </c>
      <c r="D3855">
        <v>1</v>
      </c>
      <c r="E3855">
        <v>1</v>
      </c>
      <c r="G3855" s="31">
        <f>Table132[[#This Row],[nb win]]/Table132[[#This Row],[nb play]]</f>
        <v>1</v>
      </c>
      <c r="H3855" t="str">
        <f>MID(Table132[[#This Row],[ÉTAT]],VALUE(RIGHT(Table132[[#This Row],[next move]],1))+1+VALUE(LEFT(Table132[[#This Row],[next move]],1))*3,1)</f>
        <v>V</v>
      </c>
      <c r="I3855" t="str">
        <f>Table132[[#This Row],[ÉTAT]]&amp;Table132[[#This Row],[next move]]</f>
        <v>MVEMVMVEE20</v>
      </c>
    </row>
    <row r="3856" spans="2:9" x14ac:dyDescent="0.25">
      <c r="B3856" t="s">
        <v>586</v>
      </c>
      <c r="C3856" s="22" t="s">
        <v>29</v>
      </c>
      <c r="D3856">
        <v>4</v>
      </c>
      <c r="E3856">
        <v>4</v>
      </c>
      <c r="G3856" s="31">
        <f>Table132[[#This Row],[nb win]]/Table132[[#This Row],[nb play]]</f>
        <v>1</v>
      </c>
      <c r="H3856" t="str">
        <f>MID(Table132[[#This Row],[ÉTAT]],VALUE(RIGHT(Table132[[#This Row],[next move]],1))+1+VALUE(LEFT(Table132[[#This Row],[next move]],1))*3,1)</f>
        <v>V</v>
      </c>
      <c r="I3856" t="str">
        <f>Table132[[#This Row],[ÉTAT]]&amp;Table132[[#This Row],[next move]]</f>
        <v>MVEMVMEVE11</v>
      </c>
    </row>
    <row r="3857" spans="2:9" x14ac:dyDescent="0.25">
      <c r="B3857" t="s">
        <v>928</v>
      </c>
      <c r="C3857" s="22" t="s">
        <v>26</v>
      </c>
      <c r="D3857">
        <v>2</v>
      </c>
      <c r="G3857" s="30">
        <f>Table132[[#This Row],[nb win]]/Table132[[#This Row],[nb play]]</f>
        <v>0</v>
      </c>
      <c r="H3857" t="str">
        <f>MID(Table132[[#This Row],[ÉTAT]],VALUE(RIGHT(Table132[[#This Row],[next move]],1))+1+VALUE(LEFT(Table132[[#This Row],[next move]],1))*3,1)</f>
        <v>V</v>
      </c>
      <c r="I3857" t="str">
        <f>Table132[[#This Row],[ÉTAT]]&amp;Table132[[#This Row],[next move]]</f>
        <v>MVEMVEVVV01</v>
      </c>
    </row>
    <row r="3858" spans="2:9" x14ac:dyDescent="0.25">
      <c r="B3858" t="s">
        <v>928</v>
      </c>
      <c r="C3858" s="22" t="s">
        <v>35</v>
      </c>
      <c r="D3858">
        <v>4</v>
      </c>
      <c r="E3858">
        <v>4</v>
      </c>
      <c r="G3858" s="31">
        <f>Table132[[#This Row],[nb win]]/Table132[[#This Row],[nb play]]</f>
        <v>1</v>
      </c>
      <c r="H3858" t="str">
        <f>MID(Table132[[#This Row],[ÉTAT]],VALUE(RIGHT(Table132[[#This Row],[next move]],1))+1+VALUE(LEFT(Table132[[#This Row],[next move]],1))*3,1)</f>
        <v>V</v>
      </c>
      <c r="I3858" t="str">
        <f>Table132[[#This Row],[ÉTAT]]&amp;Table132[[#This Row],[next move]]</f>
        <v>MVEMVEVVV20</v>
      </c>
    </row>
    <row r="3859" spans="2:9" x14ac:dyDescent="0.25">
      <c r="B3859" t="s">
        <v>1617</v>
      </c>
      <c r="C3859" s="22" t="s">
        <v>26</v>
      </c>
      <c r="D3859">
        <v>1</v>
      </c>
      <c r="G3859" s="25">
        <f>Table132[[#This Row],[nb win]]/Table132[[#This Row],[nb play]]</f>
        <v>0</v>
      </c>
      <c r="H3859" t="str">
        <f>MID(Table132[[#This Row],[ÉTAT]],VALUE(RIGHT(Table132[[#This Row],[next move]],1))+1+VALUE(LEFT(Table132[[#This Row],[next move]],1))*3,1)</f>
        <v>V</v>
      </c>
      <c r="I3859" t="str">
        <f>Table132[[#This Row],[ÉTAT]]&amp;Table132[[#This Row],[next move]]</f>
        <v>MVEMVEEVV01</v>
      </c>
    </row>
    <row r="3860" spans="2:9" x14ac:dyDescent="0.25">
      <c r="B3860" t="s">
        <v>1617</v>
      </c>
      <c r="C3860" s="22" t="s">
        <v>31</v>
      </c>
      <c r="D3860">
        <v>1</v>
      </c>
      <c r="E3860">
        <v>1</v>
      </c>
      <c r="G3860" s="25">
        <f>Table132[[#This Row],[nb win]]/Table132[[#This Row],[nb play]]</f>
        <v>1</v>
      </c>
      <c r="H3860" t="str">
        <f>MID(Table132[[#This Row],[ÉTAT]],VALUE(RIGHT(Table132[[#This Row],[next move]],1))+1+VALUE(LEFT(Table132[[#This Row],[next move]],1))*3,1)</f>
        <v>V</v>
      </c>
      <c r="I3860" t="str">
        <f>Table132[[#This Row],[ÉTAT]]&amp;Table132[[#This Row],[next move]]</f>
        <v>MVEMVEEVV22</v>
      </c>
    </row>
    <row r="3861" spans="2:9" x14ac:dyDescent="0.25">
      <c r="B3861" t="s">
        <v>3301</v>
      </c>
      <c r="C3861" s="22" t="s">
        <v>29</v>
      </c>
      <c r="D3861">
        <v>1</v>
      </c>
      <c r="E3861">
        <v>1</v>
      </c>
      <c r="G3861" s="31">
        <f>Table132[[#This Row],[nb win]]/Table132[[#This Row],[nb play]]</f>
        <v>1</v>
      </c>
      <c r="H3861" t="str">
        <f>MID(Table132[[#This Row],[ÉTAT]],VALUE(RIGHT(Table132[[#This Row],[next move]],1))+1+VALUE(LEFT(Table132[[#This Row],[next move]],1))*3,1)</f>
        <v>V</v>
      </c>
      <c r="I3861" t="str">
        <f>Table132[[#This Row],[ÉTAT]]&amp;Table132[[#This Row],[next move]]</f>
        <v>MVEMVEEVM11</v>
      </c>
    </row>
    <row r="3862" spans="2:9" x14ac:dyDescent="0.25">
      <c r="B3862" t="s">
        <v>1215</v>
      </c>
      <c r="C3862" s="22" t="s">
        <v>26</v>
      </c>
      <c r="D3862">
        <v>2</v>
      </c>
      <c r="G3862" s="30">
        <f>Table132[[#This Row],[nb win]]/Table132[[#This Row],[nb play]]</f>
        <v>0</v>
      </c>
      <c r="H3862" t="str">
        <f>MID(Table132[[#This Row],[ÉTAT]],VALUE(RIGHT(Table132[[#This Row],[next move]],1))+1+VALUE(LEFT(Table132[[#This Row],[next move]],1))*3,1)</f>
        <v>V</v>
      </c>
      <c r="I3862" t="str">
        <f>Table132[[#This Row],[ÉTAT]]&amp;Table132[[#This Row],[next move]]</f>
        <v>MVEMVEEMV01</v>
      </c>
    </row>
    <row r="3863" spans="2:9" x14ac:dyDescent="0.25">
      <c r="B3863" t="s">
        <v>1215</v>
      </c>
      <c r="C3863" s="22" t="s">
        <v>29</v>
      </c>
      <c r="D3863">
        <v>1</v>
      </c>
      <c r="G3863" s="25">
        <f>Table132[[#This Row],[nb win]]/Table132[[#This Row],[nb play]]</f>
        <v>0</v>
      </c>
      <c r="H3863" t="str">
        <f>MID(Table132[[#This Row],[ÉTAT]],VALUE(RIGHT(Table132[[#This Row],[next move]],1))+1+VALUE(LEFT(Table132[[#This Row],[next move]],1))*3,1)</f>
        <v>V</v>
      </c>
      <c r="I3863" t="str">
        <f>Table132[[#This Row],[ÉTAT]]&amp;Table132[[#This Row],[next move]]</f>
        <v>MVEMVEEMV11</v>
      </c>
    </row>
    <row r="3864" spans="2:9" x14ac:dyDescent="0.25">
      <c r="B3864" t="s">
        <v>1215</v>
      </c>
      <c r="C3864" s="22" t="s">
        <v>31</v>
      </c>
      <c r="D3864">
        <v>1</v>
      </c>
      <c r="G3864" s="30">
        <f>Table132[[#This Row],[nb win]]/Table132[[#This Row],[nb play]]</f>
        <v>0</v>
      </c>
      <c r="H3864" t="str">
        <f>MID(Table132[[#This Row],[ÉTAT]],VALUE(RIGHT(Table132[[#This Row],[next move]],1))+1+VALUE(LEFT(Table132[[#This Row],[next move]],1))*3,1)</f>
        <v>V</v>
      </c>
      <c r="I3864" t="str">
        <f>Table132[[#This Row],[ÉTAT]]&amp;Table132[[#This Row],[next move]]</f>
        <v>MVEMVEEMV22</v>
      </c>
    </row>
    <row r="3865" spans="2:9" x14ac:dyDescent="0.25">
      <c r="B3865" t="s">
        <v>74</v>
      </c>
      <c r="C3865" s="22" t="s">
        <v>26</v>
      </c>
      <c r="D3865">
        <v>1</v>
      </c>
      <c r="G3865" s="25">
        <f>Table132[[#This Row],[nb win]]/Table132[[#This Row],[nb play]]</f>
        <v>0</v>
      </c>
      <c r="H3865" t="str">
        <f>MID(Table132[[#This Row],[ÉTAT]],VALUE(RIGHT(Table132[[#This Row],[next move]],1))+1+VALUE(LEFT(Table132[[#This Row],[next move]],1))*3,1)</f>
        <v>V</v>
      </c>
      <c r="I3865" t="str">
        <f>Table132[[#This Row],[ÉTAT]]&amp;Table132[[#This Row],[next move]]</f>
        <v>MVEMVEEEM01</v>
      </c>
    </row>
    <row r="3866" spans="2:9" x14ac:dyDescent="0.25">
      <c r="B3866" t="s">
        <v>74</v>
      </c>
      <c r="C3866" s="22" t="s">
        <v>29</v>
      </c>
      <c r="D3866">
        <v>2</v>
      </c>
      <c r="E3866">
        <v>2</v>
      </c>
      <c r="G3866" s="31">
        <f>Table132[[#This Row],[nb win]]/Table132[[#This Row],[nb play]]</f>
        <v>1</v>
      </c>
      <c r="H3866" t="str">
        <f>MID(Table132[[#This Row],[ÉTAT]],VALUE(RIGHT(Table132[[#This Row],[next move]],1))+1+VALUE(LEFT(Table132[[#This Row],[next move]],1))*3,1)</f>
        <v>V</v>
      </c>
      <c r="I3866" t="str">
        <f>Table132[[#This Row],[ÉTAT]]&amp;Table132[[#This Row],[next move]]</f>
        <v>MVEMVEEEM11</v>
      </c>
    </row>
    <row r="3867" spans="2:9" x14ac:dyDescent="0.25">
      <c r="B3867" t="s">
        <v>792</v>
      </c>
      <c r="C3867" s="22" t="s">
        <v>26</v>
      </c>
      <c r="D3867">
        <v>1</v>
      </c>
      <c r="G3867" s="25">
        <f>Table132[[#This Row],[nb win]]/Table132[[#This Row],[nb play]]</f>
        <v>0</v>
      </c>
      <c r="H3867" t="str">
        <f>MID(Table132[[#This Row],[ÉTAT]],VALUE(RIGHT(Table132[[#This Row],[next move]],1))+1+VALUE(LEFT(Table132[[#This Row],[next move]],1))*3,1)</f>
        <v>V</v>
      </c>
      <c r="I3867" t="str">
        <f>Table132[[#This Row],[ÉTAT]]&amp;Table132[[#This Row],[next move]]</f>
        <v>MVEMMVEVE01</v>
      </c>
    </row>
    <row r="3868" spans="2:9" x14ac:dyDescent="0.25">
      <c r="B3868" t="s">
        <v>792</v>
      </c>
      <c r="C3868" s="22" t="s">
        <v>28</v>
      </c>
      <c r="D3868">
        <v>1</v>
      </c>
      <c r="E3868">
        <v>1</v>
      </c>
      <c r="G3868" s="25">
        <f>Table132[[#This Row],[nb win]]/Table132[[#This Row],[nb play]]</f>
        <v>1</v>
      </c>
      <c r="H3868" t="str">
        <f>MID(Table132[[#This Row],[ÉTAT]],VALUE(RIGHT(Table132[[#This Row],[next move]],1))+1+VALUE(LEFT(Table132[[#This Row],[next move]],1))*3,1)</f>
        <v>V</v>
      </c>
      <c r="I3868" t="str">
        <f>Table132[[#This Row],[ÉTAT]]&amp;Table132[[#This Row],[next move]]</f>
        <v>MVEMMVEVE12</v>
      </c>
    </row>
    <row r="3869" spans="2:9" x14ac:dyDescent="0.25">
      <c r="B3869" t="s">
        <v>2757</v>
      </c>
      <c r="C3869" s="22" t="s">
        <v>26</v>
      </c>
      <c r="D3869">
        <v>1</v>
      </c>
      <c r="G3869" s="25">
        <f>Table132[[#This Row],[nb win]]/Table132[[#This Row],[nb play]]</f>
        <v>0</v>
      </c>
      <c r="H3869" t="str">
        <f>MID(Table132[[#This Row],[ÉTAT]],VALUE(RIGHT(Table132[[#This Row],[next move]],1))+1+VALUE(LEFT(Table132[[#This Row],[next move]],1))*3,1)</f>
        <v>V</v>
      </c>
      <c r="I3869" t="str">
        <f>Table132[[#This Row],[ÉTAT]]&amp;Table132[[#This Row],[next move]]</f>
        <v>MVEMMVEEV01</v>
      </c>
    </row>
    <row r="3870" spans="2:9" x14ac:dyDescent="0.25">
      <c r="B3870" t="s">
        <v>2757</v>
      </c>
      <c r="C3870" s="22" t="s">
        <v>28</v>
      </c>
      <c r="D3870">
        <v>1</v>
      </c>
      <c r="E3870">
        <v>1</v>
      </c>
      <c r="G3870" s="31">
        <f>Table132[[#This Row],[nb win]]/Table132[[#This Row],[nb play]]</f>
        <v>1</v>
      </c>
      <c r="H3870" t="str">
        <f>MID(Table132[[#This Row],[ÉTAT]],VALUE(RIGHT(Table132[[#This Row],[next move]],1))+1+VALUE(LEFT(Table132[[#This Row],[next move]],1))*3,1)</f>
        <v>V</v>
      </c>
      <c r="I3870" t="str">
        <f>Table132[[#This Row],[ÉTAT]]&amp;Table132[[#This Row],[next move]]</f>
        <v>MVEMMVEEV12</v>
      </c>
    </row>
    <row r="3871" spans="2:9" x14ac:dyDescent="0.25">
      <c r="B3871" t="s">
        <v>2861</v>
      </c>
      <c r="C3871" s="22" t="s">
        <v>26</v>
      </c>
      <c r="D3871">
        <v>1</v>
      </c>
      <c r="G3871" s="25">
        <f>Table132[[#This Row],[nb win]]/Table132[[#This Row],[nb play]]</f>
        <v>0</v>
      </c>
      <c r="H3871" t="str">
        <f>MID(Table132[[#This Row],[ÉTAT]],VALUE(RIGHT(Table132[[#This Row],[next move]],1))+1+VALUE(LEFT(Table132[[#This Row],[next move]],1))*3,1)</f>
        <v>V</v>
      </c>
      <c r="I3871" t="str">
        <f>Table132[[#This Row],[ÉTAT]]&amp;Table132[[#This Row],[next move]]</f>
        <v>MVEMMEEEV01</v>
      </c>
    </row>
    <row r="3872" spans="2:9" x14ac:dyDescent="0.25">
      <c r="B3872" t="s">
        <v>2861</v>
      </c>
      <c r="C3872" s="22" t="s">
        <v>31</v>
      </c>
      <c r="D3872">
        <v>1</v>
      </c>
      <c r="E3872">
        <v>1</v>
      </c>
      <c r="G3872" s="31">
        <f>Table132[[#This Row],[nb win]]/Table132[[#This Row],[nb play]]</f>
        <v>1</v>
      </c>
      <c r="H3872" t="str">
        <f>MID(Table132[[#This Row],[ÉTAT]],VALUE(RIGHT(Table132[[#This Row],[next move]],1))+1+VALUE(LEFT(Table132[[#This Row],[next move]],1))*3,1)</f>
        <v>V</v>
      </c>
      <c r="I3872" t="str">
        <f>Table132[[#This Row],[ÉTAT]]&amp;Table132[[#This Row],[next move]]</f>
        <v>MVEMMEEEV22</v>
      </c>
    </row>
    <row r="3873" spans="2:9" x14ac:dyDescent="0.25">
      <c r="B3873" t="s">
        <v>1645</v>
      </c>
      <c r="C3873" s="22" t="s">
        <v>35</v>
      </c>
      <c r="D3873">
        <v>4</v>
      </c>
      <c r="E3873">
        <v>4</v>
      </c>
      <c r="G3873" s="31">
        <f>Table132[[#This Row],[nb win]]/Table132[[#This Row],[nb play]]</f>
        <v>1</v>
      </c>
      <c r="H3873" t="str">
        <f>MID(Table132[[#This Row],[ÉTAT]],VALUE(RIGHT(Table132[[#This Row],[next move]],1))+1+VALUE(LEFT(Table132[[#This Row],[next move]],1))*3,1)</f>
        <v>V</v>
      </c>
      <c r="I3873" t="str">
        <f>Table132[[#This Row],[ÉTAT]]&amp;Table132[[#This Row],[next move]]</f>
        <v>MVEMEVVVV20</v>
      </c>
    </row>
    <row r="3874" spans="2:9" x14ac:dyDescent="0.25">
      <c r="B3874" t="s">
        <v>446</v>
      </c>
      <c r="C3874" s="22" t="s">
        <v>28</v>
      </c>
      <c r="D3874">
        <v>1</v>
      </c>
      <c r="E3874">
        <v>1</v>
      </c>
      <c r="G3874" s="25">
        <f>Table132[[#This Row],[nb win]]/Table132[[#This Row],[nb play]]</f>
        <v>1</v>
      </c>
      <c r="H3874" t="str">
        <f>MID(Table132[[#This Row],[ÉTAT]],VALUE(RIGHT(Table132[[#This Row],[next move]],1))+1+VALUE(LEFT(Table132[[#This Row],[next move]],1))*3,1)</f>
        <v>V</v>
      </c>
      <c r="I3874" t="str">
        <f>Table132[[#This Row],[ÉTAT]]&amp;Table132[[#This Row],[next move]]</f>
        <v>MVEMEVVVE12</v>
      </c>
    </row>
    <row r="3875" spans="2:9" x14ac:dyDescent="0.25">
      <c r="B3875" t="s">
        <v>446</v>
      </c>
      <c r="C3875" s="22" t="s">
        <v>35</v>
      </c>
      <c r="D3875">
        <v>2</v>
      </c>
      <c r="E3875">
        <v>2</v>
      </c>
      <c r="G3875" s="25">
        <f>Table132[[#This Row],[nb win]]/Table132[[#This Row],[nb play]]</f>
        <v>1</v>
      </c>
      <c r="H3875" t="str">
        <f>MID(Table132[[#This Row],[ÉTAT]],VALUE(RIGHT(Table132[[#This Row],[next move]],1))+1+VALUE(LEFT(Table132[[#This Row],[next move]],1))*3,1)</f>
        <v>V</v>
      </c>
      <c r="I3875" t="str">
        <f>Table132[[#This Row],[ÉTAT]]&amp;Table132[[#This Row],[next move]]</f>
        <v>MVEMEVVVE20</v>
      </c>
    </row>
    <row r="3876" spans="2:9" x14ac:dyDescent="0.25">
      <c r="B3876" t="s">
        <v>446</v>
      </c>
      <c r="C3876" s="22" t="s">
        <v>22</v>
      </c>
      <c r="D3876">
        <v>4</v>
      </c>
      <c r="E3876">
        <v>2</v>
      </c>
      <c r="G3876" s="25">
        <f>Table132[[#This Row],[nb win]]/Table132[[#This Row],[nb play]]</f>
        <v>0.5</v>
      </c>
      <c r="H3876" t="str">
        <f>MID(Table132[[#This Row],[ÉTAT]],VALUE(RIGHT(Table132[[#This Row],[next move]],1))+1+VALUE(LEFT(Table132[[#This Row],[next move]],1))*3,1)</f>
        <v>V</v>
      </c>
      <c r="I3876" t="str">
        <f>Table132[[#This Row],[ÉTAT]]&amp;Table132[[#This Row],[next move]]</f>
        <v>MVEMEVVVE21</v>
      </c>
    </row>
    <row r="3877" spans="2:9" x14ac:dyDescent="0.25">
      <c r="B3877" t="s">
        <v>2388</v>
      </c>
      <c r="C3877" s="22" t="s">
        <v>28</v>
      </c>
      <c r="D3877">
        <v>1</v>
      </c>
      <c r="G3877" s="25">
        <f>Table132[[#This Row],[nb win]]/Table132[[#This Row],[nb play]]</f>
        <v>0</v>
      </c>
      <c r="H3877" t="str">
        <f>MID(Table132[[#This Row],[ÉTAT]],VALUE(RIGHT(Table132[[#This Row],[next move]],1))+1+VALUE(LEFT(Table132[[#This Row],[next move]],1))*3,1)</f>
        <v>V</v>
      </c>
      <c r="I3877" t="str">
        <f>Table132[[#This Row],[ÉTAT]]&amp;Table132[[#This Row],[next move]]</f>
        <v>MVEMEVVME12</v>
      </c>
    </row>
    <row r="3878" spans="2:9" x14ac:dyDescent="0.25">
      <c r="B3878" t="s">
        <v>1317</v>
      </c>
      <c r="C3878" s="22" t="s">
        <v>35</v>
      </c>
      <c r="D3878">
        <v>4</v>
      </c>
      <c r="E3878">
        <v>4</v>
      </c>
      <c r="G3878" s="31">
        <f>Table132[[#This Row],[nb win]]/Table132[[#This Row],[nb play]]</f>
        <v>1</v>
      </c>
      <c r="H3878" t="str">
        <f>MID(Table132[[#This Row],[ÉTAT]],VALUE(RIGHT(Table132[[#This Row],[next move]],1))+1+VALUE(LEFT(Table132[[#This Row],[next move]],1))*3,1)</f>
        <v>V</v>
      </c>
      <c r="I3878" t="str">
        <f>Table132[[#This Row],[ÉTAT]]&amp;Table132[[#This Row],[next move]]</f>
        <v>MVEMEVVEV20</v>
      </c>
    </row>
    <row r="3879" spans="2:9" x14ac:dyDescent="0.25">
      <c r="B3879" t="s">
        <v>3091</v>
      </c>
      <c r="C3879" s="22" t="s">
        <v>35</v>
      </c>
      <c r="D3879">
        <v>1</v>
      </c>
      <c r="E3879">
        <v>1</v>
      </c>
      <c r="G3879" s="31">
        <f>Table132[[#This Row],[nb win]]/Table132[[#This Row],[nb play]]</f>
        <v>1</v>
      </c>
      <c r="H3879" t="str">
        <f>MID(Table132[[#This Row],[ÉTAT]],VALUE(RIGHT(Table132[[#This Row],[next move]],1))+1+VALUE(LEFT(Table132[[#This Row],[next move]],1))*3,1)</f>
        <v>V</v>
      </c>
      <c r="I3879" t="str">
        <f>Table132[[#This Row],[ÉTAT]]&amp;Table132[[#This Row],[next move]]</f>
        <v>MVEMEVVEM20</v>
      </c>
    </row>
    <row r="3880" spans="2:9" x14ac:dyDescent="0.25">
      <c r="B3880" t="s">
        <v>704</v>
      </c>
      <c r="C3880" s="22" t="s">
        <v>26</v>
      </c>
      <c r="D3880">
        <v>4</v>
      </c>
      <c r="E3880">
        <v>3</v>
      </c>
      <c r="G3880" s="25">
        <f>Table132[[#This Row],[nb win]]/Table132[[#This Row],[nb play]]</f>
        <v>0.75</v>
      </c>
      <c r="H3880" t="str">
        <f>MID(Table132[[#This Row],[ÉTAT]],VALUE(RIGHT(Table132[[#This Row],[next move]],1))+1+VALUE(LEFT(Table132[[#This Row],[next move]],1))*3,1)</f>
        <v>V</v>
      </c>
      <c r="I3880" t="str">
        <f>Table132[[#This Row],[ÉTAT]]&amp;Table132[[#This Row],[next move]]</f>
        <v>MVEMEMVVE01</v>
      </c>
    </row>
    <row r="3881" spans="2:9" x14ac:dyDescent="0.25">
      <c r="B3881" t="s">
        <v>704</v>
      </c>
      <c r="C3881" s="22" t="s">
        <v>35</v>
      </c>
      <c r="D3881">
        <v>1</v>
      </c>
      <c r="E3881">
        <v>1</v>
      </c>
      <c r="G3881" s="25">
        <f>Table132[[#This Row],[nb win]]/Table132[[#This Row],[nb play]]</f>
        <v>1</v>
      </c>
      <c r="H3881" t="str">
        <f>MID(Table132[[#This Row],[ÉTAT]],VALUE(RIGHT(Table132[[#This Row],[next move]],1))+1+VALUE(LEFT(Table132[[#This Row],[next move]],1))*3,1)</f>
        <v>V</v>
      </c>
      <c r="I3881" t="str">
        <f>Table132[[#This Row],[ÉTAT]]&amp;Table132[[#This Row],[next move]]</f>
        <v>MVEMEMVVE20</v>
      </c>
    </row>
    <row r="3882" spans="2:9" x14ac:dyDescent="0.25">
      <c r="B3882" t="s">
        <v>530</v>
      </c>
      <c r="C3882" s="22" t="s">
        <v>35</v>
      </c>
      <c r="D3882">
        <v>1</v>
      </c>
      <c r="E3882">
        <v>1</v>
      </c>
      <c r="G3882" s="25">
        <f>Table132[[#This Row],[nb win]]/Table132[[#This Row],[nb play]]</f>
        <v>1</v>
      </c>
      <c r="H3882" t="str">
        <f>MID(Table132[[#This Row],[ÉTAT]],VALUE(RIGHT(Table132[[#This Row],[next move]],1))+1+VALUE(LEFT(Table132[[#This Row],[next move]],1))*3,1)</f>
        <v>V</v>
      </c>
      <c r="I3882" t="str">
        <f>Table132[[#This Row],[ÉTAT]]&amp;Table132[[#This Row],[next move]]</f>
        <v>MVEMEMVEE20</v>
      </c>
    </row>
    <row r="3883" spans="2:9" x14ac:dyDescent="0.25">
      <c r="B3883" t="s">
        <v>2654</v>
      </c>
      <c r="C3883" s="22" t="s">
        <v>35</v>
      </c>
      <c r="D3883">
        <v>1</v>
      </c>
      <c r="E3883">
        <v>1</v>
      </c>
      <c r="G3883" s="25">
        <f>Table132[[#This Row],[nb win]]/Table132[[#This Row],[nb play]]</f>
        <v>1</v>
      </c>
      <c r="H3883" t="str">
        <f>MID(Table132[[#This Row],[ÉTAT]],VALUE(RIGHT(Table132[[#This Row],[next move]],1))+1+VALUE(LEFT(Table132[[#This Row],[next move]],1))*3,1)</f>
        <v>V</v>
      </c>
      <c r="I3883" t="str">
        <f>Table132[[#This Row],[ÉTAT]]&amp;Table132[[#This Row],[next move]]</f>
        <v>MVEMEEVVV20</v>
      </c>
    </row>
    <row r="3884" spans="2:9" x14ac:dyDescent="0.25">
      <c r="B3884" t="s">
        <v>2654</v>
      </c>
      <c r="C3884" s="22" t="s">
        <v>31</v>
      </c>
      <c r="D3884">
        <v>6</v>
      </c>
      <c r="G3884" s="30">
        <f>Table132[[#This Row],[nb win]]/Table132[[#This Row],[nb play]]</f>
        <v>0</v>
      </c>
      <c r="H3884" t="str">
        <f>MID(Table132[[#This Row],[ÉTAT]],VALUE(RIGHT(Table132[[#This Row],[next move]],1))+1+VALUE(LEFT(Table132[[#This Row],[next move]],1))*3,1)</f>
        <v>V</v>
      </c>
      <c r="I3884" t="str">
        <f>Table132[[#This Row],[ÉTAT]]&amp;Table132[[#This Row],[next move]]</f>
        <v>MVEMEEVVV22</v>
      </c>
    </row>
    <row r="3885" spans="2:9" x14ac:dyDescent="0.25">
      <c r="B3885" t="s">
        <v>3490</v>
      </c>
      <c r="C3885" s="22" t="s">
        <v>35</v>
      </c>
      <c r="D3885">
        <v>1</v>
      </c>
      <c r="E3885">
        <v>1</v>
      </c>
      <c r="G3885" s="31">
        <f>Table132[[#This Row],[nb win]]/Table132[[#This Row],[nb play]]</f>
        <v>1</v>
      </c>
      <c r="H3885" t="str">
        <f>MID(Table132[[#This Row],[ÉTAT]],VALUE(RIGHT(Table132[[#This Row],[next move]],1))+1+VALUE(LEFT(Table132[[#This Row],[next move]],1))*3,1)</f>
        <v>V</v>
      </c>
      <c r="I3885" t="str">
        <f>Table132[[#This Row],[ÉTAT]]&amp;Table132[[#This Row],[next move]]</f>
        <v>MVEMEEVVM20</v>
      </c>
    </row>
    <row r="3886" spans="2:9" x14ac:dyDescent="0.25">
      <c r="B3886" t="s">
        <v>2232</v>
      </c>
      <c r="C3886" s="22" t="s">
        <v>35</v>
      </c>
      <c r="D3886">
        <v>1</v>
      </c>
      <c r="G3886" s="25">
        <f>Table132[[#This Row],[nb win]]/Table132[[#This Row],[nb play]]</f>
        <v>0</v>
      </c>
      <c r="H3886" t="str">
        <f>MID(Table132[[#This Row],[ÉTAT]],VALUE(RIGHT(Table132[[#This Row],[next move]],1))+1+VALUE(LEFT(Table132[[#This Row],[next move]],1))*3,1)</f>
        <v>V</v>
      </c>
      <c r="I3886" t="str">
        <f>Table132[[#This Row],[ÉTAT]]&amp;Table132[[#This Row],[next move]]</f>
        <v>MVEEVVVVV20</v>
      </c>
    </row>
    <row r="3887" spans="2:9" x14ac:dyDescent="0.25">
      <c r="B3887" t="s">
        <v>2232</v>
      </c>
      <c r="C3887" s="22" t="s">
        <v>22</v>
      </c>
      <c r="D3887">
        <v>1</v>
      </c>
      <c r="G3887" s="25">
        <f>Table132[[#This Row],[nb win]]/Table132[[#This Row],[nb play]]</f>
        <v>0</v>
      </c>
      <c r="H3887" t="str">
        <f>MID(Table132[[#This Row],[ÉTAT]],VALUE(RIGHT(Table132[[#This Row],[next move]],1))+1+VALUE(LEFT(Table132[[#This Row],[next move]],1))*3,1)</f>
        <v>V</v>
      </c>
      <c r="I3887" t="str">
        <f>Table132[[#This Row],[ÉTAT]]&amp;Table132[[#This Row],[next move]]</f>
        <v>MVEEVVVVV21</v>
      </c>
    </row>
    <row r="3888" spans="2:9" x14ac:dyDescent="0.25">
      <c r="B3888" t="s">
        <v>2232</v>
      </c>
      <c r="C3888" s="22" t="s">
        <v>31</v>
      </c>
      <c r="D3888">
        <v>1</v>
      </c>
      <c r="G3888" s="25">
        <f>Table132[[#This Row],[nb win]]/Table132[[#This Row],[nb play]]</f>
        <v>0</v>
      </c>
      <c r="H3888" t="str">
        <f>MID(Table132[[#This Row],[ÉTAT]],VALUE(RIGHT(Table132[[#This Row],[next move]],1))+1+VALUE(LEFT(Table132[[#This Row],[next move]],1))*3,1)</f>
        <v>V</v>
      </c>
      <c r="I3888" t="str">
        <f>Table132[[#This Row],[ÉTAT]]&amp;Table132[[#This Row],[next move]]</f>
        <v>MVEEVVVVV22</v>
      </c>
    </row>
    <row r="3889" spans="2:9" x14ac:dyDescent="0.25">
      <c r="B3889" t="s">
        <v>2883</v>
      </c>
      <c r="C3889" s="22" t="s">
        <v>28</v>
      </c>
      <c r="D3889">
        <v>2</v>
      </c>
      <c r="E3889">
        <v>1</v>
      </c>
      <c r="G3889" s="30">
        <f>Table132[[#This Row],[nb win]]/Table132[[#This Row],[nb play]]</f>
        <v>0.5</v>
      </c>
      <c r="H3889" t="str">
        <f>MID(Table132[[#This Row],[ÉTAT]],VALUE(RIGHT(Table132[[#This Row],[next move]],1))+1+VALUE(LEFT(Table132[[#This Row],[next move]],1))*3,1)</f>
        <v>V</v>
      </c>
      <c r="I3889" t="str">
        <f>Table132[[#This Row],[ÉTAT]]&amp;Table132[[#This Row],[next move]]</f>
        <v>MVEEVVVVM12</v>
      </c>
    </row>
    <row r="3890" spans="2:9" x14ac:dyDescent="0.25">
      <c r="B3890" t="s">
        <v>3246</v>
      </c>
      <c r="C3890" s="22" t="s">
        <v>29</v>
      </c>
      <c r="D3890">
        <v>2</v>
      </c>
      <c r="E3890">
        <v>2</v>
      </c>
      <c r="G3890" s="31">
        <f>Table132[[#This Row],[nb win]]/Table132[[#This Row],[nb play]]</f>
        <v>1</v>
      </c>
      <c r="H3890" t="str">
        <f>MID(Table132[[#This Row],[ÉTAT]],VALUE(RIGHT(Table132[[#This Row],[next move]],1))+1+VALUE(LEFT(Table132[[#This Row],[next move]],1))*3,1)</f>
        <v>V</v>
      </c>
      <c r="I3890" t="str">
        <f>Table132[[#This Row],[ÉTAT]]&amp;Table132[[#This Row],[next move]]</f>
        <v>MVEEVVVEM11</v>
      </c>
    </row>
    <row r="3891" spans="2:9" x14ac:dyDescent="0.25">
      <c r="B3891" t="s">
        <v>3369</v>
      </c>
      <c r="C3891" s="22" t="s">
        <v>29</v>
      </c>
      <c r="D3891">
        <v>1</v>
      </c>
      <c r="E3891">
        <v>1</v>
      </c>
      <c r="G3891" s="31">
        <f>Table132[[#This Row],[nb win]]/Table132[[#This Row],[nb play]]</f>
        <v>1</v>
      </c>
      <c r="H3891" t="str">
        <f>MID(Table132[[#This Row],[ÉTAT]],VALUE(RIGHT(Table132[[#This Row],[next move]],1))+1+VALUE(LEFT(Table132[[#This Row],[next move]],1))*3,1)</f>
        <v>V</v>
      </c>
      <c r="I3891" t="str">
        <f>Table132[[#This Row],[ÉTAT]]&amp;Table132[[#This Row],[next move]]</f>
        <v>MVEEVVMVV11</v>
      </c>
    </row>
    <row r="3892" spans="2:9" x14ac:dyDescent="0.25">
      <c r="B3892" t="s">
        <v>1855</v>
      </c>
      <c r="C3892" s="22" t="s">
        <v>29</v>
      </c>
      <c r="D3892">
        <v>1</v>
      </c>
      <c r="G3892" s="25">
        <f>Table132[[#This Row],[nb win]]/Table132[[#This Row],[nb play]]</f>
        <v>0</v>
      </c>
      <c r="H3892" t="str">
        <f>MID(Table132[[#This Row],[ÉTAT]],VALUE(RIGHT(Table132[[#This Row],[next move]],1))+1+VALUE(LEFT(Table132[[#This Row],[next move]],1))*3,1)</f>
        <v>V</v>
      </c>
      <c r="I3892" t="str">
        <f>Table132[[#This Row],[ÉTAT]]&amp;Table132[[#This Row],[next move]]</f>
        <v>MVEEVVMVE11</v>
      </c>
    </row>
    <row r="3893" spans="2:9" x14ac:dyDescent="0.25">
      <c r="B3893" t="s">
        <v>1855</v>
      </c>
      <c r="C3893" s="22" t="s">
        <v>22</v>
      </c>
      <c r="D3893">
        <v>1</v>
      </c>
      <c r="G3893" s="30">
        <f>Table132[[#This Row],[nb win]]/Table132[[#This Row],[nb play]]</f>
        <v>0</v>
      </c>
      <c r="H3893" t="str">
        <f>MID(Table132[[#This Row],[ÉTAT]],VALUE(RIGHT(Table132[[#This Row],[next move]],1))+1+VALUE(LEFT(Table132[[#This Row],[next move]],1))*3,1)</f>
        <v>V</v>
      </c>
      <c r="I3893" t="str">
        <f>Table132[[#This Row],[ÉTAT]]&amp;Table132[[#This Row],[next move]]</f>
        <v>MVEEVVMVE21</v>
      </c>
    </row>
    <row r="3894" spans="2:9" x14ac:dyDescent="0.25">
      <c r="B3894" t="s">
        <v>2750</v>
      </c>
      <c r="C3894" s="22" t="s">
        <v>26</v>
      </c>
      <c r="D3894">
        <v>1</v>
      </c>
      <c r="G3894" s="25">
        <f>Table132[[#This Row],[nb win]]/Table132[[#This Row],[nb play]]</f>
        <v>0</v>
      </c>
      <c r="H3894" t="str">
        <f>MID(Table132[[#This Row],[ÉTAT]],VALUE(RIGHT(Table132[[#This Row],[next move]],1))+1+VALUE(LEFT(Table132[[#This Row],[next move]],1))*3,1)</f>
        <v>V</v>
      </c>
      <c r="I3894" t="str">
        <f>Table132[[#This Row],[ÉTAT]]&amp;Table132[[#This Row],[next move]]</f>
        <v>MVEEVVMME01</v>
      </c>
    </row>
    <row r="3895" spans="2:9" x14ac:dyDescent="0.25">
      <c r="B3895" t="s">
        <v>2750</v>
      </c>
      <c r="C3895" s="22" t="s">
        <v>29</v>
      </c>
      <c r="D3895">
        <v>1</v>
      </c>
      <c r="G3895" s="30">
        <f>Table132[[#This Row],[nb win]]/Table132[[#This Row],[nb play]]</f>
        <v>0</v>
      </c>
      <c r="H3895" t="str">
        <f>MID(Table132[[#This Row],[ÉTAT]],VALUE(RIGHT(Table132[[#This Row],[next move]],1))+1+VALUE(LEFT(Table132[[#This Row],[next move]],1))*3,1)</f>
        <v>V</v>
      </c>
      <c r="I3895" t="str">
        <f>Table132[[#This Row],[ÉTAT]]&amp;Table132[[#This Row],[next move]]</f>
        <v>MVEEVVMME11</v>
      </c>
    </row>
    <row r="3896" spans="2:9" x14ac:dyDescent="0.25">
      <c r="B3896" t="s">
        <v>2246</v>
      </c>
      <c r="C3896" s="22" t="s">
        <v>29</v>
      </c>
      <c r="D3896">
        <v>2</v>
      </c>
      <c r="E3896">
        <v>2</v>
      </c>
      <c r="G3896" s="31">
        <f>Table132[[#This Row],[nb win]]/Table132[[#This Row],[nb play]]</f>
        <v>1</v>
      </c>
      <c r="H3896" t="str">
        <f>MID(Table132[[#This Row],[ÉTAT]],VALUE(RIGHT(Table132[[#This Row],[next move]],1))+1+VALUE(LEFT(Table132[[#This Row],[next move]],1))*3,1)</f>
        <v>V</v>
      </c>
      <c r="I3896" t="str">
        <f>Table132[[#This Row],[ÉTAT]]&amp;Table132[[#This Row],[next move]]</f>
        <v>MVEEVVMEV11</v>
      </c>
    </row>
    <row r="3897" spans="2:9" x14ac:dyDescent="0.25">
      <c r="B3897" t="s">
        <v>2246</v>
      </c>
      <c r="C3897" s="22" t="s">
        <v>31</v>
      </c>
      <c r="D3897">
        <v>1</v>
      </c>
      <c r="G3897" s="25">
        <f>Table132[[#This Row],[nb win]]/Table132[[#This Row],[nb play]]</f>
        <v>0</v>
      </c>
      <c r="H3897" t="str">
        <f>MID(Table132[[#This Row],[ÉTAT]],VALUE(RIGHT(Table132[[#This Row],[next move]],1))+1+VALUE(LEFT(Table132[[#This Row],[next move]],1))*3,1)</f>
        <v>V</v>
      </c>
      <c r="I3897" t="str">
        <f>Table132[[#This Row],[ÉTAT]]&amp;Table132[[#This Row],[next move]]</f>
        <v>MVEEVVMEV22</v>
      </c>
    </row>
    <row r="3898" spans="2:9" x14ac:dyDescent="0.25">
      <c r="B3898" t="s">
        <v>1838</v>
      </c>
      <c r="C3898" s="22" t="s">
        <v>26</v>
      </c>
      <c r="D3898">
        <v>1</v>
      </c>
      <c r="G3898" s="30">
        <f>Table132[[#This Row],[nb win]]/Table132[[#This Row],[nb play]]</f>
        <v>0</v>
      </c>
      <c r="H3898" t="str">
        <f>MID(Table132[[#This Row],[ÉTAT]],VALUE(RIGHT(Table132[[#This Row],[next move]],1))+1+VALUE(LEFT(Table132[[#This Row],[next move]],1))*3,1)</f>
        <v>V</v>
      </c>
      <c r="I3898" t="str">
        <f>Table132[[#This Row],[ÉTAT]]&amp;Table132[[#This Row],[next move]]</f>
        <v>MVEEVVEVM01</v>
      </c>
    </row>
    <row r="3899" spans="2:9" x14ac:dyDescent="0.25">
      <c r="B3899" t="s">
        <v>1838</v>
      </c>
      <c r="C3899" s="22" t="s">
        <v>28</v>
      </c>
      <c r="D3899">
        <v>2</v>
      </c>
      <c r="E3899">
        <v>1</v>
      </c>
      <c r="G3899" s="30">
        <f>Table132[[#This Row],[nb win]]/Table132[[#This Row],[nb play]]</f>
        <v>0.5</v>
      </c>
      <c r="H3899" t="str">
        <f>MID(Table132[[#This Row],[ÉTAT]],VALUE(RIGHT(Table132[[#This Row],[next move]],1))+1+VALUE(LEFT(Table132[[#This Row],[next move]],1))*3,1)</f>
        <v>V</v>
      </c>
      <c r="I3899" t="str">
        <f>Table132[[#This Row],[ÉTAT]]&amp;Table132[[#This Row],[next move]]</f>
        <v>MVEEVVEVM12</v>
      </c>
    </row>
    <row r="3900" spans="2:9" x14ac:dyDescent="0.25">
      <c r="B3900" t="s">
        <v>1838</v>
      </c>
      <c r="C3900" s="22" t="s">
        <v>22</v>
      </c>
      <c r="D3900">
        <v>1</v>
      </c>
      <c r="G3900" s="25">
        <f>Table132[[#This Row],[nb win]]/Table132[[#This Row],[nb play]]</f>
        <v>0</v>
      </c>
      <c r="H3900" t="str">
        <f>MID(Table132[[#This Row],[ÉTAT]],VALUE(RIGHT(Table132[[#This Row],[next move]],1))+1+VALUE(LEFT(Table132[[#This Row],[next move]],1))*3,1)</f>
        <v>V</v>
      </c>
      <c r="I3900" t="str">
        <f>Table132[[#This Row],[ÉTAT]]&amp;Table132[[#This Row],[next move]]</f>
        <v>MVEEVVEVM21</v>
      </c>
    </row>
    <row r="3901" spans="2:9" x14ac:dyDescent="0.25">
      <c r="B3901" t="s">
        <v>2327</v>
      </c>
      <c r="C3901" s="22" t="s">
        <v>26</v>
      </c>
      <c r="D3901">
        <v>1</v>
      </c>
      <c r="G3901" s="25">
        <f>Table132[[#This Row],[nb win]]/Table132[[#This Row],[nb play]]</f>
        <v>0</v>
      </c>
      <c r="H3901" t="str">
        <f>MID(Table132[[#This Row],[ÉTAT]],VALUE(RIGHT(Table132[[#This Row],[next move]],1))+1+VALUE(LEFT(Table132[[#This Row],[next move]],1))*3,1)</f>
        <v>V</v>
      </c>
      <c r="I3901" t="str">
        <f>Table132[[#This Row],[ÉTAT]]&amp;Table132[[#This Row],[next move]]</f>
        <v>MVEEVVEMV01</v>
      </c>
    </row>
    <row r="3902" spans="2:9" x14ac:dyDescent="0.25">
      <c r="B3902" t="s">
        <v>2327</v>
      </c>
      <c r="C3902" s="22" t="s">
        <v>29</v>
      </c>
      <c r="D3902">
        <v>1</v>
      </c>
      <c r="E3902">
        <v>1</v>
      </c>
      <c r="G3902" s="31">
        <f>Table132[[#This Row],[nb win]]/Table132[[#This Row],[nb play]]</f>
        <v>1</v>
      </c>
      <c r="H3902" t="str">
        <f>MID(Table132[[#This Row],[ÉTAT]],VALUE(RIGHT(Table132[[#This Row],[next move]],1))+1+VALUE(LEFT(Table132[[#This Row],[next move]],1))*3,1)</f>
        <v>V</v>
      </c>
      <c r="I3902" t="str">
        <f>Table132[[#This Row],[ÉTAT]]&amp;Table132[[#This Row],[next move]]</f>
        <v>MVEEVVEMV11</v>
      </c>
    </row>
    <row r="3903" spans="2:9" x14ac:dyDescent="0.25">
      <c r="B3903" t="s">
        <v>2327</v>
      </c>
      <c r="C3903" s="22" t="s">
        <v>28</v>
      </c>
      <c r="D3903">
        <v>1</v>
      </c>
      <c r="G3903" s="25">
        <f>Table132[[#This Row],[nb win]]/Table132[[#This Row],[nb play]]</f>
        <v>0</v>
      </c>
      <c r="H3903" t="str">
        <f>MID(Table132[[#This Row],[ÉTAT]],VALUE(RIGHT(Table132[[#This Row],[next move]],1))+1+VALUE(LEFT(Table132[[#This Row],[next move]],1))*3,1)</f>
        <v>V</v>
      </c>
      <c r="I3903" t="str">
        <f>Table132[[#This Row],[ÉTAT]]&amp;Table132[[#This Row],[next move]]</f>
        <v>MVEEVVEMV12</v>
      </c>
    </row>
    <row r="3904" spans="2:9" x14ac:dyDescent="0.25">
      <c r="B3904" t="s">
        <v>3155</v>
      </c>
      <c r="C3904" s="22" t="s">
        <v>29</v>
      </c>
      <c r="D3904">
        <v>1</v>
      </c>
      <c r="E3904">
        <v>1</v>
      </c>
      <c r="G3904" s="31">
        <f>Table132[[#This Row],[nb win]]/Table132[[#This Row],[nb play]]</f>
        <v>1</v>
      </c>
      <c r="H3904" t="str">
        <f>MID(Table132[[#This Row],[ÉTAT]],VALUE(RIGHT(Table132[[#This Row],[next move]],1))+1+VALUE(LEFT(Table132[[#This Row],[next move]],1))*3,1)</f>
        <v>V</v>
      </c>
      <c r="I3904" t="str">
        <f>Table132[[#This Row],[ÉTAT]]&amp;Table132[[#This Row],[next move]]</f>
        <v>MVEEVVEMM11</v>
      </c>
    </row>
    <row r="3905" spans="2:9" x14ac:dyDescent="0.25">
      <c r="B3905" t="s">
        <v>123</v>
      </c>
      <c r="C3905" s="22" t="s">
        <v>26</v>
      </c>
      <c r="D3905">
        <v>2</v>
      </c>
      <c r="G3905" s="25">
        <f>Table132[[#This Row],[nb win]]/Table132[[#This Row],[nb play]]</f>
        <v>0</v>
      </c>
      <c r="H3905" t="str">
        <f>MID(Table132[[#This Row],[ÉTAT]],VALUE(RIGHT(Table132[[#This Row],[next move]],1))+1+VALUE(LEFT(Table132[[#This Row],[next move]],1))*3,1)</f>
        <v>V</v>
      </c>
      <c r="I3905" t="str">
        <f>Table132[[#This Row],[ÉTAT]]&amp;Table132[[#This Row],[next move]]</f>
        <v>MVEEVMVVV01</v>
      </c>
    </row>
    <row r="3906" spans="2:9" x14ac:dyDescent="0.25">
      <c r="B3906" t="s">
        <v>123</v>
      </c>
      <c r="C3906" s="22" t="s">
        <v>35</v>
      </c>
      <c r="D3906">
        <v>1</v>
      </c>
      <c r="E3906">
        <v>1</v>
      </c>
      <c r="G3906" s="25">
        <f>Table132[[#This Row],[nb win]]/Table132[[#This Row],[nb play]]</f>
        <v>1</v>
      </c>
      <c r="H3906" t="str">
        <f>MID(Table132[[#This Row],[ÉTAT]],VALUE(RIGHT(Table132[[#This Row],[next move]],1))+1+VALUE(LEFT(Table132[[#This Row],[next move]],1))*3,1)</f>
        <v>V</v>
      </c>
      <c r="I3906" t="str">
        <f>Table132[[#This Row],[ÉTAT]]&amp;Table132[[#This Row],[next move]]</f>
        <v>MVEEVMVVV20</v>
      </c>
    </row>
    <row r="3907" spans="2:9" x14ac:dyDescent="0.25">
      <c r="B3907" t="s">
        <v>1738</v>
      </c>
      <c r="C3907" s="22" t="s">
        <v>31</v>
      </c>
      <c r="D3907">
        <v>1</v>
      </c>
      <c r="G3907" s="25">
        <f>Table132[[#This Row],[nb win]]/Table132[[#This Row],[nb play]]</f>
        <v>0</v>
      </c>
      <c r="H3907" t="str">
        <f>MID(Table132[[#This Row],[ÉTAT]],VALUE(RIGHT(Table132[[#This Row],[next move]],1))+1+VALUE(LEFT(Table132[[#This Row],[next move]],1))*3,1)</f>
        <v>V</v>
      </c>
      <c r="I3907" t="str">
        <f>Table132[[#This Row],[ÉTAT]]&amp;Table132[[#This Row],[next move]]</f>
        <v>MVEEVMVEV22</v>
      </c>
    </row>
    <row r="3908" spans="2:9" x14ac:dyDescent="0.25">
      <c r="B3908" t="s">
        <v>1590</v>
      </c>
      <c r="C3908" s="22" t="s">
        <v>31</v>
      </c>
      <c r="D3908">
        <v>1</v>
      </c>
      <c r="E3908">
        <v>1</v>
      </c>
      <c r="G3908" s="25">
        <f>Table132[[#This Row],[nb win]]/Table132[[#This Row],[nb play]]</f>
        <v>1</v>
      </c>
      <c r="H3908" t="str">
        <f>MID(Table132[[#This Row],[ÉTAT]],VALUE(RIGHT(Table132[[#This Row],[next move]],1))+1+VALUE(LEFT(Table132[[#This Row],[next move]],1))*3,1)</f>
        <v>V</v>
      </c>
      <c r="I3908" t="str">
        <f>Table132[[#This Row],[ÉTAT]]&amp;Table132[[#This Row],[next move]]</f>
        <v>MVEEVMMEV22</v>
      </c>
    </row>
    <row r="3909" spans="2:9" x14ac:dyDescent="0.25">
      <c r="B3909" t="s">
        <v>2619</v>
      </c>
      <c r="C3909" s="22" t="s">
        <v>26</v>
      </c>
      <c r="D3909">
        <v>1</v>
      </c>
      <c r="G3909" s="25">
        <f>Table132[[#This Row],[nb win]]/Table132[[#This Row],[nb play]]</f>
        <v>0</v>
      </c>
      <c r="H3909" t="str">
        <f>MID(Table132[[#This Row],[ÉTAT]],VALUE(RIGHT(Table132[[#This Row],[next move]],1))+1+VALUE(LEFT(Table132[[#This Row],[next move]],1))*3,1)</f>
        <v>V</v>
      </c>
      <c r="I3909" t="str">
        <f>Table132[[#This Row],[ÉTAT]]&amp;Table132[[#This Row],[next move]]</f>
        <v>MVEEVMEVV01</v>
      </c>
    </row>
    <row r="3910" spans="2:9" x14ac:dyDescent="0.25">
      <c r="B3910" t="s">
        <v>1325</v>
      </c>
      <c r="C3910" s="22" t="s">
        <v>26</v>
      </c>
      <c r="D3910">
        <v>1</v>
      </c>
      <c r="G3910" s="25">
        <f>Table132[[#This Row],[nb win]]/Table132[[#This Row],[nb play]]</f>
        <v>0</v>
      </c>
      <c r="H3910" t="str">
        <f>MID(Table132[[#This Row],[ÉTAT]],VALUE(RIGHT(Table132[[#This Row],[next move]],1))+1+VALUE(LEFT(Table132[[#This Row],[next move]],1))*3,1)</f>
        <v>V</v>
      </c>
      <c r="I3910" t="str">
        <f>Table132[[#This Row],[ÉTAT]]&amp;Table132[[#This Row],[next move]]</f>
        <v>MVEEVMEVM01</v>
      </c>
    </row>
    <row r="3911" spans="2:9" x14ac:dyDescent="0.25">
      <c r="B3911" t="s">
        <v>1325</v>
      </c>
      <c r="C3911" s="22" t="s">
        <v>29</v>
      </c>
      <c r="D3911">
        <v>1</v>
      </c>
      <c r="E3911">
        <v>1</v>
      </c>
      <c r="G3911" s="25">
        <f>Table132[[#This Row],[nb win]]/Table132[[#This Row],[nb play]]</f>
        <v>1</v>
      </c>
      <c r="H3911" t="str">
        <f>MID(Table132[[#This Row],[ÉTAT]],VALUE(RIGHT(Table132[[#This Row],[next move]],1))+1+VALUE(LEFT(Table132[[#This Row],[next move]],1))*3,1)</f>
        <v>V</v>
      </c>
      <c r="I3911" t="str">
        <f>Table132[[#This Row],[ÉTAT]]&amp;Table132[[#This Row],[next move]]</f>
        <v>MVEEVMEVM11</v>
      </c>
    </row>
    <row r="3912" spans="2:9" x14ac:dyDescent="0.25">
      <c r="B3912" t="s">
        <v>3050</v>
      </c>
      <c r="C3912" s="22" t="s">
        <v>29</v>
      </c>
      <c r="D3912">
        <v>1</v>
      </c>
      <c r="E3912">
        <v>1</v>
      </c>
      <c r="G3912" s="25">
        <f>Table132[[#This Row],[nb win]]/Table132[[#This Row],[nb play]]</f>
        <v>1</v>
      </c>
      <c r="H3912" t="str">
        <f>MID(Table132[[#This Row],[ÉTAT]],VALUE(RIGHT(Table132[[#This Row],[next move]],1))+1+VALUE(LEFT(Table132[[#This Row],[next move]],1))*3,1)</f>
        <v>V</v>
      </c>
      <c r="I3912" t="str">
        <f>Table132[[#This Row],[ÉTAT]]&amp;Table132[[#This Row],[next move]]</f>
        <v>MVEEVMEMV11</v>
      </c>
    </row>
    <row r="3913" spans="2:9" x14ac:dyDescent="0.25">
      <c r="B3913" t="s">
        <v>2329</v>
      </c>
      <c r="C3913" s="22" t="s">
        <v>26</v>
      </c>
      <c r="D3913">
        <v>1</v>
      </c>
      <c r="G3913" s="25">
        <f>Table132[[#This Row],[nb win]]/Table132[[#This Row],[nb play]]</f>
        <v>0</v>
      </c>
      <c r="H3913" t="str">
        <f>MID(Table132[[#This Row],[ÉTAT]],VALUE(RIGHT(Table132[[#This Row],[next move]],1))+1+VALUE(LEFT(Table132[[#This Row],[next move]],1))*3,1)</f>
        <v>V</v>
      </c>
      <c r="I3913" t="str">
        <f>Table132[[#This Row],[ÉTAT]]&amp;Table132[[#This Row],[next move]]</f>
        <v>MVEEVMEME01</v>
      </c>
    </row>
    <row r="3914" spans="2:9" x14ac:dyDescent="0.25">
      <c r="B3914" t="s">
        <v>1769</v>
      </c>
      <c r="C3914" s="22" t="s">
        <v>26</v>
      </c>
      <c r="D3914">
        <v>2</v>
      </c>
      <c r="G3914" s="30">
        <f>Table132[[#This Row],[nb win]]/Table132[[#This Row],[nb play]]</f>
        <v>0</v>
      </c>
      <c r="H3914" t="str">
        <f>MID(Table132[[#This Row],[ÉTAT]],VALUE(RIGHT(Table132[[#This Row],[next move]],1))+1+VALUE(LEFT(Table132[[#This Row],[next move]],1))*3,1)</f>
        <v>V</v>
      </c>
      <c r="I3914" t="str">
        <f>Table132[[#This Row],[ÉTAT]]&amp;Table132[[#This Row],[next move]]</f>
        <v>MVEEVMEEM01</v>
      </c>
    </row>
    <row r="3915" spans="2:9" x14ac:dyDescent="0.25">
      <c r="B3915" t="s">
        <v>1769</v>
      </c>
      <c r="C3915" s="22" t="s">
        <v>29</v>
      </c>
      <c r="D3915">
        <v>2</v>
      </c>
      <c r="E3915">
        <v>2</v>
      </c>
      <c r="G3915" s="25">
        <f>Table132[[#This Row],[nb win]]/Table132[[#This Row],[nb play]]</f>
        <v>1</v>
      </c>
      <c r="H3915" t="str">
        <f>MID(Table132[[#This Row],[ÉTAT]],VALUE(RIGHT(Table132[[#This Row],[next move]],1))+1+VALUE(LEFT(Table132[[#This Row],[next move]],1))*3,1)</f>
        <v>V</v>
      </c>
      <c r="I3915" t="str">
        <f>Table132[[#This Row],[ÉTAT]]&amp;Table132[[#This Row],[next move]]</f>
        <v>MVEEVMEEM11</v>
      </c>
    </row>
    <row r="3916" spans="2:9" x14ac:dyDescent="0.25">
      <c r="B3916" t="s">
        <v>2366</v>
      </c>
      <c r="C3916" s="22" t="s">
        <v>29</v>
      </c>
      <c r="D3916">
        <v>1</v>
      </c>
      <c r="E3916">
        <v>1</v>
      </c>
      <c r="G3916" s="31">
        <f>Table132[[#This Row],[nb win]]/Table132[[#This Row],[nb play]]</f>
        <v>1</v>
      </c>
      <c r="H3916" t="str">
        <f>MID(Table132[[#This Row],[ÉTAT]],VALUE(RIGHT(Table132[[#This Row],[next move]],1))+1+VALUE(LEFT(Table132[[#This Row],[next move]],1))*3,1)</f>
        <v>V</v>
      </c>
      <c r="I3916" t="str">
        <f>Table132[[#This Row],[ÉTAT]]&amp;Table132[[#This Row],[next move]]</f>
        <v>MVEEVEVVM11</v>
      </c>
    </row>
    <row r="3917" spans="2:9" x14ac:dyDescent="0.25">
      <c r="B3917" t="s">
        <v>2366</v>
      </c>
      <c r="C3917" s="22" t="s">
        <v>22</v>
      </c>
      <c r="D3917">
        <v>1</v>
      </c>
      <c r="G3917" s="25">
        <f>Table132[[#This Row],[nb win]]/Table132[[#This Row],[nb play]]</f>
        <v>0</v>
      </c>
      <c r="H3917" t="str">
        <f>MID(Table132[[#This Row],[ÉTAT]],VALUE(RIGHT(Table132[[#This Row],[next move]],1))+1+VALUE(LEFT(Table132[[#This Row],[next move]],1))*3,1)</f>
        <v>V</v>
      </c>
      <c r="I3917" t="str">
        <f>Table132[[#This Row],[ÉTAT]]&amp;Table132[[#This Row],[next move]]</f>
        <v>MVEEVEVVM21</v>
      </c>
    </row>
    <row r="3918" spans="2:9" x14ac:dyDescent="0.25">
      <c r="B3918" t="s">
        <v>2315</v>
      </c>
      <c r="C3918" s="22" t="s">
        <v>29</v>
      </c>
      <c r="D3918">
        <v>1</v>
      </c>
      <c r="G3918" s="25">
        <f>Table132[[#This Row],[nb win]]/Table132[[#This Row],[nb play]]</f>
        <v>0</v>
      </c>
      <c r="H3918" t="str">
        <f>MID(Table132[[#This Row],[ÉTAT]],VALUE(RIGHT(Table132[[#This Row],[next move]],1))+1+VALUE(LEFT(Table132[[#This Row],[next move]],1))*3,1)</f>
        <v>V</v>
      </c>
      <c r="I3918" t="str">
        <f>Table132[[#This Row],[ÉTAT]]&amp;Table132[[#This Row],[next move]]</f>
        <v>MVEEVEVMV11</v>
      </c>
    </row>
    <row r="3919" spans="2:9" x14ac:dyDescent="0.25">
      <c r="B3919" t="s">
        <v>2315</v>
      </c>
      <c r="C3919" s="22" t="s">
        <v>31</v>
      </c>
      <c r="D3919">
        <v>1</v>
      </c>
      <c r="G3919" s="25">
        <f>Table132[[#This Row],[nb win]]/Table132[[#This Row],[nb play]]</f>
        <v>0</v>
      </c>
      <c r="H3919" t="str">
        <f>MID(Table132[[#This Row],[ÉTAT]],VALUE(RIGHT(Table132[[#This Row],[next move]],1))+1+VALUE(LEFT(Table132[[#This Row],[next move]],1))*3,1)</f>
        <v>V</v>
      </c>
      <c r="I3919" t="str">
        <f>Table132[[#This Row],[ÉTAT]]&amp;Table132[[#This Row],[next move]]</f>
        <v>MVEEVEVMV22</v>
      </c>
    </row>
    <row r="3920" spans="2:9" x14ac:dyDescent="0.25">
      <c r="B3920" t="s">
        <v>667</v>
      </c>
      <c r="C3920" s="22" t="s">
        <v>29</v>
      </c>
      <c r="D3920">
        <v>2</v>
      </c>
      <c r="E3920">
        <v>2</v>
      </c>
      <c r="G3920" s="31">
        <f>Table132[[#This Row],[nb win]]/Table132[[#This Row],[nb play]]</f>
        <v>1</v>
      </c>
      <c r="H3920" t="str">
        <f>MID(Table132[[#This Row],[ÉTAT]],VALUE(RIGHT(Table132[[#This Row],[next move]],1))+1+VALUE(LEFT(Table132[[#This Row],[next move]],1))*3,1)</f>
        <v>V</v>
      </c>
      <c r="I3920" t="str">
        <f>Table132[[#This Row],[ÉTAT]]&amp;Table132[[#This Row],[next move]]</f>
        <v>MVEEVEVMM11</v>
      </c>
    </row>
    <row r="3921" spans="2:9" x14ac:dyDescent="0.25">
      <c r="B3921" t="s">
        <v>2624</v>
      </c>
      <c r="C3921" s="22" t="s">
        <v>26</v>
      </c>
      <c r="D3921">
        <v>1</v>
      </c>
      <c r="G3921" s="25">
        <f>Table132[[#This Row],[nb win]]/Table132[[#This Row],[nb play]]</f>
        <v>0</v>
      </c>
      <c r="H3921" t="str">
        <f>MID(Table132[[#This Row],[ÉTAT]],VALUE(RIGHT(Table132[[#This Row],[next move]],1))+1+VALUE(LEFT(Table132[[#This Row],[next move]],1))*3,1)</f>
        <v>V</v>
      </c>
      <c r="I3921" t="str">
        <f>Table132[[#This Row],[ÉTAT]]&amp;Table132[[#This Row],[next move]]</f>
        <v>MVEEVEMVV01</v>
      </c>
    </row>
    <row r="3922" spans="2:9" x14ac:dyDescent="0.25">
      <c r="B3922" t="s">
        <v>2624</v>
      </c>
      <c r="C3922" s="22" t="s">
        <v>29</v>
      </c>
      <c r="D3922">
        <v>1</v>
      </c>
      <c r="G3922" s="25">
        <f>Table132[[#This Row],[nb win]]/Table132[[#This Row],[nb play]]</f>
        <v>0</v>
      </c>
      <c r="H3922" t="str">
        <f>MID(Table132[[#This Row],[ÉTAT]],VALUE(RIGHT(Table132[[#This Row],[next move]],1))+1+VALUE(LEFT(Table132[[#This Row],[next move]],1))*3,1)</f>
        <v>V</v>
      </c>
      <c r="I3922" t="str">
        <f>Table132[[#This Row],[ÉTAT]]&amp;Table132[[#This Row],[next move]]</f>
        <v>MVEEVEMVV11</v>
      </c>
    </row>
    <row r="3923" spans="2:9" x14ac:dyDescent="0.25">
      <c r="B3923" t="s">
        <v>2624</v>
      </c>
      <c r="C3923" s="22" t="s">
        <v>31</v>
      </c>
      <c r="D3923">
        <v>1</v>
      </c>
      <c r="E3923">
        <v>1</v>
      </c>
      <c r="G3923" s="25">
        <f>Table132[[#This Row],[nb win]]/Table132[[#This Row],[nb play]]</f>
        <v>1</v>
      </c>
      <c r="H3923" t="str">
        <f>MID(Table132[[#This Row],[ÉTAT]],VALUE(RIGHT(Table132[[#This Row],[next move]],1))+1+VALUE(LEFT(Table132[[#This Row],[next move]],1))*3,1)</f>
        <v>V</v>
      </c>
      <c r="I3923" t="str">
        <f>Table132[[#This Row],[ÉTAT]]&amp;Table132[[#This Row],[next move]]</f>
        <v>MVEEVEMVV22</v>
      </c>
    </row>
    <row r="3924" spans="2:9" x14ac:dyDescent="0.25">
      <c r="B3924" t="s">
        <v>3178</v>
      </c>
      <c r="C3924" s="22" t="s">
        <v>26</v>
      </c>
      <c r="D3924">
        <v>1</v>
      </c>
      <c r="G3924" s="30">
        <f>Table132[[#This Row],[nb win]]/Table132[[#This Row],[nb play]]</f>
        <v>0</v>
      </c>
      <c r="H3924" t="str">
        <f>MID(Table132[[#This Row],[ÉTAT]],VALUE(RIGHT(Table132[[#This Row],[next move]],1))+1+VALUE(LEFT(Table132[[#This Row],[next move]],1))*3,1)</f>
        <v>V</v>
      </c>
      <c r="I3924" t="str">
        <f>Table132[[#This Row],[ÉTAT]]&amp;Table132[[#This Row],[next move]]</f>
        <v>MVEEVEMVM01</v>
      </c>
    </row>
    <row r="3925" spans="2:9" x14ac:dyDescent="0.25">
      <c r="B3925" t="s">
        <v>2756</v>
      </c>
      <c r="C3925" s="22" t="s">
        <v>26</v>
      </c>
      <c r="D3925">
        <v>1</v>
      </c>
      <c r="G3925" s="25">
        <f>Table132[[#This Row],[nb win]]/Table132[[#This Row],[nb play]]</f>
        <v>0</v>
      </c>
      <c r="H3925" t="str">
        <f>MID(Table132[[#This Row],[ÉTAT]],VALUE(RIGHT(Table132[[#This Row],[next move]],1))+1+VALUE(LEFT(Table132[[#This Row],[next move]],1))*3,1)</f>
        <v>V</v>
      </c>
      <c r="I3925" t="str">
        <f>Table132[[#This Row],[ÉTAT]]&amp;Table132[[#This Row],[next move]]</f>
        <v>MVEEVEMMV01</v>
      </c>
    </row>
    <row r="3926" spans="2:9" x14ac:dyDescent="0.25">
      <c r="B3926" t="s">
        <v>2163</v>
      </c>
      <c r="C3926" s="22" t="s">
        <v>29</v>
      </c>
      <c r="D3926">
        <v>4</v>
      </c>
      <c r="E3926">
        <v>4</v>
      </c>
      <c r="G3926" s="31">
        <f>Table132[[#This Row],[nb win]]/Table132[[#This Row],[nb play]]</f>
        <v>1</v>
      </c>
      <c r="H3926" t="str">
        <f>MID(Table132[[#This Row],[ÉTAT]],VALUE(RIGHT(Table132[[#This Row],[next move]],1))+1+VALUE(LEFT(Table132[[#This Row],[next move]],1))*3,1)</f>
        <v>V</v>
      </c>
      <c r="I3926" t="str">
        <f>Table132[[#This Row],[ÉTAT]]&amp;Table132[[#This Row],[next move]]</f>
        <v>MVEEVEMEM11</v>
      </c>
    </row>
    <row r="3927" spans="2:9" x14ac:dyDescent="0.25">
      <c r="B3927" t="s">
        <v>1136</v>
      </c>
      <c r="C3927" s="22" t="s">
        <v>28</v>
      </c>
      <c r="D3927">
        <v>3</v>
      </c>
      <c r="E3927">
        <v>3</v>
      </c>
      <c r="G3927" s="25">
        <f>Table132[[#This Row],[nb win]]/Table132[[#This Row],[nb play]]</f>
        <v>1</v>
      </c>
      <c r="H3927" t="str">
        <f>MID(Table132[[#This Row],[ÉTAT]],VALUE(RIGHT(Table132[[#This Row],[next move]],1))+1+VALUE(LEFT(Table132[[#This Row],[next move]],1))*3,1)</f>
        <v>V</v>
      </c>
      <c r="I3927" t="str">
        <f>Table132[[#This Row],[ÉTAT]]&amp;Table132[[#This Row],[next move]]</f>
        <v>MVEEMVVVV12</v>
      </c>
    </row>
    <row r="3928" spans="2:9" x14ac:dyDescent="0.25">
      <c r="B3928" t="s">
        <v>2661</v>
      </c>
      <c r="C3928" s="22" t="s">
        <v>26</v>
      </c>
      <c r="D3928">
        <v>1</v>
      </c>
      <c r="G3928" s="30">
        <f>Table132[[#This Row],[nb win]]/Table132[[#This Row],[nb play]]</f>
        <v>0</v>
      </c>
      <c r="H3928" t="str">
        <f>MID(Table132[[#This Row],[ÉTAT]],VALUE(RIGHT(Table132[[#This Row],[next move]],1))+1+VALUE(LEFT(Table132[[#This Row],[next move]],1))*3,1)</f>
        <v>V</v>
      </c>
      <c r="I3928" t="str">
        <f>Table132[[#This Row],[ÉTAT]]&amp;Table132[[#This Row],[next move]]</f>
        <v>MVEEMVVVE01</v>
      </c>
    </row>
    <row r="3929" spans="2:9" x14ac:dyDescent="0.25">
      <c r="B3929" t="s">
        <v>2661</v>
      </c>
      <c r="C3929" s="22" t="s">
        <v>28</v>
      </c>
      <c r="D3929">
        <v>1</v>
      </c>
      <c r="G3929" s="30">
        <f>Table132[[#This Row],[nb win]]/Table132[[#This Row],[nb play]]</f>
        <v>0</v>
      </c>
      <c r="H3929" t="str">
        <f>MID(Table132[[#This Row],[ÉTAT]],VALUE(RIGHT(Table132[[#This Row],[next move]],1))+1+VALUE(LEFT(Table132[[#This Row],[next move]],1))*3,1)</f>
        <v>V</v>
      </c>
      <c r="I3929" t="str">
        <f>Table132[[#This Row],[ÉTAT]]&amp;Table132[[#This Row],[next move]]</f>
        <v>MVEEMVVVE12</v>
      </c>
    </row>
    <row r="3930" spans="2:9" x14ac:dyDescent="0.25">
      <c r="B3930" t="s">
        <v>2661</v>
      </c>
      <c r="C3930" s="22" t="s">
        <v>35</v>
      </c>
      <c r="D3930">
        <v>2</v>
      </c>
      <c r="G3930" s="30">
        <f>Table132[[#This Row],[nb win]]/Table132[[#This Row],[nb play]]</f>
        <v>0</v>
      </c>
      <c r="H3930" t="str">
        <f>MID(Table132[[#This Row],[ÉTAT]],VALUE(RIGHT(Table132[[#This Row],[next move]],1))+1+VALUE(LEFT(Table132[[#This Row],[next move]],1))*3,1)</f>
        <v>V</v>
      </c>
      <c r="I3930" t="str">
        <f>Table132[[#This Row],[ÉTAT]]&amp;Table132[[#This Row],[next move]]</f>
        <v>MVEEMVVVE20</v>
      </c>
    </row>
    <row r="3931" spans="2:9" x14ac:dyDescent="0.25">
      <c r="B3931" t="s">
        <v>2661</v>
      </c>
      <c r="C3931" s="22" t="s">
        <v>22</v>
      </c>
      <c r="D3931">
        <v>1</v>
      </c>
      <c r="G3931" s="25">
        <f>Table132[[#This Row],[nb win]]/Table132[[#This Row],[nb play]]</f>
        <v>0</v>
      </c>
      <c r="H3931" t="str">
        <f>MID(Table132[[#This Row],[ÉTAT]],VALUE(RIGHT(Table132[[#This Row],[next move]],1))+1+VALUE(LEFT(Table132[[#This Row],[next move]],1))*3,1)</f>
        <v>V</v>
      </c>
      <c r="I3931" t="str">
        <f>Table132[[#This Row],[ÉTAT]]&amp;Table132[[#This Row],[next move]]</f>
        <v>MVEEMVVVE21</v>
      </c>
    </row>
    <row r="3932" spans="2:9" x14ac:dyDescent="0.25">
      <c r="B3932" t="s">
        <v>306</v>
      </c>
      <c r="C3932" s="22" t="s">
        <v>35</v>
      </c>
      <c r="D3932">
        <v>1</v>
      </c>
      <c r="G3932" s="25">
        <f>Table132[[#This Row],[nb win]]/Table132[[#This Row],[nb play]]</f>
        <v>0</v>
      </c>
      <c r="H3932" t="str">
        <f>MID(Table132[[#This Row],[ÉTAT]],VALUE(RIGHT(Table132[[#This Row],[next move]],1))+1+VALUE(LEFT(Table132[[#This Row],[next move]],1))*3,1)</f>
        <v>V</v>
      </c>
      <c r="I3932" t="str">
        <f>Table132[[#This Row],[ÉTAT]]&amp;Table132[[#This Row],[next move]]</f>
        <v>MVEEMVVME20</v>
      </c>
    </row>
    <row r="3933" spans="2:9" x14ac:dyDescent="0.25">
      <c r="B3933" t="s">
        <v>503</v>
      </c>
      <c r="C3933" s="22" t="s">
        <v>26</v>
      </c>
      <c r="D3933">
        <v>1</v>
      </c>
      <c r="G3933" s="30">
        <f>Table132[[#This Row],[nb win]]/Table132[[#This Row],[nb play]]</f>
        <v>0</v>
      </c>
      <c r="H3933" t="str">
        <f>MID(Table132[[#This Row],[ÉTAT]],VALUE(RIGHT(Table132[[#This Row],[next move]],1))+1+VALUE(LEFT(Table132[[#This Row],[next move]],1))*3,1)</f>
        <v>V</v>
      </c>
      <c r="I3933" t="str">
        <f>Table132[[#This Row],[ÉTAT]]&amp;Table132[[#This Row],[next move]]</f>
        <v>MVEEMVMVE01</v>
      </c>
    </row>
    <row r="3934" spans="2:9" x14ac:dyDescent="0.25">
      <c r="B3934" t="s">
        <v>503</v>
      </c>
      <c r="C3934" s="22" t="s">
        <v>22</v>
      </c>
      <c r="D3934">
        <v>1</v>
      </c>
      <c r="G3934" s="25">
        <f>Table132[[#This Row],[nb win]]/Table132[[#This Row],[nb play]]</f>
        <v>0</v>
      </c>
      <c r="H3934" t="str">
        <f>MID(Table132[[#This Row],[ÉTAT]],VALUE(RIGHT(Table132[[#This Row],[next move]],1))+1+VALUE(LEFT(Table132[[#This Row],[next move]],1))*3,1)</f>
        <v>V</v>
      </c>
      <c r="I3934" t="str">
        <f>Table132[[#This Row],[ÉTAT]]&amp;Table132[[#This Row],[next move]]</f>
        <v>MVEEMVMVE21</v>
      </c>
    </row>
    <row r="3935" spans="2:9" x14ac:dyDescent="0.25">
      <c r="B3935" t="s">
        <v>2734</v>
      </c>
      <c r="C3935" s="22" t="s">
        <v>28</v>
      </c>
      <c r="D3935">
        <v>1</v>
      </c>
      <c r="G3935" s="25">
        <f>Table132[[#This Row],[nb win]]/Table132[[#This Row],[nb play]]</f>
        <v>0</v>
      </c>
      <c r="H3935" t="str">
        <f>MID(Table132[[#This Row],[ÉTAT]],VALUE(RIGHT(Table132[[#This Row],[next move]],1))+1+VALUE(LEFT(Table132[[#This Row],[next move]],1))*3,1)</f>
        <v>V</v>
      </c>
      <c r="I3935" t="str">
        <f>Table132[[#This Row],[ÉTAT]]&amp;Table132[[#This Row],[next move]]</f>
        <v>MVEEMVEVV12</v>
      </c>
    </row>
    <row r="3936" spans="2:9" x14ac:dyDescent="0.25">
      <c r="B3936" t="s">
        <v>2734</v>
      </c>
      <c r="C3936" s="22" t="s">
        <v>22</v>
      </c>
      <c r="D3936">
        <v>1</v>
      </c>
      <c r="E3936">
        <v>1</v>
      </c>
      <c r="G3936" s="25">
        <f>Table132[[#This Row],[nb win]]/Table132[[#This Row],[nb play]]</f>
        <v>1</v>
      </c>
      <c r="H3936" t="str">
        <f>MID(Table132[[#This Row],[ÉTAT]],VALUE(RIGHT(Table132[[#This Row],[next move]],1))+1+VALUE(LEFT(Table132[[#This Row],[next move]],1))*3,1)</f>
        <v>V</v>
      </c>
      <c r="I3936" t="str">
        <f>Table132[[#This Row],[ÉTAT]]&amp;Table132[[#This Row],[next move]]</f>
        <v>MVEEMVEVV21</v>
      </c>
    </row>
    <row r="3937" spans="2:9" x14ac:dyDescent="0.25">
      <c r="B3937" t="s">
        <v>750</v>
      </c>
      <c r="C3937" s="22" t="s">
        <v>26</v>
      </c>
      <c r="D3937">
        <v>1</v>
      </c>
      <c r="E3937">
        <v>1</v>
      </c>
      <c r="G3937" s="25">
        <f>Table132[[#This Row],[nb win]]/Table132[[#This Row],[nb play]]</f>
        <v>1</v>
      </c>
      <c r="H3937" t="str">
        <f>MID(Table132[[#This Row],[ÉTAT]],VALUE(RIGHT(Table132[[#This Row],[next move]],1))+1+VALUE(LEFT(Table132[[#This Row],[next move]],1))*3,1)</f>
        <v>V</v>
      </c>
      <c r="I3937" t="str">
        <f>Table132[[#This Row],[ÉTAT]]&amp;Table132[[#This Row],[next move]]</f>
        <v>MVEEMVEMV01</v>
      </c>
    </row>
    <row r="3938" spans="2:9" x14ac:dyDescent="0.25">
      <c r="B3938" t="s">
        <v>2729</v>
      </c>
      <c r="C3938" s="22" t="s">
        <v>26</v>
      </c>
      <c r="D3938">
        <v>2</v>
      </c>
      <c r="E3938">
        <v>2</v>
      </c>
      <c r="G3938" s="25">
        <f>Table132[[#This Row],[nb win]]/Table132[[#This Row],[nb play]]</f>
        <v>1</v>
      </c>
      <c r="H3938" t="str">
        <f>MID(Table132[[#This Row],[ÉTAT]],VALUE(RIGHT(Table132[[#This Row],[next move]],1))+1+VALUE(LEFT(Table132[[#This Row],[next move]],1))*3,1)</f>
        <v>V</v>
      </c>
      <c r="I3938" t="str">
        <f>Table132[[#This Row],[ÉTAT]]&amp;Table132[[#This Row],[next move]]</f>
        <v>MVEEMVEME01</v>
      </c>
    </row>
    <row r="3939" spans="2:9" x14ac:dyDescent="0.25">
      <c r="B3939" t="s">
        <v>2104</v>
      </c>
      <c r="C3939" s="22" t="s">
        <v>22</v>
      </c>
      <c r="D3939">
        <v>1</v>
      </c>
      <c r="E3939">
        <v>1</v>
      </c>
      <c r="G3939" s="25">
        <f>Table132[[#This Row],[nb win]]/Table132[[#This Row],[nb play]]</f>
        <v>1</v>
      </c>
      <c r="H3939" t="str">
        <f>MID(Table132[[#This Row],[ÉTAT]],VALUE(RIGHT(Table132[[#This Row],[next move]],1))+1+VALUE(LEFT(Table132[[#This Row],[next move]],1))*3,1)</f>
        <v>V</v>
      </c>
      <c r="I3939" t="str">
        <f>Table132[[#This Row],[ÉTAT]]&amp;Table132[[#This Row],[next move]]</f>
        <v>MVEEMMVVE21</v>
      </c>
    </row>
    <row r="3940" spans="2:9" x14ac:dyDescent="0.25">
      <c r="B3940" t="s">
        <v>2797</v>
      </c>
      <c r="C3940" s="22" t="s">
        <v>31</v>
      </c>
      <c r="D3940">
        <v>3</v>
      </c>
      <c r="E3940">
        <v>3</v>
      </c>
      <c r="G3940" s="31">
        <f>Table132[[#This Row],[nb win]]/Table132[[#This Row],[nb play]]</f>
        <v>1</v>
      </c>
      <c r="H3940" t="str">
        <f>MID(Table132[[#This Row],[ÉTAT]],VALUE(RIGHT(Table132[[#This Row],[next move]],1))+1+VALUE(LEFT(Table132[[#This Row],[next move]],1))*3,1)</f>
        <v>V</v>
      </c>
      <c r="I3940" t="str">
        <f>Table132[[#This Row],[ÉTAT]]&amp;Table132[[#This Row],[next move]]</f>
        <v>MVEEMMVEV22</v>
      </c>
    </row>
    <row r="3941" spans="2:9" x14ac:dyDescent="0.25">
      <c r="B3941" t="s">
        <v>2233</v>
      </c>
      <c r="C3941" s="22" t="s">
        <v>26</v>
      </c>
      <c r="D3941">
        <v>1</v>
      </c>
      <c r="G3941" s="30">
        <f>Table132[[#This Row],[nb win]]/Table132[[#This Row],[nb play]]</f>
        <v>0</v>
      </c>
      <c r="H3941" t="str">
        <f>MID(Table132[[#This Row],[ÉTAT]],VALUE(RIGHT(Table132[[#This Row],[next move]],1))+1+VALUE(LEFT(Table132[[#This Row],[next move]],1))*3,1)</f>
        <v>V</v>
      </c>
      <c r="I3941" t="str">
        <f>Table132[[#This Row],[ÉTAT]]&amp;Table132[[#This Row],[next move]]</f>
        <v>MVEEMMVEE01</v>
      </c>
    </row>
    <row r="3942" spans="2:9" x14ac:dyDescent="0.25">
      <c r="B3942" t="s">
        <v>89</v>
      </c>
      <c r="C3942" s="22" t="s">
        <v>22</v>
      </c>
      <c r="D3942">
        <v>1</v>
      </c>
      <c r="E3942">
        <v>1</v>
      </c>
      <c r="G3942" s="25">
        <f>Table132[[#This Row],[nb win]]/Table132[[#This Row],[nb play]]</f>
        <v>1</v>
      </c>
      <c r="H3942" t="str">
        <f>MID(Table132[[#This Row],[ÉTAT]],VALUE(RIGHT(Table132[[#This Row],[next move]],1))+1+VALUE(LEFT(Table132[[#This Row],[next move]],1))*3,1)</f>
        <v>V</v>
      </c>
      <c r="I3942" t="str">
        <f>Table132[[#This Row],[ÉTAT]]&amp;Table132[[#This Row],[next move]]</f>
        <v>MVEEMMEVV21</v>
      </c>
    </row>
    <row r="3943" spans="2:9" x14ac:dyDescent="0.25">
      <c r="B3943" t="s">
        <v>2736</v>
      </c>
      <c r="C3943" s="22" t="s">
        <v>26</v>
      </c>
      <c r="D3943">
        <v>1</v>
      </c>
      <c r="G3943" s="25">
        <f>Table132[[#This Row],[nb win]]/Table132[[#This Row],[nb play]]</f>
        <v>0</v>
      </c>
      <c r="H3943" t="str">
        <f>MID(Table132[[#This Row],[ÉTAT]],VALUE(RIGHT(Table132[[#This Row],[next move]],1))+1+VALUE(LEFT(Table132[[#This Row],[next move]],1))*3,1)</f>
        <v>V</v>
      </c>
      <c r="I3943" t="str">
        <f>Table132[[#This Row],[ÉTAT]]&amp;Table132[[#This Row],[next move]]</f>
        <v>MVEEMMEVE01</v>
      </c>
    </row>
    <row r="3944" spans="2:9" x14ac:dyDescent="0.25">
      <c r="B3944" t="s">
        <v>291</v>
      </c>
      <c r="C3944" s="22" t="s">
        <v>26</v>
      </c>
      <c r="D3944">
        <v>4</v>
      </c>
      <c r="E3944">
        <v>4</v>
      </c>
      <c r="G3944" s="25">
        <f>Table132[[#This Row],[nb win]]/Table132[[#This Row],[nb play]]</f>
        <v>1</v>
      </c>
      <c r="H3944" t="str">
        <f>MID(Table132[[#This Row],[ÉTAT]],VALUE(RIGHT(Table132[[#This Row],[next move]],1))+1+VALUE(LEFT(Table132[[#This Row],[next move]],1))*3,1)</f>
        <v>V</v>
      </c>
      <c r="I3944" t="str">
        <f>Table132[[#This Row],[ÉTAT]]&amp;Table132[[#This Row],[next move]]</f>
        <v>MVEEMMEME01</v>
      </c>
    </row>
    <row r="3945" spans="2:9" x14ac:dyDescent="0.25">
      <c r="B3945" t="s">
        <v>2115</v>
      </c>
      <c r="C3945" s="22" t="s">
        <v>26</v>
      </c>
      <c r="D3945">
        <v>2</v>
      </c>
      <c r="E3945">
        <v>1</v>
      </c>
      <c r="G3945" s="30">
        <f>Table132[[#This Row],[nb win]]/Table132[[#This Row],[nb play]]</f>
        <v>0.5</v>
      </c>
      <c r="H3945" t="str">
        <f>MID(Table132[[#This Row],[ÉTAT]],VALUE(RIGHT(Table132[[#This Row],[next move]],1))+1+VALUE(LEFT(Table132[[#This Row],[next move]],1))*3,1)</f>
        <v>V</v>
      </c>
      <c r="I3945" t="str">
        <f>Table132[[#This Row],[ÉTAT]]&amp;Table132[[#This Row],[next move]]</f>
        <v>MVEEMEVVV01</v>
      </c>
    </row>
    <row r="3946" spans="2:9" x14ac:dyDescent="0.25">
      <c r="B3946" t="s">
        <v>2115</v>
      </c>
      <c r="C3946" s="22" t="s">
        <v>35</v>
      </c>
      <c r="D3946">
        <v>1</v>
      </c>
      <c r="G3946" s="25">
        <f>Table132[[#This Row],[nb win]]/Table132[[#This Row],[nb play]]</f>
        <v>0</v>
      </c>
      <c r="H3946" t="str">
        <f>MID(Table132[[#This Row],[ÉTAT]],VALUE(RIGHT(Table132[[#This Row],[next move]],1))+1+VALUE(LEFT(Table132[[#This Row],[next move]],1))*3,1)</f>
        <v>V</v>
      </c>
      <c r="I3946" t="str">
        <f>Table132[[#This Row],[ÉTAT]]&amp;Table132[[#This Row],[next move]]</f>
        <v>MVEEMEVVV20</v>
      </c>
    </row>
    <row r="3947" spans="2:9" x14ac:dyDescent="0.25">
      <c r="B3947" t="s">
        <v>3067</v>
      </c>
      <c r="C3947" s="22" t="s">
        <v>31</v>
      </c>
      <c r="D3947">
        <v>1</v>
      </c>
      <c r="E3947">
        <v>1</v>
      </c>
      <c r="G3947" s="31">
        <f>Table132[[#This Row],[nb win]]/Table132[[#This Row],[nb play]]</f>
        <v>1</v>
      </c>
      <c r="H3947" t="str">
        <f>MID(Table132[[#This Row],[ÉTAT]],VALUE(RIGHT(Table132[[#This Row],[next move]],1))+1+VALUE(LEFT(Table132[[#This Row],[next move]],1))*3,1)</f>
        <v>V</v>
      </c>
      <c r="I3947" t="str">
        <f>Table132[[#This Row],[ÉTAT]]&amp;Table132[[#This Row],[next move]]</f>
        <v>MVEEMEVMV22</v>
      </c>
    </row>
    <row r="3948" spans="2:9" x14ac:dyDescent="0.25">
      <c r="B3948" t="s">
        <v>2703</v>
      </c>
      <c r="C3948" s="22" t="s">
        <v>31</v>
      </c>
      <c r="D3948">
        <v>2</v>
      </c>
      <c r="E3948">
        <v>2</v>
      </c>
      <c r="G3948" s="31">
        <f>Table132[[#This Row],[nb win]]/Table132[[#This Row],[nb play]]</f>
        <v>1</v>
      </c>
      <c r="H3948" t="str">
        <f>MID(Table132[[#This Row],[ÉTAT]],VALUE(RIGHT(Table132[[#This Row],[next move]],1))+1+VALUE(LEFT(Table132[[#This Row],[next move]],1))*3,1)</f>
        <v>V</v>
      </c>
      <c r="I3948" t="str">
        <f>Table132[[#This Row],[ÉTAT]]&amp;Table132[[#This Row],[next move]]</f>
        <v>MVEEMEMVV22</v>
      </c>
    </row>
    <row r="3949" spans="2:9" x14ac:dyDescent="0.25">
      <c r="B3949" t="s">
        <v>2011</v>
      </c>
      <c r="C3949" s="22" t="s">
        <v>26</v>
      </c>
      <c r="D3949">
        <v>1</v>
      </c>
      <c r="G3949" s="25">
        <f>Table132[[#This Row],[nb win]]/Table132[[#This Row],[nb play]]</f>
        <v>0</v>
      </c>
      <c r="H3949" t="str">
        <f>MID(Table132[[#This Row],[ÉTAT]],VALUE(RIGHT(Table132[[#This Row],[next move]],1))+1+VALUE(LEFT(Table132[[#This Row],[next move]],1))*3,1)</f>
        <v>V</v>
      </c>
      <c r="I3949" t="str">
        <f>Table132[[#This Row],[ÉTAT]]&amp;Table132[[#This Row],[next move]]</f>
        <v>MVEEMEMEV01</v>
      </c>
    </row>
    <row r="3950" spans="2:9" x14ac:dyDescent="0.25">
      <c r="B3950" t="s">
        <v>2011</v>
      </c>
      <c r="C3950" s="22" t="s">
        <v>31</v>
      </c>
      <c r="D3950">
        <v>3</v>
      </c>
      <c r="E3950">
        <v>3</v>
      </c>
      <c r="G3950" s="31">
        <f>Table132[[#This Row],[nb win]]/Table132[[#This Row],[nb play]]</f>
        <v>1</v>
      </c>
      <c r="H3950" t="str">
        <f>MID(Table132[[#This Row],[ÉTAT]],VALUE(RIGHT(Table132[[#This Row],[next move]],1))+1+VALUE(LEFT(Table132[[#This Row],[next move]],1))*3,1)</f>
        <v>V</v>
      </c>
      <c r="I3950" t="str">
        <f>Table132[[#This Row],[ÉTAT]]&amp;Table132[[#This Row],[next move]]</f>
        <v>MVEEMEMEV22</v>
      </c>
    </row>
    <row r="3951" spans="2:9" x14ac:dyDescent="0.25">
      <c r="B3951" t="s">
        <v>2739</v>
      </c>
      <c r="C3951" s="22" t="s">
        <v>31</v>
      </c>
      <c r="D3951">
        <v>3</v>
      </c>
      <c r="E3951">
        <v>3</v>
      </c>
      <c r="G3951" s="31">
        <f>Table132[[#This Row],[nb win]]/Table132[[#This Row],[nb play]]</f>
        <v>1</v>
      </c>
      <c r="H3951" t="str">
        <f>MID(Table132[[#This Row],[ÉTAT]],VALUE(RIGHT(Table132[[#This Row],[next move]],1))+1+VALUE(LEFT(Table132[[#This Row],[next move]],1))*3,1)</f>
        <v>V</v>
      </c>
      <c r="I3951" t="str">
        <f>Table132[[#This Row],[ÉTAT]]&amp;Table132[[#This Row],[next move]]</f>
        <v>MVEEMEEMV22</v>
      </c>
    </row>
    <row r="3952" spans="2:9" x14ac:dyDescent="0.25">
      <c r="B3952" t="s">
        <v>3248</v>
      </c>
      <c r="C3952" s="22" t="s">
        <v>26</v>
      </c>
      <c r="D3952">
        <v>1</v>
      </c>
      <c r="G3952" s="30">
        <f>Table132[[#This Row],[nb win]]/Table132[[#This Row],[nb play]]</f>
        <v>0</v>
      </c>
      <c r="H3952" t="str">
        <f>MID(Table132[[#This Row],[ÉTAT]],VALUE(RIGHT(Table132[[#This Row],[next move]],1))+1+VALUE(LEFT(Table132[[#This Row],[next move]],1))*3,1)</f>
        <v>V</v>
      </c>
      <c r="I3952" t="str">
        <f>Table132[[#This Row],[ÉTAT]]&amp;Table132[[#This Row],[next move]]</f>
        <v>MVEEEVVVM01</v>
      </c>
    </row>
    <row r="3953" spans="2:9" x14ac:dyDescent="0.25">
      <c r="B3953" t="s">
        <v>1757</v>
      </c>
      <c r="C3953" s="22" t="s">
        <v>26</v>
      </c>
      <c r="D3953">
        <v>1</v>
      </c>
      <c r="G3953" s="30">
        <f>Table132[[#This Row],[nb win]]/Table132[[#This Row],[nb play]]</f>
        <v>0</v>
      </c>
      <c r="H3953" t="str">
        <f>MID(Table132[[#This Row],[ÉTAT]],VALUE(RIGHT(Table132[[#This Row],[next move]],1))+1+VALUE(LEFT(Table132[[#This Row],[next move]],1))*3,1)</f>
        <v>V</v>
      </c>
      <c r="I3953" t="str">
        <f>Table132[[#This Row],[ÉTAT]]&amp;Table132[[#This Row],[next move]]</f>
        <v>MVEEEVVMV01</v>
      </c>
    </row>
    <row r="3954" spans="2:9" x14ac:dyDescent="0.25">
      <c r="B3954" t="s">
        <v>1757</v>
      </c>
      <c r="C3954" s="22" t="s">
        <v>28</v>
      </c>
      <c r="D3954">
        <v>1</v>
      </c>
      <c r="G3954" s="25">
        <f>Table132[[#This Row],[nb win]]/Table132[[#This Row],[nb play]]</f>
        <v>0</v>
      </c>
      <c r="H3954" t="str">
        <f>MID(Table132[[#This Row],[ÉTAT]],VALUE(RIGHT(Table132[[#This Row],[next move]],1))+1+VALUE(LEFT(Table132[[#This Row],[next move]],1))*3,1)</f>
        <v>V</v>
      </c>
      <c r="I3954" t="str">
        <f>Table132[[#This Row],[ÉTAT]]&amp;Table132[[#This Row],[next move]]</f>
        <v>MVEEEVVMV12</v>
      </c>
    </row>
    <row r="3955" spans="2:9" x14ac:dyDescent="0.25">
      <c r="B3955" t="s">
        <v>1757</v>
      </c>
      <c r="C3955" s="22" t="s">
        <v>35</v>
      </c>
      <c r="D3955">
        <v>1</v>
      </c>
      <c r="E3955">
        <v>1</v>
      </c>
      <c r="G3955" s="31">
        <f>Table132[[#This Row],[nb win]]/Table132[[#This Row],[nb play]]</f>
        <v>1</v>
      </c>
      <c r="H3955" t="str">
        <f>MID(Table132[[#This Row],[ÉTAT]],VALUE(RIGHT(Table132[[#This Row],[next move]],1))+1+VALUE(LEFT(Table132[[#This Row],[next move]],1))*3,1)</f>
        <v>V</v>
      </c>
      <c r="I3955" t="str">
        <f>Table132[[#This Row],[ÉTAT]]&amp;Table132[[#This Row],[next move]]</f>
        <v>MVEEEVVMV20</v>
      </c>
    </row>
    <row r="3956" spans="2:9" x14ac:dyDescent="0.25">
      <c r="B3956" t="s">
        <v>1757</v>
      </c>
      <c r="C3956" s="22" t="s">
        <v>31</v>
      </c>
      <c r="D3956">
        <v>3</v>
      </c>
      <c r="E3956">
        <v>1</v>
      </c>
      <c r="G3956" s="30">
        <f>Table132[[#This Row],[nb win]]/Table132[[#This Row],[nb play]]</f>
        <v>0.33333333333333331</v>
      </c>
      <c r="H3956" t="str">
        <f>MID(Table132[[#This Row],[ÉTAT]],VALUE(RIGHT(Table132[[#This Row],[next move]],1))+1+VALUE(LEFT(Table132[[#This Row],[next move]],1))*3,1)</f>
        <v>V</v>
      </c>
      <c r="I3956" t="str">
        <f>Table132[[#This Row],[ÉTAT]]&amp;Table132[[#This Row],[next move]]</f>
        <v>MVEEEVVMV22</v>
      </c>
    </row>
    <row r="3957" spans="2:9" x14ac:dyDescent="0.25">
      <c r="B3957" t="s">
        <v>900</v>
      </c>
      <c r="C3957" s="22" t="s">
        <v>26</v>
      </c>
      <c r="D3957">
        <v>4</v>
      </c>
      <c r="G3957" s="30">
        <f>Table132[[#This Row],[nb win]]/Table132[[#This Row],[nb play]]</f>
        <v>0</v>
      </c>
      <c r="H3957" t="str">
        <f>MID(Table132[[#This Row],[ÉTAT]],VALUE(RIGHT(Table132[[#This Row],[next move]],1))+1+VALUE(LEFT(Table132[[#This Row],[next move]],1))*3,1)</f>
        <v>V</v>
      </c>
      <c r="I3957" t="str">
        <f>Table132[[#This Row],[ÉTAT]]&amp;Table132[[#This Row],[next move]]</f>
        <v>MVEEEVVMM01</v>
      </c>
    </row>
    <row r="3958" spans="2:9" x14ac:dyDescent="0.25">
      <c r="B3958" t="s">
        <v>900</v>
      </c>
      <c r="C3958" s="22" t="s">
        <v>35</v>
      </c>
      <c r="D3958">
        <v>2</v>
      </c>
      <c r="E3958">
        <v>2</v>
      </c>
      <c r="G3958" s="31">
        <f>Table132[[#This Row],[nb win]]/Table132[[#This Row],[nb play]]</f>
        <v>1</v>
      </c>
      <c r="H3958" t="str">
        <f>MID(Table132[[#This Row],[ÉTAT]],VALUE(RIGHT(Table132[[#This Row],[next move]],1))+1+VALUE(LEFT(Table132[[#This Row],[next move]],1))*3,1)</f>
        <v>V</v>
      </c>
      <c r="I3958" t="str">
        <f>Table132[[#This Row],[ÉTAT]]&amp;Table132[[#This Row],[next move]]</f>
        <v>MVEEEVVMM20</v>
      </c>
    </row>
    <row r="3959" spans="2:9" x14ac:dyDescent="0.25">
      <c r="B3959" t="s">
        <v>1930</v>
      </c>
      <c r="C3959" s="22" t="s">
        <v>31</v>
      </c>
      <c r="D3959">
        <v>2</v>
      </c>
      <c r="E3959">
        <v>1</v>
      </c>
      <c r="G3959" s="30">
        <f>Table132[[#This Row],[nb win]]/Table132[[#This Row],[nb play]]</f>
        <v>0.5</v>
      </c>
      <c r="H3959" t="str">
        <f>MID(Table132[[#This Row],[ÉTAT]],VALUE(RIGHT(Table132[[#This Row],[next move]],1))+1+VALUE(LEFT(Table132[[#This Row],[next move]],1))*3,1)</f>
        <v>V</v>
      </c>
      <c r="I3959" t="str">
        <f>Table132[[#This Row],[ÉTAT]]&amp;Table132[[#This Row],[next move]]</f>
        <v>MVEEEVMVV22</v>
      </c>
    </row>
    <row r="3960" spans="2:9" x14ac:dyDescent="0.25">
      <c r="B3960" t="s">
        <v>3106</v>
      </c>
      <c r="C3960" s="22" t="s">
        <v>22</v>
      </c>
      <c r="D3960">
        <v>1</v>
      </c>
      <c r="E3960">
        <v>1</v>
      </c>
      <c r="G3960" s="31">
        <f>Table132[[#This Row],[nb win]]/Table132[[#This Row],[nb play]]</f>
        <v>1</v>
      </c>
      <c r="H3960" t="str">
        <f>MID(Table132[[#This Row],[ÉTAT]],VALUE(RIGHT(Table132[[#This Row],[next move]],1))+1+VALUE(LEFT(Table132[[#This Row],[next move]],1))*3,1)</f>
        <v>V</v>
      </c>
      <c r="I3960" t="str">
        <f>Table132[[#This Row],[ÉTAT]]&amp;Table132[[#This Row],[next move]]</f>
        <v>MVEEEVMVM21</v>
      </c>
    </row>
    <row r="3961" spans="2:9" x14ac:dyDescent="0.25">
      <c r="B3961" t="s">
        <v>2198</v>
      </c>
      <c r="C3961" s="22" t="s">
        <v>28</v>
      </c>
      <c r="D3961">
        <v>1</v>
      </c>
      <c r="E3961">
        <v>1</v>
      </c>
      <c r="G3961" s="25">
        <f>Table132[[#This Row],[nb win]]/Table132[[#This Row],[nb play]]</f>
        <v>1</v>
      </c>
      <c r="H3961" t="str">
        <f>MID(Table132[[#This Row],[ÉTAT]],VALUE(RIGHT(Table132[[#This Row],[next move]],1))+1+VALUE(LEFT(Table132[[#This Row],[next move]],1))*3,1)</f>
        <v>V</v>
      </c>
      <c r="I3961" t="str">
        <f>Table132[[#This Row],[ÉTAT]]&amp;Table132[[#This Row],[next move]]</f>
        <v>MVEEEVMMV12</v>
      </c>
    </row>
    <row r="3962" spans="2:9" x14ac:dyDescent="0.25">
      <c r="B3962" t="s">
        <v>2248</v>
      </c>
      <c r="C3962" s="22" t="s">
        <v>26</v>
      </c>
      <c r="D3962">
        <v>1</v>
      </c>
      <c r="G3962" s="25">
        <f>Table132[[#This Row],[nb win]]/Table132[[#This Row],[nb play]]</f>
        <v>0</v>
      </c>
      <c r="H3962" t="str">
        <f>MID(Table132[[#This Row],[ÉTAT]],VALUE(RIGHT(Table132[[#This Row],[next move]],1))+1+VALUE(LEFT(Table132[[#This Row],[next move]],1))*3,1)</f>
        <v>V</v>
      </c>
      <c r="I3962" t="str">
        <f>Table132[[#This Row],[ÉTAT]]&amp;Table132[[#This Row],[next move]]</f>
        <v>MVEEEVMEM01</v>
      </c>
    </row>
    <row r="3963" spans="2:9" x14ac:dyDescent="0.25">
      <c r="B3963" t="s">
        <v>2248</v>
      </c>
      <c r="C3963" s="22" t="s">
        <v>28</v>
      </c>
      <c r="D3963">
        <v>2</v>
      </c>
      <c r="G3963" s="30">
        <f>Table132[[#This Row],[nb win]]/Table132[[#This Row],[nb play]]</f>
        <v>0</v>
      </c>
      <c r="H3963" t="str">
        <f>MID(Table132[[#This Row],[ÉTAT]],VALUE(RIGHT(Table132[[#This Row],[next move]],1))+1+VALUE(LEFT(Table132[[#This Row],[next move]],1))*3,1)</f>
        <v>V</v>
      </c>
      <c r="I3963" t="str">
        <f>Table132[[#This Row],[ÉTAT]]&amp;Table132[[#This Row],[next move]]</f>
        <v>MVEEEVMEM12</v>
      </c>
    </row>
    <row r="3964" spans="2:9" x14ac:dyDescent="0.25">
      <c r="B3964" t="s">
        <v>2665</v>
      </c>
      <c r="C3964" s="22" t="s">
        <v>26</v>
      </c>
      <c r="D3964">
        <v>1</v>
      </c>
      <c r="G3964" s="25">
        <f>Table132[[#This Row],[nb win]]/Table132[[#This Row],[nb play]]</f>
        <v>0</v>
      </c>
      <c r="H3964" t="str">
        <f>MID(Table132[[#This Row],[ÉTAT]],VALUE(RIGHT(Table132[[#This Row],[next move]],1))+1+VALUE(LEFT(Table132[[#This Row],[next move]],1))*3,1)</f>
        <v>V</v>
      </c>
      <c r="I3964" t="str">
        <f>Table132[[#This Row],[ÉTAT]]&amp;Table132[[#This Row],[next move]]</f>
        <v>MVEEEMVVV01</v>
      </c>
    </row>
    <row r="3965" spans="2:9" x14ac:dyDescent="0.25">
      <c r="B3965" t="s">
        <v>2665</v>
      </c>
      <c r="C3965" s="22" t="s">
        <v>35</v>
      </c>
      <c r="D3965">
        <v>1</v>
      </c>
      <c r="G3965" s="25">
        <f>Table132[[#This Row],[nb win]]/Table132[[#This Row],[nb play]]</f>
        <v>0</v>
      </c>
      <c r="H3965" t="str">
        <f>MID(Table132[[#This Row],[ÉTAT]],VALUE(RIGHT(Table132[[#This Row],[next move]],1))+1+VALUE(LEFT(Table132[[#This Row],[next move]],1))*3,1)</f>
        <v>V</v>
      </c>
      <c r="I3965" t="str">
        <f>Table132[[#This Row],[ÉTAT]]&amp;Table132[[#This Row],[next move]]</f>
        <v>MVEEEMVVV20</v>
      </c>
    </row>
    <row r="3966" spans="2:9" x14ac:dyDescent="0.25">
      <c r="B3966" t="s">
        <v>2665</v>
      </c>
      <c r="C3966" s="22" t="s">
        <v>22</v>
      </c>
      <c r="D3966">
        <v>3</v>
      </c>
      <c r="G3966" s="25">
        <f>Table132[[#This Row],[nb win]]/Table132[[#This Row],[nb play]]</f>
        <v>0</v>
      </c>
      <c r="H3966" t="str">
        <f>MID(Table132[[#This Row],[ÉTAT]],VALUE(RIGHT(Table132[[#This Row],[next move]],1))+1+VALUE(LEFT(Table132[[#This Row],[next move]],1))*3,1)</f>
        <v>V</v>
      </c>
      <c r="I3966" t="str">
        <f>Table132[[#This Row],[ÉTAT]]&amp;Table132[[#This Row],[next move]]</f>
        <v>MVEEEMVVV21</v>
      </c>
    </row>
    <row r="3967" spans="2:9" x14ac:dyDescent="0.25">
      <c r="B3967" t="s">
        <v>2665</v>
      </c>
      <c r="C3967" s="22" t="s">
        <v>31</v>
      </c>
      <c r="D3967">
        <v>2</v>
      </c>
      <c r="G3967" s="25">
        <f>Table132[[#This Row],[nb win]]/Table132[[#This Row],[nb play]]</f>
        <v>0</v>
      </c>
      <c r="H3967" t="str">
        <f>MID(Table132[[#This Row],[ÉTAT]],VALUE(RIGHT(Table132[[#This Row],[next move]],1))+1+VALUE(LEFT(Table132[[#This Row],[next move]],1))*3,1)</f>
        <v>V</v>
      </c>
      <c r="I3967" t="str">
        <f>Table132[[#This Row],[ÉTAT]]&amp;Table132[[#This Row],[next move]]</f>
        <v>MVEEEMVVV22</v>
      </c>
    </row>
    <row r="3968" spans="2:9" x14ac:dyDescent="0.25">
      <c r="B3968" t="s">
        <v>635</v>
      </c>
      <c r="C3968" s="22" t="s">
        <v>26</v>
      </c>
      <c r="D3968">
        <v>2</v>
      </c>
      <c r="G3968" s="30">
        <f>Table132[[#This Row],[nb win]]/Table132[[#This Row],[nb play]]</f>
        <v>0</v>
      </c>
      <c r="H3968" t="str">
        <f>MID(Table132[[#This Row],[ÉTAT]],VALUE(RIGHT(Table132[[#This Row],[next move]],1))+1+VALUE(LEFT(Table132[[#This Row],[next move]],1))*3,1)</f>
        <v>V</v>
      </c>
      <c r="I3968" t="str">
        <f>Table132[[#This Row],[ÉTAT]]&amp;Table132[[#This Row],[next move]]</f>
        <v>MVEEEMVVM01</v>
      </c>
    </row>
    <row r="3969" spans="2:9" x14ac:dyDescent="0.25">
      <c r="B3969" t="s">
        <v>635</v>
      </c>
      <c r="C3969" s="22" t="s">
        <v>35</v>
      </c>
      <c r="D3969">
        <v>1</v>
      </c>
      <c r="E3969">
        <v>1</v>
      </c>
      <c r="G3969" s="31">
        <f>Table132[[#This Row],[nb win]]/Table132[[#This Row],[nb play]]</f>
        <v>1</v>
      </c>
      <c r="H3969" t="str">
        <f>MID(Table132[[#This Row],[ÉTAT]],VALUE(RIGHT(Table132[[#This Row],[next move]],1))+1+VALUE(LEFT(Table132[[#This Row],[next move]],1))*3,1)</f>
        <v>V</v>
      </c>
      <c r="I3969" t="str">
        <f>Table132[[#This Row],[ÉTAT]]&amp;Table132[[#This Row],[next move]]</f>
        <v>MVEEEMVVM20</v>
      </c>
    </row>
    <row r="3970" spans="2:9" x14ac:dyDescent="0.25">
      <c r="B3970" t="s">
        <v>3064</v>
      </c>
      <c r="C3970" s="22" t="s">
        <v>26</v>
      </c>
      <c r="D3970">
        <v>1</v>
      </c>
      <c r="G3970" s="30">
        <f>Table132[[#This Row],[nb win]]/Table132[[#This Row],[nb play]]</f>
        <v>0</v>
      </c>
      <c r="H3970" t="str">
        <f>MID(Table132[[#This Row],[ÉTAT]],VALUE(RIGHT(Table132[[#This Row],[next move]],1))+1+VALUE(LEFT(Table132[[#This Row],[next move]],1))*3,1)</f>
        <v>V</v>
      </c>
      <c r="I3970" t="str">
        <f>Table132[[#This Row],[ÉTAT]]&amp;Table132[[#This Row],[next move]]</f>
        <v>MVEEEMVMV01</v>
      </c>
    </row>
    <row r="3971" spans="2:9" x14ac:dyDescent="0.25">
      <c r="B3971" t="s">
        <v>3064</v>
      </c>
      <c r="C3971" s="22" t="s">
        <v>31</v>
      </c>
      <c r="D3971">
        <v>2</v>
      </c>
      <c r="E3971">
        <v>1</v>
      </c>
      <c r="G3971" s="30">
        <f>Table132[[#This Row],[nb win]]/Table132[[#This Row],[nb play]]</f>
        <v>0.5</v>
      </c>
      <c r="H3971" t="str">
        <f>MID(Table132[[#This Row],[ÉTAT]],VALUE(RIGHT(Table132[[#This Row],[next move]],1))+1+VALUE(LEFT(Table132[[#This Row],[next move]],1))*3,1)</f>
        <v>V</v>
      </c>
      <c r="I3971" t="str">
        <f>Table132[[#This Row],[ÉTAT]]&amp;Table132[[#This Row],[next move]]</f>
        <v>MVEEEMVMV22</v>
      </c>
    </row>
    <row r="3972" spans="2:9" x14ac:dyDescent="0.25">
      <c r="B3972" t="s">
        <v>2384</v>
      </c>
      <c r="C3972" s="22" t="s">
        <v>26</v>
      </c>
      <c r="D3972">
        <v>1</v>
      </c>
      <c r="G3972" s="25">
        <f>Table132[[#This Row],[nb win]]/Table132[[#This Row],[nb play]]</f>
        <v>0</v>
      </c>
      <c r="H3972" t="str">
        <f>MID(Table132[[#This Row],[ÉTAT]],VALUE(RIGHT(Table132[[#This Row],[next move]],1))+1+VALUE(LEFT(Table132[[#This Row],[next move]],1))*3,1)</f>
        <v>V</v>
      </c>
      <c r="I3972" t="str">
        <f>Table132[[#This Row],[ÉTAT]]&amp;Table132[[#This Row],[next move]]</f>
        <v>MVEEEMVME01</v>
      </c>
    </row>
    <row r="3973" spans="2:9" x14ac:dyDescent="0.25">
      <c r="B3973" t="s">
        <v>1740</v>
      </c>
      <c r="C3973" s="22" t="s">
        <v>26</v>
      </c>
      <c r="D3973">
        <v>2</v>
      </c>
      <c r="G3973" s="25">
        <f>Table132[[#This Row],[nb win]]/Table132[[#This Row],[nb play]]</f>
        <v>0</v>
      </c>
      <c r="H3973" t="str">
        <f>MID(Table132[[#This Row],[ÉTAT]],VALUE(RIGHT(Table132[[#This Row],[next move]],1))+1+VALUE(LEFT(Table132[[#This Row],[next move]],1))*3,1)</f>
        <v>V</v>
      </c>
      <c r="I3973" t="str">
        <f>Table132[[#This Row],[ÉTAT]]&amp;Table132[[#This Row],[next move]]</f>
        <v>MVEEEMVEM01</v>
      </c>
    </row>
    <row r="3974" spans="2:9" x14ac:dyDescent="0.25">
      <c r="B3974" t="s">
        <v>1740</v>
      </c>
      <c r="C3974" s="22" t="s">
        <v>35</v>
      </c>
      <c r="D3974">
        <v>1</v>
      </c>
      <c r="G3974" s="25">
        <f>Table132[[#This Row],[nb win]]/Table132[[#This Row],[nb play]]</f>
        <v>0</v>
      </c>
      <c r="H3974" t="str">
        <f>MID(Table132[[#This Row],[ÉTAT]],VALUE(RIGHT(Table132[[#This Row],[next move]],1))+1+VALUE(LEFT(Table132[[#This Row],[next move]],1))*3,1)</f>
        <v>V</v>
      </c>
      <c r="I3974" t="str">
        <f>Table132[[#This Row],[ÉTAT]]&amp;Table132[[#This Row],[next move]]</f>
        <v>MVEEEMVEM20</v>
      </c>
    </row>
    <row r="3975" spans="2:9" x14ac:dyDescent="0.25">
      <c r="B3975" t="s">
        <v>726</v>
      </c>
      <c r="C3975" s="22" t="s">
        <v>20</v>
      </c>
      <c r="D3975">
        <v>3</v>
      </c>
      <c r="E3975">
        <v>3</v>
      </c>
      <c r="G3975" s="25">
        <f>Table132[[#This Row],[nb win]]/Table132[[#This Row],[nb play]]</f>
        <v>1</v>
      </c>
      <c r="H3975" t="str">
        <f>MID(Table132[[#This Row],[ÉTAT]],VALUE(RIGHT(Table132[[#This Row],[next move]],1))+1+VALUE(LEFT(Table132[[#This Row],[next move]],1))*3,1)</f>
        <v>V</v>
      </c>
      <c r="I3975" t="str">
        <f>Table132[[#This Row],[ÉTAT]]&amp;Table132[[#This Row],[next move]]</f>
        <v>MMVVVVVEE02</v>
      </c>
    </row>
    <row r="3976" spans="2:9" x14ac:dyDescent="0.25">
      <c r="B3976" t="s">
        <v>726</v>
      </c>
      <c r="C3976" s="22" t="s">
        <v>28</v>
      </c>
      <c r="D3976">
        <v>3</v>
      </c>
      <c r="G3976" s="30">
        <f>Table132[[#This Row],[nb win]]/Table132[[#This Row],[nb play]]</f>
        <v>0</v>
      </c>
      <c r="H3976" t="str">
        <f>MID(Table132[[#This Row],[ÉTAT]],VALUE(RIGHT(Table132[[#This Row],[next move]],1))+1+VALUE(LEFT(Table132[[#This Row],[next move]],1))*3,1)</f>
        <v>V</v>
      </c>
      <c r="I3976" t="str">
        <f>Table132[[#This Row],[ÉTAT]]&amp;Table132[[#This Row],[next move]]</f>
        <v>MMVVVVVEE12</v>
      </c>
    </row>
    <row r="3977" spans="2:9" x14ac:dyDescent="0.25">
      <c r="B3977" t="s">
        <v>1965</v>
      </c>
      <c r="C3977" s="22" t="s">
        <v>29</v>
      </c>
      <c r="D3977">
        <v>4</v>
      </c>
      <c r="G3977" s="30">
        <f>Table132[[#This Row],[nb win]]/Table132[[#This Row],[nb play]]</f>
        <v>0</v>
      </c>
      <c r="H3977" t="str">
        <f>MID(Table132[[#This Row],[ÉTAT]],VALUE(RIGHT(Table132[[#This Row],[next move]],1))+1+VALUE(LEFT(Table132[[#This Row],[next move]],1))*3,1)</f>
        <v>V</v>
      </c>
      <c r="I3977" t="str">
        <f>Table132[[#This Row],[ÉTAT]]&amp;Table132[[#This Row],[next move]]</f>
        <v>MMVVVVEVE11</v>
      </c>
    </row>
    <row r="3978" spans="2:9" x14ac:dyDescent="0.25">
      <c r="B3978" t="s">
        <v>1965</v>
      </c>
      <c r="C3978" s="22" t="s">
        <v>22</v>
      </c>
      <c r="D3978">
        <v>2</v>
      </c>
      <c r="E3978">
        <v>2</v>
      </c>
      <c r="G3978" s="31">
        <f>Table132[[#This Row],[nb win]]/Table132[[#This Row],[nb play]]</f>
        <v>1</v>
      </c>
      <c r="H3978" t="str">
        <f>MID(Table132[[#This Row],[ÉTAT]],VALUE(RIGHT(Table132[[#This Row],[next move]],1))+1+VALUE(LEFT(Table132[[#This Row],[next move]],1))*3,1)</f>
        <v>V</v>
      </c>
      <c r="I3978" t="str">
        <f>Table132[[#This Row],[ÉTAT]]&amp;Table132[[#This Row],[next move]]</f>
        <v>MMVVVVEVE21</v>
      </c>
    </row>
    <row r="3979" spans="2:9" x14ac:dyDescent="0.25">
      <c r="B3979" t="s">
        <v>1280</v>
      </c>
      <c r="C3979" s="22" t="s">
        <v>20</v>
      </c>
      <c r="D3979">
        <v>2</v>
      </c>
      <c r="E3979">
        <v>2</v>
      </c>
      <c r="G3979" s="31">
        <f>Table132[[#This Row],[nb win]]/Table132[[#This Row],[nb play]]</f>
        <v>1</v>
      </c>
      <c r="H3979" t="str">
        <f>MID(Table132[[#This Row],[ÉTAT]],VALUE(RIGHT(Table132[[#This Row],[next move]],1))+1+VALUE(LEFT(Table132[[#This Row],[next move]],1))*3,1)</f>
        <v>V</v>
      </c>
      <c r="I3979" t="str">
        <f>Table132[[#This Row],[ÉTAT]]&amp;Table132[[#This Row],[next move]]</f>
        <v>MMVVVVEEV02</v>
      </c>
    </row>
    <row r="3980" spans="2:9" x14ac:dyDescent="0.25">
      <c r="B3980" t="s">
        <v>1280</v>
      </c>
      <c r="C3980" s="22" t="s">
        <v>30</v>
      </c>
      <c r="D3980">
        <v>2</v>
      </c>
      <c r="G3980" s="30">
        <f>Table132[[#This Row],[nb win]]/Table132[[#This Row],[nb play]]</f>
        <v>0</v>
      </c>
      <c r="H3980" t="str">
        <f>MID(Table132[[#This Row],[ÉTAT]],VALUE(RIGHT(Table132[[#This Row],[next move]],1))+1+VALUE(LEFT(Table132[[#This Row],[next move]],1))*3,1)</f>
        <v>V</v>
      </c>
      <c r="I3980" t="str">
        <f>Table132[[#This Row],[ÉTAT]]&amp;Table132[[#This Row],[next move]]</f>
        <v>MMVVVVEEV10</v>
      </c>
    </row>
    <row r="3981" spans="2:9" x14ac:dyDescent="0.25">
      <c r="B3981" t="s">
        <v>1280</v>
      </c>
      <c r="C3981" s="22" t="s">
        <v>29</v>
      </c>
      <c r="D3981">
        <v>5</v>
      </c>
      <c r="E3981">
        <v>3</v>
      </c>
      <c r="G3981" s="30">
        <f>Table132[[#This Row],[nb win]]/Table132[[#This Row],[nb play]]</f>
        <v>0.6</v>
      </c>
      <c r="H3981" t="str">
        <f>MID(Table132[[#This Row],[ÉTAT]],VALUE(RIGHT(Table132[[#This Row],[next move]],1))+1+VALUE(LEFT(Table132[[#This Row],[next move]],1))*3,1)</f>
        <v>V</v>
      </c>
      <c r="I3981" t="str">
        <f>Table132[[#This Row],[ÉTAT]]&amp;Table132[[#This Row],[next move]]</f>
        <v>MMVVVVEEV11</v>
      </c>
    </row>
    <row r="3982" spans="2:9" x14ac:dyDescent="0.25">
      <c r="B3982" t="s">
        <v>3501</v>
      </c>
      <c r="C3982" s="22" t="s">
        <v>29</v>
      </c>
      <c r="D3982">
        <v>1</v>
      </c>
      <c r="G3982" s="30">
        <f>Table132[[#This Row],[nb win]]/Table132[[#This Row],[nb play]]</f>
        <v>0</v>
      </c>
      <c r="H3982" t="str">
        <f>MID(Table132[[#This Row],[ÉTAT]],VALUE(RIGHT(Table132[[#This Row],[next move]],1))+1+VALUE(LEFT(Table132[[#This Row],[next move]],1))*3,1)</f>
        <v>V</v>
      </c>
      <c r="I3982" t="str">
        <f>Table132[[#This Row],[ÉTAT]]&amp;Table132[[#This Row],[next move]]</f>
        <v>MMVVVEVVE11</v>
      </c>
    </row>
    <row r="3983" spans="2:9" x14ac:dyDescent="0.25">
      <c r="B3983" t="s">
        <v>881</v>
      </c>
      <c r="C3983" s="22" t="s">
        <v>31</v>
      </c>
      <c r="D3983">
        <v>2</v>
      </c>
      <c r="E3983">
        <v>2</v>
      </c>
      <c r="G3983" s="31">
        <f>Table132[[#This Row],[nb win]]/Table132[[#This Row],[nb play]]</f>
        <v>1</v>
      </c>
      <c r="H3983" t="str">
        <f>MID(Table132[[#This Row],[ÉTAT]],VALUE(RIGHT(Table132[[#This Row],[next move]],1))+1+VALUE(LEFT(Table132[[#This Row],[next move]],1))*3,1)</f>
        <v>V</v>
      </c>
      <c r="I3983" t="str">
        <f>Table132[[#This Row],[ÉTAT]]&amp;Table132[[#This Row],[next move]]</f>
        <v>MMVVVEVEV22</v>
      </c>
    </row>
    <row r="3984" spans="2:9" x14ac:dyDescent="0.25">
      <c r="B3984" t="s">
        <v>2114</v>
      </c>
      <c r="C3984" s="22" t="s">
        <v>20</v>
      </c>
      <c r="D3984">
        <v>2</v>
      </c>
      <c r="E3984">
        <v>2</v>
      </c>
      <c r="G3984" s="31">
        <f>Table132[[#This Row],[nb win]]/Table132[[#This Row],[nb play]]</f>
        <v>1</v>
      </c>
      <c r="H3984" t="str">
        <f>MID(Table132[[#This Row],[ÉTAT]],VALUE(RIGHT(Table132[[#This Row],[next move]],1))+1+VALUE(LEFT(Table132[[#This Row],[next move]],1))*3,1)</f>
        <v>V</v>
      </c>
      <c r="I3984" t="str">
        <f>Table132[[#This Row],[ÉTAT]]&amp;Table132[[#This Row],[next move]]</f>
        <v>MMVVVEVEE02</v>
      </c>
    </row>
    <row r="3985" spans="2:9" x14ac:dyDescent="0.25">
      <c r="B3985" t="s">
        <v>2114</v>
      </c>
      <c r="C3985" s="22" t="s">
        <v>30</v>
      </c>
      <c r="D3985">
        <v>1</v>
      </c>
      <c r="G3985" s="25">
        <f>Table132[[#This Row],[nb win]]/Table132[[#This Row],[nb play]]</f>
        <v>0</v>
      </c>
      <c r="H3985" t="str">
        <f>MID(Table132[[#This Row],[ÉTAT]],VALUE(RIGHT(Table132[[#This Row],[next move]],1))+1+VALUE(LEFT(Table132[[#This Row],[next move]],1))*3,1)</f>
        <v>V</v>
      </c>
      <c r="I3985" t="str">
        <f>Table132[[#This Row],[ÉTAT]]&amp;Table132[[#This Row],[next move]]</f>
        <v>MMVVVEVEE10</v>
      </c>
    </row>
    <row r="3986" spans="2:9" x14ac:dyDescent="0.25">
      <c r="B3986" t="s">
        <v>2114</v>
      </c>
      <c r="C3986" s="22" t="s">
        <v>35</v>
      </c>
      <c r="D3986">
        <v>1</v>
      </c>
      <c r="G3986" s="30">
        <f>Table132[[#This Row],[nb win]]/Table132[[#This Row],[nb play]]</f>
        <v>0</v>
      </c>
      <c r="H3986" t="str">
        <f>MID(Table132[[#This Row],[ÉTAT]],VALUE(RIGHT(Table132[[#This Row],[next move]],1))+1+VALUE(LEFT(Table132[[#This Row],[next move]],1))*3,1)</f>
        <v>V</v>
      </c>
      <c r="I3986" t="str">
        <f>Table132[[#This Row],[ÉTAT]]&amp;Table132[[#This Row],[next move]]</f>
        <v>MMVVVEVEE20</v>
      </c>
    </row>
    <row r="3987" spans="2:9" x14ac:dyDescent="0.25">
      <c r="B3987" t="s">
        <v>1937</v>
      </c>
      <c r="C3987" s="22" t="s">
        <v>20</v>
      </c>
      <c r="D3987">
        <v>5</v>
      </c>
      <c r="E3987">
        <v>5</v>
      </c>
      <c r="G3987" s="31">
        <f>Table132[[#This Row],[nb win]]/Table132[[#This Row],[nb play]]</f>
        <v>1</v>
      </c>
      <c r="H3987" t="str">
        <f>MID(Table132[[#This Row],[ÉTAT]],VALUE(RIGHT(Table132[[#This Row],[next move]],1))+1+VALUE(LEFT(Table132[[#This Row],[next move]],1))*3,1)</f>
        <v>V</v>
      </c>
      <c r="I3987" t="str">
        <f>Table132[[#This Row],[ÉTAT]]&amp;Table132[[#This Row],[next move]]</f>
        <v>MMVVVEEVV02</v>
      </c>
    </row>
    <row r="3988" spans="2:9" x14ac:dyDescent="0.25">
      <c r="B3988" t="s">
        <v>1979</v>
      </c>
      <c r="C3988" s="22" t="s">
        <v>20</v>
      </c>
      <c r="D3988">
        <v>3</v>
      </c>
      <c r="E3988">
        <v>3</v>
      </c>
      <c r="G3988" s="31">
        <f>Table132[[#This Row],[nb win]]/Table132[[#This Row],[nb play]]</f>
        <v>1</v>
      </c>
      <c r="H3988" t="str">
        <f>MID(Table132[[#This Row],[ÉTAT]],VALUE(RIGHT(Table132[[#This Row],[next move]],1))+1+VALUE(LEFT(Table132[[#This Row],[next move]],1))*3,1)</f>
        <v>V</v>
      </c>
      <c r="I3988" t="str">
        <f>Table132[[#This Row],[ÉTAT]]&amp;Table132[[#This Row],[next move]]</f>
        <v>MMVVVEEVE02</v>
      </c>
    </row>
    <row r="3989" spans="2:9" x14ac:dyDescent="0.25">
      <c r="B3989" t="s">
        <v>907</v>
      </c>
      <c r="C3989" s="22" t="s">
        <v>20</v>
      </c>
      <c r="D3989">
        <v>3</v>
      </c>
      <c r="E3989">
        <v>3</v>
      </c>
      <c r="G3989" s="31">
        <f>Table132[[#This Row],[nb win]]/Table132[[#This Row],[nb play]]</f>
        <v>1</v>
      </c>
      <c r="H3989" t="str">
        <f>MID(Table132[[#This Row],[ÉTAT]],VALUE(RIGHT(Table132[[#This Row],[next move]],1))+1+VALUE(LEFT(Table132[[#This Row],[next move]],1))*3,1)</f>
        <v>V</v>
      </c>
      <c r="I3989" t="str">
        <f>Table132[[#This Row],[ÉTAT]]&amp;Table132[[#This Row],[next move]]</f>
        <v>MMVVVEEME02</v>
      </c>
    </row>
    <row r="3990" spans="2:9" x14ac:dyDescent="0.25">
      <c r="B3990" t="s">
        <v>2990</v>
      </c>
      <c r="C3990" s="22" t="s">
        <v>20</v>
      </c>
      <c r="D3990">
        <v>2</v>
      </c>
      <c r="E3990">
        <v>2</v>
      </c>
      <c r="G3990" s="31">
        <f>Table132[[#This Row],[nb win]]/Table132[[#This Row],[nb play]]</f>
        <v>1</v>
      </c>
      <c r="H3990" t="str">
        <f>MID(Table132[[#This Row],[ÉTAT]],VALUE(RIGHT(Table132[[#This Row],[next move]],1))+1+VALUE(LEFT(Table132[[#This Row],[next move]],1))*3,1)</f>
        <v>V</v>
      </c>
      <c r="I3990" t="str">
        <f>Table132[[#This Row],[ÉTAT]]&amp;Table132[[#This Row],[next move]]</f>
        <v>MMVVVEEEV02</v>
      </c>
    </row>
    <row r="3991" spans="2:9" x14ac:dyDescent="0.25">
      <c r="B3991" t="s">
        <v>2990</v>
      </c>
      <c r="C3991" s="22" t="s">
        <v>30</v>
      </c>
      <c r="D3991">
        <v>1</v>
      </c>
      <c r="G3991" s="25">
        <f>Table132[[#This Row],[nb win]]/Table132[[#This Row],[nb play]]</f>
        <v>0</v>
      </c>
      <c r="H3991" t="str">
        <f>MID(Table132[[#This Row],[ÉTAT]],VALUE(RIGHT(Table132[[#This Row],[next move]],1))+1+VALUE(LEFT(Table132[[#This Row],[next move]],1))*3,1)</f>
        <v>V</v>
      </c>
      <c r="I3991" t="str">
        <f>Table132[[#This Row],[ÉTAT]]&amp;Table132[[#This Row],[next move]]</f>
        <v>MMVVVEEEV10</v>
      </c>
    </row>
    <row r="3992" spans="2:9" x14ac:dyDescent="0.25">
      <c r="B3992" t="s">
        <v>582</v>
      </c>
      <c r="C3992" s="22" t="s">
        <v>20</v>
      </c>
      <c r="D3992">
        <v>3</v>
      </c>
      <c r="E3992">
        <v>3</v>
      </c>
      <c r="G3992" s="25">
        <f>Table132[[#This Row],[nb win]]/Table132[[#This Row],[nb play]]</f>
        <v>1</v>
      </c>
      <c r="H3992" t="str">
        <f>MID(Table132[[#This Row],[ÉTAT]],VALUE(RIGHT(Table132[[#This Row],[next move]],1))+1+VALUE(LEFT(Table132[[#This Row],[next move]],1))*3,1)</f>
        <v>V</v>
      </c>
      <c r="I3992" t="str">
        <f>Table132[[#This Row],[ÉTAT]]&amp;Table132[[#This Row],[next move]]</f>
        <v>MMVVVEEEM02</v>
      </c>
    </row>
    <row r="3993" spans="2:9" x14ac:dyDescent="0.25">
      <c r="B3993" t="s">
        <v>2478</v>
      </c>
      <c r="C3993" s="22" t="s">
        <v>31</v>
      </c>
      <c r="D3993">
        <v>1</v>
      </c>
      <c r="E3993">
        <v>1</v>
      </c>
      <c r="G3993" s="25">
        <f>Table132[[#This Row],[nb win]]/Table132[[#This Row],[nb play]]</f>
        <v>1</v>
      </c>
      <c r="H3993" t="str">
        <f>MID(Table132[[#This Row],[ÉTAT]],VALUE(RIGHT(Table132[[#This Row],[next move]],1))+1+VALUE(LEFT(Table132[[#This Row],[next move]],1))*3,1)</f>
        <v>V</v>
      </c>
      <c r="I3993" t="str">
        <f>Table132[[#This Row],[ÉTAT]]&amp;Table132[[#This Row],[next move]]</f>
        <v>MMVVMEEEV22</v>
      </c>
    </row>
    <row r="3994" spans="2:9" x14ac:dyDescent="0.25">
      <c r="B3994" t="s">
        <v>2959</v>
      </c>
      <c r="C3994" s="22" t="s">
        <v>20</v>
      </c>
      <c r="D3994">
        <v>3</v>
      </c>
      <c r="E3994">
        <v>3</v>
      </c>
      <c r="G3994" s="31">
        <f>Table132[[#This Row],[nb win]]/Table132[[#This Row],[nb play]]</f>
        <v>1</v>
      </c>
      <c r="H3994" t="str">
        <f>MID(Table132[[#This Row],[ÉTAT]],VALUE(RIGHT(Table132[[#This Row],[next move]],1))+1+VALUE(LEFT(Table132[[#This Row],[next move]],1))*3,1)</f>
        <v>V</v>
      </c>
      <c r="I3994" t="str">
        <f>Table132[[#This Row],[ÉTAT]]&amp;Table132[[#This Row],[next move]]</f>
        <v>MMVVEVVVE02</v>
      </c>
    </row>
    <row r="3995" spans="2:9" x14ac:dyDescent="0.25">
      <c r="B3995" t="s">
        <v>562</v>
      </c>
      <c r="C3995" s="22" t="s">
        <v>20</v>
      </c>
      <c r="D3995">
        <v>2</v>
      </c>
      <c r="E3995">
        <v>2</v>
      </c>
      <c r="G3995" s="31">
        <f>Table132[[#This Row],[nb win]]/Table132[[#This Row],[nb play]]</f>
        <v>1</v>
      </c>
      <c r="H3995" t="str">
        <f>MID(Table132[[#This Row],[ÉTAT]],VALUE(RIGHT(Table132[[#This Row],[next move]],1))+1+VALUE(LEFT(Table132[[#This Row],[next move]],1))*3,1)</f>
        <v>V</v>
      </c>
      <c r="I3995" t="str">
        <f>Table132[[#This Row],[ÉTAT]]&amp;Table132[[#This Row],[next move]]</f>
        <v>MMVVEVVEV02</v>
      </c>
    </row>
    <row r="3996" spans="2:9" x14ac:dyDescent="0.25">
      <c r="B3996" t="s">
        <v>562</v>
      </c>
      <c r="C3996" s="22" t="s">
        <v>35</v>
      </c>
      <c r="D3996">
        <v>3</v>
      </c>
      <c r="E3996">
        <v>2</v>
      </c>
      <c r="G3996" s="31">
        <f>Table132[[#This Row],[nb win]]/Table132[[#This Row],[nb play]]</f>
        <v>0.66666666666666663</v>
      </c>
      <c r="H3996" t="str">
        <f>MID(Table132[[#This Row],[ÉTAT]],VALUE(RIGHT(Table132[[#This Row],[next move]],1))+1+VALUE(LEFT(Table132[[#This Row],[next move]],1))*3,1)</f>
        <v>V</v>
      </c>
      <c r="I3996" t="str">
        <f>Table132[[#This Row],[ÉTAT]]&amp;Table132[[#This Row],[next move]]</f>
        <v>MMVVEVVEV20</v>
      </c>
    </row>
    <row r="3997" spans="2:9" x14ac:dyDescent="0.25">
      <c r="B3997" t="s">
        <v>2560</v>
      </c>
      <c r="C3997" s="22" t="s">
        <v>20</v>
      </c>
      <c r="D3997">
        <v>2</v>
      </c>
      <c r="E3997">
        <v>2</v>
      </c>
      <c r="G3997" s="31">
        <f>Table132[[#This Row],[nb win]]/Table132[[#This Row],[nb play]]</f>
        <v>1</v>
      </c>
      <c r="H3997" t="str">
        <f>MID(Table132[[#This Row],[ÉTAT]],VALUE(RIGHT(Table132[[#This Row],[next move]],1))+1+VALUE(LEFT(Table132[[#This Row],[next move]],1))*3,1)</f>
        <v>V</v>
      </c>
      <c r="I3997" t="str">
        <f>Table132[[#This Row],[ÉTAT]]&amp;Table132[[#This Row],[next move]]</f>
        <v>MMVVEVEVV02</v>
      </c>
    </row>
    <row r="3998" spans="2:9" x14ac:dyDescent="0.25">
      <c r="B3998" t="s">
        <v>2560</v>
      </c>
      <c r="C3998" s="22" t="s">
        <v>30</v>
      </c>
      <c r="D3998">
        <v>1</v>
      </c>
      <c r="G3998" s="30">
        <f>Table132[[#This Row],[nb win]]/Table132[[#This Row],[nb play]]</f>
        <v>0</v>
      </c>
      <c r="H3998" t="str">
        <f>MID(Table132[[#This Row],[ÉTAT]],VALUE(RIGHT(Table132[[#This Row],[next move]],1))+1+VALUE(LEFT(Table132[[#This Row],[next move]],1))*3,1)</f>
        <v>V</v>
      </c>
      <c r="I3998" t="str">
        <f>Table132[[#This Row],[ÉTAT]]&amp;Table132[[#This Row],[next move]]</f>
        <v>MMVVEVEVV10</v>
      </c>
    </row>
    <row r="3999" spans="2:9" x14ac:dyDescent="0.25">
      <c r="B3999" t="s">
        <v>2560</v>
      </c>
      <c r="C3999" s="22" t="s">
        <v>22</v>
      </c>
      <c r="D3999">
        <v>1</v>
      </c>
      <c r="G3999" s="25">
        <f>Table132[[#This Row],[nb win]]/Table132[[#This Row],[nb play]]</f>
        <v>0</v>
      </c>
      <c r="H3999" t="str">
        <f>MID(Table132[[#This Row],[ÉTAT]],VALUE(RIGHT(Table132[[#This Row],[next move]],1))+1+VALUE(LEFT(Table132[[#This Row],[next move]],1))*3,1)</f>
        <v>V</v>
      </c>
      <c r="I3999" t="str">
        <f>Table132[[#This Row],[ÉTAT]]&amp;Table132[[#This Row],[next move]]</f>
        <v>MMVVEVEVV21</v>
      </c>
    </row>
    <row r="4000" spans="2:9" x14ac:dyDescent="0.25">
      <c r="B4000" t="s">
        <v>1032</v>
      </c>
      <c r="C4000" s="22" t="s">
        <v>20</v>
      </c>
      <c r="D4000">
        <v>2</v>
      </c>
      <c r="E4000">
        <v>2</v>
      </c>
      <c r="G4000" s="31">
        <f>Table132[[#This Row],[nb win]]/Table132[[#This Row],[nb play]]</f>
        <v>1</v>
      </c>
      <c r="H4000" t="str">
        <f>MID(Table132[[#This Row],[ÉTAT]],VALUE(RIGHT(Table132[[#This Row],[next move]],1))+1+VALUE(LEFT(Table132[[#This Row],[next move]],1))*3,1)</f>
        <v>V</v>
      </c>
      <c r="I4000" t="str">
        <f>Table132[[#This Row],[ÉTAT]]&amp;Table132[[#This Row],[next move]]</f>
        <v>MMVVEVEVE02</v>
      </c>
    </row>
    <row r="4001" spans="2:9" x14ac:dyDescent="0.25">
      <c r="B4001" t="s">
        <v>1032</v>
      </c>
      <c r="C4001" s="22" t="s">
        <v>28</v>
      </c>
      <c r="D4001">
        <v>1</v>
      </c>
      <c r="G4001" s="25">
        <f>Table132[[#This Row],[nb win]]/Table132[[#This Row],[nb play]]</f>
        <v>0</v>
      </c>
      <c r="H4001" t="str">
        <f>MID(Table132[[#This Row],[ÉTAT]],VALUE(RIGHT(Table132[[#This Row],[next move]],1))+1+VALUE(LEFT(Table132[[#This Row],[next move]],1))*3,1)</f>
        <v>V</v>
      </c>
      <c r="I4001" t="str">
        <f>Table132[[#This Row],[ÉTAT]]&amp;Table132[[#This Row],[next move]]</f>
        <v>MMVVEVEVE12</v>
      </c>
    </row>
    <row r="4002" spans="2:9" x14ac:dyDescent="0.25">
      <c r="B4002" t="s">
        <v>1032</v>
      </c>
      <c r="C4002" s="22" t="s">
        <v>22</v>
      </c>
      <c r="D4002">
        <v>1</v>
      </c>
      <c r="G4002" s="25">
        <f>Table132[[#This Row],[nb win]]/Table132[[#This Row],[nb play]]</f>
        <v>0</v>
      </c>
      <c r="H4002" t="str">
        <f>MID(Table132[[#This Row],[ÉTAT]],VALUE(RIGHT(Table132[[#This Row],[next move]],1))+1+VALUE(LEFT(Table132[[#This Row],[next move]],1))*3,1)</f>
        <v>V</v>
      </c>
      <c r="I4002" t="str">
        <f>Table132[[#This Row],[ÉTAT]]&amp;Table132[[#This Row],[next move]]</f>
        <v>MMVVEVEVE21</v>
      </c>
    </row>
    <row r="4003" spans="2:9" x14ac:dyDescent="0.25">
      <c r="B4003" t="s">
        <v>1914</v>
      </c>
      <c r="C4003" s="22" t="s">
        <v>20</v>
      </c>
      <c r="D4003">
        <v>7</v>
      </c>
      <c r="E4003">
        <v>7</v>
      </c>
      <c r="G4003" s="31">
        <f>Table132[[#This Row],[nb win]]/Table132[[#This Row],[nb play]]</f>
        <v>1</v>
      </c>
      <c r="H4003" t="str">
        <f>MID(Table132[[#This Row],[ÉTAT]],VALUE(RIGHT(Table132[[#This Row],[next move]],1))+1+VALUE(LEFT(Table132[[#This Row],[next move]],1))*3,1)</f>
        <v>V</v>
      </c>
      <c r="I4003" t="str">
        <f>Table132[[#This Row],[ÉTAT]]&amp;Table132[[#This Row],[next move]]</f>
        <v>MMVVEVEME02</v>
      </c>
    </row>
    <row r="4004" spans="2:9" x14ac:dyDescent="0.25">
      <c r="B4004" t="s">
        <v>1528</v>
      </c>
      <c r="C4004" s="22" t="s">
        <v>20</v>
      </c>
      <c r="D4004">
        <v>4</v>
      </c>
      <c r="E4004">
        <v>4</v>
      </c>
      <c r="G4004" s="31">
        <f>Table132[[#This Row],[nb win]]/Table132[[#This Row],[nb play]]</f>
        <v>1</v>
      </c>
      <c r="H4004" t="str">
        <f>MID(Table132[[#This Row],[ÉTAT]],VALUE(RIGHT(Table132[[#This Row],[next move]],1))+1+VALUE(LEFT(Table132[[#This Row],[next move]],1))*3,1)</f>
        <v>V</v>
      </c>
      <c r="I4004" t="str">
        <f>Table132[[#This Row],[ÉTAT]]&amp;Table132[[#This Row],[next move]]</f>
        <v>MMVVEVEEV02</v>
      </c>
    </row>
    <row r="4005" spans="2:9" x14ac:dyDescent="0.25">
      <c r="B4005" t="s">
        <v>2498</v>
      </c>
      <c r="C4005" s="22" t="s">
        <v>28</v>
      </c>
      <c r="D4005">
        <v>1</v>
      </c>
      <c r="G4005" s="25">
        <f>Table132[[#This Row],[nb win]]/Table132[[#This Row],[nb play]]</f>
        <v>0</v>
      </c>
      <c r="H4005" t="str">
        <f>MID(Table132[[#This Row],[ÉTAT]],VALUE(RIGHT(Table132[[#This Row],[next move]],1))+1+VALUE(LEFT(Table132[[#This Row],[next move]],1))*3,1)</f>
        <v>V</v>
      </c>
      <c r="I4005" t="str">
        <f>Table132[[#This Row],[ÉTAT]]&amp;Table132[[#This Row],[next move]]</f>
        <v>MMVVEVEEM12</v>
      </c>
    </row>
    <row r="4006" spans="2:9" x14ac:dyDescent="0.25">
      <c r="B4006" t="s">
        <v>1037</v>
      </c>
      <c r="C4006" s="22" t="s">
        <v>20</v>
      </c>
      <c r="D4006">
        <v>3</v>
      </c>
      <c r="E4006">
        <v>3</v>
      </c>
      <c r="G4006" s="31">
        <f>Table132[[#This Row],[nb win]]/Table132[[#This Row],[nb play]]</f>
        <v>1</v>
      </c>
      <c r="H4006" t="str">
        <f>MID(Table132[[#This Row],[ÉTAT]],VALUE(RIGHT(Table132[[#This Row],[next move]],1))+1+VALUE(LEFT(Table132[[#This Row],[next move]],1))*3,1)</f>
        <v>V</v>
      </c>
      <c r="I4006" t="str">
        <f>Table132[[#This Row],[ÉTAT]]&amp;Table132[[#This Row],[next move]]</f>
        <v>MMVVEMEVE02</v>
      </c>
    </row>
    <row r="4007" spans="2:9" x14ac:dyDescent="0.25">
      <c r="B4007" t="s">
        <v>1637</v>
      </c>
      <c r="C4007" s="22" t="s">
        <v>20</v>
      </c>
      <c r="D4007">
        <v>1</v>
      </c>
      <c r="E4007">
        <v>1</v>
      </c>
      <c r="G4007" s="25">
        <f>Table132[[#This Row],[nb win]]/Table132[[#This Row],[nb play]]</f>
        <v>1</v>
      </c>
      <c r="H4007" t="str">
        <f>MID(Table132[[#This Row],[ÉTAT]],VALUE(RIGHT(Table132[[#This Row],[next move]],1))+1+VALUE(LEFT(Table132[[#This Row],[next move]],1))*3,1)</f>
        <v>V</v>
      </c>
      <c r="I4007" t="str">
        <f>Table132[[#This Row],[ÉTAT]]&amp;Table132[[#This Row],[next move]]</f>
        <v>MMVVEMEEV02</v>
      </c>
    </row>
    <row r="4008" spans="2:9" x14ac:dyDescent="0.25">
      <c r="B4008" t="s">
        <v>3283</v>
      </c>
      <c r="C4008" s="22" t="s">
        <v>31</v>
      </c>
      <c r="D4008">
        <v>1</v>
      </c>
      <c r="G4008" s="30">
        <f>Table132[[#This Row],[nb win]]/Table132[[#This Row],[nb play]]</f>
        <v>0</v>
      </c>
      <c r="H4008" t="str">
        <f>MID(Table132[[#This Row],[ÉTAT]],VALUE(RIGHT(Table132[[#This Row],[next move]],1))+1+VALUE(LEFT(Table132[[#This Row],[next move]],1))*3,1)</f>
        <v>V</v>
      </c>
      <c r="I4008" t="str">
        <f>Table132[[#This Row],[ÉTAT]]&amp;Table132[[#This Row],[next move]]</f>
        <v>MMVVEEVVV22</v>
      </c>
    </row>
    <row r="4009" spans="2:9" x14ac:dyDescent="0.25">
      <c r="B4009" t="s">
        <v>1512</v>
      </c>
      <c r="C4009" s="22" t="s">
        <v>20</v>
      </c>
      <c r="D4009">
        <v>2</v>
      </c>
      <c r="E4009">
        <v>2</v>
      </c>
      <c r="G4009" s="25">
        <f>Table132[[#This Row],[nb win]]/Table132[[#This Row],[nb play]]</f>
        <v>1</v>
      </c>
      <c r="H4009" t="str">
        <f>MID(Table132[[#This Row],[ÉTAT]],VALUE(RIGHT(Table132[[#This Row],[next move]],1))+1+VALUE(LEFT(Table132[[#This Row],[next move]],1))*3,1)</f>
        <v>V</v>
      </c>
      <c r="I4009" t="str">
        <f>Table132[[#This Row],[ÉTAT]]&amp;Table132[[#This Row],[next move]]</f>
        <v>MMVVEEVME02</v>
      </c>
    </row>
    <row r="4010" spans="2:9" x14ac:dyDescent="0.25">
      <c r="B4010" t="s">
        <v>1830</v>
      </c>
      <c r="C4010" s="22" t="s">
        <v>20</v>
      </c>
      <c r="D4010">
        <v>2</v>
      </c>
      <c r="E4010">
        <v>2</v>
      </c>
      <c r="G4010" s="31">
        <f>Table132[[#This Row],[nb win]]/Table132[[#This Row],[nb play]]</f>
        <v>1</v>
      </c>
      <c r="H4010" t="str">
        <f>MID(Table132[[#This Row],[ÉTAT]],VALUE(RIGHT(Table132[[#This Row],[next move]],1))+1+VALUE(LEFT(Table132[[#This Row],[next move]],1))*3,1)</f>
        <v>V</v>
      </c>
      <c r="I4010" t="str">
        <f>Table132[[#This Row],[ÉTAT]]&amp;Table132[[#This Row],[next move]]</f>
        <v>MMVVEEVEV02</v>
      </c>
    </row>
    <row r="4011" spans="2:9" x14ac:dyDescent="0.25">
      <c r="B4011" t="s">
        <v>1830</v>
      </c>
      <c r="C4011" s="22" t="s">
        <v>30</v>
      </c>
      <c r="D4011">
        <v>2</v>
      </c>
      <c r="G4011" s="30">
        <f>Table132[[#This Row],[nb win]]/Table132[[#This Row],[nb play]]</f>
        <v>0</v>
      </c>
      <c r="H4011" t="str">
        <f>MID(Table132[[#This Row],[ÉTAT]],VALUE(RIGHT(Table132[[#This Row],[next move]],1))+1+VALUE(LEFT(Table132[[#This Row],[next move]],1))*3,1)</f>
        <v>V</v>
      </c>
      <c r="I4011" t="str">
        <f>Table132[[#This Row],[ÉTAT]]&amp;Table132[[#This Row],[next move]]</f>
        <v>MMVVEEVEV10</v>
      </c>
    </row>
    <row r="4012" spans="2:9" x14ac:dyDescent="0.25">
      <c r="B4012" t="s">
        <v>1830</v>
      </c>
      <c r="C4012" s="22" t="s">
        <v>31</v>
      </c>
      <c r="D4012">
        <v>1</v>
      </c>
      <c r="G4012" s="25">
        <f>Table132[[#This Row],[nb win]]/Table132[[#This Row],[nb play]]</f>
        <v>0</v>
      </c>
      <c r="H4012" t="str">
        <f>MID(Table132[[#This Row],[ÉTAT]],VALUE(RIGHT(Table132[[#This Row],[next move]],1))+1+VALUE(LEFT(Table132[[#This Row],[next move]],1))*3,1)</f>
        <v>V</v>
      </c>
      <c r="I4012" t="str">
        <f>Table132[[#This Row],[ÉTAT]]&amp;Table132[[#This Row],[next move]]</f>
        <v>MMVVEEVEV22</v>
      </c>
    </row>
    <row r="4013" spans="2:9" x14ac:dyDescent="0.25">
      <c r="B4013" t="s">
        <v>1480</v>
      </c>
      <c r="C4013" s="22" t="s">
        <v>35</v>
      </c>
      <c r="D4013">
        <v>1</v>
      </c>
      <c r="E4013">
        <v>1</v>
      </c>
      <c r="G4013" s="25">
        <f>Table132[[#This Row],[nb win]]/Table132[[#This Row],[nb play]]</f>
        <v>1</v>
      </c>
      <c r="H4013" t="str">
        <f>MID(Table132[[#This Row],[ÉTAT]],VALUE(RIGHT(Table132[[#This Row],[next move]],1))+1+VALUE(LEFT(Table132[[#This Row],[next move]],1))*3,1)</f>
        <v>V</v>
      </c>
      <c r="I4013" t="str">
        <f>Table132[[#This Row],[ÉTAT]]&amp;Table132[[#This Row],[next move]]</f>
        <v>MMVVEEVEM20</v>
      </c>
    </row>
    <row r="4014" spans="2:9" x14ac:dyDescent="0.25">
      <c r="B4014" t="s">
        <v>2167</v>
      </c>
      <c r="C4014" s="22" t="s">
        <v>31</v>
      </c>
      <c r="D4014">
        <v>1</v>
      </c>
      <c r="G4014" s="25">
        <f>Table132[[#This Row],[nb win]]/Table132[[#This Row],[nb play]]</f>
        <v>0</v>
      </c>
      <c r="H4014" t="str">
        <f>MID(Table132[[#This Row],[ÉTAT]],VALUE(RIGHT(Table132[[#This Row],[next move]],1))+1+VALUE(LEFT(Table132[[#This Row],[next move]],1))*3,1)</f>
        <v>V</v>
      </c>
      <c r="I4014" t="str">
        <f>Table132[[#This Row],[ÉTAT]]&amp;Table132[[#This Row],[next move]]</f>
        <v>MMVVEEMEV22</v>
      </c>
    </row>
    <row r="4015" spans="2:9" x14ac:dyDescent="0.25">
      <c r="B4015" t="s">
        <v>1763</v>
      </c>
      <c r="C4015" s="22" t="s">
        <v>20</v>
      </c>
      <c r="D4015">
        <v>1</v>
      </c>
      <c r="E4015">
        <v>1</v>
      </c>
      <c r="G4015" s="25">
        <f>Table132[[#This Row],[nb win]]/Table132[[#This Row],[nb play]]</f>
        <v>1</v>
      </c>
      <c r="H4015" t="str">
        <f>MID(Table132[[#This Row],[ÉTAT]],VALUE(RIGHT(Table132[[#This Row],[next move]],1))+1+VALUE(LEFT(Table132[[#This Row],[next move]],1))*3,1)</f>
        <v>V</v>
      </c>
      <c r="I4015" t="str">
        <f>Table132[[#This Row],[ÉTAT]]&amp;Table132[[#This Row],[next move]]</f>
        <v>MMVVEEMEE02</v>
      </c>
    </row>
    <row r="4016" spans="2:9" x14ac:dyDescent="0.25">
      <c r="B4016" t="s">
        <v>2753</v>
      </c>
      <c r="C4016" s="22" t="s">
        <v>20</v>
      </c>
      <c r="D4016">
        <v>2</v>
      </c>
      <c r="E4016">
        <v>2</v>
      </c>
      <c r="G4016" s="31">
        <f>Table132[[#This Row],[nb win]]/Table132[[#This Row],[nb play]]</f>
        <v>1</v>
      </c>
      <c r="H4016" t="str">
        <f>MID(Table132[[#This Row],[ÉTAT]],VALUE(RIGHT(Table132[[#This Row],[next move]],1))+1+VALUE(LEFT(Table132[[#This Row],[next move]],1))*3,1)</f>
        <v>V</v>
      </c>
      <c r="I4016" t="str">
        <f>Table132[[#This Row],[ÉTAT]]&amp;Table132[[#This Row],[next move]]</f>
        <v>MMVVEEEVM02</v>
      </c>
    </row>
    <row r="4017" spans="2:9" x14ac:dyDescent="0.25">
      <c r="B4017" t="s">
        <v>2753</v>
      </c>
      <c r="C4017" s="22" t="s">
        <v>30</v>
      </c>
      <c r="D4017">
        <v>1</v>
      </c>
      <c r="G4017" s="25">
        <f>Table132[[#This Row],[nb win]]/Table132[[#This Row],[nb play]]</f>
        <v>0</v>
      </c>
      <c r="H4017" t="str">
        <f>MID(Table132[[#This Row],[ÉTAT]],VALUE(RIGHT(Table132[[#This Row],[next move]],1))+1+VALUE(LEFT(Table132[[#This Row],[next move]],1))*3,1)</f>
        <v>V</v>
      </c>
      <c r="I4017" t="str">
        <f>Table132[[#This Row],[ÉTAT]]&amp;Table132[[#This Row],[next move]]</f>
        <v>MMVVEEEVM10</v>
      </c>
    </row>
    <row r="4018" spans="2:9" x14ac:dyDescent="0.25">
      <c r="B4018" t="s">
        <v>837</v>
      </c>
      <c r="C4018" s="22" t="s">
        <v>20</v>
      </c>
      <c r="D4018">
        <v>2</v>
      </c>
      <c r="E4018">
        <v>2</v>
      </c>
      <c r="G4018" s="25">
        <f>Table132[[#This Row],[nb win]]/Table132[[#This Row],[nb play]]</f>
        <v>1</v>
      </c>
      <c r="H4018" t="str">
        <f>MID(Table132[[#This Row],[ÉTAT]],VALUE(RIGHT(Table132[[#This Row],[next move]],1))+1+VALUE(LEFT(Table132[[#This Row],[next move]],1))*3,1)</f>
        <v>V</v>
      </c>
      <c r="I4018" t="str">
        <f>Table132[[#This Row],[ÉTAT]]&amp;Table132[[#This Row],[next move]]</f>
        <v>MMVVEEEMV02</v>
      </c>
    </row>
    <row r="4019" spans="2:9" x14ac:dyDescent="0.25">
      <c r="B4019" t="s">
        <v>2136</v>
      </c>
      <c r="C4019" s="22" t="s">
        <v>29</v>
      </c>
      <c r="D4019">
        <v>1</v>
      </c>
      <c r="G4019" s="25">
        <f>Table132[[#This Row],[nb win]]/Table132[[#This Row],[nb play]]</f>
        <v>0</v>
      </c>
      <c r="H4019" t="str">
        <f>MID(Table132[[#This Row],[ÉTAT]],VALUE(RIGHT(Table132[[#This Row],[next move]],1))+1+VALUE(LEFT(Table132[[#This Row],[next move]],1))*3,1)</f>
        <v>V</v>
      </c>
      <c r="I4019" t="str">
        <f>Table132[[#This Row],[ÉTAT]]&amp;Table132[[#This Row],[next move]]</f>
        <v>MMVMVEVEE11</v>
      </c>
    </row>
    <row r="4020" spans="2:9" x14ac:dyDescent="0.25">
      <c r="B4020" t="s">
        <v>3072</v>
      </c>
      <c r="C4020" s="22" t="s">
        <v>35</v>
      </c>
      <c r="D4020">
        <v>1</v>
      </c>
      <c r="E4020">
        <v>1</v>
      </c>
      <c r="G4020" s="31">
        <f>Table132[[#This Row],[nb win]]/Table132[[#This Row],[nb play]]</f>
        <v>1</v>
      </c>
      <c r="H4020" t="str">
        <f>MID(Table132[[#This Row],[ÉTAT]],VALUE(RIGHT(Table132[[#This Row],[next move]],1))+1+VALUE(LEFT(Table132[[#This Row],[next move]],1))*3,1)</f>
        <v>V</v>
      </c>
      <c r="I4020" t="str">
        <f>Table132[[#This Row],[ÉTAT]]&amp;Table132[[#This Row],[next move]]</f>
        <v>MMVMEVVEE20</v>
      </c>
    </row>
    <row r="4021" spans="2:9" x14ac:dyDescent="0.25">
      <c r="B4021" t="s">
        <v>859</v>
      </c>
      <c r="C4021" s="22" t="s">
        <v>20</v>
      </c>
      <c r="D4021">
        <v>2</v>
      </c>
      <c r="E4021">
        <v>2</v>
      </c>
      <c r="G4021" s="25">
        <f>Table132[[#This Row],[nb win]]/Table132[[#This Row],[nb play]]</f>
        <v>1</v>
      </c>
      <c r="H4021" t="str">
        <f>MID(Table132[[#This Row],[ÉTAT]],VALUE(RIGHT(Table132[[#This Row],[next move]],1))+1+VALUE(LEFT(Table132[[#This Row],[next move]],1))*3,1)</f>
        <v>V</v>
      </c>
      <c r="I4021" t="str">
        <f>Table132[[#This Row],[ÉTAT]]&amp;Table132[[#This Row],[next move]]</f>
        <v>MMVMEVEVE02</v>
      </c>
    </row>
    <row r="4022" spans="2:9" x14ac:dyDescent="0.25">
      <c r="B4022" t="s">
        <v>2927</v>
      </c>
      <c r="C4022" s="22" t="s">
        <v>31</v>
      </c>
      <c r="D4022">
        <v>1</v>
      </c>
      <c r="E4022">
        <v>1</v>
      </c>
      <c r="G4022" s="25">
        <f>Table132[[#This Row],[nb win]]/Table132[[#This Row],[nb play]]</f>
        <v>1</v>
      </c>
      <c r="H4022" t="str">
        <f>MID(Table132[[#This Row],[ÉTAT]],VALUE(RIGHT(Table132[[#This Row],[next move]],1))+1+VALUE(LEFT(Table132[[#This Row],[next move]],1))*3,1)</f>
        <v>V</v>
      </c>
      <c r="I4022" t="str">
        <f>Table132[[#This Row],[ÉTAT]]&amp;Table132[[#This Row],[next move]]</f>
        <v>MMVMEEVEV22</v>
      </c>
    </row>
    <row r="4023" spans="2:9" x14ac:dyDescent="0.25">
      <c r="B4023" t="s">
        <v>3004</v>
      </c>
      <c r="C4023" s="22" t="s">
        <v>22</v>
      </c>
      <c r="D4023">
        <v>1</v>
      </c>
      <c r="G4023" s="25">
        <f>Table132[[#This Row],[nb win]]/Table132[[#This Row],[nb play]]</f>
        <v>0</v>
      </c>
      <c r="H4023" t="str">
        <f>MID(Table132[[#This Row],[ÉTAT]],VALUE(RIGHT(Table132[[#This Row],[next move]],1))+1+VALUE(LEFT(Table132[[#This Row],[next move]],1))*3,1)</f>
        <v>V</v>
      </c>
      <c r="I4023" t="str">
        <f>Table132[[#This Row],[ÉTAT]]&amp;Table132[[#This Row],[next move]]</f>
        <v>MMVMEEEVE21</v>
      </c>
    </row>
    <row r="4024" spans="2:9" x14ac:dyDescent="0.25">
      <c r="B4024" t="s">
        <v>1600</v>
      </c>
      <c r="C4024" s="22" t="s">
        <v>20</v>
      </c>
      <c r="D4024">
        <v>1</v>
      </c>
      <c r="E4024">
        <v>1</v>
      </c>
      <c r="G4024" s="25">
        <f>Table132[[#This Row],[nb win]]/Table132[[#This Row],[nb play]]</f>
        <v>1</v>
      </c>
      <c r="H4024" t="str">
        <f>MID(Table132[[#This Row],[ÉTAT]],VALUE(RIGHT(Table132[[#This Row],[next move]],1))+1+VALUE(LEFT(Table132[[#This Row],[next move]],1))*3,1)</f>
        <v>V</v>
      </c>
      <c r="I4024" t="str">
        <f>Table132[[#This Row],[ÉTAT]]&amp;Table132[[#This Row],[next move]]</f>
        <v>MMVMEEEEM02</v>
      </c>
    </row>
    <row r="4025" spans="2:9" x14ac:dyDescent="0.25">
      <c r="B4025" t="s">
        <v>3491</v>
      </c>
      <c r="C4025" s="22" t="s">
        <v>22</v>
      </c>
      <c r="D4025">
        <v>1</v>
      </c>
      <c r="E4025">
        <v>1</v>
      </c>
      <c r="G4025" s="31">
        <f>Table132[[#This Row],[nb win]]/Table132[[#This Row],[nb play]]</f>
        <v>1</v>
      </c>
      <c r="H4025" t="str">
        <f>MID(Table132[[#This Row],[ÉTAT]],VALUE(RIGHT(Table132[[#This Row],[next move]],1))+1+VALUE(LEFT(Table132[[#This Row],[next move]],1))*3,1)</f>
        <v>V</v>
      </c>
      <c r="I4025" t="str">
        <f>Table132[[#This Row],[ÉTAT]]&amp;Table132[[#This Row],[next move]]</f>
        <v>MMVEVVVVE21</v>
      </c>
    </row>
    <row r="4026" spans="2:9" x14ac:dyDescent="0.25">
      <c r="B4026" t="s">
        <v>1268</v>
      </c>
      <c r="C4026" s="22" t="s">
        <v>35</v>
      </c>
      <c r="D4026">
        <v>1</v>
      </c>
      <c r="E4026">
        <v>1</v>
      </c>
      <c r="G4026" s="25">
        <f>Table132[[#This Row],[nb win]]/Table132[[#This Row],[nb play]]</f>
        <v>1</v>
      </c>
      <c r="H4026" t="str">
        <f>MID(Table132[[#This Row],[ÉTAT]],VALUE(RIGHT(Table132[[#This Row],[next move]],1))+1+VALUE(LEFT(Table132[[#This Row],[next move]],1))*3,1)</f>
        <v>V</v>
      </c>
      <c r="I4026" t="str">
        <f>Table132[[#This Row],[ÉTAT]]&amp;Table132[[#This Row],[next move]]</f>
        <v>MMVEVVVEV20</v>
      </c>
    </row>
    <row r="4027" spans="2:9" x14ac:dyDescent="0.25">
      <c r="B4027" t="s">
        <v>3350</v>
      </c>
      <c r="C4027" s="22" t="s">
        <v>28</v>
      </c>
      <c r="D4027">
        <v>1</v>
      </c>
      <c r="G4027" s="30">
        <f>Table132[[#This Row],[nb win]]/Table132[[#This Row],[nb play]]</f>
        <v>0</v>
      </c>
      <c r="H4027" t="str">
        <f>MID(Table132[[#This Row],[ÉTAT]],VALUE(RIGHT(Table132[[#This Row],[next move]],1))+1+VALUE(LEFT(Table132[[#This Row],[next move]],1))*3,1)</f>
        <v>V</v>
      </c>
      <c r="I4027" t="str">
        <f>Table132[[#This Row],[ÉTAT]]&amp;Table132[[#This Row],[next move]]</f>
        <v>MMVEVVVEE12</v>
      </c>
    </row>
    <row r="4028" spans="2:9" x14ac:dyDescent="0.25">
      <c r="B4028" t="s">
        <v>1270</v>
      </c>
      <c r="C4028" s="22" t="s">
        <v>29</v>
      </c>
      <c r="D4028">
        <v>1</v>
      </c>
      <c r="E4028">
        <v>1</v>
      </c>
      <c r="G4028" s="25">
        <f>Table132[[#This Row],[nb win]]/Table132[[#This Row],[nb play]]</f>
        <v>1</v>
      </c>
      <c r="H4028" t="str">
        <f>MID(Table132[[#This Row],[ÉTAT]],VALUE(RIGHT(Table132[[#This Row],[next move]],1))+1+VALUE(LEFT(Table132[[#This Row],[next move]],1))*3,1)</f>
        <v>V</v>
      </c>
      <c r="I4028" t="str">
        <f>Table132[[#This Row],[ÉTAT]]&amp;Table132[[#This Row],[next move]]</f>
        <v>MMVEVVMEE11</v>
      </c>
    </row>
    <row r="4029" spans="2:9" x14ac:dyDescent="0.25">
      <c r="B4029" t="s">
        <v>785</v>
      </c>
      <c r="C4029" s="22" t="s">
        <v>29</v>
      </c>
      <c r="D4029">
        <v>5</v>
      </c>
      <c r="E4029">
        <v>3</v>
      </c>
      <c r="G4029" s="31">
        <f>Table132[[#This Row],[nb win]]/Table132[[#This Row],[nb play]]</f>
        <v>0.6</v>
      </c>
      <c r="H4029" t="str">
        <f>MID(Table132[[#This Row],[ÉTAT]],VALUE(RIGHT(Table132[[#This Row],[next move]],1))+1+VALUE(LEFT(Table132[[#This Row],[next move]],1))*3,1)</f>
        <v>V</v>
      </c>
      <c r="I4029" t="str">
        <f>Table132[[#This Row],[ÉTAT]]&amp;Table132[[#This Row],[next move]]</f>
        <v>MMVEVVEVV11</v>
      </c>
    </row>
    <row r="4030" spans="2:9" x14ac:dyDescent="0.25">
      <c r="B4030" t="s">
        <v>785</v>
      </c>
      <c r="C4030" s="22" t="s">
        <v>22</v>
      </c>
      <c r="D4030">
        <v>3</v>
      </c>
      <c r="E4030">
        <v>3</v>
      </c>
      <c r="G4030" s="31">
        <f>Table132[[#This Row],[nb win]]/Table132[[#This Row],[nb play]]</f>
        <v>1</v>
      </c>
      <c r="H4030" t="str">
        <f>MID(Table132[[#This Row],[ÉTAT]],VALUE(RIGHT(Table132[[#This Row],[next move]],1))+1+VALUE(LEFT(Table132[[#This Row],[next move]],1))*3,1)</f>
        <v>V</v>
      </c>
      <c r="I4030" t="str">
        <f>Table132[[#This Row],[ÉTAT]]&amp;Table132[[#This Row],[next move]]</f>
        <v>MMVEVVEVV21</v>
      </c>
    </row>
    <row r="4031" spans="2:9" x14ac:dyDescent="0.25">
      <c r="B4031" t="s">
        <v>2784</v>
      </c>
      <c r="C4031" s="22" t="s">
        <v>20</v>
      </c>
      <c r="D4031">
        <v>5</v>
      </c>
      <c r="E4031">
        <v>5</v>
      </c>
      <c r="G4031" s="31">
        <f>Table132[[#This Row],[nb win]]/Table132[[#This Row],[nb play]]</f>
        <v>1</v>
      </c>
      <c r="H4031" t="str">
        <f>MID(Table132[[#This Row],[ÉTAT]],VALUE(RIGHT(Table132[[#This Row],[next move]],1))+1+VALUE(LEFT(Table132[[#This Row],[next move]],1))*3,1)</f>
        <v>V</v>
      </c>
      <c r="I4031" t="str">
        <f>Table132[[#This Row],[ÉTAT]]&amp;Table132[[#This Row],[next move]]</f>
        <v>MMVEVVEVE02</v>
      </c>
    </row>
    <row r="4032" spans="2:9" x14ac:dyDescent="0.25">
      <c r="B4032" t="s">
        <v>1059</v>
      </c>
      <c r="C4032" s="22" t="s">
        <v>29</v>
      </c>
      <c r="D4032">
        <v>5</v>
      </c>
      <c r="E4032">
        <v>5</v>
      </c>
      <c r="G4032" s="31">
        <f>Table132[[#This Row],[nb win]]/Table132[[#This Row],[nb play]]</f>
        <v>1</v>
      </c>
      <c r="H4032" t="str">
        <f>MID(Table132[[#This Row],[ÉTAT]],VALUE(RIGHT(Table132[[#This Row],[next move]],1))+1+VALUE(LEFT(Table132[[#This Row],[next move]],1))*3,1)</f>
        <v>V</v>
      </c>
      <c r="I4032" t="str">
        <f>Table132[[#This Row],[ÉTAT]]&amp;Table132[[#This Row],[next move]]</f>
        <v>MMVEVVEME11</v>
      </c>
    </row>
    <row r="4033" spans="2:9" x14ac:dyDescent="0.25">
      <c r="B4033" t="s">
        <v>1035</v>
      </c>
      <c r="C4033" s="22" t="s">
        <v>20</v>
      </c>
      <c r="D4033">
        <v>1</v>
      </c>
      <c r="E4033">
        <v>1</v>
      </c>
      <c r="G4033" s="25">
        <f>Table132[[#This Row],[nb win]]/Table132[[#This Row],[nb play]]</f>
        <v>1</v>
      </c>
      <c r="H4033" t="str">
        <f>MID(Table132[[#This Row],[ÉTAT]],VALUE(RIGHT(Table132[[#This Row],[next move]],1))+1+VALUE(LEFT(Table132[[#This Row],[next move]],1))*3,1)</f>
        <v>V</v>
      </c>
      <c r="I4033" t="str">
        <f>Table132[[#This Row],[ÉTAT]]&amp;Table132[[#This Row],[next move]]</f>
        <v>MMVEVVEEV02</v>
      </c>
    </row>
    <row r="4034" spans="2:9" x14ac:dyDescent="0.25">
      <c r="B4034" t="s">
        <v>1035</v>
      </c>
      <c r="C4034" s="22" t="s">
        <v>31</v>
      </c>
      <c r="D4034">
        <v>3</v>
      </c>
      <c r="E4034">
        <v>2</v>
      </c>
      <c r="G4034" s="31">
        <f>Table132[[#This Row],[nb win]]/Table132[[#This Row],[nb play]]</f>
        <v>0.66666666666666663</v>
      </c>
      <c r="H4034" t="str">
        <f>MID(Table132[[#This Row],[ÉTAT]],VALUE(RIGHT(Table132[[#This Row],[next move]],1))+1+VALUE(LEFT(Table132[[#This Row],[next move]],1))*3,1)</f>
        <v>V</v>
      </c>
      <c r="I4034" t="str">
        <f>Table132[[#This Row],[ÉTAT]]&amp;Table132[[#This Row],[next move]]</f>
        <v>MMVEVVEEV22</v>
      </c>
    </row>
    <row r="4035" spans="2:9" x14ac:dyDescent="0.25">
      <c r="B4035" t="s">
        <v>2492</v>
      </c>
      <c r="C4035" s="22" t="s">
        <v>20</v>
      </c>
      <c r="D4035">
        <v>2</v>
      </c>
      <c r="E4035">
        <v>2</v>
      </c>
      <c r="G4035" s="31">
        <f>Table132[[#This Row],[nb win]]/Table132[[#This Row],[nb play]]</f>
        <v>1</v>
      </c>
      <c r="H4035" t="str">
        <f>MID(Table132[[#This Row],[ÉTAT]],VALUE(RIGHT(Table132[[#This Row],[next move]],1))+1+VALUE(LEFT(Table132[[#This Row],[next move]],1))*3,1)</f>
        <v>V</v>
      </c>
      <c r="I4035" t="str">
        <f>Table132[[#This Row],[ÉTAT]]&amp;Table132[[#This Row],[next move]]</f>
        <v>MMVEVMEVE02</v>
      </c>
    </row>
    <row r="4036" spans="2:9" x14ac:dyDescent="0.25">
      <c r="B4036" t="s">
        <v>1171</v>
      </c>
      <c r="C4036" s="22" t="s">
        <v>31</v>
      </c>
      <c r="D4036">
        <v>2</v>
      </c>
      <c r="E4036">
        <v>2</v>
      </c>
      <c r="G4036" s="31">
        <f>Table132[[#This Row],[nb win]]/Table132[[#This Row],[nb play]]</f>
        <v>1</v>
      </c>
      <c r="H4036" t="str">
        <f>MID(Table132[[#This Row],[ÉTAT]],VALUE(RIGHT(Table132[[#This Row],[next move]],1))+1+VALUE(LEFT(Table132[[#This Row],[next move]],1))*3,1)</f>
        <v>V</v>
      </c>
      <c r="I4036" t="str">
        <f>Table132[[#This Row],[ÉTAT]]&amp;Table132[[#This Row],[next move]]</f>
        <v>MMVEVMEEV22</v>
      </c>
    </row>
    <row r="4037" spans="2:9" x14ac:dyDescent="0.25">
      <c r="B4037" t="s">
        <v>3120</v>
      </c>
      <c r="C4037" s="22" t="s">
        <v>20</v>
      </c>
      <c r="D4037">
        <v>2</v>
      </c>
      <c r="E4037">
        <v>2</v>
      </c>
      <c r="G4037" s="31">
        <f>Table132[[#This Row],[nb win]]/Table132[[#This Row],[nb play]]</f>
        <v>1</v>
      </c>
      <c r="H4037" t="str">
        <f>MID(Table132[[#This Row],[ÉTAT]],VALUE(RIGHT(Table132[[#This Row],[next move]],1))+1+VALUE(LEFT(Table132[[#This Row],[next move]],1))*3,1)</f>
        <v>V</v>
      </c>
      <c r="I4037" t="str">
        <f>Table132[[#This Row],[ÉTAT]]&amp;Table132[[#This Row],[next move]]</f>
        <v>MMVEVEVVV02</v>
      </c>
    </row>
    <row r="4038" spans="2:9" x14ac:dyDescent="0.25">
      <c r="B4038" t="s">
        <v>1104</v>
      </c>
      <c r="C4038" s="22" t="s">
        <v>35</v>
      </c>
      <c r="D4038">
        <v>1</v>
      </c>
      <c r="E4038">
        <v>1</v>
      </c>
      <c r="G4038" s="31">
        <f>Table132[[#This Row],[nb win]]/Table132[[#This Row],[nb play]]</f>
        <v>1</v>
      </c>
      <c r="H4038" t="str">
        <f>MID(Table132[[#This Row],[ÉTAT]],VALUE(RIGHT(Table132[[#This Row],[next move]],1))+1+VALUE(LEFT(Table132[[#This Row],[next move]],1))*3,1)</f>
        <v>V</v>
      </c>
      <c r="I4038" t="str">
        <f>Table132[[#This Row],[ÉTAT]]&amp;Table132[[#This Row],[next move]]</f>
        <v>MMVEVEVVE20</v>
      </c>
    </row>
    <row r="4039" spans="2:9" x14ac:dyDescent="0.25">
      <c r="B4039" t="s">
        <v>1104</v>
      </c>
      <c r="C4039" s="22" t="s">
        <v>22</v>
      </c>
      <c r="D4039">
        <v>1</v>
      </c>
      <c r="G4039" s="25">
        <f>Table132[[#This Row],[nb win]]/Table132[[#This Row],[nb play]]</f>
        <v>0</v>
      </c>
      <c r="H4039" t="str">
        <f>MID(Table132[[#This Row],[ÉTAT]],VALUE(RIGHT(Table132[[#This Row],[next move]],1))+1+VALUE(LEFT(Table132[[#This Row],[next move]],1))*3,1)</f>
        <v>V</v>
      </c>
      <c r="I4039" t="str">
        <f>Table132[[#This Row],[ÉTAT]]&amp;Table132[[#This Row],[next move]]</f>
        <v>MMVEVEVVE21</v>
      </c>
    </row>
    <row r="4040" spans="2:9" x14ac:dyDescent="0.25">
      <c r="B4040" t="s">
        <v>3394</v>
      </c>
      <c r="C4040" s="22" t="s">
        <v>31</v>
      </c>
      <c r="D4040">
        <v>1</v>
      </c>
      <c r="E4040">
        <v>1</v>
      </c>
      <c r="G4040" s="31">
        <f>Table132[[#This Row],[nb win]]/Table132[[#This Row],[nb play]]</f>
        <v>1</v>
      </c>
      <c r="H4040" t="str">
        <f>MID(Table132[[#This Row],[ÉTAT]],VALUE(RIGHT(Table132[[#This Row],[next move]],1))+1+VALUE(LEFT(Table132[[#This Row],[next move]],1))*3,1)</f>
        <v>V</v>
      </c>
      <c r="I4040" t="str">
        <f>Table132[[#This Row],[ÉTAT]]&amp;Table132[[#This Row],[next move]]</f>
        <v>MMVEVEVEV22</v>
      </c>
    </row>
    <row r="4041" spans="2:9" x14ac:dyDescent="0.25">
      <c r="B4041" t="s">
        <v>634</v>
      </c>
      <c r="C4041" s="22" t="s">
        <v>20</v>
      </c>
      <c r="D4041">
        <v>2</v>
      </c>
      <c r="E4041">
        <v>2</v>
      </c>
      <c r="G4041" s="31">
        <f>Table132[[#This Row],[nb win]]/Table132[[#This Row],[nb play]]</f>
        <v>1</v>
      </c>
      <c r="H4041" t="str">
        <f>MID(Table132[[#This Row],[ÉTAT]],VALUE(RIGHT(Table132[[#This Row],[next move]],1))+1+VALUE(LEFT(Table132[[#This Row],[next move]],1))*3,1)</f>
        <v>V</v>
      </c>
      <c r="I4041" t="str">
        <f>Table132[[#This Row],[ÉTAT]]&amp;Table132[[#This Row],[next move]]</f>
        <v>MMVEVEVEM02</v>
      </c>
    </row>
    <row r="4042" spans="2:9" x14ac:dyDescent="0.25">
      <c r="B4042" t="s">
        <v>973</v>
      </c>
      <c r="C4042" s="22" t="s">
        <v>20</v>
      </c>
      <c r="D4042">
        <v>2</v>
      </c>
      <c r="E4042">
        <v>2</v>
      </c>
      <c r="G4042" s="31">
        <f>Table132[[#This Row],[nb win]]/Table132[[#This Row],[nb play]]</f>
        <v>1</v>
      </c>
      <c r="H4042" t="str">
        <f>MID(Table132[[#This Row],[ÉTAT]],VALUE(RIGHT(Table132[[#This Row],[next move]],1))+1+VALUE(LEFT(Table132[[#This Row],[next move]],1))*3,1)</f>
        <v>V</v>
      </c>
      <c r="I4042" t="str">
        <f>Table132[[#This Row],[ÉTAT]]&amp;Table132[[#This Row],[next move]]</f>
        <v>MMVEVEMVE02</v>
      </c>
    </row>
    <row r="4043" spans="2:9" x14ac:dyDescent="0.25">
      <c r="B4043" t="s">
        <v>973</v>
      </c>
      <c r="C4043" s="22" t="s">
        <v>29</v>
      </c>
      <c r="D4043">
        <v>1</v>
      </c>
      <c r="G4043" s="25">
        <f>Table132[[#This Row],[nb win]]/Table132[[#This Row],[nb play]]</f>
        <v>0</v>
      </c>
      <c r="H4043" t="str">
        <f>MID(Table132[[#This Row],[ÉTAT]],VALUE(RIGHT(Table132[[#This Row],[next move]],1))+1+VALUE(LEFT(Table132[[#This Row],[next move]],1))*3,1)</f>
        <v>V</v>
      </c>
      <c r="I4043" t="str">
        <f>Table132[[#This Row],[ÉTAT]]&amp;Table132[[#This Row],[next move]]</f>
        <v>MMVEVEMVE11</v>
      </c>
    </row>
    <row r="4044" spans="2:9" x14ac:dyDescent="0.25">
      <c r="B4044" t="s">
        <v>973</v>
      </c>
      <c r="C4044" s="22" t="s">
        <v>22</v>
      </c>
      <c r="D4044">
        <v>1</v>
      </c>
      <c r="G4044" s="25">
        <f>Table132[[#This Row],[nb win]]/Table132[[#This Row],[nb play]]</f>
        <v>0</v>
      </c>
      <c r="H4044" t="str">
        <f>MID(Table132[[#This Row],[ÉTAT]],VALUE(RIGHT(Table132[[#This Row],[next move]],1))+1+VALUE(LEFT(Table132[[#This Row],[next move]],1))*3,1)</f>
        <v>V</v>
      </c>
      <c r="I4044" t="str">
        <f>Table132[[#This Row],[ÉTAT]]&amp;Table132[[#This Row],[next move]]</f>
        <v>MMVEVEMVE21</v>
      </c>
    </row>
    <row r="4045" spans="2:9" x14ac:dyDescent="0.25">
      <c r="B4045" t="s">
        <v>3197</v>
      </c>
      <c r="C4045" s="22" t="s">
        <v>29</v>
      </c>
      <c r="D4045">
        <v>2</v>
      </c>
      <c r="E4045">
        <v>2</v>
      </c>
      <c r="G4045" s="31">
        <f>Table132[[#This Row],[nb win]]/Table132[[#This Row],[nb play]]</f>
        <v>1</v>
      </c>
      <c r="H4045" t="str">
        <f>MID(Table132[[#This Row],[ÉTAT]],VALUE(RIGHT(Table132[[#This Row],[next move]],1))+1+VALUE(LEFT(Table132[[#This Row],[next move]],1))*3,1)</f>
        <v>V</v>
      </c>
      <c r="I4045" t="str">
        <f>Table132[[#This Row],[ÉTAT]]&amp;Table132[[#This Row],[next move]]</f>
        <v>MMVEVEMEV11</v>
      </c>
    </row>
    <row r="4046" spans="2:9" x14ac:dyDescent="0.25">
      <c r="B4046" t="s">
        <v>3001</v>
      </c>
      <c r="C4046" s="22" t="s">
        <v>20</v>
      </c>
      <c r="D4046">
        <v>2</v>
      </c>
      <c r="E4046">
        <v>2</v>
      </c>
      <c r="G4046" s="31">
        <f>Table132[[#This Row],[nb win]]/Table132[[#This Row],[nb play]]</f>
        <v>1</v>
      </c>
      <c r="H4046" t="str">
        <f>MID(Table132[[#This Row],[ÉTAT]],VALUE(RIGHT(Table132[[#This Row],[next move]],1))+1+VALUE(LEFT(Table132[[#This Row],[next move]],1))*3,1)</f>
        <v>V</v>
      </c>
      <c r="I4046" t="str">
        <f>Table132[[#This Row],[ÉTAT]]&amp;Table132[[#This Row],[next move]]</f>
        <v>MMVEVEMEE02</v>
      </c>
    </row>
    <row r="4047" spans="2:9" x14ac:dyDescent="0.25">
      <c r="B4047" t="s">
        <v>1113</v>
      </c>
      <c r="C4047" s="22" t="s">
        <v>29</v>
      </c>
      <c r="D4047">
        <v>4</v>
      </c>
      <c r="E4047">
        <v>4</v>
      </c>
      <c r="G4047" s="31">
        <f>Table132[[#This Row],[nb win]]/Table132[[#This Row],[nb play]]</f>
        <v>1</v>
      </c>
      <c r="H4047" t="str">
        <f>MID(Table132[[#This Row],[ÉTAT]],VALUE(RIGHT(Table132[[#This Row],[next move]],1))+1+VALUE(LEFT(Table132[[#This Row],[next move]],1))*3,1)</f>
        <v>V</v>
      </c>
      <c r="I4047" t="str">
        <f>Table132[[#This Row],[ÉTAT]]&amp;Table132[[#This Row],[next move]]</f>
        <v>MMVEVEEVV11</v>
      </c>
    </row>
    <row r="4048" spans="2:9" x14ac:dyDescent="0.25">
      <c r="B4048" t="s">
        <v>3254</v>
      </c>
      <c r="C4048" s="22" t="s">
        <v>20</v>
      </c>
      <c r="D4048">
        <v>1</v>
      </c>
      <c r="E4048">
        <v>1</v>
      </c>
      <c r="G4048" s="31">
        <f>Table132[[#This Row],[nb win]]/Table132[[#This Row],[nb play]]</f>
        <v>1</v>
      </c>
      <c r="H4048" t="str">
        <f>MID(Table132[[#This Row],[ÉTAT]],VALUE(RIGHT(Table132[[#This Row],[next move]],1))+1+VALUE(LEFT(Table132[[#This Row],[next move]],1))*3,1)</f>
        <v>V</v>
      </c>
      <c r="I4048" t="str">
        <f>Table132[[#This Row],[ÉTAT]]&amp;Table132[[#This Row],[next move]]</f>
        <v>MMVEVEEVM02</v>
      </c>
    </row>
    <row r="4049" spans="2:9" x14ac:dyDescent="0.25">
      <c r="B4049" t="s">
        <v>3471</v>
      </c>
      <c r="C4049" s="22" t="s">
        <v>29</v>
      </c>
      <c r="D4049">
        <v>1</v>
      </c>
      <c r="E4049">
        <v>1</v>
      </c>
      <c r="G4049" s="31">
        <f>Table132[[#This Row],[nb win]]/Table132[[#This Row],[nb play]]</f>
        <v>1</v>
      </c>
      <c r="H4049" t="str">
        <f>MID(Table132[[#This Row],[ÉTAT]],VALUE(RIGHT(Table132[[#This Row],[next move]],1))+1+VALUE(LEFT(Table132[[#This Row],[next move]],1))*3,1)</f>
        <v>V</v>
      </c>
      <c r="I4049" t="str">
        <f>Table132[[#This Row],[ÉTAT]]&amp;Table132[[#This Row],[next move]]</f>
        <v>MMVEVEEMV11</v>
      </c>
    </row>
    <row r="4050" spans="2:9" x14ac:dyDescent="0.25">
      <c r="B4050" t="s">
        <v>3056</v>
      </c>
      <c r="C4050" s="22" t="s">
        <v>20</v>
      </c>
      <c r="D4050">
        <v>1</v>
      </c>
      <c r="E4050">
        <v>1</v>
      </c>
      <c r="G4050" s="31">
        <f>Table132[[#This Row],[nb win]]/Table132[[#This Row],[nb play]]</f>
        <v>1</v>
      </c>
      <c r="H4050" t="str">
        <f>MID(Table132[[#This Row],[ÉTAT]],VALUE(RIGHT(Table132[[#This Row],[next move]],1))+1+VALUE(LEFT(Table132[[#This Row],[next move]],1))*3,1)</f>
        <v>V</v>
      </c>
      <c r="I4050" t="str">
        <f>Table132[[#This Row],[ÉTAT]]&amp;Table132[[#This Row],[next move]]</f>
        <v>MMVEVEEME02</v>
      </c>
    </row>
    <row r="4051" spans="2:9" x14ac:dyDescent="0.25">
      <c r="B4051" t="s">
        <v>3233</v>
      </c>
      <c r="C4051" s="22" t="s">
        <v>20</v>
      </c>
      <c r="D4051">
        <v>2</v>
      </c>
      <c r="E4051">
        <v>2</v>
      </c>
      <c r="G4051" s="31">
        <f>Table132[[#This Row],[nb win]]/Table132[[#This Row],[nb play]]</f>
        <v>1</v>
      </c>
      <c r="H4051" t="str">
        <f>MID(Table132[[#This Row],[ÉTAT]],VALUE(RIGHT(Table132[[#This Row],[next move]],1))+1+VALUE(LEFT(Table132[[#This Row],[next move]],1))*3,1)</f>
        <v>V</v>
      </c>
      <c r="I4051" t="str">
        <f>Table132[[#This Row],[ÉTAT]]&amp;Table132[[#This Row],[next move]]</f>
        <v>MMVEVEEEM02</v>
      </c>
    </row>
    <row r="4052" spans="2:9" x14ac:dyDescent="0.25">
      <c r="B4052" t="s">
        <v>787</v>
      </c>
      <c r="C4052" s="22" t="s">
        <v>28</v>
      </c>
      <c r="D4052">
        <v>3</v>
      </c>
      <c r="G4052" s="30">
        <f>Table132[[#This Row],[nb win]]/Table132[[#This Row],[nb play]]</f>
        <v>0</v>
      </c>
      <c r="H4052" t="str">
        <f>MID(Table132[[#This Row],[ÉTAT]],VALUE(RIGHT(Table132[[#This Row],[next move]],1))+1+VALUE(LEFT(Table132[[#This Row],[next move]],1))*3,1)</f>
        <v>V</v>
      </c>
      <c r="I4052" t="str">
        <f>Table132[[#This Row],[ÉTAT]]&amp;Table132[[#This Row],[next move]]</f>
        <v>MMVEMVEVE12</v>
      </c>
    </row>
    <row r="4053" spans="2:9" x14ac:dyDescent="0.25">
      <c r="B4053" t="s">
        <v>787</v>
      </c>
      <c r="C4053" s="22" t="s">
        <v>22</v>
      </c>
      <c r="D4053">
        <v>1</v>
      </c>
      <c r="E4053">
        <v>1</v>
      </c>
      <c r="G4053" s="25">
        <f>Table132[[#This Row],[nb win]]/Table132[[#This Row],[nb play]]</f>
        <v>1</v>
      </c>
      <c r="H4053" t="str">
        <f>MID(Table132[[#This Row],[ÉTAT]],VALUE(RIGHT(Table132[[#This Row],[next move]],1))+1+VALUE(LEFT(Table132[[#This Row],[next move]],1))*3,1)</f>
        <v>V</v>
      </c>
      <c r="I4053" t="str">
        <f>Table132[[#This Row],[ÉTAT]]&amp;Table132[[#This Row],[next move]]</f>
        <v>MMVEMVEVE21</v>
      </c>
    </row>
    <row r="4054" spans="2:9" x14ac:dyDescent="0.25">
      <c r="B4054" t="s">
        <v>1441</v>
      </c>
      <c r="C4054" s="22" t="s">
        <v>31</v>
      </c>
      <c r="D4054">
        <v>3</v>
      </c>
      <c r="E4054">
        <v>3</v>
      </c>
      <c r="G4054" s="31">
        <f>Table132[[#This Row],[nb win]]/Table132[[#This Row],[nb play]]</f>
        <v>1</v>
      </c>
      <c r="H4054" t="str">
        <f>MID(Table132[[#This Row],[ÉTAT]],VALUE(RIGHT(Table132[[#This Row],[next move]],1))+1+VALUE(LEFT(Table132[[#This Row],[next move]],1))*3,1)</f>
        <v>V</v>
      </c>
      <c r="I4054" t="str">
        <f>Table132[[#This Row],[ÉTAT]]&amp;Table132[[#This Row],[next move]]</f>
        <v>MMVEMVEEV22</v>
      </c>
    </row>
    <row r="4055" spans="2:9" x14ac:dyDescent="0.25">
      <c r="B4055" t="s">
        <v>1102</v>
      </c>
      <c r="C4055" s="22" t="s">
        <v>20</v>
      </c>
      <c r="D4055">
        <v>1</v>
      </c>
      <c r="E4055">
        <v>1</v>
      </c>
      <c r="G4055" s="25">
        <f>Table132[[#This Row],[nb win]]/Table132[[#This Row],[nb play]]</f>
        <v>1</v>
      </c>
      <c r="H4055" t="str">
        <f>MID(Table132[[#This Row],[ÉTAT]],VALUE(RIGHT(Table132[[#This Row],[next move]],1))+1+VALUE(LEFT(Table132[[#This Row],[next move]],1))*3,1)</f>
        <v>V</v>
      </c>
      <c r="I4055" t="str">
        <f>Table132[[#This Row],[ÉTAT]]&amp;Table132[[#This Row],[next move]]</f>
        <v>MMVEMEVVE02</v>
      </c>
    </row>
    <row r="4056" spans="2:9" x14ac:dyDescent="0.25">
      <c r="B4056" t="s">
        <v>2162</v>
      </c>
      <c r="C4056" s="22" t="s">
        <v>31</v>
      </c>
      <c r="D4056">
        <v>1</v>
      </c>
      <c r="E4056">
        <v>1</v>
      </c>
      <c r="G4056" s="25">
        <f>Table132[[#This Row],[nb win]]/Table132[[#This Row],[nb play]]</f>
        <v>1</v>
      </c>
      <c r="H4056" t="str">
        <f>MID(Table132[[#This Row],[ÉTAT]],VALUE(RIGHT(Table132[[#This Row],[next move]],1))+1+VALUE(LEFT(Table132[[#This Row],[next move]],1))*3,1)</f>
        <v>V</v>
      </c>
      <c r="I4056" t="str">
        <f>Table132[[#This Row],[ÉTAT]]&amp;Table132[[#This Row],[next move]]</f>
        <v>MMVEMEVEV22</v>
      </c>
    </row>
    <row r="4057" spans="2:9" x14ac:dyDescent="0.25">
      <c r="B4057" t="s">
        <v>1272</v>
      </c>
      <c r="C4057" s="22" t="s">
        <v>20</v>
      </c>
      <c r="D4057">
        <v>3</v>
      </c>
      <c r="E4057">
        <v>3</v>
      </c>
      <c r="G4057" s="31">
        <f>Table132[[#This Row],[nb win]]/Table132[[#This Row],[nb play]]</f>
        <v>1</v>
      </c>
      <c r="H4057" t="str">
        <f>MID(Table132[[#This Row],[ÉTAT]],VALUE(RIGHT(Table132[[#This Row],[next move]],1))+1+VALUE(LEFT(Table132[[#This Row],[next move]],1))*3,1)</f>
        <v>V</v>
      </c>
      <c r="I4057" t="str">
        <f>Table132[[#This Row],[ÉTAT]]&amp;Table132[[#This Row],[next move]]</f>
        <v>MMVEMEMEE02</v>
      </c>
    </row>
    <row r="4058" spans="2:9" x14ac:dyDescent="0.25">
      <c r="B4058" t="s">
        <v>2137</v>
      </c>
      <c r="C4058" s="22" t="s">
        <v>22</v>
      </c>
      <c r="D4058">
        <v>6</v>
      </c>
      <c r="E4058">
        <v>6</v>
      </c>
      <c r="G4058" s="31">
        <f>Table132[[#This Row],[nb win]]/Table132[[#This Row],[nb play]]</f>
        <v>1</v>
      </c>
      <c r="H4058" t="str">
        <f>MID(Table132[[#This Row],[ÉTAT]],VALUE(RIGHT(Table132[[#This Row],[next move]],1))+1+VALUE(LEFT(Table132[[#This Row],[next move]],1))*3,1)</f>
        <v>V</v>
      </c>
      <c r="I4058" t="str">
        <f>Table132[[#This Row],[ÉTAT]]&amp;Table132[[#This Row],[next move]]</f>
        <v>MMVEMEEVV21</v>
      </c>
    </row>
    <row r="4059" spans="2:9" x14ac:dyDescent="0.25">
      <c r="B4059" t="s">
        <v>2445</v>
      </c>
      <c r="C4059" s="22" t="s">
        <v>20</v>
      </c>
      <c r="D4059">
        <v>2</v>
      </c>
      <c r="E4059">
        <v>2</v>
      </c>
      <c r="G4059" s="31">
        <f>Table132[[#This Row],[nb win]]/Table132[[#This Row],[nb play]]</f>
        <v>1</v>
      </c>
      <c r="H4059" t="str">
        <f>MID(Table132[[#This Row],[ÉTAT]],VALUE(RIGHT(Table132[[#This Row],[next move]],1))+1+VALUE(LEFT(Table132[[#This Row],[next move]],1))*3,1)</f>
        <v>V</v>
      </c>
      <c r="I4059" t="str">
        <f>Table132[[#This Row],[ÉTAT]]&amp;Table132[[#This Row],[next move]]</f>
        <v>MMVEMEEVE02</v>
      </c>
    </row>
    <row r="4060" spans="2:9" x14ac:dyDescent="0.25">
      <c r="B4060" t="s">
        <v>3273</v>
      </c>
      <c r="C4060" s="22" t="s">
        <v>20</v>
      </c>
      <c r="D4060">
        <v>3</v>
      </c>
      <c r="E4060">
        <v>3</v>
      </c>
      <c r="G4060" s="31">
        <f>Table132[[#This Row],[nb win]]/Table132[[#This Row],[nb play]]</f>
        <v>1</v>
      </c>
      <c r="H4060" t="str">
        <f>MID(Table132[[#This Row],[ÉTAT]],VALUE(RIGHT(Table132[[#This Row],[next move]],1))+1+VALUE(LEFT(Table132[[#This Row],[next move]],1))*3,1)</f>
        <v>V</v>
      </c>
      <c r="I4060" t="str">
        <f>Table132[[#This Row],[ÉTAT]]&amp;Table132[[#This Row],[next move]]</f>
        <v>MMVEMEEEV02</v>
      </c>
    </row>
    <row r="4061" spans="2:9" x14ac:dyDescent="0.25">
      <c r="B4061" t="s">
        <v>3220</v>
      </c>
      <c r="C4061" s="22" t="s">
        <v>31</v>
      </c>
      <c r="D4061">
        <v>2</v>
      </c>
      <c r="E4061">
        <v>1</v>
      </c>
      <c r="G4061" s="30">
        <f>Table132[[#This Row],[nb win]]/Table132[[#This Row],[nb play]]</f>
        <v>0.5</v>
      </c>
      <c r="H4061" t="str">
        <f>MID(Table132[[#This Row],[ÉTAT]],VALUE(RIGHT(Table132[[#This Row],[next move]],1))+1+VALUE(LEFT(Table132[[#This Row],[next move]],1))*3,1)</f>
        <v>V</v>
      </c>
      <c r="I4061" t="str">
        <f>Table132[[#This Row],[ÉTAT]]&amp;Table132[[#This Row],[next move]]</f>
        <v>MMVEEVVVV22</v>
      </c>
    </row>
    <row r="4062" spans="2:9" x14ac:dyDescent="0.25">
      <c r="B4062" t="s">
        <v>918</v>
      </c>
      <c r="C4062" s="22" t="s">
        <v>28</v>
      </c>
      <c r="D4062">
        <v>1</v>
      </c>
      <c r="E4062">
        <v>1</v>
      </c>
      <c r="G4062" s="25">
        <f>Table132[[#This Row],[nb win]]/Table132[[#This Row],[nb play]]</f>
        <v>1</v>
      </c>
      <c r="H4062" t="str">
        <f>MID(Table132[[#This Row],[ÉTAT]],VALUE(RIGHT(Table132[[#This Row],[next move]],1))+1+VALUE(LEFT(Table132[[#This Row],[next move]],1))*3,1)</f>
        <v>V</v>
      </c>
      <c r="I4062" t="str">
        <f>Table132[[#This Row],[ÉTAT]]&amp;Table132[[#This Row],[next move]]</f>
        <v>MMVEEVVVE12</v>
      </c>
    </row>
    <row r="4063" spans="2:9" x14ac:dyDescent="0.25">
      <c r="B4063" t="s">
        <v>1825</v>
      </c>
      <c r="C4063" s="22" t="s">
        <v>20</v>
      </c>
      <c r="D4063">
        <v>2</v>
      </c>
      <c r="E4063">
        <v>2</v>
      </c>
      <c r="G4063" s="31">
        <f>Table132[[#This Row],[nb win]]/Table132[[#This Row],[nb play]]</f>
        <v>1</v>
      </c>
      <c r="H4063" t="str">
        <f>MID(Table132[[#This Row],[ÉTAT]],VALUE(RIGHT(Table132[[#This Row],[next move]],1))+1+VALUE(LEFT(Table132[[#This Row],[next move]],1))*3,1)</f>
        <v>V</v>
      </c>
      <c r="I4063" t="str">
        <f>Table132[[#This Row],[ÉTAT]]&amp;Table132[[#This Row],[next move]]</f>
        <v>MMVEEVVEM02</v>
      </c>
    </row>
    <row r="4064" spans="2:9" x14ac:dyDescent="0.25">
      <c r="B4064" t="s">
        <v>248</v>
      </c>
      <c r="C4064" s="22" t="s">
        <v>20</v>
      </c>
      <c r="D4064">
        <v>3</v>
      </c>
      <c r="E4064">
        <v>3</v>
      </c>
      <c r="G4064" s="31">
        <f>Table132[[#This Row],[nb win]]/Table132[[#This Row],[nb play]]</f>
        <v>1</v>
      </c>
      <c r="H4064" t="str">
        <f>MID(Table132[[#This Row],[ÉTAT]],VALUE(RIGHT(Table132[[#This Row],[next move]],1))+1+VALUE(LEFT(Table132[[#This Row],[next move]],1))*3,1)</f>
        <v>V</v>
      </c>
      <c r="I4064" t="str">
        <f>Table132[[#This Row],[ÉTAT]]&amp;Table132[[#This Row],[next move]]</f>
        <v>MMVEEVMEV02</v>
      </c>
    </row>
    <row r="4065" spans="2:9" x14ac:dyDescent="0.25">
      <c r="B4065" t="s">
        <v>2193</v>
      </c>
      <c r="C4065" s="22" t="s">
        <v>20</v>
      </c>
      <c r="D4065">
        <v>1</v>
      </c>
      <c r="E4065">
        <v>1</v>
      </c>
      <c r="G4065" s="25">
        <f>Table132[[#This Row],[nb win]]/Table132[[#This Row],[nb play]]</f>
        <v>1</v>
      </c>
      <c r="H4065" t="str">
        <f>MID(Table132[[#This Row],[ÉTAT]],VALUE(RIGHT(Table132[[#This Row],[next move]],1))+1+VALUE(LEFT(Table132[[#This Row],[next move]],1))*3,1)</f>
        <v>V</v>
      </c>
      <c r="I4065" t="str">
        <f>Table132[[#This Row],[ÉTAT]]&amp;Table132[[#This Row],[next move]]</f>
        <v>MMVEEVMEE02</v>
      </c>
    </row>
    <row r="4066" spans="2:9" x14ac:dyDescent="0.25">
      <c r="B4066" t="s">
        <v>3256</v>
      </c>
      <c r="C4066" s="22" t="s">
        <v>20</v>
      </c>
      <c r="D4066">
        <v>1</v>
      </c>
      <c r="E4066">
        <v>1</v>
      </c>
      <c r="G4066" s="31">
        <f>Table132[[#This Row],[nb win]]/Table132[[#This Row],[nb play]]</f>
        <v>1</v>
      </c>
      <c r="H4066" t="str">
        <f>MID(Table132[[#This Row],[ÉTAT]],VALUE(RIGHT(Table132[[#This Row],[next move]],1))+1+VALUE(LEFT(Table132[[#This Row],[next move]],1))*3,1)</f>
        <v>V</v>
      </c>
      <c r="I4066" t="str">
        <f>Table132[[#This Row],[ÉTAT]]&amp;Table132[[#This Row],[next move]]</f>
        <v>MMVEEVEVV02</v>
      </c>
    </row>
    <row r="4067" spans="2:9" x14ac:dyDescent="0.25">
      <c r="B4067" t="s">
        <v>3222</v>
      </c>
      <c r="C4067" s="22" t="s">
        <v>28</v>
      </c>
      <c r="D4067">
        <v>1</v>
      </c>
      <c r="E4067">
        <v>1</v>
      </c>
      <c r="G4067" s="31">
        <f>Table132[[#This Row],[nb win]]/Table132[[#This Row],[nb play]]</f>
        <v>1</v>
      </c>
      <c r="H4067" t="str">
        <f>MID(Table132[[#This Row],[ÉTAT]],VALUE(RIGHT(Table132[[#This Row],[next move]],1))+1+VALUE(LEFT(Table132[[#This Row],[next move]],1))*3,1)</f>
        <v>V</v>
      </c>
      <c r="I4067" t="str">
        <f>Table132[[#This Row],[ÉTAT]]&amp;Table132[[#This Row],[next move]]</f>
        <v>MMVEEVEVM12</v>
      </c>
    </row>
    <row r="4068" spans="2:9" x14ac:dyDescent="0.25">
      <c r="B4068" t="s">
        <v>3442</v>
      </c>
      <c r="C4068" s="22" t="s">
        <v>28</v>
      </c>
      <c r="D4068">
        <v>1</v>
      </c>
      <c r="E4068">
        <v>1</v>
      </c>
      <c r="G4068" s="31">
        <f>Table132[[#This Row],[nb win]]/Table132[[#This Row],[nb play]]</f>
        <v>1</v>
      </c>
      <c r="H4068" t="str">
        <f>MID(Table132[[#This Row],[ÉTAT]],VALUE(RIGHT(Table132[[#This Row],[next move]],1))+1+VALUE(LEFT(Table132[[#This Row],[next move]],1))*3,1)</f>
        <v>V</v>
      </c>
      <c r="I4068" t="str">
        <f>Table132[[#This Row],[ÉTAT]]&amp;Table132[[#This Row],[next move]]</f>
        <v>MMVEEVEMV12</v>
      </c>
    </row>
    <row r="4069" spans="2:9" x14ac:dyDescent="0.25">
      <c r="B4069" t="s">
        <v>1514</v>
      </c>
      <c r="C4069" s="22" t="s">
        <v>20</v>
      </c>
      <c r="D4069">
        <v>1</v>
      </c>
      <c r="E4069">
        <v>1</v>
      </c>
      <c r="G4069" s="25">
        <f>Table132[[#This Row],[nb win]]/Table132[[#This Row],[nb play]]</f>
        <v>1</v>
      </c>
      <c r="H4069" t="str">
        <f>MID(Table132[[#This Row],[ÉTAT]],VALUE(RIGHT(Table132[[#This Row],[next move]],1))+1+VALUE(LEFT(Table132[[#This Row],[next move]],1))*3,1)</f>
        <v>V</v>
      </c>
      <c r="I4069" t="str">
        <f>Table132[[#This Row],[ÉTAT]]&amp;Table132[[#This Row],[next move]]</f>
        <v>MMVEEVEME02</v>
      </c>
    </row>
    <row r="4070" spans="2:9" x14ac:dyDescent="0.25">
      <c r="B4070" t="s">
        <v>1514</v>
      </c>
      <c r="C4070" s="22" t="s">
        <v>28</v>
      </c>
      <c r="D4070">
        <v>1</v>
      </c>
      <c r="G4070" s="25">
        <f>Table132[[#This Row],[nb win]]/Table132[[#This Row],[nb play]]</f>
        <v>0</v>
      </c>
      <c r="H4070" t="str">
        <f>MID(Table132[[#This Row],[ÉTAT]],VALUE(RIGHT(Table132[[#This Row],[next move]],1))+1+VALUE(LEFT(Table132[[#This Row],[next move]],1))*3,1)</f>
        <v>V</v>
      </c>
      <c r="I4070" t="str">
        <f>Table132[[#This Row],[ÉTAT]]&amp;Table132[[#This Row],[next move]]</f>
        <v>MMVEEVEME12</v>
      </c>
    </row>
    <row r="4071" spans="2:9" x14ac:dyDescent="0.25">
      <c r="B4071" t="s">
        <v>183</v>
      </c>
      <c r="C4071" s="22" t="s">
        <v>20</v>
      </c>
      <c r="D4071">
        <v>2</v>
      </c>
      <c r="E4071">
        <v>2</v>
      </c>
      <c r="G4071" s="25">
        <f>Table132[[#This Row],[nb win]]/Table132[[#This Row],[nb play]]</f>
        <v>1</v>
      </c>
      <c r="H4071" t="str">
        <f>MID(Table132[[#This Row],[ÉTAT]],VALUE(RIGHT(Table132[[#This Row],[next move]],1))+1+VALUE(LEFT(Table132[[#This Row],[next move]],1))*3,1)</f>
        <v>V</v>
      </c>
      <c r="I4071" t="str">
        <f>Table132[[#This Row],[ÉTAT]]&amp;Table132[[#This Row],[next move]]</f>
        <v>MMVEEVEEM02</v>
      </c>
    </row>
    <row r="4072" spans="2:9" x14ac:dyDescent="0.25">
      <c r="B4072" t="s">
        <v>183</v>
      </c>
      <c r="C4072" s="22" t="s">
        <v>28</v>
      </c>
      <c r="D4072">
        <v>2</v>
      </c>
      <c r="G4072" s="25">
        <f>Table132[[#This Row],[nb win]]/Table132[[#This Row],[nb play]]</f>
        <v>0</v>
      </c>
      <c r="H4072" t="str">
        <f>MID(Table132[[#This Row],[ÉTAT]],VALUE(RIGHT(Table132[[#This Row],[next move]],1))+1+VALUE(LEFT(Table132[[#This Row],[next move]],1))*3,1)</f>
        <v>V</v>
      </c>
      <c r="I4072" t="str">
        <f>Table132[[#This Row],[ÉTAT]]&amp;Table132[[#This Row],[next move]]</f>
        <v>MMVEEVEEM12</v>
      </c>
    </row>
    <row r="4073" spans="2:9" x14ac:dyDescent="0.25">
      <c r="B4073" t="s">
        <v>3010</v>
      </c>
      <c r="C4073" s="22" t="s">
        <v>35</v>
      </c>
      <c r="D4073">
        <v>1</v>
      </c>
      <c r="E4073">
        <v>1</v>
      </c>
      <c r="G4073" s="25">
        <f>Table132[[#This Row],[nb win]]/Table132[[#This Row],[nb play]]</f>
        <v>1</v>
      </c>
      <c r="H4073" t="str">
        <f>MID(Table132[[#This Row],[ÉTAT]],VALUE(RIGHT(Table132[[#This Row],[next move]],1))+1+VALUE(LEFT(Table132[[#This Row],[next move]],1))*3,1)</f>
        <v>V</v>
      </c>
      <c r="I4073" t="str">
        <f>Table132[[#This Row],[ÉTAT]]&amp;Table132[[#This Row],[next move]]</f>
        <v>MMVEEMVVE20</v>
      </c>
    </row>
    <row r="4074" spans="2:9" x14ac:dyDescent="0.25">
      <c r="B4074" t="s">
        <v>3022</v>
      </c>
      <c r="C4074" s="22" t="s">
        <v>20</v>
      </c>
      <c r="D4074">
        <v>2</v>
      </c>
      <c r="E4074">
        <v>2</v>
      </c>
      <c r="G4074" s="31">
        <f>Table132[[#This Row],[nb win]]/Table132[[#This Row],[nb play]]</f>
        <v>1</v>
      </c>
      <c r="H4074" t="str">
        <f>MID(Table132[[#This Row],[ÉTAT]],VALUE(RIGHT(Table132[[#This Row],[next move]],1))+1+VALUE(LEFT(Table132[[#This Row],[next move]],1))*3,1)</f>
        <v>V</v>
      </c>
      <c r="I4074" t="str">
        <f>Table132[[#This Row],[ÉTAT]]&amp;Table132[[#This Row],[next move]]</f>
        <v>MMVEEMVEV02</v>
      </c>
    </row>
    <row r="4075" spans="2:9" x14ac:dyDescent="0.25">
      <c r="B4075" t="s">
        <v>1933</v>
      </c>
      <c r="C4075" s="22" t="s">
        <v>20</v>
      </c>
      <c r="D4075">
        <v>2</v>
      </c>
      <c r="E4075">
        <v>2</v>
      </c>
      <c r="G4075" s="25">
        <f>Table132[[#This Row],[nb win]]/Table132[[#This Row],[nb play]]</f>
        <v>1</v>
      </c>
      <c r="H4075" t="str">
        <f>MID(Table132[[#This Row],[ÉTAT]],VALUE(RIGHT(Table132[[#This Row],[next move]],1))+1+VALUE(LEFT(Table132[[#This Row],[next move]],1))*3,1)</f>
        <v>V</v>
      </c>
      <c r="I4075" t="str">
        <f>Table132[[#This Row],[ÉTAT]]&amp;Table132[[#This Row],[next move]]</f>
        <v>MMVEEMVEE02</v>
      </c>
    </row>
    <row r="4076" spans="2:9" x14ac:dyDescent="0.25">
      <c r="B4076" t="s">
        <v>1525</v>
      </c>
      <c r="C4076" s="22" t="s">
        <v>20</v>
      </c>
      <c r="D4076">
        <v>5</v>
      </c>
      <c r="E4076">
        <v>5</v>
      </c>
      <c r="G4076" s="31">
        <f>Table132[[#This Row],[nb win]]/Table132[[#This Row],[nb play]]</f>
        <v>1</v>
      </c>
      <c r="H4076" t="str">
        <f>MID(Table132[[#This Row],[ÉTAT]],VALUE(RIGHT(Table132[[#This Row],[next move]],1))+1+VALUE(LEFT(Table132[[#This Row],[next move]],1))*3,1)</f>
        <v>V</v>
      </c>
      <c r="I4076" t="str">
        <f>Table132[[#This Row],[ÉTAT]]&amp;Table132[[#This Row],[next move]]</f>
        <v>MMVEEMMEE02</v>
      </c>
    </row>
    <row r="4077" spans="2:9" x14ac:dyDescent="0.25">
      <c r="B4077" t="s">
        <v>1641</v>
      </c>
      <c r="C4077" s="22" t="s">
        <v>20</v>
      </c>
      <c r="D4077">
        <v>2</v>
      </c>
      <c r="E4077">
        <v>2</v>
      </c>
      <c r="G4077" s="31">
        <f>Table132[[#This Row],[nb win]]/Table132[[#This Row],[nb play]]</f>
        <v>1</v>
      </c>
      <c r="H4077" t="str">
        <f>MID(Table132[[#This Row],[ÉTAT]],VALUE(RIGHT(Table132[[#This Row],[next move]],1))+1+VALUE(LEFT(Table132[[#This Row],[next move]],1))*3,1)</f>
        <v>V</v>
      </c>
      <c r="I4077" t="str">
        <f>Table132[[#This Row],[ÉTAT]]&amp;Table132[[#This Row],[next move]]</f>
        <v>MMVEEMEVV02</v>
      </c>
    </row>
    <row r="4078" spans="2:9" x14ac:dyDescent="0.25">
      <c r="B4078" t="s">
        <v>234</v>
      </c>
      <c r="C4078" s="22" t="s">
        <v>20</v>
      </c>
      <c r="D4078">
        <v>3</v>
      </c>
      <c r="E4078">
        <v>3</v>
      </c>
      <c r="G4078" s="31">
        <f>Table132[[#This Row],[nb win]]/Table132[[#This Row],[nb play]]</f>
        <v>1</v>
      </c>
      <c r="H4078" t="str">
        <f>MID(Table132[[#This Row],[ÉTAT]],VALUE(RIGHT(Table132[[#This Row],[next move]],1))+1+VALUE(LEFT(Table132[[#This Row],[next move]],1))*3,1)</f>
        <v>V</v>
      </c>
      <c r="I4078" t="str">
        <f>Table132[[#This Row],[ÉTAT]]&amp;Table132[[#This Row],[next move]]</f>
        <v>MMVEEMEVE02</v>
      </c>
    </row>
    <row r="4079" spans="2:9" x14ac:dyDescent="0.25">
      <c r="B4079" t="s">
        <v>666</v>
      </c>
      <c r="C4079" s="22" t="s">
        <v>20</v>
      </c>
      <c r="D4079">
        <v>3</v>
      </c>
      <c r="E4079">
        <v>3</v>
      </c>
      <c r="G4079" s="31">
        <f>Table132[[#This Row],[nb win]]/Table132[[#This Row],[nb play]]</f>
        <v>1</v>
      </c>
      <c r="H4079" t="str">
        <f>MID(Table132[[#This Row],[ÉTAT]],VALUE(RIGHT(Table132[[#This Row],[next move]],1))+1+VALUE(LEFT(Table132[[#This Row],[next move]],1))*3,1)</f>
        <v>V</v>
      </c>
      <c r="I4079" t="str">
        <f>Table132[[#This Row],[ÉTAT]]&amp;Table132[[#This Row],[next move]]</f>
        <v>MMVEEMEME02</v>
      </c>
    </row>
    <row r="4080" spans="2:9" x14ac:dyDescent="0.25">
      <c r="B4080" t="s">
        <v>696</v>
      </c>
      <c r="C4080" s="22" t="s">
        <v>20</v>
      </c>
      <c r="D4080">
        <v>1</v>
      </c>
      <c r="E4080">
        <v>1</v>
      </c>
      <c r="G4080" s="25">
        <f>Table132[[#This Row],[nb win]]/Table132[[#This Row],[nb play]]</f>
        <v>1</v>
      </c>
      <c r="H4080" t="str">
        <f>MID(Table132[[#This Row],[ÉTAT]],VALUE(RIGHT(Table132[[#This Row],[next move]],1))+1+VALUE(LEFT(Table132[[#This Row],[next move]],1))*3,1)</f>
        <v>V</v>
      </c>
      <c r="I4080" t="str">
        <f>Table132[[#This Row],[ÉTAT]]&amp;Table132[[#This Row],[next move]]</f>
        <v>MMVEEMEEV02</v>
      </c>
    </row>
    <row r="4081" spans="2:9" x14ac:dyDescent="0.25">
      <c r="B4081" t="s">
        <v>1173</v>
      </c>
      <c r="C4081" s="22" t="s">
        <v>20</v>
      </c>
      <c r="D4081">
        <v>2</v>
      </c>
      <c r="E4081">
        <v>2</v>
      </c>
      <c r="G4081" s="31">
        <f>Table132[[#This Row],[nb win]]/Table132[[#This Row],[nb play]]</f>
        <v>1</v>
      </c>
      <c r="H4081" t="str">
        <f>MID(Table132[[#This Row],[ÉTAT]],VALUE(RIGHT(Table132[[#This Row],[next move]],1))+1+VALUE(LEFT(Table132[[#This Row],[next move]],1))*3,1)</f>
        <v>V</v>
      </c>
      <c r="I4081" t="str">
        <f>Table132[[#This Row],[ÉTAT]]&amp;Table132[[#This Row],[next move]]</f>
        <v>MMVEEMEEM02</v>
      </c>
    </row>
    <row r="4082" spans="2:9" x14ac:dyDescent="0.25">
      <c r="B4082" t="s">
        <v>2481</v>
      </c>
      <c r="C4082" s="22" t="s">
        <v>29</v>
      </c>
      <c r="D4082">
        <v>1</v>
      </c>
      <c r="G4082" s="25">
        <f>Table132[[#This Row],[nb win]]/Table132[[#This Row],[nb play]]</f>
        <v>0</v>
      </c>
      <c r="H4082" t="str">
        <f>MID(Table132[[#This Row],[ÉTAT]],VALUE(RIGHT(Table132[[#This Row],[next move]],1))+1+VALUE(LEFT(Table132[[#This Row],[next move]],1))*3,1)</f>
        <v>V</v>
      </c>
      <c r="I4082" t="str">
        <f>Table132[[#This Row],[ÉTAT]]&amp;Table132[[#This Row],[next move]]</f>
        <v>MMEVVVVVE11</v>
      </c>
    </row>
    <row r="4083" spans="2:9" x14ac:dyDescent="0.25">
      <c r="B4083" t="s">
        <v>2481</v>
      </c>
      <c r="C4083" s="22" t="s">
        <v>28</v>
      </c>
      <c r="D4083">
        <v>1</v>
      </c>
      <c r="E4083">
        <v>1</v>
      </c>
      <c r="G4083" s="25">
        <f>Table132[[#This Row],[nb win]]/Table132[[#This Row],[nb play]]</f>
        <v>1</v>
      </c>
      <c r="H4083" t="str">
        <f>MID(Table132[[#This Row],[ÉTAT]],VALUE(RIGHT(Table132[[#This Row],[next move]],1))+1+VALUE(LEFT(Table132[[#This Row],[next move]],1))*3,1)</f>
        <v>V</v>
      </c>
      <c r="I4083" t="str">
        <f>Table132[[#This Row],[ÉTAT]]&amp;Table132[[#This Row],[next move]]</f>
        <v>MMEVVVVVE12</v>
      </c>
    </row>
    <row r="4084" spans="2:9" x14ac:dyDescent="0.25">
      <c r="B4084" t="s">
        <v>2481</v>
      </c>
      <c r="C4084" s="22" t="s">
        <v>22</v>
      </c>
      <c r="D4084">
        <v>1</v>
      </c>
      <c r="G4084" s="25">
        <f>Table132[[#This Row],[nb win]]/Table132[[#This Row],[nb play]]</f>
        <v>0</v>
      </c>
      <c r="H4084" t="str">
        <f>MID(Table132[[#This Row],[ÉTAT]],VALUE(RIGHT(Table132[[#This Row],[next move]],1))+1+VALUE(LEFT(Table132[[#This Row],[next move]],1))*3,1)</f>
        <v>V</v>
      </c>
      <c r="I4084" t="str">
        <f>Table132[[#This Row],[ÉTAT]]&amp;Table132[[#This Row],[next move]]</f>
        <v>MMEVVVVVE21</v>
      </c>
    </row>
    <row r="4085" spans="2:9" x14ac:dyDescent="0.25">
      <c r="B4085" t="s">
        <v>378</v>
      </c>
      <c r="C4085" s="22" t="s">
        <v>30</v>
      </c>
      <c r="D4085">
        <v>4</v>
      </c>
      <c r="E4085">
        <v>2</v>
      </c>
      <c r="G4085" s="30">
        <f>Table132[[#This Row],[nb win]]/Table132[[#This Row],[nb play]]</f>
        <v>0.5</v>
      </c>
      <c r="H4085" t="str">
        <f>MID(Table132[[#This Row],[ÉTAT]],VALUE(RIGHT(Table132[[#This Row],[next move]],1))+1+VALUE(LEFT(Table132[[#This Row],[next move]],1))*3,1)</f>
        <v>V</v>
      </c>
      <c r="I4085" t="str">
        <f>Table132[[#This Row],[ÉTAT]]&amp;Table132[[#This Row],[next move]]</f>
        <v>MMEVVVVEV10</v>
      </c>
    </row>
    <row r="4086" spans="2:9" x14ac:dyDescent="0.25">
      <c r="B4086" t="s">
        <v>378</v>
      </c>
      <c r="C4086" s="22" t="s">
        <v>35</v>
      </c>
      <c r="D4086">
        <v>3</v>
      </c>
      <c r="E4086">
        <v>1</v>
      </c>
      <c r="G4086" s="31">
        <f>Table132[[#This Row],[nb win]]/Table132[[#This Row],[nb play]]</f>
        <v>0.33333333333333331</v>
      </c>
      <c r="H4086" t="str">
        <f>MID(Table132[[#This Row],[ÉTAT]],VALUE(RIGHT(Table132[[#This Row],[next move]],1))+1+VALUE(LEFT(Table132[[#This Row],[next move]],1))*3,1)</f>
        <v>V</v>
      </c>
      <c r="I4086" t="str">
        <f>Table132[[#This Row],[ÉTAT]]&amp;Table132[[#This Row],[next move]]</f>
        <v>MMEVVVVEV20</v>
      </c>
    </row>
    <row r="4087" spans="2:9" x14ac:dyDescent="0.25">
      <c r="B4087" t="s">
        <v>378</v>
      </c>
      <c r="C4087" s="22" t="s">
        <v>31</v>
      </c>
      <c r="D4087">
        <v>2</v>
      </c>
      <c r="E4087">
        <v>2</v>
      </c>
      <c r="G4087" s="31">
        <f>Table132[[#This Row],[nb win]]/Table132[[#This Row],[nb play]]</f>
        <v>1</v>
      </c>
      <c r="H4087" t="str">
        <f>MID(Table132[[#This Row],[ÉTAT]],VALUE(RIGHT(Table132[[#This Row],[next move]],1))+1+VALUE(LEFT(Table132[[#This Row],[next move]],1))*3,1)</f>
        <v>V</v>
      </c>
      <c r="I4087" t="str">
        <f>Table132[[#This Row],[ÉTAT]]&amp;Table132[[#This Row],[next move]]</f>
        <v>MMEVVVVEV22</v>
      </c>
    </row>
    <row r="4088" spans="2:9" x14ac:dyDescent="0.25">
      <c r="B4088" t="s">
        <v>1259</v>
      </c>
      <c r="C4088" s="22" t="s">
        <v>30</v>
      </c>
      <c r="D4088">
        <v>1</v>
      </c>
      <c r="G4088" s="25">
        <f>Table132[[#This Row],[nb win]]/Table132[[#This Row],[nb play]]</f>
        <v>0</v>
      </c>
      <c r="H4088" t="str">
        <f>MID(Table132[[#This Row],[ÉTAT]],VALUE(RIGHT(Table132[[#This Row],[next move]],1))+1+VALUE(LEFT(Table132[[#This Row],[next move]],1))*3,1)</f>
        <v>V</v>
      </c>
      <c r="I4088" t="str">
        <f>Table132[[#This Row],[ÉTAT]]&amp;Table132[[#This Row],[next move]]</f>
        <v>MMEVVVVEE10</v>
      </c>
    </row>
    <row r="4089" spans="2:9" x14ac:dyDescent="0.25">
      <c r="B4089" t="s">
        <v>1259</v>
      </c>
      <c r="C4089" s="22" t="s">
        <v>29</v>
      </c>
      <c r="D4089">
        <v>2</v>
      </c>
      <c r="G4089" s="30">
        <f>Table132[[#This Row],[nb win]]/Table132[[#This Row],[nb play]]</f>
        <v>0</v>
      </c>
      <c r="H4089" t="str">
        <f>MID(Table132[[#This Row],[ÉTAT]],VALUE(RIGHT(Table132[[#This Row],[next move]],1))+1+VALUE(LEFT(Table132[[#This Row],[next move]],1))*3,1)</f>
        <v>V</v>
      </c>
      <c r="I4089" t="str">
        <f>Table132[[#This Row],[ÉTAT]]&amp;Table132[[#This Row],[next move]]</f>
        <v>MMEVVVVEE11</v>
      </c>
    </row>
    <row r="4090" spans="2:9" x14ac:dyDescent="0.25">
      <c r="B4090" t="s">
        <v>1259</v>
      </c>
      <c r="C4090" s="22" t="s">
        <v>28</v>
      </c>
      <c r="D4090">
        <v>3</v>
      </c>
      <c r="G4090" s="30">
        <f>Table132[[#This Row],[nb win]]/Table132[[#This Row],[nb play]]</f>
        <v>0</v>
      </c>
      <c r="H4090" t="str">
        <f>MID(Table132[[#This Row],[ÉTAT]],VALUE(RIGHT(Table132[[#This Row],[next move]],1))+1+VALUE(LEFT(Table132[[#This Row],[next move]],1))*3,1)</f>
        <v>V</v>
      </c>
      <c r="I4090" t="str">
        <f>Table132[[#This Row],[ÉTAT]]&amp;Table132[[#This Row],[next move]]</f>
        <v>MMEVVVVEE12</v>
      </c>
    </row>
    <row r="4091" spans="2:9" x14ac:dyDescent="0.25">
      <c r="B4091" t="s">
        <v>1259</v>
      </c>
      <c r="C4091" s="22" t="s">
        <v>35</v>
      </c>
      <c r="D4091">
        <v>1</v>
      </c>
      <c r="G4091" s="25">
        <f>Table132[[#This Row],[nb win]]/Table132[[#This Row],[nb play]]</f>
        <v>0</v>
      </c>
      <c r="H4091" t="str">
        <f>MID(Table132[[#This Row],[ÉTAT]],VALUE(RIGHT(Table132[[#This Row],[next move]],1))+1+VALUE(LEFT(Table132[[#This Row],[next move]],1))*3,1)</f>
        <v>V</v>
      </c>
      <c r="I4091" t="str">
        <f>Table132[[#This Row],[ÉTAT]]&amp;Table132[[#This Row],[next move]]</f>
        <v>MMEVVVVEE20</v>
      </c>
    </row>
    <row r="4092" spans="2:9" x14ac:dyDescent="0.25">
      <c r="B4092" t="s">
        <v>2994</v>
      </c>
      <c r="C4092" s="22" t="s">
        <v>30</v>
      </c>
      <c r="D4092">
        <v>1</v>
      </c>
      <c r="E4092">
        <v>1</v>
      </c>
      <c r="G4092" s="31">
        <f>Table132[[#This Row],[nb win]]/Table132[[#This Row],[nb play]]</f>
        <v>1</v>
      </c>
      <c r="H4092" t="str">
        <f>MID(Table132[[#This Row],[ÉTAT]],VALUE(RIGHT(Table132[[#This Row],[next move]],1))+1+VALUE(LEFT(Table132[[#This Row],[next move]],1))*3,1)</f>
        <v>V</v>
      </c>
      <c r="I4092" t="str">
        <f>Table132[[#This Row],[ÉTAT]]&amp;Table132[[#This Row],[next move]]</f>
        <v>MMEVVVMEE10</v>
      </c>
    </row>
    <row r="4093" spans="2:9" x14ac:dyDescent="0.25">
      <c r="B4093" t="s">
        <v>2994</v>
      </c>
      <c r="C4093" s="22" t="s">
        <v>29</v>
      </c>
      <c r="D4093">
        <v>1</v>
      </c>
      <c r="G4093" s="25">
        <f>Table132[[#This Row],[nb win]]/Table132[[#This Row],[nb play]]</f>
        <v>0</v>
      </c>
      <c r="H4093" t="str">
        <f>MID(Table132[[#This Row],[ÉTAT]],VALUE(RIGHT(Table132[[#This Row],[next move]],1))+1+VALUE(LEFT(Table132[[#This Row],[next move]],1))*3,1)</f>
        <v>V</v>
      </c>
      <c r="I4093" t="str">
        <f>Table132[[#This Row],[ÉTAT]]&amp;Table132[[#This Row],[next move]]</f>
        <v>MMEVVVMEE11</v>
      </c>
    </row>
    <row r="4094" spans="2:9" x14ac:dyDescent="0.25">
      <c r="B4094" t="s">
        <v>1713</v>
      </c>
      <c r="C4094" s="22" t="s">
        <v>30</v>
      </c>
      <c r="D4094">
        <v>4</v>
      </c>
      <c r="G4094" s="30">
        <f>Table132[[#This Row],[nb win]]/Table132[[#This Row],[nb play]]</f>
        <v>0</v>
      </c>
      <c r="H4094" t="str">
        <f>MID(Table132[[#This Row],[ÉTAT]],VALUE(RIGHT(Table132[[#This Row],[next move]],1))+1+VALUE(LEFT(Table132[[#This Row],[next move]],1))*3,1)</f>
        <v>V</v>
      </c>
      <c r="I4094" t="str">
        <f>Table132[[#This Row],[ÉTAT]]&amp;Table132[[#This Row],[next move]]</f>
        <v>MMEVVVEVV10</v>
      </c>
    </row>
    <row r="4095" spans="2:9" x14ac:dyDescent="0.25">
      <c r="B4095" t="s">
        <v>1713</v>
      </c>
      <c r="C4095" s="22" t="s">
        <v>29</v>
      </c>
      <c r="D4095">
        <v>3</v>
      </c>
      <c r="E4095">
        <v>3</v>
      </c>
      <c r="G4095" s="31">
        <f>Table132[[#This Row],[nb win]]/Table132[[#This Row],[nb play]]</f>
        <v>1</v>
      </c>
      <c r="H4095" t="str">
        <f>MID(Table132[[#This Row],[ÉTAT]],VALUE(RIGHT(Table132[[#This Row],[next move]],1))+1+VALUE(LEFT(Table132[[#This Row],[next move]],1))*3,1)</f>
        <v>V</v>
      </c>
      <c r="I4095" t="str">
        <f>Table132[[#This Row],[ÉTAT]]&amp;Table132[[#This Row],[next move]]</f>
        <v>MMEVVVEVV11</v>
      </c>
    </row>
    <row r="4096" spans="2:9" x14ac:dyDescent="0.25">
      <c r="B4096" t="s">
        <v>2335</v>
      </c>
      <c r="C4096" s="22" t="s">
        <v>29</v>
      </c>
      <c r="D4096">
        <v>1</v>
      </c>
      <c r="G4096" s="25">
        <f>Table132[[#This Row],[nb win]]/Table132[[#This Row],[nb play]]</f>
        <v>0</v>
      </c>
      <c r="H4096" t="str">
        <f>MID(Table132[[#This Row],[ÉTAT]],VALUE(RIGHT(Table132[[#This Row],[next move]],1))+1+VALUE(LEFT(Table132[[#This Row],[next move]],1))*3,1)</f>
        <v>V</v>
      </c>
      <c r="I4096" t="str">
        <f>Table132[[#This Row],[ÉTAT]]&amp;Table132[[#This Row],[next move]]</f>
        <v>MMEVVVEVE11</v>
      </c>
    </row>
    <row r="4097" spans="2:9" x14ac:dyDescent="0.25">
      <c r="B4097" t="s">
        <v>2335</v>
      </c>
      <c r="C4097" s="22" t="s">
        <v>28</v>
      </c>
      <c r="D4097">
        <v>1</v>
      </c>
      <c r="G4097" s="25">
        <f>Table132[[#This Row],[nb win]]/Table132[[#This Row],[nb play]]</f>
        <v>0</v>
      </c>
      <c r="H4097" t="str">
        <f>MID(Table132[[#This Row],[ÉTAT]],VALUE(RIGHT(Table132[[#This Row],[next move]],1))+1+VALUE(LEFT(Table132[[#This Row],[next move]],1))*3,1)</f>
        <v>V</v>
      </c>
      <c r="I4097" t="str">
        <f>Table132[[#This Row],[ÉTAT]]&amp;Table132[[#This Row],[next move]]</f>
        <v>MMEVVVEVE12</v>
      </c>
    </row>
    <row r="4098" spans="2:9" x14ac:dyDescent="0.25">
      <c r="B4098" t="s">
        <v>2335</v>
      </c>
      <c r="C4098" s="22" t="s">
        <v>22</v>
      </c>
      <c r="D4098">
        <v>1</v>
      </c>
      <c r="E4098">
        <v>1</v>
      </c>
      <c r="G4098" s="25">
        <f>Table132[[#This Row],[nb win]]/Table132[[#This Row],[nb play]]</f>
        <v>1</v>
      </c>
      <c r="H4098" t="str">
        <f>MID(Table132[[#This Row],[ÉTAT]],VALUE(RIGHT(Table132[[#This Row],[next move]],1))+1+VALUE(LEFT(Table132[[#This Row],[next move]],1))*3,1)</f>
        <v>V</v>
      </c>
      <c r="I4098" t="str">
        <f>Table132[[#This Row],[ÉTAT]]&amp;Table132[[#This Row],[next move]]</f>
        <v>MMEVVVEVE21</v>
      </c>
    </row>
    <row r="4099" spans="2:9" x14ac:dyDescent="0.25">
      <c r="B4099" t="s">
        <v>355</v>
      </c>
      <c r="C4099" s="22" t="s">
        <v>30</v>
      </c>
      <c r="D4099">
        <v>5</v>
      </c>
      <c r="G4099" s="30">
        <f>Table132[[#This Row],[nb win]]/Table132[[#This Row],[nb play]]</f>
        <v>0</v>
      </c>
      <c r="H4099" t="str">
        <f>MID(Table132[[#This Row],[ÉTAT]],VALUE(RIGHT(Table132[[#This Row],[next move]],1))+1+VALUE(LEFT(Table132[[#This Row],[next move]],1))*3,1)</f>
        <v>V</v>
      </c>
      <c r="I4099" t="str">
        <f>Table132[[#This Row],[ÉTAT]]&amp;Table132[[#This Row],[next move]]</f>
        <v>MMEVVVEME10</v>
      </c>
    </row>
    <row r="4100" spans="2:9" x14ac:dyDescent="0.25">
      <c r="B4100" t="s">
        <v>355</v>
      </c>
      <c r="C4100" s="22" t="s">
        <v>29</v>
      </c>
      <c r="D4100">
        <v>5</v>
      </c>
      <c r="E4100">
        <v>5</v>
      </c>
      <c r="G4100" s="31">
        <f>Table132[[#This Row],[nb win]]/Table132[[#This Row],[nb play]]</f>
        <v>1</v>
      </c>
      <c r="H4100" t="str">
        <f>MID(Table132[[#This Row],[ÉTAT]],VALUE(RIGHT(Table132[[#This Row],[next move]],1))+1+VALUE(LEFT(Table132[[#This Row],[next move]],1))*3,1)</f>
        <v>V</v>
      </c>
      <c r="I4100" t="str">
        <f>Table132[[#This Row],[ÉTAT]]&amp;Table132[[#This Row],[next move]]</f>
        <v>MMEVVVEME11</v>
      </c>
    </row>
    <row r="4101" spans="2:9" x14ac:dyDescent="0.25">
      <c r="B4101" t="s">
        <v>3348</v>
      </c>
      <c r="C4101" s="22" t="s">
        <v>29</v>
      </c>
      <c r="D4101">
        <v>1</v>
      </c>
      <c r="G4101" s="30">
        <f>Table132[[#This Row],[nb win]]/Table132[[#This Row],[nb play]]</f>
        <v>0</v>
      </c>
      <c r="H4101" t="str">
        <f>MID(Table132[[#This Row],[ÉTAT]],VALUE(RIGHT(Table132[[#This Row],[next move]],1))+1+VALUE(LEFT(Table132[[#This Row],[next move]],1))*3,1)</f>
        <v>V</v>
      </c>
      <c r="I4101" t="str">
        <f>Table132[[#This Row],[ÉTAT]]&amp;Table132[[#This Row],[next move]]</f>
        <v>MMEVVVEEV11</v>
      </c>
    </row>
    <row r="4102" spans="2:9" x14ac:dyDescent="0.25">
      <c r="B4102" t="s">
        <v>981</v>
      </c>
      <c r="C4102" s="22" t="s">
        <v>29</v>
      </c>
      <c r="D4102">
        <v>5</v>
      </c>
      <c r="E4102">
        <v>5</v>
      </c>
      <c r="G4102" s="31">
        <f>Table132[[#This Row],[nb win]]/Table132[[#This Row],[nb play]]</f>
        <v>1</v>
      </c>
      <c r="H4102" t="str">
        <f>MID(Table132[[#This Row],[ÉTAT]],VALUE(RIGHT(Table132[[#This Row],[next move]],1))+1+VALUE(LEFT(Table132[[#This Row],[next move]],1))*3,1)</f>
        <v>V</v>
      </c>
      <c r="I4102" t="str">
        <f>Table132[[#This Row],[ÉTAT]]&amp;Table132[[#This Row],[next move]]</f>
        <v>MMEVVVEEM11</v>
      </c>
    </row>
    <row r="4103" spans="2:9" x14ac:dyDescent="0.25">
      <c r="B4103" t="s">
        <v>728</v>
      </c>
      <c r="C4103" s="22" t="s">
        <v>30</v>
      </c>
      <c r="D4103">
        <v>1</v>
      </c>
      <c r="G4103" s="25">
        <f>Table132[[#This Row],[nb win]]/Table132[[#This Row],[nb play]]</f>
        <v>0</v>
      </c>
      <c r="H4103" t="str">
        <f>MID(Table132[[#This Row],[ÉTAT]],VALUE(RIGHT(Table132[[#This Row],[next move]],1))+1+VALUE(LEFT(Table132[[#This Row],[next move]],1))*3,1)</f>
        <v>V</v>
      </c>
      <c r="I4103" t="str">
        <f>Table132[[#This Row],[ÉTAT]]&amp;Table132[[#This Row],[next move]]</f>
        <v>MMEVVMVEE10</v>
      </c>
    </row>
    <row r="4104" spans="2:9" x14ac:dyDescent="0.25">
      <c r="B4104" t="s">
        <v>728</v>
      </c>
      <c r="C4104" s="22" t="s">
        <v>29</v>
      </c>
      <c r="D4104">
        <v>1</v>
      </c>
      <c r="G4104" s="25">
        <f>Table132[[#This Row],[nb win]]/Table132[[#This Row],[nb play]]</f>
        <v>0</v>
      </c>
      <c r="H4104" t="str">
        <f>MID(Table132[[#This Row],[ÉTAT]],VALUE(RIGHT(Table132[[#This Row],[next move]],1))+1+VALUE(LEFT(Table132[[#This Row],[next move]],1))*3,1)</f>
        <v>V</v>
      </c>
      <c r="I4104" t="str">
        <f>Table132[[#This Row],[ÉTAT]]&amp;Table132[[#This Row],[next move]]</f>
        <v>MMEVVMVEE11</v>
      </c>
    </row>
    <row r="4105" spans="2:9" x14ac:dyDescent="0.25">
      <c r="B4105" t="s">
        <v>728</v>
      </c>
      <c r="C4105" s="22" t="s">
        <v>35</v>
      </c>
      <c r="D4105">
        <v>1</v>
      </c>
      <c r="E4105">
        <v>1</v>
      </c>
      <c r="G4105" s="31">
        <f>Table132[[#This Row],[nb win]]/Table132[[#This Row],[nb play]]</f>
        <v>1</v>
      </c>
      <c r="H4105" t="str">
        <f>MID(Table132[[#This Row],[ÉTAT]],VALUE(RIGHT(Table132[[#This Row],[next move]],1))+1+VALUE(LEFT(Table132[[#This Row],[next move]],1))*3,1)</f>
        <v>V</v>
      </c>
      <c r="I4105" t="str">
        <f>Table132[[#This Row],[ÉTAT]]&amp;Table132[[#This Row],[next move]]</f>
        <v>MMEVVMVEE20</v>
      </c>
    </row>
    <row r="4106" spans="2:9" x14ac:dyDescent="0.25">
      <c r="B4106" t="s">
        <v>2936</v>
      </c>
      <c r="C4106" s="22" t="s">
        <v>22</v>
      </c>
      <c r="D4106">
        <v>1</v>
      </c>
      <c r="E4106">
        <v>1</v>
      </c>
      <c r="G4106" s="25">
        <f>Table132[[#This Row],[nb win]]/Table132[[#This Row],[nb play]]</f>
        <v>1</v>
      </c>
      <c r="H4106" t="str">
        <f>MID(Table132[[#This Row],[ÉTAT]],VALUE(RIGHT(Table132[[#This Row],[next move]],1))+1+VALUE(LEFT(Table132[[#This Row],[next move]],1))*3,1)</f>
        <v>V</v>
      </c>
      <c r="I4106" t="str">
        <f>Table132[[#This Row],[ÉTAT]]&amp;Table132[[#This Row],[next move]]</f>
        <v>MMEVVMEVE21</v>
      </c>
    </row>
    <row r="4107" spans="2:9" x14ac:dyDescent="0.25">
      <c r="B4107" t="s">
        <v>1110</v>
      </c>
      <c r="C4107" s="22" t="s">
        <v>30</v>
      </c>
      <c r="D4107">
        <v>2</v>
      </c>
      <c r="E4107">
        <v>1</v>
      </c>
      <c r="G4107" s="30">
        <f>Table132[[#This Row],[nb win]]/Table132[[#This Row],[nb play]]</f>
        <v>0.5</v>
      </c>
      <c r="H4107" t="str">
        <f>MID(Table132[[#This Row],[ÉTAT]],VALUE(RIGHT(Table132[[#This Row],[next move]],1))+1+VALUE(LEFT(Table132[[#This Row],[next move]],1))*3,1)</f>
        <v>V</v>
      </c>
      <c r="I4107" t="str">
        <f>Table132[[#This Row],[ÉTAT]]&amp;Table132[[#This Row],[next move]]</f>
        <v>MMEVVEVEV10</v>
      </c>
    </row>
    <row r="4108" spans="2:9" x14ac:dyDescent="0.25">
      <c r="B4108" t="s">
        <v>1110</v>
      </c>
      <c r="C4108" s="22" t="s">
        <v>29</v>
      </c>
      <c r="D4108">
        <v>1</v>
      </c>
      <c r="E4108">
        <v>1</v>
      </c>
      <c r="G4108" s="31">
        <f>Table132[[#This Row],[nb win]]/Table132[[#This Row],[nb play]]</f>
        <v>1</v>
      </c>
      <c r="H4108" t="str">
        <f>MID(Table132[[#This Row],[ÉTAT]],VALUE(RIGHT(Table132[[#This Row],[next move]],1))+1+VALUE(LEFT(Table132[[#This Row],[next move]],1))*3,1)</f>
        <v>V</v>
      </c>
      <c r="I4108" t="str">
        <f>Table132[[#This Row],[ÉTAT]]&amp;Table132[[#This Row],[next move]]</f>
        <v>MMEVVEVEV11</v>
      </c>
    </row>
    <row r="4109" spans="2:9" x14ac:dyDescent="0.25">
      <c r="B4109" t="s">
        <v>1110</v>
      </c>
      <c r="C4109" s="22" t="s">
        <v>31</v>
      </c>
      <c r="D4109">
        <v>3</v>
      </c>
      <c r="G4109" s="30">
        <f>Table132[[#This Row],[nb win]]/Table132[[#This Row],[nb play]]</f>
        <v>0</v>
      </c>
      <c r="H4109" t="str">
        <f>MID(Table132[[#This Row],[ÉTAT]],VALUE(RIGHT(Table132[[#This Row],[next move]],1))+1+VALUE(LEFT(Table132[[#This Row],[next move]],1))*3,1)</f>
        <v>V</v>
      </c>
      <c r="I4109" t="str">
        <f>Table132[[#This Row],[ÉTAT]]&amp;Table132[[#This Row],[next move]]</f>
        <v>MMEVVEVEV22</v>
      </c>
    </row>
    <row r="4110" spans="2:9" x14ac:dyDescent="0.25">
      <c r="B4110" t="s">
        <v>1255</v>
      </c>
      <c r="C4110" s="22" t="s">
        <v>29</v>
      </c>
      <c r="D4110">
        <v>6</v>
      </c>
      <c r="E4110">
        <v>6</v>
      </c>
      <c r="G4110" s="31">
        <f>Table132[[#This Row],[nb win]]/Table132[[#This Row],[nb play]]</f>
        <v>1</v>
      </c>
      <c r="H4110" t="str">
        <f>MID(Table132[[#This Row],[ÉTAT]],VALUE(RIGHT(Table132[[#This Row],[next move]],1))+1+VALUE(LEFT(Table132[[#This Row],[next move]],1))*3,1)</f>
        <v>V</v>
      </c>
      <c r="I4110" t="str">
        <f>Table132[[#This Row],[ÉTAT]]&amp;Table132[[#This Row],[next move]]</f>
        <v>MMEVVEVEM11</v>
      </c>
    </row>
    <row r="4111" spans="2:9" x14ac:dyDescent="0.25">
      <c r="B4111" t="s">
        <v>1708</v>
      </c>
      <c r="C4111" s="22" t="s">
        <v>29</v>
      </c>
      <c r="D4111">
        <v>1</v>
      </c>
      <c r="G4111" s="25">
        <f>Table132[[#This Row],[nb win]]/Table132[[#This Row],[nb play]]</f>
        <v>0</v>
      </c>
      <c r="H4111" t="str">
        <f>MID(Table132[[#This Row],[ÉTAT]],VALUE(RIGHT(Table132[[#This Row],[next move]],1))+1+VALUE(LEFT(Table132[[#This Row],[next move]],1))*3,1)</f>
        <v>V</v>
      </c>
      <c r="I4111" t="str">
        <f>Table132[[#This Row],[ÉTAT]]&amp;Table132[[#This Row],[next move]]</f>
        <v>MMEVVEMEV11</v>
      </c>
    </row>
    <row r="4112" spans="2:9" x14ac:dyDescent="0.25">
      <c r="B4112" t="s">
        <v>1708</v>
      </c>
      <c r="C4112" s="22" t="s">
        <v>31</v>
      </c>
      <c r="D4112">
        <v>3</v>
      </c>
      <c r="E4112">
        <v>3</v>
      </c>
      <c r="G4112" s="31">
        <f>Table132[[#This Row],[nb win]]/Table132[[#This Row],[nb play]]</f>
        <v>1</v>
      </c>
      <c r="H4112" t="str">
        <f>MID(Table132[[#This Row],[ÉTAT]],VALUE(RIGHT(Table132[[#This Row],[next move]],1))+1+VALUE(LEFT(Table132[[#This Row],[next move]],1))*3,1)</f>
        <v>V</v>
      </c>
      <c r="I4112" t="str">
        <f>Table132[[#This Row],[ÉTAT]]&amp;Table132[[#This Row],[next move]]</f>
        <v>MMEVVEMEV22</v>
      </c>
    </row>
    <row r="4113" spans="2:9" x14ac:dyDescent="0.25">
      <c r="B4113" t="s">
        <v>2455</v>
      </c>
      <c r="C4113" s="22" t="s">
        <v>29</v>
      </c>
      <c r="D4113">
        <v>1</v>
      </c>
      <c r="E4113">
        <v>1</v>
      </c>
      <c r="G4113" s="25">
        <f>Table132[[#This Row],[nb win]]/Table132[[#This Row],[nb play]]</f>
        <v>1</v>
      </c>
      <c r="H4113" t="str">
        <f>MID(Table132[[#This Row],[ÉTAT]],VALUE(RIGHT(Table132[[#This Row],[next move]],1))+1+VALUE(LEFT(Table132[[#This Row],[next move]],1))*3,1)</f>
        <v>V</v>
      </c>
      <c r="I4113" t="str">
        <f>Table132[[#This Row],[ÉTAT]]&amp;Table132[[#This Row],[next move]]</f>
        <v>MMEVVEEMV11</v>
      </c>
    </row>
    <row r="4114" spans="2:9" x14ac:dyDescent="0.25">
      <c r="B4114" t="s">
        <v>3513</v>
      </c>
      <c r="C4114" s="22" t="s">
        <v>30</v>
      </c>
      <c r="D4114">
        <v>1</v>
      </c>
      <c r="G4114" s="30">
        <f>Table132[[#This Row],[nb win]]/Table132[[#This Row],[nb play]]</f>
        <v>0</v>
      </c>
      <c r="H4114" t="str">
        <f>MID(Table132[[#This Row],[ÉTAT]],VALUE(RIGHT(Table132[[#This Row],[next move]],1))+1+VALUE(LEFT(Table132[[#This Row],[next move]],1))*3,1)</f>
        <v>V</v>
      </c>
      <c r="I4114" t="str">
        <f>Table132[[#This Row],[ÉTAT]]&amp;Table132[[#This Row],[next move]]</f>
        <v>MMEVVEEEM10</v>
      </c>
    </row>
    <row r="4115" spans="2:9" x14ac:dyDescent="0.25">
      <c r="B4115" t="s">
        <v>2636</v>
      </c>
      <c r="C4115" s="22" t="s">
        <v>30</v>
      </c>
      <c r="D4115">
        <v>2</v>
      </c>
      <c r="G4115" s="30">
        <f>Table132[[#This Row],[nb win]]/Table132[[#This Row],[nb play]]</f>
        <v>0</v>
      </c>
      <c r="H4115" t="str">
        <f>MID(Table132[[#This Row],[ÉTAT]],VALUE(RIGHT(Table132[[#This Row],[next move]],1))+1+VALUE(LEFT(Table132[[#This Row],[next move]],1))*3,1)</f>
        <v>V</v>
      </c>
      <c r="I4115" t="str">
        <f>Table132[[#This Row],[ÉTAT]]&amp;Table132[[#This Row],[next move]]</f>
        <v>MMEVMVVEE10</v>
      </c>
    </row>
    <row r="4116" spans="2:9" x14ac:dyDescent="0.25">
      <c r="B4116" t="s">
        <v>2636</v>
      </c>
      <c r="C4116" s="22" t="s">
        <v>28</v>
      </c>
      <c r="D4116">
        <v>2</v>
      </c>
      <c r="G4116" s="30">
        <f>Table132[[#This Row],[nb win]]/Table132[[#This Row],[nb play]]</f>
        <v>0</v>
      </c>
      <c r="H4116" t="str">
        <f>MID(Table132[[#This Row],[ÉTAT]],VALUE(RIGHT(Table132[[#This Row],[next move]],1))+1+VALUE(LEFT(Table132[[#This Row],[next move]],1))*3,1)</f>
        <v>V</v>
      </c>
      <c r="I4116" t="str">
        <f>Table132[[#This Row],[ÉTAT]]&amp;Table132[[#This Row],[next move]]</f>
        <v>MMEVMVVEE12</v>
      </c>
    </row>
    <row r="4117" spans="2:9" x14ac:dyDescent="0.25">
      <c r="B4117" t="s">
        <v>2636</v>
      </c>
      <c r="C4117" s="22" t="s">
        <v>35</v>
      </c>
      <c r="D4117">
        <v>1</v>
      </c>
      <c r="G4117" s="25">
        <f>Table132[[#This Row],[nb win]]/Table132[[#This Row],[nb play]]</f>
        <v>0</v>
      </c>
      <c r="H4117" t="str">
        <f>MID(Table132[[#This Row],[ÉTAT]],VALUE(RIGHT(Table132[[#This Row],[next move]],1))+1+VALUE(LEFT(Table132[[#This Row],[next move]],1))*3,1)</f>
        <v>V</v>
      </c>
      <c r="I4117" t="str">
        <f>Table132[[#This Row],[ÉTAT]]&amp;Table132[[#This Row],[next move]]</f>
        <v>MMEVMVVEE20</v>
      </c>
    </row>
    <row r="4118" spans="2:9" x14ac:dyDescent="0.25">
      <c r="B4118" t="s">
        <v>2180</v>
      </c>
      <c r="C4118" s="22" t="s">
        <v>30</v>
      </c>
      <c r="D4118">
        <v>1</v>
      </c>
      <c r="G4118" s="25">
        <f>Table132[[#This Row],[nb win]]/Table132[[#This Row],[nb play]]</f>
        <v>0</v>
      </c>
      <c r="H4118" t="str">
        <f>MID(Table132[[#This Row],[ÉTAT]],VALUE(RIGHT(Table132[[#This Row],[next move]],1))+1+VALUE(LEFT(Table132[[#This Row],[next move]],1))*3,1)</f>
        <v>V</v>
      </c>
      <c r="I4118" t="str">
        <f>Table132[[#This Row],[ÉTAT]]&amp;Table132[[#This Row],[next move]]</f>
        <v>MMEVMVEVE10</v>
      </c>
    </row>
    <row r="4119" spans="2:9" x14ac:dyDescent="0.25">
      <c r="B4119" t="s">
        <v>2180</v>
      </c>
      <c r="C4119" s="22" t="s">
        <v>28</v>
      </c>
      <c r="D4119">
        <v>1</v>
      </c>
      <c r="G4119" s="25">
        <f>Table132[[#This Row],[nb win]]/Table132[[#This Row],[nb play]]</f>
        <v>0</v>
      </c>
      <c r="H4119" t="str">
        <f>MID(Table132[[#This Row],[ÉTAT]],VALUE(RIGHT(Table132[[#This Row],[next move]],1))+1+VALUE(LEFT(Table132[[#This Row],[next move]],1))*3,1)</f>
        <v>V</v>
      </c>
      <c r="I4119" t="str">
        <f>Table132[[#This Row],[ÉTAT]]&amp;Table132[[#This Row],[next move]]</f>
        <v>MMEVMVEVE12</v>
      </c>
    </row>
    <row r="4120" spans="2:9" x14ac:dyDescent="0.25">
      <c r="B4120" t="s">
        <v>2180</v>
      </c>
      <c r="C4120" s="22" t="s">
        <v>22</v>
      </c>
      <c r="D4120">
        <v>1</v>
      </c>
      <c r="E4120">
        <v>1</v>
      </c>
      <c r="G4120" s="31">
        <f>Table132[[#This Row],[nb win]]/Table132[[#This Row],[nb play]]</f>
        <v>1</v>
      </c>
      <c r="H4120" t="str">
        <f>MID(Table132[[#This Row],[ÉTAT]],VALUE(RIGHT(Table132[[#This Row],[next move]],1))+1+VALUE(LEFT(Table132[[#This Row],[next move]],1))*3,1)</f>
        <v>V</v>
      </c>
      <c r="I4120" t="str">
        <f>Table132[[#This Row],[ÉTAT]]&amp;Table132[[#This Row],[next move]]</f>
        <v>MMEVMVEVE21</v>
      </c>
    </row>
    <row r="4121" spans="2:9" x14ac:dyDescent="0.25">
      <c r="B4121" t="s">
        <v>1282</v>
      </c>
      <c r="C4121" s="22" t="s">
        <v>31</v>
      </c>
      <c r="D4121">
        <v>2</v>
      </c>
      <c r="E4121">
        <v>2</v>
      </c>
      <c r="G4121" s="31">
        <f>Table132[[#This Row],[nb win]]/Table132[[#This Row],[nb play]]</f>
        <v>1</v>
      </c>
      <c r="H4121" t="str">
        <f>MID(Table132[[#This Row],[ÉTAT]],VALUE(RIGHT(Table132[[#This Row],[next move]],1))+1+VALUE(LEFT(Table132[[#This Row],[next move]],1))*3,1)</f>
        <v>V</v>
      </c>
      <c r="I4121" t="str">
        <f>Table132[[#This Row],[ÉTAT]]&amp;Table132[[#This Row],[next move]]</f>
        <v>MMEVMVEEV22</v>
      </c>
    </row>
    <row r="4122" spans="2:9" x14ac:dyDescent="0.25">
      <c r="B4122" t="s">
        <v>1928</v>
      </c>
      <c r="C4122" s="22" t="s">
        <v>31</v>
      </c>
      <c r="D4122">
        <v>2</v>
      </c>
      <c r="E4122">
        <v>2</v>
      </c>
      <c r="G4122" s="31">
        <f>Table132[[#This Row],[nb win]]/Table132[[#This Row],[nb play]]</f>
        <v>1</v>
      </c>
      <c r="H4122" t="str">
        <f>MID(Table132[[#This Row],[ÉTAT]],VALUE(RIGHT(Table132[[#This Row],[next move]],1))+1+VALUE(LEFT(Table132[[#This Row],[next move]],1))*3,1)</f>
        <v>V</v>
      </c>
      <c r="I4122" t="str">
        <f>Table132[[#This Row],[ÉTAT]]&amp;Table132[[#This Row],[next move]]</f>
        <v>MMEVMEEVV22</v>
      </c>
    </row>
    <row r="4123" spans="2:9" x14ac:dyDescent="0.25">
      <c r="B4123" t="s">
        <v>3477</v>
      </c>
      <c r="C4123" s="22" t="s">
        <v>31</v>
      </c>
      <c r="D4123">
        <v>1</v>
      </c>
      <c r="E4123">
        <v>1</v>
      </c>
      <c r="G4123" s="31">
        <f>Table132[[#This Row],[nb win]]/Table132[[#This Row],[nb play]]</f>
        <v>1</v>
      </c>
      <c r="H4123" t="str">
        <f>MID(Table132[[#This Row],[ÉTAT]],VALUE(RIGHT(Table132[[#This Row],[next move]],1))+1+VALUE(LEFT(Table132[[#This Row],[next move]],1))*3,1)</f>
        <v>V</v>
      </c>
      <c r="I4123" t="str">
        <f>Table132[[#This Row],[ÉTAT]]&amp;Table132[[#This Row],[next move]]</f>
        <v>MMEVMEEEV22</v>
      </c>
    </row>
    <row r="4124" spans="2:9" x14ac:dyDescent="0.25">
      <c r="B4124" t="s">
        <v>221</v>
      </c>
      <c r="C4124" s="22" t="s">
        <v>30</v>
      </c>
      <c r="D4124">
        <v>2</v>
      </c>
      <c r="G4124" s="25">
        <f>Table132[[#This Row],[nb win]]/Table132[[#This Row],[nb play]]</f>
        <v>0</v>
      </c>
      <c r="H4124" t="str">
        <f>MID(Table132[[#This Row],[ÉTAT]],VALUE(RIGHT(Table132[[#This Row],[next move]],1))+1+VALUE(LEFT(Table132[[#This Row],[next move]],1))*3,1)</f>
        <v>V</v>
      </c>
      <c r="I4124" t="str">
        <f>Table132[[#This Row],[ÉTAT]]&amp;Table132[[#This Row],[next move]]</f>
        <v>MMEVEVVVV10</v>
      </c>
    </row>
    <row r="4125" spans="2:9" x14ac:dyDescent="0.25">
      <c r="B4125" t="s">
        <v>221</v>
      </c>
      <c r="C4125" s="22" t="s">
        <v>28</v>
      </c>
      <c r="D4125">
        <v>1</v>
      </c>
      <c r="G4125" s="25">
        <f>Table132[[#This Row],[nb win]]/Table132[[#This Row],[nb play]]</f>
        <v>0</v>
      </c>
      <c r="H4125" t="str">
        <f>MID(Table132[[#This Row],[ÉTAT]],VALUE(RIGHT(Table132[[#This Row],[next move]],1))+1+VALUE(LEFT(Table132[[#This Row],[next move]],1))*3,1)</f>
        <v>V</v>
      </c>
      <c r="I4125" t="str">
        <f>Table132[[#This Row],[ÉTAT]]&amp;Table132[[#This Row],[next move]]</f>
        <v>MMEVEVVVV12</v>
      </c>
    </row>
    <row r="4126" spans="2:9" x14ac:dyDescent="0.25">
      <c r="B4126" t="s">
        <v>221</v>
      </c>
      <c r="C4126" s="22" t="s">
        <v>35</v>
      </c>
      <c r="D4126">
        <v>2</v>
      </c>
      <c r="E4126">
        <v>1</v>
      </c>
      <c r="G4126" s="25">
        <f>Table132[[#This Row],[nb win]]/Table132[[#This Row],[nb play]]</f>
        <v>0.5</v>
      </c>
      <c r="H4126" t="str">
        <f>MID(Table132[[#This Row],[ÉTAT]],VALUE(RIGHT(Table132[[#This Row],[next move]],1))+1+VALUE(LEFT(Table132[[#This Row],[next move]],1))*3,1)</f>
        <v>V</v>
      </c>
      <c r="I4126" t="str">
        <f>Table132[[#This Row],[ÉTAT]]&amp;Table132[[#This Row],[next move]]</f>
        <v>MMEVEVVVV20</v>
      </c>
    </row>
    <row r="4127" spans="2:9" x14ac:dyDescent="0.25">
      <c r="B4127" t="s">
        <v>221</v>
      </c>
      <c r="C4127" s="22" t="s">
        <v>22</v>
      </c>
      <c r="D4127">
        <v>2</v>
      </c>
      <c r="G4127" s="25">
        <f>Table132[[#This Row],[nb win]]/Table132[[#This Row],[nb play]]</f>
        <v>0</v>
      </c>
      <c r="H4127" t="str">
        <f>MID(Table132[[#This Row],[ÉTAT]],VALUE(RIGHT(Table132[[#This Row],[next move]],1))+1+VALUE(LEFT(Table132[[#This Row],[next move]],1))*3,1)</f>
        <v>V</v>
      </c>
      <c r="I4127" t="str">
        <f>Table132[[#This Row],[ÉTAT]]&amp;Table132[[#This Row],[next move]]</f>
        <v>MMEVEVVVV21</v>
      </c>
    </row>
    <row r="4128" spans="2:9" x14ac:dyDescent="0.25">
      <c r="B4128" t="s">
        <v>221</v>
      </c>
      <c r="C4128" s="22" t="s">
        <v>31</v>
      </c>
      <c r="D4128">
        <v>1</v>
      </c>
      <c r="G4128" s="25">
        <f>Table132[[#This Row],[nb win]]/Table132[[#This Row],[nb play]]</f>
        <v>0</v>
      </c>
      <c r="H4128" t="str">
        <f>MID(Table132[[#This Row],[ÉTAT]],VALUE(RIGHT(Table132[[#This Row],[next move]],1))+1+VALUE(LEFT(Table132[[#This Row],[next move]],1))*3,1)</f>
        <v>V</v>
      </c>
      <c r="I4128" t="str">
        <f>Table132[[#This Row],[ÉTAT]]&amp;Table132[[#This Row],[next move]]</f>
        <v>MMEVEVVVV22</v>
      </c>
    </row>
    <row r="4129" spans="2:9" x14ac:dyDescent="0.25">
      <c r="B4129" t="s">
        <v>2678</v>
      </c>
      <c r="C4129" s="22" t="s">
        <v>30</v>
      </c>
      <c r="D4129">
        <v>1</v>
      </c>
      <c r="G4129" s="25">
        <f>Table132[[#This Row],[nb win]]/Table132[[#This Row],[nb play]]</f>
        <v>0</v>
      </c>
      <c r="H4129" t="str">
        <f>MID(Table132[[#This Row],[ÉTAT]],VALUE(RIGHT(Table132[[#This Row],[next move]],1))+1+VALUE(LEFT(Table132[[#This Row],[next move]],1))*3,1)</f>
        <v>V</v>
      </c>
      <c r="I4129" t="str">
        <f>Table132[[#This Row],[ÉTAT]]&amp;Table132[[#This Row],[next move]]</f>
        <v>MMEVEVVME10</v>
      </c>
    </row>
    <row r="4130" spans="2:9" x14ac:dyDescent="0.25">
      <c r="B4130" t="s">
        <v>2678</v>
      </c>
      <c r="C4130" s="22" t="s">
        <v>35</v>
      </c>
      <c r="D4130">
        <v>1</v>
      </c>
      <c r="G4130" s="30">
        <f>Table132[[#This Row],[nb win]]/Table132[[#This Row],[nb play]]</f>
        <v>0</v>
      </c>
      <c r="H4130" t="str">
        <f>MID(Table132[[#This Row],[ÉTAT]],VALUE(RIGHT(Table132[[#This Row],[next move]],1))+1+VALUE(LEFT(Table132[[#This Row],[next move]],1))*3,1)</f>
        <v>V</v>
      </c>
      <c r="I4130" t="str">
        <f>Table132[[#This Row],[ÉTAT]]&amp;Table132[[#This Row],[next move]]</f>
        <v>MMEVEVVME20</v>
      </c>
    </row>
    <row r="4131" spans="2:9" x14ac:dyDescent="0.25">
      <c r="B4131" t="s">
        <v>1138</v>
      </c>
      <c r="C4131" s="22" t="s">
        <v>30</v>
      </c>
      <c r="D4131">
        <v>1</v>
      </c>
      <c r="G4131" s="25">
        <f>Table132[[#This Row],[nb win]]/Table132[[#This Row],[nb play]]</f>
        <v>0</v>
      </c>
      <c r="H4131" t="str">
        <f>MID(Table132[[#This Row],[ÉTAT]],VALUE(RIGHT(Table132[[#This Row],[next move]],1))+1+VALUE(LEFT(Table132[[#This Row],[next move]],1))*3,1)</f>
        <v>V</v>
      </c>
      <c r="I4131" t="str">
        <f>Table132[[#This Row],[ÉTAT]]&amp;Table132[[#This Row],[next move]]</f>
        <v>MMEVEVVEV10</v>
      </c>
    </row>
    <row r="4132" spans="2:9" x14ac:dyDescent="0.25">
      <c r="B4132" t="s">
        <v>1138</v>
      </c>
      <c r="C4132" s="22" t="s">
        <v>35</v>
      </c>
      <c r="D4132">
        <v>1</v>
      </c>
      <c r="G4132" s="25">
        <f>Table132[[#This Row],[nb win]]/Table132[[#This Row],[nb play]]</f>
        <v>0</v>
      </c>
      <c r="H4132" t="str">
        <f>MID(Table132[[#This Row],[ÉTAT]],VALUE(RIGHT(Table132[[#This Row],[next move]],1))+1+VALUE(LEFT(Table132[[#This Row],[next move]],1))*3,1)</f>
        <v>V</v>
      </c>
      <c r="I4132" t="str">
        <f>Table132[[#This Row],[ÉTAT]]&amp;Table132[[#This Row],[next move]]</f>
        <v>MMEVEVVEV20</v>
      </c>
    </row>
    <row r="4133" spans="2:9" x14ac:dyDescent="0.25">
      <c r="B4133" t="s">
        <v>1138</v>
      </c>
      <c r="C4133" s="22" t="s">
        <v>31</v>
      </c>
      <c r="D4133">
        <v>1</v>
      </c>
      <c r="G4133" s="25">
        <f>Table132[[#This Row],[nb win]]/Table132[[#This Row],[nb play]]</f>
        <v>0</v>
      </c>
      <c r="H4133" t="str">
        <f>MID(Table132[[#This Row],[ÉTAT]],VALUE(RIGHT(Table132[[#This Row],[next move]],1))+1+VALUE(LEFT(Table132[[#This Row],[next move]],1))*3,1)</f>
        <v>V</v>
      </c>
      <c r="I4133" t="str">
        <f>Table132[[#This Row],[ÉTAT]]&amp;Table132[[#This Row],[next move]]</f>
        <v>MMEVEVVEV22</v>
      </c>
    </row>
    <row r="4134" spans="2:9" x14ac:dyDescent="0.25">
      <c r="B4134" t="s">
        <v>1313</v>
      </c>
      <c r="C4134" s="22" t="s">
        <v>28</v>
      </c>
      <c r="D4134">
        <v>1</v>
      </c>
      <c r="G4134" s="25">
        <f>Table132[[#This Row],[nb win]]/Table132[[#This Row],[nb play]]</f>
        <v>0</v>
      </c>
      <c r="H4134" t="str">
        <f>MID(Table132[[#This Row],[ÉTAT]],VALUE(RIGHT(Table132[[#This Row],[next move]],1))+1+VALUE(LEFT(Table132[[#This Row],[next move]],1))*3,1)</f>
        <v>V</v>
      </c>
      <c r="I4134" t="str">
        <f>Table132[[#This Row],[ÉTAT]]&amp;Table132[[#This Row],[next move]]</f>
        <v>MMEVEVVEM12</v>
      </c>
    </row>
    <row r="4135" spans="2:9" x14ac:dyDescent="0.25">
      <c r="B4135" t="s">
        <v>1313</v>
      </c>
      <c r="C4135" s="22" t="s">
        <v>35</v>
      </c>
      <c r="D4135">
        <v>1</v>
      </c>
      <c r="E4135">
        <v>1</v>
      </c>
      <c r="G4135" s="31">
        <f>Table132[[#This Row],[nb win]]/Table132[[#This Row],[nb play]]</f>
        <v>1</v>
      </c>
      <c r="H4135" t="str">
        <f>MID(Table132[[#This Row],[ÉTAT]],VALUE(RIGHT(Table132[[#This Row],[next move]],1))+1+VALUE(LEFT(Table132[[#This Row],[next move]],1))*3,1)</f>
        <v>V</v>
      </c>
      <c r="I4135" t="str">
        <f>Table132[[#This Row],[ÉTAT]]&amp;Table132[[#This Row],[next move]]</f>
        <v>MMEVEVVEM20</v>
      </c>
    </row>
    <row r="4136" spans="2:9" x14ac:dyDescent="0.25">
      <c r="B4136" t="s">
        <v>3388</v>
      </c>
      <c r="C4136" s="22" t="s">
        <v>22</v>
      </c>
      <c r="D4136">
        <v>1</v>
      </c>
      <c r="G4136" s="30">
        <f>Table132[[#This Row],[nb win]]/Table132[[#This Row],[nb play]]</f>
        <v>0</v>
      </c>
      <c r="H4136" t="str">
        <f>MID(Table132[[#This Row],[ÉTAT]],VALUE(RIGHT(Table132[[#This Row],[next move]],1))+1+VALUE(LEFT(Table132[[#This Row],[next move]],1))*3,1)</f>
        <v>V</v>
      </c>
      <c r="I4136" t="str">
        <f>Table132[[#This Row],[ÉTAT]]&amp;Table132[[#This Row],[next move]]</f>
        <v>MMEVEVMVE21</v>
      </c>
    </row>
    <row r="4137" spans="2:9" x14ac:dyDescent="0.25">
      <c r="B4137" t="s">
        <v>3187</v>
      </c>
      <c r="C4137" s="22" t="s">
        <v>30</v>
      </c>
      <c r="D4137">
        <v>1</v>
      </c>
      <c r="E4137">
        <v>1</v>
      </c>
      <c r="G4137" s="31">
        <f>Table132[[#This Row],[nb win]]/Table132[[#This Row],[nb play]]</f>
        <v>1</v>
      </c>
      <c r="H4137" t="str">
        <f>MID(Table132[[#This Row],[ÉTAT]],VALUE(RIGHT(Table132[[#This Row],[next move]],1))+1+VALUE(LEFT(Table132[[#This Row],[next move]],1))*3,1)</f>
        <v>V</v>
      </c>
      <c r="I4137" t="str">
        <f>Table132[[#This Row],[ÉTAT]]&amp;Table132[[#This Row],[next move]]</f>
        <v>MMEVEVMEV10</v>
      </c>
    </row>
    <row r="4138" spans="2:9" x14ac:dyDescent="0.25">
      <c r="B4138" t="s">
        <v>2818</v>
      </c>
      <c r="C4138" s="22" t="s">
        <v>30</v>
      </c>
      <c r="D4138">
        <v>1</v>
      </c>
      <c r="G4138" s="25">
        <f>Table132[[#This Row],[nb win]]/Table132[[#This Row],[nb play]]</f>
        <v>0</v>
      </c>
      <c r="H4138" t="str">
        <f>MID(Table132[[#This Row],[ÉTAT]],VALUE(RIGHT(Table132[[#This Row],[next move]],1))+1+VALUE(LEFT(Table132[[#This Row],[next move]],1))*3,1)</f>
        <v>V</v>
      </c>
      <c r="I4138" t="str">
        <f>Table132[[#This Row],[ÉTAT]]&amp;Table132[[#This Row],[next move]]</f>
        <v>MMEVEMVEV10</v>
      </c>
    </row>
    <row r="4139" spans="2:9" x14ac:dyDescent="0.25">
      <c r="B4139" t="s">
        <v>2120</v>
      </c>
      <c r="C4139" s="22" t="s">
        <v>30</v>
      </c>
      <c r="D4139">
        <v>1</v>
      </c>
      <c r="G4139" s="25">
        <f>Table132[[#This Row],[nb win]]/Table132[[#This Row],[nb play]]</f>
        <v>0</v>
      </c>
      <c r="H4139" t="str">
        <f>MID(Table132[[#This Row],[ÉTAT]],VALUE(RIGHT(Table132[[#This Row],[next move]],1))+1+VALUE(LEFT(Table132[[#This Row],[next move]],1))*3,1)</f>
        <v>V</v>
      </c>
      <c r="I4139" t="str">
        <f>Table132[[#This Row],[ÉTAT]]&amp;Table132[[#This Row],[next move]]</f>
        <v>MMEVEMVEE10</v>
      </c>
    </row>
    <row r="4140" spans="2:9" x14ac:dyDescent="0.25">
      <c r="B4140" t="s">
        <v>545</v>
      </c>
      <c r="C4140" s="22" t="s">
        <v>30</v>
      </c>
      <c r="D4140">
        <v>4</v>
      </c>
      <c r="E4140">
        <v>4</v>
      </c>
      <c r="G4140" s="31">
        <f>Table132[[#This Row],[nb win]]/Table132[[#This Row],[nb play]]</f>
        <v>1</v>
      </c>
      <c r="H4140" t="str">
        <f>MID(Table132[[#This Row],[ÉTAT]],VALUE(RIGHT(Table132[[#This Row],[next move]],1))+1+VALUE(LEFT(Table132[[#This Row],[next move]],1))*3,1)</f>
        <v>V</v>
      </c>
      <c r="I4140" t="str">
        <f>Table132[[#This Row],[ÉTAT]]&amp;Table132[[#This Row],[next move]]</f>
        <v>MMEVEMMEE10</v>
      </c>
    </row>
    <row r="4141" spans="2:9" x14ac:dyDescent="0.25">
      <c r="B4141" t="s">
        <v>3284</v>
      </c>
      <c r="C4141" s="22" t="s">
        <v>30</v>
      </c>
      <c r="D4141">
        <v>1</v>
      </c>
      <c r="G4141" s="30">
        <f>Table132[[#This Row],[nb win]]/Table132[[#This Row],[nb play]]</f>
        <v>0</v>
      </c>
      <c r="H4141" t="str">
        <f>MID(Table132[[#This Row],[ÉTAT]],VALUE(RIGHT(Table132[[#This Row],[next move]],1))+1+VALUE(LEFT(Table132[[#This Row],[next move]],1))*3,1)</f>
        <v>V</v>
      </c>
      <c r="I4141" t="str">
        <f>Table132[[#This Row],[ÉTAT]]&amp;Table132[[#This Row],[next move]]</f>
        <v>MMEVEEVVM10</v>
      </c>
    </row>
    <row r="4142" spans="2:9" x14ac:dyDescent="0.25">
      <c r="B4142" t="s">
        <v>2781</v>
      </c>
      <c r="C4142" s="22" t="s">
        <v>35</v>
      </c>
      <c r="D4142">
        <v>1</v>
      </c>
      <c r="G4142" s="25">
        <f>Table132[[#This Row],[nb win]]/Table132[[#This Row],[nb play]]</f>
        <v>0</v>
      </c>
      <c r="H4142" t="str">
        <f>MID(Table132[[#This Row],[ÉTAT]],VALUE(RIGHT(Table132[[#This Row],[next move]],1))+1+VALUE(LEFT(Table132[[#This Row],[next move]],1))*3,1)</f>
        <v>V</v>
      </c>
      <c r="I4142" t="str">
        <f>Table132[[#This Row],[ÉTAT]]&amp;Table132[[#This Row],[next move]]</f>
        <v>MMEVEEVMV20</v>
      </c>
    </row>
    <row r="4143" spans="2:9" x14ac:dyDescent="0.25">
      <c r="B4143" t="s">
        <v>540</v>
      </c>
      <c r="C4143" s="22" t="s">
        <v>30</v>
      </c>
      <c r="D4143">
        <v>2</v>
      </c>
      <c r="G4143" s="30">
        <f>Table132[[#This Row],[nb win]]/Table132[[#This Row],[nb play]]</f>
        <v>0</v>
      </c>
      <c r="H4143" t="str">
        <f>MID(Table132[[#This Row],[ÉTAT]],VALUE(RIGHT(Table132[[#This Row],[next move]],1))+1+VALUE(LEFT(Table132[[#This Row],[next move]],1))*3,1)</f>
        <v>V</v>
      </c>
      <c r="I4143" t="str">
        <f>Table132[[#This Row],[ÉTAT]]&amp;Table132[[#This Row],[next move]]</f>
        <v>MMEVEEVEM10</v>
      </c>
    </row>
    <row r="4144" spans="2:9" x14ac:dyDescent="0.25">
      <c r="B4144" t="s">
        <v>540</v>
      </c>
      <c r="C4144" s="22" t="s">
        <v>35</v>
      </c>
      <c r="D4144">
        <v>1</v>
      </c>
      <c r="G4144" s="25">
        <f>Table132[[#This Row],[nb win]]/Table132[[#This Row],[nb play]]</f>
        <v>0</v>
      </c>
      <c r="H4144" t="str">
        <f>MID(Table132[[#This Row],[ÉTAT]],VALUE(RIGHT(Table132[[#This Row],[next move]],1))+1+VALUE(LEFT(Table132[[#This Row],[next move]],1))*3,1)</f>
        <v>V</v>
      </c>
      <c r="I4144" t="str">
        <f>Table132[[#This Row],[ÉTAT]]&amp;Table132[[#This Row],[next move]]</f>
        <v>MMEVEEVEM20</v>
      </c>
    </row>
    <row r="4145" spans="2:9" x14ac:dyDescent="0.25">
      <c r="B4145" t="s">
        <v>1544</v>
      </c>
      <c r="C4145" s="22" t="s">
        <v>30</v>
      </c>
      <c r="D4145">
        <v>1</v>
      </c>
      <c r="E4145">
        <v>1</v>
      </c>
      <c r="G4145" s="25">
        <f>Table132[[#This Row],[nb win]]/Table132[[#This Row],[nb play]]</f>
        <v>1</v>
      </c>
      <c r="H4145" t="str">
        <f>MID(Table132[[#This Row],[ÉTAT]],VALUE(RIGHT(Table132[[#This Row],[next move]],1))+1+VALUE(LEFT(Table132[[#This Row],[next move]],1))*3,1)</f>
        <v>V</v>
      </c>
      <c r="I4145" t="str">
        <f>Table132[[#This Row],[ÉTAT]]&amp;Table132[[#This Row],[next move]]</f>
        <v>MMEVEEMVV10</v>
      </c>
    </row>
    <row r="4146" spans="2:9" x14ac:dyDescent="0.25">
      <c r="B4146" t="s">
        <v>1544</v>
      </c>
      <c r="C4146" s="22" t="s">
        <v>22</v>
      </c>
      <c r="D4146">
        <v>1</v>
      </c>
      <c r="G4146" s="25">
        <f>Table132[[#This Row],[nb win]]/Table132[[#This Row],[nb play]]</f>
        <v>0</v>
      </c>
      <c r="H4146" t="str">
        <f>MID(Table132[[#This Row],[ÉTAT]],VALUE(RIGHT(Table132[[#This Row],[next move]],1))+1+VALUE(LEFT(Table132[[#This Row],[next move]],1))*3,1)</f>
        <v>V</v>
      </c>
      <c r="I4146" t="str">
        <f>Table132[[#This Row],[ÉTAT]]&amp;Table132[[#This Row],[next move]]</f>
        <v>MMEVEEMVV21</v>
      </c>
    </row>
    <row r="4147" spans="2:9" x14ac:dyDescent="0.25">
      <c r="B4147" t="s">
        <v>1482</v>
      </c>
      <c r="C4147" s="22" t="s">
        <v>30</v>
      </c>
      <c r="D4147">
        <v>5</v>
      </c>
      <c r="E4147">
        <v>5</v>
      </c>
      <c r="G4147" s="31">
        <f>Table132[[#This Row],[nb win]]/Table132[[#This Row],[nb play]]</f>
        <v>1</v>
      </c>
      <c r="H4147" t="str">
        <f>MID(Table132[[#This Row],[ÉTAT]],VALUE(RIGHT(Table132[[#This Row],[next move]],1))+1+VALUE(LEFT(Table132[[#This Row],[next move]],1))*3,1)</f>
        <v>V</v>
      </c>
      <c r="I4147" t="str">
        <f>Table132[[#This Row],[ÉTAT]]&amp;Table132[[#This Row],[next move]]</f>
        <v>MMEVEEMEM10</v>
      </c>
    </row>
    <row r="4148" spans="2:9" x14ac:dyDescent="0.25">
      <c r="B4148" t="s">
        <v>1574</v>
      </c>
      <c r="C4148" s="22" t="s">
        <v>29</v>
      </c>
      <c r="D4148">
        <v>1</v>
      </c>
      <c r="G4148" s="25">
        <f>Table132[[#This Row],[nb win]]/Table132[[#This Row],[nb play]]</f>
        <v>0</v>
      </c>
      <c r="H4148" t="str">
        <f>MID(Table132[[#This Row],[ÉTAT]],VALUE(RIGHT(Table132[[#This Row],[next move]],1))+1+VALUE(LEFT(Table132[[#This Row],[next move]],1))*3,1)</f>
        <v>V</v>
      </c>
      <c r="I4148" t="str">
        <f>Table132[[#This Row],[ÉTAT]]&amp;Table132[[#This Row],[next move]]</f>
        <v>MMEMVVVEE11</v>
      </c>
    </row>
    <row r="4149" spans="2:9" x14ac:dyDescent="0.25">
      <c r="B4149" t="s">
        <v>1574</v>
      </c>
      <c r="C4149" s="22" t="s">
        <v>35</v>
      </c>
      <c r="D4149">
        <v>1</v>
      </c>
      <c r="E4149">
        <v>1</v>
      </c>
      <c r="G4149" s="25">
        <f>Table132[[#This Row],[nb win]]/Table132[[#This Row],[nb play]]</f>
        <v>1</v>
      </c>
      <c r="H4149" t="str">
        <f>MID(Table132[[#This Row],[ÉTAT]],VALUE(RIGHT(Table132[[#This Row],[next move]],1))+1+VALUE(LEFT(Table132[[#This Row],[next move]],1))*3,1)</f>
        <v>V</v>
      </c>
      <c r="I4149" t="str">
        <f>Table132[[#This Row],[ÉTAT]]&amp;Table132[[#This Row],[next move]]</f>
        <v>MMEMVVVEE20</v>
      </c>
    </row>
    <row r="4150" spans="2:9" x14ac:dyDescent="0.25">
      <c r="B4150" t="s">
        <v>1729</v>
      </c>
      <c r="C4150" s="22" t="s">
        <v>28</v>
      </c>
      <c r="D4150">
        <v>1</v>
      </c>
      <c r="G4150" s="25">
        <f>Table132[[#This Row],[nb win]]/Table132[[#This Row],[nb play]]</f>
        <v>0</v>
      </c>
      <c r="H4150" t="str">
        <f>MID(Table132[[#This Row],[ÉTAT]],VALUE(RIGHT(Table132[[#This Row],[next move]],1))+1+VALUE(LEFT(Table132[[#This Row],[next move]],1))*3,1)</f>
        <v>V</v>
      </c>
      <c r="I4150" t="str">
        <f>Table132[[#This Row],[ÉTAT]]&amp;Table132[[#This Row],[next move]]</f>
        <v>MMEMVVEVE12</v>
      </c>
    </row>
    <row r="4151" spans="2:9" x14ac:dyDescent="0.25">
      <c r="B4151" t="s">
        <v>1729</v>
      </c>
      <c r="C4151" s="22" t="s">
        <v>22</v>
      </c>
      <c r="D4151">
        <v>1</v>
      </c>
      <c r="G4151" s="30">
        <f>Table132[[#This Row],[nb win]]/Table132[[#This Row],[nb play]]</f>
        <v>0</v>
      </c>
      <c r="H4151" t="str">
        <f>MID(Table132[[#This Row],[ÉTAT]],VALUE(RIGHT(Table132[[#This Row],[next move]],1))+1+VALUE(LEFT(Table132[[#This Row],[next move]],1))*3,1)</f>
        <v>V</v>
      </c>
      <c r="I4151" t="str">
        <f>Table132[[#This Row],[ÉTAT]]&amp;Table132[[#This Row],[next move]]</f>
        <v>MMEMVVEVE21</v>
      </c>
    </row>
    <row r="4152" spans="2:9" x14ac:dyDescent="0.25">
      <c r="B4152" t="s">
        <v>1715</v>
      </c>
      <c r="C4152" s="22" t="s">
        <v>29</v>
      </c>
      <c r="D4152">
        <v>3</v>
      </c>
      <c r="G4152" s="30">
        <f>Table132[[#This Row],[nb win]]/Table132[[#This Row],[nb play]]</f>
        <v>0</v>
      </c>
      <c r="H4152" t="str">
        <f>MID(Table132[[#This Row],[ÉTAT]],VALUE(RIGHT(Table132[[#This Row],[next move]],1))+1+VALUE(LEFT(Table132[[#This Row],[next move]],1))*3,1)</f>
        <v>V</v>
      </c>
      <c r="I4152" t="str">
        <f>Table132[[#This Row],[ÉTAT]]&amp;Table132[[#This Row],[next move]]</f>
        <v>MMEMVVEEV11</v>
      </c>
    </row>
    <row r="4153" spans="2:9" x14ac:dyDescent="0.25">
      <c r="B4153" t="s">
        <v>1715</v>
      </c>
      <c r="C4153" s="22" t="s">
        <v>28</v>
      </c>
      <c r="D4153">
        <v>1</v>
      </c>
      <c r="G4153" s="30">
        <f>Table132[[#This Row],[nb win]]/Table132[[#This Row],[nb play]]</f>
        <v>0</v>
      </c>
      <c r="H4153" t="str">
        <f>MID(Table132[[#This Row],[ÉTAT]],VALUE(RIGHT(Table132[[#This Row],[next move]],1))+1+VALUE(LEFT(Table132[[#This Row],[next move]],1))*3,1)</f>
        <v>V</v>
      </c>
      <c r="I4153" t="str">
        <f>Table132[[#This Row],[ÉTAT]]&amp;Table132[[#This Row],[next move]]</f>
        <v>MMEMVVEEV12</v>
      </c>
    </row>
    <row r="4154" spans="2:9" x14ac:dyDescent="0.25">
      <c r="B4154" t="s">
        <v>1715</v>
      </c>
      <c r="C4154" s="22" t="s">
        <v>31</v>
      </c>
      <c r="D4154">
        <v>1</v>
      </c>
      <c r="G4154" s="25">
        <f>Table132[[#This Row],[nb win]]/Table132[[#This Row],[nb play]]</f>
        <v>0</v>
      </c>
      <c r="H4154" t="str">
        <f>MID(Table132[[#This Row],[ÉTAT]],VALUE(RIGHT(Table132[[#This Row],[next move]],1))+1+VALUE(LEFT(Table132[[#This Row],[next move]],1))*3,1)</f>
        <v>V</v>
      </c>
      <c r="I4154" t="str">
        <f>Table132[[#This Row],[ÉTAT]]&amp;Table132[[#This Row],[next move]]</f>
        <v>MMEMVVEEV22</v>
      </c>
    </row>
    <row r="4155" spans="2:9" x14ac:dyDescent="0.25">
      <c r="B4155" t="s">
        <v>1209</v>
      </c>
      <c r="C4155" s="22" t="s">
        <v>35</v>
      </c>
      <c r="D4155">
        <v>2</v>
      </c>
      <c r="E4155">
        <v>2</v>
      </c>
      <c r="G4155" s="25">
        <f>Table132[[#This Row],[nb win]]/Table132[[#This Row],[nb play]]</f>
        <v>1</v>
      </c>
      <c r="H4155" t="str">
        <f>MID(Table132[[#This Row],[ÉTAT]],VALUE(RIGHT(Table132[[#This Row],[next move]],1))+1+VALUE(LEFT(Table132[[#This Row],[next move]],1))*3,1)</f>
        <v>V</v>
      </c>
      <c r="I4155" t="str">
        <f>Table132[[#This Row],[ÉTAT]]&amp;Table132[[#This Row],[next move]]</f>
        <v>MMEMVEVEV20</v>
      </c>
    </row>
    <row r="4156" spans="2:9" x14ac:dyDescent="0.25">
      <c r="B4156" t="s">
        <v>3368</v>
      </c>
      <c r="C4156" s="22" t="s">
        <v>31</v>
      </c>
      <c r="D4156">
        <v>1</v>
      </c>
      <c r="G4156" s="30">
        <f>Table132[[#This Row],[nb win]]/Table132[[#This Row],[nb play]]</f>
        <v>0</v>
      </c>
      <c r="H4156" t="str">
        <f>MID(Table132[[#This Row],[ÉTAT]],VALUE(RIGHT(Table132[[#This Row],[next move]],1))+1+VALUE(LEFT(Table132[[#This Row],[next move]],1))*3,1)</f>
        <v>V</v>
      </c>
      <c r="I4156" t="str">
        <f>Table132[[#This Row],[ÉTAT]]&amp;Table132[[#This Row],[next move]]</f>
        <v>MMEMVEEEV22</v>
      </c>
    </row>
    <row r="4157" spans="2:9" x14ac:dyDescent="0.25">
      <c r="B4157" t="s">
        <v>3465</v>
      </c>
      <c r="C4157" s="22" t="s">
        <v>29</v>
      </c>
      <c r="D4157">
        <v>1</v>
      </c>
      <c r="E4157">
        <v>1</v>
      </c>
      <c r="G4157" s="31">
        <f>Table132[[#This Row],[nb win]]/Table132[[#This Row],[nb play]]</f>
        <v>1</v>
      </c>
      <c r="H4157" t="str">
        <f>MID(Table132[[#This Row],[ÉTAT]],VALUE(RIGHT(Table132[[#This Row],[next move]],1))+1+VALUE(LEFT(Table132[[#This Row],[next move]],1))*3,1)</f>
        <v>V</v>
      </c>
      <c r="I4157" t="str">
        <f>Table132[[#This Row],[ÉTAT]]&amp;Table132[[#This Row],[next move]]</f>
        <v>MMEMVEEEM11</v>
      </c>
    </row>
    <row r="4158" spans="2:9" x14ac:dyDescent="0.25">
      <c r="B4158" t="s">
        <v>166</v>
      </c>
      <c r="C4158" s="22" t="s">
        <v>31</v>
      </c>
      <c r="D4158">
        <v>2</v>
      </c>
      <c r="E4158">
        <v>2</v>
      </c>
      <c r="G4158" s="25">
        <f>Table132[[#This Row],[nb win]]/Table132[[#This Row],[nb play]]</f>
        <v>1</v>
      </c>
      <c r="H4158" t="str">
        <f>MID(Table132[[#This Row],[ÉTAT]],VALUE(RIGHT(Table132[[#This Row],[next move]],1))+1+VALUE(LEFT(Table132[[#This Row],[next move]],1))*3,1)</f>
        <v>V</v>
      </c>
      <c r="I4158" t="str">
        <f>Table132[[#This Row],[ÉTAT]]&amp;Table132[[#This Row],[next move]]</f>
        <v>MMEMMEEEV22</v>
      </c>
    </row>
    <row r="4159" spans="2:9" x14ac:dyDescent="0.25">
      <c r="B4159" t="s">
        <v>2902</v>
      </c>
      <c r="C4159" s="22" t="s">
        <v>22</v>
      </c>
      <c r="D4159">
        <v>1</v>
      </c>
      <c r="G4159" s="25">
        <f>Table132[[#This Row],[nb win]]/Table132[[#This Row],[nb play]]</f>
        <v>0</v>
      </c>
      <c r="H4159" t="str">
        <f>MID(Table132[[#This Row],[ÉTAT]],VALUE(RIGHT(Table132[[#This Row],[next move]],1))+1+VALUE(LEFT(Table132[[#This Row],[next move]],1))*3,1)</f>
        <v>V</v>
      </c>
      <c r="I4159" t="str">
        <f>Table132[[#This Row],[ÉTAT]]&amp;Table132[[#This Row],[next move]]</f>
        <v>MMEMEVVVE21</v>
      </c>
    </row>
    <row r="4160" spans="2:9" x14ac:dyDescent="0.25">
      <c r="B4160" t="s">
        <v>1363</v>
      </c>
      <c r="C4160" s="22" t="s">
        <v>28</v>
      </c>
      <c r="D4160">
        <v>1</v>
      </c>
      <c r="G4160" s="25">
        <f>Table132[[#This Row],[nb win]]/Table132[[#This Row],[nb play]]</f>
        <v>0</v>
      </c>
      <c r="H4160" t="str">
        <f>MID(Table132[[#This Row],[ÉTAT]],VALUE(RIGHT(Table132[[#This Row],[next move]],1))+1+VALUE(LEFT(Table132[[#This Row],[next move]],1))*3,1)</f>
        <v>V</v>
      </c>
      <c r="I4160" t="str">
        <f>Table132[[#This Row],[ÉTAT]]&amp;Table132[[#This Row],[next move]]</f>
        <v>MMEMEVVEE12</v>
      </c>
    </row>
    <row r="4161" spans="2:9" x14ac:dyDescent="0.25">
      <c r="B4161" t="s">
        <v>706</v>
      </c>
      <c r="C4161" s="22" t="s">
        <v>35</v>
      </c>
      <c r="D4161">
        <v>4</v>
      </c>
      <c r="E4161">
        <v>4</v>
      </c>
      <c r="G4161" s="25">
        <f>Table132[[#This Row],[nb win]]/Table132[[#This Row],[nb play]]</f>
        <v>1</v>
      </c>
      <c r="H4161" t="str">
        <f>MID(Table132[[#This Row],[ÉTAT]],VALUE(RIGHT(Table132[[#This Row],[next move]],1))+1+VALUE(LEFT(Table132[[#This Row],[next move]],1))*3,1)</f>
        <v>V</v>
      </c>
      <c r="I4161" t="str">
        <f>Table132[[#This Row],[ÉTAT]]&amp;Table132[[#This Row],[next move]]</f>
        <v>MMEMEMVEE20</v>
      </c>
    </row>
    <row r="4162" spans="2:9" x14ac:dyDescent="0.25">
      <c r="B4162" t="s">
        <v>1167</v>
      </c>
      <c r="C4162" s="22" t="s">
        <v>35</v>
      </c>
      <c r="D4162">
        <v>3</v>
      </c>
      <c r="E4162">
        <v>3</v>
      </c>
      <c r="G4162" s="31">
        <f>Table132[[#This Row],[nb win]]/Table132[[#This Row],[nb play]]</f>
        <v>1</v>
      </c>
      <c r="H4162" t="str">
        <f>MID(Table132[[#This Row],[ÉTAT]],VALUE(RIGHT(Table132[[#This Row],[next move]],1))+1+VALUE(LEFT(Table132[[#This Row],[next move]],1))*3,1)</f>
        <v>V</v>
      </c>
      <c r="I4162" t="str">
        <f>Table132[[#This Row],[ÉTAT]]&amp;Table132[[#This Row],[next move]]</f>
        <v>MMEMEEVEV20</v>
      </c>
    </row>
    <row r="4163" spans="2:9" x14ac:dyDescent="0.25">
      <c r="B4163" t="s">
        <v>1167</v>
      </c>
      <c r="C4163" s="22" t="s">
        <v>31</v>
      </c>
      <c r="D4163">
        <v>3</v>
      </c>
      <c r="G4163" s="30">
        <f>Table132[[#This Row],[nb win]]/Table132[[#This Row],[nb play]]</f>
        <v>0</v>
      </c>
      <c r="H4163" t="str">
        <f>MID(Table132[[#This Row],[ÉTAT]],VALUE(RIGHT(Table132[[#This Row],[next move]],1))+1+VALUE(LEFT(Table132[[#This Row],[next move]],1))*3,1)</f>
        <v>V</v>
      </c>
      <c r="I4163" t="str">
        <f>Table132[[#This Row],[ÉTAT]]&amp;Table132[[#This Row],[next move]]</f>
        <v>MMEMEEVEV22</v>
      </c>
    </row>
    <row r="4164" spans="2:9" x14ac:dyDescent="0.25">
      <c r="B4164" t="s">
        <v>381</v>
      </c>
      <c r="C4164" s="22" t="s">
        <v>35</v>
      </c>
      <c r="D4164">
        <v>4</v>
      </c>
      <c r="E4164">
        <v>4</v>
      </c>
      <c r="G4164" s="31">
        <f>Table132[[#This Row],[nb win]]/Table132[[#This Row],[nb play]]</f>
        <v>1</v>
      </c>
      <c r="H4164" t="str">
        <f>MID(Table132[[#This Row],[ÉTAT]],VALUE(RIGHT(Table132[[#This Row],[next move]],1))+1+VALUE(LEFT(Table132[[#This Row],[next move]],1))*3,1)</f>
        <v>V</v>
      </c>
      <c r="I4164" t="str">
        <f>Table132[[#This Row],[ÉTAT]]&amp;Table132[[#This Row],[next move]]</f>
        <v>MMEMEEVEM20</v>
      </c>
    </row>
    <row r="4165" spans="2:9" x14ac:dyDescent="0.25">
      <c r="B4165" t="s">
        <v>2839</v>
      </c>
      <c r="C4165" s="22" t="s">
        <v>29</v>
      </c>
      <c r="D4165">
        <v>1</v>
      </c>
      <c r="G4165" s="25">
        <f>Table132[[#This Row],[nb win]]/Table132[[#This Row],[nb play]]</f>
        <v>0</v>
      </c>
      <c r="H4165" t="str">
        <f>MID(Table132[[#This Row],[ÉTAT]],VALUE(RIGHT(Table132[[#This Row],[next move]],1))+1+VALUE(LEFT(Table132[[#This Row],[next move]],1))*3,1)</f>
        <v>V</v>
      </c>
      <c r="I4165" t="str">
        <f>Table132[[#This Row],[ÉTAT]]&amp;Table132[[#This Row],[next move]]</f>
        <v>MMEEVVVVE11</v>
      </c>
    </row>
    <row r="4166" spans="2:9" x14ac:dyDescent="0.25">
      <c r="B4166" t="s">
        <v>3493</v>
      </c>
      <c r="C4166" s="22" t="s">
        <v>29</v>
      </c>
      <c r="D4166">
        <v>1</v>
      </c>
      <c r="E4166">
        <v>1</v>
      </c>
      <c r="G4166" s="31">
        <f>Table132[[#This Row],[nb win]]/Table132[[#This Row],[nb play]]</f>
        <v>1</v>
      </c>
      <c r="H4166" t="str">
        <f>MID(Table132[[#This Row],[ÉTAT]],VALUE(RIGHT(Table132[[#This Row],[next move]],1))+1+VALUE(LEFT(Table132[[#This Row],[next move]],1))*3,1)</f>
        <v>V</v>
      </c>
      <c r="I4166" t="str">
        <f>Table132[[#This Row],[ÉTAT]]&amp;Table132[[#This Row],[next move]]</f>
        <v>MMEEVVVME11</v>
      </c>
    </row>
    <row r="4167" spans="2:9" x14ac:dyDescent="0.25">
      <c r="B4167" t="s">
        <v>613</v>
      </c>
      <c r="C4167" s="22" t="s">
        <v>29</v>
      </c>
      <c r="D4167">
        <v>1</v>
      </c>
      <c r="E4167">
        <v>1</v>
      </c>
      <c r="G4167" s="25">
        <f>Table132[[#This Row],[nb win]]/Table132[[#This Row],[nb play]]</f>
        <v>1</v>
      </c>
      <c r="H4167" t="str">
        <f>MID(Table132[[#This Row],[ÉTAT]],VALUE(RIGHT(Table132[[#This Row],[next move]],1))+1+VALUE(LEFT(Table132[[#This Row],[next move]],1))*3,1)</f>
        <v>V</v>
      </c>
      <c r="I4167" t="str">
        <f>Table132[[#This Row],[ÉTAT]]&amp;Table132[[#This Row],[next move]]</f>
        <v>MMEEVVVEM11</v>
      </c>
    </row>
    <row r="4168" spans="2:9" x14ac:dyDescent="0.25">
      <c r="B4168" t="s">
        <v>1820</v>
      </c>
      <c r="C4168" s="22" t="s">
        <v>29</v>
      </c>
      <c r="D4168">
        <v>1</v>
      </c>
      <c r="G4168" s="25">
        <f>Table132[[#This Row],[nb win]]/Table132[[#This Row],[nb play]]</f>
        <v>0</v>
      </c>
      <c r="H4168" t="str">
        <f>MID(Table132[[#This Row],[ÉTAT]],VALUE(RIGHT(Table132[[#This Row],[next move]],1))+1+VALUE(LEFT(Table132[[#This Row],[next move]],1))*3,1)</f>
        <v>V</v>
      </c>
      <c r="I4168" t="str">
        <f>Table132[[#This Row],[ÉTAT]]&amp;Table132[[#This Row],[next move]]</f>
        <v>MMEEVVMVE11</v>
      </c>
    </row>
    <row r="4169" spans="2:9" x14ac:dyDescent="0.25">
      <c r="B4169" t="s">
        <v>1820</v>
      </c>
      <c r="C4169" s="22" t="s">
        <v>22</v>
      </c>
      <c r="D4169">
        <v>1</v>
      </c>
      <c r="G4169" s="25">
        <f>Table132[[#This Row],[nb win]]/Table132[[#This Row],[nb play]]</f>
        <v>0</v>
      </c>
      <c r="H4169" t="str">
        <f>MID(Table132[[#This Row],[ÉTAT]],VALUE(RIGHT(Table132[[#This Row],[next move]],1))+1+VALUE(LEFT(Table132[[#This Row],[next move]],1))*3,1)</f>
        <v>V</v>
      </c>
      <c r="I4169" t="str">
        <f>Table132[[#This Row],[ÉTAT]]&amp;Table132[[#This Row],[next move]]</f>
        <v>MMEEVVMVE21</v>
      </c>
    </row>
    <row r="4170" spans="2:9" x14ac:dyDescent="0.25">
      <c r="B4170" t="s">
        <v>3033</v>
      </c>
      <c r="C4170" s="22" t="s">
        <v>29</v>
      </c>
      <c r="D4170">
        <v>1</v>
      </c>
      <c r="E4170">
        <v>1</v>
      </c>
      <c r="G4170" s="31">
        <f>Table132[[#This Row],[nb win]]/Table132[[#This Row],[nb play]]</f>
        <v>1</v>
      </c>
      <c r="H4170" t="str">
        <f>MID(Table132[[#This Row],[ÉTAT]],VALUE(RIGHT(Table132[[#This Row],[next move]],1))+1+VALUE(LEFT(Table132[[#This Row],[next move]],1))*3,1)</f>
        <v>V</v>
      </c>
      <c r="I4170" t="str">
        <f>Table132[[#This Row],[ÉTAT]]&amp;Table132[[#This Row],[next move]]</f>
        <v>MMEEVVMEV11</v>
      </c>
    </row>
    <row r="4171" spans="2:9" x14ac:dyDescent="0.25">
      <c r="B4171" t="s">
        <v>2699</v>
      </c>
      <c r="C4171" s="22" t="s">
        <v>29</v>
      </c>
      <c r="D4171">
        <v>1</v>
      </c>
      <c r="G4171" s="25">
        <f>Table132[[#This Row],[nb win]]/Table132[[#This Row],[nb play]]</f>
        <v>0</v>
      </c>
      <c r="H4171" t="str">
        <f>MID(Table132[[#This Row],[ÉTAT]],VALUE(RIGHT(Table132[[#This Row],[next move]],1))+1+VALUE(LEFT(Table132[[#This Row],[next move]],1))*3,1)</f>
        <v>V</v>
      </c>
      <c r="I4171" t="str">
        <f>Table132[[#This Row],[ÉTAT]]&amp;Table132[[#This Row],[next move]]</f>
        <v>MMEEVVMEE11</v>
      </c>
    </row>
    <row r="4172" spans="2:9" x14ac:dyDescent="0.25">
      <c r="B4172" t="s">
        <v>1163</v>
      </c>
      <c r="C4172" s="22" t="s">
        <v>29</v>
      </c>
      <c r="D4172">
        <v>3</v>
      </c>
      <c r="E4172">
        <v>3</v>
      </c>
      <c r="G4172" s="31">
        <f>Table132[[#This Row],[nb win]]/Table132[[#This Row],[nb play]]</f>
        <v>1</v>
      </c>
      <c r="H4172" t="str">
        <f>MID(Table132[[#This Row],[ÉTAT]],VALUE(RIGHT(Table132[[#This Row],[next move]],1))+1+VALUE(LEFT(Table132[[#This Row],[next move]],1))*3,1)</f>
        <v>V</v>
      </c>
      <c r="I4172" t="str">
        <f>Table132[[#This Row],[ÉTAT]]&amp;Table132[[#This Row],[next move]]</f>
        <v>MMEEVVEVV11</v>
      </c>
    </row>
    <row r="4173" spans="2:9" x14ac:dyDescent="0.25">
      <c r="B4173" t="s">
        <v>1163</v>
      </c>
      <c r="C4173" s="22" t="s">
        <v>22</v>
      </c>
      <c r="D4173">
        <v>1</v>
      </c>
      <c r="G4173" s="25">
        <f>Table132[[#This Row],[nb win]]/Table132[[#This Row],[nb play]]</f>
        <v>0</v>
      </c>
      <c r="H4173" t="str">
        <f>MID(Table132[[#This Row],[ÉTAT]],VALUE(RIGHT(Table132[[#This Row],[next move]],1))+1+VALUE(LEFT(Table132[[#This Row],[next move]],1))*3,1)</f>
        <v>V</v>
      </c>
      <c r="I4173" t="str">
        <f>Table132[[#This Row],[ÉTAT]]&amp;Table132[[#This Row],[next move]]</f>
        <v>MMEEVVEVV21</v>
      </c>
    </row>
    <row r="4174" spans="2:9" x14ac:dyDescent="0.25">
      <c r="B4174" t="s">
        <v>987</v>
      </c>
      <c r="C4174" s="22" t="s">
        <v>29</v>
      </c>
      <c r="D4174">
        <v>1</v>
      </c>
      <c r="E4174">
        <v>1</v>
      </c>
      <c r="G4174" s="25">
        <f>Table132[[#This Row],[nb win]]/Table132[[#This Row],[nb play]]</f>
        <v>1</v>
      </c>
      <c r="H4174" t="str">
        <f>MID(Table132[[#This Row],[ÉTAT]],VALUE(RIGHT(Table132[[#This Row],[next move]],1))+1+VALUE(LEFT(Table132[[#This Row],[next move]],1))*3,1)</f>
        <v>V</v>
      </c>
      <c r="I4174" t="str">
        <f>Table132[[#This Row],[ÉTAT]]&amp;Table132[[#This Row],[next move]]</f>
        <v>MMEEVVEVM11</v>
      </c>
    </row>
    <row r="4175" spans="2:9" x14ac:dyDescent="0.25">
      <c r="B4175" t="s">
        <v>990</v>
      </c>
      <c r="C4175" s="22" t="s">
        <v>31</v>
      </c>
      <c r="D4175">
        <v>1</v>
      </c>
      <c r="E4175">
        <v>1</v>
      </c>
      <c r="G4175" s="25">
        <f>Table132[[#This Row],[nb win]]/Table132[[#This Row],[nb play]]</f>
        <v>1</v>
      </c>
      <c r="H4175" t="str">
        <f>MID(Table132[[#This Row],[ÉTAT]],VALUE(RIGHT(Table132[[#This Row],[next move]],1))+1+VALUE(LEFT(Table132[[#This Row],[next move]],1))*3,1)</f>
        <v>V</v>
      </c>
      <c r="I4175" t="str">
        <f>Table132[[#This Row],[ÉTAT]]&amp;Table132[[#This Row],[next move]]</f>
        <v>MMEEVVEMV22</v>
      </c>
    </row>
    <row r="4176" spans="2:9" x14ac:dyDescent="0.25">
      <c r="B4176" t="s">
        <v>2556</v>
      </c>
      <c r="C4176" s="22" t="s">
        <v>29</v>
      </c>
      <c r="D4176">
        <v>2</v>
      </c>
      <c r="E4176">
        <v>2</v>
      </c>
      <c r="G4176" s="31">
        <f>Table132[[#This Row],[nb win]]/Table132[[#This Row],[nb play]]</f>
        <v>1</v>
      </c>
      <c r="H4176" t="str">
        <f>MID(Table132[[#This Row],[ÉTAT]],VALUE(RIGHT(Table132[[#This Row],[next move]],1))+1+VALUE(LEFT(Table132[[#This Row],[next move]],1))*3,1)</f>
        <v>V</v>
      </c>
      <c r="I4176" t="str">
        <f>Table132[[#This Row],[ÉTAT]]&amp;Table132[[#This Row],[next move]]</f>
        <v>MMEEVVEME11</v>
      </c>
    </row>
    <row r="4177" spans="2:9" x14ac:dyDescent="0.25">
      <c r="B4177" t="s">
        <v>1471</v>
      </c>
      <c r="C4177" s="22" t="s">
        <v>29</v>
      </c>
      <c r="D4177">
        <v>2</v>
      </c>
      <c r="E4177">
        <v>2</v>
      </c>
      <c r="G4177" s="31">
        <f>Table132[[#This Row],[nb win]]/Table132[[#This Row],[nb play]]</f>
        <v>1</v>
      </c>
      <c r="H4177" t="str">
        <f>MID(Table132[[#This Row],[ÉTAT]],VALUE(RIGHT(Table132[[#This Row],[next move]],1))+1+VALUE(LEFT(Table132[[#This Row],[next move]],1))*3,1)</f>
        <v>V</v>
      </c>
      <c r="I4177" t="str">
        <f>Table132[[#This Row],[ÉTAT]]&amp;Table132[[#This Row],[next move]]</f>
        <v>MMEEVVEEM11</v>
      </c>
    </row>
    <row r="4178" spans="2:9" x14ac:dyDescent="0.25">
      <c r="B4178" t="s">
        <v>1471</v>
      </c>
      <c r="C4178" s="22" t="s">
        <v>28</v>
      </c>
      <c r="D4178">
        <v>3</v>
      </c>
      <c r="G4178" s="30">
        <f>Table132[[#This Row],[nb win]]/Table132[[#This Row],[nb play]]</f>
        <v>0</v>
      </c>
      <c r="H4178" t="str">
        <f>MID(Table132[[#This Row],[ÉTAT]],VALUE(RIGHT(Table132[[#This Row],[next move]],1))+1+VALUE(LEFT(Table132[[#This Row],[next move]],1))*3,1)</f>
        <v>V</v>
      </c>
      <c r="I4178" t="str">
        <f>Table132[[#This Row],[ÉTAT]]&amp;Table132[[#This Row],[next move]]</f>
        <v>MMEEVVEEM12</v>
      </c>
    </row>
    <row r="4179" spans="2:9" x14ac:dyDescent="0.25">
      <c r="B4179" t="s">
        <v>2695</v>
      </c>
      <c r="C4179" s="22" t="s">
        <v>22</v>
      </c>
      <c r="D4179">
        <v>1</v>
      </c>
      <c r="E4179">
        <v>1</v>
      </c>
      <c r="G4179" s="25">
        <f>Table132[[#This Row],[nb win]]/Table132[[#This Row],[nb play]]</f>
        <v>1</v>
      </c>
      <c r="H4179" t="str">
        <f>MID(Table132[[#This Row],[ÉTAT]],VALUE(RIGHT(Table132[[#This Row],[next move]],1))+1+VALUE(LEFT(Table132[[#This Row],[next move]],1))*3,1)</f>
        <v>V</v>
      </c>
      <c r="I4179" t="str">
        <f>Table132[[#This Row],[ÉTAT]]&amp;Table132[[#This Row],[next move]]</f>
        <v>MMEEVMEVV21</v>
      </c>
    </row>
    <row r="4180" spans="2:9" x14ac:dyDescent="0.25">
      <c r="B4180" t="s">
        <v>2257</v>
      </c>
      <c r="C4180" s="22" t="s">
        <v>29</v>
      </c>
      <c r="D4180">
        <v>4</v>
      </c>
      <c r="E4180">
        <v>4</v>
      </c>
      <c r="G4180" s="31">
        <f>Table132[[#This Row],[nb win]]/Table132[[#This Row],[nb play]]</f>
        <v>1</v>
      </c>
      <c r="H4180" t="str">
        <f>MID(Table132[[#This Row],[ÉTAT]],VALUE(RIGHT(Table132[[#This Row],[next move]],1))+1+VALUE(LEFT(Table132[[#This Row],[next move]],1))*3,1)</f>
        <v>V</v>
      </c>
      <c r="I4180" t="str">
        <f>Table132[[#This Row],[ÉTAT]]&amp;Table132[[#This Row],[next move]]</f>
        <v>MMEEVMEME11</v>
      </c>
    </row>
    <row r="4181" spans="2:9" x14ac:dyDescent="0.25">
      <c r="B4181" t="s">
        <v>806</v>
      </c>
      <c r="C4181" s="22" t="s">
        <v>29</v>
      </c>
      <c r="D4181">
        <v>4</v>
      </c>
      <c r="G4181" s="30">
        <f>Table132[[#This Row],[nb win]]/Table132[[#This Row],[nb play]]</f>
        <v>0</v>
      </c>
      <c r="H4181" t="str">
        <f>MID(Table132[[#This Row],[ÉTAT]],VALUE(RIGHT(Table132[[#This Row],[next move]],1))+1+VALUE(LEFT(Table132[[#This Row],[next move]],1))*3,1)</f>
        <v>V</v>
      </c>
      <c r="I4181" t="str">
        <f>Table132[[#This Row],[ÉTAT]]&amp;Table132[[#This Row],[next move]]</f>
        <v>MMEEVMEEV11</v>
      </c>
    </row>
    <row r="4182" spans="2:9" x14ac:dyDescent="0.25">
      <c r="B4182" t="s">
        <v>806</v>
      </c>
      <c r="C4182" s="22" t="s">
        <v>31</v>
      </c>
      <c r="D4182">
        <v>6</v>
      </c>
      <c r="G4182" s="30">
        <f>Table132[[#This Row],[nb win]]/Table132[[#This Row],[nb play]]</f>
        <v>0</v>
      </c>
      <c r="H4182" t="str">
        <f>MID(Table132[[#This Row],[ÉTAT]],VALUE(RIGHT(Table132[[#This Row],[next move]],1))+1+VALUE(LEFT(Table132[[#This Row],[next move]],1))*3,1)</f>
        <v>V</v>
      </c>
      <c r="I4182" t="str">
        <f>Table132[[#This Row],[ÉTAT]]&amp;Table132[[#This Row],[next move]]</f>
        <v>MMEEVMEEV22</v>
      </c>
    </row>
    <row r="4183" spans="2:9" x14ac:dyDescent="0.25">
      <c r="B4183" t="s">
        <v>3259</v>
      </c>
      <c r="C4183" s="22" t="s">
        <v>29</v>
      </c>
      <c r="D4183">
        <v>2</v>
      </c>
      <c r="E4183">
        <v>2</v>
      </c>
      <c r="G4183" s="31">
        <f>Table132[[#This Row],[nb win]]/Table132[[#This Row],[nb play]]</f>
        <v>1</v>
      </c>
      <c r="H4183" t="str">
        <f>MID(Table132[[#This Row],[ÉTAT]],VALUE(RIGHT(Table132[[#This Row],[next move]],1))+1+VALUE(LEFT(Table132[[#This Row],[next move]],1))*3,1)</f>
        <v>V</v>
      </c>
      <c r="I4183" t="str">
        <f>Table132[[#This Row],[ÉTAT]]&amp;Table132[[#This Row],[next move]]</f>
        <v>MMEEVMEEM11</v>
      </c>
    </row>
    <row r="4184" spans="2:9" x14ac:dyDescent="0.25">
      <c r="B4184" t="s">
        <v>1877</v>
      </c>
      <c r="C4184" s="22" t="s">
        <v>29</v>
      </c>
      <c r="D4184">
        <v>1</v>
      </c>
      <c r="E4184">
        <v>1</v>
      </c>
      <c r="G4184" s="25">
        <f>Table132[[#This Row],[nb win]]/Table132[[#This Row],[nb play]]</f>
        <v>1</v>
      </c>
      <c r="H4184" t="str">
        <f>MID(Table132[[#This Row],[ÉTAT]],VALUE(RIGHT(Table132[[#This Row],[next move]],1))+1+VALUE(LEFT(Table132[[#This Row],[next move]],1))*3,1)</f>
        <v>V</v>
      </c>
      <c r="I4184" t="str">
        <f>Table132[[#This Row],[ÉTAT]]&amp;Table132[[#This Row],[next move]]</f>
        <v>MMEEVEVVM11</v>
      </c>
    </row>
    <row r="4185" spans="2:9" x14ac:dyDescent="0.25">
      <c r="B4185" t="s">
        <v>1877</v>
      </c>
      <c r="C4185" s="22" t="s">
        <v>22</v>
      </c>
      <c r="D4185">
        <v>2</v>
      </c>
      <c r="G4185" s="30">
        <f>Table132[[#This Row],[nb win]]/Table132[[#This Row],[nb play]]</f>
        <v>0</v>
      </c>
      <c r="H4185" t="str">
        <f>MID(Table132[[#This Row],[ÉTAT]],VALUE(RIGHT(Table132[[#This Row],[next move]],1))+1+VALUE(LEFT(Table132[[#This Row],[next move]],1))*3,1)</f>
        <v>V</v>
      </c>
      <c r="I4185" t="str">
        <f>Table132[[#This Row],[ÉTAT]]&amp;Table132[[#This Row],[next move]]</f>
        <v>MMEEVEVVM21</v>
      </c>
    </row>
    <row r="4186" spans="2:9" x14ac:dyDescent="0.25">
      <c r="B4186" t="s">
        <v>1008</v>
      </c>
      <c r="C4186" s="22" t="s">
        <v>29</v>
      </c>
      <c r="D4186">
        <v>1</v>
      </c>
      <c r="E4186">
        <v>1</v>
      </c>
      <c r="G4186" s="25">
        <f>Table132[[#This Row],[nb win]]/Table132[[#This Row],[nb play]]</f>
        <v>1</v>
      </c>
      <c r="H4186" t="str">
        <f>MID(Table132[[#This Row],[ÉTAT]],VALUE(RIGHT(Table132[[#This Row],[next move]],1))+1+VALUE(LEFT(Table132[[#This Row],[next move]],1))*3,1)</f>
        <v>V</v>
      </c>
      <c r="I4186" t="str">
        <f>Table132[[#This Row],[ÉTAT]]&amp;Table132[[#This Row],[next move]]</f>
        <v>MMEEVEVEM11</v>
      </c>
    </row>
    <row r="4187" spans="2:9" x14ac:dyDescent="0.25">
      <c r="B4187" t="s">
        <v>904</v>
      </c>
      <c r="C4187" s="22" t="s">
        <v>29</v>
      </c>
      <c r="D4187">
        <v>2</v>
      </c>
      <c r="G4187" s="25">
        <f>Table132[[#This Row],[nb win]]/Table132[[#This Row],[nb play]]</f>
        <v>0</v>
      </c>
      <c r="H4187" t="str">
        <f>MID(Table132[[#This Row],[ÉTAT]],VALUE(RIGHT(Table132[[#This Row],[next move]],1))+1+VALUE(LEFT(Table132[[#This Row],[next move]],1))*3,1)</f>
        <v>V</v>
      </c>
      <c r="I4187" t="str">
        <f>Table132[[#This Row],[ÉTAT]]&amp;Table132[[#This Row],[next move]]</f>
        <v>MMEEVEMEV11</v>
      </c>
    </row>
    <row r="4188" spans="2:9" x14ac:dyDescent="0.25">
      <c r="B4188" t="s">
        <v>904</v>
      </c>
      <c r="C4188" s="22" t="s">
        <v>31</v>
      </c>
      <c r="D4188">
        <v>2</v>
      </c>
      <c r="G4188" s="25">
        <f>Table132[[#This Row],[nb win]]/Table132[[#This Row],[nb play]]</f>
        <v>0</v>
      </c>
      <c r="H4188" t="str">
        <f>MID(Table132[[#This Row],[ÉTAT]],VALUE(RIGHT(Table132[[#This Row],[next move]],1))+1+VALUE(LEFT(Table132[[#This Row],[next move]],1))*3,1)</f>
        <v>V</v>
      </c>
      <c r="I4188" t="str">
        <f>Table132[[#This Row],[ÉTAT]]&amp;Table132[[#This Row],[next move]]</f>
        <v>MMEEVEMEV22</v>
      </c>
    </row>
    <row r="4189" spans="2:9" x14ac:dyDescent="0.25">
      <c r="B4189" t="s">
        <v>964</v>
      </c>
      <c r="C4189" s="22" t="s">
        <v>29</v>
      </c>
      <c r="D4189">
        <v>4</v>
      </c>
      <c r="E4189">
        <v>4</v>
      </c>
      <c r="G4189" s="31">
        <f>Table132[[#This Row],[nb win]]/Table132[[#This Row],[nb play]]</f>
        <v>1</v>
      </c>
      <c r="H4189" t="str">
        <f>MID(Table132[[#This Row],[ÉTAT]],VALUE(RIGHT(Table132[[#This Row],[next move]],1))+1+VALUE(LEFT(Table132[[#This Row],[next move]],1))*3,1)</f>
        <v>V</v>
      </c>
      <c r="I4189" t="str">
        <f>Table132[[#This Row],[ÉTAT]]&amp;Table132[[#This Row],[next move]]</f>
        <v>MMEEVEMEM11</v>
      </c>
    </row>
    <row r="4190" spans="2:9" x14ac:dyDescent="0.25">
      <c r="B4190" t="s">
        <v>1974</v>
      </c>
      <c r="C4190" s="22" t="s">
        <v>29</v>
      </c>
      <c r="D4190">
        <v>1</v>
      </c>
      <c r="E4190">
        <v>1</v>
      </c>
      <c r="G4190" s="31">
        <f>Table132[[#This Row],[nb win]]/Table132[[#This Row],[nb play]]</f>
        <v>1</v>
      </c>
      <c r="H4190" t="str">
        <f>MID(Table132[[#This Row],[ÉTAT]],VALUE(RIGHT(Table132[[#This Row],[next move]],1))+1+VALUE(LEFT(Table132[[#This Row],[next move]],1))*3,1)</f>
        <v>V</v>
      </c>
      <c r="I4190" t="str">
        <f>Table132[[#This Row],[ÉTAT]]&amp;Table132[[#This Row],[next move]]</f>
        <v>MMEEVEEVM11</v>
      </c>
    </row>
    <row r="4191" spans="2:9" x14ac:dyDescent="0.25">
      <c r="B4191" t="s">
        <v>1974</v>
      </c>
      <c r="C4191" s="22" t="s">
        <v>22</v>
      </c>
      <c r="D4191">
        <v>1</v>
      </c>
      <c r="G4191" s="25">
        <f>Table132[[#This Row],[nb win]]/Table132[[#This Row],[nb play]]</f>
        <v>0</v>
      </c>
      <c r="H4191" t="str">
        <f>MID(Table132[[#This Row],[ÉTAT]],VALUE(RIGHT(Table132[[#This Row],[next move]],1))+1+VALUE(LEFT(Table132[[#This Row],[next move]],1))*3,1)</f>
        <v>V</v>
      </c>
      <c r="I4191" t="str">
        <f>Table132[[#This Row],[ÉTAT]]&amp;Table132[[#This Row],[next move]]</f>
        <v>MMEEVEEVM21</v>
      </c>
    </row>
    <row r="4192" spans="2:9" x14ac:dyDescent="0.25">
      <c r="B4192" t="s">
        <v>2908</v>
      </c>
      <c r="C4192" s="22" t="s">
        <v>29</v>
      </c>
      <c r="D4192">
        <v>2</v>
      </c>
      <c r="E4192">
        <v>2</v>
      </c>
      <c r="G4192" s="31">
        <f>Table132[[#This Row],[nb win]]/Table132[[#This Row],[nb play]]</f>
        <v>1</v>
      </c>
      <c r="H4192" t="str">
        <f>MID(Table132[[#This Row],[ÉTAT]],VALUE(RIGHT(Table132[[#This Row],[next move]],1))+1+VALUE(LEFT(Table132[[#This Row],[next move]],1))*3,1)</f>
        <v>V</v>
      </c>
      <c r="I4192" t="str">
        <f>Table132[[#This Row],[ÉTAT]]&amp;Table132[[#This Row],[next move]]</f>
        <v>MMEEVEEMV11</v>
      </c>
    </row>
    <row r="4193" spans="2:9" x14ac:dyDescent="0.25">
      <c r="B4193" t="s">
        <v>2908</v>
      </c>
      <c r="C4193" s="22" t="s">
        <v>31</v>
      </c>
      <c r="D4193">
        <v>1</v>
      </c>
      <c r="G4193" s="25">
        <f>Table132[[#This Row],[nb win]]/Table132[[#This Row],[nb play]]</f>
        <v>0</v>
      </c>
      <c r="H4193" t="str">
        <f>MID(Table132[[#This Row],[ÉTAT]],VALUE(RIGHT(Table132[[#This Row],[next move]],1))+1+VALUE(LEFT(Table132[[#This Row],[next move]],1))*3,1)</f>
        <v>V</v>
      </c>
      <c r="I4193" t="str">
        <f>Table132[[#This Row],[ÉTAT]]&amp;Table132[[#This Row],[next move]]</f>
        <v>MMEEVEEMV22</v>
      </c>
    </row>
    <row r="4194" spans="2:9" x14ac:dyDescent="0.25">
      <c r="B4194" t="s">
        <v>992</v>
      </c>
      <c r="C4194" s="22" t="s">
        <v>29</v>
      </c>
      <c r="D4194">
        <v>2</v>
      </c>
      <c r="E4194">
        <v>2</v>
      </c>
      <c r="G4194" s="31">
        <f>Table132[[#This Row],[nb win]]/Table132[[#This Row],[nb play]]</f>
        <v>1</v>
      </c>
      <c r="H4194" t="str">
        <f>MID(Table132[[#This Row],[ÉTAT]],VALUE(RIGHT(Table132[[#This Row],[next move]],1))+1+VALUE(LEFT(Table132[[#This Row],[next move]],1))*3,1)</f>
        <v>V</v>
      </c>
      <c r="I4194" t="str">
        <f>Table132[[#This Row],[ÉTAT]]&amp;Table132[[#This Row],[next move]]</f>
        <v>MMEEVEEMM11</v>
      </c>
    </row>
    <row r="4195" spans="2:9" x14ac:dyDescent="0.25">
      <c r="B4195" t="s">
        <v>2840</v>
      </c>
      <c r="C4195" s="22" t="s">
        <v>28</v>
      </c>
      <c r="D4195">
        <v>1</v>
      </c>
      <c r="G4195" s="30">
        <f>Table132[[#This Row],[nb win]]/Table132[[#This Row],[nb play]]</f>
        <v>0</v>
      </c>
      <c r="H4195" t="str">
        <f>MID(Table132[[#This Row],[ÉTAT]],VALUE(RIGHT(Table132[[#This Row],[next move]],1))+1+VALUE(LEFT(Table132[[#This Row],[next move]],1))*3,1)</f>
        <v>V</v>
      </c>
      <c r="I4195" t="str">
        <f>Table132[[#This Row],[ÉTAT]]&amp;Table132[[#This Row],[next move]]</f>
        <v>MMEEMVVEE12</v>
      </c>
    </row>
    <row r="4196" spans="2:9" x14ac:dyDescent="0.25">
      <c r="B4196" t="s">
        <v>2840</v>
      </c>
      <c r="C4196" s="22" t="s">
        <v>35</v>
      </c>
      <c r="D4196">
        <v>1</v>
      </c>
      <c r="G4196" s="25">
        <f>Table132[[#This Row],[nb win]]/Table132[[#This Row],[nb play]]</f>
        <v>0</v>
      </c>
      <c r="H4196" t="str">
        <f>MID(Table132[[#This Row],[ÉTAT]],VALUE(RIGHT(Table132[[#This Row],[next move]],1))+1+VALUE(LEFT(Table132[[#This Row],[next move]],1))*3,1)</f>
        <v>V</v>
      </c>
      <c r="I4196" t="str">
        <f>Table132[[#This Row],[ÉTAT]]&amp;Table132[[#This Row],[next move]]</f>
        <v>MMEEMVVEE20</v>
      </c>
    </row>
    <row r="4197" spans="2:9" x14ac:dyDescent="0.25">
      <c r="B4197" t="s">
        <v>2261</v>
      </c>
      <c r="C4197" s="22" t="s">
        <v>28</v>
      </c>
      <c r="D4197">
        <v>3</v>
      </c>
      <c r="E4197">
        <v>3</v>
      </c>
      <c r="G4197" s="31">
        <f>Table132[[#This Row],[nb win]]/Table132[[#This Row],[nb play]]</f>
        <v>1</v>
      </c>
      <c r="H4197" t="str">
        <f>MID(Table132[[#This Row],[ÉTAT]],VALUE(RIGHT(Table132[[#This Row],[next move]],1))+1+VALUE(LEFT(Table132[[#This Row],[next move]],1))*3,1)</f>
        <v>V</v>
      </c>
      <c r="I4197" t="str">
        <f>Table132[[#This Row],[ÉTAT]]&amp;Table132[[#This Row],[next move]]</f>
        <v>MMEEMVEVV12</v>
      </c>
    </row>
    <row r="4198" spans="2:9" x14ac:dyDescent="0.25">
      <c r="B4198" t="s">
        <v>1382</v>
      </c>
      <c r="C4198" s="22" t="s">
        <v>28</v>
      </c>
      <c r="D4198">
        <v>1</v>
      </c>
      <c r="G4198" s="25">
        <f>Table132[[#This Row],[nb win]]/Table132[[#This Row],[nb play]]</f>
        <v>0</v>
      </c>
      <c r="H4198" t="str">
        <f>MID(Table132[[#This Row],[ÉTAT]],VALUE(RIGHT(Table132[[#This Row],[next move]],1))+1+VALUE(LEFT(Table132[[#This Row],[next move]],1))*3,1)</f>
        <v>V</v>
      </c>
      <c r="I4198" t="str">
        <f>Table132[[#This Row],[ÉTAT]]&amp;Table132[[#This Row],[next move]]</f>
        <v>MMEEMVEVE12</v>
      </c>
    </row>
    <row r="4199" spans="2:9" x14ac:dyDescent="0.25">
      <c r="B4199" t="s">
        <v>1382</v>
      </c>
      <c r="C4199" s="22" t="s">
        <v>22</v>
      </c>
      <c r="D4199">
        <v>2</v>
      </c>
      <c r="E4199">
        <v>2</v>
      </c>
      <c r="G4199" s="31">
        <f>Table132[[#This Row],[nb win]]/Table132[[#This Row],[nb play]]</f>
        <v>1</v>
      </c>
      <c r="H4199" t="str">
        <f>MID(Table132[[#This Row],[ÉTAT]],VALUE(RIGHT(Table132[[#This Row],[next move]],1))+1+VALUE(LEFT(Table132[[#This Row],[next move]],1))*3,1)</f>
        <v>V</v>
      </c>
      <c r="I4199" t="str">
        <f>Table132[[#This Row],[ÉTAT]]&amp;Table132[[#This Row],[next move]]</f>
        <v>MMEEMVEVE21</v>
      </c>
    </row>
    <row r="4200" spans="2:9" x14ac:dyDescent="0.25">
      <c r="B4200" t="s">
        <v>2052</v>
      </c>
      <c r="C4200" s="22" t="s">
        <v>28</v>
      </c>
      <c r="D4200">
        <v>1</v>
      </c>
      <c r="G4200" s="25">
        <f>Table132[[#This Row],[nb win]]/Table132[[#This Row],[nb play]]</f>
        <v>0</v>
      </c>
      <c r="H4200" t="str">
        <f>MID(Table132[[#This Row],[ÉTAT]],VALUE(RIGHT(Table132[[#This Row],[next move]],1))+1+VALUE(LEFT(Table132[[#This Row],[next move]],1))*3,1)</f>
        <v>V</v>
      </c>
      <c r="I4200" t="str">
        <f>Table132[[#This Row],[ÉTAT]]&amp;Table132[[#This Row],[next move]]</f>
        <v>MMEEMVEEV12</v>
      </c>
    </row>
    <row r="4201" spans="2:9" x14ac:dyDescent="0.25">
      <c r="B4201" t="s">
        <v>2052</v>
      </c>
      <c r="C4201" s="22" t="s">
        <v>31</v>
      </c>
      <c r="D4201">
        <v>2</v>
      </c>
      <c r="E4201">
        <v>2</v>
      </c>
      <c r="G4201" s="25">
        <f>Table132[[#This Row],[nb win]]/Table132[[#This Row],[nb play]]</f>
        <v>1</v>
      </c>
      <c r="H4201" t="str">
        <f>MID(Table132[[#This Row],[ÉTAT]],VALUE(RIGHT(Table132[[#This Row],[next move]],1))+1+VALUE(LEFT(Table132[[#This Row],[next move]],1))*3,1)</f>
        <v>V</v>
      </c>
      <c r="I4201" t="str">
        <f>Table132[[#This Row],[ÉTAT]]&amp;Table132[[#This Row],[next move]]</f>
        <v>MMEEMVEEV22</v>
      </c>
    </row>
    <row r="4202" spans="2:9" x14ac:dyDescent="0.25">
      <c r="B4202" t="s">
        <v>2733</v>
      </c>
      <c r="C4202" s="22" t="s">
        <v>22</v>
      </c>
      <c r="D4202">
        <v>3</v>
      </c>
      <c r="E4202">
        <v>3</v>
      </c>
      <c r="G4202" s="31">
        <f>Table132[[#This Row],[nb win]]/Table132[[#This Row],[nb play]]</f>
        <v>1</v>
      </c>
      <c r="H4202" t="str">
        <f>MID(Table132[[#This Row],[ÉTAT]],VALUE(RIGHT(Table132[[#This Row],[next move]],1))+1+VALUE(LEFT(Table132[[#This Row],[next move]],1))*3,1)</f>
        <v>V</v>
      </c>
      <c r="I4202" t="str">
        <f>Table132[[#This Row],[ÉTAT]]&amp;Table132[[#This Row],[next move]]</f>
        <v>MMEEMMEVE21</v>
      </c>
    </row>
    <row r="4203" spans="2:9" x14ac:dyDescent="0.25">
      <c r="B4203" t="s">
        <v>2263</v>
      </c>
      <c r="C4203" s="22" t="s">
        <v>31</v>
      </c>
      <c r="D4203">
        <v>3</v>
      </c>
      <c r="E4203">
        <v>3</v>
      </c>
      <c r="G4203" s="31">
        <f>Table132[[#This Row],[nb win]]/Table132[[#This Row],[nb play]]</f>
        <v>1</v>
      </c>
      <c r="H4203" t="str">
        <f>MID(Table132[[#This Row],[ÉTAT]],VALUE(RIGHT(Table132[[#This Row],[next move]],1))+1+VALUE(LEFT(Table132[[#This Row],[next move]],1))*3,1)</f>
        <v>V</v>
      </c>
      <c r="I4203" t="str">
        <f>Table132[[#This Row],[ÉTAT]]&amp;Table132[[#This Row],[next move]]</f>
        <v>MMEEMMEEV22</v>
      </c>
    </row>
    <row r="4204" spans="2:9" x14ac:dyDescent="0.25">
      <c r="B4204" t="s">
        <v>1288</v>
      </c>
      <c r="C4204" s="22" t="s">
        <v>31</v>
      </c>
      <c r="D4204">
        <v>1</v>
      </c>
      <c r="E4204">
        <v>1</v>
      </c>
      <c r="G4204" s="25">
        <f>Table132[[#This Row],[nb win]]/Table132[[#This Row],[nb play]]</f>
        <v>1</v>
      </c>
      <c r="H4204" t="str">
        <f>MID(Table132[[#This Row],[ÉTAT]],VALUE(RIGHT(Table132[[#This Row],[next move]],1))+1+VALUE(LEFT(Table132[[#This Row],[next move]],1))*3,1)</f>
        <v>V</v>
      </c>
      <c r="I4204" t="str">
        <f>Table132[[#This Row],[ÉTAT]]&amp;Table132[[#This Row],[next move]]</f>
        <v>MMEEMEVVV22</v>
      </c>
    </row>
    <row r="4205" spans="2:9" x14ac:dyDescent="0.25">
      <c r="B4205" t="s">
        <v>2823</v>
      </c>
      <c r="C4205" s="22" t="s">
        <v>31</v>
      </c>
      <c r="D4205">
        <v>1</v>
      </c>
      <c r="E4205">
        <v>1</v>
      </c>
      <c r="G4205" s="25">
        <f>Table132[[#This Row],[nb win]]/Table132[[#This Row],[nb play]]</f>
        <v>1</v>
      </c>
      <c r="H4205" t="str">
        <f>MID(Table132[[#This Row],[ÉTAT]],VALUE(RIGHT(Table132[[#This Row],[next move]],1))+1+VALUE(LEFT(Table132[[#This Row],[next move]],1))*3,1)</f>
        <v>V</v>
      </c>
      <c r="I4205" t="str">
        <f>Table132[[#This Row],[ÉTAT]]&amp;Table132[[#This Row],[next move]]</f>
        <v>MMEEMEVEV22</v>
      </c>
    </row>
    <row r="4206" spans="2:9" x14ac:dyDescent="0.25">
      <c r="B4206" t="s">
        <v>3198</v>
      </c>
      <c r="C4206" s="22" t="s">
        <v>31</v>
      </c>
      <c r="D4206">
        <v>3</v>
      </c>
      <c r="E4206">
        <v>3</v>
      </c>
      <c r="G4206" s="31">
        <f>Table132[[#This Row],[nb win]]/Table132[[#This Row],[nb play]]</f>
        <v>1</v>
      </c>
      <c r="H4206" t="str">
        <f>MID(Table132[[#This Row],[ÉTAT]],VALUE(RIGHT(Table132[[#This Row],[next move]],1))+1+VALUE(LEFT(Table132[[#This Row],[next move]],1))*3,1)</f>
        <v>V</v>
      </c>
      <c r="I4206" t="str">
        <f>Table132[[#This Row],[ÉTAT]]&amp;Table132[[#This Row],[next move]]</f>
        <v>MMEEMEMEV22</v>
      </c>
    </row>
    <row r="4207" spans="2:9" x14ac:dyDescent="0.25">
      <c r="B4207" t="s">
        <v>1115</v>
      </c>
      <c r="C4207" s="22" t="s">
        <v>22</v>
      </c>
      <c r="D4207">
        <v>4</v>
      </c>
      <c r="E4207">
        <v>4</v>
      </c>
      <c r="G4207" s="31">
        <f>Table132[[#This Row],[nb win]]/Table132[[#This Row],[nb play]]</f>
        <v>1</v>
      </c>
      <c r="H4207" t="str">
        <f>MID(Table132[[#This Row],[ÉTAT]],VALUE(RIGHT(Table132[[#This Row],[next move]],1))+1+VALUE(LEFT(Table132[[#This Row],[next move]],1))*3,1)</f>
        <v>V</v>
      </c>
      <c r="I4207" t="str">
        <f>Table132[[#This Row],[ÉTAT]]&amp;Table132[[#This Row],[next move]]</f>
        <v>MMEEMEEVV21</v>
      </c>
    </row>
    <row r="4208" spans="2:9" x14ac:dyDescent="0.25">
      <c r="B4208" t="s">
        <v>1168</v>
      </c>
      <c r="C4208" s="22" t="s">
        <v>28</v>
      </c>
      <c r="D4208">
        <v>3</v>
      </c>
      <c r="G4208" s="30">
        <f>Table132[[#This Row],[nb win]]/Table132[[#This Row],[nb play]]</f>
        <v>0</v>
      </c>
      <c r="H4208" t="str">
        <f>MID(Table132[[#This Row],[ÉTAT]],VALUE(RIGHT(Table132[[#This Row],[next move]],1))+1+VALUE(LEFT(Table132[[#This Row],[next move]],1))*3,1)</f>
        <v>V</v>
      </c>
      <c r="I4208" t="str">
        <f>Table132[[#This Row],[ÉTAT]]&amp;Table132[[#This Row],[next move]]</f>
        <v>MMEEEVVME12</v>
      </c>
    </row>
    <row r="4209" spans="2:9" x14ac:dyDescent="0.25">
      <c r="B4209" t="s">
        <v>1168</v>
      </c>
      <c r="C4209" s="22" t="s">
        <v>35</v>
      </c>
      <c r="D4209">
        <v>1</v>
      </c>
      <c r="G4209" s="25">
        <f>Table132[[#This Row],[nb win]]/Table132[[#This Row],[nb play]]</f>
        <v>0</v>
      </c>
      <c r="H4209" t="str">
        <f>MID(Table132[[#This Row],[ÉTAT]],VALUE(RIGHT(Table132[[#This Row],[next move]],1))+1+VALUE(LEFT(Table132[[#This Row],[next move]],1))*3,1)</f>
        <v>V</v>
      </c>
      <c r="I4209" t="str">
        <f>Table132[[#This Row],[ÉTAT]]&amp;Table132[[#This Row],[next move]]</f>
        <v>MMEEEVVME20</v>
      </c>
    </row>
    <row r="4210" spans="2:9" x14ac:dyDescent="0.25">
      <c r="B4210" t="s">
        <v>1745</v>
      </c>
      <c r="C4210" s="22" t="s">
        <v>28</v>
      </c>
      <c r="D4210">
        <v>1</v>
      </c>
      <c r="G4210" s="25">
        <f>Table132[[#This Row],[nb win]]/Table132[[#This Row],[nb play]]</f>
        <v>0</v>
      </c>
      <c r="H4210" t="str">
        <f>MID(Table132[[#This Row],[ÉTAT]],VALUE(RIGHT(Table132[[#This Row],[next move]],1))+1+VALUE(LEFT(Table132[[#This Row],[next move]],1))*3,1)</f>
        <v>V</v>
      </c>
      <c r="I4210" t="str">
        <f>Table132[[#This Row],[ÉTAT]]&amp;Table132[[#This Row],[next move]]</f>
        <v>MMEEEVVEM12</v>
      </c>
    </row>
    <row r="4211" spans="2:9" x14ac:dyDescent="0.25">
      <c r="B4211" t="s">
        <v>1745</v>
      </c>
      <c r="C4211" s="22" t="s">
        <v>35</v>
      </c>
      <c r="D4211">
        <v>1</v>
      </c>
      <c r="G4211" s="30">
        <f>Table132[[#This Row],[nb win]]/Table132[[#This Row],[nb play]]</f>
        <v>0</v>
      </c>
      <c r="H4211" t="str">
        <f>MID(Table132[[#This Row],[ÉTAT]],VALUE(RIGHT(Table132[[#This Row],[next move]],1))+1+VALUE(LEFT(Table132[[#This Row],[next move]],1))*3,1)</f>
        <v>V</v>
      </c>
      <c r="I4211" t="str">
        <f>Table132[[#This Row],[ÉTAT]]&amp;Table132[[#This Row],[next move]]</f>
        <v>MMEEEVVEM20</v>
      </c>
    </row>
    <row r="4212" spans="2:9" x14ac:dyDescent="0.25">
      <c r="B4212" t="s">
        <v>2981</v>
      </c>
      <c r="C4212" s="22" t="s">
        <v>31</v>
      </c>
      <c r="D4212">
        <v>1</v>
      </c>
      <c r="G4212" s="25">
        <f>Table132[[#This Row],[nb win]]/Table132[[#This Row],[nb play]]</f>
        <v>0</v>
      </c>
      <c r="H4212" t="str">
        <f>MID(Table132[[#This Row],[ÉTAT]],VALUE(RIGHT(Table132[[#This Row],[next move]],1))+1+VALUE(LEFT(Table132[[#This Row],[next move]],1))*3,1)</f>
        <v>V</v>
      </c>
      <c r="I4212" t="str">
        <f>Table132[[#This Row],[ÉTAT]]&amp;Table132[[#This Row],[next move]]</f>
        <v>MMEEEVMEV22</v>
      </c>
    </row>
    <row r="4213" spans="2:9" x14ac:dyDescent="0.25">
      <c r="B4213" t="s">
        <v>952</v>
      </c>
      <c r="C4213" s="22" t="s">
        <v>22</v>
      </c>
      <c r="D4213">
        <v>1</v>
      </c>
      <c r="G4213" s="25">
        <f>Table132[[#This Row],[nb win]]/Table132[[#This Row],[nb play]]</f>
        <v>0</v>
      </c>
      <c r="H4213" t="str">
        <f>MID(Table132[[#This Row],[ÉTAT]],VALUE(RIGHT(Table132[[#This Row],[next move]],1))+1+VALUE(LEFT(Table132[[#This Row],[next move]],1))*3,1)</f>
        <v>V</v>
      </c>
      <c r="I4213" t="str">
        <f>Table132[[#This Row],[ÉTAT]]&amp;Table132[[#This Row],[next move]]</f>
        <v>MMEEEMVVV21</v>
      </c>
    </row>
    <row r="4214" spans="2:9" x14ac:dyDescent="0.25">
      <c r="B4214" t="s">
        <v>952</v>
      </c>
      <c r="C4214" s="22" t="s">
        <v>31</v>
      </c>
      <c r="D4214">
        <v>1</v>
      </c>
      <c r="G4214" s="25">
        <f>Table132[[#This Row],[nb win]]/Table132[[#This Row],[nb play]]</f>
        <v>0</v>
      </c>
      <c r="H4214" t="str">
        <f>MID(Table132[[#This Row],[ÉTAT]],VALUE(RIGHT(Table132[[#This Row],[next move]],1))+1+VALUE(LEFT(Table132[[#This Row],[next move]],1))*3,1)</f>
        <v>V</v>
      </c>
      <c r="I4214" t="str">
        <f>Table132[[#This Row],[ÉTAT]]&amp;Table132[[#This Row],[next move]]</f>
        <v>MMEEEMVVV22</v>
      </c>
    </row>
    <row r="4215" spans="2:9" x14ac:dyDescent="0.25">
      <c r="B4215" t="s">
        <v>2339</v>
      </c>
      <c r="C4215" s="22" t="s">
        <v>22</v>
      </c>
      <c r="D4215">
        <v>1</v>
      </c>
      <c r="G4215" s="25">
        <f>Table132[[#This Row],[nb win]]/Table132[[#This Row],[nb play]]</f>
        <v>0</v>
      </c>
      <c r="H4215" t="str">
        <f>MID(Table132[[#This Row],[ÉTAT]],VALUE(RIGHT(Table132[[#This Row],[next move]],1))+1+VALUE(LEFT(Table132[[#This Row],[next move]],1))*3,1)</f>
        <v>V</v>
      </c>
      <c r="I4215" t="str">
        <f>Table132[[#This Row],[ÉTAT]]&amp;Table132[[#This Row],[next move]]</f>
        <v>MMEEEMVVE21</v>
      </c>
    </row>
    <row r="4216" spans="2:9" x14ac:dyDescent="0.25">
      <c r="B4216" t="s">
        <v>2668</v>
      </c>
      <c r="C4216" s="22" t="s">
        <v>31</v>
      </c>
      <c r="D4216">
        <v>1</v>
      </c>
      <c r="G4216" s="25">
        <f>Table132[[#This Row],[nb win]]/Table132[[#This Row],[nb play]]</f>
        <v>0</v>
      </c>
      <c r="H4216" t="str">
        <f>MID(Table132[[#This Row],[ÉTAT]],VALUE(RIGHT(Table132[[#This Row],[next move]],1))+1+VALUE(LEFT(Table132[[#This Row],[next move]],1))*3,1)</f>
        <v>V</v>
      </c>
      <c r="I4216" t="str">
        <f>Table132[[#This Row],[ÉTAT]]&amp;Table132[[#This Row],[next move]]</f>
        <v>MMEEEMVEV22</v>
      </c>
    </row>
    <row r="4217" spans="2:9" x14ac:dyDescent="0.25">
      <c r="B4217" t="s">
        <v>27</v>
      </c>
      <c r="C4217" s="22" t="s">
        <v>20</v>
      </c>
      <c r="D4217">
        <v>13</v>
      </c>
      <c r="E4217">
        <v>6</v>
      </c>
      <c r="G4217" s="31">
        <f>Table132[[#This Row],[nb win]]/Table132[[#This Row],[nb play]]</f>
        <v>0.46153846153846156</v>
      </c>
      <c r="H4217" t="str">
        <f>MID(Table132[[#This Row],[ÉTAT]],VALUE(RIGHT(Table132[[#This Row],[next move]],1))+1+VALUE(LEFT(Table132[[#This Row],[next move]],1))*3,1)</f>
        <v>V</v>
      </c>
      <c r="I4217" t="str">
        <f>Table132[[#This Row],[ÉTAT]]&amp;Table132[[#This Row],[next move]]</f>
        <v>MEVVVVVVV02</v>
      </c>
    </row>
    <row r="4218" spans="2:9" x14ac:dyDescent="0.25">
      <c r="B4218" t="s">
        <v>27</v>
      </c>
      <c r="C4218" s="22" t="s">
        <v>30</v>
      </c>
      <c r="D4218">
        <v>19</v>
      </c>
      <c r="E4218">
        <v>14</v>
      </c>
      <c r="G4218" s="31">
        <f>Table132[[#This Row],[nb win]]/Table132[[#This Row],[nb play]]</f>
        <v>0.73684210526315785</v>
      </c>
      <c r="H4218" t="str">
        <f>MID(Table132[[#This Row],[ÉTAT]],VALUE(RIGHT(Table132[[#This Row],[next move]],1))+1+VALUE(LEFT(Table132[[#This Row],[next move]],1))*3,1)</f>
        <v>V</v>
      </c>
      <c r="I4218" t="str">
        <f>Table132[[#This Row],[ÉTAT]]&amp;Table132[[#This Row],[next move]]</f>
        <v>MEVVVVVVV10</v>
      </c>
    </row>
    <row r="4219" spans="2:9" x14ac:dyDescent="0.25">
      <c r="B4219" t="s">
        <v>27</v>
      </c>
      <c r="C4219" s="22" t="s">
        <v>29</v>
      </c>
      <c r="D4219">
        <v>19</v>
      </c>
      <c r="E4219">
        <v>18</v>
      </c>
      <c r="G4219" s="31">
        <f>Table132[[#This Row],[nb win]]/Table132[[#This Row],[nb play]]</f>
        <v>0.94736842105263153</v>
      </c>
      <c r="H4219" t="str">
        <f>MID(Table132[[#This Row],[ÉTAT]],VALUE(RIGHT(Table132[[#This Row],[next move]],1))+1+VALUE(LEFT(Table132[[#This Row],[next move]],1))*3,1)</f>
        <v>V</v>
      </c>
      <c r="I4219" t="str">
        <f>Table132[[#This Row],[ÉTAT]]&amp;Table132[[#This Row],[next move]]</f>
        <v>MEVVVVVVV11</v>
      </c>
    </row>
    <row r="4220" spans="2:9" x14ac:dyDescent="0.25">
      <c r="B4220" t="s">
        <v>27</v>
      </c>
      <c r="C4220" s="22" t="s">
        <v>28</v>
      </c>
      <c r="D4220">
        <v>3</v>
      </c>
      <c r="E4220">
        <v>2</v>
      </c>
      <c r="G4220" s="30">
        <f>Table132[[#This Row],[nb win]]/Table132[[#This Row],[nb play]]</f>
        <v>0.66666666666666663</v>
      </c>
      <c r="H4220" t="str">
        <f>MID(Table132[[#This Row],[ÉTAT]],VALUE(RIGHT(Table132[[#This Row],[next move]],1))+1+VALUE(LEFT(Table132[[#This Row],[next move]],1))*3,1)</f>
        <v>V</v>
      </c>
      <c r="I4220" t="str">
        <f>Table132[[#This Row],[ÉTAT]]&amp;Table132[[#This Row],[next move]]</f>
        <v>MEVVVVVVV12</v>
      </c>
    </row>
    <row r="4221" spans="2:9" x14ac:dyDescent="0.25">
      <c r="B4221" t="s">
        <v>27</v>
      </c>
      <c r="C4221" s="22" t="s">
        <v>35</v>
      </c>
      <c r="D4221">
        <v>5</v>
      </c>
      <c r="E4221">
        <v>4</v>
      </c>
      <c r="G4221" s="30">
        <f>Table132[[#This Row],[nb win]]/Table132[[#This Row],[nb play]]</f>
        <v>0.8</v>
      </c>
      <c r="H4221" t="str">
        <f>MID(Table132[[#This Row],[ÉTAT]],VALUE(RIGHT(Table132[[#This Row],[next move]],1))+1+VALUE(LEFT(Table132[[#This Row],[next move]],1))*3,1)</f>
        <v>V</v>
      </c>
      <c r="I4221" t="str">
        <f>Table132[[#This Row],[ÉTAT]]&amp;Table132[[#This Row],[next move]]</f>
        <v>MEVVVVVVV20</v>
      </c>
    </row>
    <row r="4222" spans="2:9" x14ac:dyDescent="0.25">
      <c r="B4222" t="s">
        <v>27</v>
      </c>
      <c r="C4222" s="22" t="s">
        <v>31</v>
      </c>
      <c r="D4222">
        <v>12</v>
      </c>
      <c r="E4222">
        <v>11</v>
      </c>
      <c r="G4222" s="31">
        <f>Table132[[#This Row],[nb win]]/Table132[[#This Row],[nb play]]</f>
        <v>0.91666666666666663</v>
      </c>
      <c r="H4222" t="str">
        <f>MID(Table132[[#This Row],[ÉTAT]],VALUE(RIGHT(Table132[[#This Row],[next move]],1))+1+VALUE(LEFT(Table132[[#This Row],[next move]],1))*3,1)</f>
        <v>V</v>
      </c>
      <c r="I4222" t="str">
        <f>Table132[[#This Row],[ÉTAT]]&amp;Table132[[#This Row],[next move]]</f>
        <v>MEVVVVVVV22</v>
      </c>
    </row>
    <row r="4223" spans="2:9" x14ac:dyDescent="0.25">
      <c r="B4223" t="s">
        <v>280</v>
      </c>
      <c r="C4223" s="22" t="s">
        <v>20</v>
      </c>
      <c r="D4223">
        <v>3</v>
      </c>
      <c r="E4223">
        <v>1</v>
      </c>
      <c r="G4223" s="30">
        <f>Table132[[#This Row],[nb win]]/Table132[[#This Row],[nb play]]</f>
        <v>0.33333333333333331</v>
      </c>
      <c r="H4223" t="str">
        <f>MID(Table132[[#This Row],[ÉTAT]],VALUE(RIGHT(Table132[[#This Row],[next move]],1))+1+VALUE(LEFT(Table132[[#This Row],[next move]],1))*3,1)</f>
        <v>V</v>
      </c>
      <c r="I4223" t="str">
        <f>Table132[[#This Row],[ÉTAT]]&amp;Table132[[#This Row],[next move]]</f>
        <v>MEVVVVVVE02</v>
      </c>
    </row>
    <row r="4224" spans="2:9" x14ac:dyDescent="0.25">
      <c r="B4224" t="s">
        <v>280</v>
      </c>
      <c r="C4224" s="22" t="s">
        <v>30</v>
      </c>
      <c r="D4224">
        <v>6</v>
      </c>
      <c r="E4224">
        <v>2</v>
      </c>
      <c r="G4224" s="31">
        <f>Table132[[#This Row],[nb win]]/Table132[[#This Row],[nb play]]</f>
        <v>0.33333333333333331</v>
      </c>
      <c r="H4224" t="str">
        <f>MID(Table132[[#This Row],[ÉTAT]],VALUE(RIGHT(Table132[[#This Row],[next move]],1))+1+VALUE(LEFT(Table132[[#This Row],[next move]],1))*3,1)</f>
        <v>V</v>
      </c>
      <c r="I4224" t="str">
        <f>Table132[[#This Row],[ÉTAT]]&amp;Table132[[#This Row],[next move]]</f>
        <v>MEVVVVVVE10</v>
      </c>
    </row>
    <row r="4225" spans="2:9" x14ac:dyDescent="0.25">
      <c r="B4225" t="s">
        <v>280</v>
      </c>
      <c r="C4225" s="22" t="s">
        <v>28</v>
      </c>
      <c r="D4225">
        <v>1</v>
      </c>
      <c r="G4225" s="25">
        <f>Table132[[#This Row],[nb win]]/Table132[[#This Row],[nb play]]</f>
        <v>0</v>
      </c>
      <c r="H4225" t="str">
        <f>MID(Table132[[#This Row],[ÉTAT]],VALUE(RIGHT(Table132[[#This Row],[next move]],1))+1+VALUE(LEFT(Table132[[#This Row],[next move]],1))*3,1)</f>
        <v>V</v>
      </c>
      <c r="I4225" t="str">
        <f>Table132[[#This Row],[ÉTAT]]&amp;Table132[[#This Row],[next move]]</f>
        <v>MEVVVVVVE12</v>
      </c>
    </row>
    <row r="4226" spans="2:9" x14ac:dyDescent="0.25">
      <c r="B4226" t="s">
        <v>280</v>
      </c>
      <c r="C4226" s="22" t="s">
        <v>35</v>
      </c>
      <c r="D4226">
        <v>3</v>
      </c>
      <c r="E4226">
        <v>2</v>
      </c>
      <c r="G4226" s="31">
        <f>Table132[[#This Row],[nb win]]/Table132[[#This Row],[nb play]]</f>
        <v>0.66666666666666663</v>
      </c>
      <c r="H4226" t="str">
        <f>MID(Table132[[#This Row],[ÉTAT]],VALUE(RIGHT(Table132[[#This Row],[next move]],1))+1+VALUE(LEFT(Table132[[#This Row],[next move]],1))*3,1)</f>
        <v>V</v>
      </c>
      <c r="I4226" t="str">
        <f>Table132[[#This Row],[ÉTAT]]&amp;Table132[[#This Row],[next move]]</f>
        <v>MEVVVVVVE20</v>
      </c>
    </row>
    <row r="4227" spans="2:9" x14ac:dyDescent="0.25">
      <c r="B4227" t="s">
        <v>280</v>
      </c>
      <c r="C4227" s="22" t="s">
        <v>22</v>
      </c>
      <c r="D4227">
        <v>1</v>
      </c>
      <c r="E4227">
        <v>1</v>
      </c>
      <c r="G4227" s="25">
        <f>Table132[[#This Row],[nb win]]/Table132[[#This Row],[nb play]]</f>
        <v>1</v>
      </c>
      <c r="H4227" t="str">
        <f>MID(Table132[[#This Row],[ÉTAT]],VALUE(RIGHT(Table132[[#This Row],[next move]],1))+1+VALUE(LEFT(Table132[[#This Row],[next move]],1))*3,1)</f>
        <v>V</v>
      </c>
      <c r="I4227" t="str">
        <f>Table132[[#This Row],[ÉTAT]]&amp;Table132[[#This Row],[next move]]</f>
        <v>MEVVVVVVE21</v>
      </c>
    </row>
    <row r="4228" spans="2:9" x14ac:dyDescent="0.25">
      <c r="B4228" t="s">
        <v>2523</v>
      </c>
      <c r="C4228" s="22" t="s">
        <v>28</v>
      </c>
      <c r="D4228">
        <v>1</v>
      </c>
      <c r="E4228">
        <v>1</v>
      </c>
      <c r="G4228" s="25">
        <f>Table132[[#This Row],[nb win]]/Table132[[#This Row],[nb play]]</f>
        <v>1</v>
      </c>
      <c r="H4228" t="str">
        <f>MID(Table132[[#This Row],[ÉTAT]],VALUE(RIGHT(Table132[[#This Row],[next move]],1))+1+VALUE(LEFT(Table132[[#This Row],[next move]],1))*3,1)</f>
        <v>V</v>
      </c>
      <c r="I4228" t="str">
        <f>Table132[[#This Row],[ÉTAT]]&amp;Table132[[#This Row],[next move]]</f>
        <v>MEVVVVVME12</v>
      </c>
    </row>
    <row r="4229" spans="2:9" x14ac:dyDescent="0.25">
      <c r="B4229" t="s">
        <v>1861</v>
      </c>
      <c r="C4229" s="22" t="s">
        <v>20</v>
      </c>
      <c r="D4229">
        <v>2</v>
      </c>
      <c r="G4229" s="30">
        <f>Table132[[#This Row],[nb win]]/Table132[[#This Row],[nb play]]</f>
        <v>0</v>
      </c>
      <c r="H4229" t="str">
        <f>MID(Table132[[#This Row],[ÉTAT]],VALUE(RIGHT(Table132[[#This Row],[next move]],1))+1+VALUE(LEFT(Table132[[#This Row],[next move]],1))*3,1)</f>
        <v>V</v>
      </c>
      <c r="I4229" t="str">
        <f>Table132[[#This Row],[ÉTAT]]&amp;Table132[[#This Row],[next move]]</f>
        <v>MEVVVVVEV02</v>
      </c>
    </row>
    <row r="4230" spans="2:9" x14ac:dyDescent="0.25">
      <c r="B4230" t="s">
        <v>1861</v>
      </c>
      <c r="C4230" s="22" t="s">
        <v>30</v>
      </c>
      <c r="D4230">
        <v>3</v>
      </c>
      <c r="E4230">
        <v>2</v>
      </c>
      <c r="G4230" s="31">
        <f>Table132[[#This Row],[nb win]]/Table132[[#This Row],[nb play]]</f>
        <v>0.66666666666666663</v>
      </c>
      <c r="H4230" t="str">
        <f>MID(Table132[[#This Row],[ÉTAT]],VALUE(RIGHT(Table132[[#This Row],[next move]],1))+1+VALUE(LEFT(Table132[[#This Row],[next move]],1))*3,1)</f>
        <v>V</v>
      </c>
      <c r="I4230" t="str">
        <f>Table132[[#This Row],[ÉTAT]]&amp;Table132[[#This Row],[next move]]</f>
        <v>MEVVVVVEV10</v>
      </c>
    </row>
    <row r="4231" spans="2:9" x14ac:dyDescent="0.25">
      <c r="B4231" t="s">
        <v>1861</v>
      </c>
      <c r="C4231" s="22" t="s">
        <v>29</v>
      </c>
      <c r="D4231">
        <v>2</v>
      </c>
      <c r="G4231" s="30">
        <f>Table132[[#This Row],[nb win]]/Table132[[#This Row],[nb play]]</f>
        <v>0</v>
      </c>
      <c r="H4231" t="str">
        <f>MID(Table132[[#This Row],[ÉTAT]],VALUE(RIGHT(Table132[[#This Row],[next move]],1))+1+VALUE(LEFT(Table132[[#This Row],[next move]],1))*3,1)</f>
        <v>V</v>
      </c>
      <c r="I4231" t="str">
        <f>Table132[[#This Row],[ÉTAT]]&amp;Table132[[#This Row],[next move]]</f>
        <v>MEVVVVVEV11</v>
      </c>
    </row>
    <row r="4232" spans="2:9" x14ac:dyDescent="0.25">
      <c r="B4232" t="s">
        <v>1861</v>
      </c>
      <c r="C4232" s="22" t="s">
        <v>28</v>
      </c>
      <c r="D4232">
        <v>2</v>
      </c>
      <c r="E4232">
        <v>1</v>
      </c>
      <c r="G4232" s="25">
        <f>Table132[[#This Row],[nb win]]/Table132[[#This Row],[nb play]]</f>
        <v>0.5</v>
      </c>
      <c r="H4232" t="str">
        <f>MID(Table132[[#This Row],[ÉTAT]],VALUE(RIGHT(Table132[[#This Row],[next move]],1))+1+VALUE(LEFT(Table132[[#This Row],[next move]],1))*3,1)</f>
        <v>V</v>
      </c>
      <c r="I4232" t="str">
        <f>Table132[[#This Row],[ÉTAT]]&amp;Table132[[#This Row],[next move]]</f>
        <v>MEVVVVVEV12</v>
      </c>
    </row>
    <row r="4233" spans="2:9" x14ac:dyDescent="0.25">
      <c r="B4233" t="s">
        <v>1861</v>
      </c>
      <c r="C4233" s="22" t="s">
        <v>35</v>
      </c>
      <c r="D4233">
        <v>3</v>
      </c>
      <c r="G4233" s="30">
        <f>Table132[[#This Row],[nb win]]/Table132[[#This Row],[nb play]]</f>
        <v>0</v>
      </c>
      <c r="H4233" t="str">
        <f>MID(Table132[[#This Row],[ÉTAT]],VALUE(RIGHT(Table132[[#This Row],[next move]],1))+1+VALUE(LEFT(Table132[[#This Row],[next move]],1))*3,1)</f>
        <v>V</v>
      </c>
      <c r="I4233" t="str">
        <f>Table132[[#This Row],[ÉTAT]]&amp;Table132[[#This Row],[next move]]</f>
        <v>MEVVVVVEV20</v>
      </c>
    </row>
    <row r="4234" spans="2:9" x14ac:dyDescent="0.25">
      <c r="B4234" t="s">
        <v>1861</v>
      </c>
      <c r="C4234" s="22" t="s">
        <v>31</v>
      </c>
      <c r="D4234">
        <v>1</v>
      </c>
      <c r="G4234" s="30">
        <f>Table132[[#This Row],[nb win]]/Table132[[#This Row],[nb play]]</f>
        <v>0</v>
      </c>
      <c r="H4234" t="str">
        <f>MID(Table132[[#This Row],[ÉTAT]],VALUE(RIGHT(Table132[[#This Row],[next move]],1))+1+VALUE(LEFT(Table132[[#This Row],[next move]],1))*3,1)</f>
        <v>V</v>
      </c>
      <c r="I4234" t="str">
        <f>Table132[[#This Row],[ÉTAT]]&amp;Table132[[#This Row],[next move]]</f>
        <v>MEVVVVVEV22</v>
      </c>
    </row>
    <row r="4235" spans="2:9" x14ac:dyDescent="0.25">
      <c r="B4235" t="s">
        <v>1127</v>
      </c>
      <c r="C4235" s="22" t="s">
        <v>29</v>
      </c>
      <c r="D4235">
        <v>3</v>
      </c>
      <c r="E4235">
        <v>3</v>
      </c>
      <c r="G4235" s="31">
        <f>Table132[[#This Row],[nb win]]/Table132[[#This Row],[nb play]]</f>
        <v>1</v>
      </c>
      <c r="H4235" t="str">
        <f>MID(Table132[[#This Row],[ÉTAT]],VALUE(RIGHT(Table132[[#This Row],[next move]],1))+1+VALUE(LEFT(Table132[[#This Row],[next move]],1))*3,1)</f>
        <v>V</v>
      </c>
      <c r="I4235" t="str">
        <f>Table132[[#This Row],[ÉTAT]]&amp;Table132[[#This Row],[next move]]</f>
        <v>MEVVVVVEM11</v>
      </c>
    </row>
    <row r="4236" spans="2:9" x14ac:dyDescent="0.25">
      <c r="B4236" t="s">
        <v>625</v>
      </c>
      <c r="C4236" s="22" t="s">
        <v>20</v>
      </c>
      <c r="D4236">
        <v>4</v>
      </c>
      <c r="E4236">
        <v>4</v>
      </c>
      <c r="G4236" s="31">
        <f>Table132[[#This Row],[nb win]]/Table132[[#This Row],[nb play]]</f>
        <v>1</v>
      </c>
      <c r="H4236" t="str">
        <f>MID(Table132[[#This Row],[ÉTAT]],VALUE(RIGHT(Table132[[#This Row],[next move]],1))+1+VALUE(LEFT(Table132[[#This Row],[next move]],1))*3,1)</f>
        <v>V</v>
      </c>
      <c r="I4236" t="str">
        <f>Table132[[#This Row],[ÉTAT]]&amp;Table132[[#This Row],[next move]]</f>
        <v>MEVVVVMVE02</v>
      </c>
    </row>
    <row r="4237" spans="2:9" x14ac:dyDescent="0.25">
      <c r="B4237" t="s">
        <v>3105</v>
      </c>
      <c r="C4237" s="22" t="s">
        <v>30</v>
      </c>
      <c r="D4237">
        <v>1</v>
      </c>
      <c r="E4237">
        <v>1</v>
      </c>
      <c r="G4237" s="31">
        <f>Table132[[#This Row],[nb win]]/Table132[[#This Row],[nb play]]</f>
        <v>1</v>
      </c>
      <c r="H4237" t="str">
        <f>MID(Table132[[#This Row],[ÉTAT]],VALUE(RIGHT(Table132[[#This Row],[next move]],1))+1+VALUE(LEFT(Table132[[#This Row],[next move]],1))*3,1)</f>
        <v>V</v>
      </c>
      <c r="I4237" t="str">
        <f>Table132[[#This Row],[ÉTAT]]&amp;Table132[[#This Row],[next move]]</f>
        <v>MEVVVVMEV10</v>
      </c>
    </row>
    <row r="4238" spans="2:9" x14ac:dyDescent="0.25">
      <c r="B4238" t="s">
        <v>2139</v>
      </c>
      <c r="C4238" s="22" t="s">
        <v>30</v>
      </c>
      <c r="D4238">
        <v>2</v>
      </c>
      <c r="E4238">
        <v>2</v>
      </c>
      <c r="G4238" s="31">
        <f>Table132[[#This Row],[nb win]]/Table132[[#This Row],[nb play]]</f>
        <v>1</v>
      </c>
      <c r="H4238" t="str">
        <f>MID(Table132[[#This Row],[ÉTAT]],VALUE(RIGHT(Table132[[#This Row],[next move]],1))+1+VALUE(LEFT(Table132[[#This Row],[next move]],1))*3,1)</f>
        <v>V</v>
      </c>
      <c r="I4238" t="str">
        <f>Table132[[#This Row],[ÉTAT]]&amp;Table132[[#This Row],[next move]]</f>
        <v>MEVVVVMEE10</v>
      </c>
    </row>
    <row r="4239" spans="2:9" x14ac:dyDescent="0.25">
      <c r="B4239" t="s">
        <v>2139</v>
      </c>
      <c r="C4239" s="22" t="s">
        <v>28</v>
      </c>
      <c r="D4239">
        <v>1</v>
      </c>
      <c r="G4239" s="25">
        <f>Table132[[#This Row],[nb win]]/Table132[[#This Row],[nb play]]</f>
        <v>0</v>
      </c>
      <c r="H4239" t="str">
        <f>MID(Table132[[#This Row],[ÉTAT]],VALUE(RIGHT(Table132[[#This Row],[next move]],1))+1+VALUE(LEFT(Table132[[#This Row],[next move]],1))*3,1)</f>
        <v>V</v>
      </c>
      <c r="I4239" t="str">
        <f>Table132[[#This Row],[ÉTAT]]&amp;Table132[[#This Row],[next move]]</f>
        <v>MEVVVVMEE12</v>
      </c>
    </row>
    <row r="4240" spans="2:9" x14ac:dyDescent="0.25">
      <c r="B4240" t="s">
        <v>2214</v>
      </c>
      <c r="C4240" s="22" t="s">
        <v>29</v>
      </c>
      <c r="D4240">
        <v>5</v>
      </c>
      <c r="E4240">
        <v>4</v>
      </c>
      <c r="G4240" s="30">
        <f>Table132[[#This Row],[nb win]]/Table132[[#This Row],[nb play]]</f>
        <v>0.8</v>
      </c>
      <c r="H4240" t="str">
        <f>MID(Table132[[#This Row],[ÉTAT]],VALUE(RIGHT(Table132[[#This Row],[next move]],1))+1+VALUE(LEFT(Table132[[#This Row],[next move]],1))*3,1)</f>
        <v>V</v>
      </c>
      <c r="I4240" t="str">
        <f>Table132[[#This Row],[ÉTAT]]&amp;Table132[[#This Row],[next move]]</f>
        <v>MEVVVVEVV11</v>
      </c>
    </row>
    <row r="4241" spans="2:9" x14ac:dyDescent="0.25">
      <c r="B4241" t="s">
        <v>2214</v>
      </c>
      <c r="C4241" s="22" t="s">
        <v>28</v>
      </c>
      <c r="D4241">
        <v>1</v>
      </c>
      <c r="E4241">
        <v>1</v>
      </c>
      <c r="G4241" s="31">
        <f>Table132[[#This Row],[nb win]]/Table132[[#This Row],[nb play]]</f>
        <v>1</v>
      </c>
      <c r="H4241" t="str">
        <f>MID(Table132[[#This Row],[ÉTAT]],VALUE(RIGHT(Table132[[#This Row],[next move]],1))+1+VALUE(LEFT(Table132[[#This Row],[next move]],1))*3,1)</f>
        <v>V</v>
      </c>
      <c r="I4241" t="str">
        <f>Table132[[#This Row],[ÉTAT]]&amp;Table132[[#This Row],[next move]]</f>
        <v>MEVVVVEVV12</v>
      </c>
    </row>
    <row r="4242" spans="2:9" x14ac:dyDescent="0.25">
      <c r="B4242" t="s">
        <v>1492</v>
      </c>
      <c r="C4242" s="22" t="s">
        <v>29</v>
      </c>
      <c r="D4242">
        <v>5</v>
      </c>
      <c r="E4242">
        <v>5</v>
      </c>
      <c r="G4242" s="31">
        <f>Table132[[#This Row],[nb win]]/Table132[[#This Row],[nb play]]</f>
        <v>1</v>
      </c>
      <c r="H4242" t="str">
        <f>MID(Table132[[#This Row],[ÉTAT]],VALUE(RIGHT(Table132[[#This Row],[next move]],1))+1+VALUE(LEFT(Table132[[#This Row],[next move]],1))*3,1)</f>
        <v>V</v>
      </c>
      <c r="I4242" t="str">
        <f>Table132[[#This Row],[ÉTAT]]&amp;Table132[[#This Row],[next move]]</f>
        <v>MEVVVVEVM11</v>
      </c>
    </row>
    <row r="4243" spans="2:9" x14ac:dyDescent="0.25">
      <c r="B4243" t="s">
        <v>942</v>
      </c>
      <c r="C4243" s="22" t="s">
        <v>30</v>
      </c>
      <c r="D4243">
        <v>2</v>
      </c>
      <c r="E4243">
        <v>1</v>
      </c>
      <c r="G4243" s="25">
        <f>Table132[[#This Row],[nb win]]/Table132[[#This Row],[nb play]]</f>
        <v>0.5</v>
      </c>
      <c r="H4243" t="str">
        <f>MID(Table132[[#This Row],[ÉTAT]],VALUE(RIGHT(Table132[[#This Row],[next move]],1))+1+VALUE(LEFT(Table132[[#This Row],[next move]],1))*3,1)</f>
        <v>V</v>
      </c>
      <c r="I4243" t="str">
        <f>Table132[[#This Row],[ÉTAT]]&amp;Table132[[#This Row],[next move]]</f>
        <v>MEVVVVEMV10</v>
      </c>
    </row>
    <row r="4244" spans="2:9" x14ac:dyDescent="0.25">
      <c r="B4244" t="s">
        <v>942</v>
      </c>
      <c r="C4244" s="22" t="s">
        <v>31</v>
      </c>
      <c r="D4244">
        <v>1</v>
      </c>
      <c r="G4244" s="30">
        <f>Table132[[#This Row],[nb win]]/Table132[[#This Row],[nb play]]</f>
        <v>0</v>
      </c>
      <c r="H4244" t="str">
        <f>MID(Table132[[#This Row],[ÉTAT]],VALUE(RIGHT(Table132[[#This Row],[next move]],1))+1+VALUE(LEFT(Table132[[#This Row],[next move]],1))*3,1)</f>
        <v>V</v>
      </c>
      <c r="I4244" t="str">
        <f>Table132[[#This Row],[ÉTAT]]&amp;Table132[[#This Row],[next move]]</f>
        <v>MEVVVVEMV22</v>
      </c>
    </row>
    <row r="4245" spans="2:9" x14ac:dyDescent="0.25">
      <c r="B4245" t="s">
        <v>1976</v>
      </c>
      <c r="C4245" s="22" t="s">
        <v>28</v>
      </c>
      <c r="D4245">
        <v>2</v>
      </c>
      <c r="E4245">
        <v>2</v>
      </c>
      <c r="G4245" s="25">
        <f>Table132[[#This Row],[nb win]]/Table132[[#This Row],[nb play]]</f>
        <v>1</v>
      </c>
      <c r="H4245" t="str">
        <f>MID(Table132[[#This Row],[ÉTAT]],VALUE(RIGHT(Table132[[#This Row],[next move]],1))+1+VALUE(LEFT(Table132[[#This Row],[next move]],1))*3,1)</f>
        <v>V</v>
      </c>
      <c r="I4245" t="str">
        <f>Table132[[#This Row],[ÉTAT]]&amp;Table132[[#This Row],[next move]]</f>
        <v>MEVVVVEEM12</v>
      </c>
    </row>
    <row r="4246" spans="2:9" x14ac:dyDescent="0.25">
      <c r="B4246" t="s">
        <v>1060</v>
      </c>
      <c r="C4246" s="22" t="s">
        <v>35</v>
      </c>
      <c r="D4246">
        <v>3</v>
      </c>
      <c r="E4246">
        <v>3</v>
      </c>
      <c r="G4246" s="31">
        <f>Table132[[#This Row],[nb win]]/Table132[[#This Row],[nb play]]</f>
        <v>1</v>
      </c>
      <c r="H4246" t="str">
        <f>MID(Table132[[#This Row],[ÉTAT]],VALUE(RIGHT(Table132[[#This Row],[next move]],1))+1+VALUE(LEFT(Table132[[#This Row],[next move]],1))*3,1)</f>
        <v>V</v>
      </c>
      <c r="I4246" t="str">
        <f>Table132[[#This Row],[ÉTAT]]&amp;Table132[[#This Row],[next move]]</f>
        <v>MEVVVMVVE20</v>
      </c>
    </row>
    <row r="4247" spans="2:9" x14ac:dyDescent="0.25">
      <c r="B4247" t="s">
        <v>781</v>
      </c>
      <c r="C4247" s="22" t="s">
        <v>20</v>
      </c>
      <c r="D4247">
        <v>2</v>
      </c>
      <c r="G4247" s="25">
        <f>Table132[[#This Row],[nb win]]/Table132[[#This Row],[nb play]]</f>
        <v>0</v>
      </c>
      <c r="H4247" t="str">
        <f>MID(Table132[[#This Row],[ÉTAT]],VALUE(RIGHT(Table132[[#This Row],[next move]],1))+1+VALUE(LEFT(Table132[[#This Row],[next move]],1))*3,1)</f>
        <v>V</v>
      </c>
      <c r="I4247" t="str">
        <f>Table132[[#This Row],[ÉTAT]]&amp;Table132[[#This Row],[next move]]</f>
        <v>MEVVVMVEE02</v>
      </c>
    </row>
    <row r="4248" spans="2:9" x14ac:dyDescent="0.25">
      <c r="B4248" t="s">
        <v>781</v>
      </c>
      <c r="C4248" s="22" t="s">
        <v>30</v>
      </c>
      <c r="D4248">
        <v>3</v>
      </c>
      <c r="G4248" s="30">
        <f>Table132[[#This Row],[nb win]]/Table132[[#This Row],[nb play]]</f>
        <v>0</v>
      </c>
      <c r="H4248" t="str">
        <f>MID(Table132[[#This Row],[ÉTAT]],VALUE(RIGHT(Table132[[#This Row],[next move]],1))+1+VALUE(LEFT(Table132[[#This Row],[next move]],1))*3,1)</f>
        <v>V</v>
      </c>
      <c r="I4248" t="str">
        <f>Table132[[#This Row],[ÉTAT]]&amp;Table132[[#This Row],[next move]]</f>
        <v>MEVVVMVEE10</v>
      </c>
    </row>
    <row r="4249" spans="2:9" x14ac:dyDescent="0.25">
      <c r="B4249" t="s">
        <v>781</v>
      </c>
      <c r="C4249" s="22" t="s">
        <v>29</v>
      </c>
      <c r="D4249">
        <v>1</v>
      </c>
      <c r="E4249">
        <v>1</v>
      </c>
      <c r="G4249" s="25">
        <f>Table132[[#This Row],[nb win]]/Table132[[#This Row],[nb play]]</f>
        <v>1</v>
      </c>
      <c r="H4249" t="str">
        <f>MID(Table132[[#This Row],[ÉTAT]],VALUE(RIGHT(Table132[[#This Row],[next move]],1))+1+VALUE(LEFT(Table132[[#This Row],[next move]],1))*3,1)</f>
        <v>V</v>
      </c>
      <c r="I4249" t="str">
        <f>Table132[[#This Row],[ÉTAT]]&amp;Table132[[#This Row],[next move]]</f>
        <v>MEVVVMVEE11</v>
      </c>
    </row>
    <row r="4250" spans="2:9" x14ac:dyDescent="0.25">
      <c r="B4250" t="s">
        <v>1203</v>
      </c>
      <c r="C4250" s="22" t="s">
        <v>20</v>
      </c>
      <c r="D4250">
        <v>2</v>
      </c>
      <c r="E4250">
        <v>1</v>
      </c>
      <c r="G4250" s="31">
        <f>Table132[[#This Row],[nb win]]/Table132[[#This Row],[nb play]]</f>
        <v>0.5</v>
      </c>
      <c r="H4250" t="str">
        <f>MID(Table132[[#This Row],[ÉTAT]],VALUE(RIGHT(Table132[[#This Row],[next move]],1))+1+VALUE(LEFT(Table132[[#This Row],[next move]],1))*3,1)</f>
        <v>V</v>
      </c>
      <c r="I4250" t="str">
        <f>Table132[[#This Row],[ÉTAT]]&amp;Table132[[#This Row],[next move]]</f>
        <v>MEVVVMEVV02</v>
      </c>
    </row>
    <row r="4251" spans="2:9" x14ac:dyDescent="0.25">
      <c r="B4251" t="s">
        <v>1203</v>
      </c>
      <c r="C4251" s="22" t="s">
        <v>30</v>
      </c>
      <c r="D4251">
        <v>3</v>
      </c>
      <c r="E4251">
        <v>2</v>
      </c>
      <c r="G4251" s="30">
        <f>Table132[[#This Row],[nb win]]/Table132[[#This Row],[nb play]]</f>
        <v>0.66666666666666663</v>
      </c>
      <c r="H4251" t="str">
        <f>MID(Table132[[#This Row],[ÉTAT]],VALUE(RIGHT(Table132[[#This Row],[next move]],1))+1+VALUE(LEFT(Table132[[#This Row],[next move]],1))*3,1)</f>
        <v>V</v>
      </c>
      <c r="I4251" t="str">
        <f>Table132[[#This Row],[ÉTAT]]&amp;Table132[[#This Row],[next move]]</f>
        <v>MEVVVMEVV10</v>
      </c>
    </row>
    <row r="4252" spans="2:9" x14ac:dyDescent="0.25">
      <c r="B4252" t="s">
        <v>1203</v>
      </c>
      <c r="C4252" s="22" t="s">
        <v>29</v>
      </c>
      <c r="D4252">
        <v>1</v>
      </c>
      <c r="E4252">
        <v>1</v>
      </c>
      <c r="G4252" s="31">
        <f>Table132[[#This Row],[nb win]]/Table132[[#This Row],[nb play]]</f>
        <v>1</v>
      </c>
      <c r="H4252" t="str">
        <f>MID(Table132[[#This Row],[ÉTAT]],VALUE(RIGHT(Table132[[#This Row],[next move]],1))+1+VALUE(LEFT(Table132[[#This Row],[next move]],1))*3,1)</f>
        <v>V</v>
      </c>
      <c r="I4252" t="str">
        <f>Table132[[#This Row],[ÉTAT]]&amp;Table132[[#This Row],[next move]]</f>
        <v>MEVVVMEVV11</v>
      </c>
    </row>
    <row r="4253" spans="2:9" x14ac:dyDescent="0.25">
      <c r="B4253" t="s">
        <v>3505</v>
      </c>
      <c r="C4253" s="22" t="s">
        <v>30</v>
      </c>
      <c r="D4253">
        <v>1</v>
      </c>
      <c r="G4253" s="30">
        <f>Table132[[#This Row],[nb win]]/Table132[[#This Row],[nb play]]</f>
        <v>0</v>
      </c>
      <c r="H4253" t="str">
        <f>MID(Table132[[#This Row],[ÉTAT]],VALUE(RIGHT(Table132[[#This Row],[next move]],1))+1+VALUE(LEFT(Table132[[#This Row],[next move]],1))*3,1)</f>
        <v>V</v>
      </c>
      <c r="I4253" t="str">
        <f>Table132[[#This Row],[ÉTAT]]&amp;Table132[[#This Row],[next move]]</f>
        <v>MEVVVMEVE10</v>
      </c>
    </row>
    <row r="4254" spans="2:9" x14ac:dyDescent="0.25">
      <c r="B4254" t="s">
        <v>2829</v>
      </c>
      <c r="C4254" s="22" t="s">
        <v>29</v>
      </c>
      <c r="D4254">
        <v>2</v>
      </c>
      <c r="E4254">
        <v>1</v>
      </c>
      <c r="G4254" s="25">
        <f>Table132[[#This Row],[nb win]]/Table132[[#This Row],[nb play]]</f>
        <v>0.5</v>
      </c>
      <c r="H4254" t="str">
        <f>MID(Table132[[#This Row],[ÉTAT]],VALUE(RIGHT(Table132[[#This Row],[next move]],1))+1+VALUE(LEFT(Table132[[#This Row],[next move]],1))*3,1)</f>
        <v>V</v>
      </c>
      <c r="I4254" t="str">
        <f>Table132[[#This Row],[ÉTAT]]&amp;Table132[[#This Row],[next move]]</f>
        <v>MEVVVMEEV11</v>
      </c>
    </row>
    <row r="4255" spans="2:9" x14ac:dyDescent="0.25">
      <c r="B4255" t="s">
        <v>2317</v>
      </c>
      <c r="C4255" s="22" t="s">
        <v>20</v>
      </c>
      <c r="D4255">
        <v>6</v>
      </c>
      <c r="E4255">
        <v>1</v>
      </c>
      <c r="G4255" s="30">
        <f>Table132[[#This Row],[nb win]]/Table132[[#This Row],[nb play]]</f>
        <v>0.16666666666666666</v>
      </c>
      <c r="H4255" t="str">
        <f>MID(Table132[[#This Row],[ÉTAT]],VALUE(RIGHT(Table132[[#This Row],[next move]],1))+1+VALUE(LEFT(Table132[[#This Row],[next move]],1))*3,1)</f>
        <v>V</v>
      </c>
      <c r="I4255" t="str">
        <f>Table132[[#This Row],[ÉTAT]]&amp;Table132[[#This Row],[next move]]</f>
        <v>MEVVVEVVV02</v>
      </c>
    </row>
    <row r="4256" spans="2:9" x14ac:dyDescent="0.25">
      <c r="B4256" t="s">
        <v>2317</v>
      </c>
      <c r="C4256" s="22" t="s">
        <v>30</v>
      </c>
      <c r="D4256">
        <v>2</v>
      </c>
      <c r="E4256">
        <v>1</v>
      </c>
      <c r="G4256" s="30">
        <f>Table132[[#This Row],[nb win]]/Table132[[#This Row],[nb play]]</f>
        <v>0.5</v>
      </c>
      <c r="H4256" t="str">
        <f>MID(Table132[[#This Row],[ÉTAT]],VALUE(RIGHT(Table132[[#This Row],[next move]],1))+1+VALUE(LEFT(Table132[[#This Row],[next move]],1))*3,1)</f>
        <v>V</v>
      </c>
      <c r="I4256" t="str">
        <f>Table132[[#This Row],[ÉTAT]]&amp;Table132[[#This Row],[next move]]</f>
        <v>MEVVVEVVV10</v>
      </c>
    </row>
    <row r="4257" spans="2:9" x14ac:dyDescent="0.25">
      <c r="B4257" t="s">
        <v>2317</v>
      </c>
      <c r="C4257" s="22" t="s">
        <v>29</v>
      </c>
      <c r="D4257">
        <v>2</v>
      </c>
      <c r="E4257">
        <v>1</v>
      </c>
      <c r="G4257" s="30">
        <f>Table132[[#This Row],[nb win]]/Table132[[#This Row],[nb play]]</f>
        <v>0.5</v>
      </c>
      <c r="H4257" t="str">
        <f>MID(Table132[[#This Row],[ÉTAT]],VALUE(RIGHT(Table132[[#This Row],[next move]],1))+1+VALUE(LEFT(Table132[[#This Row],[next move]],1))*3,1)</f>
        <v>V</v>
      </c>
      <c r="I4257" t="str">
        <f>Table132[[#This Row],[ÉTAT]]&amp;Table132[[#This Row],[next move]]</f>
        <v>MEVVVEVVV11</v>
      </c>
    </row>
    <row r="4258" spans="2:9" x14ac:dyDescent="0.25">
      <c r="B4258" t="s">
        <v>2317</v>
      </c>
      <c r="C4258" s="22" t="s">
        <v>35</v>
      </c>
      <c r="D4258">
        <v>3</v>
      </c>
      <c r="E4258">
        <v>2</v>
      </c>
      <c r="G4258" s="31">
        <f>Table132[[#This Row],[nb win]]/Table132[[#This Row],[nb play]]</f>
        <v>0.66666666666666663</v>
      </c>
      <c r="H4258" t="str">
        <f>MID(Table132[[#This Row],[ÉTAT]],VALUE(RIGHT(Table132[[#This Row],[next move]],1))+1+VALUE(LEFT(Table132[[#This Row],[next move]],1))*3,1)</f>
        <v>V</v>
      </c>
      <c r="I4258" t="str">
        <f>Table132[[#This Row],[ÉTAT]]&amp;Table132[[#This Row],[next move]]</f>
        <v>MEVVVEVVV20</v>
      </c>
    </row>
    <row r="4259" spans="2:9" x14ac:dyDescent="0.25">
      <c r="B4259" t="s">
        <v>2317</v>
      </c>
      <c r="C4259" s="22" t="s">
        <v>31</v>
      </c>
      <c r="D4259">
        <v>2</v>
      </c>
      <c r="E4259">
        <v>1</v>
      </c>
      <c r="G4259" s="31">
        <f>Table132[[#This Row],[nb win]]/Table132[[#This Row],[nb play]]</f>
        <v>0.5</v>
      </c>
      <c r="H4259" t="str">
        <f>MID(Table132[[#This Row],[ÉTAT]],VALUE(RIGHT(Table132[[#This Row],[next move]],1))+1+VALUE(LEFT(Table132[[#This Row],[next move]],1))*3,1)</f>
        <v>V</v>
      </c>
      <c r="I4259" t="str">
        <f>Table132[[#This Row],[ÉTAT]]&amp;Table132[[#This Row],[next move]]</f>
        <v>MEVVVEVVV22</v>
      </c>
    </row>
    <row r="4260" spans="2:9" x14ac:dyDescent="0.25">
      <c r="B4260" t="s">
        <v>1902</v>
      </c>
      <c r="C4260" s="22" t="s">
        <v>35</v>
      </c>
      <c r="D4260">
        <v>6</v>
      </c>
      <c r="E4260">
        <v>6</v>
      </c>
      <c r="G4260" s="31">
        <f>Table132[[#This Row],[nb win]]/Table132[[#This Row],[nb play]]</f>
        <v>1</v>
      </c>
      <c r="H4260" t="str">
        <f>MID(Table132[[#This Row],[ÉTAT]],VALUE(RIGHT(Table132[[#This Row],[next move]],1))+1+VALUE(LEFT(Table132[[#This Row],[next move]],1))*3,1)</f>
        <v>V</v>
      </c>
      <c r="I4260" t="str">
        <f>Table132[[#This Row],[ÉTAT]]&amp;Table132[[#This Row],[next move]]</f>
        <v>MEVVVEVVM20</v>
      </c>
    </row>
    <row r="4261" spans="2:9" x14ac:dyDescent="0.25">
      <c r="B4261" t="s">
        <v>1902</v>
      </c>
      <c r="C4261" s="22" t="s">
        <v>22</v>
      </c>
      <c r="D4261">
        <v>7</v>
      </c>
      <c r="E4261">
        <v>5</v>
      </c>
      <c r="G4261" s="31">
        <f>Table132[[#This Row],[nb win]]/Table132[[#This Row],[nb play]]</f>
        <v>0.7142857142857143</v>
      </c>
      <c r="H4261" t="str">
        <f>MID(Table132[[#This Row],[ÉTAT]],VALUE(RIGHT(Table132[[#This Row],[next move]],1))+1+VALUE(LEFT(Table132[[#This Row],[next move]],1))*3,1)</f>
        <v>V</v>
      </c>
      <c r="I4261" t="str">
        <f>Table132[[#This Row],[ÉTAT]]&amp;Table132[[#This Row],[next move]]</f>
        <v>MEVVVEVVM21</v>
      </c>
    </row>
    <row r="4262" spans="2:9" x14ac:dyDescent="0.25">
      <c r="B4262" t="s">
        <v>2374</v>
      </c>
      <c r="C4262" s="22" t="s">
        <v>20</v>
      </c>
      <c r="D4262">
        <v>2</v>
      </c>
      <c r="E4262">
        <v>2</v>
      </c>
      <c r="G4262" s="31">
        <f>Table132[[#This Row],[nb win]]/Table132[[#This Row],[nb play]]</f>
        <v>1</v>
      </c>
      <c r="H4262" t="str">
        <f>MID(Table132[[#This Row],[ÉTAT]],VALUE(RIGHT(Table132[[#This Row],[next move]],1))+1+VALUE(LEFT(Table132[[#This Row],[next move]],1))*3,1)</f>
        <v>V</v>
      </c>
      <c r="I4262" t="str">
        <f>Table132[[#This Row],[ÉTAT]]&amp;Table132[[#This Row],[next move]]</f>
        <v>MEVVVEVMV02</v>
      </c>
    </row>
    <row r="4263" spans="2:9" x14ac:dyDescent="0.25">
      <c r="B4263" t="s">
        <v>2501</v>
      </c>
      <c r="C4263" s="22" t="s">
        <v>20</v>
      </c>
      <c r="D4263">
        <v>1</v>
      </c>
      <c r="G4263" s="25">
        <f>Table132[[#This Row],[nb win]]/Table132[[#This Row],[nb play]]</f>
        <v>0</v>
      </c>
      <c r="H4263" t="str">
        <f>MID(Table132[[#This Row],[ÉTAT]],VALUE(RIGHT(Table132[[#This Row],[next move]],1))+1+VALUE(LEFT(Table132[[#This Row],[next move]],1))*3,1)</f>
        <v>V</v>
      </c>
      <c r="I4263" t="str">
        <f>Table132[[#This Row],[ÉTAT]]&amp;Table132[[#This Row],[next move]]</f>
        <v>MEVVVEVME02</v>
      </c>
    </row>
    <row r="4264" spans="2:9" x14ac:dyDescent="0.25">
      <c r="B4264" t="s">
        <v>2501</v>
      </c>
      <c r="C4264" s="22" t="s">
        <v>30</v>
      </c>
      <c r="D4264">
        <v>1</v>
      </c>
      <c r="G4264" s="30">
        <f>Table132[[#This Row],[nb win]]/Table132[[#This Row],[nb play]]</f>
        <v>0</v>
      </c>
      <c r="H4264" t="str">
        <f>MID(Table132[[#This Row],[ÉTAT]],VALUE(RIGHT(Table132[[#This Row],[next move]],1))+1+VALUE(LEFT(Table132[[#This Row],[next move]],1))*3,1)</f>
        <v>V</v>
      </c>
      <c r="I4264" t="str">
        <f>Table132[[#This Row],[ÉTAT]]&amp;Table132[[#This Row],[next move]]</f>
        <v>MEVVVEVME10</v>
      </c>
    </row>
    <row r="4265" spans="2:9" x14ac:dyDescent="0.25">
      <c r="B4265" t="s">
        <v>2501</v>
      </c>
      <c r="C4265" s="22" t="s">
        <v>35</v>
      </c>
      <c r="D4265">
        <v>1</v>
      </c>
      <c r="G4265" s="30">
        <f>Table132[[#This Row],[nb win]]/Table132[[#This Row],[nb play]]</f>
        <v>0</v>
      </c>
      <c r="H4265" t="str">
        <f>MID(Table132[[#This Row],[ÉTAT]],VALUE(RIGHT(Table132[[#This Row],[next move]],1))+1+VALUE(LEFT(Table132[[#This Row],[next move]],1))*3,1)</f>
        <v>V</v>
      </c>
      <c r="I4265" t="str">
        <f>Table132[[#This Row],[ÉTAT]]&amp;Table132[[#This Row],[next move]]</f>
        <v>MEVVVEVME20</v>
      </c>
    </row>
    <row r="4266" spans="2:9" x14ac:dyDescent="0.25">
      <c r="B4266" t="s">
        <v>2890</v>
      </c>
      <c r="C4266" s="22" t="s">
        <v>20</v>
      </c>
      <c r="D4266">
        <v>3</v>
      </c>
      <c r="E4266">
        <v>3</v>
      </c>
      <c r="G4266" s="31">
        <f>Table132[[#This Row],[nb win]]/Table132[[#This Row],[nb play]]</f>
        <v>1</v>
      </c>
      <c r="H4266" t="str">
        <f>MID(Table132[[#This Row],[ÉTAT]],VALUE(RIGHT(Table132[[#This Row],[next move]],1))+1+VALUE(LEFT(Table132[[#This Row],[next move]],1))*3,1)</f>
        <v>V</v>
      </c>
      <c r="I4266" t="str">
        <f>Table132[[#This Row],[ÉTAT]]&amp;Table132[[#This Row],[next move]]</f>
        <v>MEVVVEVEM02</v>
      </c>
    </row>
    <row r="4267" spans="2:9" x14ac:dyDescent="0.25">
      <c r="B4267" t="s">
        <v>2671</v>
      </c>
      <c r="C4267" s="22" t="s">
        <v>22</v>
      </c>
      <c r="D4267">
        <v>3</v>
      </c>
      <c r="E4267">
        <v>3</v>
      </c>
      <c r="G4267" s="31">
        <f>Table132[[#This Row],[nb win]]/Table132[[#This Row],[nb play]]</f>
        <v>1</v>
      </c>
      <c r="H4267" t="str">
        <f>MID(Table132[[#This Row],[ÉTAT]],VALUE(RIGHT(Table132[[#This Row],[next move]],1))+1+VALUE(LEFT(Table132[[#This Row],[next move]],1))*3,1)</f>
        <v>V</v>
      </c>
      <c r="I4267" t="str">
        <f>Table132[[#This Row],[ÉTAT]]&amp;Table132[[#This Row],[next move]]</f>
        <v>MEVVVEMVV21</v>
      </c>
    </row>
    <row r="4268" spans="2:9" x14ac:dyDescent="0.25">
      <c r="B4268" t="s">
        <v>2435</v>
      </c>
      <c r="C4268" s="22" t="s">
        <v>30</v>
      </c>
      <c r="D4268">
        <v>1</v>
      </c>
      <c r="E4268">
        <v>1</v>
      </c>
      <c r="G4268" s="25">
        <f>Table132[[#This Row],[nb win]]/Table132[[#This Row],[nb play]]</f>
        <v>1</v>
      </c>
      <c r="H4268" t="str">
        <f>MID(Table132[[#This Row],[ÉTAT]],VALUE(RIGHT(Table132[[#This Row],[next move]],1))+1+VALUE(LEFT(Table132[[#This Row],[next move]],1))*3,1)</f>
        <v>V</v>
      </c>
      <c r="I4268" t="str">
        <f>Table132[[#This Row],[ÉTAT]]&amp;Table132[[#This Row],[next move]]</f>
        <v>MEVVVEMVE10</v>
      </c>
    </row>
    <row r="4269" spans="2:9" x14ac:dyDescent="0.25">
      <c r="B4269" t="s">
        <v>2435</v>
      </c>
      <c r="C4269" s="22" t="s">
        <v>29</v>
      </c>
      <c r="D4269">
        <v>2</v>
      </c>
      <c r="E4269">
        <v>1</v>
      </c>
      <c r="G4269" s="31">
        <f>Table132[[#This Row],[nb win]]/Table132[[#This Row],[nb play]]</f>
        <v>0.5</v>
      </c>
      <c r="H4269" t="str">
        <f>MID(Table132[[#This Row],[ÉTAT]],VALUE(RIGHT(Table132[[#This Row],[next move]],1))+1+VALUE(LEFT(Table132[[#This Row],[next move]],1))*3,1)</f>
        <v>V</v>
      </c>
      <c r="I4269" t="str">
        <f>Table132[[#This Row],[ÉTAT]]&amp;Table132[[#This Row],[next move]]</f>
        <v>MEVVVEMVE11</v>
      </c>
    </row>
    <row r="4270" spans="2:9" x14ac:dyDescent="0.25">
      <c r="B4270" t="s">
        <v>3132</v>
      </c>
      <c r="C4270" s="22" t="s">
        <v>20</v>
      </c>
      <c r="D4270">
        <v>1</v>
      </c>
      <c r="E4270">
        <v>1</v>
      </c>
      <c r="G4270" s="31">
        <f>Table132[[#This Row],[nb win]]/Table132[[#This Row],[nb play]]</f>
        <v>1</v>
      </c>
      <c r="H4270" t="str">
        <f>MID(Table132[[#This Row],[ÉTAT]],VALUE(RIGHT(Table132[[#This Row],[next move]],1))+1+VALUE(LEFT(Table132[[#This Row],[next move]],1))*3,1)</f>
        <v>V</v>
      </c>
      <c r="I4270" t="str">
        <f>Table132[[#This Row],[ÉTAT]]&amp;Table132[[#This Row],[next move]]</f>
        <v>MEVVVEMME02</v>
      </c>
    </row>
    <row r="4271" spans="2:9" x14ac:dyDescent="0.25">
      <c r="B4271" t="s">
        <v>1235</v>
      </c>
      <c r="C4271" s="22" t="s">
        <v>29</v>
      </c>
      <c r="D4271">
        <v>2</v>
      </c>
      <c r="E4271">
        <v>2</v>
      </c>
      <c r="G4271" s="31">
        <f>Table132[[#This Row],[nb win]]/Table132[[#This Row],[nb play]]</f>
        <v>1</v>
      </c>
      <c r="H4271" t="str">
        <f>MID(Table132[[#This Row],[ÉTAT]],VALUE(RIGHT(Table132[[#This Row],[next move]],1))+1+VALUE(LEFT(Table132[[#This Row],[next move]],1))*3,1)</f>
        <v>V</v>
      </c>
      <c r="I4271" t="str">
        <f>Table132[[#This Row],[ÉTAT]]&amp;Table132[[#This Row],[next move]]</f>
        <v>MEVVVEMEM11</v>
      </c>
    </row>
    <row r="4272" spans="2:9" x14ac:dyDescent="0.25">
      <c r="B4272" t="s">
        <v>1145</v>
      </c>
      <c r="C4272" s="22" t="s">
        <v>20</v>
      </c>
      <c r="D4272">
        <v>2</v>
      </c>
      <c r="E4272">
        <v>1</v>
      </c>
      <c r="G4272" s="30">
        <f>Table132[[#This Row],[nb win]]/Table132[[#This Row],[nb play]]</f>
        <v>0.5</v>
      </c>
      <c r="H4272" t="str">
        <f>MID(Table132[[#This Row],[ÉTAT]],VALUE(RIGHT(Table132[[#This Row],[next move]],1))+1+VALUE(LEFT(Table132[[#This Row],[next move]],1))*3,1)</f>
        <v>V</v>
      </c>
      <c r="I4272" t="str">
        <f>Table132[[#This Row],[ÉTAT]]&amp;Table132[[#This Row],[next move]]</f>
        <v>MEVVVEEVM02</v>
      </c>
    </row>
    <row r="4273" spans="2:9" x14ac:dyDescent="0.25">
      <c r="B4273" t="s">
        <v>1145</v>
      </c>
      <c r="C4273" s="22" t="s">
        <v>30</v>
      </c>
      <c r="D4273">
        <v>1</v>
      </c>
      <c r="G4273" s="25">
        <f>Table132[[#This Row],[nb win]]/Table132[[#This Row],[nb play]]</f>
        <v>0</v>
      </c>
      <c r="H4273" t="str">
        <f>MID(Table132[[#This Row],[ÉTAT]],VALUE(RIGHT(Table132[[#This Row],[next move]],1))+1+VALUE(LEFT(Table132[[#This Row],[next move]],1))*3,1)</f>
        <v>V</v>
      </c>
      <c r="I4273" t="str">
        <f>Table132[[#This Row],[ÉTAT]]&amp;Table132[[#This Row],[next move]]</f>
        <v>MEVVVEEVM10</v>
      </c>
    </row>
    <row r="4274" spans="2:9" x14ac:dyDescent="0.25">
      <c r="B4274" t="s">
        <v>1238</v>
      </c>
      <c r="C4274" s="22" t="s">
        <v>29</v>
      </c>
      <c r="D4274">
        <v>2</v>
      </c>
      <c r="E4274">
        <v>2</v>
      </c>
      <c r="G4274" s="25">
        <f>Table132[[#This Row],[nb win]]/Table132[[#This Row],[nb play]]</f>
        <v>1</v>
      </c>
      <c r="H4274" t="str">
        <f>MID(Table132[[#This Row],[ÉTAT]],VALUE(RIGHT(Table132[[#This Row],[next move]],1))+1+VALUE(LEFT(Table132[[#This Row],[next move]],1))*3,1)</f>
        <v>V</v>
      </c>
      <c r="I4274" t="str">
        <f>Table132[[#This Row],[ÉTAT]]&amp;Table132[[#This Row],[next move]]</f>
        <v>MEVVVEEMM11</v>
      </c>
    </row>
    <row r="4275" spans="2:9" x14ac:dyDescent="0.25">
      <c r="B4275" t="s">
        <v>1939</v>
      </c>
      <c r="C4275" s="22" t="s">
        <v>20</v>
      </c>
      <c r="D4275">
        <v>1</v>
      </c>
      <c r="E4275">
        <v>1</v>
      </c>
      <c r="G4275" s="25">
        <f>Table132[[#This Row],[nb win]]/Table132[[#This Row],[nb play]]</f>
        <v>1</v>
      </c>
      <c r="H4275" t="str">
        <f>MID(Table132[[#This Row],[ÉTAT]],VALUE(RIGHT(Table132[[#This Row],[next move]],1))+1+VALUE(LEFT(Table132[[#This Row],[next move]],1))*3,1)</f>
        <v>V</v>
      </c>
      <c r="I4275" t="str">
        <f>Table132[[#This Row],[ÉTAT]]&amp;Table132[[#This Row],[next move]]</f>
        <v>MEVVMVVVE02</v>
      </c>
    </row>
    <row r="4276" spans="2:9" x14ac:dyDescent="0.25">
      <c r="B4276" t="s">
        <v>217</v>
      </c>
      <c r="C4276" s="22" t="s">
        <v>30</v>
      </c>
      <c r="D4276">
        <v>15</v>
      </c>
      <c r="E4276">
        <v>15</v>
      </c>
      <c r="G4276" s="31">
        <f>Table132[[#This Row],[nb win]]/Table132[[#This Row],[nb play]]</f>
        <v>1</v>
      </c>
      <c r="H4276" t="str">
        <f>MID(Table132[[#This Row],[ÉTAT]],VALUE(RIGHT(Table132[[#This Row],[next move]],1))+1+VALUE(LEFT(Table132[[#This Row],[next move]],1))*3,1)</f>
        <v>V</v>
      </c>
      <c r="I4276" t="str">
        <f>Table132[[#This Row],[ÉTAT]]&amp;Table132[[#This Row],[next move]]</f>
        <v>MEVVMVVEV10</v>
      </c>
    </row>
    <row r="4277" spans="2:9" x14ac:dyDescent="0.25">
      <c r="B4277" t="s">
        <v>2185</v>
      </c>
      <c r="C4277" s="22" t="s">
        <v>28</v>
      </c>
      <c r="D4277">
        <v>1</v>
      </c>
      <c r="G4277" s="25">
        <f>Table132[[#This Row],[nb win]]/Table132[[#This Row],[nb play]]</f>
        <v>0</v>
      </c>
      <c r="H4277" t="str">
        <f>MID(Table132[[#This Row],[ÉTAT]],VALUE(RIGHT(Table132[[#This Row],[next move]],1))+1+VALUE(LEFT(Table132[[#This Row],[next move]],1))*3,1)</f>
        <v>V</v>
      </c>
      <c r="I4277" t="str">
        <f>Table132[[#This Row],[ÉTAT]]&amp;Table132[[#This Row],[next move]]</f>
        <v>MEVVMVVEE12</v>
      </c>
    </row>
    <row r="4278" spans="2:9" x14ac:dyDescent="0.25">
      <c r="B4278" t="s">
        <v>2185</v>
      </c>
      <c r="C4278" s="22" t="s">
        <v>35</v>
      </c>
      <c r="D4278">
        <v>2</v>
      </c>
      <c r="E4278">
        <v>2</v>
      </c>
      <c r="G4278" s="31">
        <f>Table132[[#This Row],[nb win]]/Table132[[#This Row],[nb play]]</f>
        <v>1</v>
      </c>
      <c r="H4278" t="str">
        <f>MID(Table132[[#This Row],[ÉTAT]],VALUE(RIGHT(Table132[[#This Row],[next move]],1))+1+VALUE(LEFT(Table132[[#This Row],[next move]],1))*3,1)</f>
        <v>V</v>
      </c>
      <c r="I4278" t="str">
        <f>Table132[[#This Row],[ÉTAT]]&amp;Table132[[#This Row],[next move]]</f>
        <v>MEVVMVVEE20</v>
      </c>
    </row>
    <row r="4279" spans="2:9" x14ac:dyDescent="0.25">
      <c r="B4279" t="s">
        <v>1353</v>
      </c>
      <c r="C4279" s="22" t="s">
        <v>31</v>
      </c>
      <c r="D4279">
        <v>5</v>
      </c>
      <c r="E4279">
        <v>5</v>
      </c>
      <c r="G4279" s="31">
        <f>Table132[[#This Row],[nb win]]/Table132[[#This Row],[nb play]]</f>
        <v>1</v>
      </c>
      <c r="H4279" t="str">
        <f>MID(Table132[[#This Row],[ÉTAT]],VALUE(RIGHT(Table132[[#This Row],[next move]],1))+1+VALUE(LEFT(Table132[[#This Row],[next move]],1))*3,1)</f>
        <v>V</v>
      </c>
      <c r="I4279" t="str">
        <f>Table132[[#This Row],[ÉTAT]]&amp;Table132[[#This Row],[next move]]</f>
        <v>MEVVMVEVV22</v>
      </c>
    </row>
    <row r="4280" spans="2:9" x14ac:dyDescent="0.25">
      <c r="B4280" t="s">
        <v>2719</v>
      </c>
      <c r="C4280" s="22" t="s">
        <v>20</v>
      </c>
      <c r="D4280">
        <v>1</v>
      </c>
      <c r="G4280" s="30">
        <f>Table132[[#This Row],[nb win]]/Table132[[#This Row],[nb play]]</f>
        <v>0</v>
      </c>
      <c r="H4280" t="str">
        <f>MID(Table132[[#This Row],[ÉTAT]],VALUE(RIGHT(Table132[[#This Row],[next move]],1))+1+VALUE(LEFT(Table132[[#This Row],[next move]],1))*3,1)</f>
        <v>V</v>
      </c>
      <c r="I4280" t="str">
        <f>Table132[[#This Row],[ÉTAT]]&amp;Table132[[#This Row],[next move]]</f>
        <v>MEVVMVEVE02</v>
      </c>
    </row>
    <row r="4281" spans="2:9" x14ac:dyDescent="0.25">
      <c r="B4281" t="s">
        <v>2719</v>
      </c>
      <c r="C4281" s="22" t="s">
        <v>30</v>
      </c>
      <c r="D4281">
        <v>1</v>
      </c>
      <c r="G4281" s="30">
        <f>Table132[[#This Row],[nb win]]/Table132[[#This Row],[nb play]]</f>
        <v>0</v>
      </c>
      <c r="H4281" t="str">
        <f>MID(Table132[[#This Row],[ÉTAT]],VALUE(RIGHT(Table132[[#This Row],[next move]],1))+1+VALUE(LEFT(Table132[[#This Row],[next move]],1))*3,1)</f>
        <v>V</v>
      </c>
      <c r="I4281" t="str">
        <f>Table132[[#This Row],[ÉTAT]]&amp;Table132[[#This Row],[next move]]</f>
        <v>MEVVMVEVE10</v>
      </c>
    </row>
    <row r="4282" spans="2:9" x14ac:dyDescent="0.25">
      <c r="B4282" t="s">
        <v>2719</v>
      </c>
      <c r="C4282" s="22" t="s">
        <v>28</v>
      </c>
      <c r="D4282">
        <v>1</v>
      </c>
      <c r="G4282" s="25">
        <f>Table132[[#This Row],[nb win]]/Table132[[#This Row],[nb play]]</f>
        <v>0</v>
      </c>
      <c r="H4282" t="str">
        <f>MID(Table132[[#This Row],[ÉTAT]],VALUE(RIGHT(Table132[[#This Row],[next move]],1))+1+VALUE(LEFT(Table132[[#This Row],[next move]],1))*3,1)</f>
        <v>V</v>
      </c>
      <c r="I4282" t="str">
        <f>Table132[[#This Row],[ÉTAT]]&amp;Table132[[#This Row],[next move]]</f>
        <v>MEVVMVEVE12</v>
      </c>
    </row>
    <row r="4283" spans="2:9" x14ac:dyDescent="0.25">
      <c r="B4283" t="s">
        <v>2719</v>
      </c>
      <c r="C4283" s="22" t="s">
        <v>22</v>
      </c>
      <c r="D4283">
        <v>1</v>
      </c>
      <c r="G4283" s="30">
        <f>Table132[[#This Row],[nb win]]/Table132[[#This Row],[nb play]]</f>
        <v>0</v>
      </c>
      <c r="H4283" t="str">
        <f>MID(Table132[[#This Row],[ÉTAT]],VALUE(RIGHT(Table132[[#This Row],[next move]],1))+1+VALUE(LEFT(Table132[[#This Row],[next move]],1))*3,1)</f>
        <v>V</v>
      </c>
      <c r="I4283" t="str">
        <f>Table132[[#This Row],[ÉTAT]]&amp;Table132[[#This Row],[next move]]</f>
        <v>MEVVMVEVE21</v>
      </c>
    </row>
    <row r="4284" spans="2:9" x14ac:dyDescent="0.25">
      <c r="B4284" t="s">
        <v>1162</v>
      </c>
      <c r="C4284" s="22" t="s">
        <v>20</v>
      </c>
      <c r="D4284">
        <v>3</v>
      </c>
      <c r="G4284" s="30">
        <f>Table132[[#This Row],[nb win]]/Table132[[#This Row],[nb play]]</f>
        <v>0</v>
      </c>
      <c r="H4284" t="str">
        <f>MID(Table132[[#This Row],[ÉTAT]],VALUE(RIGHT(Table132[[#This Row],[next move]],1))+1+VALUE(LEFT(Table132[[#This Row],[next move]],1))*3,1)</f>
        <v>V</v>
      </c>
      <c r="I4284" t="str">
        <f>Table132[[#This Row],[ÉTAT]]&amp;Table132[[#This Row],[next move]]</f>
        <v>MEVVMVEEV02</v>
      </c>
    </row>
    <row r="4285" spans="2:9" x14ac:dyDescent="0.25">
      <c r="B4285" t="s">
        <v>1162</v>
      </c>
      <c r="C4285" s="22" t="s">
        <v>30</v>
      </c>
      <c r="D4285">
        <v>3</v>
      </c>
      <c r="G4285" s="25">
        <f>Table132[[#This Row],[nb win]]/Table132[[#This Row],[nb play]]</f>
        <v>0</v>
      </c>
      <c r="H4285" t="str">
        <f>MID(Table132[[#This Row],[ÉTAT]],VALUE(RIGHT(Table132[[#This Row],[next move]],1))+1+VALUE(LEFT(Table132[[#This Row],[next move]],1))*3,1)</f>
        <v>V</v>
      </c>
      <c r="I4285" t="str">
        <f>Table132[[#This Row],[ÉTAT]]&amp;Table132[[#This Row],[next move]]</f>
        <v>MEVVMVEEV10</v>
      </c>
    </row>
    <row r="4286" spans="2:9" x14ac:dyDescent="0.25">
      <c r="B4286" t="s">
        <v>1162</v>
      </c>
      <c r="C4286" s="22" t="s">
        <v>31</v>
      </c>
      <c r="D4286">
        <v>2</v>
      </c>
      <c r="E4286">
        <v>2</v>
      </c>
      <c r="G4286" s="31">
        <f>Table132[[#This Row],[nb win]]/Table132[[#This Row],[nb play]]</f>
        <v>1</v>
      </c>
      <c r="H4286" t="str">
        <f>MID(Table132[[#This Row],[ÉTAT]],VALUE(RIGHT(Table132[[#This Row],[next move]],1))+1+VALUE(LEFT(Table132[[#This Row],[next move]],1))*3,1)</f>
        <v>V</v>
      </c>
      <c r="I4286" t="str">
        <f>Table132[[#This Row],[ÉTAT]]&amp;Table132[[#This Row],[next move]]</f>
        <v>MEVVMVEEV22</v>
      </c>
    </row>
    <row r="4287" spans="2:9" x14ac:dyDescent="0.25">
      <c r="B4287" t="s">
        <v>191</v>
      </c>
      <c r="C4287" s="22" t="s">
        <v>31</v>
      </c>
      <c r="D4287">
        <v>5</v>
      </c>
      <c r="E4287">
        <v>5</v>
      </c>
      <c r="G4287" s="31">
        <f>Table132[[#This Row],[nb win]]/Table132[[#This Row],[nb play]]</f>
        <v>1</v>
      </c>
      <c r="H4287" t="str">
        <f>MID(Table132[[#This Row],[ÉTAT]],VALUE(RIGHT(Table132[[#This Row],[next move]],1))+1+VALUE(LEFT(Table132[[#This Row],[next move]],1))*3,1)</f>
        <v>V</v>
      </c>
      <c r="I4287" t="str">
        <f>Table132[[#This Row],[ÉTAT]]&amp;Table132[[#This Row],[next move]]</f>
        <v>MEVVMEVVV22</v>
      </c>
    </row>
    <row r="4288" spans="2:9" x14ac:dyDescent="0.25">
      <c r="B4288" t="s">
        <v>2754</v>
      </c>
      <c r="C4288" s="22" t="s">
        <v>22</v>
      </c>
      <c r="D4288">
        <v>1</v>
      </c>
      <c r="G4288" s="25">
        <f>Table132[[#This Row],[nb win]]/Table132[[#This Row],[nb play]]</f>
        <v>0</v>
      </c>
      <c r="H4288" t="str">
        <f>MID(Table132[[#This Row],[ÉTAT]],VALUE(RIGHT(Table132[[#This Row],[next move]],1))+1+VALUE(LEFT(Table132[[#This Row],[next move]],1))*3,1)</f>
        <v>V</v>
      </c>
      <c r="I4288" t="str">
        <f>Table132[[#This Row],[ÉTAT]]&amp;Table132[[#This Row],[next move]]</f>
        <v>MEVVMEMVE21</v>
      </c>
    </row>
    <row r="4289" spans="2:9" x14ac:dyDescent="0.25">
      <c r="B4289" t="s">
        <v>1248</v>
      </c>
      <c r="C4289" s="22" t="s">
        <v>20</v>
      </c>
      <c r="D4289">
        <v>4</v>
      </c>
      <c r="E4289">
        <v>4</v>
      </c>
      <c r="G4289" s="31">
        <f>Table132[[#This Row],[nb win]]/Table132[[#This Row],[nb play]]</f>
        <v>1</v>
      </c>
      <c r="H4289" t="str">
        <f>MID(Table132[[#This Row],[ÉTAT]],VALUE(RIGHT(Table132[[#This Row],[next move]],1))+1+VALUE(LEFT(Table132[[#This Row],[next move]],1))*3,1)</f>
        <v>V</v>
      </c>
      <c r="I4289" t="str">
        <f>Table132[[#This Row],[ÉTAT]]&amp;Table132[[#This Row],[next move]]</f>
        <v>MEVVMEMEE02</v>
      </c>
    </row>
    <row r="4290" spans="2:9" x14ac:dyDescent="0.25">
      <c r="B4290" t="s">
        <v>1993</v>
      </c>
      <c r="C4290" s="22" t="s">
        <v>31</v>
      </c>
      <c r="D4290">
        <v>4</v>
      </c>
      <c r="E4290">
        <v>4</v>
      </c>
      <c r="G4290" s="31">
        <f>Table132[[#This Row],[nb win]]/Table132[[#This Row],[nb play]]</f>
        <v>1</v>
      </c>
      <c r="H4290" t="str">
        <f>MID(Table132[[#This Row],[ÉTAT]],VALUE(RIGHT(Table132[[#This Row],[next move]],1))+1+VALUE(LEFT(Table132[[#This Row],[next move]],1))*3,1)</f>
        <v>V</v>
      </c>
      <c r="I4290" t="str">
        <f>Table132[[#This Row],[ÉTAT]]&amp;Table132[[#This Row],[next move]]</f>
        <v>MEVVMEEVV22</v>
      </c>
    </row>
    <row r="4291" spans="2:9" x14ac:dyDescent="0.25">
      <c r="B4291" t="s">
        <v>1792</v>
      </c>
      <c r="C4291" s="22" t="s">
        <v>30</v>
      </c>
      <c r="D4291">
        <v>1</v>
      </c>
      <c r="G4291" s="25">
        <f>Table132[[#This Row],[nb win]]/Table132[[#This Row],[nb play]]</f>
        <v>0</v>
      </c>
      <c r="H4291" t="str">
        <f>MID(Table132[[#This Row],[ÉTAT]],VALUE(RIGHT(Table132[[#This Row],[next move]],1))+1+VALUE(LEFT(Table132[[#This Row],[next move]],1))*3,1)</f>
        <v>V</v>
      </c>
      <c r="I4291" t="str">
        <f>Table132[[#This Row],[ÉTAT]]&amp;Table132[[#This Row],[next move]]</f>
        <v>MEVVMEEME10</v>
      </c>
    </row>
    <row r="4292" spans="2:9" x14ac:dyDescent="0.25">
      <c r="B4292" t="s">
        <v>1301</v>
      </c>
      <c r="C4292" s="22" t="s">
        <v>20</v>
      </c>
      <c r="D4292">
        <v>4</v>
      </c>
      <c r="G4292" s="30">
        <f>Table132[[#This Row],[nb win]]/Table132[[#This Row],[nb play]]</f>
        <v>0</v>
      </c>
      <c r="H4292" t="str">
        <f>MID(Table132[[#This Row],[ÉTAT]],VALUE(RIGHT(Table132[[#This Row],[next move]],1))+1+VALUE(LEFT(Table132[[#This Row],[next move]],1))*3,1)</f>
        <v>V</v>
      </c>
      <c r="I4292" t="str">
        <f>Table132[[#This Row],[ÉTAT]]&amp;Table132[[#This Row],[next move]]</f>
        <v>MEVVEVVVV02</v>
      </c>
    </row>
    <row r="4293" spans="2:9" x14ac:dyDescent="0.25">
      <c r="B4293" t="s">
        <v>1301</v>
      </c>
      <c r="C4293" s="22" t="s">
        <v>30</v>
      </c>
      <c r="D4293">
        <v>8</v>
      </c>
      <c r="E4293">
        <v>2</v>
      </c>
      <c r="G4293" s="30">
        <f>Table132[[#This Row],[nb win]]/Table132[[#This Row],[nb play]]</f>
        <v>0.25</v>
      </c>
      <c r="H4293" t="str">
        <f>MID(Table132[[#This Row],[ÉTAT]],VALUE(RIGHT(Table132[[#This Row],[next move]],1))+1+VALUE(LEFT(Table132[[#This Row],[next move]],1))*3,1)</f>
        <v>V</v>
      </c>
      <c r="I4293" t="str">
        <f>Table132[[#This Row],[ÉTAT]]&amp;Table132[[#This Row],[next move]]</f>
        <v>MEVVEVVVV10</v>
      </c>
    </row>
    <row r="4294" spans="2:9" x14ac:dyDescent="0.25">
      <c r="B4294" t="s">
        <v>1301</v>
      </c>
      <c r="C4294" s="22" t="s">
        <v>28</v>
      </c>
      <c r="D4294">
        <v>2</v>
      </c>
      <c r="G4294" s="30">
        <f>Table132[[#This Row],[nb win]]/Table132[[#This Row],[nb play]]</f>
        <v>0</v>
      </c>
      <c r="H4294" t="str">
        <f>MID(Table132[[#This Row],[ÉTAT]],VALUE(RIGHT(Table132[[#This Row],[next move]],1))+1+VALUE(LEFT(Table132[[#This Row],[next move]],1))*3,1)</f>
        <v>V</v>
      </c>
      <c r="I4294" t="str">
        <f>Table132[[#This Row],[ÉTAT]]&amp;Table132[[#This Row],[next move]]</f>
        <v>MEVVEVVVV12</v>
      </c>
    </row>
    <row r="4295" spans="2:9" x14ac:dyDescent="0.25">
      <c r="B4295" t="s">
        <v>1301</v>
      </c>
      <c r="C4295" s="22" t="s">
        <v>35</v>
      </c>
      <c r="D4295">
        <v>4</v>
      </c>
      <c r="E4295">
        <v>1</v>
      </c>
      <c r="G4295" s="30">
        <f>Table132[[#This Row],[nb win]]/Table132[[#This Row],[nb play]]</f>
        <v>0.25</v>
      </c>
      <c r="H4295" t="str">
        <f>MID(Table132[[#This Row],[ÉTAT]],VALUE(RIGHT(Table132[[#This Row],[next move]],1))+1+VALUE(LEFT(Table132[[#This Row],[next move]],1))*3,1)</f>
        <v>V</v>
      </c>
      <c r="I4295" t="str">
        <f>Table132[[#This Row],[ÉTAT]]&amp;Table132[[#This Row],[next move]]</f>
        <v>MEVVEVVVV20</v>
      </c>
    </row>
    <row r="4296" spans="2:9" x14ac:dyDescent="0.25">
      <c r="B4296" t="s">
        <v>1301</v>
      </c>
      <c r="C4296" s="22" t="s">
        <v>22</v>
      </c>
      <c r="D4296">
        <v>2</v>
      </c>
      <c r="G4296" s="30">
        <f>Table132[[#This Row],[nb win]]/Table132[[#This Row],[nb play]]</f>
        <v>0</v>
      </c>
      <c r="H4296" t="str">
        <f>MID(Table132[[#This Row],[ÉTAT]],VALUE(RIGHT(Table132[[#This Row],[next move]],1))+1+VALUE(LEFT(Table132[[#This Row],[next move]],1))*3,1)</f>
        <v>V</v>
      </c>
      <c r="I4296" t="str">
        <f>Table132[[#This Row],[ÉTAT]]&amp;Table132[[#This Row],[next move]]</f>
        <v>MEVVEVVVV21</v>
      </c>
    </row>
    <row r="4297" spans="2:9" x14ac:dyDescent="0.25">
      <c r="B4297" t="s">
        <v>1301</v>
      </c>
      <c r="C4297" s="22" t="s">
        <v>31</v>
      </c>
      <c r="D4297">
        <v>2</v>
      </c>
      <c r="G4297" s="30">
        <f>Table132[[#This Row],[nb win]]/Table132[[#This Row],[nb play]]</f>
        <v>0</v>
      </c>
      <c r="H4297" t="str">
        <f>MID(Table132[[#This Row],[ÉTAT]],VALUE(RIGHT(Table132[[#This Row],[next move]],1))+1+VALUE(LEFT(Table132[[#This Row],[next move]],1))*3,1)</f>
        <v>V</v>
      </c>
      <c r="I4297" t="str">
        <f>Table132[[#This Row],[ÉTAT]]&amp;Table132[[#This Row],[next move]]</f>
        <v>MEVVEVVVV22</v>
      </c>
    </row>
    <row r="4298" spans="2:9" x14ac:dyDescent="0.25">
      <c r="B4298" t="s">
        <v>1953</v>
      </c>
      <c r="C4298" s="22" t="s">
        <v>20</v>
      </c>
      <c r="D4298">
        <v>1</v>
      </c>
      <c r="G4298" s="25">
        <f>Table132[[#This Row],[nb win]]/Table132[[#This Row],[nb play]]</f>
        <v>0</v>
      </c>
      <c r="H4298" t="str">
        <f>MID(Table132[[#This Row],[ÉTAT]],VALUE(RIGHT(Table132[[#This Row],[next move]],1))+1+VALUE(LEFT(Table132[[#This Row],[next move]],1))*3,1)</f>
        <v>V</v>
      </c>
      <c r="I4298" t="str">
        <f>Table132[[#This Row],[ÉTAT]]&amp;Table132[[#This Row],[next move]]</f>
        <v>MEVVEVVVM02</v>
      </c>
    </row>
    <row r="4299" spans="2:9" x14ac:dyDescent="0.25">
      <c r="B4299" t="s">
        <v>1953</v>
      </c>
      <c r="C4299" s="22" t="s">
        <v>35</v>
      </c>
      <c r="D4299">
        <v>3</v>
      </c>
      <c r="G4299" s="30">
        <f>Table132[[#This Row],[nb win]]/Table132[[#This Row],[nb play]]</f>
        <v>0</v>
      </c>
      <c r="H4299" t="str">
        <f>MID(Table132[[#This Row],[ÉTAT]],VALUE(RIGHT(Table132[[#This Row],[next move]],1))+1+VALUE(LEFT(Table132[[#This Row],[next move]],1))*3,1)</f>
        <v>V</v>
      </c>
      <c r="I4299" t="str">
        <f>Table132[[#This Row],[ÉTAT]]&amp;Table132[[#This Row],[next move]]</f>
        <v>MEVVEVVVM20</v>
      </c>
    </row>
    <row r="4300" spans="2:9" x14ac:dyDescent="0.25">
      <c r="B4300" t="s">
        <v>1953</v>
      </c>
      <c r="C4300" s="22" t="s">
        <v>22</v>
      </c>
      <c r="D4300">
        <v>2</v>
      </c>
      <c r="E4300">
        <v>2</v>
      </c>
      <c r="G4300" s="31">
        <f>Table132[[#This Row],[nb win]]/Table132[[#This Row],[nb play]]</f>
        <v>1</v>
      </c>
      <c r="H4300" t="str">
        <f>MID(Table132[[#This Row],[ÉTAT]],VALUE(RIGHT(Table132[[#This Row],[next move]],1))+1+VALUE(LEFT(Table132[[#This Row],[next move]],1))*3,1)</f>
        <v>V</v>
      </c>
      <c r="I4300" t="str">
        <f>Table132[[#This Row],[ÉTAT]]&amp;Table132[[#This Row],[next move]]</f>
        <v>MEVVEVVVM21</v>
      </c>
    </row>
    <row r="4301" spans="2:9" x14ac:dyDescent="0.25">
      <c r="B4301" t="s">
        <v>1948</v>
      </c>
      <c r="C4301" s="22" t="s">
        <v>35</v>
      </c>
      <c r="D4301">
        <v>1</v>
      </c>
      <c r="E4301">
        <v>1</v>
      </c>
      <c r="G4301" s="25">
        <f>Table132[[#This Row],[nb win]]/Table132[[#This Row],[nb play]]</f>
        <v>1</v>
      </c>
      <c r="H4301" t="str">
        <f>MID(Table132[[#This Row],[ÉTAT]],VALUE(RIGHT(Table132[[#This Row],[next move]],1))+1+VALUE(LEFT(Table132[[#This Row],[next move]],1))*3,1)</f>
        <v>V</v>
      </c>
      <c r="I4301" t="str">
        <f>Table132[[#This Row],[ÉTAT]]&amp;Table132[[#This Row],[next move]]</f>
        <v>MEVVEVVME20</v>
      </c>
    </row>
    <row r="4302" spans="2:9" x14ac:dyDescent="0.25">
      <c r="B4302" t="s">
        <v>3446</v>
      </c>
      <c r="C4302" s="22" t="s">
        <v>31</v>
      </c>
      <c r="D4302">
        <v>1</v>
      </c>
      <c r="G4302" s="30">
        <f>Table132[[#This Row],[nb win]]/Table132[[#This Row],[nb play]]</f>
        <v>0</v>
      </c>
      <c r="H4302" t="str">
        <f>MID(Table132[[#This Row],[ÉTAT]],VALUE(RIGHT(Table132[[#This Row],[next move]],1))+1+VALUE(LEFT(Table132[[#This Row],[next move]],1))*3,1)</f>
        <v>V</v>
      </c>
      <c r="I4302" t="str">
        <f>Table132[[#This Row],[ÉTAT]]&amp;Table132[[#This Row],[next move]]</f>
        <v>MEVVEVMVV22</v>
      </c>
    </row>
    <row r="4303" spans="2:9" x14ac:dyDescent="0.25">
      <c r="B4303" t="s">
        <v>1703</v>
      </c>
      <c r="C4303" s="22" t="s">
        <v>20</v>
      </c>
      <c r="D4303">
        <v>1</v>
      </c>
      <c r="G4303" s="25">
        <f>Table132[[#This Row],[nb win]]/Table132[[#This Row],[nb play]]</f>
        <v>0</v>
      </c>
      <c r="H4303" t="str">
        <f>MID(Table132[[#This Row],[ÉTAT]],VALUE(RIGHT(Table132[[#This Row],[next move]],1))+1+VALUE(LEFT(Table132[[#This Row],[next move]],1))*3,1)</f>
        <v>V</v>
      </c>
      <c r="I4303" t="str">
        <f>Table132[[#This Row],[ÉTAT]]&amp;Table132[[#This Row],[next move]]</f>
        <v>MEVVEVMVE02</v>
      </c>
    </row>
    <row r="4304" spans="2:9" x14ac:dyDescent="0.25">
      <c r="B4304" t="s">
        <v>1703</v>
      </c>
      <c r="C4304" s="22" t="s">
        <v>30</v>
      </c>
      <c r="D4304">
        <v>2</v>
      </c>
      <c r="E4304">
        <v>2</v>
      </c>
      <c r="G4304" s="25">
        <f>Table132[[#This Row],[nb win]]/Table132[[#This Row],[nb play]]</f>
        <v>1</v>
      </c>
      <c r="H4304" t="str">
        <f>MID(Table132[[#This Row],[ÉTAT]],VALUE(RIGHT(Table132[[#This Row],[next move]],1))+1+VALUE(LEFT(Table132[[#This Row],[next move]],1))*3,1)</f>
        <v>V</v>
      </c>
      <c r="I4304" t="str">
        <f>Table132[[#This Row],[ÉTAT]]&amp;Table132[[#This Row],[next move]]</f>
        <v>MEVVEVMVE10</v>
      </c>
    </row>
    <row r="4305" spans="2:9" x14ac:dyDescent="0.25">
      <c r="B4305" t="s">
        <v>486</v>
      </c>
      <c r="C4305" s="22" t="s">
        <v>20</v>
      </c>
      <c r="D4305">
        <v>1</v>
      </c>
      <c r="G4305" s="25">
        <f>Table132[[#This Row],[nb win]]/Table132[[#This Row],[nb play]]</f>
        <v>0</v>
      </c>
      <c r="H4305" t="str">
        <f>MID(Table132[[#This Row],[ÉTAT]],VALUE(RIGHT(Table132[[#This Row],[next move]],1))+1+VALUE(LEFT(Table132[[#This Row],[next move]],1))*3,1)</f>
        <v>V</v>
      </c>
      <c r="I4305" t="str">
        <f>Table132[[#This Row],[ÉTAT]]&amp;Table132[[#This Row],[next move]]</f>
        <v>MEVVEVEMV02</v>
      </c>
    </row>
    <row r="4306" spans="2:9" x14ac:dyDescent="0.25">
      <c r="B4306" t="s">
        <v>486</v>
      </c>
      <c r="C4306" s="22" t="s">
        <v>30</v>
      </c>
      <c r="D4306">
        <v>2</v>
      </c>
      <c r="G4306" s="30">
        <f>Table132[[#This Row],[nb win]]/Table132[[#This Row],[nb play]]</f>
        <v>0</v>
      </c>
      <c r="H4306" t="str">
        <f>MID(Table132[[#This Row],[ÉTAT]],VALUE(RIGHT(Table132[[#This Row],[next move]],1))+1+VALUE(LEFT(Table132[[#This Row],[next move]],1))*3,1)</f>
        <v>V</v>
      </c>
      <c r="I4306" t="str">
        <f>Table132[[#This Row],[ÉTAT]]&amp;Table132[[#This Row],[next move]]</f>
        <v>MEVVEVEMV10</v>
      </c>
    </row>
    <row r="4307" spans="2:9" x14ac:dyDescent="0.25">
      <c r="B4307" t="s">
        <v>486</v>
      </c>
      <c r="C4307" s="22" t="s">
        <v>28</v>
      </c>
      <c r="D4307">
        <v>1</v>
      </c>
      <c r="G4307" s="25">
        <f>Table132[[#This Row],[nb win]]/Table132[[#This Row],[nb play]]</f>
        <v>0</v>
      </c>
      <c r="H4307" t="str">
        <f>MID(Table132[[#This Row],[ÉTAT]],VALUE(RIGHT(Table132[[#This Row],[next move]],1))+1+VALUE(LEFT(Table132[[#This Row],[next move]],1))*3,1)</f>
        <v>V</v>
      </c>
      <c r="I4307" t="str">
        <f>Table132[[#This Row],[ÉTAT]]&amp;Table132[[#This Row],[next move]]</f>
        <v>MEVVEVEMV12</v>
      </c>
    </row>
    <row r="4308" spans="2:9" x14ac:dyDescent="0.25">
      <c r="B4308" t="s">
        <v>486</v>
      </c>
      <c r="C4308" s="22" t="s">
        <v>31</v>
      </c>
      <c r="D4308">
        <v>1</v>
      </c>
      <c r="G4308" s="25">
        <f>Table132[[#This Row],[nb win]]/Table132[[#This Row],[nb play]]</f>
        <v>0</v>
      </c>
      <c r="H4308" t="str">
        <f>MID(Table132[[#This Row],[ÉTAT]],VALUE(RIGHT(Table132[[#This Row],[next move]],1))+1+VALUE(LEFT(Table132[[#This Row],[next move]],1))*3,1)</f>
        <v>V</v>
      </c>
      <c r="I4308" t="str">
        <f>Table132[[#This Row],[ÉTAT]]&amp;Table132[[#This Row],[next move]]</f>
        <v>MEVVEVEMV22</v>
      </c>
    </row>
    <row r="4309" spans="2:9" x14ac:dyDescent="0.25">
      <c r="B4309" t="s">
        <v>1988</v>
      </c>
      <c r="C4309" s="22" t="s">
        <v>28</v>
      </c>
      <c r="D4309">
        <v>1</v>
      </c>
      <c r="G4309" s="30">
        <f>Table132[[#This Row],[nb win]]/Table132[[#This Row],[nb play]]</f>
        <v>0</v>
      </c>
      <c r="H4309" t="str">
        <f>MID(Table132[[#This Row],[ÉTAT]],VALUE(RIGHT(Table132[[#This Row],[next move]],1))+1+VALUE(LEFT(Table132[[#This Row],[next move]],1))*3,1)</f>
        <v>V</v>
      </c>
      <c r="I4309" t="str">
        <f>Table132[[#This Row],[ÉTAT]]&amp;Table132[[#This Row],[next move]]</f>
        <v>MEVVEVEMM12</v>
      </c>
    </row>
    <row r="4310" spans="2:9" x14ac:dyDescent="0.25">
      <c r="B4310" t="s">
        <v>3044</v>
      </c>
      <c r="C4310" s="22" t="s">
        <v>20</v>
      </c>
      <c r="D4310">
        <v>1</v>
      </c>
      <c r="G4310" s="30">
        <f>Table132[[#This Row],[nb win]]/Table132[[#This Row],[nb play]]</f>
        <v>0</v>
      </c>
      <c r="H4310" t="str">
        <f>MID(Table132[[#This Row],[ÉTAT]],VALUE(RIGHT(Table132[[#This Row],[next move]],1))+1+VALUE(LEFT(Table132[[#This Row],[next move]],1))*3,1)</f>
        <v>V</v>
      </c>
      <c r="I4310" t="str">
        <f>Table132[[#This Row],[ÉTAT]]&amp;Table132[[#This Row],[next move]]</f>
        <v>MEVVEMVVV02</v>
      </c>
    </row>
    <row r="4311" spans="2:9" x14ac:dyDescent="0.25">
      <c r="B4311" t="s">
        <v>3044</v>
      </c>
      <c r="C4311" s="22" t="s">
        <v>31</v>
      </c>
      <c r="D4311">
        <v>1</v>
      </c>
      <c r="G4311" s="25">
        <f>Table132[[#This Row],[nb win]]/Table132[[#This Row],[nb play]]</f>
        <v>0</v>
      </c>
      <c r="H4311" t="str">
        <f>MID(Table132[[#This Row],[ÉTAT]],VALUE(RIGHT(Table132[[#This Row],[next move]],1))+1+VALUE(LEFT(Table132[[#This Row],[next move]],1))*3,1)</f>
        <v>V</v>
      </c>
      <c r="I4311" t="str">
        <f>Table132[[#This Row],[ÉTAT]]&amp;Table132[[#This Row],[next move]]</f>
        <v>MEVVEMVVV22</v>
      </c>
    </row>
    <row r="4312" spans="2:9" x14ac:dyDescent="0.25">
      <c r="B4312" t="s">
        <v>2088</v>
      </c>
      <c r="C4312" s="22" t="s">
        <v>35</v>
      </c>
      <c r="D4312">
        <v>2</v>
      </c>
      <c r="E4312">
        <v>1</v>
      </c>
      <c r="G4312" s="25">
        <f>Table132[[#This Row],[nb win]]/Table132[[#This Row],[nb play]]</f>
        <v>0.5</v>
      </c>
      <c r="H4312" t="str">
        <f>MID(Table132[[#This Row],[ÉTAT]],VALUE(RIGHT(Table132[[#This Row],[next move]],1))+1+VALUE(LEFT(Table132[[#This Row],[next move]],1))*3,1)</f>
        <v>V</v>
      </c>
      <c r="I4312" t="str">
        <f>Table132[[#This Row],[ÉTAT]]&amp;Table132[[#This Row],[next move]]</f>
        <v>MEVVEMVVE20</v>
      </c>
    </row>
    <row r="4313" spans="2:9" x14ac:dyDescent="0.25">
      <c r="B4313" t="s">
        <v>790</v>
      </c>
      <c r="C4313" s="22" t="s">
        <v>35</v>
      </c>
      <c r="D4313">
        <v>1</v>
      </c>
      <c r="E4313">
        <v>1</v>
      </c>
      <c r="G4313" s="25">
        <f>Table132[[#This Row],[nb win]]/Table132[[#This Row],[nb play]]</f>
        <v>1</v>
      </c>
      <c r="H4313" t="str">
        <f>MID(Table132[[#This Row],[ÉTAT]],VALUE(RIGHT(Table132[[#This Row],[next move]],1))+1+VALUE(LEFT(Table132[[#This Row],[next move]],1))*3,1)</f>
        <v>V</v>
      </c>
      <c r="I4313" t="str">
        <f>Table132[[#This Row],[ÉTAT]]&amp;Table132[[#This Row],[next move]]</f>
        <v>MEVVEMVME20</v>
      </c>
    </row>
    <row r="4314" spans="2:9" x14ac:dyDescent="0.25">
      <c r="B4314" t="s">
        <v>2334</v>
      </c>
      <c r="C4314" s="22" t="s">
        <v>30</v>
      </c>
      <c r="D4314">
        <v>2</v>
      </c>
      <c r="E4314">
        <v>2</v>
      </c>
      <c r="G4314" s="31">
        <f>Table132[[#This Row],[nb win]]/Table132[[#This Row],[nb play]]</f>
        <v>1</v>
      </c>
      <c r="H4314" t="str">
        <f>MID(Table132[[#This Row],[ÉTAT]],VALUE(RIGHT(Table132[[#This Row],[next move]],1))+1+VALUE(LEFT(Table132[[#This Row],[next move]],1))*3,1)</f>
        <v>V</v>
      </c>
      <c r="I4314" t="str">
        <f>Table132[[#This Row],[ÉTAT]]&amp;Table132[[#This Row],[next move]]</f>
        <v>MEVVEMMVE10</v>
      </c>
    </row>
    <row r="4315" spans="2:9" x14ac:dyDescent="0.25">
      <c r="B4315" t="s">
        <v>3425</v>
      </c>
      <c r="C4315" s="22" t="s">
        <v>30</v>
      </c>
      <c r="D4315">
        <v>1</v>
      </c>
      <c r="G4315" s="30">
        <f>Table132[[#This Row],[nb win]]/Table132[[#This Row],[nb play]]</f>
        <v>0</v>
      </c>
      <c r="H4315" t="str">
        <f>MID(Table132[[#This Row],[ÉTAT]],VALUE(RIGHT(Table132[[#This Row],[next move]],1))+1+VALUE(LEFT(Table132[[#This Row],[next move]],1))*3,1)</f>
        <v>V</v>
      </c>
      <c r="I4315" t="str">
        <f>Table132[[#This Row],[ÉTAT]]&amp;Table132[[#This Row],[next move]]</f>
        <v>MEVVEMEMV10</v>
      </c>
    </row>
    <row r="4316" spans="2:9" x14ac:dyDescent="0.25">
      <c r="B4316" t="s">
        <v>2417</v>
      </c>
      <c r="C4316" s="22" t="s">
        <v>30</v>
      </c>
      <c r="D4316">
        <v>1</v>
      </c>
      <c r="G4316" s="25">
        <f>Table132[[#This Row],[nb win]]/Table132[[#This Row],[nb play]]</f>
        <v>0</v>
      </c>
      <c r="H4316" t="str">
        <f>MID(Table132[[#This Row],[ÉTAT]],VALUE(RIGHT(Table132[[#This Row],[next move]],1))+1+VALUE(LEFT(Table132[[#This Row],[next move]],1))*3,1)</f>
        <v>V</v>
      </c>
      <c r="I4316" t="str">
        <f>Table132[[#This Row],[ÉTAT]]&amp;Table132[[#This Row],[next move]]</f>
        <v>MEVVEMEME10</v>
      </c>
    </row>
    <row r="4317" spans="2:9" x14ac:dyDescent="0.25">
      <c r="B4317" t="s">
        <v>1473</v>
      </c>
      <c r="C4317" s="22" t="s">
        <v>20</v>
      </c>
      <c r="D4317">
        <v>1</v>
      </c>
      <c r="G4317" s="30">
        <f>Table132[[#This Row],[nb win]]/Table132[[#This Row],[nb play]]</f>
        <v>0</v>
      </c>
      <c r="H4317" t="str">
        <f>MID(Table132[[#This Row],[ÉTAT]],VALUE(RIGHT(Table132[[#This Row],[next move]],1))+1+VALUE(LEFT(Table132[[#This Row],[next move]],1))*3,1)</f>
        <v>V</v>
      </c>
      <c r="I4317" t="str">
        <f>Table132[[#This Row],[ÉTAT]]&amp;Table132[[#This Row],[next move]]</f>
        <v>MEVVEEVVM02</v>
      </c>
    </row>
    <row r="4318" spans="2:9" x14ac:dyDescent="0.25">
      <c r="B4318" t="s">
        <v>1473</v>
      </c>
      <c r="C4318" s="22" t="s">
        <v>30</v>
      </c>
      <c r="D4318">
        <v>1</v>
      </c>
      <c r="G4318" s="25">
        <f>Table132[[#This Row],[nb win]]/Table132[[#This Row],[nb play]]</f>
        <v>0</v>
      </c>
      <c r="H4318" t="str">
        <f>MID(Table132[[#This Row],[ÉTAT]],VALUE(RIGHT(Table132[[#This Row],[next move]],1))+1+VALUE(LEFT(Table132[[#This Row],[next move]],1))*3,1)</f>
        <v>V</v>
      </c>
      <c r="I4318" t="str">
        <f>Table132[[#This Row],[ÉTAT]]&amp;Table132[[#This Row],[next move]]</f>
        <v>MEVVEEVVM10</v>
      </c>
    </row>
    <row r="4319" spans="2:9" x14ac:dyDescent="0.25">
      <c r="B4319" t="s">
        <v>1473</v>
      </c>
      <c r="C4319" s="22" t="s">
        <v>35</v>
      </c>
      <c r="D4319">
        <v>1</v>
      </c>
      <c r="G4319" s="30">
        <f>Table132[[#This Row],[nb win]]/Table132[[#This Row],[nb play]]</f>
        <v>0</v>
      </c>
      <c r="H4319" t="str">
        <f>MID(Table132[[#This Row],[ÉTAT]],VALUE(RIGHT(Table132[[#This Row],[next move]],1))+1+VALUE(LEFT(Table132[[#This Row],[next move]],1))*3,1)</f>
        <v>V</v>
      </c>
      <c r="I4319" t="str">
        <f>Table132[[#This Row],[ÉTAT]]&amp;Table132[[#This Row],[next move]]</f>
        <v>MEVVEEVVM20</v>
      </c>
    </row>
    <row r="4320" spans="2:9" x14ac:dyDescent="0.25">
      <c r="B4320" t="s">
        <v>2873</v>
      </c>
      <c r="C4320" s="22" t="s">
        <v>35</v>
      </c>
      <c r="D4320">
        <v>1</v>
      </c>
      <c r="E4320">
        <v>1</v>
      </c>
      <c r="G4320" s="25">
        <f>Table132[[#This Row],[nb win]]/Table132[[#This Row],[nb play]]</f>
        <v>1</v>
      </c>
      <c r="H4320" t="str">
        <f>MID(Table132[[#This Row],[ÉTAT]],VALUE(RIGHT(Table132[[#This Row],[next move]],1))+1+VALUE(LEFT(Table132[[#This Row],[next move]],1))*3,1)</f>
        <v>V</v>
      </c>
      <c r="I4320" t="str">
        <f>Table132[[#This Row],[ÉTAT]]&amp;Table132[[#This Row],[next move]]</f>
        <v>MEVVEEVMV20</v>
      </c>
    </row>
    <row r="4321" spans="2:9" x14ac:dyDescent="0.25">
      <c r="B4321" t="s">
        <v>3112</v>
      </c>
      <c r="C4321" s="22" t="s">
        <v>20</v>
      </c>
      <c r="D4321">
        <v>2</v>
      </c>
      <c r="G4321" s="30">
        <f>Table132[[#This Row],[nb win]]/Table132[[#This Row],[nb play]]</f>
        <v>0</v>
      </c>
      <c r="H4321" t="str">
        <f>MID(Table132[[#This Row],[ÉTAT]],VALUE(RIGHT(Table132[[#This Row],[next move]],1))+1+VALUE(LEFT(Table132[[#This Row],[next move]],1))*3,1)</f>
        <v>V</v>
      </c>
      <c r="I4321" t="str">
        <f>Table132[[#This Row],[ÉTAT]]&amp;Table132[[#This Row],[next move]]</f>
        <v>MEVVEEVMM02</v>
      </c>
    </row>
    <row r="4322" spans="2:9" x14ac:dyDescent="0.25">
      <c r="B4322" t="s">
        <v>3112</v>
      </c>
      <c r="C4322" s="22" t="s">
        <v>35</v>
      </c>
      <c r="D4322">
        <v>2</v>
      </c>
      <c r="E4322">
        <v>2</v>
      </c>
      <c r="G4322" s="31">
        <f>Table132[[#This Row],[nb win]]/Table132[[#This Row],[nb play]]</f>
        <v>1</v>
      </c>
      <c r="H4322" t="str">
        <f>MID(Table132[[#This Row],[ÉTAT]],VALUE(RIGHT(Table132[[#This Row],[next move]],1))+1+VALUE(LEFT(Table132[[#This Row],[next move]],1))*3,1)</f>
        <v>V</v>
      </c>
      <c r="I4322" t="str">
        <f>Table132[[#This Row],[ÉTAT]]&amp;Table132[[#This Row],[next move]]</f>
        <v>MEVVEEVMM20</v>
      </c>
    </row>
    <row r="4323" spans="2:9" x14ac:dyDescent="0.25">
      <c r="B4323" t="s">
        <v>2789</v>
      </c>
      <c r="C4323" s="22" t="s">
        <v>22</v>
      </c>
      <c r="D4323">
        <v>2</v>
      </c>
      <c r="E4323">
        <v>2</v>
      </c>
      <c r="G4323" s="31">
        <f>Table132[[#This Row],[nb win]]/Table132[[#This Row],[nb play]]</f>
        <v>1</v>
      </c>
      <c r="H4323" t="str">
        <f>MID(Table132[[#This Row],[ÉTAT]],VALUE(RIGHT(Table132[[#This Row],[next move]],1))+1+VALUE(LEFT(Table132[[#This Row],[next move]],1))*3,1)</f>
        <v>V</v>
      </c>
      <c r="I4323" t="str">
        <f>Table132[[#This Row],[ÉTAT]]&amp;Table132[[#This Row],[next move]]</f>
        <v>MEVVEEMVM21</v>
      </c>
    </row>
    <row r="4324" spans="2:9" x14ac:dyDescent="0.25">
      <c r="B4324" t="s">
        <v>2227</v>
      </c>
      <c r="C4324" s="22" t="s">
        <v>20</v>
      </c>
      <c r="D4324">
        <v>1</v>
      </c>
      <c r="E4324">
        <v>1</v>
      </c>
      <c r="G4324" s="25">
        <f>Table132[[#This Row],[nb win]]/Table132[[#This Row],[nb play]]</f>
        <v>1</v>
      </c>
      <c r="H4324" t="str">
        <f>MID(Table132[[#This Row],[ÉTAT]],VALUE(RIGHT(Table132[[#This Row],[next move]],1))+1+VALUE(LEFT(Table132[[#This Row],[next move]],1))*3,1)</f>
        <v>V</v>
      </c>
      <c r="I4324" t="str">
        <f>Table132[[#This Row],[ÉTAT]]&amp;Table132[[#This Row],[next move]]</f>
        <v>MEVVEEMMV02</v>
      </c>
    </row>
    <row r="4325" spans="2:9" x14ac:dyDescent="0.25">
      <c r="B4325" t="s">
        <v>519</v>
      </c>
      <c r="C4325" s="22" t="s">
        <v>20</v>
      </c>
      <c r="D4325">
        <v>1</v>
      </c>
      <c r="G4325" s="25">
        <f>Table132[[#This Row],[nb win]]/Table132[[#This Row],[nb play]]</f>
        <v>0</v>
      </c>
      <c r="H4325" t="str">
        <f>MID(Table132[[#This Row],[ÉTAT]],VALUE(RIGHT(Table132[[#This Row],[next move]],1))+1+VALUE(LEFT(Table132[[#This Row],[next move]],1))*3,1)</f>
        <v>V</v>
      </c>
      <c r="I4325" t="str">
        <f>Table132[[#This Row],[ÉTAT]]&amp;Table132[[#This Row],[next move]]</f>
        <v>MEVVEEMME02</v>
      </c>
    </row>
    <row r="4326" spans="2:9" x14ac:dyDescent="0.25">
      <c r="B4326" t="s">
        <v>519</v>
      </c>
      <c r="C4326" s="22" t="s">
        <v>30</v>
      </c>
      <c r="D4326">
        <v>2</v>
      </c>
      <c r="E4326">
        <v>2</v>
      </c>
      <c r="G4326" s="25">
        <f>Table132[[#This Row],[nb win]]/Table132[[#This Row],[nb play]]</f>
        <v>1</v>
      </c>
      <c r="H4326" t="str">
        <f>MID(Table132[[#This Row],[ÉTAT]],VALUE(RIGHT(Table132[[#This Row],[next move]],1))+1+VALUE(LEFT(Table132[[#This Row],[next move]],1))*3,1)</f>
        <v>V</v>
      </c>
      <c r="I4326" t="str">
        <f>Table132[[#This Row],[ÉTAT]]&amp;Table132[[#This Row],[next move]]</f>
        <v>MEVVEEMME10</v>
      </c>
    </row>
    <row r="4327" spans="2:9" x14ac:dyDescent="0.25">
      <c r="B4327" t="s">
        <v>3416</v>
      </c>
      <c r="C4327" s="22" t="s">
        <v>30</v>
      </c>
      <c r="D4327">
        <v>1</v>
      </c>
      <c r="G4327" s="30">
        <f>Table132[[#This Row],[nb win]]/Table132[[#This Row],[nb play]]</f>
        <v>0</v>
      </c>
      <c r="H4327" t="str">
        <f>MID(Table132[[#This Row],[ÉTAT]],VALUE(RIGHT(Table132[[#This Row],[next move]],1))+1+VALUE(LEFT(Table132[[#This Row],[next move]],1))*3,1)</f>
        <v>V</v>
      </c>
      <c r="I4327" t="str">
        <f>Table132[[#This Row],[ÉTAT]]&amp;Table132[[#This Row],[next move]]</f>
        <v>MEVVEEEMM10</v>
      </c>
    </row>
    <row r="4328" spans="2:9" x14ac:dyDescent="0.25">
      <c r="B4328" t="s">
        <v>1029</v>
      </c>
      <c r="C4328" s="22" t="s">
        <v>20</v>
      </c>
      <c r="D4328">
        <v>2</v>
      </c>
      <c r="G4328" s="30">
        <f>Table132[[#This Row],[nb win]]/Table132[[#This Row],[nb play]]</f>
        <v>0</v>
      </c>
      <c r="H4328" t="str">
        <f>MID(Table132[[#This Row],[ÉTAT]],VALUE(RIGHT(Table132[[#This Row],[next move]],1))+1+VALUE(LEFT(Table132[[#This Row],[next move]],1))*3,1)</f>
        <v>V</v>
      </c>
      <c r="I4328" t="str">
        <f>Table132[[#This Row],[ÉTAT]]&amp;Table132[[#This Row],[next move]]</f>
        <v>MEVMVVVVE02</v>
      </c>
    </row>
    <row r="4329" spans="2:9" x14ac:dyDescent="0.25">
      <c r="B4329" t="s">
        <v>1029</v>
      </c>
      <c r="C4329" s="22" t="s">
        <v>29</v>
      </c>
      <c r="D4329">
        <v>6</v>
      </c>
      <c r="E4329">
        <v>6</v>
      </c>
      <c r="G4329" s="31">
        <f>Table132[[#This Row],[nb win]]/Table132[[#This Row],[nb play]]</f>
        <v>1</v>
      </c>
      <c r="H4329" t="str">
        <f>MID(Table132[[#This Row],[ÉTAT]],VALUE(RIGHT(Table132[[#This Row],[next move]],1))+1+VALUE(LEFT(Table132[[#This Row],[next move]],1))*3,1)</f>
        <v>V</v>
      </c>
      <c r="I4329" t="str">
        <f>Table132[[#This Row],[ÉTAT]]&amp;Table132[[#This Row],[next move]]</f>
        <v>MEVMVVVVE11</v>
      </c>
    </row>
    <row r="4330" spans="2:9" x14ac:dyDescent="0.25">
      <c r="B4330" t="s">
        <v>165</v>
      </c>
      <c r="C4330" s="22" t="s">
        <v>20</v>
      </c>
      <c r="D4330">
        <v>2</v>
      </c>
      <c r="E4330">
        <v>1</v>
      </c>
      <c r="G4330" s="25">
        <f>Table132[[#This Row],[nb win]]/Table132[[#This Row],[nb play]]</f>
        <v>0.5</v>
      </c>
      <c r="H4330" t="str">
        <f>MID(Table132[[#This Row],[ÉTAT]],VALUE(RIGHT(Table132[[#This Row],[next move]],1))+1+VALUE(LEFT(Table132[[#This Row],[next move]],1))*3,1)</f>
        <v>V</v>
      </c>
      <c r="I4330" t="str">
        <f>Table132[[#This Row],[ÉTAT]]&amp;Table132[[#This Row],[next move]]</f>
        <v>MEVMVVVEV02</v>
      </c>
    </row>
    <row r="4331" spans="2:9" x14ac:dyDescent="0.25">
      <c r="B4331" t="s">
        <v>165</v>
      </c>
      <c r="C4331" s="22" t="s">
        <v>35</v>
      </c>
      <c r="D4331">
        <v>1</v>
      </c>
      <c r="E4331">
        <v>1</v>
      </c>
      <c r="G4331" s="31">
        <f>Table132[[#This Row],[nb win]]/Table132[[#This Row],[nb play]]</f>
        <v>1</v>
      </c>
      <c r="H4331" t="str">
        <f>MID(Table132[[#This Row],[ÉTAT]],VALUE(RIGHT(Table132[[#This Row],[next move]],1))+1+VALUE(LEFT(Table132[[#This Row],[next move]],1))*3,1)</f>
        <v>V</v>
      </c>
      <c r="I4331" t="str">
        <f>Table132[[#This Row],[ÉTAT]]&amp;Table132[[#This Row],[next move]]</f>
        <v>MEVMVVVEV20</v>
      </c>
    </row>
    <row r="4332" spans="2:9" x14ac:dyDescent="0.25">
      <c r="B4332" t="s">
        <v>2831</v>
      </c>
      <c r="C4332" s="22" t="s">
        <v>29</v>
      </c>
      <c r="D4332">
        <v>2</v>
      </c>
      <c r="E4332">
        <v>2</v>
      </c>
      <c r="G4332" s="31">
        <f>Table132[[#This Row],[nb win]]/Table132[[#This Row],[nb play]]</f>
        <v>1</v>
      </c>
      <c r="H4332" t="str">
        <f>MID(Table132[[#This Row],[ÉTAT]],VALUE(RIGHT(Table132[[#This Row],[next move]],1))+1+VALUE(LEFT(Table132[[#This Row],[next move]],1))*3,1)</f>
        <v>V</v>
      </c>
      <c r="I4332" t="str">
        <f>Table132[[#This Row],[ÉTAT]]&amp;Table132[[#This Row],[next move]]</f>
        <v>MEVMVVEVV11</v>
      </c>
    </row>
    <row r="4333" spans="2:9" x14ac:dyDescent="0.25">
      <c r="B4333" t="s">
        <v>1632</v>
      </c>
      <c r="C4333" s="22" t="s">
        <v>20</v>
      </c>
      <c r="D4333">
        <v>1</v>
      </c>
      <c r="G4333" s="25">
        <f>Table132[[#This Row],[nb win]]/Table132[[#This Row],[nb play]]</f>
        <v>0</v>
      </c>
      <c r="H4333" t="str">
        <f>MID(Table132[[#This Row],[ÉTAT]],VALUE(RIGHT(Table132[[#This Row],[next move]],1))+1+VALUE(LEFT(Table132[[#This Row],[next move]],1))*3,1)</f>
        <v>V</v>
      </c>
      <c r="I4333" t="str">
        <f>Table132[[#This Row],[ÉTAT]]&amp;Table132[[#This Row],[next move]]</f>
        <v>MEVMVVEVE02</v>
      </c>
    </row>
    <row r="4334" spans="2:9" x14ac:dyDescent="0.25">
      <c r="B4334" t="s">
        <v>1632</v>
      </c>
      <c r="C4334" s="22" t="s">
        <v>29</v>
      </c>
      <c r="D4334">
        <v>1</v>
      </c>
      <c r="G4334" s="25">
        <f>Table132[[#This Row],[nb win]]/Table132[[#This Row],[nb play]]</f>
        <v>0</v>
      </c>
      <c r="H4334" t="str">
        <f>MID(Table132[[#This Row],[ÉTAT]],VALUE(RIGHT(Table132[[#This Row],[next move]],1))+1+VALUE(LEFT(Table132[[#This Row],[next move]],1))*3,1)</f>
        <v>V</v>
      </c>
      <c r="I4334" t="str">
        <f>Table132[[#This Row],[ÉTAT]]&amp;Table132[[#This Row],[next move]]</f>
        <v>MEVMVVEVE11</v>
      </c>
    </row>
    <row r="4335" spans="2:9" x14ac:dyDescent="0.25">
      <c r="B4335" t="s">
        <v>3274</v>
      </c>
      <c r="C4335" s="22" t="s">
        <v>29</v>
      </c>
      <c r="D4335">
        <v>1</v>
      </c>
      <c r="E4335">
        <v>1</v>
      </c>
      <c r="G4335" s="31">
        <f>Table132[[#This Row],[nb win]]/Table132[[#This Row],[nb play]]</f>
        <v>1</v>
      </c>
      <c r="H4335" t="str">
        <f>MID(Table132[[#This Row],[ÉTAT]],VALUE(RIGHT(Table132[[#This Row],[next move]],1))+1+VALUE(LEFT(Table132[[#This Row],[next move]],1))*3,1)</f>
        <v>V</v>
      </c>
      <c r="I4335" t="str">
        <f>Table132[[#This Row],[ÉTAT]]&amp;Table132[[#This Row],[next move]]</f>
        <v>MEVMVVEEM11</v>
      </c>
    </row>
    <row r="4336" spans="2:9" x14ac:dyDescent="0.25">
      <c r="B4336" t="s">
        <v>766</v>
      </c>
      <c r="C4336" s="22" t="s">
        <v>29</v>
      </c>
      <c r="D4336">
        <v>5</v>
      </c>
      <c r="E4336">
        <v>5</v>
      </c>
      <c r="G4336" s="31">
        <f>Table132[[#This Row],[nb win]]/Table132[[#This Row],[nb play]]</f>
        <v>1</v>
      </c>
      <c r="H4336" t="str">
        <f>MID(Table132[[#This Row],[ÉTAT]],VALUE(RIGHT(Table132[[#This Row],[next move]],1))+1+VALUE(LEFT(Table132[[#This Row],[next move]],1))*3,1)</f>
        <v>V</v>
      </c>
      <c r="I4336" t="str">
        <f>Table132[[#This Row],[ÉTAT]]&amp;Table132[[#This Row],[next move]]</f>
        <v>MEVMVMVEE11</v>
      </c>
    </row>
    <row r="4337" spans="2:9" x14ac:dyDescent="0.25">
      <c r="B4337" t="s">
        <v>135</v>
      </c>
      <c r="C4337" s="22" t="s">
        <v>29</v>
      </c>
      <c r="D4337">
        <v>3</v>
      </c>
      <c r="E4337">
        <v>3</v>
      </c>
      <c r="G4337" s="31">
        <f>Table132[[#This Row],[nb win]]/Table132[[#This Row],[nb play]]</f>
        <v>1</v>
      </c>
      <c r="H4337" t="str">
        <f>MID(Table132[[#This Row],[ÉTAT]],VALUE(RIGHT(Table132[[#This Row],[next move]],1))+1+VALUE(LEFT(Table132[[#This Row],[next move]],1))*3,1)</f>
        <v>V</v>
      </c>
      <c r="I4337" t="str">
        <f>Table132[[#This Row],[ÉTAT]]&amp;Table132[[#This Row],[next move]]</f>
        <v>MEVMVMEEV11</v>
      </c>
    </row>
    <row r="4338" spans="2:9" x14ac:dyDescent="0.25">
      <c r="B4338" t="s">
        <v>854</v>
      </c>
      <c r="C4338" s="22" t="s">
        <v>29</v>
      </c>
      <c r="D4338">
        <v>6</v>
      </c>
      <c r="E4338">
        <v>5</v>
      </c>
      <c r="G4338" s="25">
        <f>Table132[[#This Row],[nb win]]/Table132[[#This Row],[nb play]]</f>
        <v>0.83333333333333337</v>
      </c>
      <c r="H4338" t="str">
        <f>MID(Table132[[#This Row],[ÉTAT]],VALUE(RIGHT(Table132[[#This Row],[next move]],1))+1+VALUE(LEFT(Table132[[#This Row],[next move]],1))*3,1)</f>
        <v>V</v>
      </c>
      <c r="I4338" t="str">
        <f>Table132[[#This Row],[ÉTAT]]&amp;Table132[[#This Row],[next move]]</f>
        <v>MEVMVEVVV11</v>
      </c>
    </row>
    <row r="4339" spans="2:9" x14ac:dyDescent="0.25">
      <c r="B4339" t="s">
        <v>854</v>
      </c>
      <c r="C4339" s="22" t="s">
        <v>22</v>
      </c>
      <c r="D4339">
        <v>2</v>
      </c>
      <c r="E4339">
        <v>2</v>
      </c>
      <c r="G4339" s="25">
        <f>Table132[[#This Row],[nb win]]/Table132[[#This Row],[nb play]]</f>
        <v>1</v>
      </c>
      <c r="H4339" t="str">
        <f>MID(Table132[[#This Row],[ÉTAT]],VALUE(RIGHT(Table132[[#This Row],[next move]],1))+1+VALUE(LEFT(Table132[[#This Row],[next move]],1))*3,1)</f>
        <v>V</v>
      </c>
      <c r="I4339" t="str">
        <f>Table132[[#This Row],[ÉTAT]]&amp;Table132[[#This Row],[next move]]</f>
        <v>MEVMVEVVV21</v>
      </c>
    </row>
    <row r="4340" spans="2:9" x14ac:dyDescent="0.25">
      <c r="B4340" t="s">
        <v>640</v>
      </c>
      <c r="C4340" s="22" t="s">
        <v>35</v>
      </c>
      <c r="D4340">
        <v>6</v>
      </c>
      <c r="E4340">
        <v>6</v>
      </c>
      <c r="G4340" s="31">
        <f>Table132[[#This Row],[nb win]]/Table132[[#This Row],[nb play]]</f>
        <v>1</v>
      </c>
      <c r="H4340" t="str">
        <f>MID(Table132[[#This Row],[ÉTAT]],VALUE(RIGHT(Table132[[#This Row],[next move]],1))+1+VALUE(LEFT(Table132[[#This Row],[next move]],1))*3,1)</f>
        <v>V</v>
      </c>
      <c r="I4340" t="str">
        <f>Table132[[#This Row],[ÉTAT]]&amp;Table132[[#This Row],[next move]]</f>
        <v>MEVMVEVVE20</v>
      </c>
    </row>
    <row r="4341" spans="2:9" x14ac:dyDescent="0.25">
      <c r="B4341" t="s">
        <v>3456</v>
      </c>
      <c r="C4341" s="22" t="s">
        <v>20</v>
      </c>
      <c r="D4341">
        <v>1</v>
      </c>
      <c r="G4341" s="30">
        <f>Table132[[#This Row],[nb win]]/Table132[[#This Row],[nb play]]</f>
        <v>0</v>
      </c>
      <c r="H4341" t="str">
        <f>MID(Table132[[#This Row],[ÉTAT]],VALUE(RIGHT(Table132[[#This Row],[next move]],1))+1+VALUE(LEFT(Table132[[#This Row],[next move]],1))*3,1)</f>
        <v>V</v>
      </c>
      <c r="I4341" t="str">
        <f>Table132[[#This Row],[ÉTAT]]&amp;Table132[[#This Row],[next move]]</f>
        <v>MEVMVEVEV02</v>
      </c>
    </row>
    <row r="4342" spans="2:9" x14ac:dyDescent="0.25">
      <c r="B4342" t="s">
        <v>3459</v>
      </c>
      <c r="C4342" s="22" t="s">
        <v>20</v>
      </c>
      <c r="D4342">
        <v>1</v>
      </c>
      <c r="G4342" s="30">
        <f>Table132[[#This Row],[nb win]]/Table132[[#This Row],[nb play]]</f>
        <v>0</v>
      </c>
      <c r="H4342" t="str">
        <f>MID(Table132[[#This Row],[ÉTAT]],VALUE(RIGHT(Table132[[#This Row],[next move]],1))+1+VALUE(LEFT(Table132[[#This Row],[next move]],1))*3,1)</f>
        <v>V</v>
      </c>
      <c r="I4342" t="str">
        <f>Table132[[#This Row],[ÉTAT]]&amp;Table132[[#This Row],[next move]]</f>
        <v>MEVMVEVEM02</v>
      </c>
    </row>
    <row r="4343" spans="2:9" x14ac:dyDescent="0.25">
      <c r="B4343" t="s">
        <v>2892</v>
      </c>
      <c r="C4343" s="22" t="s">
        <v>29</v>
      </c>
      <c r="D4343">
        <v>1</v>
      </c>
      <c r="G4343" s="25">
        <f>Table132[[#This Row],[nb win]]/Table132[[#This Row],[nb play]]</f>
        <v>0</v>
      </c>
      <c r="H4343" t="str">
        <f>MID(Table132[[#This Row],[ÉTAT]],VALUE(RIGHT(Table132[[#This Row],[next move]],1))+1+VALUE(LEFT(Table132[[#This Row],[next move]],1))*3,1)</f>
        <v>V</v>
      </c>
      <c r="I4343" t="str">
        <f>Table132[[#This Row],[ÉTAT]]&amp;Table132[[#This Row],[next move]]</f>
        <v>MEVMVEEVV11</v>
      </c>
    </row>
    <row r="4344" spans="2:9" x14ac:dyDescent="0.25">
      <c r="B4344" t="s">
        <v>2892</v>
      </c>
      <c r="C4344" s="22" t="s">
        <v>22</v>
      </c>
      <c r="D4344">
        <v>1</v>
      </c>
      <c r="G4344" s="30">
        <f>Table132[[#This Row],[nb win]]/Table132[[#This Row],[nb play]]</f>
        <v>0</v>
      </c>
      <c r="H4344" t="str">
        <f>MID(Table132[[#This Row],[ÉTAT]],VALUE(RIGHT(Table132[[#This Row],[next move]],1))+1+VALUE(LEFT(Table132[[#This Row],[next move]],1))*3,1)</f>
        <v>V</v>
      </c>
      <c r="I4344" t="str">
        <f>Table132[[#This Row],[ÉTAT]]&amp;Table132[[#This Row],[next move]]</f>
        <v>MEVMVEEVV21</v>
      </c>
    </row>
    <row r="4345" spans="2:9" x14ac:dyDescent="0.25">
      <c r="B4345" t="s">
        <v>3153</v>
      </c>
      <c r="C4345" s="22" t="s">
        <v>29</v>
      </c>
      <c r="D4345">
        <v>1</v>
      </c>
      <c r="G4345" s="30">
        <f>Table132[[#This Row],[nb win]]/Table132[[#This Row],[nb play]]</f>
        <v>0</v>
      </c>
      <c r="H4345" t="str">
        <f>MID(Table132[[#This Row],[ÉTAT]],VALUE(RIGHT(Table132[[#This Row],[next move]],1))+1+VALUE(LEFT(Table132[[#This Row],[next move]],1))*3,1)</f>
        <v>V</v>
      </c>
      <c r="I4345" t="str">
        <f>Table132[[#This Row],[ÉTAT]]&amp;Table132[[#This Row],[next move]]</f>
        <v>MEVMVEEME11</v>
      </c>
    </row>
    <row r="4346" spans="2:9" x14ac:dyDescent="0.25">
      <c r="B4346" t="s">
        <v>832</v>
      </c>
      <c r="C4346" s="22" t="s">
        <v>29</v>
      </c>
      <c r="D4346">
        <v>2</v>
      </c>
      <c r="E4346">
        <v>2</v>
      </c>
      <c r="G4346" s="31">
        <f>Table132[[#This Row],[nb win]]/Table132[[#This Row],[nb play]]</f>
        <v>1</v>
      </c>
      <c r="H4346" t="str">
        <f>MID(Table132[[#This Row],[ÉTAT]],VALUE(RIGHT(Table132[[#This Row],[next move]],1))+1+VALUE(LEFT(Table132[[#This Row],[next move]],1))*3,1)</f>
        <v>V</v>
      </c>
      <c r="I4346" t="str">
        <f>Table132[[#This Row],[ÉTAT]]&amp;Table132[[#This Row],[next move]]</f>
        <v>MEVMVEEEM11</v>
      </c>
    </row>
    <row r="4347" spans="2:9" x14ac:dyDescent="0.25">
      <c r="B4347" t="s">
        <v>1852</v>
      </c>
      <c r="C4347" s="22" t="s">
        <v>35</v>
      </c>
      <c r="D4347">
        <v>8</v>
      </c>
      <c r="E4347">
        <v>8</v>
      </c>
      <c r="G4347" s="31">
        <f>Table132[[#This Row],[nb win]]/Table132[[#This Row],[nb play]]</f>
        <v>1</v>
      </c>
      <c r="H4347" t="str">
        <f>MID(Table132[[#This Row],[ÉTAT]],VALUE(RIGHT(Table132[[#This Row],[next move]],1))+1+VALUE(LEFT(Table132[[#This Row],[next move]],1))*3,1)</f>
        <v>V</v>
      </c>
      <c r="I4347" t="str">
        <f>Table132[[#This Row],[ÉTAT]]&amp;Table132[[#This Row],[next move]]</f>
        <v>MEVMMVVEE20</v>
      </c>
    </row>
    <row r="4348" spans="2:9" x14ac:dyDescent="0.25">
      <c r="B4348" t="s">
        <v>2545</v>
      </c>
      <c r="C4348" s="22" t="s">
        <v>28</v>
      </c>
      <c r="D4348">
        <v>2</v>
      </c>
      <c r="E4348">
        <v>2</v>
      </c>
      <c r="G4348" s="31">
        <f>Table132[[#This Row],[nb win]]/Table132[[#This Row],[nb play]]</f>
        <v>1</v>
      </c>
      <c r="H4348" t="str">
        <f>MID(Table132[[#This Row],[ÉTAT]],VALUE(RIGHT(Table132[[#This Row],[next move]],1))+1+VALUE(LEFT(Table132[[#This Row],[next move]],1))*3,1)</f>
        <v>V</v>
      </c>
      <c r="I4348" t="str">
        <f>Table132[[#This Row],[ÉTAT]]&amp;Table132[[#This Row],[next move]]</f>
        <v>MEVMMVEVE12</v>
      </c>
    </row>
    <row r="4349" spans="2:9" x14ac:dyDescent="0.25">
      <c r="B4349" t="s">
        <v>515</v>
      </c>
      <c r="C4349" s="22" t="s">
        <v>31</v>
      </c>
      <c r="D4349">
        <v>6</v>
      </c>
      <c r="E4349">
        <v>6</v>
      </c>
      <c r="G4349" s="31">
        <f>Table132[[#This Row],[nb win]]/Table132[[#This Row],[nb play]]</f>
        <v>1</v>
      </c>
      <c r="H4349" t="str">
        <f>MID(Table132[[#This Row],[ÉTAT]],VALUE(RIGHT(Table132[[#This Row],[next move]],1))+1+VALUE(LEFT(Table132[[#This Row],[next move]],1))*3,1)</f>
        <v>V</v>
      </c>
      <c r="I4349" t="str">
        <f>Table132[[#This Row],[ÉTAT]]&amp;Table132[[#This Row],[next move]]</f>
        <v>MEVMMVEEV22</v>
      </c>
    </row>
    <row r="4350" spans="2:9" x14ac:dyDescent="0.25">
      <c r="B4350" t="s">
        <v>1392</v>
      </c>
      <c r="C4350" s="22" t="s">
        <v>35</v>
      </c>
      <c r="D4350">
        <v>7</v>
      </c>
      <c r="E4350">
        <v>7</v>
      </c>
      <c r="G4350" s="31">
        <f>Table132[[#This Row],[nb win]]/Table132[[#This Row],[nb play]]</f>
        <v>1</v>
      </c>
      <c r="H4350" t="str">
        <f>MID(Table132[[#This Row],[ÉTAT]],VALUE(RIGHT(Table132[[#This Row],[next move]],1))+1+VALUE(LEFT(Table132[[#This Row],[next move]],1))*3,1)</f>
        <v>V</v>
      </c>
      <c r="I4350" t="str">
        <f>Table132[[#This Row],[ÉTAT]]&amp;Table132[[#This Row],[next move]]</f>
        <v>MEVMMEVVE20</v>
      </c>
    </row>
    <row r="4351" spans="2:9" x14ac:dyDescent="0.25">
      <c r="B4351" t="s">
        <v>1550</v>
      </c>
      <c r="C4351" s="22" t="s">
        <v>35</v>
      </c>
      <c r="D4351">
        <v>9</v>
      </c>
      <c r="E4351">
        <v>9</v>
      </c>
      <c r="G4351" s="31">
        <f>Table132[[#This Row],[nb win]]/Table132[[#This Row],[nb play]]</f>
        <v>1</v>
      </c>
      <c r="H4351" t="str">
        <f>MID(Table132[[#This Row],[ÉTAT]],VALUE(RIGHT(Table132[[#This Row],[next move]],1))+1+VALUE(LEFT(Table132[[#This Row],[next move]],1))*3,1)</f>
        <v>V</v>
      </c>
      <c r="I4351" t="str">
        <f>Table132[[#This Row],[ÉTAT]]&amp;Table132[[#This Row],[next move]]</f>
        <v>MEVMMEVEV20</v>
      </c>
    </row>
    <row r="4352" spans="2:9" x14ac:dyDescent="0.25">
      <c r="B4352" t="s">
        <v>637</v>
      </c>
      <c r="C4352" s="22" t="s">
        <v>35</v>
      </c>
      <c r="D4352">
        <v>2</v>
      </c>
      <c r="E4352">
        <v>2</v>
      </c>
      <c r="G4352" s="31">
        <f>Table132[[#This Row],[nb win]]/Table132[[#This Row],[nb play]]</f>
        <v>1</v>
      </c>
      <c r="H4352" t="str">
        <f>MID(Table132[[#This Row],[ÉTAT]],VALUE(RIGHT(Table132[[#This Row],[next move]],1))+1+VALUE(LEFT(Table132[[#This Row],[next move]],1))*3,1)</f>
        <v>V</v>
      </c>
      <c r="I4352" t="str">
        <f>Table132[[#This Row],[ÉTAT]]&amp;Table132[[#This Row],[next move]]</f>
        <v>MEVMMEVEE20</v>
      </c>
    </row>
    <row r="4353" spans="2:9" x14ac:dyDescent="0.25">
      <c r="B4353" t="s">
        <v>856</v>
      </c>
      <c r="C4353" s="22" t="s">
        <v>31</v>
      </c>
      <c r="D4353">
        <v>3</v>
      </c>
      <c r="E4353">
        <v>3</v>
      </c>
      <c r="G4353" s="25">
        <f>Table132[[#This Row],[nb win]]/Table132[[#This Row],[nb play]]</f>
        <v>1</v>
      </c>
      <c r="H4353" t="str">
        <f>MID(Table132[[#This Row],[ÉTAT]],VALUE(RIGHT(Table132[[#This Row],[next move]],1))+1+VALUE(LEFT(Table132[[#This Row],[next move]],1))*3,1)</f>
        <v>V</v>
      </c>
      <c r="I4353" t="str">
        <f>Table132[[#This Row],[ÉTAT]]&amp;Table132[[#This Row],[next move]]</f>
        <v>MEVMMEEVV22</v>
      </c>
    </row>
    <row r="4354" spans="2:9" x14ac:dyDescent="0.25">
      <c r="B4354" t="s">
        <v>2894</v>
      </c>
      <c r="C4354" s="22" t="s">
        <v>20</v>
      </c>
      <c r="D4354">
        <v>1</v>
      </c>
      <c r="G4354" s="25">
        <f>Table132[[#This Row],[nb win]]/Table132[[#This Row],[nb play]]</f>
        <v>0</v>
      </c>
      <c r="H4354" t="str">
        <f>MID(Table132[[#This Row],[ÉTAT]],VALUE(RIGHT(Table132[[#This Row],[next move]],1))+1+VALUE(LEFT(Table132[[#This Row],[next move]],1))*3,1)</f>
        <v>V</v>
      </c>
      <c r="I4354" t="str">
        <f>Table132[[#This Row],[ÉTAT]]&amp;Table132[[#This Row],[next move]]</f>
        <v>MEVMMEEEV02</v>
      </c>
    </row>
    <row r="4355" spans="2:9" x14ac:dyDescent="0.25">
      <c r="B4355" t="s">
        <v>243</v>
      </c>
      <c r="C4355" s="22" t="s">
        <v>35</v>
      </c>
      <c r="D4355">
        <v>5</v>
      </c>
      <c r="E4355">
        <v>5</v>
      </c>
      <c r="G4355" s="31">
        <f>Table132[[#This Row],[nb win]]/Table132[[#This Row],[nb play]]</f>
        <v>1</v>
      </c>
      <c r="H4355" t="str">
        <f>MID(Table132[[#This Row],[ÉTAT]],VALUE(RIGHT(Table132[[#This Row],[next move]],1))+1+VALUE(LEFT(Table132[[#This Row],[next move]],1))*3,1)</f>
        <v>V</v>
      </c>
      <c r="I4355" t="str">
        <f>Table132[[#This Row],[ÉTAT]]&amp;Table132[[#This Row],[next move]]</f>
        <v>MEVMEVVVV20</v>
      </c>
    </row>
    <row r="4356" spans="2:9" x14ac:dyDescent="0.25">
      <c r="B4356" t="s">
        <v>243</v>
      </c>
      <c r="C4356" s="22" t="s">
        <v>31</v>
      </c>
      <c r="D4356">
        <v>5</v>
      </c>
      <c r="G4356" s="30">
        <f>Table132[[#This Row],[nb win]]/Table132[[#This Row],[nb play]]</f>
        <v>0</v>
      </c>
      <c r="H4356" t="str">
        <f>MID(Table132[[#This Row],[ÉTAT]],VALUE(RIGHT(Table132[[#This Row],[next move]],1))+1+VALUE(LEFT(Table132[[#This Row],[next move]],1))*3,1)</f>
        <v>V</v>
      </c>
      <c r="I4356" t="str">
        <f>Table132[[#This Row],[ÉTAT]]&amp;Table132[[#This Row],[next move]]</f>
        <v>MEVMEVVVV22</v>
      </c>
    </row>
    <row r="4357" spans="2:9" x14ac:dyDescent="0.25">
      <c r="B4357" t="s">
        <v>3335</v>
      </c>
      <c r="C4357" s="22" t="s">
        <v>28</v>
      </c>
      <c r="D4357">
        <v>1</v>
      </c>
      <c r="G4357" s="30">
        <f>Table132[[#This Row],[nb win]]/Table132[[#This Row],[nb play]]</f>
        <v>0</v>
      </c>
      <c r="H4357" t="str">
        <f>MID(Table132[[#This Row],[ÉTAT]],VALUE(RIGHT(Table132[[#This Row],[next move]],1))+1+VALUE(LEFT(Table132[[#This Row],[next move]],1))*3,1)</f>
        <v>V</v>
      </c>
      <c r="I4357" t="str">
        <f>Table132[[#This Row],[ÉTAT]]&amp;Table132[[#This Row],[next move]]</f>
        <v>MEVMEVVVE12</v>
      </c>
    </row>
    <row r="4358" spans="2:9" x14ac:dyDescent="0.25">
      <c r="B4358" t="s">
        <v>2377</v>
      </c>
      <c r="C4358" s="22" t="s">
        <v>20</v>
      </c>
      <c r="D4358">
        <v>1</v>
      </c>
      <c r="G4358" s="25">
        <f>Table132[[#This Row],[nb win]]/Table132[[#This Row],[nb play]]</f>
        <v>0</v>
      </c>
      <c r="H4358" t="str">
        <f>MID(Table132[[#This Row],[ÉTAT]],VALUE(RIGHT(Table132[[#This Row],[next move]],1))+1+VALUE(LEFT(Table132[[#This Row],[next move]],1))*3,1)</f>
        <v>V</v>
      </c>
      <c r="I4358" t="str">
        <f>Table132[[#This Row],[ÉTAT]]&amp;Table132[[#This Row],[next move]]</f>
        <v>MEVMEVEVV02</v>
      </c>
    </row>
    <row r="4359" spans="2:9" x14ac:dyDescent="0.25">
      <c r="B4359" t="s">
        <v>2377</v>
      </c>
      <c r="C4359" s="22" t="s">
        <v>28</v>
      </c>
      <c r="D4359">
        <v>4</v>
      </c>
      <c r="G4359" s="30">
        <f>Table132[[#This Row],[nb win]]/Table132[[#This Row],[nb play]]</f>
        <v>0</v>
      </c>
      <c r="H4359" t="str">
        <f>MID(Table132[[#This Row],[ÉTAT]],VALUE(RIGHT(Table132[[#This Row],[next move]],1))+1+VALUE(LEFT(Table132[[#This Row],[next move]],1))*3,1)</f>
        <v>V</v>
      </c>
      <c r="I4359" t="str">
        <f>Table132[[#This Row],[ÉTAT]]&amp;Table132[[#This Row],[next move]]</f>
        <v>MEVMEVEVV12</v>
      </c>
    </row>
    <row r="4360" spans="2:9" x14ac:dyDescent="0.25">
      <c r="B4360" t="s">
        <v>2377</v>
      </c>
      <c r="C4360" s="22" t="s">
        <v>22</v>
      </c>
      <c r="D4360">
        <v>1</v>
      </c>
      <c r="G4360" s="30">
        <f>Table132[[#This Row],[nb win]]/Table132[[#This Row],[nb play]]</f>
        <v>0</v>
      </c>
      <c r="H4360" t="str">
        <f>MID(Table132[[#This Row],[ÉTAT]],VALUE(RIGHT(Table132[[#This Row],[next move]],1))+1+VALUE(LEFT(Table132[[#This Row],[next move]],1))*3,1)</f>
        <v>V</v>
      </c>
      <c r="I4360" t="str">
        <f>Table132[[#This Row],[ÉTAT]]&amp;Table132[[#This Row],[next move]]</f>
        <v>MEVMEVEVV21</v>
      </c>
    </row>
    <row r="4361" spans="2:9" x14ac:dyDescent="0.25">
      <c r="B4361" t="s">
        <v>241</v>
      </c>
      <c r="C4361" s="22" t="s">
        <v>20</v>
      </c>
      <c r="D4361">
        <v>2</v>
      </c>
      <c r="G4361" s="25">
        <f>Table132[[#This Row],[nb win]]/Table132[[#This Row],[nb play]]</f>
        <v>0</v>
      </c>
      <c r="H4361" t="str">
        <f>MID(Table132[[#This Row],[ÉTAT]],VALUE(RIGHT(Table132[[#This Row],[next move]],1))+1+VALUE(LEFT(Table132[[#This Row],[next move]],1))*3,1)</f>
        <v>V</v>
      </c>
      <c r="I4361" t="str">
        <f>Table132[[#This Row],[ÉTAT]]&amp;Table132[[#This Row],[next move]]</f>
        <v>MEVMEVEVM02</v>
      </c>
    </row>
    <row r="4362" spans="2:9" x14ac:dyDescent="0.25">
      <c r="B4362" t="s">
        <v>241</v>
      </c>
      <c r="C4362" s="22" t="s">
        <v>28</v>
      </c>
      <c r="D4362">
        <v>2</v>
      </c>
      <c r="G4362" s="30">
        <f>Table132[[#This Row],[nb win]]/Table132[[#This Row],[nb play]]</f>
        <v>0</v>
      </c>
      <c r="H4362" t="str">
        <f>MID(Table132[[#This Row],[ÉTAT]],VALUE(RIGHT(Table132[[#This Row],[next move]],1))+1+VALUE(LEFT(Table132[[#This Row],[next move]],1))*3,1)</f>
        <v>V</v>
      </c>
      <c r="I4362" t="str">
        <f>Table132[[#This Row],[ÉTAT]]&amp;Table132[[#This Row],[next move]]</f>
        <v>MEVMEVEVM12</v>
      </c>
    </row>
    <row r="4363" spans="2:9" x14ac:dyDescent="0.25">
      <c r="B4363" t="s">
        <v>241</v>
      </c>
      <c r="C4363" s="22" t="s">
        <v>22</v>
      </c>
      <c r="D4363">
        <v>1</v>
      </c>
      <c r="G4363" s="25">
        <f>Table132[[#This Row],[nb win]]/Table132[[#This Row],[nb play]]</f>
        <v>0</v>
      </c>
      <c r="H4363" t="str">
        <f>MID(Table132[[#This Row],[ÉTAT]],VALUE(RIGHT(Table132[[#This Row],[next move]],1))+1+VALUE(LEFT(Table132[[#This Row],[next move]],1))*3,1)</f>
        <v>V</v>
      </c>
      <c r="I4363" t="str">
        <f>Table132[[#This Row],[ÉTAT]]&amp;Table132[[#This Row],[next move]]</f>
        <v>MEVMEVEVM21</v>
      </c>
    </row>
    <row r="4364" spans="2:9" x14ac:dyDescent="0.25">
      <c r="B4364" t="s">
        <v>2924</v>
      </c>
      <c r="C4364" s="22" t="s">
        <v>31</v>
      </c>
      <c r="D4364">
        <v>1</v>
      </c>
      <c r="G4364" s="25">
        <f>Table132[[#This Row],[nb win]]/Table132[[#This Row],[nb play]]</f>
        <v>0</v>
      </c>
      <c r="H4364" t="str">
        <f>MID(Table132[[#This Row],[ÉTAT]],VALUE(RIGHT(Table132[[#This Row],[next move]],1))+1+VALUE(LEFT(Table132[[#This Row],[next move]],1))*3,1)</f>
        <v>V</v>
      </c>
      <c r="I4364" t="str">
        <f>Table132[[#This Row],[ÉTAT]]&amp;Table132[[#This Row],[next move]]</f>
        <v>MEVMEVEMV22</v>
      </c>
    </row>
    <row r="4365" spans="2:9" x14ac:dyDescent="0.25">
      <c r="B4365" t="s">
        <v>2386</v>
      </c>
      <c r="C4365" s="22" t="s">
        <v>28</v>
      </c>
      <c r="D4365">
        <v>1</v>
      </c>
      <c r="G4365" s="30">
        <f>Table132[[#This Row],[nb win]]/Table132[[#This Row],[nb play]]</f>
        <v>0</v>
      </c>
      <c r="H4365" t="str">
        <f>MID(Table132[[#This Row],[ÉTAT]],VALUE(RIGHT(Table132[[#This Row],[next move]],1))+1+VALUE(LEFT(Table132[[#This Row],[next move]],1))*3,1)</f>
        <v>V</v>
      </c>
      <c r="I4365" t="str">
        <f>Table132[[#This Row],[ÉTAT]]&amp;Table132[[#This Row],[next move]]</f>
        <v>MEVMEVEME12</v>
      </c>
    </row>
    <row r="4366" spans="2:9" x14ac:dyDescent="0.25">
      <c r="B4366" t="s">
        <v>3169</v>
      </c>
      <c r="C4366" s="22" t="s">
        <v>22</v>
      </c>
      <c r="D4366">
        <v>1</v>
      </c>
      <c r="G4366" s="30">
        <f>Table132[[#This Row],[nb win]]/Table132[[#This Row],[nb play]]</f>
        <v>0</v>
      </c>
      <c r="H4366" t="str">
        <f>MID(Table132[[#This Row],[ÉTAT]],VALUE(RIGHT(Table132[[#This Row],[next move]],1))+1+VALUE(LEFT(Table132[[#This Row],[next move]],1))*3,1)</f>
        <v>V</v>
      </c>
      <c r="I4366" t="str">
        <f>Table132[[#This Row],[ÉTAT]]&amp;Table132[[#This Row],[next move]]</f>
        <v>MEVMEMEVV21</v>
      </c>
    </row>
    <row r="4367" spans="2:9" x14ac:dyDescent="0.25">
      <c r="B4367" t="s">
        <v>3408</v>
      </c>
      <c r="C4367" s="22" t="s">
        <v>20</v>
      </c>
      <c r="D4367">
        <v>2</v>
      </c>
      <c r="G4367" s="30">
        <f>Table132[[#This Row],[nb win]]/Table132[[#This Row],[nb play]]</f>
        <v>0</v>
      </c>
      <c r="H4367" t="str">
        <f>MID(Table132[[#This Row],[ÉTAT]],VALUE(RIGHT(Table132[[#This Row],[next move]],1))+1+VALUE(LEFT(Table132[[#This Row],[next move]],1))*3,1)</f>
        <v>V</v>
      </c>
      <c r="I4367" t="str">
        <f>Table132[[#This Row],[ÉTAT]]&amp;Table132[[#This Row],[next move]]</f>
        <v>MEVMEMEVE02</v>
      </c>
    </row>
    <row r="4368" spans="2:9" x14ac:dyDescent="0.25">
      <c r="B4368" t="s">
        <v>270</v>
      </c>
      <c r="C4368" s="22" t="s">
        <v>35</v>
      </c>
      <c r="D4368">
        <v>5</v>
      </c>
      <c r="E4368">
        <v>5</v>
      </c>
      <c r="G4368" s="31">
        <f>Table132[[#This Row],[nb win]]/Table132[[#This Row],[nb play]]</f>
        <v>1</v>
      </c>
      <c r="H4368" t="str">
        <f>MID(Table132[[#This Row],[ÉTAT]],VALUE(RIGHT(Table132[[#This Row],[next move]],1))+1+VALUE(LEFT(Table132[[#This Row],[next move]],1))*3,1)</f>
        <v>V</v>
      </c>
      <c r="I4368" t="str">
        <f>Table132[[#This Row],[ÉTAT]]&amp;Table132[[#This Row],[next move]]</f>
        <v>MEVMEEVVV20</v>
      </c>
    </row>
    <row r="4369" spans="2:9" x14ac:dyDescent="0.25">
      <c r="B4369" t="s">
        <v>1934</v>
      </c>
      <c r="C4369" s="22" t="s">
        <v>35</v>
      </c>
      <c r="D4369">
        <v>2</v>
      </c>
      <c r="E4369">
        <v>2</v>
      </c>
      <c r="G4369" s="31">
        <f>Table132[[#This Row],[nb win]]/Table132[[#This Row],[nb play]]</f>
        <v>1</v>
      </c>
      <c r="H4369" t="str">
        <f>MID(Table132[[#This Row],[ÉTAT]],VALUE(RIGHT(Table132[[#This Row],[next move]],1))+1+VALUE(LEFT(Table132[[#This Row],[next move]],1))*3,1)</f>
        <v>V</v>
      </c>
      <c r="I4369" t="str">
        <f>Table132[[#This Row],[ÉTAT]]&amp;Table132[[#This Row],[next move]]</f>
        <v>MEVMEEVVM20</v>
      </c>
    </row>
    <row r="4370" spans="2:9" x14ac:dyDescent="0.25">
      <c r="B4370" t="s">
        <v>2421</v>
      </c>
      <c r="C4370" s="22" t="s">
        <v>35</v>
      </c>
      <c r="D4370">
        <v>3</v>
      </c>
      <c r="E4370">
        <v>3</v>
      </c>
      <c r="G4370" s="31">
        <f>Table132[[#This Row],[nb win]]/Table132[[#This Row],[nb play]]</f>
        <v>1</v>
      </c>
      <c r="H4370" t="str">
        <f>MID(Table132[[#This Row],[ÉTAT]],VALUE(RIGHT(Table132[[#This Row],[next move]],1))+1+VALUE(LEFT(Table132[[#This Row],[next move]],1))*3,1)</f>
        <v>V</v>
      </c>
      <c r="I4370" t="str">
        <f>Table132[[#This Row],[ÉTAT]]&amp;Table132[[#This Row],[next move]]</f>
        <v>MEVMEEVMV20</v>
      </c>
    </row>
    <row r="4371" spans="2:9" x14ac:dyDescent="0.25">
      <c r="B4371" t="s">
        <v>1292</v>
      </c>
      <c r="C4371" s="22" t="s">
        <v>35</v>
      </c>
      <c r="D4371">
        <v>1</v>
      </c>
      <c r="E4371">
        <v>1</v>
      </c>
      <c r="G4371" s="25">
        <f>Table132[[#This Row],[nb win]]/Table132[[#This Row],[nb play]]</f>
        <v>1</v>
      </c>
      <c r="H4371" t="str">
        <f>MID(Table132[[#This Row],[ÉTAT]],VALUE(RIGHT(Table132[[#This Row],[next move]],1))+1+VALUE(LEFT(Table132[[#This Row],[next move]],1))*3,1)</f>
        <v>V</v>
      </c>
      <c r="I4371" t="str">
        <f>Table132[[#This Row],[ÉTAT]]&amp;Table132[[#This Row],[next move]]</f>
        <v>MEVMEEVME20</v>
      </c>
    </row>
    <row r="4372" spans="2:9" x14ac:dyDescent="0.25">
      <c r="B4372" t="s">
        <v>1147</v>
      </c>
      <c r="C4372" s="22" t="s">
        <v>22</v>
      </c>
      <c r="D4372">
        <v>1</v>
      </c>
      <c r="G4372" s="25">
        <f>Table132[[#This Row],[nb win]]/Table132[[#This Row],[nb play]]</f>
        <v>0</v>
      </c>
      <c r="H4372" t="str">
        <f>MID(Table132[[#This Row],[ÉTAT]],VALUE(RIGHT(Table132[[#This Row],[next move]],1))+1+VALUE(LEFT(Table132[[#This Row],[next move]],1))*3,1)</f>
        <v>V</v>
      </c>
      <c r="I4372" t="str">
        <f>Table132[[#This Row],[ÉTAT]]&amp;Table132[[#This Row],[next move]]</f>
        <v>MEVMEEEVM21</v>
      </c>
    </row>
    <row r="4373" spans="2:9" x14ac:dyDescent="0.25">
      <c r="B4373" t="s">
        <v>1073</v>
      </c>
      <c r="C4373" s="22" t="s">
        <v>31</v>
      </c>
      <c r="D4373">
        <v>1</v>
      </c>
      <c r="G4373" s="25">
        <f>Table132[[#This Row],[nb win]]/Table132[[#This Row],[nb play]]</f>
        <v>0</v>
      </c>
      <c r="H4373" t="str">
        <f>MID(Table132[[#This Row],[ÉTAT]],VALUE(RIGHT(Table132[[#This Row],[next move]],1))+1+VALUE(LEFT(Table132[[#This Row],[next move]],1))*3,1)</f>
        <v>V</v>
      </c>
      <c r="I4373" t="str">
        <f>Table132[[#This Row],[ÉTAT]]&amp;Table132[[#This Row],[next move]]</f>
        <v>MEVMEEEMV22</v>
      </c>
    </row>
    <row r="4374" spans="2:9" x14ac:dyDescent="0.25">
      <c r="B4374" t="s">
        <v>965</v>
      </c>
      <c r="C4374" s="22" t="s">
        <v>20</v>
      </c>
      <c r="D4374">
        <v>1</v>
      </c>
      <c r="G4374" s="25">
        <f>Table132[[#This Row],[nb win]]/Table132[[#This Row],[nb play]]</f>
        <v>0</v>
      </c>
      <c r="H4374" t="str">
        <f>MID(Table132[[#This Row],[ÉTAT]],VALUE(RIGHT(Table132[[#This Row],[next move]],1))+1+VALUE(LEFT(Table132[[#This Row],[next move]],1))*3,1)</f>
        <v>V</v>
      </c>
      <c r="I4374" t="str">
        <f>Table132[[#This Row],[ÉTAT]]&amp;Table132[[#This Row],[next move]]</f>
        <v>MEVEVVVVV02</v>
      </c>
    </row>
    <row r="4375" spans="2:9" x14ac:dyDescent="0.25">
      <c r="B4375" t="s">
        <v>965</v>
      </c>
      <c r="C4375" s="22" t="s">
        <v>29</v>
      </c>
      <c r="D4375">
        <v>2</v>
      </c>
      <c r="E4375">
        <v>2</v>
      </c>
      <c r="G4375" s="31">
        <f>Table132[[#This Row],[nb win]]/Table132[[#This Row],[nb play]]</f>
        <v>1</v>
      </c>
      <c r="H4375" t="str">
        <f>MID(Table132[[#This Row],[ÉTAT]],VALUE(RIGHT(Table132[[#This Row],[next move]],1))+1+VALUE(LEFT(Table132[[#This Row],[next move]],1))*3,1)</f>
        <v>V</v>
      </c>
      <c r="I4375" t="str">
        <f>Table132[[#This Row],[ÉTAT]]&amp;Table132[[#This Row],[next move]]</f>
        <v>MEVEVVVVV11</v>
      </c>
    </row>
    <row r="4376" spans="2:9" x14ac:dyDescent="0.25">
      <c r="B4376" t="s">
        <v>965</v>
      </c>
      <c r="C4376" s="22" t="s">
        <v>35</v>
      </c>
      <c r="D4376">
        <v>2</v>
      </c>
      <c r="G4376" s="30">
        <f>Table132[[#This Row],[nb win]]/Table132[[#This Row],[nb play]]</f>
        <v>0</v>
      </c>
      <c r="H4376" t="str">
        <f>MID(Table132[[#This Row],[ÉTAT]],VALUE(RIGHT(Table132[[#This Row],[next move]],1))+1+VALUE(LEFT(Table132[[#This Row],[next move]],1))*3,1)</f>
        <v>V</v>
      </c>
      <c r="I4376" t="str">
        <f>Table132[[#This Row],[ÉTAT]]&amp;Table132[[#This Row],[next move]]</f>
        <v>MEVEVVVVV20</v>
      </c>
    </row>
    <row r="4377" spans="2:9" x14ac:dyDescent="0.25">
      <c r="B4377" t="s">
        <v>965</v>
      </c>
      <c r="C4377" s="22" t="s">
        <v>22</v>
      </c>
      <c r="D4377">
        <v>1</v>
      </c>
      <c r="G4377" s="25">
        <f>Table132[[#This Row],[nb win]]/Table132[[#This Row],[nb play]]</f>
        <v>0</v>
      </c>
      <c r="H4377" t="str">
        <f>MID(Table132[[#This Row],[ÉTAT]],VALUE(RIGHT(Table132[[#This Row],[next move]],1))+1+VALUE(LEFT(Table132[[#This Row],[next move]],1))*3,1)</f>
        <v>V</v>
      </c>
      <c r="I4377" t="str">
        <f>Table132[[#This Row],[ÉTAT]]&amp;Table132[[#This Row],[next move]]</f>
        <v>MEVEVVVVV21</v>
      </c>
    </row>
    <row r="4378" spans="2:9" x14ac:dyDescent="0.25">
      <c r="B4378" t="s">
        <v>1950</v>
      </c>
      <c r="C4378" s="22" t="s">
        <v>35</v>
      </c>
      <c r="D4378">
        <v>3</v>
      </c>
      <c r="E4378">
        <v>2</v>
      </c>
      <c r="G4378" s="25">
        <f>Table132[[#This Row],[nb win]]/Table132[[#This Row],[nb play]]</f>
        <v>0.66666666666666663</v>
      </c>
      <c r="H4378" t="str">
        <f>MID(Table132[[#This Row],[ÉTAT]],VALUE(RIGHT(Table132[[#This Row],[next move]],1))+1+VALUE(LEFT(Table132[[#This Row],[next move]],1))*3,1)</f>
        <v>V</v>
      </c>
      <c r="I4378" t="str">
        <f>Table132[[#This Row],[ÉTAT]]&amp;Table132[[#This Row],[next move]]</f>
        <v>MEVEVVVVM20</v>
      </c>
    </row>
    <row r="4379" spans="2:9" x14ac:dyDescent="0.25">
      <c r="B4379" t="s">
        <v>1950</v>
      </c>
      <c r="C4379" s="22" t="s">
        <v>22</v>
      </c>
      <c r="D4379">
        <v>2</v>
      </c>
      <c r="E4379">
        <v>2</v>
      </c>
      <c r="G4379" s="31">
        <f>Table132[[#This Row],[nb win]]/Table132[[#This Row],[nb play]]</f>
        <v>1</v>
      </c>
      <c r="H4379" t="str">
        <f>MID(Table132[[#This Row],[ÉTAT]],VALUE(RIGHT(Table132[[#This Row],[next move]],1))+1+VALUE(LEFT(Table132[[#This Row],[next move]],1))*3,1)</f>
        <v>V</v>
      </c>
      <c r="I4379" t="str">
        <f>Table132[[#This Row],[ÉTAT]]&amp;Table132[[#This Row],[next move]]</f>
        <v>MEVEVVVVM21</v>
      </c>
    </row>
    <row r="4380" spans="2:9" x14ac:dyDescent="0.25">
      <c r="B4380" t="s">
        <v>2203</v>
      </c>
      <c r="C4380" s="22" t="s">
        <v>20</v>
      </c>
      <c r="D4380">
        <v>1</v>
      </c>
      <c r="E4380">
        <v>1</v>
      </c>
      <c r="G4380" s="31">
        <f>Table132[[#This Row],[nb win]]/Table132[[#This Row],[nb play]]</f>
        <v>1</v>
      </c>
      <c r="H4380" t="str">
        <f>MID(Table132[[#This Row],[ÉTAT]],VALUE(RIGHT(Table132[[#This Row],[next move]],1))+1+VALUE(LEFT(Table132[[#This Row],[next move]],1))*3,1)</f>
        <v>V</v>
      </c>
      <c r="I4380" t="str">
        <f>Table132[[#This Row],[ÉTAT]]&amp;Table132[[#This Row],[next move]]</f>
        <v>MEVEVVMVV02</v>
      </c>
    </row>
    <row r="4381" spans="2:9" x14ac:dyDescent="0.25">
      <c r="B4381" t="s">
        <v>2203</v>
      </c>
      <c r="C4381" s="22" t="s">
        <v>28</v>
      </c>
      <c r="D4381">
        <v>2</v>
      </c>
      <c r="E4381">
        <v>1</v>
      </c>
      <c r="G4381" s="25">
        <f>Table132[[#This Row],[nb win]]/Table132[[#This Row],[nb play]]</f>
        <v>0.5</v>
      </c>
      <c r="H4381" t="str">
        <f>MID(Table132[[#This Row],[ÉTAT]],VALUE(RIGHT(Table132[[#This Row],[next move]],1))+1+VALUE(LEFT(Table132[[#This Row],[next move]],1))*3,1)</f>
        <v>V</v>
      </c>
      <c r="I4381" t="str">
        <f>Table132[[#This Row],[ÉTAT]]&amp;Table132[[#This Row],[next move]]</f>
        <v>MEVEVVMVV12</v>
      </c>
    </row>
    <row r="4382" spans="2:9" x14ac:dyDescent="0.25">
      <c r="B4382" t="s">
        <v>2778</v>
      </c>
      <c r="C4382" s="22" t="s">
        <v>28</v>
      </c>
      <c r="D4382">
        <v>2</v>
      </c>
      <c r="E4382">
        <v>2</v>
      </c>
      <c r="G4382" s="31">
        <f>Table132[[#This Row],[nb win]]/Table132[[#This Row],[nb play]]</f>
        <v>1</v>
      </c>
      <c r="H4382" t="str">
        <f>MID(Table132[[#This Row],[ÉTAT]],VALUE(RIGHT(Table132[[#This Row],[next move]],1))+1+VALUE(LEFT(Table132[[#This Row],[next move]],1))*3,1)</f>
        <v>V</v>
      </c>
      <c r="I4382" t="str">
        <f>Table132[[#This Row],[ÉTAT]]&amp;Table132[[#This Row],[next move]]</f>
        <v>MEVEVVEVM12</v>
      </c>
    </row>
    <row r="4383" spans="2:9" x14ac:dyDescent="0.25">
      <c r="B4383" t="s">
        <v>2778</v>
      </c>
      <c r="C4383" s="22" t="s">
        <v>22</v>
      </c>
      <c r="D4383">
        <v>1</v>
      </c>
      <c r="G4383" s="25">
        <f>Table132[[#This Row],[nb win]]/Table132[[#This Row],[nb play]]</f>
        <v>0</v>
      </c>
      <c r="H4383" t="str">
        <f>MID(Table132[[#This Row],[ÉTAT]],VALUE(RIGHT(Table132[[#This Row],[next move]],1))+1+VALUE(LEFT(Table132[[#This Row],[next move]],1))*3,1)</f>
        <v>V</v>
      </c>
      <c r="I4383" t="str">
        <f>Table132[[#This Row],[ÉTAT]]&amp;Table132[[#This Row],[next move]]</f>
        <v>MEVEVVEVM21</v>
      </c>
    </row>
    <row r="4384" spans="2:9" x14ac:dyDescent="0.25">
      <c r="B4384" t="s">
        <v>3447</v>
      </c>
      <c r="C4384" s="22" t="s">
        <v>29</v>
      </c>
      <c r="D4384">
        <v>1</v>
      </c>
      <c r="E4384">
        <v>1</v>
      </c>
      <c r="G4384" s="31">
        <f>Table132[[#This Row],[nb win]]/Table132[[#This Row],[nb play]]</f>
        <v>1</v>
      </c>
      <c r="H4384" t="str">
        <f>MID(Table132[[#This Row],[ÉTAT]],VALUE(RIGHT(Table132[[#This Row],[next move]],1))+1+VALUE(LEFT(Table132[[#This Row],[next move]],1))*3,1)</f>
        <v>V</v>
      </c>
      <c r="I4384" t="str">
        <f>Table132[[#This Row],[ÉTAT]]&amp;Table132[[#This Row],[next move]]</f>
        <v>MEVEVVEMM11</v>
      </c>
    </row>
    <row r="4385" spans="2:9" x14ac:dyDescent="0.25">
      <c r="B4385" t="s">
        <v>1267</v>
      </c>
      <c r="C4385" s="22" t="s">
        <v>20</v>
      </c>
      <c r="D4385">
        <v>1</v>
      </c>
      <c r="G4385" s="25">
        <f>Table132[[#This Row],[nb win]]/Table132[[#This Row],[nb play]]</f>
        <v>0</v>
      </c>
      <c r="H4385" t="str">
        <f>MID(Table132[[#This Row],[ÉTAT]],VALUE(RIGHT(Table132[[#This Row],[next move]],1))+1+VALUE(LEFT(Table132[[#This Row],[next move]],1))*3,1)</f>
        <v>V</v>
      </c>
      <c r="I4385" t="str">
        <f>Table132[[#This Row],[ÉTAT]]&amp;Table132[[#This Row],[next move]]</f>
        <v>MEVEVMVVE02</v>
      </c>
    </row>
    <row r="4386" spans="2:9" x14ac:dyDescent="0.25">
      <c r="B4386" t="s">
        <v>1053</v>
      </c>
      <c r="C4386" s="22" t="s">
        <v>20</v>
      </c>
      <c r="D4386">
        <v>1</v>
      </c>
      <c r="G4386" s="25">
        <f>Table132[[#This Row],[nb win]]/Table132[[#This Row],[nb play]]</f>
        <v>0</v>
      </c>
      <c r="H4386" t="str">
        <f>MID(Table132[[#This Row],[ÉTAT]],VALUE(RIGHT(Table132[[#This Row],[next move]],1))+1+VALUE(LEFT(Table132[[#This Row],[next move]],1))*3,1)</f>
        <v>V</v>
      </c>
      <c r="I4386" t="str">
        <f>Table132[[#This Row],[ÉTAT]]&amp;Table132[[#This Row],[next move]]</f>
        <v>MEVEVMVEV02</v>
      </c>
    </row>
    <row r="4387" spans="2:9" x14ac:dyDescent="0.25">
      <c r="B4387" t="s">
        <v>1053</v>
      </c>
      <c r="C4387" s="22" t="s">
        <v>29</v>
      </c>
      <c r="D4387">
        <v>1</v>
      </c>
      <c r="E4387">
        <v>1</v>
      </c>
      <c r="G4387" s="31">
        <f>Table132[[#This Row],[nb win]]/Table132[[#This Row],[nb play]]</f>
        <v>1</v>
      </c>
      <c r="H4387" t="str">
        <f>MID(Table132[[#This Row],[ÉTAT]],VALUE(RIGHT(Table132[[#This Row],[next move]],1))+1+VALUE(LEFT(Table132[[#This Row],[next move]],1))*3,1)</f>
        <v>V</v>
      </c>
      <c r="I4387" t="str">
        <f>Table132[[#This Row],[ÉTAT]]&amp;Table132[[#This Row],[next move]]</f>
        <v>MEVEVMVEV11</v>
      </c>
    </row>
    <row r="4388" spans="2:9" x14ac:dyDescent="0.25">
      <c r="B4388" t="s">
        <v>1909</v>
      </c>
      <c r="C4388" s="22" t="s">
        <v>20</v>
      </c>
      <c r="D4388">
        <v>1</v>
      </c>
      <c r="E4388">
        <v>1</v>
      </c>
      <c r="G4388" s="25">
        <f>Table132[[#This Row],[nb win]]/Table132[[#This Row],[nb play]]</f>
        <v>1</v>
      </c>
      <c r="H4388" t="str">
        <f>MID(Table132[[#This Row],[ÉTAT]],VALUE(RIGHT(Table132[[#This Row],[next move]],1))+1+VALUE(LEFT(Table132[[#This Row],[next move]],1))*3,1)</f>
        <v>V</v>
      </c>
      <c r="I4388" t="str">
        <f>Table132[[#This Row],[ÉTAT]]&amp;Table132[[#This Row],[next move]]</f>
        <v>MEVEVMMVE02</v>
      </c>
    </row>
    <row r="4389" spans="2:9" x14ac:dyDescent="0.25">
      <c r="B4389" t="s">
        <v>2793</v>
      </c>
      <c r="C4389" s="22" t="s">
        <v>20</v>
      </c>
      <c r="D4389">
        <v>1</v>
      </c>
      <c r="G4389" s="25">
        <f>Table132[[#This Row],[nb win]]/Table132[[#This Row],[nb play]]</f>
        <v>0</v>
      </c>
      <c r="H4389" t="str">
        <f>MID(Table132[[#This Row],[ÉTAT]],VALUE(RIGHT(Table132[[#This Row],[next move]],1))+1+VALUE(LEFT(Table132[[#This Row],[next move]],1))*3,1)</f>
        <v>V</v>
      </c>
      <c r="I4389" t="str">
        <f>Table132[[#This Row],[ÉTAT]]&amp;Table132[[#This Row],[next move]]</f>
        <v>MEVEVMMEV02</v>
      </c>
    </row>
    <row r="4390" spans="2:9" x14ac:dyDescent="0.25">
      <c r="B4390" t="s">
        <v>2793</v>
      </c>
      <c r="C4390" s="22" t="s">
        <v>29</v>
      </c>
      <c r="D4390">
        <v>1</v>
      </c>
      <c r="E4390">
        <v>1</v>
      </c>
      <c r="G4390" s="31">
        <f>Table132[[#This Row],[nb win]]/Table132[[#This Row],[nb play]]</f>
        <v>1</v>
      </c>
      <c r="H4390" t="str">
        <f>MID(Table132[[#This Row],[ÉTAT]],VALUE(RIGHT(Table132[[#This Row],[next move]],1))+1+VALUE(LEFT(Table132[[#This Row],[next move]],1))*3,1)</f>
        <v>V</v>
      </c>
      <c r="I4390" t="str">
        <f>Table132[[#This Row],[ÉTAT]]&amp;Table132[[#This Row],[next move]]</f>
        <v>MEVEVMMEV11</v>
      </c>
    </row>
    <row r="4391" spans="2:9" x14ac:dyDescent="0.25">
      <c r="B4391" t="s">
        <v>2793</v>
      </c>
      <c r="C4391" s="22" t="s">
        <v>31</v>
      </c>
      <c r="D4391">
        <v>1</v>
      </c>
      <c r="G4391" s="25">
        <f>Table132[[#This Row],[nb win]]/Table132[[#This Row],[nb play]]</f>
        <v>0</v>
      </c>
      <c r="H4391" t="str">
        <f>MID(Table132[[#This Row],[ÉTAT]],VALUE(RIGHT(Table132[[#This Row],[next move]],1))+1+VALUE(LEFT(Table132[[#This Row],[next move]],1))*3,1)</f>
        <v>V</v>
      </c>
      <c r="I4391" t="str">
        <f>Table132[[#This Row],[ÉTAT]]&amp;Table132[[#This Row],[next move]]</f>
        <v>MEVEVMMEV22</v>
      </c>
    </row>
    <row r="4392" spans="2:9" x14ac:dyDescent="0.25">
      <c r="B4392" t="s">
        <v>2954</v>
      </c>
      <c r="C4392" s="22" t="s">
        <v>20</v>
      </c>
      <c r="D4392">
        <v>1</v>
      </c>
      <c r="G4392" s="25">
        <f>Table132[[#This Row],[nb win]]/Table132[[#This Row],[nb play]]</f>
        <v>0</v>
      </c>
      <c r="H4392" t="str">
        <f>MID(Table132[[#This Row],[ÉTAT]],VALUE(RIGHT(Table132[[#This Row],[next move]],1))+1+VALUE(LEFT(Table132[[#This Row],[next move]],1))*3,1)</f>
        <v>V</v>
      </c>
      <c r="I4392" t="str">
        <f>Table132[[#This Row],[ÉTAT]]&amp;Table132[[#This Row],[next move]]</f>
        <v>MEVEVMMEE02</v>
      </c>
    </row>
    <row r="4393" spans="2:9" x14ac:dyDescent="0.25">
      <c r="B4393" t="s">
        <v>3352</v>
      </c>
      <c r="C4393" s="22" t="s">
        <v>29</v>
      </c>
      <c r="D4393">
        <v>1</v>
      </c>
      <c r="E4393">
        <v>1</v>
      </c>
      <c r="G4393" s="31">
        <f>Table132[[#This Row],[nb win]]/Table132[[#This Row],[nb play]]</f>
        <v>1</v>
      </c>
      <c r="H4393" t="str">
        <f>MID(Table132[[#This Row],[ÉTAT]],VALUE(RIGHT(Table132[[#This Row],[next move]],1))+1+VALUE(LEFT(Table132[[#This Row],[next move]],1))*3,1)</f>
        <v>V</v>
      </c>
      <c r="I4393" t="str">
        <f>Table132[[#This Row],[ÉTAT]]&amp;Table132[[#This Row],[next move]]</f>
        <v>MEVEVMEVV11</v>
      </c>
    </row>
    <row r="4394" spans="2:9" x14ac:dyDescent="0.25">
      <c r="B4394" t="s">
        <v>2775</v>
      </c>
      <c r="C4394" s="22" t="s">
        <v>20</v>
      </c>
      <c r="D4394">
        <v>3</v>
      </c>
      <c r="E4394">
        <v>3</v>
      </c>
      <c r="G4394" s="31">
        <f>Table132[[#This Row],[nb win]]/Table132[[#This Row],[nb play]]</f>
        <v>1</v>
      </c>
      <c r="H4394" t="str">
        <f>MID(Table132[[#This Row],[ÉTAT]],VALUE(RIGHT(Table132[[#This Row],[next move]],1))+1+VALUE(LEFT(Table132[[#This Row],[next move]],1))*3,1)</f>
        <v>V</v>
      </c>
      <c r="I4394" t="str">
        <f>Table132[[#This Row],[ÉTAT]]&amp;Table132[[#This Row],[next move]]</f>
        <v>MEVEVMEEM02</v>
      </c>
    </row>
    <row r="4395" spans="2:9" x14ac:dyDescent="0.25">
      <c r="B4395" t="s">
        <v>2950</v>
      </c>
      <c r="C4395" s="22" t="s">
        <v>29</v>
      </c>
      <c r="D4395">
        <v>2</v>
      </c>
      <c r="E4395">
        <v>2</v>
      </c>
      <c r="G4395" s="31">
        <f>Table132[[#This Row],[nb win]]/Table132[[#This Row],[nb play]]</f>
        <v>1</v>
      </c>
      <c r="H4395" t="str">
        <f>MID(Table132[[#This Row],[ÉTAT]],VALUE(RIGHT(Table132[[#This Row],[next move]],1))+1+VALUE(LEFT(Table132[[#This Row],[next move]],1))*3,1)</f>
        <v>V</v>
      </c>
      <c r="I4395" t="str">
        <f>Table132[[#This Row],[ÉTAT]]&amp;Table132[[#This Row],[next move]]</f>
        <v>MEVEVEVVM11</v>
      </c>
    </row>
    <row r="4396" spans="2:9" x14ac:dyDescent="0.25">
      <c r="B4396" t="s">
        <v>938</v>
      </c>
      <c r="C4396" s="22" t="s">
        <v>20</v>
      </c>
      <c r="D4396">
        <v>1</v>
      </c>
      <c r="G4396" s="25">
        <f>Table132[[#This Row],[nb win]]/Table132[[#This Row],[nb play]]</f>
        <v>0</v>
      </c>
      <c r="H4396" t="str">
        <f>MID(Table132[[#This Row],[ÉTAT]],VALUE(RIGHT(Table132[[#This Row],[next move]],1))+1+VALUE(LEFT(Table132[[#This Row],[next move]],1))*3,1)</f>
        <v>V</v>
      </c>
      <c r="I4396" t="str">
        <f>Table132[[#This Row],[ÉTAT]]&amp;Table132[[#This Row],[next move]]</f>
        <v>MEVEVEVMV02</v>
      </c>
    </row>
    <row r="4397" spans="2:9" x14ac:dyDescent="0.25">
      <c r="B4397" t="s">
        <v>938</v>
      </c>
      <c r="C4397" s="22" t="s">
        <v>35</v>
      </c>
      <c r="D4397">
        <v>1</v>
      </c>
      <c r="G4397" s="25">
        <f>Table132[[#This Row],[nb win]]/Table132[[#This Row],[nb play]]</f>
        <v>0</v>
      </c>
      <c r="H4397" t="str">
        <f>MID(Table132[[#This Row],[ÉTAT]],VALUE(RIGHT(Table132[[#This Row],[next move]],1))+1+VALUE(LEFT(Table132[[#This Row],[next move]],1))*3,1)</f>
        <v>V</v>
      </c>
      <c r="I4397" t="str">
        <f>Table132[[#This Row],[ÉTAT]]&amp;Table132[[#This Row],[next move]]</f>
        <v>MEVEVEVMV20</v>
      </c>
    </row>
    <row r="4398" spans="2:9" x14ac:dyDescent="0.25">
      <c r="B4398" t="s">
        <v>938</v>
      </c>
      <c r="C4398" s="22" t="s">
        <v>31</v>
      </c>
      <c r="D4398">
        <v>1</v>
      </c>
      <c r="G4398" s="25">
        <f>Table132[[#This Row],[nb win]]/Table132[[#This Row],[nb play]]</f>
        <v>0</v>
      </c>
      <c r="H4398" t="str">
        <f>MID(Table132[[#This Row],[ÉTAT]],VALUE(RIGHT(Table132[[#This Row],[next move]],1))+1+VALUE(LEFT(Table132[[#This Row],[next move]],1))*3,1)</f>
        <v>V</v>
      </c>
      <c r="I4398" t="str">
        <f>Table132[[#This Row],[ÉTAT]]&amp;Table132[[#This Row],[next move]]</f>
        <v>MEVEVEVMV22</v>
      </c>
    </row>
    <row r="4399" spans="2:9" x14ac:dyDescent="0.25">
      <c r="B4399" t="s">
        <v>1904</v>
      </c>
      <c r="C4399" s="22" t="s">
        <v>29</v>
      </c>
      <c r="D4399">
        <v>3</v>
      </c>
      <c r="E4399">
        <v>3</v>
      </c>
      <c r="G4399" s="31">
        <f>Table132[[#This Row],[nb win]]/Table132[[#This Row],[nb play]]</f>
        <v>1</v>
      </c>
      <c r="H4399" t="str">
        <f>MID(Table132[[#This Row],[ÉTAT]],VALUE(RIGHT(Table132[[#This Row],[next move]],1))+1+VALUE(LEFT(Table132[[#This Row],[next move]],1))*3,1)</f>
        <v>V</v>
      </c>
      <c r="I4399" t="str">
        <f>Table132[[#This Row],[ÉTAT]]&amp;Table132[[#This Row],[next move]]</f>
        <v>MEVEVEVMM11</v>
      </c>
    </row>
    <row r="4400" spans="2:9" x14ac:dyDescent="0.25">
      <c r="B4400" t="s">
        <v>3186</v>
      </c>
      <c r="C4400" s="22" t="s">
        <v>20</v>
      </c>
      <c r="D4400">
        <v>1</v>
      </c>
      <c r="E4400">
        <v>1</v>
      </c>
      <c r="G4400" s="31">
        <f>Table132[[#This Row],[nb win]]/Table132[[#This Row],[nb play]]</f>
        <v>1</v>
      </c>
      <c r="H4400" t="str">
        <f>MID(Table132[[#This Row],[ÉTAT]],VALUE(RIGHT(Table132[[#This Row],[next move]],1))+1+VALUE(LEFT(Table132[[#This Row],[next move]],1))*3,1)</f>
        <v>V</v>
      </c>
      <c r="I4400" t="str">
        <f>Table132[[#This Row],[ÉTAT]]&amp;Table132[[#This Row],[next move]]</f>
        <v>MEVEVEMVV02</v>
      </c>
    </row>
    <row r="4401" spans="2:9" x14ac:dyDescent="0.25">
      <c r="B4401" t="s">
        <v>3186</v>
      </c>
      <c r="C4401" s="22" t="s">
        <v>22</v>
      </c>
      <c r="D4401">
        <v>1</v>
      </c>
      <c r="G4401" s="30">
        <f>Table132[[#This Row],[nb win]]/Table132[[#This Row],[nb play]]</f>
        <v>0</v>
      </c>
      <c r="H4401" t="str">
        <f>MID(Table132[[#This Row],[ÉTAT]],VALUE(RIGHT(Table132[[#This Row],[next move]],1))+1+VALUE(LEFT(Table132[[#This Row],[next move]],1))*3,1)</f>
        <v>V</v>
      </c>
      <c r="I4401" t="str">
        <f>Table132[[#This Row],[ÉTAT]]&amp;Table132[[#This Row],[next move]]</f>
        <v>MEVEVEMVV21</v>
      </c>
    </row>
    <row r="4402" spans="2:9" x14ac:dyDescent="0.25">
      <c r="B4402" t="s">
        <v>1952</v>
      </c>
      <c r="C4402" s="22" t="s">
        <v>29</v>
      </c>
      <c r="D4402">
        <v>4</v>
      </c>
      <c r="E4402">
        <v>4</v>
      </c>
      <c r="G4402" s="31">
        <f>Table132[[#This Row],[nb win]]/Table132[[#This Row],[nb play]]</f>
        <v>1</v>
      </c>
      <c r="H4402" t="str">
        <f>MID(Table132[[#This Row],[ÉTAT]],VALUE(RIGHT(Table132[[#This Row],[next move]],1))+1+VALUE(LEFT(Table132[[#This Row],[next move]],1))*3,1)</f>
        <v>V</v>
      </c>
      <c r="I4402" t="str">
        <f>Table132[[#This Row],[ÉTAT]]&amp;Table132[[#This Row],[next move]]</f>
        <v>MEVEVEMVM11</v>
      </c>
    </row>
    <row r="4403" spans="2:9" x14ac:dyDescent="0.25">
      <c r="B4403" t="s">
        <v>2470</v>
      </c>
      <c r="C4403" s="22" t="s">
        <v>20</v>
      </c>
      <c r="D4403">
        <v>2</v>
      </c>
      <c r="G4403" s="30">
        <f>Table132[[#This Row],[nb win]]/Table132[[#This Row],[nb play]]</f>
        <v>0</v>
      </c>
      <c r="H4403" t="str">
        <f>MID(Table132[[#This Row],[ÉTAT]],VALUE(RIGHT(Table132[[#This Row],[next move]],1))+1+VALUE(LEFT(Table132[[#This Row],[next move]],1))*3,1)</f>
        <v>V</v>
      </c>
      <c r="I4403" t="str">
        <f>Table132[[#This Row],[ÉTAT]]&amp;Table132[[#This Row],[next move]]</f>
        <v>MEVEVEMMV02</v>
      </c>
    </row>
    <row r="4404" spans="2:9" x14ac:dyDescent="0.25">
      <c r="B4404" t="s">
        <v>2470</v>
      </c>
      <c r="C4404" s="22" t="s">
        <v>29</v>
      </c>
      <c r="D4404">
        <v>1</v>
      </c>
      <c r="E4404">
        <v>1</v>
      </c>
      <c r="G4404" s="25">
        <f>Table132[[#This Row],[nb win]]/Table132[[#This Row],[nb play]]</f>
        <v>1</v>
      </c>
      <c r="H4404" t="str">
        <f>MID(Table132[[#This Row],[ÉTAT]],VALUE(RIGHT(Table132[[#This Row],[next move]],1))+1+VALUE(LEFT(Table132[[#This Row],[next move]],1))*3,1)</f>
        <v>V</v>
      </c>
      <c r="I4404" t="str">
        <f>Table132[[#This Row],[ÉTAT]]&amp;Table132[[#This Row],[next move]]</f>
        <v>MEVEVEMMV11</v>
      </c>
    </row>
    <row r="4405" spans="2:9" x14ac:dyDescent="0.25">
      <c r="B4405" t="s">
        <v>2517</v>
      </c>
      <c r="C4405" s="22" t="s">
        <v>29</v>
      </c>
      <c r="D4405">
        <v>2</v>
      </c>
      <c r="E4405">
        <v>2</v>
      </c>
      <c r="G4405" s="25">
        <f>Table132[[#This Row],[nb win]]/Table132[[#This Row],[nb play]]</f>
        <v>1</v>
      </c>
      <c r="H4405" t="str">
        <f>MID(Table132[[#This Row],[ÉTAT]],VALUE(RIGHT(Table132[[#This Row],[next move]],1))+1+VALUE(LEFT(Table132[[#This Row],[next move]],1))*3,1)</f>
        <v>V</v>
      </c>
      <c r="I4405" t="str">
        <f>Table132[[#This Row],[ÉTAT]]&amp;Table132[[#This Row],[next move]]</f>
        <v>MEVEVEMEM11</v>
      </c>
    </row>
    <row r="4406" spans="2:9" x14ac:dyDescent="0.25">
      <c r="B4406" t="s">
        <v>1305</v>
      </c>
      <c r="C4406" s="22" t="s">
        <v>20</v>
      </c>
      <c r="D4406">
        <v>8</v>
      </c>
      <c r="E4406">
        <v>8</v>
      </c>
      <c r="G4406" s="31">
        <f>Table132[[#This Row],[nb win]]/Table132[[#This Row],[nb play]]</f>
        <v>1</v>
      </c>
      <c r="H4406" t="str">
        <f>MID(Table132[[#This Row],[ÉTAT]],VALUE(RIGHT(Table132[[#This Row],[next move]],1))+1+VALUE(LEFT(Table132[[#This Row],[next move]],1))*3,1)</f>
        <v>V</v>
      </c>
      <c r="I4406" t="str">
        <f>Table132[[#This Row],[ÉTAT]]&amp;Table132[[#This Row],[next move]]</f>
        <v>MEVEMVVVV02</v>
      </c>
    </row>
    <row r="4407" spans="2:9" x14ac:dyDescent="0.25">
      <c r="B4407" t="s">
        <v>2877</v>
      </c>
      <c r="C4407" s="22" t="s">
        <v>28</v>
      </c>
      <c r="D4407">
        <v>1</v>
      </c>
      <c r="G4407" s="30">
        <f>Table132[[#This Row],[nb win]]/Table132[[#This Row],[nb play]]</f>
        <v>0</v>
      </c>
      <c r="H4407" t="str">
        <f>MID(Table132[[#This Row],[ÉTAT]],VALUE(RIGHT(Table132[[#This Row],[next move]],1))+1+VALUE(LEFT(Table132[[#This Row],[next move]],1))*3,1)</f>
        <v>V</v>
      </c>
      <c r="I4407" t="str">
        <f>Table132[[#This Row],[ÉTAT]]&amp;Table132[[#This Row],[next move]]</f>
        <v>MEVEMVVVE12</v>
      </c>
    </row>
    <row r="4408" spans="2:9" x14ac:dyDescent="0.25">
      <c r="B4408" t="s">
        <v>2868</v>
      </c>
      <c r="C4408" s="22" t="s">
        <v>20</v>
      </c>
      <c r="D4408">
        <v>1</v>
      </c>
      <c r="E4408">
        <v>1</v>
      </c>
      <c r="G4408" s="31">
        <f>Table132[[#This Row],[nb win]]/Table132[[#This Row],[nb play]]</f>
        <v>1</v>
      </c>
      <c r="H4408" t="str">
        <f>MID(Table132[[#This Row],[ÉTAT]],VALUE(RIGHT(Table132[[#This Row],[next move]],1))+1+VALUE(LEFT(Table132[[#This Row],[next move]],1))*3,1)</f>
        <v>V</v>
      </c>
      <c r="I4408" t="str">
        <f>Table132[[#This Row],[ÉTAT]]&amp;Table132[[#This Row],[next move]]</f>
        <v>MEVEMVVME02</v>
      </c>
    </row>
    <row r="4409" spans="2:9" x14ac:dyDescent="0.25">
      <c r="B4409" t="s">
        <v>3140</v>
      </c>
      <c r="C4409" s="22" t="s">
        <v>20</v>
      </c>
      <c r="D4409">
        <v>1</v>
      </c>
      <c r="G4409" s="30">
        <f>Table132[[#This Row],[nb win]]/Table132[[#This Row],[nb play]]</f>
        <v>0</v>
      </c>
      <c r="H4409" t="str">
        <f>MID(Table132[[#This Row],[ÉTAT]],VALUE(RIGHT(Table132[[#This Row],[next move]],1))+1+VALUE(LEFT(Table132[[#This Row],[next move]],1))*3,1)</f>
        <v>V</v>
      </c>
      <c r="I4409" t="str">
        <f>Table132[[#This Row],[ÉTAT]]&amp;Table132[[#This Row],[next move]]</f>
        <v>MEVEMVVEV02</v>
      </c>
    </row>
    <row r="4410" spans="2:9" x14ac:dyDescent="0.25">
      <c r="B4410" t="s">
        <v>3140</v>
      </c>
      <c r="C4410" s="22" t="s">
        <v>35</v>
      </c>
      <c r="D4410">
        <v>1</v>
      </c>
      <c r="E4410">
        <v>1</v>
      </c>
      <c r="G4410" s="31">
        <f>Table132[[#This Row],[nb win]]/Table132[[#This Row],[nb play]]</f>
        <v>1</v>
      </c>
      <c r="H4410" t="str">
        <f>MID(Table132[[#This Row],[ÉTAT]],VALUE(RIGHT(Table132[[#This Row],[next move]],1))+1+VALUE(LEFT(Table132[[#This Row],[next move]],1))*3,1)</f>
        <v>V</v>
      </c>
      <c r="I4410" t="str">
        <f>Table132[[#This Row],[ÉTAT]]&amp;Table132[[#This Row],[next move]]</f>
        <v>MEVEMVVEV20</v>
      </c>
    </row>
    <row r="4411" spans="2:9" x14ac:dyDescent="0.25">
      <c r="B4411" t="s">
        <v>2452</v>
      </c>
      <c r="C4411" s="22" t="s">
        <v>20</v>
      </c>
      <c r="D4411">
        <v>2</v>
      </c>
      <c r="E4411">
        <v>2</v>
      </c>
      <c r="G4411" s="31">
        <f>Table132[[#This Row],[nb win]]/Table132[[#This Row],[nb play]]</f>
        <v>1</v>
      </c>
      <c r="H4411" t="str">
        <f>MID(Table132[[#This Row],[ÉTAT]],VALUE(RIGHT(Table132[[#This Row],[next move]],1))+1+VALUE(LEFT(Table132[[#This Row],[next move]],1))*3,1)</f>
        <v>V</v>
      </c>
      <c r="I4411" t="str">
        <f>Table132[[#This Row],[ÉTAT]]&amp;Table132[[#This Row],[next move]]</f>
        <v>MEVEMVMEE02</v>
      </c>
    </row>
    <row r="4412" spans="2:9" x14ac:dyDescent="0.25">
      <c r="B4412" t="s">
        <v>1764</v>
      </c>
      <c r="C4412" s="22" t="s">
        <v>20</v>
      </c>
      <c r="D4412">
        <v>1</v>
      </c>
      <c r="G4412" s="25">
        <f>Table132[[#This Row],[nb win]]/Table132[[#This Row],[nb play]]</f>
        <v>0</v>
      </c>
      <c r="H4412" t="str">
        <f>MID(Table132[[#This Row],[ÉTAT]],VALUE(RIGHT(Table132[[#This Row],[next move]],1))+1+VALUE(LEFT(Table132[[#This Row],[next move]],1))*3,1)</f>
        <v>V</v>
      </c>
      <c r="I4412" t="str">
        <f>Table132[[#This Row],[ÉTAT]]&amp;Table132[[#This Row],[next move]]</f>
        <v>MEVEMVEVV02</v>
      </c>
    </row>
    <row r="4413" spans="2:9" x14ac:dyDescent="0.25">
      <c r="B4413" t="s">
        <v>1764</v>
      </c>
      <c r="C4413" s="22" t="s">
        <v>31</v>
      </c>
      <c r="D4413">
        <v>5</v>
      </c>
      <c r="E4413">
        <v>5</v>
      </c>
      <c r="G4413" s="31">
        <f>Table132[[#This Row],[nb win]]/Table132[[#This Row],[nb play]]</f>
        <v>1</v>
      </c>
      <c r="H4413" t="str">
        <f>MID(Table132[[#This Row],[ÉTAT]],VALUE(RIGHT(Table132[[#This Row],[next move]],1))+1+VALUE(LEFT(Table132[[#This Row],[next move]],1))*3,1)</f>
        <v>V</v>
      </c>
      <c r="I4413" t="str">
        <f>Table132[[#This Row],[ÉTAT]]&amp;Table132[[#This Row],[next move]]</f>
        <v>MEVEMVEVV22</v>
      </c>
    </row>
    <row r="4414" spans="2:9" x14ac:dyDescent="0.25">
      <c r="B4414" t="s">
        <v>2533</v>
      </c>
      <c r="C4414" s="22" t="s">
        <v>31</v>
      </c>
      <c r="D4414">
        <v>2</v>
      </c>
      <c r="E4414">
        <v>2</v>
      </c>
      <c r="G4414" s="31">
        <f>Table132[[#This Row],[nb win]]/Table132[[#This Row],[nb play]]</f>
        <v>1</v>
      </c>
      <c r="H4414" t="str">
        <f>MID(Table132[[#This Row],[ÉTAT]],VALUE(RIGHT(Table132[[#This Row],[next move]],1))+1+VALUE(LEFT(Table132[[#This Row],[next move]],1))*3,1)</f>
        <v>V</v>
      </c>
      <c r="I4414" t="str">
        <f>Table132[[#This Row],[ÉTAT]]&amp;Table132[[#This Row],[next move]]</f>
        <v>MEVEMVEMV22</v>
      </c>
    </row>
    <row r="4415" spans="2:9" x14ac:dyDescent="0.25">
      <c r="B4415" t="s">
        <v>3018</v>
      </c>
      <c r="C4415" s="22" t="s">
        <v>20</v>
      </c>
      <c r="D4415">
        <v>1</v>
      </c>
      <c r="G4415" s="25">
        <f>Table132[[#This Row],[nb win]]/Table132[[#This Row],[nb play]]</f>
        <v>0</v>
      </c>
      <c r="H4415" t="str">
        <f>MID(Table132[[#This Row],[ÉTAT]],VALUE(RIGHT(Table132[[#This Row],[next move]],1))+1+VALUE(LEFT(Table132[[#This Row],[next move]],1))*3,1)</f>
        <v>V</v>
      </c>
      <c r="I4415" t="str">
        <f>Table132[[#This Row],[ÉTAT]]&amp;Table132[[#This Row],[next move]]</f>
        <v>MEVEMMVEE02</v>
      </c>
    </row>
    <row r="4416" spans="2:9" x14ac:dyDescent="0.25">
      <c r="B4416" t="s">
        <v>1796</v>
      </c>
      <c r="C4416" s="22" t="s">
        <v>20</v>
      </c>
      <c r="D4416">
        <v>4</v>
      </c>
      <c r="E4416">
        <v>4</v>
      </c>
      <c r="G4416" s="31">
        <f>Table132[[#This Row],[nb win]]/Table132[[#This Row],[nb play]]</f>
        <v>1</v>
      </c>
      <c r="H4416" t="str">
        <f>MID(Table132[[#This Row],[ÉTAT]],VALUE(RIGHT(Table132[[#This Row],[next move]],1))+1+VALUE(LEFT(Table132[[#This Row],[next move]],1))*3,1)</f>
        <v>V</v>
      </c>
      <c r="I4416" t="str">
        <f>Table132[[#This Row],[ÉTAT]]&amp;Table132[[#This Row],[next move]]</f>
        <v>MEVEMMMEE02</v>
      </c>
    </row>
    <row r="4417" spans="2:9" x14ac:dyDescent="0.25">
      <c r="B4417" t="s">
        <v>2854</v>
      </c>
      <c r="C4417" s="22" t="s">
        <v>20</v>
      </c>
      <c r="D4417">
        <v>1</v>
      </c>
      <c r="G4417" s="30">
        <f>Table132[[#This Row],[nb win]]/Table132[[#This Row],[nb play]]</f>
        <v>0</v>
      </c>
      <c r="H4417" t="str">
        <f>MID(Table132[[#This Row],[ÉTAT]],VALUE(RIGHT(Table132[[#This Row],[next move]],1))+1+VALUE(LEFT(Table132[[#This Row],[next move]],1))*3,1)</f>
        <v>V</v>
      </c>
      <c r="I4417" t="str">
        <f>Table132[[#This Row],[ÉTAT]]&amp;Table132[[#This Row],[next move]]</f>
        <v>MEVEMMEVE02</v>
      </c>
    </row>
    <row r="4418" spans="2:9" x14ac:dyDescent="0.25">
      <c r="B4418" t="s">
        <v>3371</v>
      </c>
      <c r="C4418" s="22" t="s">
        <v>31</v>
      </c>
      <c r="D4418">
        <v>1</v>
      </c>
      <c r="E4418">
        <v>1</v>
      </c>
      <c r="G4418" s="31">
        <f>Table132[[#This Row],[nb win]]/Table132[[#This Row],[nb play]]</f>
        <v>1</v>
      </c>
      <c r="H4418" t="str">
        <f>MID(Table132[[#This Row],[ÉTAT]],VALUE(RIGHT(Table132[[#This Row],[next move]],1))+1+VALUE(LEFT(Table132[[#This Row],[next move]],1))*3,1)</f>
        <v>V</v>
      </c>
      <c r="I4418" t="str">
        <f>Table132[[#This Row],[ÉTAT]]&amp;Table132[[#This Row],[next move]]</f>
        <v>MEVEMMEEV22</v>
      </c>
    </row>
    <row r="4419" spans="2:9" x14ac:dyDescent="0.25">
      <c r="B4419" t="s">
        <v>60</v>
      </c>
      <c r="C4419" s="22" t="s">
        <v>35</v>
      </c>
      <c r="D4419">
        <v>3</v>
      </c>
      <c r="E4419">
        <v>3</v>
      </c>
      <c r="G4419" s="31">
        <f>Table132[[#This Row],[nb win]]/Table132[[#This Row],[nb play]]</f>
        <v>1</v>
      </c>
      <c r="H4419" t="str">
        <f>MID(Table132[[#This Row],[ÉTAT]],VALUE(RIGHT(Table132[[#This Row],[next move]],1))+1+VALUE(LEFT(Table132[[#This Row],[next move]],1))*3,1)</f>
        <v>V</v>
      </c>
      <c r="I4419" t="str">
        <f>Table132[[#This Row],[ÉTAT]]&amp;Table132[[#This Row],[next move]]</f>
        <v>MEVEMEVVV20</v>
      </c>
    </row>
    <row r="4420" spans="2:9" x14ac:dyDescent="0.25">
      <c r="B4420" t="s">
        <v>60</v>
      </c>
      <c r="C4420" s="22" t="s">
        <v>22</v>
      </c>
      <c r="D4420">
        <v>1</v>
      </c>
      <c r="G4420" s="25">
        <f>Table132[[#This Row],[nb win]]/Table132[[#This Row],[nb play]]</f>
        <v>0</v>
      </c>
      <c r="H4420" t="str">
        <f>MID(Table132[[#This Row],[ÉTAT]],VALUE(RIGHT(Table132[[#This Row],[next move]],1))+1+VALUE(LEFT(Table132[[#This Row],[next move]],1))*3,1)</f>
        <v>V</v>
      </c>
      <c r="I4420" t="str">
        <f>Table132[[#This Row],[ÉTAT]]&amp;Table132[[#This Row],[next move]]</f>
        <v>MEVEMEVVV21</v>
      </c>
    </row>
    <row r="4421" spans="2:9" x14ac:dyDescent="0.25">
      <c r="B4421" t="s">
        <v>2913</v>
      </c>
      <c r="C4421" s="22" t="s">
        <v>20</v>
      </c>
      <c r="D4421">
        <v>1</v>
      </c>
      <c r="E4421">
        <v>1</v>
      </c>
      <c r="G4421" s="25">
        <f>Table132[[#This Row],[nb win]]/Table132[[#This Row],[nb play]]</f>
        <v>1</v>
      </c>
      <c r="H4421" t="str">
        <f>MID(Table132[[#This Row],[ÉTAT]],VALUE(RIGHT(Table132[[#This Row],[next move]],1))+1+VALUE(LEFT(Table132[[#This Row],[next move]],1))*3,1)</f>
        <v>V</v>
      </c>
      <c r="I4421" t="str">
        <f>Table132[[#This Row],[ÉTAT]]&amp;Table132[[#This Row],[next move]]</f>
        <v>MEVEMEVMV02</v>
      </c>
    </row>
    <row r="4422" spans="2:9" x14ac:dyDescent="0.25">
      <c r="B4422" t="s">
        <v>62</v>
      </c>
      <c r="C4422" s="22" t="s">
        <v>35</v>
      </c>
      <c r="D4422">
        <v>1</v>
      </c>
      <c r="G4422" s="25">
        <f>Table132[[#This Row],[nb win]]/Table132[[#This Row],[nb play]]</f>
        <v>0</v>
      </c>
      <c r="H4422" t="str">
        <f>MID(Table132[[#This Row],[ÉTAT]],VALUE(RIGHT(Table132[[#This Row],[next move]],1))+1+VALUE(LEFT(Table132[[#This Row],[next move]],1))*3,1)</f>
        <v>V</v>
      </c>
      <c r="I4422" t="str">
        <f>Table132[[#This Row],[ÉTAT]]&amp;Table132[[#This Row],[next move]]</f>
        <v>MEVEMEVME20</v>
      </c>
    </row>
    <row r="4423" spans="2:9" x14ac:dyDescent="0.25">
      <c r="B4423" t="s">
        <v>3406</v>
      </c>
      <c r="C4423" s="22" t="s">
        <v>20</v>
      </c>
      <c r="D4423">
        <v>1</v>
      </c>
      <c r="E4423">
        <v>1</v>
      </c>
      <c r="G4423" s="31">
        <f>Table132[[#This Row],[nb win]]/Table132[[#This Row],[nb play]]</f>
        <v>1</v>
      </c>
      <c r="H4423" t="str">
        <f>MID(Table132[[#This Row],[ÉTAT]],VALUE(RIGHT(Table132[[#This Row],[next move]],1))+1+VALUE(LEFT(Table132[[#This Row],[next move]],1))*3,1)</f>
        <v>V</v>
      </c>
      <c r="I4423" t="str">
        <f>Table132[[#This Row],[ÉTAT]]&amp;Table132[[#This Row],[next move]]</f>
        <v>MEVEMEMVV02</v>
      </c>
    </row>
    <row r="4424" spans="2:9" x14ac:dyDescent="0.25">
      <c r="B4424" t="s">
        <v>931</v>
      </c>
      <c r="C4424" s="22" t="s">
        <v>20</v>
      </c>
      <c r="D4424">
        <v>2</v>
      </c>
      <c r="E4424">
        <v>2</v>
      </c>
      <c r="G4424" s="25">
        <f>Table132[[#This Row],[nb win]]/Table132[[#This Row],[nb play]]</f>
        <v>1</v>
      </c>
      <c r="H4424" t="str">
        <f>MID(Table132[[#This Row],[ÉTAT]],VALUE(RIGHT(Table132[[#This Row],[next move]],1))+1+VALUE(LEFT(Table132[[#This Row],[next move]],1))*3,1)</f>
        <v>V</v>
      </c>
      <c r="I4424" t="str">
        <f>Table132[[#This Row],[ÉTAT]]&amp;Table132[[#This Row],[next move]]</f>
        <v>MEVEMEMVE02</v>
      </c>
    </row>
    <row r="4425" spans="2:9" x14ac:dyDescent="0.25">
      <c r="B4425" t="s">
        <v>2158</v>
      </c>
      <c r="C4425" s="22" t="s">
        <v>20</v>
      </c>
      <c r="D4425">
        <v>3</v>
      </c>
      <c r="E4425">
        <v>3</v>
      </c>
      <c r="G4425" s="31">
        <f>Table132[[#This Row],[nb win]]/Table132[[#This Row],[nb play]]</f>
        <v>1</v>
      </c>
      <c r="H4425" t="str">
        <f>MID(Table132[[#This Row],[ÉTAT]],VALUE(RIGHT(Table132[[#This Row],[next move]],1))+1+VALUE(LEFT(Table132[[#This Row],[next move]],1))*3,1)</f>
        <v>V</v>
      </c>
      <c r="I4425" t="str">
        <f>Table132[[#This Row],[ÉTAT]]&amp;Table132[[#This Row],[next move]]</f>
        <v>MEVEMEMME02</v>
      </c>
    </row>
    <row r="4426" spans="2:9" x14ac:dyDescent="0.25">
      <c r="B4426" t="s">
        <v>1194</v>
      </c>
      <c r="C4426" s="22" t="s">
        <v>20</v>
      </c>
      <c r="D4426">
        <v>3</v>
      </c>
      <c r="E4426">
        <v>3</v>
      </c>
      <c r="G4426" s="31">
        <f>Table132[[#This Row],[nb win]]/Table132[[#This Row],[nb play]]</f>
        <v>1</v>
      </c>
      <c r="H4426" t="str">
        <f>MID(Table132[[#This Row],[ÉTAT]],VALUE(RIGHT(Table132[[#This Row],[next move]],1))+1+VALUE(LEFT(Table132[[#This Row],[next move]],1))*3,1)</f>
        <v>V</v>
      </c>
      <c r="I4426" t="str">
        <f>Table132[[#This Row],[ÉTAT]]&amp;Table132[[#This Row],[next move]]</f>
        <v>MEVEMEMEV02</v>
      </c>
    </row>
    <row r="4427" spans="2:9" x14ac:dyDescent="0.25">
      <c r="B4427" t="s">
        <v>156</v>
      </c>
      <c r="C4427" s="22" t="s">
        <v>35</v>
      </c>
      <c r="D4427">
        <v>2</v>
      </c>
      <c r="G4427" s="30">
        <f>Table132[[#This Row],[nb win]]/Table132[[#This Row],[nb play]]</f>
        <v>0</v>
      </c>
      <c r="H4427" t="str">
        <f>MID(Table132[[#This Row],[ÉTAT]],VALUE(RIGHT(Table132[[#This Row],[next move]],1))+1+VALUE(LEFT(Table132[[#This Row],[next move]],1))*3,1)</f>
        <v>V</v>
      </c>
      <c r="I4427" t="str">
        <f>Table132[[#This Row],[ÉTAT]]&amp;Table132[[#This Row],[next move]]</f>
        <v>MEVEEVVMV20</v>
      </c>
    </row>
    <row r="4428" spans="2:9" x14ac:dyDescent="0.25">
      <c r="B4428" t="s">
        <v>156</v>
      </c>
      <c r="C4428" s="22" t="s">
        <v>31</v>
      </c>
      <c r="D4428">
        <v>1</v>
      </c>
      <c r="E4428">
        <v>1</v>
      </c>
      <c r="G4428" s="25">
        <f>Table132[[#This Row],[nb win]]/Table132[[#This Row],[nb play]]</f>
        <v>1</v>
      </c>
      <c r="H4428" t="str">
        <f>MID(Table132[[#This Row],[ÉTAT]],VALUE(RIGHT(Table132[[#This Row],[next move]],1))+1+VALUE(LEFT(Table132[[#This Row],[next move]],1))*3,1)</f>
        <v>V</v>
      </c>
      <c r="I4428" t="str">
        <f>Table132[[#This Row],[ÉTAT]]&amp;Table132[[#This Row],[next move]]</f>
        <v>MEVEEVVMV22</v>
      </c>
    </row>
    <row r="4429" spans="2:9" x14ac:dyDescent="0.25">
      <c r="B4429" t="s">
        <v>1014</v>
      </c>
      <c r="C4429" s="22" t="s">
        <v>20</v>
      </c>
      <c r="D4429">
        <v>1</v>
      </c>
      <c r="G4429" s="25">
        <f>Table132[[#This Row],[nb win]]/Table132[[#This Row],[nb play]]</f>
        <v>0</v>
      </c>
      <c r="H4429" t="str">
        <f>MID(Table132[[#This Row],[ÉTAT]],VALUE(RIGHT(Table132[[#This Row],[next move]],1))+1+VALUE(LEFT(Table132[[#This Row],[next move]],1))*3,1)</f>
        <v>V</v>
      </c>
      <c r="I4429" t="str">
        <f>Table132[[#This Row],[ÉTAT]]&amp;Table132[[#This Row],[next move]]</f>
        <v>MEVEEVMVV02</v>
      </c>
    </row>
    <row r="4430" spans="2:9" x14ac:dyDescent="0.25">
      <c r="B4430" t="s">
        <v>1014</v>
      </c>
      <c r="C4430" s="22" t="s">
        <v>28</v>
      </c>
      <c r="D4430">
        <v>1</v>
      </c>
      <c r="G4430" s="25">
        <f>Table132[[#This Row],[nb win]]/Table132[[#This Row],[nb play]]</f>
        <v>0</v>
      </c>
      <c r="H4430" t="str">
        <f>MID(Table132[[#This Row],[ÉTAT]],VALUE(RIGHT(Table132[[#This Row],[next move]],1))+1+VALUE(LEFT(Table132[[#This Row],[next move]],1))*3,1)</f>
        <v>V</v>
      </c>
      <c r="I4430" t="str">
        <f>Table132[[#This Row],[ÉTAT]]&amp;Table132[[#This Row],[next move]]</f>
        <v>MEVEEVMVV12</v>
      </c>
    </row>
    <row r="4431" spans="2:9" x14ac:dyDescent="0.25">
      <c r="B4431" t="s">
        <v>1014</v>
      </c>
      <c r="C4431" s="22" t="s">
        <v>22</v>
      </c>
      <c r="D4431">
        <v>3</v>
      </c>
      <c r="G4431" s="30">
        <f>Table132[[#This Row],[nb win]]/Table132[[#This Row],[nb play]]</f>
        <v>0</v>
      </c>
      <c r="H4431" t="str">
        <f>MID(Table132[[#This Row],[ÉTAT]],VALUE(RIGHT(Table132[[#This Row],[next move]],1))+1+VALUE(LEFT(Table132[[#This Row],[next move]],1))*3,1)</f>
        <v>V</v>
      </c>
      <c r="I4431" t="str">
        <f>Table132[[#This Row],[ÉTAT]]&amp;Table132[[#This Row],[next move]]</f>
        <v>MEVEEVMVV21</v>
      </c>
    </row>
    <row r="4432" spans="2:9" x14ac:dyDescent="0.25">
      <c r="B4432" t="s">
        <v>1014</v>
      </c>
      <c r="C4432" s="22" t="s">
        <v>31</v>
      </c>
      <c r="D4432">
        <v>2</v>
      </c>
      <c r="G4432" s="30">
        <f>Table132[[#This Row],[nb win]]/Table132[[#This Row],[nb play]]</f>
        <v>0</v>
      </c>
      <c r="H4432" t="str">
        <f>MID(Table132[[#This Row],[ÉTAT]],VALUE(RIGHT(Table132[[#This Row],[next move]],1))+1+VALUE(LEFT(Table132[[#This Row],[next move]],1))*3,1)</f>
        <v>V</v>
      </c>
      <c r="I4432" t="str">
        <f>Table132[[#This Row],[ÉTAT]]&amp;Table132[[#This Row],[next move]]</f>
        <v>MEVEEVMVV22</v>
      </c>
    </row>
    <row r="4433" spans="2:9" x14ac:dyDescent="0.25">
      <c r="B4433" t="s">
        <v>2740</v>
      </c>
      <c r="C4433" s="22" t="s">
        <v>20</v>
      </c>
      <c r="D4433">
        <v>1</v>
      </c>
      <c r="G4433" s="25">
        <f>Table132[[#This Row],[nb win]]/Table132[[#This Row],[nb play]]</f>
        <v>0</v>
      </c>
      <c r="H4433" t="str">
        <f>MID(Table132[[#This Row],[ÉTAT]],VALUE(RIGHT(Table132[[#This Row],[next move]],1))+1+VALUE(LEFT(Table132[[#This Row],[next move]],1))*3,1)</f>
        <v>V</v>
      </c>
      <c r="I4433" t="str">
        <f>Table132[[#This Row],[ÉTAT]]&amp;Table132[[#This Row],[next move]]</f>
        <v>MEVEEVMVM02</v>
      </c>
    </row>
    <row r="4434" spans="2:9" x14ac:dyDescent="0.25">
      <c r="B4434" t="s">
        <v>2647</v>
      </c>
      <c r="C4434" s="22" t="s">
        <v>20</v>
      </c>
      <c r="D4434">
        <v>1</v>
      </c>
      <c r="G4434" s="25">
        <f>Table132[[#This Row],[nb win]]/Table132[[#This Row],[nb play]]</f>
        <v>0</v>
      </c>
      <c r="H4434" t="str">
        <f>MID(Table132[[#This Row],[ÉTAT]],VALUE(RIGHT(Table132[[#This Row],[next move]],1))+1+VALUE(LEFT(Table132[[#This Row],[next move]],1))*3,1)</f>
        <v>V</v>
      </c>
      <c r="I4434" t="str">
        <f>Table132[[#This Row],[ÉTAT]]&amp;Table132[[#This Row],[next move]]</f>
        <v>MEVEEVMME02</v>
      </c>
    </row>
    <row r="4435" spans="2:9" x14ac:dyDescent="0.25">
      <c r="B4435" t="s">
        <v>499</v>
      </c>
      <c r="C4435" s="22" t="s">
        <v>20</v>
      </c>
      <c r="D4435">
        <v>1</v>
      </c>
      <c r="G4435" s="25">
        <f>Table132[[#This Row],[nb win]]/Table132[[#This Row],[nb play]]</f>
        <v>0</v>
      </c>
      <c r="H4435" t="str">
        <f>MID(Table132[[#This Row],[ÉTAT]],VALUE(RIGHT(Table132[[#This Row],[next move]],1))+1+VALUE(LEFT(Table132[[#This Row],[next move]],1))*3,1)</f>
        <v>V</v>
      </c>
      <c r="I4435" t="str">
        <f>Table132[[#This Row],[ÉTAT]]&amp;Table132[[#This Row],[next move]]</f>
        <v>MEVEEVEMM02</v>
      </c>
    </row>
    <row r="4436" spans="2:9" x14ac:dyDescent="0.25">
      <c r="B4436" t="s">
        <v>499</v>
      </c>
      <c r="C4436" s="22" t="s">
        <v>28</v>
      </c>
      <c r="D4436">
        <v>1</v>
      </c>
      <c r="G4436" s="25">
        <f>Table132[[#This Row],[nb win]]/Table132[[#This Row],[nb play]]</f>
        <v>0</v>
      </c>
      <c r="H4436" t="str">
        <f>MID(Table132[[#This Row],[ÉTAT]],VALUE(RIGHT(Table132[[#This Row],[next move]],1))+1+VALUE(LEFT(Table132[[#This Row],[next move]],1))*3,1)</f>
        <v>V</v>
      </c>
      <c r="I4436" t="str">
        <f>Table132[[#This Row],[ÉTAT]]&amp;Table132[[#This Row],[next move]]</f>
        <v>MEVEEVEMM12</v>
      </c>
    </row>
    <row r="4437" spans="2:9" x14ac:dyDescent="0.25">
      <c r="B4437" t="s">
        <v>2260</v>
      </c>
      <c r="C4437" s="22" t="s">
        <v>35</v>
      </c>
      <c r="D4437">
        <v>2</v>
      </c>
      <c r="G4437" s="30">
        <f>Table132[[#This Row],[nb win]]/Table132[[#This Row],[nb play]]</f>
        <v>0</v>
      </c>
      <c r="H4437" t="str">
        <f>MID(Table132[[#This Row],[ÉTAT]],VALUE(RIGHT(Table132[[#This Row],[next move]],1))+1+VALUE(LEFT(Table132[[#This Row],[next move]],1))*3,1)</f>
        <v>V</v>
      </c>
      <c r="I4437" t="str">
        <f>Table132[[#This Row],[ÉTAT]]&amp;Table132[[#This Row],[next move]]</f>
        <v>MEVEEMVVV20</v>
      </c>
    </row>
    <row r="4438" spans="2:9" x14ac:dyDescent="0.25">
      <c r="B4438" t="s">
        <v>2260</v>
      </c>
      <c r="C4438" s="22" t="s">
        <v>31</v>
      </c>
      <c r="D4438">
        <v>1</v>
      </c>
      <c r="E4438">
        <v>1</v>
      </c>
      <c r="G4438" s="25">
        <f>Table132[[#This Row],[nb win]]/Table132[[#This Row],[nb play]]</f>
        <v>1</v>
      </c>
      <c r="H4438" t="str">
        <f>MID(Table132[[#This Row],[ÉTAT]],VALUE(RIGHT(Table132[[#This Row],[next move]],1))+1+VALUE(LEFT(Table132[[#This Row],[next move]],1))*3,1)</f>
        <v>V</v>
      </c>
      <c r="I4438" t="str">
        <f>Table132[[#This Row],[ÉTAT]]&amp;Table132[[#This Row],[next move]]</f>
        <v>MEVEEMVVV22</v>
      </c>
    </row>
    <row r="4439" spans="2:9" x14ac:dyDescent="0.25">
      <c r="B4439" t="s">
        <v>2620</v>
      </c>
      <c r="C4439" s="22" t="s">
        <v>20</v>
      </c>
      <c r="D4439">
        <v>1</v>
      </c>
      <c r="E4439">
        <v>1</v>
      </c>
      <c r="G4439" s="25">
        <f>Table132[[#This Row],[nb win]]/Table132[[#This Row],[nb play]]</f>
        <v>1</v>
      </c>
      <c r="H4439" t="str">
        <f>MID(Table132[[#This Row],[ÉTAT]],VALUE(RIGHT(Table132[[#This Row],[next move]],1))+1+VALUE(LEFT(Table132[[#This Row],[next move]],1))*3,1)</f>
        <v>V</v>
      </c>
      <c r="I4439" t="str">
        <f>Table132[[#This Row],[ÉTAT]]&amp;Table132[[#This Row],[next move]]</f>
        <v>MEVEEMVMV02</v>
      </c>
    </row>
    <row r="4440" spans="2:9" x14ac:dyDescent="0.25">
      <c r="B4440" t="s">
        <v>2205</v>
      </c>
      <c r="C4440" s="22" t="s">
        <v>22</v>
      </c>
      <c r="D4440">
        <v>1</v>
      </c>
      <c r="E4440">
        <v>1</v>
      </c>
      <c r="G4440" s="25">
        <f>Table132[[#This Row],[nb win]]/Table132[[#This Row],[nb play]]</f>
        <v>1</v>
      </c>
      <c r="H4440" t="str">
        <f>MID(Table132[[#This Row],[ÉTAT]],VALUE(RIGHT(Table132[[#This Row],[next move]],1))+1+VALUE(LEFT(Table132[[#This Row],[next move]],1))*3,1)</f>
        <v>V</v>
      </c>
      <c r="I4440" t="str">
        <f>Table132[[#This Row],[ÉTAT]]&amp;Table132[[#This Row],[next move]]</f>
        <v>MEVEEMMVV21</v>
      </c>
    </row>
    <row r="4441" spans="2:9" x14ac:dyDescent="0.25">
      <c r="B4441" t="s">
        <v>2031</v>
      </c>
      <c r="C4441" s="22" t="s">
        <v>20</v>
      </c>
      <c r="D4441">
        <v>4</v>
      </c>
      <c r="E4441">
        <v>4</v>
      </c>
      <c r="G4441" s="31">
        <f>Table132[[#This Row],[nb win]]/Table132[[#This Row],[nb play]]</f>
        <v>1</v>
      </c>
      <c r="H4441" t="str">
        <f>MID(Table132[[#This Row],[ÉTAT]],VALUE(RIGHT(Table132[[#This Row],[next move]],1))+1+VALUE(LEFT(Table132[[#This Row],[next move]],1))*3,1)</f>
        <v>V</v>
      </c>
      <c r="I4441" t="str">
        <f>Table132[[#This Row],[ÉTAT]]&amp;Table132[[#This Row],[next move]]</f>
        <v>MEVEEMEVM02</v>
      </c>
    </row>
    <row r="4442" spans="2:9" x14ac:dyDescent="0.25">
      <c r="B4442" t="s">
        <v>162</v>
      </c>
      <c r="C4442" s="22" t="s">
        <v>31</v>
      </c>
      <c r="D4442">
        <v>1</v>
      </c>
      <c r="G4442" s="25">
        <f>Table132[[#This Row],[nb win]]/Table132[[#This Row],[nb play]]</f>
        <v>0</v>
      </c>
      <c r="H4442" t="str">
        <f>MID(Table132[[#This Row],[ÉTAT]],VALUE(RIGHT(Table132[[#This Row],[next move]],1))+1+VALUE(LEFT(Table132[[#This Row],[next move]],1))*3,1)</f>
        <v>V</v>
      </c>
      <c r="I4442" t="str">
        <f>Table132[[#This Row],[ÉTAT]]&amp;Table132[[#This Row],[next move]]</f>
        <v>MEVEEMEMV22</v>
      </c>
    </row>
    <row r="4443" spans="2:9" x14ac:dyDescent="0.25">
      <c r="B4443" t="s">
        <v>2382</v>
      </c>
      <c r="C4443" s="22" t="s">
        <v>20</v>
      </c>
      <c r="D4443">
        <v>5</v>
      </c>
      <c r="E4443">
        <v>5</v>
      </c>
      <c r="G4443" s="31">
        <f>Table132[[#This Row],[nb win]]/Table132[[#This Row],[nb play]]</f>
        <v>1</v>
      </c>
      <c r="H4443" t="str">
        <f>MID(Table132[[#This Row],[ÉTAT]],VALUE(RIGHT(Table132[[#This Row],[next move]],1))+1+VALUE(LEFT(Table132[[#This Row],[next move]],1))*3,1)</f>
        <v>V</v>
      </c>
      <c r="I4443" t="str">
        <f>Table132[[#This Row],[ÉTAT]]&amp;Table132[[#This Row],[next move]]</f>
        <v>MEVEEMEMM02</v>
      </c>
    </row>
    <row r="4444" spans="2:9" x14ac:dyDescent="0.25">
      <c r="B4444" t="s">
        <v>3333</v>
      </c>
      <c r="C4444" s="22" t="s">
        <v>29</v>
      </c>
      <c r="D4444">
        <v>2</v>
      </c>
      <c r="E4444">
        <v>1</v>
      </c>
      <c r="G4444" s="30">
        <f>Table132[[#This Row],[nb win]]/Table132[[#This Row],[nb play]]</f>
        <v>0.5</v>
      </c>
      <c r="H4444" t="str">
        <f>MID(Table132[[#This Row],[ÉTAT]],VALUE(RIGHT(Table132[[#This Row],[next move]],1))+1+VALUE(LEFT(Table132[[#This Row],[next move]],1))*3,1)</f>
        <v>V</v>
      </c>
      <c r="I4444" t="str">
        <f>Table132[[#This Row],[ÉTAT]]&amp;Table132[[#This Row],[next move]]</f>
        <v>MEMVVVVVE11</v>
      </c>
    </row>
    <row r="4445" spans="2:9" x14ac:dyDescent="0.25">
      <c r="B4445" t="s">
        <v>3333</v>
      </c>
      <c r="C4445" s="22" t="s">
        <v>35</v>
      </c>
      <c r="D4445">
        <v>1</v>
      </c>
      <c r="E4445">
        <v>1</v>
      </c>
      <c r="G4445" s="31">
        <f>Table132[[#This Row],[nb win]]/Table132[[#This Row],[nb play]]</f>
        <v>1</v>
      </c>
      <c r="H4445" t="str">
        <f>MID(Table132[[#This Row],[ÉTAT]],VALUE(RIGHT(Table132[[#This Row],[next move]],1))+1+VALUE(LEFT(Table132[[#This Row],[next move]],1))*3,1)</f>
        <v>V</v>
      </c>
      <c r="I4445" t="str">
        <f>Table132[[#This Row],[ÉTAT]]&amp;Table132[[#This Row],[next move]]</f>
        <v>MEMVVVVVE20</v>
      </c>
    </row>
    <row r="4446" spans="2:9" x14ac:dyDescent="0.25">
      <c r="B4446" t="s">
        <v>1045</v>
      </c>
      <c r="C4446" s="22" t="s">
        <v>30</v>
      </c>
      <c r="D4446">
        <v>3</v>
      </c>
      <c r="E4446">
        <v>1</v>
      </c>
      <c r="G4446" s="30">
        <f>Table132[[#This Row],[nb win]]/Table132[[#This Row],[nb play]]</f>
        <v>0.33333333333333331</v>
      </c>
      <c r="H4446" t="str">
        <f>MID(Table132[[#This Row],[ÉTAT]],VALUE(RIGHT(Table132[[#This Row],[next move]],1))+1+VALUE(LEFT(Table132[[#This Row],[next move]],1))*3,1)</f>
        <v>V</v>
      </c>
      <c r="I4446" t="str">
        <f>Table132[[#This Row],[ÉTAT]]&amp;Table132[[#This Row],[next move]]</f>
        <v>MEMVVVVEV10</v>
      </c>
    </row>
    <row r="4447" spans="2:9" x14ac:dyDescent="0.25">
      <c r="B4447" t="s">
        <v>1045</v>
      </c>
      <c r="C4447" s="22" t="s">
        <v>29</v>
      </c>
      <c r="D4447">
        <v>3</v>
      </c>
      <c r="E4447">
        <v>2</v>
      </c>
      <c r="G4447" s="31">
        <f>Table132[[#This Row],[nb win]]/Table132[[#This Row],[nb play]]</f>
        <v>0.66666666666666663</v>
      </c>
      <c r="H4447" t="str">
        <f>MID(Table132[[#This Row],[ÉTAT]],VALUE(RIGHT(Table132[[#This Row],[next move]],1))+1+VALUE(LEFT(Table132[[#This Row],[next move]],1))*3,1)</f>
        <v>V</v>
      </c>
      <c r="I4447" t="str">
        <f>Table132[[#This Row],[ÉTAT]]&amp;Table132[[#This Row],[next move]]</f>
        <v>MEMVVVVEV11</v>
      </c>
    </row>
    <row r="4448" spans="2:9" x14ac:dyDescent="0.25">
      <c r="B4448" t="s">
        <v>1045</v>
      </c>
      <c r="C4448" s="22" t="s">
        <v>28</v>
      </c>
      <c r="D4448">
        <v>7</v>
      </c>
      <c r="E4448">
        <v>4</v>
      </c>
      <c r="G4448" s="30">
        <f>Table132[[#This Row],[nb win]]/Table132[[#This Row],[nb play]]</f>
        <v>0.5714285714285714</v>
      </c>
      <c r="H4448" t="str">
        <f>MID(Table132[[#This Row],[ÉTAT]],VALUE(RIGHT(Table132[[#This Row],[next move]],1))+1+VALUE(LEFT(Table132[[#This Row],[next move]],1))*3,1)</f>
        <v>V</v>
      </c>
      <c r="I4448" t="str">
        <f>Table132[[#This Row],[ÉTAT]]&amp;Table132[[#This Row],[next move]]</f>
        <v>MEMVVVVEV12</v>
      </c>
    </row>
    <row r="4449" spans="2:9" x14ac:dyDescent="0.25">
      <c r="B4449" t="s">
        <v>1045</v>
      </c>
      <c r="C4449" s="22" t="s">
        <v>35</v>
      </c>
      <c r="D4449">
        <v>1</v>
      </c>
      <c r="E4449">
        <v>1</v>
      </c>
      <c r="G4449" s="31">
        <f>Table132[[#This Row],[nb win]]/Table132[[#This Row],[nb play]]</f>
        <v>1</v>
      </c>
      <c r="H4449" t="str">
        <f>MID(Table132[[#This Row],[ÉTAT]],VALUE(RIGHT(Table132[[#This Row],[next move]],1))+1+VALUE(LEFT(Table132[[#This Row],[next move]],1))*3,1)</f>
        <v>V</v>
      </c>
      <c r="I4449" t="str">
        <f>Table132[[#This Row],[ÉTAT]]&amp;Table132[[#This Row],[next move]]</f>
        <v>MEMVVVVEV20</v>
      </c>
    </row>
    <row r="4450" spans="2:9" x14ac:dyDescent="0.25">
      <c r="B4450" t="s">
        <v>976</v>
      </c>
      <c r="C4450" s="22" t="s">
        <v>28</v>
      </c>
      <c r="D4450">
        <v>2</v>
      </c>
      <c r="E4450">
        <v>2</v>
      </c>
      <c r="G4450" s="31">
        <f>Table132[[#This Row],[nb win]]/Table132[[#This Row],[nb play]]</f>
        <v>1</v>
      </c>
      <c r="H4450" t="str">
        <f>MID(Table132[[#This Row],[ÉTAT]],VALUE(RIGHT(Table132[[#This Row],[next move]],1))+1+VALUE(LEFT(Table132[[#This Row],[next move]],1))*3,1)</f>
        <v>V</v>
      </c>
      <c r="I4450" t="str">
        <f>Table132[[#This Row],[ÉTAT]]&amp;Table132[[#This Row],[next move]]</f>
        <v>MEMVVVMEE12</v>
      </c>
    </row>
    <row r="4451" spans="2:9" x14ac:dyDescent="0.25">
      <c r="B4451" t="s">
        <v>341</v>
      </c>
      <c r="C4451" s="22" t="s">
        <v>22</v>
      </c>
      <c r="D4451">
        <v>1</v>
      </c>
      <c r="E4451">
        <v>1</v>
      </c>
      <c r="G4451" s="25">
        <f>Table132[[#This Row],[nb win]]/Table132[[#This Row],[nb play]]</f>
        <v>1</v>
      </c>
      <c r="H4451" t="str">
        <f>MID(Table132[[#This Row],[ÉTAT]],VALUE(RIGHT(Table132[[#This Row],[next move]],1))+1+VALUE(LEFT(Table132[[#This Row],[next move]],1))*3,1)</f>
        <v>V</v>
      </c>
      <c r="I4451" t="str">
        <f>Table132[[#This Row],[ÉTAT]]&amp;Table132[[#This Row],[next move]]</f>
        <v>MEMVVVEVV21</v>
      </c>
    </row>
    <row r="4452" spans="2:9" x14ac:dyDescent="0.25">
      <c r="B4452" t="s">
        <v>867</v>
      </c>
      <c r="C4452" s="22" t="s">
        <v>29</v>
      </c>
      <c r="D4452">
        <v>3</v>
      </c>
      <c r="G4452" s="30">
        <f>Table132[[#This Row],[nb win]]/Table132[[#This Row],[nb play]]</f>
        <v>0</v>
      </c>
      <c r="H4452" t="str">
        <f>MID(Table132[[#This Row],[ÉTAT]],VALUE(RIGHT(Table132[[#This Row],[next move]],1))+1+VALUE(LEFT(Table132[[#This Row],[next move]],1))*3,1)</f>
        <v>V</v>
      </c>
      <c r="I4452" t="str">
        <f>Table132[[#This Row],[ÉTAT]]&amp;Table132[[#This Row],[next move]]</f>
        <v>MEMVVVEEV11</v>
      </c>
    </row>
    <row r="4453" spans="2:9" x14ac:dyDescent="0.25">
      <c r="B4453" t="s">
        <v>867</v>
      </c>
      <c r="C4453" s="22" t="s">
        <v>31</v>
      </c>
      <c r="D4453">
        <v>1</v>
      </c>
      <c r="E4453">
        <v>1</v>
      </c>
      <c r="G4453" s="25">
        <f>Table132[[#This Row],[nb win]]/Table132[[#This Row],[nb play]]</f>
        <v>1</v>
      </c>
      <c r="H4453" t="str">
        <f>MID(Table132[[#This Row],[ÉTAT]],VALUE(RIGHT(Table132[[#This Row],[next move]],1))+1+VALUE(LEFT(Table132[[#This Row],[next move]],1))*3,1)</f>
        <v>V</v>
      </c>
      <c r="I4453" t="str">
        <f>Table132[[#This Row],[ÉTAT]]&amp;Table132[[#This Row],[next move]]</f>
        <v>MEMVVVEEV22</v>
      </c>
    </row>
    <row r="4454" spans="2:9" x14ac:dyDescent="0.25">
      <c r="B4454" t="s">
        <v>1459</v>
      </c>
      <c r="C4454" s="22" t="s">
        <v>30</v>
      </c>
      <c r="D4454">
        <v>2</v>
      </c>
      <c r="E4454">
        <v>1</v>
      </c>
      <c r="G4454" s="25">
        <f>Table132[[#This Row],[nb win]]/Table132[[#This Row],[nb play]]</f>
        <v>0.5</v>
      </c>
      <c r="H4454" t="str">
        <f>MID(Table132[[#This Row],[ÉTAT]],VALUE(RIGHT(Table132[[#This Row],[next move]],1))+1+VALUE(LEFT(Table132[[#This Row],[next move]],1))*3,1)</f>
        <v>V</v>
      </c>
      <c r="I4454" t="str">
        <f>Table132[[#This Row],[ÉTAT]]&amp;Table132[[#This Row],[next move]]</f>
        <v>MEMVVVEEM10</v>
      </c>
    </row>
    <row r="4455" spans="2:9" x14ac:dyDescent="0.25">
      <c r="B4455" t="s">
        <v>1459</v>
      </c>
      <c r="C4455" s="22" t="s">
        <v>29</v>
      </c>
      <c r="D4455">
        <v>1</v>
      </c>
      <c r="E4455">
        <v>1</v>
      </c>
      <c r="G4455" s="25">
        <f>Table132[[#This Row],[nb win]]/Table132[[#This Row],[nb play]]</f>
        <v>1</v>
      </c>
      <c r="H4455" t="str">
        <f>MID(Table132[[#This Row],[ÉTAT]],VALUE(RIGHT(Table132[[#This Row],[next move]],1))+1+VALUE(LEFT(Table132[[#This Row],[next move]],1))*3,1)</f>
        <v>V</v>
      </c>
      <c r="I4455" t="str">
        <f>Table132[[#This Row],[ÉTAT]]&amp;Table132[[#This Row],[next move]]</f>
        <v>MEMVVVEEM11</v>
      </c>
    </row>
    <row r="4456" spans="2:9" x14ac:dyDescent="0.25">
      <c r="B4456" t="s">
        <v>3276</v>
      </c>
      <c r="C4456" s="22" t="s">
        <v>29</v>
      </c>
      <c r="D4456">
        <v>1</v>
      </c>
      <c r="G4456" s="30">
        <f>Table132[[#This Row],[nb win]]/Table132[[#This Row],[nb play]]</f>
        <v>0</v>
      </c>
      <c r="H4456" t="str">
        <f>MID(Table132[[#This Row],[ÉTAT]],VALUE(RIGHT(Table132[[#This Row],[next move]],1))+1+VALUE(LEFT(Table132[[#This Row],[next move]],1))*3,1)</f>
        <v>V</v>
      </c>
      <c r="I4456" t="str">
        <f>Table132[[#This Row],[ÉTAT]]&amp;Table132[[#This Row],[next move]]</f>
        <v>MEMVVMVEE11</v>
      </c>
    </row>
    <row r="4457" spans="2:9" x14ac:dyDescent="0.25">
      <c r="B4457" t="s">
        <v>3276</v>
      </c>
      <c r="C4457" s="22" t="s">
        <v>35</v>
      </c>
      <c r="D4457">
        <v>1</v>
      </c>
      <c r="G4457" s="30">
        <f>Table132[[#This Row],[nb win]]/Table132[[#This Row],[nb play]]</f>
        <v>0</v>
      </c>
      <c r="H4457" t="str">
        <f>MID(Table132[[#This Row],[ÉTAT]],VALUE(RIGHT(Table132[[#This Row],[next move]],1))+1+VALUE(LEFT(Table132[[#This Row],[next move]],1))*3,1)</f>
        <v>V</v>
      </c>
      <c r="I4457" t="str">
        <f>Table132[[#This Row],[ÉTAT]]&amp;Table132[[#This Row],[next move]]</f>
        <v>MEMVVMVEE20</v>
      </c>
    </row>
    <row r="4458" spans="2:9" x14ac:dyDescent="0.25">
      <c r="B4458" t="s">
        <v>1134</v>
      </c>
      <c r="C4458" s="22" t="s">
        <v>30</v>
      </c>
      <c r="D4458">
        <v>1</v>
      </c>
      <c r="G4458" s="25">
        <f>Table132[[#This Row],[nb win]]/Table132[[#This Row],[nb play]]</f>
        <v>0</v>
      </c>
      <c r="H4458" t="str">
        <f>MID(Table132[[#This Row],[ÉTAT]],VALUE(RIGHT(Table132[[#This Row],[next move]],1))+1+VALUE(LEFT(Table132[[#This Row],[next move]],1))*3,1)</f>
        <v>V</v>
      </c>
      <c r="I4458" t="str">
        <f>Table132[[#This Row],[ÉTAT]]&amp;Table132[[#This Row],[next move]]</f>
        <v>MEMVVMEEV10</v>
      </c>
    </row>
    <row r="4459" spans="2:9" x14ac:dyDescent="0.25">
      <c r="B4459" t="s">
        <v>1134</v>
      </c>
      <c r="C4459" s="22" t="s">
        <v>31</v>
      </c>
      <c r="D4459">
        <v>1</v>
      </c>
      <c r="E4459">
        <v>1</v>
      </c>
      <c r="G4459" s="31">
        <f>Table132[[#This Row],[nb win]]/Table132[[#This Row],[nb play]]</f>
        <v>1</v>
      </c>
      <c r="H4459" t="str">
        <f>MID(Table132[[#This Row],[ÉTAT]],VALUE(RIGHT(Table132[[#This Row],[next move]],1))+1+VALUE(LEFT(Table132[[#This Row],[next move]],1))*3,1)</f>
        <v>V</v>
      </c>
      <c r="I4459" t="str">
        <f>Table132[[#This Row],[ÉTAT]]&amp;Table132[[#This Row],[next move]]</f>
        <v>MEMVVMEEV22</v>
      </c>
    </row>
    <row r="4460" spans="2:9" x14ac:dyDescent="0.25">
      <c r="B4460" t="s">
        <v>2744</v>
      </c>
      <c r="C4460" s="22" t="s">
        <v>35</v>
      </c>
      <c r="D4460">
        <v>1</v>
      </c>
      <c r="E4460">
        <v>1</v>
      </c>
      <c r="G4460" s="25">
        <f>Table132[[#This Row],[nb win]]/Table132[[#This Row],[nb play]]</f>
        <v>1</v>
      </c>
      <c r="H4460" t="str">
        <f>MID(Table132[[#This Row],[ÉTAT]],VALUE(RIGHT(Table132[[#This Row],[next move]],1))+1+VALUE(LEFT(Table132[[#This Row],[next move]],1))*3,1)</f>
        <v>V</v>
      </c>
      <c r="I4460" t="str">
        <f>Table132[[#This Row],[ÉTAT]]&amp;Table132[[#This Row],[next move]]</f>
        <v>MEMVVEVVE20</v>
      </c>
    </row>
    <row r="4461" spans="2:9" x14ac:dyDescent="0.25">
      <c r="B4461" t="s">
        <v>1734</v>
      </c>
      <c r="C4461" s="22" t="s">
        <v>35</v>
      </c>
      <c r="D4461">
        <v>3</v>
      </c>
      <c r="E4461">
        <v>3</v>
      </c>
      <c r="G4461" s="31">
        <f>Table132[[#This Row],[nb win]]/Table132[[#This Row],[nb play]]</f>
        <v>1</v>
      </c>
      <c r="H4461" t="str">
        <f>MID(Table132[[#This Row],[ÉTAT]],VALUE(RIGHT(Table132[[#This Row],[next move]],1))+1+VALUE(LEFT(Table132[[#This Row],[next move]],1))*3,1)</f>
        <v>V</v>
      </c>
      <c r="I4461" t="str">
        <f>Table132[[#This Row],[ÉTAT]]&amp;Table132[[#This Row],[next move]]</f>
        <v>MEMVVEVME20</v>
      </c>
    </row>
    <row r="4462" spans="2:9" x14ac:dyDescent="0.25">
      <c r="B4462" t="s">
        <v>2747</v>
      </c>
      <c r="C4462" s="22" t="s">
        <v>31</v>
      </c>
      <c r="D4462">
        <v>2</v>
      </c>
      <c r="E4462">
        <v>1</v>
      </c>
      <c r="G4462" s="30">
        <f>Table132[[#This Row],[nb win]]/Table132[[#This Row],[nb play]]</f>
        <v>0.5</v>
      </c>
      <c r="H4462" t="str">
        <f>MID(Table132[[#This Row],[ÉTAT]],VALUE(RIGHT(Table132[[#This Row],[next move]],1))+1+VALUE(LEFT(Table132[[#This Row],[next move]],1))*3,1)</f>
        <v>V</v>
      </c>
      <c r="I4462" t="str">
        <f>Table132[[#This Row],[ÉTAT]]&amp;Table132[[#This Row],[next move]]</f>
        <v>MEMVVEVEV22</v>
      </c>
    </row>
    <row r="4463" spans="2:9" x14ac:dyDescent="0.25">
      <c r="B4463" t="s">
        <v>1843</v>
      </c>
      <c r="C4463" s="22" t="s">
        <v>29</v>
      </c>
      <c r="D4463">
        <v>2</v>
      </c>
      <c r="E4463">
        <v>2</v>
      </c>
      <c r="G4463" s="25">
        <f>Table132[[#This Row],[nb win]]/Table132[[#This Row],[nb play]]</f>
        <v>1</v>
      </c>
      <c r="H4463" t="str">
        <f>MID(Table132[[#This Row],[ÉTAT]],VALUE(RIGHT(Table132[[#This Row],[next move]],1))+1+VALUE(LEFT(Table132[[#This Row],[next move]],1))*3,1)</f>
        <v>V</v>
      </c>
      <c r="I4463" t="str">
        <f>Table132[[#This Row],[ÉTAT]]&amp;Table132[[#This Row],[next move]]</f>
        <v>MEMVVEVEM11</v>
      </c>
    </row>
    <row r="4464" spans="2:9" x14ac:dyDescent="0.25">
      <c r="B4464" t="s">
        <v>2983</v>
      </c>
      <c r="C4464" s="22" t="s">
        <v>30</v>
      </c>
      <c r="D4464">
        <v>1</v>
      </c>
      <c r="E4464">
        <v>1</v>
      </c>
      <c r="G4464" s="25">
        <f>Table132[[#This Row],[nb win]]/Table132[[#This Row],[nb play]]</f>
        <v>1</v>
      </c>
      <c r="H4464" t="str">
        <f>MID(Table132[[#This Row],[ÉTAT]],VALUE(RIGHT(Table132[[#This Row],[next move]],1))+1+VALUE(LEFT(Table132[[#This Row],[next move]],1))*3,1)</f>
        <v>V</v>
      </c>
      <c r="I4464" t="str">
        <f>Table132[[#This Row],[ÉTAT]]&amp;Table132[[#This Row],[next move]]</f>
        <v>MEMVVEMVE10</v>
      </c>
    </row>
    <row r="4465" spans="2:9" x14ac:dyDescent="0.25">
      <c r="B4465" t="s">
        <v>3094</v>
      </c>
      <c r="C4465" s="22" t="s">
        <v>30</v>
      </c>
      <c r="D4465">
        <v>1</v>
      </c>
      <c r="E4465">
        <v>1</v>
      </c>
      <c r="G4465" s="31">
        <f>Table132[[#This Row],[nb win]]/Table132[[#This Row],[nb play]]</f>
        <v>1</v>
      </c>
      <c r="H4465" t="str">
        <f>MID(Table132[[#This Row],[ÉTAT]],VALUE(RIGHT(Table132[[#This Row],[next move]],1))+1+VALUE(LEFT(Table132[[#This Row],[next move]],1))*3,1)</f>
        <v>V</v>
      </c>
      <c r="I4465" t="str">
        <f>Table132[[#This Row],[ÉTAT]]&amp;Table132[[#This Row],[next move]]</f>
        <v>MEMVVEMEV10</v>
      </c>
    </row>
    <row r="4466" spans="2:9" x14ac:dyDescent="0.25">
      <c r="B4466" t="s">
        <v>2746</v>
      </c>
      <c r="C4466" s="22" t="s">
        <v>30</v>
      </c>
      <c r="D4466">
        <v>3</v>
      </c>
      <c r="E4466">
        <v>3</v>
      </c>
      <c r="G4466" s="31">
        <f>Table132[[#This Row],[nb win]]/Table132[[#This Row],[nb play]]</f>
        <v>1</v>
      </c>
      <c r="H4466" t="str">
        <f>MID(Table132[[#This Row],[ÉTAT]],VALUE(RIGHT(Table132[[#This Row],[next move]],1))+1+VALUE(LEFT(Table132[[#This Row],[next move]],1))*3,1)</f>
        <v>V</v>
      </c>
      <c r="I4466" t="str">
        <f>Table132[[#This Row],[ÉTAT]]&amp;Table132[[#This Row],[next move]]</f>
        <v>MEMVVEMEE10</v>
      </c>
    </row>
    <row r="4467" spans="2:9" x14ac:dyDescent="0.25">
      <c r="B4467" t="s">
        <v>2510</v>
      </c>
      <c r="C4467" s="22" t="s">
        <v>30</v>
      </c>
      <c r="D4467">
        <v>1</v>
      </c>
      <c r="G4467" s="25">
        <f>Table132[[#This Row],[nb win]]/Table132[[#This Row],[nb play]]</f>
        <v>0</v>
      </c>
      <c r="H4467" t="str">
        <f>MID(Table132[[#This Row],[ÉTAT]],VALUE(RIGHT(Table132[[#This Row],[next move]],1))+1+VALUE(LEFT(Table132[[#This Row],[next move]],1))*3,1)</f>
        <v>V</v>
      </c>
      <c r="I4467" t="str">
        <f>Table132[[#This Row],[ÉTAT]]&amp;Table132[[#This Row],[next move]]</f>
        <v>MEMVVEEVV10</v>
      </c>
    </row>
    <row r="4468" spans="2:9" x14ac:dyDescent="0.25">
      <c r="B4468" t="s">
        <v>2510</v>
      </c>
      <c r="C4468" s="22" t="s">
        <v>29</v>
      </c>
      <c r="D4468">
        <v>1</v>
      </c>
      <c r="G4468" s="30">
        <f>Table132[[#This Row],[nb win]]/Table132[[#This Row],[nb play]]</f>
        <v>0</v>
      </c>
      <c r="H4468" t="str">
        <f>MID(Table132[[#This Row],[ÉTAT]],VALUE(RIGHT(Table132[[#This Row],[next move]],1))+1+VALUE(LEFT(Table132[[#This Row],[next move]],1))*3,1)</f>
        <v>V</v>
      </c>
      <c r="I4468" t="str">
        <f>Table132[[#This Row],[ÉTAT]]&amp;Table132[[#This Row],[next move]]</f>
        <v>MEMVVEEVV11</v>
      </c>
    </row>
    <row r="4469" spans="2:9" x14ac:dyDescent="0.25">
      <c r="B4469" t="s">
        <v>2510</v>
      </c>
      <c r="C4469" s="22" t="s">
        <v>31</v>
      </c>
      <c r="D4469">
        <v>1</v>
      </c>
      <c r="G4469" s="30">
        <f>Table132[[#This Row],[nb win]]/Table132[[#This Row],[nb play]]</f>
        <v>0</v>
      </c>
      <c r="H4469" t="str">
        <f>MID(Table132[[#This Row],[ÉTAT]],VALUE(RIGHT(Table132[[#This Row],[next move]],1))+1+VALUE(LEFT(Table132[[#This Row],[next move]],1))*3,1)</f>
        <v>V</v>
      </c>
      <c r="I4469" t="str">
        <f>Table132[[#This Row],[ÉTAT]]&amp;Table132[[#This Row],[next move]]</f>
        <v>MEMVVEEVV22</v>
      </c>
    </row>
    <row r="4470" spans="2:9" x14ac:dyDescent="0.25">
      <c r="B4470" t="s">
        <v>1075</v>
      </c>
      <c r="C4470" s="22" t="s">
        <v>31</v>
      </c>
      <c r="D4470">
        <v>1</v>
      </c>
      <c r="E4470">
        <v>1</v>
      </c>
      <c r="G4470" s="25">
        <f>Table132[[#This Row],[nb win]]/Table132[[#This Row],[nb play]]</f>
        <v>1</v>
      </c>
      <c r="H4470" t="str">
        <f>MID(Table132[[#This Row],[ÉTAT]],VALUE(RIGHT(Table132[[#This Row],[next move]],1))+1+VALUE(LEFT(Table132[[#This Row],[next move]],1))*3,1)</f>
        <v>V</v>
      </c>
      <c r="I4470" t="str">
        <f>Table132[[#This Row],[ÉTAT]]&amp;Table132[[#This Row],[next move]]</f>
        <v>MEMVVEEMV22</v>
      </c>
    </row>
    <row r="4471" spans="2:9" x14ac:dyDescent="0.25">
      <c r="B4471" t="s">
        <v>1279</v>
      </c>
      <c r="C4471" s="22" t="s">
        <v>29</v>
      </c>
      <c r="D4471">
        <v>3</v>
      </c>
      <c r="E4471">
        <v>3</v>
      </c>
      <c r="G4471" s="31">
        <f>Table132[[#This Row],[nb win]]/Table132[[#This Row],[nb play]]</f>
        <v>1</v>
      </c>
      <c r="H4471" t="str">
        <f>MID(Table132[[#This Row],[ÉTAT]],VALUE(RIGHT(Table132[[#This Row],[next move]],1))+1+VALUE(LEFT(Table132[[#This Row],[next move]],1))*3,1)</f>
        <v>V</v>
      </c>
      <c r="I4471" t="str">
        <f>Table132[[#This Row],[ÉTAT]]&amp;Table132[[#This Row],[next move]]</f>
        <v>MEMVVEEEM11</v>
      </c>
    </row>
    <row r="4472" spans="2:9" x14ac:dyDescent="0.25">
      <c r="B4472" t="s">
        <v>1690</v>
      </c>
      <c r="C4472" s="22" t="s">
        <v>30</v>
      </c>
      <c r="D4472">
        <v>2</v>
      </c>
      <c r="G4472" s="30">
        <f>Table132[[#This Row],[nb win]]/Table132[[#This Row],[nb play]]</f>
        <v>0</v>
      </c>
      <c r="H4472" t="str">
        <f>MID(Table132[[#This Row],[ÉTAT]],VALUE(RIGHT(Table132[[#This Row],[next move]],1))+1+VALUE(LEFT(Table132[[#This Row],[next move]],1))*3,1)</f>
        <v>V</v>
      </c>
      <c r="I4472" t="str">
        <f>Table132[[#This Row],[ÉTAT]]&amp;Table132[[#This Row],[next move]]</f>
        <v>MEMVMVVEE10</v>
      </c>
    </row>
    <row r="4473" spans="2:9" x14ac:dyDescent="0.25">
      <c r="B4473" t="s">
        <v>1690</v>
      </c>
      <c r="C4473" s="22" t="s">
        <v>35</v>
      </c>
      <c r="D4473">
        <v>2</v>
      </c>
      <c r="E4473">
        <v>2</v>
      </c>
      <c r="G4473" s="31">
        <f>Table132[[#This Row],[nb win]]/Table132[[#This Row],[nb play]]</f>
        <v>1</v>
      </c>
      <c r="H4473" t="str">
        <f>MID(Table132[[#This Row],[ÉTAT]],VALUE(RIGHT(Table132[[#This Row],[next move]],1))+1+VALUE(LEFT(Table132[[#This Row],[next move]],1))*3,1)</f>
        <v>V</v>
      </c>
      <c r="I4473" t="str">
        <f>Table132[[#This Row],[ÉTAT]]&amp;Table132[[#This Row],[next move]]</f>
        <v>MEMVMVVEE20</v>
      </c>
    </row>
    <row r="4474" spans="2:9" x14ac:dyDescent="0.25">
      <c r="B4474" t="s">
        <v>3191</v>
      </c>
      <c r="C4474" s="22" t="s">
        <v>28</v>
      </c>
      <c r="D4474">
        <v>1</v>
      </c>
      <c r="G4474" s="30">
        <f>Table132[[#This Row],[nb win]]/Table132[[#This Row],[nb play]]</f>
        <v>0</v>
      </c>
      <c r="H4474" t="str">
        <f>MID(Table132[[#This Row],[ÉTAT]],VALUE(RIGHT(Table132[[#This Row],[next move]],1))+1+VALUE(LEFT(Table132[[#This Row],[next move]],1))*3,1)</f>
        <v>V</v>
      </c>
      <c r="I4474" t="str">
        <f>Table132[[#This Row],[ÉTAT]]&amp;Table132[[#This Row],[next move]]</f>
        <v>MEMVMVEVE12</v>
      </c>
    </row>
    <row r="4475" spans="2:9" x14ac:dyDescent="0.25">
      <c r="B4475" t="s">
        <v>3039</v>
      </c>
      <c r="C4475" s="22" t="s">
        <v>30</v>
      </c>
      <c r="D4475">
        <v>1</v>
      </c>
      <c r="G4475" s="25">
        <f>Table132[[#This Row],[nb win]]/Table132[[#This Row],[nb play]]</f>
        <v>0</v>
      </c>
      <c r="H4475" t="str">
        <f>MID(Table132[[#This Row],[ÉTAT]],VALUE(RIGHT(Table132[[#This Row],[next move]],1))+1+VALUE(LEFT(Table132[[#This Row],[next move]],1))*3,1)</f>
        <v>V</v>
      </c>
      <c r="I4475" t="str">
        <f>Table132[[#This Row],[ÉTAT]]&amp;Table132[[#This Row],[next move]]</f>
        <v>MEMVMVEEV10</v>
      </c>
    </row>
    <row r="4476" spans="2:9" x14ac:dyDescent="0.25">
      <c r="B4476" t="s">
        <v>338</v>
      </c>
      <c r="C4476" s="22" t="s">
        <v>30</v>
      </c>
      <c r="D4476">
        <v>1</v>
      </c>
      <c r="E4476">
        <v>1</v>
      </c>
      <c r="G4476" s="25">
        <f>Table132[[#This Row],[nb win]]/Table132[[#This Row],[nb play]]</f>
        <v>1</v>
      </c>
      <c r="H4476" t="str">
        <f>MID(Table132[[#This Row],[ÉTAT]],VALUE(RIGHT(Table132[[#This Row],[next move]],1))+1+VALUE(LEFT(Table132[[#This Row],[next move]],1))*3,1)</f>
        <v>V</v>
      </c>
      <c r="I4476" t="str">
        <f>Table132[[#This Row],[ÉTAT]]&amp;Table132[[#This Row],[next move]]</f>
        <v>MEMVMEVVE10</v>
      </c>
    </row>
    <row r="4477" spans="2:9" x14ac:dyDescent="0.25">
      <c r="B4477" t="s">
        <v>3184</v>
      </c>
      <c r="C4477" s="22" t="s">
        <v>31</v>
      </c>
      <c r="D4477">
        <v>2</v>
      </c>
      <c r="E4477">
        <v>2</v>
      </c>
      <c r="G4477" s="31">
        <f>Table132[[#This Row],[nb win]]/Table132[[#This Row],[nb play]]</f>
        <v>1</v>
      </c>
      <c r="H4477" t="str">
        <f>MID(Table132[[#This Row],[ÉTAT]],VALUE(RIGHT(Table132[[#This Row],[next move]],1))+1+VALUE(LEFT(Table132[[#This Row],[next move]],1))*3,1)</f>
        <v>V</v>
      </c>
      <c r="I4477" t="str">
        <f>Table132[[#This Row],[ÉTAT]]&amp;Table132[[#This Row],[next move]]</f>
        <v>MEMVMEVEV22</v>
      </c>
    </row>
    <row r="4478" spans="2:9" x14ac:dyDescent="0.25">
      <c r="B4478" t="s">
        <v>2917</v>
      </c>
      <c r="C4478" s="22" t="s">
        <v>31</v>
      </c>
      <c r="D4478">
        <v>1</v>
      </c>
      <c r="E4478">
        <v>1</v>
      </c>
      <c r="G4478" s="25">
        <f>Table132[[#This Row],[nb win]]/Table132[[#This Row],[nb play]]</f>
        <v>1</v>
      </c>
      <c r="H4478" t="str">
        <f>MID(Table132[[#This Row],[ÉTAT]],VALUE(RIGHT(Table132[[#This Row],[next move]],1))+1+VALUE(LEFT(Table132[[#This Row],[next move]],1))*3,1)</f>
        <v>V</v>
      </c>
      <c r="I4478" t="str">
        <f>Table132[[#This Row],[ÉTAT]]&amp;Table132[[#This Row],[next move]]</f>
        <v>MEMVMEEVV22</v>
      </c>
    </row>
    <row r="4479" spans="2:9" x14ac:dyDescent="0.25">
      <c r="B4479" t="s">
        <v>3162</v>
      </c>
      <c r="C4479" s="22" t="s">
        <v>30</v>
      </c>
      <c r="D4479">
        <v>1</v>
      </c>
      <c r="G4479" s="30">
        <f>Table132[[#This Row],[nb win]]/Table132[[#This Row],[nb play]]</f>
        <v>0</v>
      </c>
      <c r="H4479" t="str">
        <f>MID(Table132[[#This Row],[ÉTAT]],VALUE(RIGHT(Table132[[#This Row],[next move]],1))+1+VALUE(LEFT(Table132[[#This Row],[next move]],1))*3,1)</f>
        <v>V</v>
      </c>
      <c r="I4479" t="str">
        <f>Table132[[#This Row],[ÉTAT]]&amp;Table132[[#This Row],[next move]]</f>
        <v>MEMVMEEVE10</v>
      </c>
    </row>
    <row r="4480" spans="2:9" x14ac:dyDescent="0.25">
      <c r="B4480" t="s">
        <v>3158</v>
      </c>
      <c r="C4480" s="22" t="s">
        <v>30</v>
      </c>
      <c r="D4480">
        <v>1</v>
      </c>
      <c r="G4480" s="30">
        <f>Table132[[#This Row],[nb win]]/Table132[[#This Row],[nb play]]</f>
        <v>0</v>
      </c>
      <c r="H4480" t="str">
        <f>MID(Table132[[#This Row],[ÉTAT]],VALUE(RIGHT(Table132[[#This Row],[next move]],1))+1+VALUE(LEFT(Table132[[#This Row],[next move]],1))*3,1)</f>
        <v>V</v>
      </c>
      <c r="I4480" t="str">
        <f>Table132[[#This Row],[ÉTAT]]&amp;Table132[[#This Row],[next move]]</f>
        <v>MEMVMEEEV10</v>
      </c>
    </row>
    <row r="4481" spans="2:9" x14ac:dyDescent="0.25">
      <c r="B4481" t="s">
        <v>208</v>
      </c>
      <c r="C4481" s="22" t="s">
        <v>30</v>
      </c>
      <c r="D4481">
        <v>6</v>
      </c>
      <c r="E4481">
        <v>2</v>
      </c>
      <c r="G4481" s="30">
        <f>Table132[[#This Row],[nb win]]/Table132[[#This Row],[nb play]]</f>
        <v>0.33333333333333331</v>
      </c>
      <c r="H4481" t="str">
        <f>MID(Table132[[#This Row],[ÉTAT]],VALUE(RIGHT(Table132[[#This Row],[next move]],1))+1+VALUE(LEFT(Table132[[#This Row],[next move]],1))*3,1)</f>
        <v>V</v>
      </c>
      <c r="I4481" t="str">
        <f>Table132[[#This Row],[ÉTAT]]&amp;Table132[[#This Row],[next move]]</f>
        <v>MEMVEVVVV10</v>
      </c>
    </row>
    <row r="4482" spans="2:9" x14ac:dyDescent="0.25">
      <c r="B4482" t="s">
        <v>208</v>
      </c>
      <c r="C4482" s="22" t="s">
        <v>28</v>
      </c>
      <c r="D4482">
        <v>1</v>
      </c>
      <c r="G4482" s="25">
        <f>Table132[[#This Row],[nb win]]/Table132[[#This Row],[nb play]]</f>
        <v>0</v>
      </c>
      <c r="H4482" t="str">
        <f>MID(Table132[[#This Row],[ÉTAT]],VALUE(RIGHT(Table132[[#This Row],[next move]],1))+1+VALUE(LEFT(Table132[[#This Row],[next move]],1))*3,1)</f>
        <v>V</v>
      </c>
      <c r="I4482" t="str">
        <f>Table132[[#This Row],[ÉTAT]]&amp;Table132[[#This Row],[next move]]</f>
        <v>MEMVEVVVV12</v>
      </c>
    </row>
    <row r="4483" spans="2:9" x14ac:dyDescent="0.25">
      <c r="B4483" t="s">
        <v>208</v>
      </c>
      <c r="C4483" s="22" t="s">
        <v>35</v>
      </c>
      <c r="D4483">
        <v>1</v>
      </c>
      <c r="G4483" s="25">
        <f>Table132[[#This Row],[nb win]]/Table132[[#This Row],[nb play]]</f>
        <v>0</v>
      </c>
      <c r="H4483" t="str">
        <f>MID(Table132[[#This Row],[ÉTAT]],VALUE(RIGHT(Table132[[#This Row],[next move]],1))+1+VALUE(LEFT(Table132[[#This Row],[next move]],1))*3,1)</f>
        <v>V</v>
      </c>
      <c r="I4483" t="str">
        <f>Table132[[#This Row],[ÉTAT]]&amp;Table132[[#This Row],[next move]]</f>
        <v>MEMVEVVVV20</v>
      </c>
    </row>
    <row r="4484" spans="2:9" x14ac:dyDescent="0.25">
      <c r="B4484" t="s">
        <v>208</v>
      </c>
      <c r="C4484" s="22" t="s">
        <v>22</v>
      </c>
      <c r="D4484">
        <v>2</v>
      </c>
      <c r="G4484" s="30">
        <f>Table132[[#This Row],[nb win]]/Table132[[#This Row],[nb play]]</f>
        <v>0</v>
      </c>
      <c r="H4484" t="str">
        <f>MID(Table132[[#This Row],[ÉTAT]],VALUE(RIGHT(Table132[[#This Row],[next move]],1))+1+VALUE(LEFT(Table132[[#This Row],[next move]],1))*3,1)</f>
        <v>V</v>
      </c>
      <c r="I4484" t="str">
        <f>Table132[[#This Row],[ÉTAT]]&amp;Table132[[#This Row],[next move]]</f>
        <v>MEMVEVVVV21</v>
      </c>
    </row>
    <row r="4485" spans="2:9" x14ac:dyDescent="0.25">
      <c r="B4485" t="s">
        <v>208</v>
      </c>
      <c r="C4485" s="22" t="s">
        <v>31</v>
      </c>
      <c r="D4485">
        <v>3</v>
      </c>
      <c r="G4485" s="30">
        <f>Table132[[#This Row],[nb win]]/Table132[[#This Row],[nb play]]</f>
        <v>0</v>
      </c>
      <c r="H4485" t="str">
        <f>MID(Table132[[#This Row],[ÉTAT]],VALUE(RIGHT(Table132[[#This Row],[next move]],1))+1+VALUE(LEFT(Table132[[#This Row],[next move]],1))*3,1)</f>
        <v>V</v>
      </c>
      <c r="I4485" t="str">
        <f>Table132[[#This Row],[ÉTAT]]&amp;Table132[[#This Row],[next move]]</f>
        <v>MEMVEVVVV22</v>
      </c>
    </row>
    <row r="4486" spans="2:9" x14ac:dyDescent="0.25">
      <c r="B4486" t="s">
        <v>3389</v>
      </c>
      <c r="C4486" s="22" t="s">
        <v>28</v>
      </c>
      <c r="D4486">
        <v>1</v>
      </c>
      <c r="G4486" s="30">
        <f>Table132[[#This Row],[nb win]]/Table132[[#This Row],[nb play]]</f>
        <v>0</v>
      </c>
      <c r="H4486" t="str">
        <f>MID(Table132[[#This Row],[ÉTAT]],VALUE(RIGHT(Table132[[#This Row],[next move]],1))+1+VALUE(LEFT(Table132[[#This Row],[next move]],1))*3,1)</f>
        <v>V</v>
      </c>
      <c r="I4486" t="str">
        <f>Table132[[#This Row],[ÉTAT]]&amp;Table132[[#This Row],[next move]]</f>
        <v>MEMVEVVVE12</v>
      </c>
    </row>
    <row r="4487" spans="2:9" x14ac:dyDescent="0.25">
      <c r="B4487" t="s">
        <v>1488</v>
      </c>
      <c r="C4487" s="22" t="s">
        <v>30</v>
      </c>
      <c r="D4487">
        <v>1</v>
      </c>
      <c r="E4487">
        <v>1</v>
      </c>
      <c r="G4487" s="25">
        <f>Table132[[#This Row],[nb win]]/Table132[[#This Row],[nb play]]</f>
        <v>1</v>
      </c>
      <c r="H4487" t="str">
        <f>MID(Table132[[#This Row],[ÉTAT]],VALUE(RIGHT(Table132[[#This Row],[next move]],1))+1+VALUE(LEFT(Table132[[#This Row],[next move]],1))*3,1)</f>
        <v>V</v>
      </c>
      <c r="I4487" t="str">
        <f>Table132[[#This Row],[ÉTAT]]&amp;Table132[[#This Row],[next move]]</f>
        <v>MEMVEVVME10</v>
      </c>
    </row>
    <row r="4488" spans="2:9" x14ac:dyDescent="0.25">
      <c r="B4488" t="s">
        <v>2919</v>
      </c>
      <c r="C4488" s="22" t="s">
        <v>30</v>
      </c>
      <c r="D4488">
        <v>2</v>
      </c>
      <c r="E4488">
        <v>2</v>
      </c>
      <c r="G4488" s="31">
        <f>Table132[[#This Row],[nb win]]/Table132[[#This Row],[nb play]]</f>
        <v>1</v>
      </c>
      <c r="H4488" t="str">
        <f>MID(Table132[[#This Row],[ÉTAT]],VALUE(RIGHT(Table132[[#This Row],[next move]],1))+1+VALUE(LEFT(Table132[[#This Row],[next move]],1))*3,1)</f>
        <v>V</v>
      </c>
      <c r="I4488" t="str">
        <f>Table132[[#This Row],[ÉTAT]]&amp;Table132[[#This Row],[next move]]</f>
        <v>MEMVEVMVE10</v>
      </c>
    </row>
    <row r="4489" spans="2:9" x14ac:dyDescent="0.25">
      <c r="B4489" t="s">
        <v>2175</v>
      </c>
      <c r="C4489" s="22" t="s">
        <v>30</v>
      </c>
      <c r="D4489">
        <v>1</v>
      </c>
      <c r="G4489" s="25">
        <f>Table132[[#This Row],[nb win]]/Table132[[#This Row],[nb play]]</f>
        <v>0</v>
      </c>
      <c r="H4489" t="str">
        <f>MID(Table132[[#This Row],[ÉTAT]],VALUE(RIGHT(Table132[[#This Row],[next move]],1))+1+VALUE(LEFT(Table132[[#This Row],[next move]],1))*3,1)</f>
        <v>V</v>
      </c>
      <c r="I4489" t="str">
        <f>Table132[[#This Row],[ÉTAT]]&amp;Table132[[#This Row],[next move]]</f>
        <v>MEMVEVEVV10</v>
      </c>
    </row>
    <row r="4490" spans="2:9" x14ac:dyDescent="0.25">
      <c r="B4490" t="s">
        <v>2175</v>
      </c>
      <c r="C4490" s="22" t="s">
        <v>28</v>
      </c>
      <c r="D4490">
        <v>1</v>
      </c>
      <c r="G4490" s="25">
        <f>Table132[[#This Row],[nb win]]/Table132[[#This Row],[nb play]]</f>
        <v>0</v>
      </c>
      <c r="H4490" t="str">
        <f>MID(Table132[[#This Row],[ÉTAT]],VALUE(RIGHT(Table132[[#This Row],[next move]],1))+1+VALUE(LEFT(Table132[[#This Row],[next move]],1))*3,1)</f>
        <v>V</v>
      </c>
      <c r="I4490" t="str">
        <f>Table132[[#This Row],[ÉTAT]]&amp;Table132[[#This Row],[next move]]</f>
        <v>MEMVEVEVV12</v>
      </c>
    </row>
    <row r="4491" spans="2:9" x14ac:dyDescent="0.25">
      <c r="B4491" t="s">
        <v>2175</v>
      </c>
      <c r="C4491" s="22" t="s">
        <v>31</v>
      </c>
      <c r="D4491">
        <v>1</v>
      </c>
      <c r="G4491" s="25">
        <f>Table132[[#This Row],[nb win]]/Table132[[#This Row],[nb play]]</f>
        <v>0</v>
      </c>
      <c r="H4491" t="str">
        <f>MID(Table132[[#This Row],[ÉTAT]],VALUE(RIGHT(Table132[[#This Row],[next move]],1))+1+VALUE(LEFT(Table132[[#This Row],[next move]],1))*3,1)</f>
        <v>V</v>
      </c>
      <c r="I4491" t="str">
        <f>Table132[[#This Row],[ÉTAT]]&amp;Table132[[#This Row],[next move]]</f>
        <v>MEMVEVEVV22</v>
      </c>
    </row>
    <row r="4492" spans="2:9" x14ac:dyDescent="0.25">
      <c r="B4492" t="s">
        <v>1949</v>
      </c>
      <c r="C4492" s="22" t="s">
        <v>30</v>
      </c>
      <c r="D4492">
        <v>1</v>
      </c>
      <c r="G4492" s="25">
        <f>Table132[[#This Row],[nb win]]/Table132[[#This Row],[nb play]]</f>
        <v>0</v>
      </c>
      <c r="H4492" t="str">
        <f>MID(Table132[[#This Row],[ÉTAT]],VALUE(RIGHT(Table132[[#This Row],[next move]],1))+1+VALUE(LEFT(Table132[[#This Row],[next move]],1))*3,1)</f>
        <v>V</v>
      </c>
      <c r="I4492" t="str">
        <f>Table132[[#This Row],[ÉTAT]]&amp;Table132[[#This Row],[next move]]</f>
        <v>MEMVEVEVM10</v>
      </c>
    </row>
    <row r="4493" spans="2:9" x14ac:dyDescent="0.25">
      <c r="B4493" t="s">
        <v>1949</v>
      </c>
      <c r="C4493" s="22" t="s">
        <v>28</v>
      </c>
      <c r="D4493">
        <v>2</v>
      </c>
      <c r="E4493">
        <v>2</v>
      </c>
      <c r="G4493" s="31">
        <f>Table132[[#This Row],[nb win]]/Table132[[#This Row],[nb play]]</f>
        <v>1</v>
      </c>
      <c r="H4493" t="str">
        <f>MID(Table132[[#This Row],[ÉTAT]],VALUE(RIGHT(Table132[[#This Row],[next move]],1))+1+VALUE(LEFT(Table132[[#This Row],[next move]],1))*3,1)</f>
        <v>V</v>
      </c>
      <c r="I4493" t="str">
        <f>Table132[[#This Row],[ÉTAT]]&amp;Table132[[#This Row],[next move]]</f>
        <v>MEMVEVEVM12</v>
      </c>
    </row>
    <row r="4494" spans="2:9" x14ac:dyDescent="0.25">
      <c r="B4494" t="s">
        <v>212</v>
      </c>
      <c r="C4494" s="22" t="s">
        <v>30</v>
      </c>
      <c r="D4494">
        <v>1</v>
      </c>
      <c r="G4494" s="25">
        <f>Table132[[#This Row],[nb win]]/Table132[[#This Row],[nb play]]</f>
        <v>0</v>
      </c>
      <c r="H4494" t="str">
        <f>MID(Table132[[#This Row],[ÉTAT]],VALUE(RIGHT(Table132[[#This Row],[next move]],1))+1+VALUE(LEFT(Table132[[#This Row],[next move]],1))*3,1)</f>
        <v>V</v>
      </c>
      <c r="I4494" t="str">
        <f>Table132[[#This Row],[ÉTAT]]&amp;Table132[[#This Row],[next move]]</f>
        <v>MEMVEMVVE10</v>
      </c>
    </row>
    <row r="4495" spans="2:9" x14ac:dyDescent="0.25">
      <c r="B4495" t="s">
        <v>212</v>
      </c>
      <c r="C4495" s="22" t="s">
        <v>35</v>
      </c>
      <c r="D4495">
        <v>1</v>
      </c>
      <c r="G4495" s="30">
        <f>Table132[[#This Row],[nb win]]/Table132[[#This Row],[nb play]]</f>
        <v>0</v>
      </c>
      <c r="H4495" t="str">
        <f>MID(Table132[[#This Row],[ÉTAT]],VALUE(RIGHT(Table132[[#This Row],[next move]],1))+1+VALUE(LEFT(Table132[[#This Row],[next move]],1))*3,1)</f>
        <v>V</v>
      </c>
      <c r="I4495" t="str">
        <f>Table132[[#This Row],[ÉTAT]]&amp;Table132[[#This Row],[next move]]</f>
        <v>MEMVEMVVE20</v>
      </c>
    </row>
    <row r="4496" spans="2:9" x14ac:dyDescent="0.25">
      <c r="B4496" t="s">
        <v>3412</v>
      </c>
      <c r="C4496" s="22" t="s">
        <v>30</v>
      </c>
      <c r="D4496">
        <v>1</v>
      </c>
      <c r="G4496" s="30">
        <f>Table132[[#This Row],[nb win]]/Table132[[#This Row],[nb play]]</f>
        <v>0</v>
      </c>
      <c r="H4496" t="str">
        <f>MID(Table132[[#This Row],[ÉTAT]],VALUE(RIGHT(Table132[[#This Row],[next move]],1))+1+VALUE(LEFT(Table132[[#This Row],[next move]],1))*3,1)</f>
        <v>V</v>
      </c>
      <c r="I4496" t="str">
        <f>Table132[[#This Row],[ÉTAT]]&amp;Table132[[#This Row],[next move]]</f>
        <v>MEMVEMEVV10</v>
      </c>
    </row>
    <row r="4497" spans="2:9" x14ac:dyDescent="0.25">
      <c r="B4497" t="s">
        <v>3412</v>
      </c>
      <c r="C4497" s="22" t="s">
        <v>31</v>
      </c>
      <c r="D4497">
        <v>2</v>
      </c>
      <c r="E4497">
        <v>2</v>
      </c>
      <c r="G4497" s="31">
        <f>Table132[[#This Row],[nb win]]/Table132[[#This Row],[nb play]]</f>
        <v>1</v>
      </c>
      <c r="H4497" t="str">
        <f>MID(Table132[[#This Row],[ÉTAT]],VALUE(RIGHT(Table132[[#This Row],[next move]],1))+1+VALUE(LEFT(Table132[[#This Row],[next move]],1))*3,1)</f>
        <v>V</v>
      </c>
      <c r="I4497" t="str">
        <f>Table132[[#This Row],[ÉTAT]]&amp;Table132[[#This Row],[next move]]</f>
        <v>MEMVEMEVV22</v>
      </c>
    </row>
    <row r="4498" spans="2:9" x14ac:dyDescent="0.25">
      <c r="B4498" t="s">
        <v>1969</v>
      </c>
      <c r="C4498" s="22" t="s">
        <v>30</v>
      </c>
      <c r="D4498">
        <v>1</v>
      </c>
      <c r="G4498" s="25">
        <f>Table132[[#This Row],[nb win]]/Table132[[#This Row],[nb play]]</f>
        <v>0</v>
      </c>
      <c r="H4498" t="str">
        <f>MID(Table132[[#This Row],[ÉTAT]],VALUE(RIGHT(Table132[[#This Row],[next move]],1))+1+VALUE(LEFT(Table132[[#This Row],[next move]],1))*3,1)</f>
        <v>V</v>
      </c>
      <c r="I4498" t="str">
        <f>Table132[[#This Row],[ÉTAT]]&amp;Table132[[#This Row],[next move]]</f>
        <v>MEMVEMEVE10</v>
      </c>
    </row>
    <row r="4499" spans="2:9" x14ac:dyDescent="0.25">
      <c r="B4499" t="s">
        <v>1264</v>
      </c>
      <c r="C4499" s="22" t="s">
        <v>30</v>
      </c>
      <c r="D4499">
        <v>1</v>
      </c>
      <c r="G4499" s="25">
        <f>Table132[[#This Row],[nb win]]/Table132[[#This Row],[nb play]]</f>
        <v>0</v>
      </c>
      <c r="H4499" t="str">
        <f>MID(Table132[[#This Row],[ÉTAT]],VALUE(RIGHT(Table132[[#This Row],[next move]],1))+1+VALUE(LEFT(Table132[[#This Row],[next move]],1))*3,1)</f>
        <v>V</v>
      </c>
      <c r="I4499" t="str">
        <f>Table132[[#This Row],[ÉTAT]]&amp;Table132[[#This Row],[next move]]</f>
        <v>MEMVEEVVM10</v>
      </c>
    </row>
    <row r="4500" spans="2:9" x14ac:dyDescent="0.25">
      <c r="B4500" t="s">
        <v>1264</v>
      </c>
      <c r="C4500" s="22" t="s">
        <v>35</v>
      </c>
      <c r="D4500">
        <v>3</v>
      </c>
      <c r="G4500" s="30">
        <f>Table132[[#This Row],[nb win]]/Table132[[#This Row],[nb play]]</f>
        <v>0</v>
      </c>
      <c r="H4500" t="str">
        <f>MID(Table132[[#This Row],[ÉTAT]],VALUE(RIGHT(Table132[[#This Row],[next move]],1))+1+VALUE(LEFT(Table132[[#This Row],[next move]],1))*3,1)</f>
        <v>V</v>
      </c>
      <c r="I4500" t="str">
        <f>Table132[[#This Row],[ÉTAT]]&amp;Table132[[#This Row],[next move]]</f>
        <v>MEMVEEVVM20</v>
      </c>
    </row>
    <row r="4501" spans="2:9" x14ac:dyDescent="0.25">
      <c r="B4501" t="s">
        <v>1264</v>
      </c>
      <c r="C4501" s="22" t="s">
        <v>22</v>
      </c>
      <c r="D4501">
        <v>1</v>
      </c>
      <c r="G4501" s="25">
        <f>Table132[[#This Row],[nb win]]/Table132[[#This Row],[nb play]]</f>
        <v>0</v>
      </c>
      <c r="H4501" t="str">
        <f>MID(Table132[[#This Row],[ÉTAT]],VALUE(RIGHT(Table132[[#This Row],[next move]],1))+1+VALUE(LEFT(Table132[[#This Row],[next move]],1))*3,1)</f>
        <v>V</v>
      </c>
      <c r="I4501" t="str">
        <f>Table132[[#This Row],[ÉTAT]]&amp;Table132[[#This Row],[next move]]</f>
        <v>MEMVEEVVM21</v>
      </c>
    </row>
    <row r="4502" spans="2:9" x14ac:dyDescent="0.25">
      <c r="B4502" t="s">
        <v>3282</v>
      </c>
      <c r="C4502" s="22" t="s">
        <v>31</v>
      </c>
      <c r="D4502">
        <v>1</v>
      </c>
      <c r="G4502" s="30">
        <f>Table132[[#This Row],[nb win]]/Table132[[#This Row],[nb play]]</f>
        <v>0</v>
      </c>
      <c r="H4502" t="str">
        <f>MID(Table132[[#This Row],[ÉTAT]],VALUE(RIGHT(Table132[[#This Row],[next move]],1))+1+VALUE(LEFT(Table132[[#This Row],[next move]],1))*3,1)</f>
        <v>V</v>
      </c>
      <c r="I4502" t="str">
        <f>Table132[[#This Row],[ÉTAT]]&amp;Table132[[#This Row],[next move]]</f>
        <v>MEMVEEVMV22</v>
      </c>
    </row>
    <row r="4503" spans="2:9" x14ac:dyDescent="0.25">
      <c r="B4503" t="s">
        <v>2503</v>
      </c>
      <c r="C4503" s="22" t="s">
        <v>35</v>
      </c>
      <c r="D4503">
        <v>1</v>
      </c>
      <c r="G4503" s="25">
        <f>Table132[[#This Row],[nb win]]/Table132[[#This Row],[nb play]]</f>
        <v>0</v>
      </c>
      <c r="H4503" t="str">
        <f>MID(Table132[[#This Row],[ÉTAT]],VALUE(RIGHT(Table132[[#This Row],[next move]],1))+1+VALUE(LEFT(Table132[[#This Row],[next move]],1))*3,1)</f>
        <v>V</v>
      </c>
      <c r="I4503" t="str">
        <f>Table132[[#This Row],[ÉTAT]]&amp;Table132[[#This Row],[next move]]</f>
        <v>MEMVEEVME20</v>
      </c>
    </row>
    <row r="4504" spans="2:9" x14ac:dyDescent="0.25">
      <c r="B4504" t="s">
        <v>267</v>
      </c>
      <c r="C4504" s="22" t="s">
        <v>30</v>
      </c>
      <c r="D4504">
        <v>1</v>
      </c>
      <c r="E4504">
        <v>1</v>
      </c>
      <c r="G4504" s="25">
        <f>Table132[[#This Row],[nb win]]/Table132[[#This Row],[nb play]]</f>
        <v>1</v>
      </c>
      <c r="H4504" t="str">
        <f>MID(Table132[[#This Row],[ÉTAT]],VALUE(RIGHT(Table132[[#This Row],[next move]],1))+1+VALUE(LEFT(Table132[[#This Row],[next move]],1))*3,1)</f>
        <v>V</v>
      </c>
      <c r="I4504" t="str">
        <f>Table132[[#This Row],[ÉTAT]]&amp;Table132[[#This Row],[next move]]</f>
        <v>MEMVEEMVE10</v>
      </c>
    </row>
    <row r="4505" spans="2:9" x14ac:dyDescent="0.25">
      <c r="B4505" t="s">
        <v>1736</v>
      </c>
      <c r="C4505" s="22" t="s">
        <v>30</v>
      </c>
      <c r="D4505">
        <v>7</v>
      </c>
      <c r="E4505">
        <v>7</v>
      </c>
      <c r="G4505" s="31">
        <f>Table132[[#This Row],[nb win]]/Table132[[#This Row],[nb play]]</f>
        <v>1</v>
      </c>
      <c r="H4505" t="str">
        <f>MID(Table132[[#This Row],[ÉTAT]],VALUE(RIGHT(Table132[[#This Row],[next move]],1))+1+VALUE(LEFT(Table132[[#This Row],[next move]],1))*3,1)</f>
        <v>V</v>
      </c>
      <c r="I4505" t="str">
        <f>Table132[[#This Row],[ÉTAT]]&amp;Table132[[#This Row],[next move]]</f>
        <v>MEMVEEMME10</v>
      </c>
    </row>
    <row r="4506" spans="2:9" x14ac:dyDescent="0.25">
      <c r="B4506" t="s">
        <v>2177</v>
      </c>
      <c r="C4506" s="22" t="s">
        <v>30</v>
      </c>
      <c r="D4506">
        <v>1</v>
      </c>
      <c r="G4506" s="25">
        <f>Table132[[#This Row],[nb win]]/Table132[[#This Row],[nb play]]</f>
        <v>0</v>
      </c>
      <c r="H4506" t="str">
        <f>MID(Table132[[#This Row],[ÉTAT]],VALUE(RIGHT(Table132[[#This Row],[next move]],1))+1+VALUE(LEFT(Table132[[#This Row],[next move]],1))*3,1)</f>
        <v>V</v>
      </c>
      <c r="I4506" t="str">
        <f>Table132[[#This Row],[ÉTAT]]&amp;Table132[[#This Row],[next move]]</f>
        <v>MEMVEEEVM10</v>
      </c>
    </row>
    <row r="4507" spans="2:9" x14ac:dyDescent="0.25">
      <c r="B4507" t="s">
        <v>2177</v>
      </c>
      <c r="C4507" s="22" t="s">
        <v>22</v>
      </c>
      <c r="D4507">
        <v>2</v>
      </c>
      <c r="G4507" s="30">
        <f>Table132[[#This Row],[nb win]]/Table132[[#This Row],[nb play]]</f>
        <v>0</v>
      </c>
      <c r="H4507" t="str">
        <f>MID(Table132[[#This Row],[ÉTAT]],VALUE(RIGHT(Table132[[#This Row],[next move]],1))+1+VALUE(LEFT(Table132[[#This Row],[next move]],1))*3,1)</f>
        <v>V</v>
      </c>
      <c r="I4507" t="str">
        <f>Table132[[#This Row],[ÉTAT]]&amp;Table132[[#This Row],[next move]]</f>
        <v>MEMVEEEVM21</v>
      </c>
    </row>
    <row r="4508" spans="2:9" x14ac:dyDescent="0.25">
      <c r="B4508" t="s">
        <v>277</v>
      </c>
      <c r="C4508" s="22" t="s">
        <v>29</v>
      </c>
      <c r="D4508">
        <v>2</v>
      </c>
      <c r="G4508" s="30">
        <f>Table132[[#This Row],[nb win]]/Table132[[#This Row],[nb play]]</f>
        <v>0</v>
      </c>
      <c r="H4508" t="str">
        <f>MID(Table132[[#This Row],[ÉTAT]],VALUE(RIGHT(Table132[[#This Row],[next move]],1))+1+VALUE(LEFT(Table132[[#This Row],[next move]],1))*3,1)</f>
        <v>V</v>
      </c>
      <c r="I4508" t="str">
        <f>Table132[[#This Row],[ÉTAT]]&amp;Table132[[#This Row],[next move]]</f>
        <v>MEMMVVVEE11</v>
      </c>
    </row>
    <row r="4509" spans="2:9" x14ac:dyDescent="0.25">
      <c r="B4509" t="s">
        <v>277</v>
      </c>
      <c r="C4509" s="22" t="s">
        <v>28</v>
      </c>
      <c r="D4509">
        <v>2</v>
      </c>
      <c r="G4509" s="30">
        <f>Table132[[#This Row],[nb win]]/Table132[[#This Row],[nb play]]</f>
        <v>0</v>
      </c>
      <c r="H4509" t="str">
        <f>MID(Table132[[#This Row],[ÉTAT]],VALUE(RIGHT(Table132[[#This Row],[next move]],1))+1+VALUE(LEFT(Table132[[#This Row],[next move]],1))*3,1)</f>
        <v>V</v>
      </c>
      <c r="I4509" t="str">
        <f>Table132[[#This Row],[ÉTAT]]&amp;Table132[[#This Row],[next move]]</f>
        <v>MEMMVVVEE12</v>
      </c>
    </row>
    <row r="4510" spans="2:9" x14ac:dyDescent="0.25">
      <c r="B4510" t="s">
        <v>277</v>
      </c>
      <c r="C4510" s="22" t="s">
        <v>35</v>
      </c>
      <c r="D4510">
        <v>2</v>
      </c>
      <c r="E4510">
        <v>2</v>
      </c>
      <c r="G4510" s="25">
        <f>Table132[[#This Row],[nb win]]/Table132[[#This Row],[nb play]]</f>
        <v>1</v>
      </c>
      <c r="H4510" t="str">
        <f>MID(Table132[[#This Row],[ÉTAT]],VALUE(RIGHT(Table132[[#This Row],[next move]],1))+1+VALUE(LEFT(Table132[[#This Row],[next move]],1))*3,1)</f>
        <v>V</v>
      </c>
      <c r="I4510" t="str">
        <f>Table132[[#This Row],[ÉTAT]]&amp;Table132[[#This Row],[next move]]</f>
        <v>MEMMVVVEE20</v>
      </c>
    </row>
    <row r="4511" spans="2:9" x14ac:dyDescent="0.25">
      <c r="B4511" t="s">
        <v>1688</v>
      </c>
      <c r="C4511" s="22" t="s">
        <v>29</v>
      </c>
      <c r="D4511">
        <v>3</v>
      </c>
      <c r="G4511" s="30">
        <f>Table132[[#This Row],[nb win]]/Table132[[#This Row],[nb play]]</f>
        <v>0</v>
      </c>
      <c r="H4511" t="str">
        <f>MID(Table132[[#This Row],[ÉTAT]],VALUE(RIGHT(Table132[[#This Row],[next move]],1))+1+VALUE(LEFT(Table132[[#This Row],[next move]],1))*3,1)</f>
        <v>V</v>
      </c>
      <c r="I4511" t="str">
        <f>Table132[[#This Row],[ÉTAT]]&amp;Table132[[#This Row],[next move]]</f>
        <v>MEMMVVEEV11</v>
      </c>
    </row>
    <row r="4512" spans="2:9" x14ac:dyDescent="0.25">
      <c r="B4512" t="s">
        <v>1688</v>
      </c>
      <c r="C4512" s="22" t="s">
        <v>28</v>
      </c>
      <c r="D4512">
        <v>2</v>
      </c>
      <c r="G4512" s="30">
        <f>Table132[[#This Row],[nb win]]/Table132[[#This Row],[nb play]]</f>
        <v>0</v>
      </c>
      <c r="H4512" t="str">
        <f>MID(Table132[[#This Row],[ÉTAT]],VALUE(RIGHT(Table132[[#This Row],[next move]],1))+1+VALUE(LEFT(Table132[[#This Row],[next move]],1))*3,1)</f>
        <v>V</v>
      </c>
      <c r="I4512" t="str">
        <f>Table132[[#This Row],[ÉTAT]]&amp;Table132[[#This Row],[next move]]</f>
        <v>MEMMVVEEV12</v>
      </c>
    </row>
    <row r="4513" spans="2:9" x14ac:dyDescent="0.25">
      <c r="B4513" t="s">
        <v>1688</v>
      </c>
      <c r="C4513" s="22" t="s">
        <v>31</v>
      </c>
      <c r="D4513">
        <v>2</v>
      </c>
      <c r="E4513">
        <v>1</v>
      </c>
      <c r="G4513" s="30">
        <f>Table132[[#This Row],[nb win]]/Table132[[#This Row],[nb play]]</f>
        <v>0.5</v>
      </c>
      <c r="H4513" t="str">
        <f>MID(Table132[[#This Row],[ÉTAT]],VALUE(RIGHT(Table132[[#This Row],[next move]],1))+1+VALUE(LEFT(Table132[[#This Row],[next move]],1))*3,1)</f>
        <v>V</v>
      </c>
      <c r="I4513" t="str">
        <f>Table132[[#This Row],[ÉTAT]]&amp;Table132[[#This Row],[next move]]</f>
        <v>MEMMVVEEV22</v>
      </c>
    </row>
    <row r="4514" spans="2:9" x14ac:dyDescent="0.25">
      <c r="B4514" t="s">
        <v>2960</v>
      </c>
      <c r="C4514" s="22" t="s">
        <v>22</v>
      </c>
      <c r="D4514">
        <v>1</v>
      </c>
      <c r="E4514">
        <v>1</v>
      </c>
      <c r="G4514" s="31">
        <f>Table132[[#This Row],[nb win]]/Table132[[#This Row],[nb play]]</f>
        <v>1</v>
      </c>
      <c r="H4514" t="str">
        <f>MID(Table132[[#This Row],[ÉTAT]],VALUE(RIGHT(Table132[[#This Row],[next move]],1))+1+VALUE(LEFT(Table132[[#This Row],[next move]],1))*3,1)</f>
        <v>V</v>
      </c>
      <c r="I4514" t="str">
        <f>Table132[[#This Row],[ÉTAT]]&amp;Table132[[#This Row],[next move]]</f>
        <v>MEMMVEVVE21</v>
      </c>
    </row>
    <row r="4515" spans="2:9" x14ac:dyDescent="0.25">
      <c r="B4515" t="s">
        <v>970</v>
      </c>
      <c r="C4515" s="22" t="s">
        <v>35</v>
      </c>
      <c r="D4515">
        <v>3</v>
      </c>
      <c r="E4515">
        <v>3</v>
      </c>
      <c r="G4515" s="31">
        <f>Table132[[#This Row],[nb win]]/Table132[[#This Row],[nb play]]</f>
        <v>1</v>
      </c>
      <c r="H4515" t="str">
        <f>MID(Table132[[#This Row],[ÉTAT]],VALUE(RIGHT(Table132[[#This Row],[next move]],1))+1+VALUE(LEFT(Table132[[#This Row],[next move]],1))*3,1)</f>
        <v>V</v>
      </c>
      <c r="I4515" t="str">
        <f>Table132[[#This Row],[ÉTAT]]&amp;Table132[[#This Row],[next move]]</f>
        <v>MEMMVEVEV20</v>
      </c>
    </row>
    <row r="4516" spans="2:9" x14ac:dyDescent="0.25">
      <c r="B4516" t="s">
        <v>3332</v>
      </c>
      <c r="C4516" s="22" t="s">
        <v>35</v>
      </c>
      <c r="D4516">
        <v>1</v>
      </c>
      <c r="E4516">
        <v>1</v>
      </c>
      <c r="G4516" s="31">
        <f>Table132[[#This Row],[nb win]]/Table132[[#This Row],[nb play]]</f>
        <v>1</v>
      </c>
      <c r="H4516" t="str">
        <f>MID(Table132[[#This Row],[ÉTAT]],VALUE(RIGHT(Table132[[#This Row],[next move]],1))+1+VALUE(LEFT(Table132[[#This Row],[next move]],1))*3,1)</f>
        <v>V</v>
      </c>
      <c r="I4516" t="str">
        <f>Table132[[#This Row],[ÉTAT]]&amp;Table132[[#This Row],[next move]]</f>
        <v>MEMMVEVEE20</v>
      </c>
    </row>
    <row r="4517" spans="2:9" x14ac:dyDescent="0.25">
      <c r="B4517" t="s">
        <v>2512</v>
      </c>
      <c r="C4517" s="22" t="s">
        <v>29</v>
      </c>
      <c r="D4517">
        <v>1</v>
      </c>
      <c r="G4517" s="25">
        <f>Table132[[#This Row],[nb win]]/Table132[[#This Row],[nb play]]</f>
        <v>0</v>
      </c>
      <c r="H4517" t="str">
        <f>MID(Table132[[#This Row],[ÉTAT]],VALUE(RIGHT(Table132[[#This Row],[next move]],1))+1+VALUE(LEFT(Table132[[#This Row],[next move]],1))*3,1)</f>
        <v>V</v>
      </c>
      <c r="I4517" t="str">
        <f>Table132[[#This Row],[ÉTAT]]&amp;Table132[[#This Row],[next move]]</f>
        <v>MEMMVEEVE11</v>
      </c>
    </row>
    <row r="4518" spans="2:9" x14ac:dyDescent="0.25">
      <c r="B4518" t="s">
        <v>1461</v>
      </c>
      <c r="C4518" s="22" t="s">
        <v>29</v>
      </c>
      <c r="D4518">
        <v>2</v>
      </c>
      <c r="E4518">
        <v>2</v>
      </c>
      <c r="G4518" s="31">
        <f>Table132[[#This Row],[nb win]]/Table132[[#This Row],[nb play]]</f>
        <v>1</v>
      </c>
      <c r="H4518" t="str">
        <f>MID(Table132[[#This Row],[ÉTAT]],VALUE(RIGHT(Table132[[#This Row],[next move]],1))+1+VALUE(LEFT(Table132[[#This Row],[next move]],1))*3,1)</f>
        <v>V</v>
      </c>
      <c r="I4518" t="str">
        <f>Table132[[#This Row],[ÉTAT]]&amp;Table132[[#This Row],[next move]]</f>
        <v>MEMMVEEEM11</v>
      </c>
    </row>
    <row r="4519" spans="2:9" x14ac:dyDescent="0.25">
      <c r="B4519" t="s">
        <v>107</v>
      </c>
      <c r="C4519" s="22" t="s">
        <v>35</v>
      </c>
      <c r="D4519">
        <v>1</v>
      </c>
      <c r="E4519">
        <v>1</v>
      </c>
      <c r="G4519" s="25">
        <f>Table132[[#This Row],[nb win]]/Table132[[#This Row],[nb play]]</f>
        <v>1</v>
      </c>
      <c r="H4519" t="str">
        <f>MID(Table132[[#This Row],[ÉTAT]],VALUE(RIGHT(Table132[[#This Row],[next move]],1))+1+VALUE(LEFT(Table132[[#This Row],[next move]],1))*3,1)</f>
        <v>V</v>
      </c>
      <c r="I4519" t="str">
        <f>Table132[[#This Row],[ÉTAT]]&amp;Table132[[#This Row],[next move]]</f>
        <v>MEMMMEVEE20</v>
      </c>
    </row>
    <row r="4520" spans="2:9" x14ac:dyDescent="0.25">
      <c r="B4520" t="s">
        <v>160</v>
      </c>
      <c r="C4520" s="22" t="s">
        <v>31</v>
      </c>
      <c r="D4520">
        <v>3</v>
      </c>
      <c r="E4520">
        <v>3</v>
      </c>
      <c r="G4520" s="31">
        <f>Table132[[#This Row],[nb win]]/Table132[[#This Row],[nb play]]</f>
        <v>1</v>
      </c>
      <c r="H4520" t="str">
        <f>MID(Table132[[#This Row],[ÉTAT]],VALUE(RIGHT(Table132[[#This Row],[next move]],1))+1+VALUE(LEFT(Table132[[#This Row],[next move]],1))*3,1)</f>
        <v>V</v>
      </c>
      <c r="I4520" t="str">
        <f>Table132[[#This Row],[ÉTAT]]&amp;Table132[[#This Row],[next move]]</f>
        <v>MEMMMEEEV22</v>
      </c>
    </row>
    <row r="4521" spans="2:9" x14ac:dyDescent="0.25">
      <c r="B4521" t="s">
        <v>1005</v>
      </c>
      <c r="C4521" s="22" t="s">
        <v>28</v>
      </c>
      <c r="D4521">
        <v>1</v>
      </c>
      <c r="G4521" s="25">
        <f>Table132[[#This Row],[nb win]]/Table132[[#This Row],[nb play]]</f>
        <v>0</v>
      </c>
      <c r="H4521" t="str">
        <f>MID(Table132[[#This Row],[ÉTAT]],VALUE(RIGHT(Table132[[#This Row],[next move]],1))+1+VALUE(LEFT(Table132[[#This Row],[next move]],1))*3,1)</f>
        <v>V</v>
      </c>
      <c r="I4521" t="str">
        <f>Table132[[#This Row],[ÉTAT]]&amp;Table132[[#This Row],[next move]]</f>
        <v>MEMMEVVVE12</v>
      </c>
    </row>
    <row r="4522" spans="2:9" x14ac:dyDescent="0.25">
      <c r="B4522" t="s">
        <v>1005</v>
      </c>
      <c r="C4522" s="22" t="s">
        <v>35</v>
      </c>
      <c r="D4522">
        <v>4</v>
      </c>
      <c r="E4522">
        <v>4</v>
      </c>
      <c r="G4522" s="31">
        <f>Table132[[#This Row],[nb win]]/Table132[[#This Row],[nb play]]</f>
        <v>1</v>
      </c>
      <c r="H4522" t="str">
        <f>MID(Table132[[#This Row],[ÉTAT]],VALUE(RIGHT(Table132[[#This Row],[next move]],1))+1+VALUE(LEFT(Table132[[#This Row],[next move]],1))*3,1)</f>
        <v>V</v>
      </c>
      <c r="I4522" t="str">
        <f>Table132[[#This Row],[ÉTAT]]&amp;Table132[[#This Row],[next move]]</f>
        <v>MEMMEVVVE20</v>
      </c>
    </row>
    <row r="4523" spans="2:9" x14ac:dyDescent="0.25">
      <c r="B4523" t="s">
        <v>3463</v>
      </c>
      <c r="C4523" s="22" t="s">
        <v>28</v>
      </c>
      <c r="D4523">
        <v>1</v>
      </c>
      <c r="G4523" s="30">
        <f>Table132[[#This Row],[nb win]]/Table132[[#This Row],[nb play]]</f>
        <v>0</v>
      </c>
      <c r="H4523" t="str">
        <f>MID(Table132[[#This Row],[ÉTAT]],VALUE(RIGHT(Table132[[#This Row],[next move]],1))+1+VALUE(LEFT(Table132[[#This Row],[next move]],1))*3,1)</f>
        <v>V</v>
      </c>
      <c r="I4523" t="str">
        <f>Table132[[#This Row],[ÉTAT]]&amp;Table132[[#This Row],[next move]]</f>
        <v>MEMMEVEVV12</v>
      </c>
    </row>
    <row r="4524" spans="2:9" x14ac:dyDescent="0.25">
      <c r="B4524" t="s">
        <v>2925</v>
      </c>
      <c r="C4524" s="22" t="s">
        <v>35</v>
      </c>
      <c r="D4524">
        <v>2</v>
      </c>
      <c r="E4524">
        <v>2</v>
      </c>
      <c r="G4524" s="31">
        <f>Table132[[#This Row],[nb win]]/Table132[[#This Row],[nb play]]</f>
        <v>1</v>
      </c>
      <c r="H4524" t="str">
        <f>MID(Table132[[#This Row],[ÉTAT]],VALUE(RIGHT(Table132[[#This Row],[next move]],1))+1+VALUE(LEFT(Table132[[#This Row],[next move]],1))*3,1)</f>
        <v>V</v>
      </c>
      <c r="I4524" t="str">
        <f>Table132[[#This Row],[ÉTAT]]&amp;Table132[[#This Row],[next move]]</f>
        <v>MEMMEEVVV20</v>
      </c>
    </row>
    <row r="4525" spans="2:9" x14ac:dyDescent="0.25">
      <c r="B4525" t="s">
        <v>1490</v>
      </c>
      <c r="C4525" s="22" t="s">
        <v>35</v>
      </c>
      <c r="D4525">
        <v>3</v>
      </c>
      <c r="E4525">
        <v>3</v>
      </c>
      <c r="G4525" s="31">
        <f>Table132[[#This Row],[nb win]]/Table132[[#This Row],[nb play]]</f>
        <v>1</v>
      </c>
      <c r="H4525" t="str">
        <f>MID(Table132[[#This Row],[ÉTAT]],VALUE(RIGHT(Table132[[#This Row],[next move]],1))+1+VALUE(LEFT(Table132[[#This Row],[next move]],1))*3,1)</f>
        <v>V</v>
      </c>
      <c r="I4525" t="str">
        <f>Table132[[#This Row],[ÉTAT]]&amp;Table132[[#This Row],[next move]]</f>
        <v>MEMMEEVME20</v>
      </c>
    </row>
    <row r="4526" spans="2:9" x14ac:dyDescent="0.25">
      <c r="B4526" t="s">
        <v>1723</v>
      </c>
      <c r="C4526" s="22" t="s">
        <v>31</v>
      </c>
      <c r="D4526">
        <v>1</v>
      </c>
      <c r="G4526" s="25">
        <f>Table132[[#This Row],[nb win]]/Table132[[#This Row],[nb play]]</f>
        <v>0</v>
      </c>
      <c r="H4526" t="str">
        <f>MID(Table132[[#This Row],[ÉTAT]],VALUE(RIGHT(Table132[[#This Row],[next move]],1))+1+VALUE(LEFT(Table132[[#This Row],[next move]],1))*3,1)</f>
        <v>V</v>
      </c>
      <c r="I4526" t="str">
        <f>Table132[[#This Row],[ÉTAT]]&amp;Table132[[#This Row],[next move]]</f>
        <v>MEMMEEEVV22</v>
      </c>
    </row>
    <row r="4527" spans="2:9" x14ac:dyDescent="0.25">
      <c r="B4527" t="s">
        <v>331</v>
      </c>
      <c r="C4527" s="22" t="s">
        <v>28</v>
      </c>
      <c r="D4527">
        <v>2</v>
      </c>
      <c r="E4527">
        <v>2</v>
      </c>
      <c r="G4527" s="31">
        <f>Table132[[#This Row],[nb win]]/Table132[[#This Row],[nb play]]</f>
        <v>1</v>
      </c>
      <c r="H4527" t="str">
        <f>MID(Table132[[#This Row],[ÉTAT]],VALUE(RIGHT(Table132[[#This Row],[next move]],1))+1+VALUE(LEFT(Table132[[#This Row],[next move]],1))*3,1)</f>
        <v>V</v>
      </c>
      <c r="I4527" t="str">
        <f>Table132[[#This Row],[ÉTAT]]&amp;Table132[[#This Row],[next move]]</f>
        <v>MEMEVVVVV12</v>
      </c>
    </row>
    <row r="4528" spans="2:9" x14ac:dyDescent="0.25">
      <c r="B4528" t="s">
        <v>863</v>
      </c>
      <c r="C4528" s="22" t="s">
        <v>29</v>
      </c>
      <c r="D4528">
        <v>1</v>
      </c>
      <c r="E4528">
        <v>1</v>
      </c>
      <c r="G4528" s="25">
        <f>Table132[[#This Row],[nb win]]/Table132[[#This Row],[nb play]]</f>
        <v>1</v>
      </c>
      <c r="H4528" t="str">
        <f>MID(Table132[[#This Row],[ÉTAT]],VALUE(RIGHT(Table132[[#This Row],[next move]],1))+1+VALUE(LEFT(Table132[[#This Row],[next move]],1))*3,1)</f>
        <v>V</v>
      </c>
      <c r="I4528" t="str">
        <f>Table132[[#This Row],[ÉTAT]]&amp;Table132[[#This Row],[next move]]</f>
        <v>MEMEVVVVE11</v>
      </c>
    </row>
    <row r="4529" spans="2:9" x14ac:dyDescent="0.25">
      <c r="B4529" t="s">
        <v>863</v>
      </c>
      <c r="C4529" s="22" t="s">
        <v>28</v>
      </c>
      <c r="D4529">
        <v>2</v>
      </c>
      <c r="G4529" s="25">
        <f>Table132[[#This Row],[nb win]]/Table132[[#This Row],[nb play]]</f>
        <v>0</v>
      </c>
      <c r="H4529" t="str">
        <f>MID(Table132[[#This Row],[ÉTAT]],VALUE(RIGHT(Table132[[#This Row],[next move]],1))+1+VALUE(LEFT(Table132[[#This Row],[next move]],1))*3,1)</f>
        <v>V</v>
      </c>
      <c r="I4529" t="str">
        <f>Table132[[#This Row],[ÉTAT]]&amp;Table132[[#This Row],[next move]]</f>
        <v>MEMEVVVVE12</v>
      </c>
    </row>
    <row r="4530" spans="2:9" x14ac:dyDescent="0.25">
      <c r="B4530" t="s">
        <v>863</v>
      </c>
      <c r="C4530" s="22" t="s">
        <v>35</v>
      </c>
      <c r="D4530">
        <v>3</v>
      </c>
      <c r="E4530">
        <v>2</v>
      </c>
      <c r="G4530" s="31">
        <f>Table132[[#This Row],[nb win]]/Table132[[#This Row],[nb play]]</f>
        <v>0.66666666666666663</v>
      </c>
      <c r="H4530" t="str">
        <f>MID(Table132[[#This Row],[ÉTAT]],VALUE(RIGHT(Table132[[#This Row],[next move]],1))+1+VALUE(LEFT(Table132[[#This Row],[next move]],1))*3,1)</f>
        <v>V</v>
      </c>
      <c r="I4530" t="str">
        <f>Table132[[#This Row],[ÉTAT]]&amp;Table132[[#This Row],[next move]]</f>
        <v>MEMEVVVVE20</v>
      </c>
    </row>
    <row r="4531" spans="2:9" x14ac:dyDescent="0.25">
      <c r="B4531" t="s">
        <v>3230</v>
      </c>
      <c r="C4531" s="22" t="s">
        <v>28</v>
      </c>
      <c r="D4531">
        <v>1</v>
      </c>
      <c r="G4531" s="30">
        <f>Table132[[#This Row],[nb win]]/Table132[[#This Row],[nb play]]</f>
        <v>0</v>
      </c>
      <c r="H4531" t="str">
        <f>MID(Table132[[#This Row],[ÉTAT]],VALUE(RIGHT(Table132[[#This Row],[next move]],1))+1+VALUE(LEFT(Table132[[#This Row],[next move]],1))*3,1)</f>
        <v>V</v>
      </c>
      <c r="I4531" t="str">
        <f>Table132[[#This Row],[ÉTAT]]&amp;Table132[[#This Row],[next move]]</f>
        <v>MEMEVVVEV12</v>
      </c>
    </row>
    <row r="4532" spans="2:9" x14ac:dyDescent="0.25">
      <c r="B4532" t="s">
        <v>3230</v>
      </c>
      <c r="C4532" s="22" t="s">
        <v>35</v>
      </c>
      <c r="D4532">
        <v>1</v>
      </c>
      <c r="E4532">
        <v>1</v>
      </c>
      <c r="G4532" s="31">
        <f>Table132[[#This Row],[nb win]]/Table132[[#This Row],[nb play]]</f>
        <v>1</v>
      </c>
      <c r="H4532" t="str">
        <f>MID(Table132[[#This Row],[ÉTAT]],VALUE(RIGHT(Table132[[#This Row],[next move]],1))+1+VALUE(LEFT(Table132[[#This Row],[next move]],1))*3,1)</f>
        <v>V</v>
      </c>
      <c r="I4532" t="str">
        <f>Table132[[#This Row],[ÉTAT]]&amp;Table132[[#This Row],[next move]]</f>
        <v>MEMEVVVEV20</v>
      </c>
    </row>
    <row r="4533" spans="2:9" x14ac:dyDescent="0.25">
      <c r="B4533" t="s">
        <v>2194</v>
      </c>
      <c r="C4533" s="22" t="s">
        <v>28</v>
      </c>
      <c r="D4533">
        <v>1</v>
      </c>
      <c r="E4533">
        <v>1</v>
      </c>
      <c r="G4533" s="25">
        <f>Table132[[#This Row],[nb win]]/Table132[[#This Row],[nb play]]</f>
        <v>1</v>
      </c>
      <c r="H4533" t="str">
        <f>MID(Table132[[#This Row],[ÉTAT]],VALUE(RIGHT(Table132[[#This Row],[next move]],1))+1+VALUE(LEFT(Table132[[#This Row],[next move]],1))*3,1)</f>
        <v>V</v>
      </c>
      <c r="I4533" t="str">
        <f>Table132[[#This Row],[ÉTAT]]&amp;Table132[[#This Row],[next move]]</f>
        <v>MEMEVVVEM12</v>
      </c>
    </row>
    <row r="4534" spans="2:9" x14ac:dyDescent="0.25">
      <c r="B4534" t="s">
        <v>2842</v>
      </c>
      <c r="C4534" s="22" t="s">
        <v>29</v>
      </c>
      <c r="D4534">
        <v>2</v>
      </c>
      <c r="E4534">
        <v>2</v>
      </c>
      <c r="G4534" s="31">
        <f>Table132[[#This Row],[nb win]]/Table132[[#This Row],[nb play]]</f>
        <v>1</v>
      </c>
      <c r="H4534" t="str">
        <f>MID(Table132[[#This Row],[ÉTAT]],VALUE(RIGHT(Table132[[#This Row],[next move]],1))+1+VALUE(LEFT(Table132[[#This Row],[next move]],1))*3,1)</f>
        <v>V</v>
      </c>
      <c r="I4534" t="str">
        <f>Table132[[#This Row],[ÉTAT]]&amp;Table132[[#This Row],[next move]]</f>
        <v>MEMEVVMVE11</v>
      </c>
    </row>
    <row r="4535" spans="2:9" x14ac:dyDescent="0.25">
      <c r="B4535" t="s">
        <v>3182</v>
      </c>
      <c r="C4535" s="22" t="s">
        <v>29</v>
      </c>
      <c r="D4535">
        <v>2</v>
      </c>
      <c r="E4535">
        <v>2</v>
      </c>
      <c r="G4535" s="31">
        <f>Table132[[#This Row],[nb win]]/Table132[[#This Row],[nb play]]</f>
        <v>1</v>
      </c>
      <c r="H4535" t="str">
        <f>MID(Table132[[#This Row],[ÉTAT]],VALUE(RIGHT(Table132[[#This Row],[next move]],1))+1+VALUE(LEFT(Table132[[#This Row],[next move]],1))*3,1)</f>
        <v>V</v>
      </c>
      <c r="I4535" t="str">
        <f>Table132[[#This Row],[ÉTAT]]&amp;Table132[[#This Row],[next move]]</f>
        <v>MEMEVVMEE11</v>
      </c>
    </row>
    <row r="4536" spans="2:9" x14ac:dyDescent="0.25">
      <c r="B4536" t="s">
        <v>2215</v>
      </c>
      <c r="C4536" s="22" t="s">
        <v>29</v>
      </c>
      <c r="D4536">
        <v>2</v>
      </c>
      <c r="E4536">
        <v>2</v>
      </c>
      <c r="G4536" s="31">
        <f>Table132[[#This Row],[nb win]]/Table132[[#This Row],[nb play]]</f>
        <v>1</v>
      </c>
      <c r="H4536" t="str">
        <f>MID(Table132[[#This Row],[ÉTAT]],VALUE(RIGHT(Table132[[#This Row],[next move]],1))+1+VALUE(LEFT(Table132[[#This Row],[next move]],1))*3,1)</f>
        <v>V</v>
      </c>
      <c r="I4536" t="str">
        <f>Table132[[#This Row],[ÉTAT]]&amp;Table132[[#This Row],[next move]]</f>
        <v>MEMEVVEVV11</v>
      </c>
    </row>
    <row r="4537" spans="2:9" x14ac:dyDescent="0.25">
      <c r="B4537" t="s">
        <v>824</v>
      </c>
      <c r="C4537" s="22" t="s">
        <v>28</v>
      </c>
      <c r="D4537">
        <v>1</v>
      </c>
      <c r="E4537">
        <v>1</v>
      </c>
      <c r="G4537" s="25">
        <f>Table132[[#This Row],[nb win]]/Table132[[#This Row],[nb play]]</f>
        <v>1</v>
      </c>
      <c r="H4537" t="str">
        <f>MID(Table132[[#This Row],[ÉTAT]],VALUE(RIGHT(Table132[[#This Row],[next move]],1))+1+VALUE(LEFT(Table132[[#This Row],[next move]],1))*3,1)</f>
        <v>V</v>
      </c>
      <c r="I4537" t="str">
        <f>Table132[[#This Row],[ÉTAT]]&amp;Table132[[#This Row],[next move]]</f>
        <v>MEMEVVEMV12</v>
      </c>
    </row>
    <row r="4538" spans="2:9" x14ac:dyDescent="0.25">
      <c r="B4538" t="s">
        <v>3511</v>
      </c>
      <c r="C4538" s="22" t="s">
        <v>29</v>
      </c>
      <c r="D4538">
        <v>1</v>
      </c>
      <c r="E4538">
        <v>1</v>
      </c>
      <c r="G4538" s="31">
        <f>Table132[[#This Row],[nb win]]/Table132[[#This Row],[nb play]]</f>
        <v>1</v>
      </c>
      <c r="H4538" t="str">
        <f>MID(Table132[[#This Row],[ÉTAT]],VALUE(RIGHT(Table132[[#This Row],[next move]],1))+1+VALUE(LEFT(Table132[[#This Row],[next move]],1))*3,1)</f>
        <v>V</v>
      </c>
      <c r="I4538" t="str">
        <f>Table132[[#This Row],[ÉTAT]]&amp;Table132[[#This Row],[next move]]</f>
        <v>MEMEVMVVE11</v>
      </c>
    </row>
    <row r="4539" spans="2:9" x14ac:dyDescent="0.25">
      <c r="B4539" t="s">
        <v>333</v>
      </c>
      <c r="C4539" s="22" t="s">
        <v>29</v>
      </c>
      <c r="D4539">
        <v>7</v>
      </c>
      <c r="E4539">
        <v>7</v>
      </c>
      <c r="G4539" s="31">
        <f>Table132[[#This Row],[nb win]]/Table132[[#This Row],[nb play]]</f>
        <v>1</v>
      </c>
      <c r="H4539" t="str">
        <f>MID(Table132[[#This Row],[ÉTAT]],VALUE(RIGHT(Table132[[#This Row],[next move]],1))+1+VALUE(LEFT(Table132[[#This Row],[next move]],1))*3,1)</f>
        <v>V</v>
      </c>
      <c r="I4539" t="str">
        <f>Table132[[#This Row],[ÉTAT]]&amp;Table132[[#This Row],[next move]]</f>
        <v>MEMEVMVEV11</v>
      </c>
    </row>
    <row r="4540" spans="2:9" x14ac:dyDescent="0.25">
      <c r="B4540" t="s">
        <v>865</v>
      </c>
      <c r="C4540" s="22" t="s">
        <v>29</v>
      </c>
      <c r="D4540">
        <v>4</v>
      </c>
      <c r="G4540" s="30">
        <f>Table132[[#This Row],[nb win]]/Table132[[#This Row],[nb play]]</f>
        <v>0</v>
      </c>
      <c r="H4540" t="str">
        <f>MID(Table132[[#This Row],[ÉTAT]],VALUE(RIGHT(Table132[[#This Row],[next move]],1))+1+VALUE(LEFT(Table132[[#This Row],[next move]],1))*3,1)</f>
        <v>V</v>
      </c>
      <c r="I4540" t="str">
        <f>Table132[[#This Row],[ÉTAT]]&amp;Table132[[#This Row],[next move]]</f>
        <v>MEMEVMVEE11</v>
      </c>
    </row>
    <row r="4541" spans="2:9" x14ac:dyDescent="0.25">
      <c r="B4541" t="s">
        <v>865</v>
      </c>
      <c r="C4541" s="22" t="s">
        <v>35</v>
      </c>
      <c r="D4541">
        <v>4</v>
      </c>
      <c r="G4541" s="25">
        <f>Table132[[#This Row],[nb win]]/Table132[[#This Row],[nb play]]</f>
        <v>0</v>
      </c>
      <c r="H4541" t="str">
        <f>MID(Table132[[#This Row],[ÉTAT]],VALUE(RIGHT(Table132[[#This Row],[next move]],1))+1+VALUE(LEFT(Table132[[#This Row],[next move]],1))*3,1)</f>
        <v>V</v>
      </c>
      <c r="I4541" t="str">
        <f>Table132[[#This Row],[ÉTAT]]&amp;Table132[[#This Row],[next move]]</f>
        <v>MEMEVMVEE20</v>
      </c>
    </row>
    <row r="4542" spans="2:9" x14ac:dyDescent="0.25">
      <c r="B4542" t="s">
        <v>334</v>
      </c>
      <c r="C4542" s="22" t="s">
        <v>29</v>
      </c>
      <c r="D4542">
        <v>6</v>
      </c>
      <c r="E4542">
        <v>6</v>
      </c>
      <c r="G4542" s="31">
        <f>Table132[[#This Row],[nb win]]/Table132[[#This Row],[nb play]]</f>
        <v>1</v>
      </c>
      <c r="H4542" t="str">
        <f>MID(Table132[[#This Row],[ÉTAT]],VALUE(RIGHT(Table132[[#This Row],[next move]],1))+1+VALUE(LEFT(Table132[[#This Row],[next move]],1))*3,1)</f>
        <v>V</v>
      </c>
      <c r="I4542" t="str">
        <f>Table132[[#This Row],[ÉTAT]]&amp;Table132[[#This Row],[next move]]</f>
        <v>MEMEVMMEE11</v>
      </c>
    </row>
    <row r="4543" spans="2:9" x14ac:dyDescent="0.25">
      <c r="B4543" t="s">
        <v>2497</v>
      </c>
      <c r="C4543" s="22" t="s">
        <v>31</v>
      </c>
      <c r="D4543">
        <v>2</v>
      </c>
      <c r="E4543">
        <v>2</v>
      </c>
      <c r="G4543" s="25">
        <f>Table132[[#This Row],[nb win]]/Table132[[#This Row],[nb play]]</f>
        <v>1</v>
      </c>
      <c r="H4543" t="str">
        <f>MID(Table132[[#This Row],[ÉTAT]],VALUE(RIGHT(Table132[[#This Row],[next move]],1))+1+VALUE(LEFT(Table132[[#This Row],[next move]],1))*3,1)</f>
        <v>V</v>
      </c>
      <c r="I4543" t="str">
        <f>Table132[[#This Row],[ÉTAT]]&amp;Table132[[#This Row],[next move]]</f>
        <v>MEMEVMEEV22</v>
      </c>
    </row>
    <row r="4544" spans="2:9" x14ac:dyDescent="0.25">
      <c r="B4544" t="s">
        <v>2319</v>
      </c>
      <c r="C4544" s="22" t="s">
        <v>35</v>
      </c>
      <c r="D4544">
        <v>2</v>
      </c>
      <c r="E4544">
        <v>1</v>
      </c>
      <c r="G4544" s="30">
        <f>Table132[[#This Row],[nb win]]/Table132[[#This Row],[nb play]]</f>
        <v>0.5</v>
      </c>
      <c r="H4544" t="str">
        <f>MID(Table132[[#This Row],[ÉTAT]],VALUE(RIGHT(Table132[[#This Row],[next move]],1))+1+VALUE(LEFT(Table132[[#This Row],[next move]],1))*3,1)</f>
        <v>V</v>
      </c>
      <c r="I4544" t="str">
        <f>Table132[[#This Row],[ÉTAT]]&amp;Table132[[#This Row],[next move]]</f>
        <v>MEMEVEVVV20</v>
      </c>
    </row>
    <row r="4545" spans="2:9" x14ac:dyDescent="0.25">
      <c r="B4545" t="s">
        <v>2319</v>
      </c>
      <c r="C4545" s="22" t="s">
        <v>22</v>
      </c>
      <c r="D4545">
        <v>1</v>
      </c>
      <c r="G4545" s="30">
        <f>Table132[[#This Row],[nb win]]/Table132[[#This Row],[nb play]]</f>
        <v>0</v>
      </c>
      <c r="H4545" t="str">
        <f>MID(Table132[[#This Row],[ÉTAT]],VALUE(RIGHT(Table132[[#This Row],[next move]],1))+1+VALUE(LEFT(Table132[[#This Row],[next move]],1))*3,1)</f>
        <v>V</v>
      </c>
      <c r="I4545" t="str">
        <f>Table132[[#This Row],[ÉTAT]]&amp;Table132[[#This Row],[next move]]</f>
        <v>MEMEVEVVV21</v>
      </c>
    </row>
    <row r="4546" spans="2:9" x14ac:dyDescent="0.25">
      <c r="B4546" t="s">
        <v>3200</v>
      </c>
      <c r="C4546" s="22" t="s">
        <v>22</v>
      </c>
      <c r="D4546">
        <v>1</v>
      </c>
      <c r="E4546">
        <v>1</v>
      </c>
      <c r="G4546" s="31">
        <f>Table132[[#This Row],[nb win]]/Table132[[#This Row],[nb play]]</f>
        <v>1</v>
      </c>
      <c r="H4546" t="str">
        <f>MID(Table132[[#This Row],[ÉTAT]],VALUE(RIGHT(Table132[[#This Row],[next move]],1))+1+VALUE(LEFT(Table132[[#This Row],[next move]],1))*3,1)</f>
        <v>V</v>
      </c>
      <c r="I4546" t="str">
        <f>Table132[[#This Row],[ÉTAT]]&amp;Table132[[#This Row],[next move]]</f>
        <v>MEMEVEVVM21</v>
      </c>
    </row>
    <row r="4547" spans="2:9" x14ac:dyDescent="0.25">
      <c r="B4547" t="s">
        <v>2027</v>
      </c>
      <c r="C4547" s="22" t="s">
        <v>29</v>
      </c>
      <c r="D4547">
        <v>3</v>
      </c>
      <c r="E4547">
        <v>3</v>
      </c>
      <c r="G4547" s="31">
        <f>Table132[[#This Row],[nb win]]/Table132[[#This Row],[nb play]]</f>
        <v>1</v>
      </c>
      <c r="H4547" t="str">
        <f>MID(Table132[[#This Row],[ÉTAT]],VALUE(RIGHT(Table132[[#This Row],[next move]],1))+1+VALUE(LEFT(Table132[[#This Row],[next move]],1))*3,1)</f>
        <v>V</v>
      </c>
      <c r="I4547" t="str">
        <f>Table132[[#This Row],[ÉTAT]]&amp;Table132[[#This Row],[next move]]</f>
        <v>MEMEVEVEM11</v>
      </c>
    </row>
    <row r="4548" spans="2:9" x14ac:dyDescent="0.25">
      <c r="B4548" t="s">
        <v>2027</v>
      </c>
      <c r="C4548" s="22" t="s">
        <v>35</v>
      </c>
      <c r="D4548">
        <v>2</v>
      </c>
      <c r="G4548" s="30">
        <f>Table132[[#This Row],[nb win]]/Table132[[#This Row],[nb play]]</f>
        <v>0</v>
      </c>
      <c r="H4548" t="str">
        <f>MID(Table132[[#This Row],[ÉTAT]],VALUE(RIGHT(Table132[[#This Row],[next move]],1))+1+VALUE(LEFT(Table132[[#This Row],[next move]],1))*3,1)</f>
        <v>V</v>
      </c>
      <c r="I4548" t="str">
        <f>Table132[[#This Row],[ÉTAT]]&amp;Table132[[#This Row],[next move]]</f>
        <v>MEMEVEVEM20</v>
      </c>
    </row>
    <row r="4549" spans="2:9" x14ac:dyDescent="0.25">
      <c r="B4549" t="s">
        <v>1220</v>
      </c>
      <c r="C4549" s="22" t="s">
        <v>29</v>
      </c>
      <c r="D4549">
        <v>4</v>
      </c>
      <c r="E4549">
        <v>4</v>
      </c>
      <c r="G4549" s="31">
        <f>Table132[[#This Row],[nb win]]/Table132[[#This Row],[nb play]]</f>
        <v>1</v>
      </c>
      <c r="H4549" t="str">
        <f>MID(Table132[[#This Row],[ÉTAT]],VALUE(RIGHT(Table132[[#This Row],[next move]],1))+1+VALUE(LEFT(Table132[[#This Row],[next move]],1))*3,1)</f>
        <v>V</v>
      </c>
      <c r="I4549" t="str">
        <f>Table132[[#This Row],[ÉTAT]]&amp;Table132[[#This Row],[next move]]</f>
        <v>MEMEVEMVE11</v>
      </c>
    </row>
    <row r="4550" spans="2:9" x14ac:dyDescent="0.25">
      <c r="B4550" t="s">
        <v>2070</v>
      </c>
      <c r="C4550" s="22" t="s">
        <v>29</v>
      </c>
      <c r="D4550">
        <v>3</v>
      </c>
      <c r="E4550">
        <v>3</v>
      </c>
      <c r="G4550" s="31">
        <f>Table132[[#This Row],[nb win]]/Table132[[#This Row],[nb play]]</f>
        <v>1</v>
      </c>
      <c r="H4550" t="str">
        <f>MID(Table132[[#This Row],[ÉTAT]],VALUE(RIGHT(Table132[[#This Row],[next move]],1))+1+VALUE(LEFT(Table132[[#This Row],[next move]],1))*3,1)</f>
        <v>V</v>
      </c>
      <c r="I4550" t="str">
        <f>Table132[[#This Row],[ÉTAT]]&amp;Table132[[#This Row],[next move]]</f>
        <v>MEMEVEMME11</v>
      </c>
    </row>
    <row r="4551" spans="2:9" x14ac:dyDescent="0.25">
      <c r="B4551" t="s">
        <v>3071</v>
      </c>
      <c r="C4551" s="22" t="s">
        <v>29</v>
      </c>
      <c r="D4551">
        <v>2</v>
      </c>
      <c r="E4551">
        <v>2</v>
      </c>
      <c r="G4551" s="31">
        <f>Table132[[#This Row],[nb win]]/Table132[[#This Row],[nb play]]</f>
        <v>1</v>
      </c>
      <c r="H4551" t="str">
        <f>MID(Table132[[#This Row],[ÉTAT]],VALUE(RIGHT(Table132[[#This Row],[next move]],1))+1+VALUE(LEFT(Table132[[#This Row],[next move]],1))*3,1)</f>
        <v>V</v>
      </c>
      <c r="I4551" t="str">
        <f>Table132[[#This Row],[ÉTAT]]&amp;Table132[[#This Row],[next move]]</f>
        <v>MEMEVEMEV11</v>
      </c>
    </row>
    <row r="4552" spans="2:9" x14ac:dyDescent="0.25">
      <c r="B4552" t="s">
        <v>3071</v>
      </c>
      <c r="C4552" s="22" t="s">
        <v>31</v>
      </c>
      <c r="D4552">
        <v>1</v>
      </c>
      <c r="G4552" s="30">
        <f>Table132[[#This Row],[nb win]]/Table132[[#This Row],[nb play]]</f>
        <v>0</v>
      </c>
      <c r="H4552" t="str">
        <f>MID(Table132[[#This Row],[ÉTAT]],VALUE(RIGHT(Table132[[#This Row],[next move]],1))+1+VALUE(LEFT(Table132[[#This Row],[next move]],1))*3,1)</f>
        <v>V</v>
      </c>
      <c r="I4552" t="str">
        <f>Table132[[#This Row],[ÉTAT]]&amp;Table132[[#This Row],[next move]]</f>
        <v>MEMEVEMEV22</v>
      </c>
    </row>
    <row r="4553" spans="2:9" x14ac:dyDescent="0.25">
      <c r="B4553" t="s">
        <v>1908</v>
      </c>
      <c r="C4553" s="22" t="s">
        <v>29</v>
      </c>
      <c r="D4553">
        <v>2</v>
      </c>
      <c r="E4553">
        <v>2</v>
      </c>
      <c r="G4553" s="31">
        <f>Table132[[#This Row],[nb win]]/Table132[[#This Row],[nb play]]</f>
        <v>1</v>
      </c>
      <c r="H4553" t="str">
        <f>MID(Table132[[#This Row],[ÉTAT]],VALUE(RIGHT(Table132[[#This Row],[next move]],1))+1+VALUE(LEFT(Table132[[#This Row],[next move]],1))*3,1)</f>
        <v>V</v>
      </c>
      <c r="I4553" t="str">
        <f>Table132[[#This Row],[ÉTAT]]&amp;Table132[[#This Row],[next move]]</f>
        <v>MEMEVEMEM11</v>
      </c>
    </row>
    <row r="4554" spans="2:9" x14ac:dyDescent="0.25">
      <c r="B4554" t="s">
        <v>733</v>
      </c>
      <c r="C4554" s="22" t="s">
        <v>29</v>
      </c>
      <c r="D4554">
        <v>2</v>
      </c>
      <c r="E4554">
        <v>2</v>
      </c>
      <c r="G4554" s="31">
        <f>Table132[[#This Row],[nb win]]/Table132[[#This Row],[nb play]]</f>
        <v>1</v>
      </c>
      <c r="H4554" t="str">
        <f>MID(Table132[[#This Row],[ÉTAT]],VALUE(RIGHT(Table132[[#This Row],[next move]],1))+1+VALUE(LEFT(Table132[[#This Row],[next move]],1))*3,1)</f>
        <v>V</v>
      </c>
      <c r="I4554" t="str">
        <f>Table132[[#This Row],[ÉTAT]]&amp;Table132[[#This Row],[next move]]</f>
        <v>MEMEVEEVM11</v>
      </c>
    </row>
    <row r="4555" spans="2:9" x14ac:dyDescent="0.25">
      <c r="B4555" t="s">
        <v>733</v>
      </c>
      <c r="C4555" s="22" t="s">
        <v>22</v>
      </c>
      <c r="D4555">
        <v>2</v>
      </c>
      <c r="G4555" s="30">
        <f>Table132[[#This Row],[nb win]]/Table132[[#This Row],[nb play]]</f>
        <v>0</v>
      </c>
      <c r="H4555" t="str">
        <f>MID(Table132[[#This Row],[ÉTAT]],VALUE(RIGHT(Table132[[#This Row],[next move]],1))+1+VALUE(LEFT(Table132[[#This Row],[next move]],1))*3,1)</f>
        <v>V</v>
      </c>
      <c r="I4555" t="str">
        <f>Table132[[#This Row],[ÉTAT]]&amp;Table132[[#This Row],[next move]]</f>
        <v>MEMEVEEVM21</v>
      </c>
    </row>
    <row r="4556" spans="2:9" x14ac:dyDescent="0.25">
      <c r="B4556" t="s">
        <v>445</v>
      </c>
      <c r="C4556" s="22" t="s">
        <v>29</v>
      </c>
      <c r="D4556">
        <v>5</v>
      </c>
      <c r="E4556">
        <v>5</v>
      </c>
      <c r="G4556" s="31">
        <f>Table132[[#This Row],[nb win]]/Table132[[#This Row],[nb play]]</f>
        <v>1</v>
      </c>
      <c r="H4556" t="str">
        <f>MID(Table132[[#This Row],[ÉTAT]],VALUE(RIGHT(Table132[[#This Row],[next move]],1))+1+VALUE(LEFT(Table132[[#This Row],[next move]],1))*3,1)</f>
        <v>V</v>
      </c>
      <c r="I4556" t="str">
        <f>Table132[[#This Row],[ÉTAT]]&amp;Table132[[#This Row],[next move]]</f>
        <v>MEMEVEEMM11</v>
      </c>
    </row>
    <row r="4557" spans="2:9" x14ac:dyDescent="0.25">
      <c r="B4557" t="s">
        <v>743</v>
      </c>
      <c r="C4557" s="22" t="s">
        <v>35</v>
      </c>
      <c r="D4557">
        <v>6</v>
      </c>
      <c r="E4557">
        <v>6</v>
      </c>
      <c r="G4557" s="31">
        <f>Table132[[#This Row],[nb win]]/Table132[[#This Row],[nb play]]</f>
        <v>1</v>
      </c>
      <c r="H4557" t="str">
        <f>MID(Table132[[#This Row],[ÉTAT]],VALUE(RIGHT(Table132[[#This Row],[next move]],1))+1+VALUE(LEFT(Table132[[#This Row],[next move]],1))*3,1)</f>
        <v>V</v>
      </c>
      <c r="I4557" t="str">
        <f>Table132[[#This Row],[ÉTAT]]&amp;Table132[[#This Row],[next move]]</f>
        <v>MEMEMVVVE20</v>
      </c>
    </row>
    <row r="4558" spans="2:9" x14ac:dyDescent="0.25">
      <c r="B4558" t="s">
        <v>2587</v>
      </c>
      <c r="C4558" s="22" t="s">
        <v>35</v>
      </c>
      <c r="D4558">
        <v>5</v>
      </c>
      <c r="E4558">
        <v>5</v>
      </c>
      <c r="G4558" s="31">
        <f>Table132[[#This Row],[nb win]]/Table132[[#This Row],[nb play]]</f>
        <v>1</v>
      </c>
      <c r="H4558" t="str">
        <f>MID(Table132[[#This Row],[ÉTAT]],VALUE(RIGHT(Table132[[#This Row],[next move]],1))+1+VALUE(LEFT(Table132[[#This Row],[next move]],1))*3,1)</f>
        <v>V</v>
      </c>
      <c r="I4558" t="str">
        <f>Table132[[#This Row],[ÉTAT]]&amp;Table132[[#This Row],[next move]]</f>
        <v>MEMEMVVEV20</v>
      </c>
    </row>
    <row r="4559" spans="2:9" x14ac:dyDescent="0.25">
      <c r="B4559" t="s">
        <v>1181</v>
      </c>
      <c r="C4559" s="22" t="s">
        <v>35</v>
      </c>
      <c r="D4559">
        <v>2</v>
      </c>
      <c r="E4559">
        <v>2</v>
      </c>
      <c r="G4559" s="31">
        <f>Table132[[#This Row],[nb win]]/Table132[[#This Row],[nb play]]</f>
        <v>1</v>
      </c>
      <c r="H4559" t="str">
        <f>MID(Table132[[#This Row],[ÉTAT]],VALUE(RIGHT(Table132[[#This Row],[next move]],1))+1+VALUE(LEFT(Table132[[#This Row],[next move]],1))*3,1)</f>
        <v>V</v>
      </c>
      <c r="I4559" t="str">
        <f>Table132[[#This Row],[ÉTAT]]&amp;Table132[[#This Row],[next move]]</f>
        <v>MEMEMVVEE20</v>
      </c>
    </row>
    <row r="4560" spans="2:9" x14ac:dyDescent="0.25">
      <c r="B4560" t="s">
        <v>1307</v>
      </c>
      <c r="C4560" s="22" t="s">
        <v>28</v>
      </c>
      <c r="D4560">
        <v>1</v>
      </c>
      <c r="E4560">
        <v>1</v>
      </c>
      <c r="G4560" s="25">
        <f>Table132[[#This Row],[nb win]]/Table132[[#This Row],[nb play]]</f>
        <v>1</v>
      </c>
      <c r="H4560" t="str">
        <f>MID(Table132[[#This Row],[ÉTAT]],VALUE(RIGHT(Table132[[#This Row],[next move]],1))+1+VALUE(LEFT(Table132[[#This Row],[next move]],1))*3,1)</f>
        <v>V</v>
      </c>
      <c r="I4560" t="str">
        <f>Table132[[#This Row],[ÉTAT]]&amp;Table132[[#This Row],[next move]]</f>
        <v>MEMEMVEVV12</v>
      </c>
    </row>
    <row r="4561" spans="2:9" x14ac:dyDescent="0.25">
      <c r="B4561" t="s">
        <v>3042</v>
      </c>
      <c r="C4561" s="22" t="s">
        <v>28</v>
      </c>
      <c r="D4561">
        <v>1</v>
      </c>
      <c r="G4561" s="30">
        <f>Table132[[#This Row],[nb win]]/Table132[[#This Row],[nb play]]</f>
        <v>0</v>
      </c>
      <c r="H4561" t="str">
        <f>MID(Table132[[#This Row],[ÉTAT]],VALUE(RIGHT(Table132[[#This Row],[next move]],1))+1+VALUE(LEFT(Table132[[#This Row],[next move]],1))*3,1)</f>
        <v>V</v>
      </c>
      <c r="I4561" t="str">
        <f>Table132[[#This Row],[ÉTAT]]&amp;Table132[[#This Row],[next move]]</f>
        <v>MEMEMVEVE12</v>
      </c>
    </row>
    <row r="4562" spans="2:9" x14ac:dyDescent="0.25">
      <c r="B4562" t="s">
        <v>1766</v>
      </c>
      <c r="C4562" s="22" t="s">
        <v>28</v>
      </c>
      <c r="D4562">
        <v>2</v>
      </c>
      <c r="G4562" s="30">
        <f>Table132[[#This Row],[nb win]]/Table132[[#This Row],[nb play]]</f>
        <v>0</v>
      </c>
      <c r="H4562" t="str">
        <f>MID(Table132[[#This Row],[ÉTAT]],VALUE(RIGHT(Table132[[#This Row],[next move]],1))+1+VALUE(LEFT(Table132[[#This Row],[next move]],1))*3,1)</f>
        <v>V</v>
      </c>
      <c r="I4562" t="str">
        <f>Table132[[#This Row],[ÉTAT]]&amp;Table132[[#This Row],[next move]]</f>
        <v>MEMEMVEEV12</v>
      </c>
    </row>
    <row r="4563" spans="2:9" x14ac:dyDescent="0.25">
      <c r="B4563" t="s">
        <v>1766</v>
      </c>
      <c r="C4563" s="22" t="s">
        <v>31</v>
      </c>
      <c r="D4563">
        <v>1</v>
      </c>
      <c r="E4563">
        <v>1</v>
      </c>
      <c r="G4563" s="25">
        <f>Table132[[#This Row],[nb win]]/Table132[[#This Row],[nb play]]</f>
        <v>1</v>
      </c>
      <c r="H4563" t="str">
        <f>MID(Table132[[#This Row],[ÉTAT]],VALUE(RIGHT(Table132[[#This Row],[next move]],1))+1+VALUE(LEFT(Table132[[#This Row],[next move]],1))*3,1)</f>
        <v>V</v>
      </c>
      <c r="I4563" t="str">
        <f>Table132[[#This Row],[ÉTAT]]&amp;Table132[[#This Row],[next move]]</f>
        <v>MEMEMVEEV22</v>
      </c>
    </row>
    <row r="4564" spans="2:9" x14ac:dyDescent="0.25">
      <c r="B4564" t="s">
        <v>569</v>
      </c>
      <c r="C4564" s="22" t="s">
        <v>35</v>
      </c>
      <c r="D4564">
        <v>6</v>
      </c>
      <c r="E4564">
        <v>6</v>
      </c>
      <c r="G4564" s="31">
        <f>Table132[[#This Row],[nb win]]/Table132[[#This Row],[nb play]]</f>
        <v>1</v>
      </c>
      <c r="H4564" t="str">
        <f>MID(Table132[[#This Row],[ÉTAT]],VALUE(RIGHT(Table132[[#This Row],[next move]],1))+1+VALUE(LEFT(Table132[[#This Row],[next move]],1))*3,1)</f>
        <v>V</v>
      </c>
      <c r="I4564" t="str">
        <f>Table132[[#This Row],[ÉTAT]]&amp;Table132[[#This Row],[next move]]</f>
        <v>MEMEMMVEE20</v>
      </c>
    </row>
    <row r="4565" spans="2:9" x14ac:dyDescent="0.25">
      <c r="B4565" t="s">
        <v>304</v>
      </c>
      <c r="C4565" s="22" t="s">
        <v>31</v>
      </c>
      <c r="D4565">
        <v>4</v>
      </c>
      <c r="E4565">
        <v>4</v>
      </c>
      <c r="G4565" s="25">
        <f>Table132[[#This Row],[nb win]]/Table132[[#This Row],[nb play]]</f>
        <v>1</v>
      </c>
      <c r="H4565" t="str">
        <f>MID(Table132[[#This Row],[ÉTAT]],VALUE(RIGHT(Table132[[#This Row],[next move]],1))+1+VALUE(LEFT(Table132[[#This Row],[next move]],1))*3,1)</f>
        <v>V</v>
      </c>
      <c r="I4565" t="str">
        <f>Table132[[#This Row],[ÉTAT]]&amp;Table132[[#This Row],[next move]]</f>
        <v>MEMEMMEEV22</v>
      </c>
    </row>
    <row r="4566" spans="2:9" x14ac:dyDescent="0.25">
      <c r="B4566" t="s">
        <v>1403</v>
      </c>
      <c r="C4566" s="22" t="s">
        <v>22</v>
      </c>
      <c r="D4566">
        <v>8</v>
      </c>
      <c r="E4566">
        <v>8</v>
      </c>
      <c r="G4566" s="31">
        <f>Table132[[#This Row],[nb win]]/Table132[[#This Row],[nb play]]</f>
        <v>1</v>
      </c>
      <c r="H4566" t="str">
        <f>MID(Table132[[#This Row],[ÉTAT]],VALUE(RIGHT(Table132[[#This Row],[next move]],1))+1+VALUE(LEFT(Table132[[#This Row],[next move]],1))*3,1)</f>
        <v>V</v>
      </c>
      <c r="I4566" t="str">
        <f>Table132[[#This Row],[ÉTAT]]&amp;Table132[[#This Row],[next move]]</f>
        <v>MEMEMEVVV21</v>
      </c>
    </row>
    <row r="4567" spans="2:9" x14ac:dyDescent="0.25">
      <c r="B4567" t="s">
        <v>714</v>
      </c>
      <c r="C4567" s="22" t="s">
        <v>35</v>
      </c>
      <c r="D4567">
        <v>2</v>
      </c>
      <c r="E4567">
        <v>2</v>
      </c>
      <c r="G4567" s="25">
        <f>Table132[[#This Row],[nb win]]/Table132[[#This Row],[nb play]]</f>
        <v>1</v>
      </c>
      <c r="H4567" t="str">
        <f>MID(Table132[[#This Row],[ÉTAT]],VALUE(RIGHT(Table132[[#This Row],[next move]],1))+1+VALUE(LEFT(Table132[[#This Row],[next move]],1))*3,1)</f>
        <v>V</v>
      </c>
      <c r="I4567" t="str">
        <f>Table132[[#This Row],[ÉTAT]]&amp;Table132[[#This Row],[next move]]</f>
        <v>MEMEMEVVE20</v>
      </c>
    </row>
    <row r="4568" spans="2:9" x14ac:dyDescent="0.25">
      <c r="B4568" t="s">
        <v>1469</v>
      </c>
      <c r="C4568" s="22" t="s">
        <v>35</v>
      </c>
      <c r="D4568">
        <v>8</v>
      </c>
      <c r="E4568">
        <v>8</v>
      </c>
      <c r="G4568" s="31">
        <f>Table132[[#This Row],[nb win]]/Table132[[#This Row],[nb play]]</f>
        <v>1</v>
      </c>
      <c r="H4568" t="str">
        <f>MID(Table132[[#This Row],[ÉTAT]],VALUE(RIGHT(Table132[[#This Row],[next move]],1))+1+VALUE(LEFT(Table132[[#This Row],[next move]],1))*3,1)</f>
        <v>V</v>
      </c>
      <c r="I4568" t="str">
        <f>Table132[[#This Row],[ÉTAT]]&amp;Table132[[#This Row],[next move]]</f>
        <v>MEMEMEVME20</v>
      </c>
    </row>
    <row r="4569" spans="2:9" x14ac:dyDescent="0.25">
      <c r="B4569" t="s">
        <v>2476</v>
      </c>
      <c r="C4569" s="22" t="s">
        <v>31</v>
      </c>
      <c r="D4569">
        <v>3</v>
      </c>
      <c r="E4569">
        <v>3</v>
      </c>
      <c r="G4569" s="31">
        <f>Table132[[#This Row],[nb win]]/Table132[[#This Row],[nb play]]</f>
        <v>1</v>
      </c>
      <c r="H4569" t="str">
        <f>MID(Table132[[#This Row],[ÉTAT]],VALUE(RIGHT(Table132[[#This Row],[next move]],1))+1+VALUE(LEFT(Table132[[#This Row],[next move]],1))*3,1)</f>
        <v>V</v>
      </c>
      <c r="I4569" t="str">
        <f>Table132[[#This Row],[ÉTAT]]&amp;Table132[[#This Row],[next move]]</f>
        <v>MEMEMEEVV22</v>
      </c>
    </row>
    <row r="4570" spans="2:9" x14ac:dyDescent="0.25">
      <c r="B4570" t="s">
        <v>1405</v>
      </c>
      <c r="C4570" s="22" t="s">
        <v>31</v>
      </c>
      <c r="D4570">
        <v>6</v>
      </c>
      <c r="E4570">
        <v>6</v>
      </c>
      <c r="G4570" s="31">
        <f>Table132[[#This Row],[nb win]]/Table132[[#This Row],[nb play]]</f>
        <v>1</v>
      </c>
      <c r="H4570" t="str">
        <f>MID(Table132[[#This Row],[ÉTAT]],VALUE(RIGHT(Table132[[#This Row],[next move]],1))+1+VALUE(LEFT(Table132[[#This Row],[next move]],1))*3,1)</f>
        <v>V</v>
      </c>
      <c r="I4570" t="str">
        <f>Table132[[#This Row],[ÉTAT]]&amp;Table132[[#This Row],[next move]]</f>
        <v>MEMEMEEMV22</v>
      </c>
    </row>
    <row r="4571" spans="2:9" x14ac:dyDescent="0.25">
      <c r="B4571" t="s">
        <v>967</v>
      </c>
      <c r="C4571" s="22" t="s">
        <v>28</v>
      </c>
      <c r="D4571">
        <v>2</v>
      </c>
      <c r="G4571" s="30">
        <f>Table132[[#This Row],[nb win]]/Table132[[#This Row],[nb play]]</f>
        <v>0</v>
      </c>
      <c r="H4571" t="str">
        <f>MID(Table132[[#This Row],[ÉTAT]],VALUE(RIGHT(Table132[[#This Row],[next move]],1))+1+VALUE(LEFT(Table132[[#This Row],[next move]],1))*3,1)</f>
        <v>V</v>
      </c>
      <c r="I4571" t="str">
        <f>Table132[[#This Row],[ÉTAT]]&amp;Table132[[#This Row],[next move]]</f>
        <v>MEMEEVVVV12</v>
      </c>
    </row>
    <row r="4572" spans="2:9" x14ac:dyDescent="0.25">
      <c r="B4572" t="s">
        <v>967</v>
      </c>
      <c r="C4572" s="22" t="s">
        <v>35</v>
      </c>
      <c r="D4572">
        <v>2</v>
      </c>
      <c r="G4572" s="25">
        <f>Table132[[#This Row],[nb win]]/Table132[[#This Row],[nb play]]</f>
        <v>0</v>
      </c>
      <c r="H4572" t="str">
        <f>MID(Table132[[#This Row],[ÉTAT]],VALUE(RIGHT(Table132[[#This Row],[next move]],1))+1+VALUE(LEFT(Table132[[#This Row],[next move]],1))*3,1)</f>
        <v>V</v>
      </c>
      <c r="I4572" t="str">
        <f>Table132[[#This Row],[ÉTAT]]&amp;Table132[[#This Row],[next move]]</f>
        <v>MEMEEVVVV20</v>
      </c>
    </row>
    <row r="4573" spans="2:9" x14ac:dyDescent="0.25">
      <c r="B4573" t="s">
        <v>967</v>
      </c>
      <c r="C4573" s="22" t="s">
        <v>31</v>
      </c>
      <c r="D4573">
        <v>2</v>
      </c>
      <c r="E4573">
        <v>1</v>
      </c>
      <c r="G4573" s="25">
        <f>Table132[[#This Row],[nb win]]/Table132[[#This Row],[nb play]]</f>
        <v>0.5</v>
      </c>
      <c r="H4573" t="str">
        <f>MID(Table132[[#This Row],[ÉTAT]],VALUE(RIGHT(Table132[[#This Row],[next move]],1))+1+VALUE(LEFT(Table132[[#This Row],[next move]],1))*3,1)</f>
        <v>V</v>
      </c>
      <c r="I4573" t="str">
        <f>Table132[[#This Row],[ÉTAT]]&amp;Table132[[#This Row],[next move]]</f>
        <v>MEMEEVVVV22</v>
      </c>
    </row>
    <row r="4574" spans="2:9" x14ac:dyDescent="0.25">
      <c r="B4574" t="s">
        <v>2202</v>
      </c>
      <c r="C4574" s="22" t="s">
        <v>35</v>
      </c>
      <c r="D4574">
        <v>1</v>
      </c>
      <c r="G4574" s="30">
        <f>Table132[[#This Row],[nb win]]/Table132[[#This Row],[nb play]]</f>
        <v>0</v>
      </c>
      <c r="H4574" t="str">
        <f>MID(Table132[[#This Row],[ÉTAT]],VALUE(RIGHT(Table132[[#This Row],[next move]],1))+1+VALUE(LEFT(Table132[[#This Row],[next move]],1))*3,1)</f>
        <v>V</v>
      </c>
      <c r="I4574" t="str">
        <f>Table132[[#This Row],[ÉTAT]]&amp;Table132[[#This Row],[next move]]</f>
        <v>MEMEEVVMV20</v>
      </c>
    </row>
    <row r="4575" spans="2:9" x14ac:dyDescent="0.25">
      <c r="B4575" t="s">
        <v>2202</v>
      </c>
      <c r="C4575" s="22" t="s">
        <v>31</v>
      </c>
      <c r="D4575">
        <v>1</v>
      </c>
      <c r="G4575" s="25">
        <f>Table132[[#This Row],[nb win]]/Table132[[#This Row],[nb play]]</f>
        <v>0</v>
      </c>
      <c r="H4575" t="str">
        <f>MID(Table132[[#This Row],[ÉTAT]],VALUE(RIGHT(Table132[[#This Row],[next move]],1))+1+VALUE(LEFT(Table132[[#This Row],[next move]],1))*3,1)</f>
        <v>V</v>
      </c>
      <c r="I4575" t="str">
        <f>Table132[[#This Row],[ÉTAT]]&amp;Table132[[#This Row],[next move]]</f>
        <v>MEMEEVVMV22</v>
      </c>
    </row>
    <row r="4576" spans="2:9" x14ac:dyDescent="0.25">
      <c r="B4576" t="s">
        <v>1477</v>
      </c>
      <c r="C4576" s="22" t="s">
        <v>35</v>
      </c>
      <c r="D4576">
        <v>1</v>
      </c>
      <c r="G4576" s="25">
        <f>Table132[[#This Row],[nb win]]/Table132[[#This Row],[nb play]]</f>
        <v>0</v>
      </c>
      <c r="H4576" t="str">
        <f>MID(Table132[[#This Row],[ÉTAT]],VALUE(RIGHT(Table132[[#This Row],[next move]],1))+1+VALUE(LEFT(Table132[[#This Row],[next move]],1))*3,1)</f>
        <v>V</v>
      </c>
      <c r="I4576" t="str">
        <f>Table132[[#This Row],[ÉTAT]]&amp;Table132[[#This Row],[next move]]</f>
        <v>MEMEEVVME20</v>
      </c>
    </row>
    <row r="4577" spans="2:9" x14ac:dyDescent="0.25">
      <c r="B4577" t="s">
        <v>1803</v>
      </c>
      <c r="C4577" s="22" t="s">
        <v>22</v>
      </c>
      <c r="D4577">
        <v>1</v>
      </c>
      <c r="G4577" s="25">
        <f>Table132[[#This Row],[nb win]]/Table132[[#This Row],[nb play]]</f>
        <v>0</v>
      </c>
      <c r="H4577" t="str">
        <f>MID(Table132[[#This Row],[ÉTAT]],VALUE(RIGHT(Table132[[#This Row],[next move]],1))+1+VALUE(LEFT(Table132[[#This Row],[next move]],1))*3,1)</f>
        <v>V</v>
      </c>
      <c r="I4577" t="str">
        <f>Table132[[#This Row],[ÉTAT]]&amp;Table132[[#This Row],[next move]]</f>
        <v>MEMEEVMVE21</v>
      </c>
    </row>
    <row r="4578" spans="2:9" x14ac:dyDescent="0.25">
      <c r="B4578" t="s">
        <v>1431</v>
      </c>
      <c r="C4578" s="22" t="s">
        <v>28</v>
      </c>
      <c r="D4578">
        <v>1</v>
      </c>
      <c r="E4578">
        <v>1</v>
      </c>
      <c r="G4578" s="25">
        <f>Table132[[#This Row],[nb win]]/Table132[[#This Row],[nb play]]</f>
        <v>1</v>
      </c>
      <c r="H4578" t="str">
        <f>MID(Table132[[#This Row],[ÉTAT]],VALUE(RIGHT(Table132[[#This Row],[next move]],1))+1+VALUE(LEFT(Table132[[#This Row],[next move]],1))*3,1)</f>
        <v>V</v>
      </c>
      <c r="I4578" t="str">
        <f>Table132[[#This Row],[ÉTAT]]&amp;Table132[[#This Row],[next move]]</f>
        <v>MEMEEVEVM12</v>
      </c>
    </row>
    <row r="4579" spans="2:9" x14ac:dyDescent="0.25">
      <c r="B4579" t="s">
        <v>1431</v>
      </c>
      <c r="C4579" s="22" t="s">
        <v>22</v>
      </c>
      <c r="D4579">
        <v>2</v>
      </c>
      <c r="G4579" s="30">
        <f>Table132[[#This Row],[nb win]]/Table132[[#This Row],[nb play]]</f>
        <v>0</v>
      </c>
      <c r="H4579" t="str">
        <f>MID(Table132[[#This Row],[ÉTAT]],VALUE(RIGHT(Table132[[#This Row],[next move]],1))+1+VALUE(LEFT(Table132[[#This Row],[next move]],1))*3,1)</f>
        <v>V</v>
      </c>
      <c r="I4579" t="str">
        <f>Table132[[#This Row],[ÉTAT]]&amp;Table132[[#This Row],[next move]]</f>
        <v>MEMEEVEVM21</v>
      </c>
    </row>
    <row r="4580" spans="2:9" x14ac:dyDescent="0.25">
      <c r="B4580" t="s">
        <v>761</v>
      </c>
      <c r="C4580" s="22" t="s">
        <v>31</v>
      </c>
      <c r="D4580">
        <v>1</v>
      </c>
      <c r="G4580" s="25">
        <f>Table132[[#This Row],[nb win]]/Table132[[#This Row],[nb play]]</f>
        <v>0</v>
      </c>
      <c r="H4580" t="str">
        <f>MID(Table132[[#This Row],[ÉTAT]],VALUE(RIGHT(Table132[[#This Row],[next move]],1))+1+VALUE(LEFT(Table132[[#This Row],[next move]],1))*3,1)</f>
        <v>V</v>
      </c>
      <c r="I4580" t="str">
        <f>Table132[[#This Row],[ÉTAT]]&amp;Table132[[#This Row],[next move]]</f>
        <v>MEMEEVEMV22</v>
      </c>
    </row>
    <row r="4581" spans="2:9" x14ac:dyDescent="0.25">
      <c r="B4581" t="s">
        <v>1573</v>
      </c>
      <c r="C4581" s="22" t="s">
        <v>28</v>
      </c>
      <c r="D4581">
        <v>3</v>
      </c>
      <c r="E4581">
        <v>3</v>
      </c>
      <c r="G4581" s="25">
        <f>Table132[[#This Row],[nb win]]/Table132[[#This Row],[nb play]]</f>
        <v>1</v>
      </c>
      <c r="H4581" t="str">
        <f>MID(Table132[[#This Row],[ÉTAT]],VALUE(RIGHT(Table132[[#This Row],[next move]],1))+1+VALUE(LEFT(Table132[[#This Row],[next move]],1))*3,1)</f>
        <v>V</v>
      </c>
      <c r="I4581" t="str">
        <f>Table132[[#This Row],[ÉTAT]]&amp;Table132[[#This Row],[next move]]</f>
        <v>MEMEEVEMM12</v>
      </c>
    </row>
    <row r="4582" spans="2:9" x14ac:dyDescent="0.25">
      <c r="B4582" t="s">
        <v>405</v>
      </c>
      <c r="C4582" s="22" t="s">
        <v>31</v>
      </c>
      <c r="D4582">
        <v>5</v>
      </c>
      <c r="E4582">
        <v>5</v>
      </c>
      <c r="G4582" s="31">
        <f>Table132[[#This Row],[nb win]]/Table132[[#This Row],[nb play]]</f>
        <v>1</v>
      </c>
      <c r="H4582" t="str">
        <f>MID(Table132[[#This Row],[ÉTAT]],VALUE(RIGHT(Table132[[#This Row],[next move]],1))+1+VALUE(LEFT(Table132[[#This Row],[next move]],1))*3,1)</f>
        <v>V</v>
      </c>
      <c r="I4582" t="str">
        <f>Table132[[#This Row],[ÉTAT]]&amp;Table132[[#This Row],[next move]]</f>
        <v>MEMEEMEMV22</v>
      </c>
    </row>
    <row r="4583" spans="2:9" x14ac:dyDescent="0.25">
      <c r="B4583" t="s">
        <v>1677</v>
      </c>
      <c r="C4583" s="22" t="s">
        <v>29</v>
      </c>
      <c r="D4583">
        <v>5</v>
      </c>
      <c r="E4583">
        <v>4</v>
      </c>
      <c r="G4583" s="31">
        <f>Table132[[#This Row],[nb win]]/Table132[[#This Row],[nb play]]</f>
        <v>0.8</v>
      </c>
      <c r="H4583" t="str">
        <f>MID(Table132[[#This Row],[ÉTAT]],VALUE(RIGHT(Table132[[#This Row],[next move]],1))+1+VALUE(LEFT(Table132[[#This Row],[next move]],1))*3,1)</f>
        <v>V</v>
      </c>
      <c r="I4583" t="str">
        <f>Table132[[#This Row],[ÉTAT]]&amp;Table132[[#This Row],[next move]]</f>
        <v>MEEVVVVVV11</v>
      </c>
    </row>
    <row r="4584" spans="2:9" x14ac:dyDescent="0.25">
      <c r="B4584" t="s">
        <v>1677</v>
      </c>
      <c r="C4584" s="22" t="s">
        <v>35</v>
      </c>
      <c r="D4584">
        <v>1</v>
      </c>
      <c r="E4584">
        <v>1</v>
      </c>
      <c r="G4584" s="31">
        <f>Table132[[#This Row],[nb win]]/Table132[[#This Row],[nb play]]</f>
        <v>1</v>
      </c>
      <c r="H4584" t="str">
        <f>MID(Table132[[#This Row],[ÉTAT]],VALUE(RIGHT(Table132[[#This Row],[next move]],1))+1+VALUE(LEFT(Table132[[#This Row],[next move]],1))*3,1)</f>
        <v>V</v>
      </c>
      <c r="I4584" t="str">
        <f>Table132[[#This Row],[ÉTAT]]&amp;Table132[[#This Row],[next move]]</f>
        <v>MEEVVVVVV20</v>
      </c>
    </row>
    <row r="4585" spans="2:9" x14ac:dyDescent="0.25">
      <c r="B4585" t="s">
        <v>3083</v>
      </c>
      <c r="C4585" s="22" t="s">
        <v>22</v>
      </c>
      <c r="D4585">
        <v>2</v>
      </c>
      <c r="E4585">
        <v>1</v>
      </c>
      <c r="G4585" s="30">
        <f>Table132[[#This Row],[nb win]]/Table132[[#This Row],[nb play]]</f>
        <v>0.5</v>
      </c>
      <c r="H4585" t="str">
        <f>MID(Table132[[#This Row],[ÉTAT]],VALUE(RIGHT(Table132[[#This Row],[next move]],1))+1+VALUE(LEFT(Table132[[#This Row],[next move]],1))*3,1)</f>
        <v>V</v>
      </c>
      <c r="I4585" t="str">
        <f>Table132[[#This Row],[ÉTAT]]&amp;Table132[[#This Row],[next move]]</f>
        <v>MEEVVVVVM21</v>
      </c>
    </row>
    <row r="4586" spans="2:9" x14ac:dyDescent="0.25">
      <c r="B4586" t="s">
        <v>3414</v>
      </c>
      <c r="C4586" s="22" t="s">
        <v>35</v>
      </c>
      <c r="D4586">
        <v>1</v>
      </c>
      <c r="G4586" s="30">
        <f>Table132[[#This Row],[nb win]]/Table132[[#This Row],[nb play]]</f>
        <v>0</v>
      </c>
      <c r="H4586" t="str">
        <f>MID(Table132[[#This Row],[ÉTAT]],VALUE(RIGHT(Table132[[#This Row],[next move]],1))+1+VALUE(LEFT(Table132[[#This Row],[next move]],1))*3,1)</f>
        <v>V</v>
      </c>
      <c r="I4586" t="str">
        <f>Table132[[#This Row],[ÉTAT]]&amp;Table132[[#This Row],[next move]]</f>
        <v>MEEVVVVME20</v>
      </c>
    </row>
    <row r="4587" spans="2:9" x14ac:dyDescent="0.25">
      <c r="B4587" t="s">
        <v>3485</v>
      </c>
      <c r="C4587" s="22" t="s">
        <v>28</v>
      </c>
      <c r="D4587">
        <v>1</v>
      </c>
      <c r="G4587" s="30">
        <f>Table132[[#This Row],[nb win]]/Table132[[#This Row],[nb play]]</f>
        <v>0</v>
      </c>
      <c r="H4587" t="str">
        <f>MID(Table132[[#This Row],[ÉTAT]],VALUE(RIGHT(Table132[[#This Row],[next move]],1))+1+VALUE(LEFT(Table132[[#This Row],[next move]],1))*3,1)</f>
        <v>V</v>
      </c>
      <c r="I4587" t="str">
        <f>Table132[[#This Row],[ÉTAT]]&amp;Table132[[#This Row],[next move]]</f>
        <v>MEEVVVMEM12</v>
      </c>
    </row>
    <row r="4588" spans="2:9" x14ac:dyDescent="0.25">
      <c r="B4588" t="s">
        <v>1090</v>
      </c>
      <c r="C4588" s="22" t="s">
        <v>29</v>
      </c>
      <c r="D4588">
        <v>5</v>
      </c>
      <c r="E4588">
        <v>5</v>
      </c>
      <c r="G4588" s="31">
        <f>Table132[[#This Row],[nb win]]/Table132[[#This Row],[nb play]]</f>
        <v>1</v>
      </c>
      <c r="H4588" t="str">
        <f>MID(Table132[[#This Row],[ÉTAT]],VALUE(RIGHT(Table132[[#This Row],[next move]],1))+1+VALUE(LEFT(Table132[[#This Row],[next move]],1))*3,1)</f>
        <v>V</v>
      </c>
      <c r="I4588" t="str">
        <f>Table132[[#This Row],[ÉTAT]]&amp;Table132[[#This Row],[next move]]</f>
        <v>MEEVVVEVM11</v>
      </c>
    </row>
    <row r="4589" spans="2:9" x14ac:dyDescent="0.25">
      <c r="B4589" t="s">
        <v>898</v>
      </c>
      <c r="C4589" s="22" t="s">
        <v>29</v>
      </c>
      <c r="D4589">
        <v>1</v>
      </c>
      <c r="E4589">
        <v>1</v>
      </c>
      <c r="G4589" s="25">
        <f>Table132[[#This Row],[nb win]]/Table132[[#This Row],[nb play]]</f>
        <v>1</v>
      </c>
      <c r="H4589" t="str">
        <f>MID(Table132[[#This Row],[ÉTAT]],VALUE(RIGHT(Table132[[#This Row],[next move]],1))+1+VALUE(LEFT(Table132[[#This Row],[next move]],1))*3,1)</f>
        <v>V</v>
      </c>
      <c r="I4589" t="str">
        <f>Table132[[#This Row],[ÉTAT]]&amp;Table132[[#This Row],[next move]]</f>
        <v>MEEVVVEMV11</v>
      </c>
    </row>
    <row r="4590" spans="2:9" x14ac:dyDescent="0.25">
      <c r="B4590" t="s">
        <v>3453</v>
      </c>
      <c r="C4590" s="22" t="s">
        <v>30</v>
      </c>
      <c r="D4590">
        <v>1</v>
      </c>
      <c r="G4590" s="30">
        <f>Table132[[#This Row],[nb win]]/Table132[[#This Row],[nb play]]</f>
        <v>0</v>
      </c>
      <c r="H4590" t="str">
        <f>MID(Table132[[#This Row],[ÉTAT]],VALUE(RIGHT(Table132[[#This Row],[next move]],1))+1+VALUE(LEFT(Table132[[#This Row],[next move]],1))*3,1)</f>
        <v>V</v>
      </c>
      <c r="I4590" t="str">
        <f>Table132[[#This Row],[ÉTAT]]&amp;Table132[[#This Row],[next move]]</f>
        <v>MEEVVVEMM10</v>
      </c>
    </row>
    <row r="4591" spans="2:9" x14ac:dyDescent="0.25">
      <c r="B4591" t="s">
        <v>1873</v>
      </c>
      <c r="C4591" s="22" t="s">
        <v>29</v>
      </c>
      <c r="D4591">
        <v>10</v>
      </c>
      <c r="E4591">
        <v>10</v>
      </c>
      <c r="G4591" s="31">
        <f>Table132[[#This Row],[nb win]]/Table132[[#This Row],[nb play]]</f>
        <v>1</v>
      </c>
      <c r="H4591" t="str">
        <f>MID(Table132[[#This Row],[ÉTAT]],VALUE(RIGHT(Table132[[#This Row],[next move]],1))+1+VALUE(LEFT(Table132[[#This Row],[next move]],1))*3,1)</f>
        <v>V</v>
      </c>
      <c r="I4591" t="str">
        <f>Table132[[#This Row],[ÉTAT]]&amp;Table132[[#This Row],[next move]]</f>
        <v>MEEVVMVVV11</v>
      </c>
    </row>
    <row r="4592" spans="2:9" x14ac:dyDescent="0.25">
      <c r="B4592" t="s">
        <v>2965</v>
      </c>
      <c r="C4592" s="22" t="s">
        <v>35</v>
      </c>
      <c r="D4592">
        <v>1</v>
      </c>
      <c r="E4592">
        <v>1</v>
      </c>
      <c r="G4592" s="25">
        <f>Table132[[#This Row],[nb win]]/Table132[[#This Row],[nb play]]</f>
        <v>1</v>
      </c>
      <c r="H4592" t="str">
        <f>MID(Table132[[#This Row],[ÉTAT]],VALUE(RIGHT(Table132[[#This Row],[next move]],1))+1+VALUE(LEFT(Table132[[#This Row],[next move]],1))*3,1)</f>
        <v>V</v>
      </c>
      <c r="I4592" t="str">
        <f>Table132[[#This Row],[ÉTAT]]&amp;Table132[[#This Row],[next move]]</f>
        <v>MEEVVMVVE20</v>
      </c>
    </row>
    <row r="4593" spans="2:9" x14ac:dyDescent="0.25">
      <c r="B4593" t="s">
        <v>2722</v>
      </c>
      <c r="C4593" s="22" t="s">
        <v>30</v>
      </c>
      <c r="D4593">
        <v>5</v>
      </c>
      <c r="E4593">
        <v>5</v>
      </c>
      <c r="G4593" s="31">
        <f>Table132[[#This Row],[nb win]]/Table132[[#This Row],[nb play]]</f>
        <v>1</v>
      </c>
      <c r="H4593" t="str">
        <f>MID(Table132[[#This Row],[ÉTAT]],VALUE(RIGHT(Table132[[#This Row],[next move]],1))+1+VALUE(LEFT(Table132[[#This Row],[next move]],1))*3,1)</f>
        <v>V</v>
      </c>
      <c r="I4593" t="str">
        <f>Table132[[#This Row],[ÉTAT]]&amp;Table132[[#This Row],[next move]]</f>
        <v>MEEVVMVME10</v>
      </c>
    </row>
    <row r="4594" spans="2:9" x14ac:dyDescent="0.25">
      <c r="B4594" t="s">
        <v>698</v>
      </c>
      <c r="C4594" s="22" t="s">
        <v>30</v>
      </c>
      <c r="D4594">
        <v>2</v>
      </c>
      <c r="E4594">
        <v>2</v>
      </c>
      <c r="G4594" s="25">
        <f>Table132[[#This Row],[nb win]]/Table132[[#This Row],[nb play]]</f>
        <v>1</v>
      </c>
      <c r="H4594" t="str">
        <f>MID(Table132[[#This Row],[ÉTAT]],VALUE(RIGHT(Table132[[#This Row],[next move]],1))+1+VALUE(LEFT(Table132[[#This Row],[next move]],1))*3,1)</f>
        <v>V</v>
      </c>
      <c r="I4594" t="str">
        <f>Table132[[#This Row],[ÉTAT]]&amp;Table132[[#This Row],[next move]]</f>
        <v>MEEVVMVEV10</v>
      </c>
    </row>
    <row r="4595" spans="2:9" x14ac:dyDescent="0.25">
      <c r="B4595" t="s">
        <v>698</v>
      </c>
      <c r="C4595" s="22" t="s">
        <v>35</v>
      </c>
      <c r="D4595">
        <v>2</v>
      </c>
      <c r="G4595" s="25">
        <f>Table132[[#This Row],[nb win]]/Table132[[#This Row],[nb play]]</f>
        <v>0</v>
      </c>
      <c r="H4595" t="str">
        <f>MID(Table132[[#This Row],[ÉTAT]],VALUE(RIGHT(Table132[[#This Row],[next move]],1))+1+VALUE(LEFT(Table132[[#This Row],[next move]],1))*3,1)</f>
        <v>V</v>
      </c>
      <c r="I4595" t="str">
        <f>Table132[[#This Row],[ÉTAT]]&amp;Table132[[#This Row],[next move]]</f>
        <v>MEEVVMVEV20</v>
      </c>
    </row>
    <row r="4596" spans="2:9" x14ac:dyDescent="0.25">
      <c r="B4596" t="s">
        <v>698</v>
      </c>
      <c r="C4596" s="22" t="s">
        <v>31</v>
      </c>
      <c r="D4596">
        <v>3</v>
      </c>
      <c r="G4596" s="30">
        <f>Table132[[#This Row],[nb win]]/Table132[[#This Row],[nb play]]</f>
        <v>0</v>
      </c>
      <c r="H4596" t="str">
        <f>MID(Table132[[#This Row],[ÉTAT]],VALUE(RIGHT(Table132[[#This Row],[next move]],1))+1+VALUE(LEFT(Table132[[#This Row],[next move]],1))*3,1)</f>
        <v>V</v>
      </c>
      <c r="I4596" t="str">
        <f>Table132[[#This Row],[ÉTAT]]&amp;Table132[[#This Row],[next move]]</f>
        <v>MEEVVMVEV22</v>
      </c>
    </row>
    <row r="4597" spans="2:9" x14ac:dyDescent="0.25">
      <c r="B4597" t="s">
        <v>680</v>
      </c>
      <c r="C4597" s="22" t="s">
        <v>30</v>
      </c>
      <c r="D4597">
        <v>1</v>
      </c>
      <c r="G4597" s="25">
        <f>Table132[[#This Row],[nb win]]/Table132[[#This Row],[nb play]]</f>
        <v>0</v>
      </c>
      <c r="H4597" t="str">
        <f>MID(Table132[[#This Row],[ÉTAT]],VALUE(RIGHT(Table132[[#This Row],[next move]],1))+1+VALUE(LEFT(Table132[[#This Row],[next move]],1))*3,1)</f>
        <v>V</v>
      </c>
      <c r="I4597" t="str">
        <f>Table132[[#This Row],[ÉTAT]]&amp;Table132[[#This Row],[next move]]</f>
        <v>MEEVVMVEM10</v>
      </c>
    </row>
    <row r="4598" spans="2:9" x14ac:dyDescent="0.25">
      <c r="B4598" t="s">
        <v>680</v>
      </c>
      <c r="C4598" s="22" t="s">
        <v>29</v>
      </c>
      <c r="D4598">
        <v>1</v>
      </c>
      <c r="E4598">
        <v>1</v>
      </c>
      <c r="G4598" s="25">
        <f>Table132[[#This Row],[nb win]]/Table132[[#This Row],[nb play]]</f>
        <v>1</v>
      </c>
      <c r="H4598" t="str">
        <f>MID(Table132[[#This Row],[ÉTAT]],VALUE(RIGHT(Table132[[#This Row],[next move]],1))+1+VALUE(LEFT(Table132[[#This Row],[next move]],1))*3,1)</f>
        <v>V</v>
      </c>
      <c r="I4598" t="str">
        <f>Table132[[#This Row],[ÉTAT]]&amp;Table132[[#This Row],[next move]]</f>
        <v>MEEVVMVEM11</v>
      </c>
    </row>
    <row r="4599" spans="2:9" x14ac:dyDescent="0.25">
      <c r="B4599" t="s">
        <v>680</v>
      </c>
      <c r="C4599" s="22" t="s">
        <v>35</v>
      </c>
      <c r="D4599">
        <v>1</v>
      </c>
      <c r="G4599" s="25">
        <f>Table132[[#This Row],[nb win]]/Table132[[#This Row],[nb play]]</f>
        <v>0</v>
      </c>
      <c r="H4599" t="str">
        <f>MID(Table132[[#This Row],[ÉTAT]],VALUE(RIGHT(Table132[[#This Row],[next move]],1))+1+VALUE(LEFT(Table132[[#This Row],[next move]],1))*3,1)</f>
        <v>V</v>
      </c>
      <c r="I4599" t="str">
        <f>Table132[[#This Row],[ÉTAT]]&amp;Table132[[#This Row],[next move]]</f>
        <v>MEEVVMVEM20</v>
      </c>
    </row>
    <row r="4600" spans="2:9" x14ac:dyDescent="0.25">
      <c r="B4600" t="s">
        <v>1061</v>
      </c>
      <c r="C4600" s="22" t="s">
        <v>22</v>
      </c>
      <c r="D4600">
        <v>1</v>
      </c>
      <c r="E4600">
        <v>1</v>
      </c>
      <c r="G4600" s="25">
        <f>Table132[[#This Row],[nb win]]/Table132[[#This Row],[nb play]]</f>
        <v>1</v>
      </c>
      <c r="H4600" t="str">
        <f>MID(Table132[[#This Row],[ÉTAT]],VALUE(RIGHT(Table132[[#This Row],[next move]],1))+1+VALUE(LEFT(Table132[[#This Row],[next move]],1))*3,1)</f>
        <v>V</v>
      </c>
      <c r="I4600" t="str">
        <f>Table132[[#This Row],[ÉTAT]]&amp;Table132[[#This Row],[next move]]</f>
        <v>MEEVVMMVE21</v>
      </c>
    </row>
    <row r="4601" spans="2:9" x14ac:dyDescent="0.25">
      <c r="B4601" t="s">
        <v>3190</v>
      </c>
      <c r="C4601" s="22" t="s">
        <v>30</v>
      </c>
      <c r="D4601">
        <v>1</v>
      </c>
      <c r="E4601">
        <v>1</v>
      </c>
      <c r="G4601" s="31">
        <f>Table132[[#This Row],[nb win]]/Table132[[#This Row],[nb play]]</f>
        <v>1</v>
      </c>
      <c r="H4601" t="str">
        <f>MID(Table132[[#This Row],[ÉTAT]],VALUE(RIGHT(Table132[[#This Row],[next move]],1))+1+VALUE(LEFT(Table132[[#This Row],[next move]],1))*3,1)</f>
        <v>V</v>
      </c>
      <c r="I4601" t="str">
        <f>Table132[[#This Row],[ÉTAT]]&amp;Table132[[#This Row],[next move]]</f>
        <v>MEEVVMMEV10</v>
      </c>
    </row>
    <row r="4602" spans="2:9" x14ac:dyDescent="0.25">
      <c r="B4602" t="s">
        <v>685</v>
      </c>
      <c r="C4602" s="22" t="s">
        <v>30</v>
      </c>
      <c r="D4602">
        <v>2</v>
      </c>
      <c r="E4602">
        <v>2</v>
      </c>
      <c r="G4602" s="25">
        <f>Table132[[#This Row],[nb win]]/Table132[[#This Row],[nb play]]</f>
        <v>1</v>
      </c>
      <c r="H4602" t="str">
        <f>MID(Table132[[#This Row],[ÉTAT]],VALUE(RIGHT(Table132[[#This Row],[next move]],1))+1+VALUE(LEFT(Table132[[#This Row],[next move]],1))*3,1)</f>
        <v>V</v>
      </c>
      <c r="I4602" t="str">
        <f>Table132[[#This Row],[ÉTAT]]&amp;Table132[[#This Row],[next move]]</f>
        <v>MEEVVMMEE10</v>
      </c>
    </row>
    <row r="4603" spans="2:9" x14ac:dyDescent="0.25">
      <c r="B4603" t="s">
        <v>3128</v>
      </c>
      <c r="C4603" s="22" t="s">
        <v>31</v>
      </c>
      <c r="D4603">
        <v>2</v>
      </c>
      <c r="E4603">
        <v>2</v>
      </c>
      <c r="G4603" s="31">
        <f>Table132[[#This Row],[nb win]]/Table132[[#This Row],[nb play]]</f>
        <v>1</v>
      </c>
      <c r="H4603" t="str">
        <f>MID(Table132[[#This Row],[ÉTAT]],VALUE(RIGHT(Table132[[#This Row],[next move]],1))+1+VALUE(LEFT(Table132[[#This Row],[next move]],1))*3,1)</f>
        <v>V</v>
      </c>
      <c r="I4603" t="str">
        <f>Table132[[#This Row],[ÉTAT]]&amp;Table132[[#This Row],[next move]]</f>
        <v>MEEVVMEVV22</v>
      </c>
    </row>
    <row r="4604" spans="2:9" x14ac:dyDescent="0.25">
      <c r="B4604" t="s">
        <v>2707</v>
      </c>
      <c r="C4604" s="22" t="s">
        <v>30</v>
      </c>
      <c r="D4604">
        <v>1</v>
      </c>
      <c r="G4604" s="25">
        <f>Table132[[#This Row],[nb win]]/Table132[[#This Row],[nb play]]</f>
        <v>0</v>
      </c>
      <c r="H4604" t="str">
        <f>MID(Table132[[#This Row],[ÉTAT]],VALUE(RIGHT(Table132[[#This Row],[next move]],1))+1+VALUE(LEFT(Table132[[#This Row],[next move]],1))*3,1)</f>
        <v>V</v>
      </c>
      <c r="I4604" t="str">
        <f>Table132[[#This Row],[ÉTAT]]&amp;Table132[[#This Row],[next move]]</f>
        <v>MEEVVMEVM10</v>
      </c>
    </row>
    <row r="4605" spans="2:9" x14ac:dyDescent="0.25">
      <c r="B4605" t="s">
        <v>956</v>
      </c>
      <c r="C4605" s="22" t="s">
        <v>29</v>
      </c>
      <c r="D4605">
        <v>1</v>
      </c>
      <c r="E4605">
        <v>1</v>
      </c>
      <c r="G4605" s="25">
        <f>Table132[[#This Row],[nb win]]/Table132[[#This Row],[nb play]]</f>
        <v>1</v>
      </c>
      <c r="H4605" t="str">
        <f>MID(Table132[[#This Row],[ÉTAT]],VALUE(RIGHT(Table132[[#This Row],[next move]],1))+1+VALUE(LEFT(Table132[[#This Row],[next move]],1))*3,1)</f>
        <v>V</v>
      </c>
      <c r="I4605" t="str">
        <f>Table132[[#This Row],[ÉTAT]]&amp;Table132[[#This Row],[next move]]</f>
        <v>MEEVVMEMV11</v>
      </c>
    </row>
    <row r="4606" spans="2:9" x14ac:dyDescent="0.25">
      <c r="B4606" t="s">
        <v>956</v>
      </c>
      <c r="C4606" s="22" t="s">
        <v>31</v>
      </c>
      <c r="D4606">
        <v>1</v>
      </c>
      <c r="G4606" s="25">
        <f>Table132[[#This Row],[nb win]]/Table132[[#This Row],[nb play]]</f>
        <v>0</v>
      </c>
      <c r="H4606" t="str">
        <f>MID(Table132[[#This Row],[ÉTAT]],VALUE(RIGHT(Table132[[#This Row],[next move]],1))+1+VALUE(LEFT(Table132[[#This Row],[next move]],1))*3,1)</f>
        <v>V</v>
      </c>
      <c r="I4606" t="str">
        <f>Table132[[#This Row],[ÉTAT]]&amp;Table132[[#This Row],[next move]]</f>
        <v>MEEVVMEMV22</v>
      </c>
    </row>
    <row r="4607" spans="2:9" x14ac:dyDescent="0.25">
      <c r="B4607" t="s">
        <v>3145</v>
      </c>
      <c r="C4607" s="22" t="s">
        <v>30</v>
      </c>
      <c r="D4607">
        <v>2</v>
      </c>
      <c r="G4607" s="30">
        <f>Table132[[#This Row],[nb win]]/Table132[[#This Row],[nb play]]</f>
        <v>0</v>
      </c>
      <c r="H4607" t="str">
        <f>MID(Table132[[#This Row],[ÉTAT]],VALUE(RIGHT(Table132[[#This Row],[next move]],1))+1+VALUE(LEFT(Table132[[#This Row],[next move]],1))*3,1)</f>
        <v>V</v>
      </c>
      <c r="I4607" t="str">
        <f>Table132[[#This Row],[ÉTAT]]&amp;Table132[[#This Row],[next move]]</f>
        <v>MEEVVMEME10</v>
      </c>
    </row>
    <row r="4608" spans="2:9" x14ac:dyDescent="0.25">
      <c r="B4608" t="s">
        <v>1500</v>
      </c>
      <c r="C4608" s="22" t="s">
        <v>29</v>
      </c>
      <c r="D4608">
        <v>5</v>
      </c>
      <c r="E4608">
        <v>5</v>
      </c>
      <c r="G4608" s="31">
        <f>Table132[[#This Row],[nb win]]/Table132[[#This Row],[nb play]]</f>
        <v>1</v>
      </c>
      <c r="H4608" t="str">
        <f>MID(Table132[[#This Row],[ÉTAT]],VALUE(RIGHT(Table132[[#This Row],[next move]],1))+1+VALUE(LEFT(Table132[[#This Row],[next move]],1))*3,1)</f>
        <v>V</v>
      </c>
      <c r="I4608" t="str">
        <f>Table132[[#This Row],[ÉTAT]]&amp;Table132[[#This Row],[next move]]</f>
        <v>MEEVVMEEM11</v>
      </c>
    </row>
    <row r="4609" spans="2:9" x14ac:dyDescent="0.25">
      <c r="B4609" t="s">
        <v>3080</v>
      </c>
      <c r="C4609" s="22" t="s">
        <v>29</v>
      </c>
      <c r="D4609">
        <v>2</v>
      </c>
      <c r="E4609">
        <v>2</v>
      </c>
      <c r="G4609" s="31">
        <f>Table132[[#This Row],[nb win]]/Table132[[#This Row],[nb play]]</f>
        <v>1</v>
      </c>
      <c r="H4609" t="str">
        <f>MID(Table132[[#This Row],[ÉTAT]],VALUE(RIGHT(Table132[[#This Row],[next move]],1))+1+VALUE(LEFT(Table132[[#This Row],[next move]],1))*3,1)</f>
        <v>V</v>
      </c>
      <c r="I4609" t="str">
        <f>Table132[[#This Row],[ÉTAT]]&amp;Table132[[#This Row],[next move]]</f>
        <v>MEEVVEVVM11</v>
      </c>
    </row>
    <row r="4610" spans="2:9" x14ac:dyDescent="0.25">
      <c r="B4610" t="s">
        <v>1376</v>
      </c>
      <c r="C4610" s="22" t="s">
        <v>30</v>
      </c>
      <c r="D4610">
        <v>2</v>
      </c>
      <c r="E4610">
        <v>1</v>
      </c>
      <c r="G4610" s="30">
        <f>Table132[[#This Row],[nb win]]/Table132[[#This Row],[nb play]]</f>
        <v>0.5</v>
      </c>
      <c r="H4610" t="str">
        <f>MID(Table132[[#This Row],[ÉTAT]],VALUE(RIGHT(Table132[[#This Row],[next move]],1))+1+VALUE(LEFT(Table132[[#This Row],[next move]],1))*3,1)</f>
        <v>V</v>
      </c>
      <c r="I4610" t="str">
        <f>Table132[[#This Row],[ÉTAT]]&amp;Table132[[#This Row],[next move]]</f>
        <v>MEEVVEVMV10</v>
      </c>
    </row>
    <row r="4611" spans="2:9" x14ac:dyDescent="0.25">
      <c r="B4611" t="s">
        <v>1376</v>
      </c>
      <c r="C4611" s="22" t="s">
        <v>29</v>
      </c>
      <c r="D4611">
        <v>2</v>
      </c>
      <c r="E4611">
        <v>1</v>
      </c>
      <c r="G4611" s="30">
        <f>Table132[[#This Row],[nb win]]/Table132[[#This Row],[nb play]]</f>
        <v>0.5</v>
      </c>
      <c r="H4611" t="str">
        <f>MID(Table132[[#This Row],[ÉTAT]],VALUE(RIGHT(Table132[[#This Row],[next move]],1))+1+VALUE(LEFT(Table132[[#This Row],[next move]],1))*3,1)</f>
        <v>V</v>
      </c>
      <c r="I4611" t="str">
        <f>Table132[[#This Row],[ÉTAT]]&amp;Table132[[#This Row],[next move]]</f>
        <v>MEEVVEVMV11</v>
      </c>
    </row>
    <row r="4612" spans="2:9" x14ac:dyDescent="0.25">
      <c r="B4612" t="s">
        <v>1376</v>
      </c>
      <c r="C4612" s="22" t="s">
        <v>35</v>
      </c>
      <c r="D4612">
        <v>1</v>
      </c>
      <c r="G4612" s="25">
        <f>Table132[[#This Row],[nb win]]/Table132[[#This Row],[nb play]]</f>
        <v>0</v>
      </c>
      <c r="H4612" t="str">
        <f>MID(Table132[[#This Row],[ÉTAT]],VALUE(RIGHT(Table132[[#This Row],[next move]],1))+1+VALUE(LEFT(Table132[[#This Row],[next move]],1))*3,1)</f>
        <v>V</v>
      </c>
      <c r="I4612" t="str">
        <f>Table132[[#This Row],[ÉTAT]]&amp;Table132[[#This Row],[next move]]</f>
        <v>MEEVVEVMV20</v>
      </c>
    </row>
    <row r="4613" spans="2:9" x14ac:dyDescent="0.25">
      <c r="B4613" t="s">
        <v>2606</v>
      </c>
      <c r="C4613" s="22" t="s">
        <v>30</v>
      </c>
      <c r="D4613">
        <v>2</v>
      </c>
      <c r="E4613">
        <v>2</v>
      </c>
      <c r="G4613" s="31">
        <f>Table132[[#This Row],[nb win]]/Table132[[#This Row],[nb play]]</f>
        <v>1</v>
      </c>
      <c r="H4613" t="str">
        <f>MID(Table132[[#This Row],[ÉTAT]],VALUE(RIGHT(Table132[[#This Row],[next move]],1))+1+VALUE(LEFT(Table132[[#This Row],[next move]],1))*3,1)</f>
        <v>V</v>
      </c>
      <c r="I4613" t="str">
        <f>Table132[[#This Row],[ÉTAT]]&amp;Table132[[#This Row],[next move]]</f>
        <v>MEEVVEVMM10</v>
      </c>
    </row>
    <row r="4614" spans="2:9" x14ac:dyDescent="0.25">
      <c r="B4614" t="s">
        <v>2984</v>
      </c>
      <c r="C4614" s="22" t="s">
        <v>22</v>
      </c>
      <c r="D4614">
        <v>3</v>
      </c>
      <c r="E4614">
        <v>2</v>
      </c>
      <c r="G4614" s="31">
        <f>Table132[[#This Row],[nb win]]/Table132[[#This Row],[nb play]]</f>
        <v>0.66666666666666663</v>
      </c>
      <c r="H4614" t="str">
        <f>MID(Table132[[#This Row],[ÉTAT]],VALUE(RIGHT(Table132[[#This Row],[next move]],1))+1+VALUE(LEFT(Table132[[#This Row],[next move]],1))*3,1)</f>
        <v>V</v>
      </c>
      <c r="I4614" t="str">
        <f>Table132[[#This Row],[ÉTAT]]&amp;Table132[[#This Row],[next move]]</f>
        <v>MEEVVEMVV21</v>
      </c>
    </row>
    <row r="4615" spans="2:9" x14ac:dyDescent="0.25">
      <c r="B4615" t="s">
        <v>2984</v>
      </c>
      <c r="C4615" s="22" t="s">
        <v>31</v>
      </c>
      <c r="D4615">
        <v>1</v>
      </c>
      <c r="E4615">
        <v>1</v>
      </c>
      <c r="G4615" s="31">
        <f>Table132[[#This Row],[nb win]]/Table132[[#This Row],[nb play]]</f>
        <v>1</v>
      </c>
      <c r="H4615" t="str">
        <f>MID(Table132[[#This Row],[ÉTAT]],VALUE(RIGHT(Table132[[#This Row],[next move]],1))+1+VALUE(LEFT(Table132[[#This Row],[next move]],1))*3,1)</f>
        <v>V</v>
      </c>
      <c r="I4615" t="str">
        <f>Table132[[#This Row],[ÉTAT]]&amp;Table132[[#This Row],[next move]]</f>
        <v>MEEVVEMVV22</v>
      </c>
    </row>
    <row r="4616" spans="2:9" x14ac:dyDescent="0.25">
      <c r="B4616" t="s">
        <v>2975</v>
      </c>
      <c r="C4616" s="22" t="s">
        <v>29</v>
      </c>
      <c r="D4616">
        <v>2</v>
      </c>
      <c r="E4616">
        <v>2</v>
      </c>
      <c r="G4616" s="31">
        <f>Table132[[#This Row],[nb win]]/Table132[[#This Row],[nb play]]</f>
        <v>1</v>
      </c>
      <c r="H4616" t="str">
        <f>MID(Table132[[#This Row],[ÉTAT]],VALUE(RIGHT(Table132[[#This Row],[next move]],1))+1+VALUE(LEFT(Table132[[#This Row],[next move]],1))*3,1)</f>
        <v>V</v>
      </c>
      <c r="I4616" t="str">
        <f>Table132[[#This Row],[ÉTAT]]&amp;Table132[[#This Row],[next move]]</f>
        <v>MEEVVEMVM11</v>
      </c>
    </row>
    <row r="4617" spans="2:9" x14ac:dyDescent="0.25">
      <c r="B4617" t="s">
        <v>3367</v>
      </c>
      <c r="C4617" s="22" t="s">
        <v>30</v>
      </c>
      <c r="D4617">
        <v>1</v>
      </c>
      <c r="E4617">
        <v>1</v>
      </c>
      <c r="G4617" s="31">
        <f>Table132[[#This Row],[nb win]]/Table132[[#This Row],[nb play]]</f>
        <v>1</v>
      </c>
      <c r="H4617" t="str">
        <f>MID(Table132[[#This Row],[ÉTAT]],VALUE(RIGHT(Table132[[#This Row],[next move]],1))+1+VALUE(LEFT(Table132[[#This Row],[next move]],1))*3,1)</f>
        <v>V</v>
      </c>
      <c r="I4617" t="str">
        <f>Table132[[#This Row],[ÉTAT]]&amp;Table132[[#This Row],[next move]]</f>
        <v>MEEVVEMMV10</v>
      </c>
    </row>
    <row r="4618" spans="2:9" x14ac:dyDescent="0.25">
      <c r="B4618" t="s">
        <v>2200</v>
      </c>
      <c r="C4618" s="22" t="s">
        <v>29</v>
      </c>
      <c r="D4618">
        <v>2</v>
      </c>
      <c r="E4618">
        <v>2</v>
      </c>
      <c r="G4618" s="31">
        <f>Table132[[#This Row],[nb win]]/Table132[[#This Row],[nb play]]</f>
        <v>1</v>
      </c>
      <c r="H4618" t="str">
        <f>MID(Table132[[#This Row],[ÉTAT]],VALUE(RIGHT(Table132[[#This Row],[next move]],1))+1+VALUE(LEFT(Table132[[#This Row],[next move]],1))*3,1)</f>
        <v>V</v>
      </c>
      <c r="I4618" t="str">
        <f>Table132[[#This Row],[ÉTAT]]&amp;Table132[[#This Row],[next move]]</f>
        <v>MEEVVEMEM11</v>
      </c>
    </row>
    <row r="4619" spans="2:9" x14ac:dyDescent="0.25">
      <c r="B4619" t="s">
        <v>3498</v>
      </c>
      <c r="C4619" s="22" t="s">
        <v>30</v>
      </c>
      <c r="D4619">
        <v>1</v>
      </c>
      <c r="G4619" s="30">
        <f>Table132[[#This Row],[nb win]]/Table132[[#This Row],[nb play]]</f>
        <v>0</v>
      </c>
      <c r="H4619" t="str">
        <f>MID(Table132[[#This Row],[ÉTAT]],VALUE(RIGHT(Table132[[#This Row],[next move]],1))+1+VALUE(LEFT(Table132[[#This Row],[next move]],1))*3,1)</f>
        <v>V</v>
      </c>
      <c r="I4619" t="str">
        <f>Table132[[#This Row],[ÉTAT]]&amp;Table132[[#This Row],[next move]]</f>
        <v>MEEVVEEMM10</v>
      </c>
    </row>
    <row r="4620" spans="2:9" x14ac:dyDescent="0.25">
      <c r="B4620" t="s">
        <v>1309</v>
      </c>
      <c r="C4620" s="22" t="s">
        <v>30</v>
      </c>
      <c r="D4620">
        <v>3</v>
      </c>
      <c r="E4620">
        <v>2</v>
      </c>
      <c r="G4620" s="31">
        <f>Table132[[#This Row],[nb win]]/Table132[[#This Row],[nb play]]</f>
        <v>0.66666666666666663</v>
      </c>
      <c r="H4620" t="str">
        <f>MID(Table132[[#This Row],[ÉTAT]],VALUE(RIGHT(Table132[[#This Row],[next move]],1))+1+VALUE(LEFT(Table132[[#This Row],[next move]],1))*3,1)</f>
        <v>V</v>
      </c>
      <c r="I4620" t="str">
        <f>Table132[[#This Row],[ÉTAT]]&amp;Table132[[#This Row],[next move]]</f>
        <v>MEEVMVVVV10</v>
      </c>
    </row>
    <row r="4621" spans="2:9" x14ac:dyDescent="0.25">
      <c r="B4621" t="s">
        <v>1309</v>
      </c>
      <c r="C4621" s="22" t="s">
        <v>31</v>
      </c>
      <c r="D4621">
        <v>5</v>
      </c>
      <c r="E4621">
        <v>5</v>
      </c>
      <c r="G4621" s="31">
        <f>Table132[[#This Row],[nb win]]/Table132[[#This Row],[nb play]]</f>
        <v>1</v>
      </c>
      <c r="H4621" t="str">
        <f>MID(Table132[[#This Row],[ÉTAT]],VALUE(RIGHT(Table132[[#This Row],[next move]],1))+1+VALUE(LEFT(Table132[[#This Row],[next move]],1))*3,1)</f>
        <v>V</v>
      </c>
      <c r="I4621" t="str">
        <f>Table132[[#This Row],[ÉTAT]]&amp;Table132[[#This Row],[next move]]</f>
        <v>MEEVMVVVV22</v>
      </c>
    </row>
    <row r="4622" spans="2:9" x14ac:dyDescent="0.25">
      <c r="B4622" t="s">
        <v>2900</v>
      </c>
      <c r="C4622" s="22" t="s">
        <v>22</v>
      </c>
      <c r="D4622">
        <v>1</v>
      </c>
      <c r="G4622" s="25">
        <f>Table132[[#This Row],[nb win]]/Table132[[#This Row],[nb play]]</f>
        <v>0</v>
      </c>
      <c r="H4622" t="str">
        <f>MID(Table132[[#This Row],[ÉTAT]],VALUE(RIGHT(Table132[[#This Row],[next move]],1))+1+VALUE(LEFT(Table132[[#This Row],[next move]],1))*3,1)</f>
        <v>V</v>
      </c>
      <c r="I4622" t="str">
        <f>Table132[[#This Row],[ÉTAT]]&amp;Table132[[#This Row],[next move]]</f>
        <v>MEEVMVVVE21</v>
      </c>
    </row>
    <row r="4623" spans="2:9" x14ac:dyDescent="0.25">
      <c r="B4623" t="s">
        <v>2397</v>
      </c>
      <c r="C4623" s="22" t="s">
        <v>31</v>
      </c>
      <c r="D4623">
        <v>2</v>
      </c>
      <c r="E4623">
        <v>2</v>
      </c>
      <c r="G4623" s="31">
        <f>Table132[[#This Row],[nb win]]/Table132[[#This Row],[nb play]]</f>
        <v>1</v>
      </c>
      <c r="H4623" t="str">
        <f>MID(Table132[[#This Row],[ÉTAT]],VALUE(RIGHT(Table132[[#This Row],[next move]],1))+1+VALUE(LEFT(Table132[[#This Row],[next move]],1))*3,1)</f>
        <v>V</v>
      </c>
      <c r="I4623" t="str">
        <f>Table132[[#This Row],[ÉTAT]]&amp;Table132[[#This Row],[next move]]</f>
        <v>MEEVMVVEV22</v>
      </c>
    </row>
    <row r="4624" spans="2:9" x14ac:dyDescent="0.25">
      <c r="B4624" t="s">
        <v>1319</v>
      </c>
      <c r="C4624" s="22" t="s">
        <v>31</v>
      </c>
      <c r="D4624">
        <v>5</v>
      </c>
      <c r="E4624">
        <v>5</v>
      </c>
      <c r="G4624" s="31">
        <f>Table132[[#This Row],[nb win]]/Table132[[#This Row],[nb play]]</f>
        <v>1</v>
      </c>
      <c r="H4624" t="str">
        <f>MID(Table132[[#This Row],[ÉTAT]],VALUE(RIGHT(Table132[[#This Row],[next move]],1))+1+VALUE(LEFT(Table132[[#This Row],[next move]],1))*3,1)</f>
        <v>V</v>
      </c>
      <c r="I4624" t="str">
        <f>Table132[[#This Row],[ÉTAT]]&amp;Table132[[#This Row],[next move]]</f>
        <v>MEEVMVEVV22</v>
      </c>
    </row>
    <row r="4625" spans="2:9" x14ac:dyDescent="0.25">
      <c r="B4625" t="s">
        <v>3286</v>
      </c>
      <c r="C4625" s="22" t="s">
        <v>30</v>
      </c>
      <c r="D4625">
        <v>1</v>
      </c>
      <c r="G4625" s="30">
        <f>Table132[[#This Row],[nb win]]/Table132[[#This Row],[nb play]]</f>
        <v>0</v>
      </c>
      <c r="H4625" t="str">
        <f>MID(Table132[[#This Row],[ÉTAT]],VALUE(RIGHT(Table132[[#This Row],[next move]],1))+1+VALUE(LEFT(Table132[[#This Row],[next move]],1))*3,1)</f>
        <v>V</v>
      </c>
      <c r="I4625" t="str">
        <f>Table132[[#This Row],[ÉTAT]]&amp;Table132[[#This Row],[next move]]</f>
        <v>MEEVMVEME10</v>
      </c>
    </row>
    <row r="4626" spans="2:9" x14ac:dyDescent="0.25">
      <c r="B4626" t="s">
        <v>2826</v>
      </c>
      <c r="C4626" s="22" t="s">
        <v>30</v>
      </c>
      <c r="D4626">
        <v>5</v>
      </c>
      <c r="E4626">
        <v>5</v>
      </c>
      <c r="G4626" s="31">
        <f>Table132[[#This Row],[nb win]]/Table132[[#This Row],[nb play]]</f>
        <v>1</v>
      </c>
      <c r="H4626" t="str">
        <f>MID(Table132[[#This Row],[ÉTAT]],VALUE(RIGHT(Table132[[#This Row],[next move]],1))+1+VALUE(LEFT(Table132[[#This Row],[next move]],1))*3,1)</f>
        <v>V</v>
      </c>
      <c r="I4626" t="str">
        <f>Table132[[#This Row],[ÉTAT]]&amp;Table132[[#This Row],[next move]]</f>
        <v>MEEVMMVVE10</v>
      </c>
    </row>
    <row r="4627" spans="2:9" x14ac:dyDescent="0.25">
      <c r="B4627" t="s">
        <v>2429</v>
      </c>
      <c r="C4627" s="22" t="s">
        <v>30</v>
      </c>
      <c r="D4627">
        <v>8</v>
      </c>
      <c r="E4627">
        <v>8</v>
      </c>
      <c r="G4627" s="31">
        <f>Table132[[#This Row],[nb win]]/Table132[[#This Row],[nb play]]</f>
        <v>1</v>
      </c>
      <c r="H4627" t="str">
        <f>MID(Table132[[#This Row],[ÉTAT]],VALUE(RIGHT(Table132[[#This Row],[next move]],1))+1+VALUE(LEFT(Table132[[#This Row],[next move]],1))*3,1)</f>
        <v>V</v>
      </c>
      <c r="I4627" t="str">
        <f>Table132[[#This Row],[ÉTAT]]&amp;Table132[[#This Row],[next move]]</f>
        <v>MEEVMMVEV10</v>
      </c>
    </row>
    <row r="4628" spans="2:9" x14ac:dyDescent="0.25">
      <c r="B4628" t="s">
        <v>1069</v>
      </c>
      <c r="C4628" s="22" t="s">
        <v>30</v>
      </c>
      <c r="D4628">
        <v>4</v>
      </c>
      <c r="E4628">
        <v>4</v>
      </c>
      <c r="G4628" s="31">
        <f>Table132[[#This Row],[nb win]]/Table132[[#This Row],[nb play]]</f>
        <v>1</v>
      </c>
      <c r="H4628" t="str">
        <f>MID(Table132[[#This Row],[ÉTAT]],VALUE(RIGHT(Table132[[#This Row],[next move]],1))+1+VALUE(LEFT(Table132[[#This Row],[next move]],1))*3,1)</f>
        <v>V</v>
      </c>
      <c r="I4628" t="str">
        <f>Table132[[#This Row],[ÉTAT]]&amp;Table132[[#This Row],[next move]]</f>
        <v>MEEVMMVEE10</v>
      </c>
    </row>
    <row r="4629" spans="2:9" x14ac:dyDescent="0.25">
      <c r="B4629" t="s">
        <v>1875</v>
      </c>
      <c r="C4629" s="22" t="s">
        <v>22</v>
      </c>
      <c r="D4629">
        <v>2</v>
      </c>
      <c r="E4629">
        <v>2</v>
      </c>
      <c r="G4629" s="31">
        <f>Table132[[#This Row],[nb win]]/Table132[[#This Row],[nb play]]</f>
        <v>1</v>
      </c>
      <c r="H4629" t="str">
        <f>MID(Table132[[#This Row],[ÉTAT]],VALUE(RIGHT(Table132[[#This Row],[next move]],1))+1+VALUE(LEFT(Table132[[#This Row],[next move]],1))*3,1)</f>
        <v>V</v>
      </c>
      <c r="I4629" t="str">
        <f>Table132[[#This Row],[ÉTAT]]&amp;Table132[[#This Row],[next move]]</f>
        <v>MEEVMMEVV21</v>
      </c>
    </row>
    <row r="4630" spans="2:9" x14ac:dyDescent="0.25">
      <c r="B4630" t="s">
        <v>3489</v>
      </c>
      <c r="C4630" s="22" t="s">
        <v>30</v>
      </c>
      <c r="D4630">
        <v>1</v>
      </c>
      <c r="E4630">
        <v>1</v>
      </c>
      <c r="G4630" s="31">
        <f>Table132[[#This Row],[nb win]]/Table132[[#This Row],[nb play]]</f>
        <v>1</v>
      </c>
      <c r="H4630" t="str">
        <f>MID(Table132[[#This Row],[ÉTAT]],VALUE(RIGHT(Table132[[#This Row],[next move]],1))+1+VALUE(LEFT(Table132[[#This Row],[next move]],1))*3,1)</f>
        <v>V</v>
      </c>
      <c r="I4630" t="str">
        <f>Table132[[#This Row],[ÉTAT]]&amp;Table132[[#This Row],[next move]]</f>
        <v>MEEVMMEVE10</v>
      </c>
    </row>
    <row r="4631" spans="2:9" x14ac:dyDescent="0.25">
      <c r="B4631" t="s">
        <v>488</v>
      </c>
      <c r="C4631" s="22" t="s">
        <v>30</v>
      </c>
      <c r="D4631">
        <v>7</v>
      </c>
      <c r="E4631">
        <v>7</v>
      </c>
      <c r="G4631" s="31">
        <f>Table132[[#This Row],[nb win]]/Table132[[#This Row],[nb play]]</f>
        <v>1</v>
      </c>
      <c r="H4631" t="str">
        <f>MID(Table132[[#This Row],[ÉTAT]],VALUE(RIGHT(Table132[[#This Row],[next move]],1))+1+VALUE(LEFT(Table132[[#This Row],[next move]],1))*3,1)</f>
        <v>V</v>
      </c>
      <c r="I4631" t="str">
        <f>Table132[[#This Row],[ÉTAT]]&amp;Table132[[#This Row],[next move]]</f>
        <v>MEEVMMEME10</v>
      </c>
    </row>
    <row r="4632" spans="2:9" x14ac:dyDescent="0.25">
      <c r="B4632" t="s">
        <v>1887</v>
      </c>
      <c r="C4632" s="22" t="s">
        <v>30</v>
      </c>
      <c r="D4632">
        <v>3</v>
      </c>
      <c r="E4632">
        <v>3</v>
      </c>
      <c r="G4632" s="25">
        <f>Table132[[#This Row],[nb win]]/Table132[[#This Row],[nb play]]</f>
        <v>1</v>
      </c>
      <c r="H4632" t="str">
        <f>MID(Table132[[#This Row],[ÉTAT]],VALUE(RIGHT(Table132[[#This Row],[next move]],1))+1+VALUE(LEFT(Table132[[#This Row],[next move]],1))*3,1)</f>
        <v>V</v>
      </c>
      <c r="I4632" t="str">
        <f>Table132[[#This Row],[ÉTAT]]&amp;Table132[[#This Row],[next move]]</f>
        <v>MEEVMMEEV10</v>
      </c>
    </row>
    <row r="4633" spans="2:9" x14ac:dyDescent="0.25">
      <c r="B4633" t="s">
        <v>795</v>
      </c>
      <c r="C4633" s="22" t="s">
        <v>30</v>
      </c>
      <c r="D4633">
        <v>1</v>
      </c>
      <c r="G4633" s="30">
        <f>Table132[[#This Row],[nb win]]/Table132[[#This Row],[nb play]]</f>
        <v>0</v>
      </c>
      <c r="H4633" t="str">
        <f>MID(Table132[[#This Row],[ÉTAT]],VALUE(RIGHT(Table132[[#This Row],[next move]],1))+1+VALUE(LEFT(Table132[[#This Row],[next move]],1))*3,1)</f>
        <v>V</v>
      </c>
      <c r="I4633" t="str">
        <f>Table132[[#This Row],[ÉTAT]]&amp;Table132[[#This Row],[next move]]</f>
        <v>MEEVMEVVV10</v>
      </c>
    </row>
    <row r="4634" spans="2:9" x14ac:dyDescent="0.25">
      <c r="B4634" t="s">
        <v>795</v>
      </c>
      <c r="C4634" s="22" t="s">
        <v>35</v>
      </c>
      <c r="D4634">
        <v>2</v>
      </c>
      <c r="E4634">
        <v>1</v>
      </c>
      <c r="G4634" s="30">
        <f>Table132[[#This Row],[nb win]]/Table132[[#This Row],[nb play]]</f>
        <v>0.5</v>
      </c>
      <c r="H4634" t="str">
        <f>MID(Table132[[#This Row],[ÉTAT]],VALUE(RIGHT(Table132[[#This Row],[next move]],1))+1+VALUE(LEFT(Table132[[#This Row],[next move]],1))*3,1)</f>
        <v>V</v>
      </c>
      <c r="I4634" t="str">
        <f>Table132[[#This Row],[ÉTAT]]&amp;Table132[[#This Row],[next move]]</f>
        <v>MEEVMEVVV20</v>
      </c>
    </row>
    <row r="4635" spans="2:9" x14ac:dyDescent="0.25">
      <c r="B4635" t="s">
        <v>2577</v>
      </c>
      <c r="C4635" s="22" t="s">
        <v>35</v>
      </c>
      <c r="D4635">
        <v>1</v>
      </c>
      <c r="G4635" s="25">
        <f>Table132[[#This Row],[nb win]]/Table132[[#This Row],[nb play]]</f>
        <v>0</v>
      </c>
      <c r="H4635" t="str">
        <f>MID(Table132[[#This Row],[ÉTAT]],VALUE(RIGHT(Table132[[#This Row],[next move]],1))+1+VALUE(LEFT(Table132[[#This Row],[next move]],1))*3,1)</f>
        <v>V</v>
      </c>
      <c r="I4635" t="str">
        <f>Table132[[#This Row],[ÉTAT]]&amp;Table132[[#This Row],[next move]]</f>
        <v>MEEVMEVMV20</v>
      </c>
    </row>
    <row r="4636" spans="2:9" x14ac:dyDescent="0.25">
      <c r="B4636" t="s">
        <v>263</v>
      </c>
      <c r="C4636" s="22" t="s">
        <v>30</v>
      </c>
      <c r="D4636">
        <v>1</v>
      </c>
      <c r="E4636">
        <v>1</v>
      </c>
      <c r="G4636" s="25">
        <f>Table132[[#This Row],[nb win]]/Table132[[#This Row],[nb play]]</f>
        <v>1</v>
      </c>
      <c r="H4636" t="str">
        <f>MID(Table132[[#This Row],[ÉTAT]],VALUE(RIGHT(Table132[[#This Row],[next move]],1))+1+VALUE(LEFT(Table132[[#This Row],[next move]],1))*3,1)</f>
        <v>V</v>
      </c>
      <c r="I4636" t="str">
        <f>Table132[[#This Row],[ÉTAT]]&amp;Table132[[#This Row],[next move]]</f>
        <v>MEEVMEMEV10</v>
      </c>
    </row>
    <row r="4637" spans="2:9" x14ac:dyDescent="0.25">
      <c r="B4637" t="s">
        <v>3468</v>
      </c>
      <c r="C4637" s="22" t="s">
        <v>31</v>
      </c>
      <c r="D4637">
        <v>1</v>
      </c>
      <c r="E4637">
        <v>1</v>
      </c>
      <c r="G4637" s="31">
        <f>Table132[[#This Row],[nb win]]/Table132[[#This Row],[nb play]]</f>
        <v>1</v>
      </c>
      <c r="H4637" t="str">
        <f>MID(Table132[[#This Row],[ÉTAT]],VALUE(RIGHT(Table132[[#This Row],[next move]],1))+1+VALUE(LEFT(Table132[[#This Row],[next move]],1))*3,1)</f>
        <v>V</v>
      </c>
      <c r="I4637" t="str">
        <f>Table132[[#This Row],[ÉTAT]]&amp;Table132[[#This Row],[next move]]</f>
        <v>MEEVMEEMV22</v>
      </c>
    </row>
    <row r="4638" spans="2:9" x14ac:dyDescent="0.25">
      <c r="B4638" t="s">
        <v>894</v>
      </c>
      <c r="C4638" s="22" t="s">
        <v>35</v>
      </c>
      <c r="D4638">
        <v>2</v>
      </c>
      <c r="E4638">
        <v>2</v>
      </c>
      <c r="G4638" s="25">
        <f>Table132[[#This Row],[nb win]]/Table132[[#This Row],[nb play]]</f>
        <v>1</v>
      </c>
      <c r="H4638" t="str">
        <f>MID(Table132[[#This Row],[ÉTAT]],VALUE(RIGHT(Table132[[#This Row],[next move]],1))+1+VALUE(LEFT(Table132[[#This Row],[next move]],1))*3,1)</f>
        <v>V</v>
      </c>
      <c r="I4638" t="str">
        <f>Table132[[#This Row],[ÉTAT]]&amp;Table132[[#This Row],[next move]]</f>
        <v>MEEVEVVMV20</v>
      </c>
    </row>
    <row r="4639" spans="2:9" x14ac:dyDescent="0.25">
      <c r="B4639" t="s">
        <v>2844</v>
      </c>
      <c r="C4639" s="22" t="s">
        <v>28</v>
      </c>
      <c r="D4639">
        <v>1</v>
      </c>
      <c r="E4639">
        <v>1</v>
      </c>
      <c r="G4639" s="25">
        <f>Table132[[#This Row],[nb win]]/Table132[[#This Row],[nb play]]</f>
        <v>1</v>
      </c>
      <c r="H4639" t="str">
        <f>MID(Table132[[#This Row],[ÉTAT]],VALUE(RIGHT(Table132[[#This Row],[next move]],1))+1+VALUE(LEFT(Table132[[#This Row],[next move]],1))*3,1)</f>
        <v>V</v>
      </c>
      <c r="I4639" t="str">
        <f>Table132[[#This Row],[ÉTAT]]&amp;Table132[[#This Row],[next move]]</f>
        <v>MEEVEVVMM12</v>
      </c>
    </row>
    <row r="4640" spans="2:9" x14ac:dyDescent="0.25">
      <c r="B4640" t="s">
        <v>3329</v>
      </c>
      <c r="C4640" s="22" t="s">
        <v>30</v>
      </c>
      <c r="D4640">
        <v>2</v>
      </c>
      <c r="E4640">
        <v>2</v>
      </c>
      <c r="G4640" s="31">
        <f>Table132[[#This Row],[nb win]]/Table132[[#This Row],[nb play]]</f>
        <v>1</v>
      </c>
      <c r="H4640" t="str">
        <f>MID(Table132[[#This Row],[ÉTAT]],VALUE(RIGHT(Table132[[#This Row],[next move]],1))+1+VALUE(LEFT(Table132[[#This Row],[next move]],1))*3,1)</f>
        <v>V</v>
      </c>
      <c r="I4640" t="str">
        <f>Table132[[#This Row],[ÉTAT]]&amp;Table132[[#This Row],[next move]]</f>
        <v>MEEVEVMVV10</v>
      </c>
    </row>
    <row r="4641" spans="2:9" x14ac:dyDescent="0.25">
      <c r="B4641" t="s">
        <v>1300</v>
      </c>
      <c r="C4641" s="22" t="s">
        <v>22</v>
      </c>
      <c r="D4641">
        <v>2</v>
      </c>
      <c r="E4641">
        <v>2</v>
      </c>
      <c r="G4641" s="25">
        <f>Table132[[#This Row],[nb win]]/Table132[[#This Row],[nb play]]</f>
        <v>1</v>
      </c>
      <c r="H4641" t="str">
        <f>MID(Table132[[#This Row],[ÉTAT]],VALUE(RIGHT(Table132[[#This Row],[next move]],1))+1+VALUE(LEFT(Table132[[#This Row],[next move]],1))*3,1)</f>
        <v>V</v>
      </c>
      <c r="I4641" t="str">
        <f>Table132[[#This Row],[ÉTAT]]&amp;Table132[[#This Row],[next move]]</f>
        <v>MEEVEVMVM21</v>
      </c>
    </row>
    <row r="4642" spans="2:9" x14ac:dyDescent="0.25">
      <c r="B4642" t="s">
        <v>3124</v>
      </c>
      <c r="C4642" s="22" t="s">
        <v>30</v>
      </c>
      <c r="D4642">
        <v>1</v>
      </c>
      <c r="E4642">
        <v>1</v>
      </c>
      <c r="G4642" s="31">
        <f>Table132[[#This Row],[nb win]]/Table132[[#This Row],[nb play]]</f>
        <v>1</v>
      </c>
      <c r="H4642" t="str">
        <f>MID(Table132[[#This Row],[ÉTAT]],VALUE(RIGHT(Table132[[#This Row],[next move]],1))+1+VALUE(LEFT(Table132[[#This Row],[next move]],1))*3,1)</f>
        <v>V</v>
      </c>
      <c r="I4642" t="str">
        <f>Table132[[#This Row],[ÉTAT]]&amp;Table132[[#This Row],[next move]]</f>
        <v>MEEVEVMMV10</v>
      </c>
    </row>
    <row r="4643" spans="2:9" x14ac:dyDescent="0.25">
      <c r="B4643" t="s">
        <v>2448</v>
      </c>
      <c r="C4643" s="22" t="s">
        <v>30</v>
      </c>
      <c r="D4643">
        <v>1</v>
      </c>
      <c r="E4643">
        <v>1</v>
      </c>
      <c r="G4643" s="25">
        <f>Table132[[#This Row],[nb win]]/Table132[[#This Row],[nb play]]</f>
        <v>1</v>
      </c>
      <c r="H4643" t="str">
        <f>MID(Table132[[#This Row],[ÉTAT]],VALUE(RIGHT(Table132[[#This Row],[next move]],1))+1+VALUE(LEFT(Table132[[#This Row],[next move]],1))*3,1)</f>
        <v>V</v>
      </c>
      <c r="I4643" t="str">
        <f>Table132[[#This Row],[ÉTAT]]&amp;Table132[[#This Row],[next move]]</f>
        <v>MEEVEVMME10</v>
      </c>
    </row>
    <row r="4644" spans="2:9" x14ac:dyDescent="0.25">
      <c r="B4644" t="s">
        <v>756</v>
      </c>
      <c r="C4644" s="22" t="s">
        <v>30</v>
      </c>
      <c r="D4644">
        <v>3</v>
      </c>
      <c r="E4644">
        <v>1</v>
      </c>
      <c r="G4644" s="30">
        <f>Table132[[#This Row],[nb win]]/Table132[[#This Row],[nb play]]</f>
        <v>0.33333333333333331</v>
      </c>
      <c r="H4644" t="str">
        <f>MID(Table132[[#This Row],[ÉTAT]],VALUE(RIGHT(Table132[[#This Row],[next move]],1))+1+VALUE(LEFT(Table132[[#This Row],[next move]],1))*3,1)</f>
        <v>V</v>
      </c>
      <c r="I4644" t="str">
        <f>Table132[[#This Row],[ÉTAT]]&amp;Table132[[#This Row],[next move]]</f>
        <v>MEEVEMVVV10</v>
      </c>
    </row>
    <row r="4645" spans="2:9" x14ac:dyDescent="0.25">
      <c r="B4645" t="s">
        <v>756</v>
      </c>
      <c r="C4645" s="22" t="s">
        <v>35</v>
      </c>
      <c r="D4645">
        <v>2</v>
      </c>
      <c r="G4645" s="30">
        <f>Table132[[#This Row],[nb win]]/Table132[[#This Row],[nb play]]</f>
        <v>0</v>
      </c>
      <c r="H4645" t="str">
        <f>MID(Table132[[#This Row],[ÉTAT]],VALUE(RIGHT(Table132[[#This Row],[next move]],1))+1+VALUE(LEFT(Table132[[#This Row],[next move]],1))*3,1)</f>
        <v>V</v>
      </c>
      <c r="I4645" t="str">
        <f>Table132[[#This Row],[ÉTAT]]&amp;Table132[[#This Row],[next move]]</f>
        <v>MEEVEMVVV20</v>
      </c>
    </row>
    <row r="4646" spans="2:9" x14ac:dyDescent="0.25">
      <c r="B4646" t="s">
        <v>756</v>
      </c>
      <c r="C4646" s="22" t="s">
        <v>22</v>
      </c>
      <c r="D4646">
        <v>3</v>
      </c>
      <c r="G4646" s="30">
        <f>Table132[[#This Row],[nb win]]/Table132[[#This Row],[nb play]]</f>
        <v>0</v>
      </c>
      <c r="H4646" t="str">
        <f>MID(Table132[[#This Row],[ÉTAT]],VALUE(RIGHT(Table132[[#This Row],[next move]],1))+1+VALUE(LEFT(Table132[[#This Row],[next move]],1))*3,1)</f>
        <v>V</v>
      </c>
      <c r="I4646" t="str">
        <f>Table132[[#This Row],[ÉTAT]]&amp;Table132[[#This Row],[next move]]</f>
        <v>MEEVEMVVV21</v>
      </c>
    </row>
    <row r="4647" spans="2:9" x14ac:dyDescent="0.25">
      <c r="B4647" t="s">
        <v>756</v>
      </c>
      <c r="C4647" s="22" t="s">
        <v>31</v>
      </c>
      <c r="D4647">
        <v>4</v>
      </c>
      <c r="G4647" s="30">
        <f>Table132[[#This Row],[nb win]]/Table132[[#This Row],[nb play]]</f>
        <v>0</v>
      </c>
      <c r="H4647" t="str">
        <f>MID(Table132[[#This Row],[ÉTAT]],VALUE(RIGHT(Table132[[#This Row],[next move]],1))+1+VALUE(LEFT(Table132[[#This Row],[next move]],1))*3,1)</f>
        <v>V</v>
      </c>
      <c r="I4647" t="str">
        <f>Table132[[#This Row],[ÉTAT]]&amp;Table132[[#This Row],[next move]]</f>
        <v>MEEVEMVVV22</v>
      </c>
    </row>
    <row r="4648" spans="2:9" x14ac:dyDescent="0.25">
      <c r="B4648" t="s">
        <v>821</v>
      </c>
      <c r="C4648" s="22" t="s">
        <v>30</v>
      </c>
      <c r="D4648">
        <v>1</v>
      </c>
      <c r="E4648">
        <v>1</v>
      </c>
      <c r="G4648" s="25">
        <f>Table132[[#This Row],[nb win]]/Table132[[#This Row],[nb play]]</f>
        <v>1</v>
      </c>
      <c r="H4648" t="str">
        <f>MID(Table132[[#This Row],[ÉTAT]],VALUE(RIGHT(Table132[[#This Row],[next move]],1))+1+VALUE(LEFT(Table132[[#This Row],[next move]],1))*3,1)</f>
        <v>V</v>
      </c>
      <c r="I4648" t="str">
        <f>Table132[[#This Row],[ÉTAT]]&amp;Table132[[#This Row],[next move]]</f>
        <v>MEEVEMMVV10</v>
      </c>
    </row>
    <row r="4649" spans="2:9" x14ac:dyDescent="0.25">
      <c r="B4649" t="s">
        <v>2090</v>
      </c>
      <c r="C4649" s="22" t="s">
        <v>30</v>
      </c>
      <c r="D4649">
        <v>2</v>
      </c>
      <c r="E4649">
        <v>2</v>
      </c>
      <c r="G4649" s="25">
        <f>Table132[[#This Row],[nb win]]/Table132[[#This Row],[nb play]]</f>
        <v>1</v>
      </c>
      <c r="H4649" t="str">
        <f>MID(Table132[[#This Row],[ÉTAT]],VALUE(RIGHT(Table132[[#This Row],[next move]],1))+1+VALUE(LEFT(Table132[[#This Row],[next move]],1))*3,1)</f>
        <v>V</v>
      </c>
      <c r="I4649" t="str">
        <f>Table132[[#This Row],[ÉTAT]]&amp;Table132[[#This Row],[next move]]</f>
        <v>MEEVEMMVE10</v>
      </c>
    </row>
    <row r="4650" spans="2:9" x14ac:dyDescent="0.25">
      <c r="B4650" t="s">
        <v>555</v>
      </c>
      <c r="C4650" s="22" t="s">
        <v>30</v>
      </c>
      <c r="D4650">
        <v>4</v>
      </c>
      <c r="E4650">
        <v>4</v>
      </c>
      <c r="G4650" s="25">
        <f>Table132[[#This Row],[nb win]]/Table132[[#This Row],[nb play]]</f>
        <v>1</v>
      </c>
      <c r="H4650" t="str">
        <f>MID(Table132[[#This Row],[ÉTAT]],VALUE(RIGHT(Table132[[#This Row],[next move]],1))+1+VALUE(LEFT(Table132[[#This Row],[next move]],1))*3,1)</f>
        <v>V</v>
      </c>
      <c r="I4650" t="str">
        <f>Table132[[#This Row],[ÉTAT]]&amp;Table132[[#This Row],[next move]]</f>
        <v>MEEVEMMME10</v>
      </c>
    </row>
    <row r="4651" spans="2:9" x14ac:dyDescent="0.25">
      <c r="B4651" t="s">
        <v>400</v>
      </c>
      <c r="C4651" s="22" t="s">
        <v>30</v>
      </c>
      <c r="D4651">
        <v>2</v>
      </c>
      <c r="G4651" s="30">
        <f>Table132[[#This Row],[nb win]]/Table132[[#This Row],[nb play]]</f>
        <v>0</v>
      </c>
      <c r="H4651" t="str">
        <f>MID(Table132[[#This Row],[ÉTAT]],VALUE(RIGHT(Table132[[#This Row],[next move]],1))+1+VALUE(LEFT(Table132[[#This Row],[next move]],1))*3,1)</f>
        <v>V</v>
      </c>
      <c r="I4651" t="str">
        <f>Table132[[#This Row],[ÉTAT]]&amp;Table132[[#This Row],[next move]]</f>
        <v>MEEVEEVMM10</v>
      </c>
    </row>
    <row r="4652" spans="2:9" x14ac:dyDescent="0.25">
      <c r="B4652" t="s">
        <v>400</v>
      </c>
      <c r="C4652" s="22" t="s">
        <v>35</v>
      </c>
      <c r="D4652">
        <v>3</v>
      </c>
      <c r="E4652">
        <v>3</v>
      </c>
      <c r="G4652" s="31">
        <f>Table132[[#This Row],[nb win]]/Table132[[#This Row],[nb play]]</f>
        <v>1</v>
      </c>
      <c r="H4652" t="str">
        <f>MID(Table132[[#This Row],[ÉTAT]],VALUE(RIGHT(Table132[[#This Row],[next move]],1))+1+VALUE(LEFT(Table132[[#This Row],[next move]],1))*3,1)</f>
        <v>V</v>
      </c>
      <c r="I4652" t="str">
        <f>Table132[[#This Row],[ÉTAT]]&amp;Table132[[#This Row],[next move]]</f>
        <v>MEEVEEVMM20</v>
      </c>
    </row>
    <row r="4653" spans="2:9" x14ac:dyDescent="0.25">
      <c r="B4653" t="s">
        <v>3339</v>
      </c>
      <c r="C4653" s="22" t="s">
        <v>30</v>
      </c>
      <c r="D4653">
        <v>1</v>
      </c>
      <c r="E4653">
        <v>1</v>
      </c>
      <c r="G4653" s="31">
        <f>Table132[[#This Row],[nb win]]/Table132[[#This Row],[nb play]]</f>
        <v>1</v>
      </c>
      <c r="H4653" t="str">
        <f>MID(Table132[[#This Row],[ÉTAT]],VALUE(RIGHT(Table132[[#This Row],[next move]],1))+1+VALUE(LEFT(Table132[[#This Row],[next move]],1))*3,1)</f>
        <v>V</v>
      </c>
      <c r="I4653" t="str">
        <f>Table132[[#This Row],[ÉTAT]]&amp;Table132[[#This Row],[next move]]</f>
        <v>MEEVEEMVM10</v>
      </c>
    </row>
    <row r="4654" spans="2:9" x14ac:dyDescent="0.25">
      <c r="B4654" t="s">
        <v>896</v>
      </c>
      <c r="C4654" s="22" t="s">
        <v>30</v>
      </c>
      <c r="D4654">
        <v>2</v>
      </c>
      <c r="E4654">
        <v>2</v>
      </c>
      <c r="G4654" s="25">
        <f>Table132[[#This Row],[nb win]]/Table132[[#This Row],[nb play]]</f>
        <v>1</v>
      </c>
      <c r="H4654" t="str">
        <f>MID(Table132[[#This Row],[ÉTAT]],VALUE(RIGHT(Table132[[#This Row],[next move]],1))+1+VALUE(LEFT(Table132[[#This Row],[next move]],1))*3,1)</f>
        <v>V</v>
      </c>
      <c r="I4654" t="str">
        <f>Table132[[#This Row],[ÉTAT]]&amp;Table132[[#This Row],[next move]]</f>
        <v>MEEVEEMMV10</v>
      </c>
    </row>
    <row r="4655" spans="2:9" x14ac:dyDescent="0.25">
      <c r="B4655" t="s">
        <v>588</v>
      </c>
      <c r="C4655" s="22" t="s">
        <v>29</v>
      </c>
      <c r="D4655">
        <v>2</v>
      </c>
      <c r="E4655">
        <v>1</v>
      </c>
      <c r="G4655" s="25">
        <f>Table132[[#This Row],[nb win]]/Table132[[#This Row],[nb play]]</f>
        <v>0.5</v>
      </c>
      <c r="H4655" t="str">
        <f>MID(Table132[[#This Row],[ÉTAT]],VALUE(RIGHT(Table132[[#This Row],[next move]],1))+1+VALUE(LEFT(Table132[[#This Row],[next move]],1))*3,1)</f>
        <v>V</v>
      </c>
      <c r="I4655" t="str">
        <f>Table132[[#This Row],[ÉTAT]]&amp;Table132[[#This Row],[next move]]</f>
        <v>MEEMVVVVV11</v>
      </c>
    </row>
    <row r="4656" spans="2:9" x14ac:dyDescent="0.25">
      <c r="B4656" t="s">
        <v>588</v>
      </c>
      <c r="C4656" s="22" t="s">
        <v>28</v>
      </c>
      <c r="D4656">
        <v>2</v>
      </c>
      <c r="E4656">
        <v>2</v>
      </c>
      <c r="G4656" s="25">
        <f>Table132[[#This Row],[nb win]]/Table132[[#This Row],[nb play]]</f>
        <v>1</v>
      </c>
      <c r="H4656" t="str">
        <f>MID(Table132[[#This Row],[ÉTAT]],VALUE(RIGHT(Table132[[#This Row],[next move]],1))+1+VALUE(LEFT(Table132[[#This Row],[next move]],1))*3,1)</f>
        <v>V</v>
      </c>
      <c r="I4656" t="str">
        <f>Table132[[#This Row],[ÉTAT]]&amp;Table132[[#This Row],[next move]]</f>
        <v>MEEMVVVVV12</v>
      </c>
    </row>
    <row r="4657" spans="2:9" x14ac:dyDescent="0.25">
      <c r="B4657" t="s">
        <v>1506</v>
      </c>
      <c r="C4657" s="22" t="s">
        <v>29</v>
      </c>
      <c r="D4657">
        <v>1</v>
      </c>
      <c r="G4657" s="30">
        <f>Table132[[#This Row],[nb win]]/Table132[[#This Row],[nb play]]</f>
        <v>0</v>
      </c>
      <c r="H4657" t="str">
        <f>MID(Table132[[#This Row],[ÉTAT]],VALUE(RIGHT(Table132[[#This Row],[next move]],1))+1+VALUE(LEFT(Table132[[#This Row],[next move]],1))*3,1)</f>
        <v>V</v>
      </c>
      <c r="I4657" t="str">
        <f>Table132[[#This Row],[ÉTAT]]&amp;Table132[[#This Row],[next move]]</f>
        <v>MEEMVVVVE11</v>
      </c>
    </row>
    <row r="4658" spans="2:9" x14ac:dyDescent="0.25">
      <c r="B4658" t="s">
        <v>1506</v>
      </c>
      <c r="C4658" s="22" t="s">
        <v>28</v>
      </c>
      <c r="D4658">
        <v>1</v>
      </c>
      <c r="G4658" s="30">
        <f>Table132[[#This Row],[nb win]]/Table132[[#This Row],[nb play]]</f>
        <v>0</v>
      </c>
      <c r="H4658" t="str">
        <f>MID(Table132[[#This Row],[ÉTAT]],VALUE(RIGHT(Table132[[#This Row],[next move]],1))+1+VALUE(LEFT(Table132[[#This Row],[next move]],1))*3,1)</f>
        <v>V</v>
      </c>
      <c r="I4658" t="str">
        <f>Table132[[#This Row],[ÉTAT]]&amp;Table132[[#This Row],[next move]]</f>
        <v>MEEMVVVVE12</v>
      </c>
    </row>
    <row r="4659" spans="2:9" x14ac:dyDescent="0.25">
      <c r="B4659" t="s">
        <v>1506</v>
      </c>
      <c r="C4659" s="22" t="s">
        <v>22</v>
      </c>
      <c r="D4659">
        <v>2</v>
      </c>
      <c r="E4659">
        <v>1</v>
      </c>
      <c r="G4659" s="25">
        <f>Table132[[#This Row],[nb win]]/Table132[[#This Row],[nb play]]</f>
        <v>0.5</v>
      </c>
      <c r="H4659" t="str">
        <f>MID(Table132[[#This Row],[ÉTAT]],VALUE(RIGHT(Table132[[#This Row],[next move]],1))+1+VALUE(LEFT(Table132[[#This Row],[next move]],1))*3,1)</f>
        <v>V</v>
      </c>
      <c r="I4659" t="str">
        <f>Table132[[#This Row],[ÉTAT]]&amp;Table132[[#This Row],[next move]]</f>
        <v>MEEMVVVVE21</v>
      </c>
    </row>
    <row r="4660" spans="2:9" x14ac:dyDescent="0.25">
      <c r="B4660" t="s">
        <v>1863</v>
      </c>
      <c r="C4660" s="22" t="s">
        <v>35</v>
      </c>
      <c r="D4660">
        <v>5</v>
      </c>
      <c r="E4660">
        <v>5</v>
      </c>
      <c r="G4660" s="31">
        <f>Table132[[#This Row],[nb win]]/Table132[[#This Row],[nb play]]</f>
        <v>1</v>
      </c>
      <c r="H4660" t="str">
        <f>MID(Table132[[#This Row],[ÉTAT]],VALUE(RIGHT(Table132[[#This Row],[next move]],1))+1+VALUE(LEFT(Table132[[#This Row],[next move]],1))*3,1)</f>
        <v>V</v>
      </c>
      <c r="I4660" t="str">
        <f>Table132[[#This Row],[ÉTAT]]&amp;Table132[[#This Row],[next move]]</f>
        <v>MEEMVVVEV20</v>
      </c>
    </row>
    <row r="4661" spans="2:9" x14ac:dyDescent="0.25">
      <c r="B4661" t="s">
        <v>3440</v>
      </c>
      <c r="C4661" s="22" t="s">
        <v>29</v>
      </c>
      <c r="D4661">
        <v>1</v>
      </c>
      <c r="E4661">
        <v>1</v>
      </c>
      <c r="G4661" s="31">
        <f>Table132[[#This Row],[nb win]]/Table132[[#This Row],[nb play]]</f>
        <v>1</v>
      </c>
      <c r="H4661" t="str">
        <f>MID(Table132[[#This Row],[ÉTAT]],VALUE(RIGHT(Table132[[#This Row],[next move]],1))+1+VALUE(LEFT(Table132[[#This Row],[next move]],1))*3,1)</f>
        <v>V</v>
      </c>
      <c r="I4661" t="str">
        <f>Table132[[#This Row],[ÉTAT]]&amp;Table132[[#This Row],[next move]]</f>
        <v>MEEMVVVEM11</v>
      </c>
    </row>
    <row r="4662" spans="2:9" x14ac:dyDescent="0.25">
      <c r="B4662" t="s">
        <v>2496</v>
      </c>
      <c r="C4662" s="22" t="s">
        <v>29</v>
      </c>
      <c r="D4662">
        <v>1</v>
      </c>
      <c r="G4662" s="25">
        <f>Table132[[#This Row],[nb win]]/Table132[[#This Row],[nb play]]</f>
        <v>0</v>
      </c>
      <c r="H4662" t="str">
        <f>MID(Table132[[#This Row],[ÉTAT]],VALUE(RIGHT(Table132[[#This Row],[next move]],1))+1+VALUE(LEFT(Table132[[#This Row],[next move]],1))*3,1)</f>
        <v>V</v>
      </c>
      <c r="I4662" t="str">
        <f>Table132[[#This Row],[ÉTAT]]&amp;Table132[[#This Row],[next move]]</f>
        <v>MEEMVVEVV11</v>
      </c>
    </row>
    <row r="4663" spans="2:9" x14ac:dyDescent="0.25">
      <c r="B4663" t="s">
        <v>2496</v>
      </c>
      <c r="C4663" s="22" t="s">
        <v>28</v>
      </c>
      <c r="D4663">
        <v>1</v>
      </c>
      <c r="G4663" s="25">
        <f>Table132[[#This Row],[nb win]]/Table132[[#This Row],[nb play]]</f>
        <v>0</v>
      </c>
      <c r="H4663" t="str">
        <f>MID(Table132[[#This Row],[ÉTAT]],VALUE(RIGHT(Table132[[#This Row],[next move]],1))+1+VALUE(LEFT(Table132[[#This Row],[next move]],1))*3,1)</f>
        <v>V</v>
      </c>
      <c r="I4663" t="str">
        <f>Table132[[#This Row],[ÉTAT]]&amp;Table132[[#This Row],[next move]]</f>
        <v>MEEMVVEVV12</v>
      </c>
    </row>
    <row r="4664" spans="2:9" x14ac:dyDescent="0.25">
      <c r="B4664" t="s">
        <v>2496</v>
      </c>
      <c r="C4664" s="22" t="s">
        <v>31</v>
      </c>
      <c r="D4664">
        <v>2</v>
      </c>
      <c r="E4664">
        <v>1</v>
      </c>
      <c r="G4664" s="30">
        <f>Table132[[#This Row],[nb win]]/Table132[[#This Row],[nb play]]</f>
        <v>0.5</v>
      </c>
      <c r="H4664" t="str">
        <f>MID(Table132[[#This Row],[ÉTAT]],VALUE(RIGHT(Table132[[#This Row],[next move]],1))+1+VALUE(LEFT(Table132[[#This Row],[next move]],1))*3,1)</f>
        <v>V</v>
      </c>
      <c r="I4664" t="str">
        <f>Table132[[#This Row],[ÉTAT]]&amp;Table132[[#This Row],[next move]]</f>
        <v>MEEMVVEVV22</v>
      </c>
    </row>
    <row r="4665" spans="2:9" x14ac:dyDescent="0.25">
      <c r="B4665" t="s">
        <v>2342</v>
      </c>
      <c r="C4665" s="22" t="s">
        <v>28</v>
      </c>
      <c r="D4665">
        <v>1</v>
      </c>
      <c r="G4665" s="25">
        <f>Table132[[#This Row],[nb win]]/Table132[[#This Row],[nb play]]</f>
        <v>0</v>
      </c>
      <c r="H4665" t="str">
        <f>MID(Table132[[#This Row],[ÉTAT]],VALUE(RIGHT(Table132[[#This Row],[next move]],1))+1+VALUE(LEFT(Table132[[#This Row],[next move]],1))*3,1)</f>
        <v>V</v>
      </c>
      <c r="I4665" t="str">
        <f>Table132[[#This Row],[ÉTAT]]&amp;Table132[[#This Row],[next move]]</f>
        <v>MEEMVVEVM12</v>
      </c>
    </row>
    <row r="4666" spans="2:9" x14ac:dyDescent="0.25">
      <c r="B4666" t="s">
        <v>2342</v>
      </c>
      <c r="C4666" s="22" t="s">
        <v>22</v>
      </c>
      <c r="D4666">
        <v>1</v>
      </c>
      <c r="E4666">
        <v>1</v>
      </c>
      <c r="G4666" s="25">
        <f>Table132[[#This Row],[nb win]]/Table132[[#This Row],[nb play]]</f>
        <v>1</v>
      </c>
      <c r="H4666" t="str">
        <f>MID(Table132[[#This Row],[ÉTAT]],VALUE(RIGHT(Table132[[#This Row],[next move]],1))+1+VALUE(LEFT(Table132[[#This Row],[next move]],1))*3,1)</f>
        <v>V</v>
      </c>
      <c r="I4666" t="str">
        <f>Table132[[#This Row],[ÉTAT]]&amp;Table132[[#This Row],[next move]]</f>
        <v>MEEMVVEVM21</v>
      </c>
    </row>
    <row r="4667" spans="2:9" x14ac:dyDescent="0.25">
      <c r="B4667" t="s">
        <v>944</v>
      </c>
      <c r="C4667" s="22" t="s">
        <v>29</v>
      </c>
      <c r="D4667">
        <v>3</v>
      </c>
      <c r="E4667">
        <v>3</v>
      </c>
      <c r="G4667" s="31">
        <f>Table132[[#This Row],[nb win]]/Table132[[#This Row],[nb play]]</f>
        <v>1</v>
      </c>
      <c r="H4667" t="str">
        <f>MID(Table132[[#This Row],[ÉTAT]],VALUE(RIGHT(Table132[[#This Row],[next move]],1))+1+VALUE(LEFT(Table132[[#This Row],[next move]],1))*3,1)</f>
        <v>V</v>
      </c>
      <c r="I4667" t="str">
        <f>Table132[[#This Row],[ÉTAT]]&amp;Table132[[#This Row],[next move]]</f>
        <v>MEEMVVEMV11</v>
      </c>
    </row>
    <row r="4668" spans="2:9" x14ac:dyDescent="0.25">
      <c r="B4668" t="s">
        <v>386</v>
      </c>
      <c r="C4668" s="22" t="s">
        <v>29</v>
      </c>
      <c r="D4668">
        <v>2</v>
      </c>
      <c r="G4668" s="30">
        <f>Table132[[#This Row],[nb win]]/Table132[[#This Row],[nb play]]</f>
        <v>0</v>
      </c>
      <c r="H4668" t="str">
        <f>MID(Table132[[#This Row],[ÉTAT]],VALUE(RIGHT(Table132[[#This Row],[next move]],1))+1+VALUE(LEFT(Table132[[#This Row],[next move]],1))*3,1)</f>
        <v>V</v>
      </c>
      <c r="I4668" t="str">
        <f>Table132[[#This Row],[ÉTAT]]&amp;Table132[[#This Row],[next move]]</f>
        <v>MEEMVVEME11</v>
      </c>
    </row>
    <row r="4669" spans="2:9" x14ac:dyDescent="0.25">
      <c r="B4669" t="s">
        <v>386</v>
      </c>
      <c r="C4669" s="22" t="s">
        <v>28</v>
      </c>
      <c r="D4669">
        <v>4</v>
      </c>
      <c r="G4669" s="30">
        <f>Table132[[#This Row],[nb win]]/Table132[[#This Row],[nb play]]</f>
        <v>0</v>
      </c>
      <c r="H4669" t="str">
        <f>MID(Table132[[#This Row],[ÉTAT]],VALUE(RIGHT(Table132[[#This Row],[next move]],1))+1+VALUE(LEFT(Table132[[#This Row],[next move]],1))*3,1)</f>
        <v>V</v>
      </c>
      <c r="I4669" t="str">
        <f>Table132[[#This Row],[ÉTAT]]&amp;Table132[[#This Row],[next move]]</f>
        <v>MEEMVVEME12</v>
      </c>
    </row>
    <row r="4670" spans="2:9" x14ac:dyDescent="0.25">
      <c r="B4670" t="s">
        <v>2872</v>
      </c>
      <c r="C4670" s="22" t="s">
        <v>29</v>
      </c>
      <c r="D4670">
        <v>1</v>
      </c>
      <c r="E4670">
        <v>1</v>
      </c>
      <c r="G4670" s="25">
        <f>Table132[[#This Row],[nb win]]/Table132[[#This Row],[nb play]]</f>
        <v>1</v>
      </c>
      <c r="H4670" t="str">
        <f>MID(Table132[[#This Row],[ÉTAT]],VALUE(RIGHT(Table132[[#This Row],[next move]],1))+1+VALUE(LEFT(Table132[[#This Row],[next move]],1))*3,1)</f>
        <v>V</v>
      </c>
      <c r="I4670" t="str">
        <f>Table132[[#This Row],[ÉTAT]]&amp;Table132[[#This Row],[next move]]</f>
        <v>MEEMVVEEM11</v>
      </c>
    </row>
    <row r="4671" spans="2:9" x14ac:dyDescent="0.25">
      <c r="B4671" t="s">
        <v>128</v>
      </c>
      <c r="C4671" s="22" t="s">
        <v>29</v>
      </c>
      <c r="D4671">
        <v>5</v>
      </c>
      <c r="E4671">
        <v>5</v>
      </c>
      <c r="G4671" s="31">
        <f>Table132[[#This Row],[nb win]]/Table132[[#This Row],[nb play]]</f>
        <v>1</v>
      </c>
      <c r="H4671" t="str">
        <f>MID(Table132[[#This Row],[ÉTAT]],VALUE(RIGHT(Table132[[#This Row],[next move]],1))+1+VALUE(LEFT(Table132[[#This Row],[next move]],1))*3,1)</f>
        <v>V</v>
      </c>
      <c r="I4671" t="str">
        <f>Table132[[#This Row],[ÉTAT]]&amp;Table132[[#This Row],[next move]]</f>
        <v>MEEMVMVVE11</v>
      </c>
    </row>
    <row r="4672" spans="2:9" x14ac:dyDescent="0.25">
      <c r="B4672" t="s">
        <v>2801</v>
      </c>
      <c r="C4672" s="22" t="s">
        <v>29</v>
      </c>
      <c r="D4672">
        <v>1</v>
      </c>
      <c r="E4672">
        <v>1</v>
      </c>
      <c r="G4672" s="25">
        <f>Table132[[#This Row],[nb win]]/Table132[[#This Row],[nb play]]</f>
        <v>1</v>
      </c>
      <c r="H4672" t="str">
        <f>MID(Table132[[#This Row],[ÉTAT]],VALUE(RIGHT(Table132[[#This Row],[next move]],1))+1+VALUE(LEFT(Table132[[#This Row],[next move]],1))*3,1)</f>
        <v>V</v>
      </c>
      <c r="I4672" t="str">
        <f>Table132[[#This Row],[ÉTAT]]&amp;Table132[[#This Row],[next move]]</f>
        <v>MEEMVMVEV11</v>
      </c>
    </row>
    <row r="4673" spans="2:9" x14ac:dyDescent="0.25">
      <c r="B4673" t="s">
        <v>1160</v>
      </c>
      <c r="C4673" s="22" t="s">
        <v>29</v>
      </c>
      <c r="D4673">
        <v>1</v>
      </c>
      <c r="E4673">
        <v>1</v>
      </c>
      <c r="G4673" s="25">
        <f>Table132[[#This Row],[nb win]]/Table132[[#This Row],[nb play]]</f>
        <v>1</v>
      </c>
      <c r="H4673" t="str">
        <f>MID(Table132[[#This Row],[ÉTAT]],VALUE(RIGHT(Table132[[#This Row],[next move]],1))+1+VALUE(LEFT(Table132[[#This Row],[next move]],1))*3,1)</f>
        <v>V</v>
      </c>
      <c r="I4673" t="str">
        <f>Table132[[#This Row],[ÉTAT]]&amp;Table132[[#This Row],[next move]]</f>
        <v>MEEMVMVEE11</v>
      </c>
    </row>
    <row r="4674" spans="2:9" x14ac:dyDescent="0.25">
      <c r="B4674" t="s">
        <v>2331</v>
      </c>
      <c r="C4674" s="22" t="s">
        <v>29</v>
      </c>
      <c r="D4674">
        <v>1</v>
      </c>
      <c r="E4674">
        <v>1</v>
      </c>
      <c r="G4674" s="31">
        <f>Table132[[#This Row],[nb win]]/Table132[[#This Row],[nb play]]</f>
        <v>1</v>
      </c>
      <c r="H4674" t="str">
        <f>MID(Table132[[#This Row],[ÉTAT]],VALUE(RIGHT(Table132[[#This Row],[next move]],1))+1+VALUE(LEFT(Table132[[#This Row],[next move]],1))*3,1)</f>
        <v>V</v>
      </c>
      <c r="I4674" t="str">
        <f>Table132[[#This Row],[ÉTAT]]&amp;Table132[[#This Row],[next move]]</f>
        <v>MEEMVMEVV11</v>
      </c>
    </row>
    <row r="4675" spans="2:9" x14ac:dyDescent="0.25">
      <c r="B4675" t="s">
        <v>2331</v>
      </c>
      <c r="C4675" s="22" t="s">
        <v>31</v>
      </c>
      <c r="D4675">
        <v>2</v>
      </c>
      <c r="G4675" s="30">
        <f>Table132[[#This Row],[nb win]]/Table132[[#This Row],[nb play]]</f>
        <v>0</v>
      </c>
      <c r="H4675" t="str">
        <f>MID(Table132[[#This Row],[ÉTAT]],VALUE(RIGHT(Table132[[#This Row],[next move]],1))+1+VALUE(LEFT(Table132[[#This Row],[next move]],1))*3,1)</f>
        <v>V</v>
      </c>
      <c r="I4675" t="str">
        <f>Table132[[#This Row],[ÉTAT]]&amp;Table132[[#This Row],[next move]]</f>
        <v>MEEMVMEVV22</v>
      </c>
    </row>
    <row r="4676" spans="2:9" x14ac:dyDescent="0.25">
      <c r="B4676" t="s">
        <v>2488</v>
      </c>
      <c r="C4676" s="22" t="s">
        <v>29</v>
      </c>
      <c r="D4676">
        <v>5</v>
      </c>
      <c r="E4676">
        <v>5</v>
      </c>
      <c r="G4676" s="31">
        <f>Table132[[#This Row],[nb win]]/Table132[[#This Row],[nb play]]</f>
        <v>1</v>
      </c>
      <c r="H4676" t="str">
        <f>MID(Table132[[#This Row],[ÉTAT]],VALUE(RIGHT(Table132[[#This Row],[next move]],1))+1+VALUE(LEFT(Table132[[#This Row],[next move]],1))*3,1)</f>
        <v>V</v>
      </c>
      <c r="I4676" t="str">
        <f>Table132[[#This Row],[ÉTAT]]&amp;Table132[[#This Row],[next move]]</f>
        <v>MEEMVMEME11</v>
      </c>
    </row>
    <row r="4677" spans="2:9" x14ac:dyDescent="0.25">
      <c r="B4677" t="s">
        <v>2802</v>
      </c>
      <c r="C4677" s="22" t="s">
        <v>29</v>
      </c>
      <c r="D4677">
        <v>1</v>
      </c>
      <c r="E4677">
        <v>1</v>
      </c>
      <c r="G4677" s="25">
        <f>Table132[[#This Row],[nb win]]/Table132[[#This Row],[nb play]]</f>
        <v>1</v>
      </c>
      <c r="H4677" t="str">
        <f>MID(Table132[[#This Row],[ÉTAT]],VALUE(RIGHT(Table132[[#This Row],[next move]],1))+1+VALUE(LEFT(Table132[[#This Row],[next move]],1))*3,1)</f>
        <v>V</v>
      </c>
      <c r="I4677" t="str">
        <f>Table132[[#This Row],[ÉTAT]]&amp;Table132[[#This Row],[next move]]</f>
        <v>MEEMVMEEV11</v>
      </c>
    </row>
    <row r="4678" spans="2:9" x14ac:dyDescent="0.25">
      <c r="B4678" t="s">
        <v>2803</v>
      </c>
      <c r="C4678" s="22" t="s">
        <v>31</v>
      </c>
      <c r="D4678">
        <v>2</v>
      </c>
      <c r="E4678">
        <v>2</v>
      </c>
      <c r="G4678" s="31">
        <f>Table132[[#This Row],[nb win]]/Table132[[#This Row],[nb play]]</f>
        <v>1</v>
      </c>
      <c r="H4678" t="str">
        <f>MID(Table132[[#This Row],[ÉTAT]],VALUE(RIGHT(Table132[[#This Row],[next move]],1))+1+VALUE(LEFT(Table132[[#This Row],[next move]],1))*3,1)</f>
        <v>V</v>
      </c>
      <c r="I4678" t="str">
        <f>Table132[[#This Row],[ÉTAT]]&amp;Table132[[#This Row],[next move]]</f>
        <v>MEEMVEVVV22</v>
      </c>
    </row>
    <row r="4679" spans="2:9" x14ac:dyDescent="0.25">
      <c r="B4679" t="s">
        <v>3420</v>
      </c>
      <c r="C4679" s="22" t="s">
        <v>29</v>
      </c>
      <c r="D4679">
        <v>1</v>
      </c>
      <c r="E4679">
        <v>1</v>
      </c>
      <c r="G4679" s="31">
        <f>Table132[[#This Row],[nb win]]/Table132[[#This Row],[nb play]]</f>
        <v>1</v>
      </c>
      <c r="H4679" t="str">
        <f>MID(Table132[[#This Row],[ÉTAT]],VALUE(RIGHT(Table132[[#This Row],[next move]],1))+1+VALUE(LEFT(Table132[[#This Row],[next move]],1))*3,1)</f>
        <v>V</v>
      </c>
      <c r="I4679" t="str">
        <f>Table132[[#This Row],[ÉTAT]]&amp;Table132[[#This Row],[next move]]</f>
        <v>MEEMVEVVM11</v>
      </c>
    </row>
    <row r="4680" spans="2:9" x14ac:dyDescent="0.25">
      <c r="B4680" t="s">
        <v>2614</v>
      </c>
      <c r="C4680" s="22" t="s">
        <v>35</v>
      </c>
      <c r="D4680">
        <v>1</v>
      </c>
      <c r="E4680">
        <v>1</v>
      </c>
      <c r="G4680" s="25">
        <f>Table132[[#This Row],[nb win]]/Table132[[#This Row],[nb play]]</f>
        <v>1</v>
      </c>
      <c r="H4680" t="str">
        <f>MID(Table132[[#This Row],[ÉTAT]],VALUE(RIGHT(Table132[[#This Row],[next move]],1))+1+VALUE(LEFT(Table132[[#This Row],[next move]],1))*3,1)</f>
        <v>V</v>
      </c>
      <c r="I4680" t="str">
        <f>Table132[[#This Row],[ÉTAT]]&amp;Table132[[#This Row],[next move]]</f>
        <v>MEEMVEVMV20</v>
      </c>
    </row>
    <row r="4681" spans="2:9" x14ac:dyDescent="0.25">
      <c r="B4681" t="s">
        <v>2805</v>
      </c>
      <c r="C4681" s="22" t="s">
        <v>29</v>
      </c>
      <c r="D4681">
        <v>1</v>
      </c>
      <c r="E4681">
        <v>1</v>
      </c>
      <c r="G4681" s="25">
        <f>Table132[[#This Row],[nb win]]/Table132[[#This Row],[nb play]]</f>
        <v>1</v>
      </c>
      <c r="H4681" t="str">
        <f>MID(Table132[[#This Row],[ÉTAT]],VALUE(RIGHT(Table132[[#This Row],[next move]],1))+1+VALUE(LEFT(Table132[[#This Row],[next move]],1))*3,1)</f>
        <v>V</v>
      </c>
      <c r="I4681" t="str">
        <f>Table132[[#This Row],[ÉTAT]]&amp;Table132[[#This Row],[next move]]</f>
        <v>MEEMVEEVM11</v>
      </c>
    </row>
    <row r="4682" spans="2:9" x14ac:dyDescent="0.25">
      <c r="B4682" t="s">
        <v>3059</v>
      </c>
      <c r="C4682" s="22" t="s">
        <v>29</v>
      </c>
      <c r="D4682">
        <v>1</v>
      </c>
      <c r="G4682" s="30">
        <f>Table132[[#This Row],[nb win]]/Table132[[#This Row],[nb play]]</f>
        <v>0</v>
      </c>
      <c r="H4682" t="str">
        <f>MID(Table132[[#This Row],[ÉTAT]],VALUE(RIGHT(Table132[[#This Row],[next move]],1))+1+VALUE(LEFT(Table132[[#This Row],[next move]],1))*3,1)</f>
        <v>V</v>
      </c>
      <c r="I4682" t="str">
        <f>Table132[[#This Row],[ÉTAT]]&amp;Table132[[#This Row],[next move]]</f>
        <v>MEEMVEEMV11</v>
      </c>
    </row>
    <row r="4683" spans="2:9" x14ac:dyDescent="0.25">
      <c r="B4683" t="s">
        <v>3059</v>
      </c>
      <c r="C4683" s="22" t="s">
        <v>31</v>
      </c>
      <c r="D4683">
        <v>2</v>
      </c>
      <c r="G4683" s="30">
        <f>Table132[[#This Row],[nb win]]/Table132[[#This Row],[nb play]]</f>
        <v>0</v>
      </c>
      <c r="H4683" t="str">
        <f>MID(Table132[[#This Row],[ÉTAT]],VALUE(RIGHT(Table132[[#This Row],[next move]],1))+1+VALUE(LEFT(Table132[[#This Row],[next move]],1))*3,1)</f>
        <v>V</v>
      </c>
      <c r="I4683" t="str">
        <f>Table132[[#This Row],[ÉTAT]]&amp;Table132[[#This Row],[next move]]</f>
        <v>MEEMVEEMV22</v>
      </c>
    </row>
    <row r="4684" spans="2:9" x14ac:dyDescent="0.25">
      <c r="B4684" t="s">
        <v>879</v>
      </c>
      <c r="C4684" s="22" t="s">
        <v>29</v>
      </c>
      <c r="D4684">
        <v>4</v>
      </c>
      <c r="E4684">
        <v>4</v>
      </c>
      <c r="G4684" s="31">
        <f>Table132[[#This Row],[nb win]]/Table132[[#This Row],[nb play]]</f>
        <v>1</v>
      </c>
      <c r="H4684" t="str">
        <f>MID(Table132[[#This Row],[ÉTAT]],VALUE(RIGHT(Table132[[#This Row],[next move]],1))+1+VALUE(LEFT(Table132[[#This Row],[next move]],1))*3,1)</f>
        <v>V</v>
      </c>
      <c r="I4684" t="str">
        <f>Table132[[#This Row],[ÉTAT]]&amp;Table132[[#This Row],[next move]]</f>
        <v>MEEMVEEMM11</v>
      </c>
    </row>
    <row r="4685" spans="2:9" x14ac:dyDescent="0.25">
      <c r="B4685" t="s">
        <v>1310</v>
      </c>
      <c r="C4685" s="22" t="s">
        <v>35</v>
      </c>
      <c r="D4685">
        <v>4</v>
      </c>
      <c r="E4685">
        <v>4</v>
      </c>
      <c r="G4685" s="31">
        <f>Table132[[#This Row],[nb win]]/Table132[[#This Row],[nb play]]</f>
        <v>1</v>
      </c>
      <c r="H4685" t="str">
        <f>MID(Table132[[#This Row],[ÉTAT]],VALUE(RIGHT(Table132[[#This Row],[next move]],1))+1+VALUE(LEFT(Table132[[#This Row],[next move]],1))*3,1)</f>
        <v>V</v>
      </c>
      <c r="I4685" t="str">
        <f>Table132[[#This Row],[ÉTAT]]&amp;Table132[[#This Row],[next move]]</f>
        <v>MEEMMVVVE20</v>
      </c>
    </row>
    <row r="4686" spans="2:9" x14ac:dyDescent="0.25">
      <c r="B4686" t="s">
        <v>1980</v>
      </c>
      <c r="C4686" s="22" t="s">
        <v>28</v>
      </c>
      <c r="D4686">
        <v>3</v>
      </c>
      <c r="E4686">
        <v>3</v>
      </c>
      <c r="G4686" s="31">
        <f>Table132[[#This Row],[nb win]]/Table132[[#This Row],[nb play]]</f>
        <v>1</v>
      </c>
      <c r="H4686" t="str">
        <f>MID(Table132[[#This Row],[ÉTAT]],VALUE(RIGHT(Table132[[#This Row],[next move]],1))+1+VALUE(LEFT(Table132[[#This Row],[next move]],1))*3,1)</f>
        <v>V</v>
      </c>
      <c r="I4686" t="str">
        <f>Table132[[#This Row],[ÉTAT]]&amp;Table132[[#This Row],[next move]]</f>
        <v>MEEMMVVEV12</v>
      </c>
    </row>
    <row r="4687" spans="2:9" x14ac:dyDescent="0.25">
      <c r="B4687" t="s">
        <v>1218</v>
      </c>
      <c r="C4687" s="22" t="s">
        <v>28</v>
      </c>
      <c r="D4687">
        <v>1</v>
      </c>
      <c r="E4687">
        <v>1</v>
      </c>
      <c r="G4687" s="25">
        <f>Table132[[#This Row],[nb win]]/Table132[[#This Row],[nb play]]</f>
        <v>1</v>
      </c>
      <c r="H4687" t="str">
        <f>MID(Table132[[#This Row],[ÉTAT]],VALUE(RIGHT(Table132[[#This Row],[next move]],1))+1+VALUE(LEFT(Table132[[#This Row],[next move]],1))*3,1)</f>
        <v>V</v>
      </c>
      <c r="I4687" t="str">
        <f>Table132[[#This Row],[ÉTAT]]&amp;Table132[[#This Row],[next move]]</f>
        <v>MEEMMVVEE12</v>
      </c>
    </row>
    <row r="4688" spans="2:9" x14ac:dyDescent="0.25">
      <c r="B4688" t="s">
        <v>935</v>
      </c>
      <c r="C4688" s="22" t="s">
        <v>31</v>
      </c>
      <c r="D4688">
        <v>3</v>
      </c>
      <c r="E4688">
        <v>3</v>
      </c>
      <c r="G4688" s="31">
        <f>Table132[[#This Row],[nb win]]/Table132[[#This Row],[nb play]]</f>
        <v>1</v>
      </c>
      <c r="H4688" t="str">
        <f>MID(Table132[[#This Row],[ÉTAT]],VALUE(RIGHT(Table132[[#This Row],[next move]],1))+1+VALUE(LEFT(Table132[[#This Row],[next move]],1))*3,1)</f>
        <v>V</v>
      </c>
      <c r="I4688" t="str">
        <f>Table132[[#This Row],[ÉTAT]]&amp;Table132[[#This Row],[next move]]</f>
        <v>MEEMMVEVV22</v>
      </c>
    </row>
    <row r="4689" spans="2:9" x14ac:dyDescent="0.25">
      <c r="B4689" t="s">
        <v>2865</v>
      </c>
      <c r="C4689" s="22" t="s">
        <v>22</v>
      </c>
      <c r="D4689">
        <v>1</v>
      </c>
      <c r="G4689" s="25">
        <f>Table132[[#This Row],[nb win]]/Table132[[#This Row],[nb play]]</f>
        <v>0</v>
      </c>
      <c r="H4689" t="str">
        <f>MID(Table132[[#This Row],[ÉTAT]],VALUE(RIGHT(Table132[[#This Row],[next move]],1))+1+VALUE(LEFT(Table132[[#This Row],[next move]],1))*3,1)</f>
        <v>V</v>
      </c>
      <c r="I4689" t="str">
        <f>Table132[[#This Row],[ÉTAT]]&amp;Table132[[#This Row],[next move]]</f>
        <v>MEEMMVEVE21</v>
      </c>
    </row>
    <row r="4690" spans="2:9" x14ac:dyDescent="0.25">
      <c r="B4690" t="s">
        <v>287</v>
      </c>
      <c r="C4690" s="22" t="s">
        <v>28</v>
      </c>
      <c r="D4690">
        <v>3</v>
      </c>
      <c r="E4690">
        <v>3</v>
      </c>
      <c r="G4690" s="31">
        <f>Table132[[#This Row],[nb win]]/Table132[[#This Row],[nb play]]</f>
        <v>1</v>
      </c>
      <c r="H4690" t="str">
        <f>MID(Table132[[#This Row],[ÉTAT]],VALUE(RIGHT(Table132[[#This Row],[next move]],1))+1+VALUE(LEFT(Table132[[#This Row],[next move]],1))*3,1)</f>
        <v>V</v>
      </c>
      <c r="I4690" t="str">
        <f>Table132[[#This Row],[ÉTAT]]&amp;Table132[[#This Row],[next move]]</f>
        <v>MEEMMVEME12</v>
      </c>
    </row>
    <row r="4691" spans="2:9" x14ac:dyDescent="0.25">
      <c r="B4691" t="s">
        <v>1554</v>
      </c>
      <c r="C4691" s="22" t="s">
        <v>35</v>
      </c>
      <c r="D4691">
        <v>2</v>
      </c>
      <c r="E4691">
        <v>2</v>
      </c>
      <c r="G4691" s="31">
        <f>Table132[[#This Row],[nb win]]/Table132[[#This Row],[nb play]]</f>
        <v>1</v>
      </c>
      <c r="H4691" t="str">
        <f>MID(Table132[[#This Row],[ÉTAT]],VALUE(RIGHT(Table132[[#This Row],[next move]],1))+1+VALUE(LEFT(Table132[[#This Row],[next move]],1))*3,1)</f>
        <v>V</v>
      </c>
      <c r="I4691" t="str">
        <f>Table132[[#This Row],[ÉTAT]]&amp;Table132[[#This Row],[next move]]</f>
        <v>MEEMMEVVV20</v>
      </c>
    </row>
    <row r="4692" spans="2:9" x14ac:dyDescent="0.25">
      <c r="B4692" t="s">
        <v>1554</v>
      </c>
      <c r="C4692" s="22" t="s">
        <v>22</v>
      </c>
      <c r="D4692">
        <v>3</v>
      </c>
      <c r="G4692" s="25">
        <f>Table132[[#This Row],[nb win]]/Table132[[#This Row],[nb play]]</f>
        <v>0</v>
      </c>
      <c r="H4692" t="str">
        <f>MID(Table132[[#This Row],[ÉTAT]],VALUE(RIGHT(Table132[[#This Row],[next move]],1))+1+VALUE(LEFT(Table132[[#This Row],[next move]],1))*3,1)</f>
        <v>V</v>
      </c>
      <c r="I4692" t="str">
        <f>Table132[[#This Row],[ÉTAT]]&amp;Table132[[#This Row],[next move]]</f>
        <v>MEEMMEVVV21</v>
      </c>
    </row>
    <row r="4693" spans="2:9" x14ac:dyDescent="0.25">
      <c r="B4693" t="s">
        <v>2550</v>
      </c>
      <c r="C4693" s="22" t="s">
        <v>35</v>
      </c>
      <c r="D4693">
        <v>1</v>
      </c>
      <c r="E4693">
        <v>1</v>
      </c>
      <c r="G4693" s="25">
        <f>Table132[[#This Row],[nb win]]/Table132[[#This Row],[nb play]]</f>
        <v>1</v>
      </c>
      <c r="H4693" t="str">
        <f>MID(Table132[[#This Row],[ÉTAT]],VALUE(RIGHT(Table132[[#This Row],[next move]],1))+1+VALUE(LEFT(Table132[[#This Row],[next move]],1))*3,1)</f>
        <v>V</v>
      </c>
      <c r="I4693" t="str">
        <f>Table132[[#This Row],[ÉTAT]]&amp;Table132[[#This Row],[next move]]</f>
        <v>MEEMMEVEV20</v>
      </c>
    </row>
    <row r="4694" spans="2:9" x14ac:dyDescent="0.25">
      <c r="B4694" t="s">
        <v>1438</v>
      </c>
      <c r="C4694" s="22" t="s">
        <v>31</v>
      </c>
      <c r="D4694">
        <v>1</v>
      </c>
      <c r="E4694">
        <v>1</v>
      </c>
      <c r="G4694" s="25">
        <f>Table132[[#This Row],[nb win]]/Table132[[#This Row],[nb play]]</f>
        <v>1</v>
      </c>
      <c r="H4694" t="str">
        <f>MID(Table132[[#This Row],[ÉTAT]],VALUE(RIGHT(Table132[[#This Row],[next move]],1))+1+VALUE(LEFT(Table132[[#This Row],[next move]],1))*3,1)</f>
        <v>V</v>
      </c>
      <c r="I4694" t="str">
        <f>Table132[[#This Row],[ÉTAT]]&amp;Table132[[#This Row],[next move]]</f>
        <v>MEEMMEEVV22</v>
      </c>
    </row>
    <row r="4695" spans="2:9" x14ac:dyDescent="0.25">
      <c r="B4695" t="s">
        <v>1093</v>
      </c>
      <c r="C4695" s="22" t="s">
        <v>31</v>
      </c>
      <c r="D4695">
        <v>3</v>
      </c>
      <c r="E4695">
        <v>3</v>
      </c>
      <c r="G4695" s="25">
        <f>Table132[[#This Row],[nb win]]/Table132[[#This Row],[nb play]]</f>
        <v>1</v>
      </c>
      <c r="H4695" t="str">
        <f>MID(Table132[[#This Row],[ÉTAT]],VALUE(RIGHT(Table132[[#This Row],[next move]],1))+1+VALUE(LEFT(Table132[[#This Row],[next move]],1))*3,1)</f>
        <v>V</v>
      </c>
      <c r="I4695" t="str">
        <f>Table132[[#This Row],[ÉTAT]]&amp;Table132[[#This Row],[next move]]</f>
        <v>MEEMMEEMV22</v>
      </c>
    </row>
    <row r="4696" spans="2:9" x14ac:dyDescent="0.25">
      <c r="B4696" t="s">
        <v>1936</v>
      </c>
      <c r="C4696" s="22" t="s">
        <v>35</v>
      </c>
      <c r="D4696">
        <v>5</v>
      </c>
      <c r="E4696">
        <v>5</v>
      </c>
      <c r="G4696" s="31">
        <f>Table132[[#This Row],[nb win]]/Table132[[#This Row],[nb play]]</f>
        <v>1</v>
      </c>
      <c r="H4696" t="str">
        <f>MID(Table132[[#This Row],[ÉTAT]],VALUE(RIGHT(Table132[[#This Row],[next move]],1))+1+VALUE(LEFT(Table132[[#This Row],[next move]],1))*3,1)</f>
        <v>V</v>
      </c>
      <c r="I4696" t="str">
        <f>Table132[[#This Row],[ÉTAT]]&amp;Table132[[#This Row],[next move]]</f>
        <v>MEEMEVVVV20</v>
      </c>
    </row>
    <row r="4697" spans="2:9" x14ac:dyDescent="0.25">
      <c r="B4697" t="s">
        <v>3241</v>
      </c>
      <c r="C4697" s="22" t="s">
        <v>28</v>
      </c>
      <c r="D4697">
        <v>1</v>
      </c>
      <c r="G4697" s="30">
        <f>Table132[[#This Row],[nb win]]/Table132[[#This Row],[nb play]]</f>
        <v>0</v>
      </c>
      <c r="H4697" t="str">
        <f>MID(Table132[[#This Row],[ÉTAT]],VALUE(RIGHT(Table132[[#This Row],[next move]],1))+1+VALUE(LEFT(Table132[[#This Row],[next move]],1))*3,1)</f>
        <v>V</v>
      </c>
      <c r="I4697" t="str">
        <f>Table132[[#This Row],[ÉTAT]]&amp;Table132[[#This Row],[next move]]</f>
        <v>MEEMEVVMV12</v>
      </c>
    </row>
    <row r="4698" spans="2:9" x14ac:dyDescent="0.25">
      <c r="B4698" t="s">
        <v>836</v>
      </c>
      <c r="C4698" s="22" t="s">
        <v>28</v>
      </c>
      <c r="D4698">
        <v>2</v>
      </c>
      <c r="G4698" s="30">
        <f>Table132[[#This Row],[nb win]]/Table132[[#This Row],[nb play]]</f>
        <v>0</v>
      </c>
      <c r="H4698" t="str">
        <f>MID(Table132[[#This Row],[ÉTAT]],VALUE(RIGHT(Table132[[#This Row],[next move]],1))+1+VALUE(LEFT(Table132[[#This Row],[next move]],1))*3,1)</f>
        <v>V</v>
      </c>
      <c r="I4698" t="str">
        <f>Table132[[#This Row],[ÉTAT]]&amp;Table132[[#This Row],[next move]]</f>
        <v>MEEMEVVME12</v>
      </c>
    </row>
    <row r="4699" spans="2:9" x14ac:dyDescent="0.25">
      <c r="B4699" t="s">
        <v>836</v>
      </c>
      <c r="C4699" s="22" t="s">
        <v>35</v>
      </c>
      <c r="D4699">
        <v>4</v>
      </c>
      <c r="E4699">
        <v>4</v>
      </c>
      <c r="G4699" s="25">
        <f>Table132[[#This Row],[nb win]]/Table132[[#This Row],[nb play]]</f>
        <v>1</v>
      </c>
      <c r="H4699" t="str">
        <f>MID(Table132[[#This Row],[ÉTAT]],VALUE(RIGHT(Table132[[#This Row],[next move]],1))+1+VALUE(LEFT(Table132[[#This Row],[next move]],1))*3,1)</f>
        <v>V</v>
      </c>
      <c r="I4699" t="str">
        <f>Table132[[#This Row],[ÉTAT]]&amp;Table132[[#This Row],[next move]]</f>
        <v>MEEMEVVME20</v>
      </c>
    </row>
    <row r="4700" spans="2:9" x14ac:dyDescent="0.25">
      <c r="B4700" t="s">
        <v>1683</v>
      </c>
      <c r="C4700" s="22" t="s">
        <v>35</v>
      </c>
      <c r="D4700">
        <v>2</v>
      </c>
      <c r="E4700">
        <v>2</v>
      </c>
      <c r="G4700" s="25">
        <f>Table132[[#This Row],[nb win]]/Table132[[#This Row],[nb play]]</f>
        <v>1</v>
      </c>
      <c r="H4700" t="str">
        <f>MID(Table132[[#This Row],[ÉTAT]],VALUE(RIGHT(Table132[[#This Row],[next move]],1))+1+VALUE(LEFT(Table132[[#This Row],[next move]],1))*3,1)</f>
        <v>V</v>
      </c>
      <c r="I4700" t="str">
        <f>Table132[[#This Row],[ÉTAT]]&amp;Table132[[#This Row],[next move]]</f>
        <v>MEEMEMVVV20</v>
      </c>
    </row>
    <row r="4701" spans="2:9" x14ac:dyDescent="0.25">
      <c r="B4701" t="s">
        <v>1594</v>
      </c>
      <c r="C4701" s="22" t="s">
        <v>35</v>
      </c>
      <c r="D4701">
        <v>1</v>
      </c>
      <c r="E4701">
        <v>1</v>
      </c>
      <c r="G4701" s="25">
        <f>Table132[[#This Row],[nb win]]/Table132[[#This Row],[nb play]]</f>
        <v>1</v>
      </c>
      <c r="H4701" t="str">
        <f>MID(Table132[[#This Row],[ÉTAT]],VALUE(RIGHT(Table132[[#This Row],[next move]],1))+1+VALUE(LEFT(Table132[[#This Row],[next move]],1))*3,1)</f>
        <v>V</v>
      </c>
      <c r="I4701" t="str">
        <f>Table132[[#This Row],[ÉTAT]]&amp;Table132[[#This Row],[next move]]</f>
        <v>MEEMEMVVE20</v>
      </c>
    </row>
    <row r="4702" spans="2:9" x14ac:dyDescent="0.25">
      <c r="B4702" t="s">
        <v>1594</v>
      </c>
      <c r="C4702" s="22" t="s">
        <v>22</v>
      </c>
      <c r="D4702">
        <v>3</v>
      </c>
      <c r="G4702" s="30">
        <f>Table132[[#This Row],[nb win]]/Table132[[#This Row],[nb play]]</f>
        <v>0</v>
      </c>
      <c r="H4702" t="str">
        <f>MID(Table132[[#This Row],[ÉTAT]],VALUE(RIGHT(Table132[[#This Row],[next move]],1))+1+VALUE(LEFT(Table132[[#This Row],[next move]],1))*3,1)</f>
        <v>V</v>
      </c>
      <c r="I4702" t="str">
        <f>Table132[[#This Row],[ÉTAT]]&amp;Table132[[#This Row],[next move]]</f>
        <v>MEEMEMVVE21</v>
      </c>
    </row>
    <row r="4703" spans="2:9" x14ac:dyDescent="0.25">
      <c r="B4703" t="s">
        <v>2723</v>
      </c>
      <c r="C4703" s="22" t="s">
        <v>35</v>
      </c>
      <c r="D4703">
        <v>2</v>
      </c>
      <c r="E4703">
        <v>2</v>
      </c>
      <c r="G4703" s="25">
        <f>Table132[[#This Row],[nb win]]/Table132[[#This Row],[nb play]]</f>
        <v>1</v>
      </c>
      <c r="H4703" t="str">
        <f>MID(Table132[[#This Row],[ÉTAT]],VALUE(RIGHT(Table132[[#This Row],[next move]],1))+1+VALUE(LEFT(Table132[[#This Row],[next move]],1))*3,1)</f>
        <v>V</v>
      </c>
      <c r="I4703" t="str">
        <f>Table132[[#This Row],[ÉTAT]]&amp;Table132[[#This Row],[next move]]</f>
        <v>MEEMEMVME20</v>
      </c>
    </row>
    <row r="4704" spans="2:9" x14ac:dyDescent="0.25">
      <c r="B4704" t="s">
        <v>3436</v>
      </c>
      <c r="C4704" s="22" t="s">
        <v>35</v>
      </c>
      <c r="D4704">
        <v>1</v>
      </c>
      <c r="E4704">
        <v>1</v>
      </c>
      <c r="G4704" s="31">
        <f>Table132[[#This Row],[nb win]]/Table132[[#This Row],[nb play]]</f>
        <v>1</v>
      </c>
      <c r="H4704" t="str">
        <f>MID(Table132[[#This Row],[ÉTAT]],VALUE(RIGHT(Table132[[#This Row],[next move]],1))+1+VALUE(LEFT(Table132[[#This Row],[next move]],1))*3,1)</f>
        <v>V</v>
      </c>
      <c r="I4704" t="str">
        <f>Table132[[#This Row],[ÉTAT]]&amp;Table132[[#This Row],[next move]]</f>
        <v>MEEMEEVVM20</v>
      </c>
    </row>
    <row r="4705" spans="2:9" x14ac:dyDescent="0.25">
      <c r="B4705" t="s">
        <v>271</v>
      </c>
      <c r="C4705" s="22" t="s">
        <v>35</v>
      </c>
      <c r="D4705">
        <v>2</v>
      </c>
      <c r="E4705">
        <v>2</v>
      </c>
      <c r="G4705" s="31">
        <f>Table132[[#This Row],[nb win]]/Table132[[#This Row],[nb play]]</f>
        <v>1</v>
      </c>
      <c r="H4705" t="str">
        <f>MID(Table132[[#This Row],[ÉTAT]],VALUE(RIGHT(Table132[[#This Row],[next move]],1))+1+VALUE(LEFT(Table132[[#This Row],[next move]],1))*3,1)</f>
        <v>V</v>
      </c>
      <c r="I4705" t="str">
        <f>Table132[[#This Row],[ÉTAT]]&amp;Table132[[#This Row],[next move]]</f>
        <v>MEEMEEVMV20</v>
      </c>
    </row>
    <row r="4706" spans="2:9" x14ac:dyDescent="0.25">
      <c r="B4706" t="s">
        <v>271</v>
      </c>
      <c r="C4706" s="22" t="s">
        <v>31</v>
      </c>
      <c r="D4706">
        <v>1</v>
      </c>
      <c r="G4706" s="25">
        <f>Table132[[#This Row],[nb win]]/Table132[[#This Row],[nb play]]</f>
        <v>0</v>
      </c>
      <c r="H4706" t="str">
        <f>MID(Table132[[#This Row],[ÉTAT]],VALUE(RIGHT(Table132[[#This Row],[next move]],1))+1+VALUE(LEFT(Table132[[#This Row],[next move]],1))*3,1)</f>
        <v>V</v>
      </c>
      <c r="I4706" t="str">
        <f>Table132[[#This Row],[ÉTAT]]&amp;Table132[[#This Row],[next move]]</f>
        <v>MEEMEEVMV22</v>
      </c>
    </row>
    <row r="4707" spans="2:9" x14ac:dyDescent="0.25">
      <c r="B4707" t="s">
        <v>2607</v>
      </c>
      <c r="C4707" s="22" t="s">
        <v>35</v>
      </c>
      <c r="D4707">
        <v>3</v>
      </c>
      <c r="E4707">
        <v>3</v>
      </c>
      <c r="G4707" s="31">
        <f>Table132[[#This Row],[nb win]]/Table132[[#This Row],[nb play]]</f>
        <v>1</v>
      </c>
      <c r="H4707" t="str">
        <f>MID(Table132[[#This Row],[ÉTAT]],VALUE(RIGHT(Table132[[#This Row],[next move]],1))+1+VALUE(LEFT(Table132[[#This Row],[next move]],1))*3,1)</f>
        <v>V</v>
      </c>
      <c r="I4707" t="str">
        <f>Table132[[#This Row],[ÉTAT]]&amp;Table132[[#This Row],[next move]]</f>
        <v>MEEMEEVMM20</v>
      </c>
    </row>
    <row r="4708" spans="2:9" x14ac:dyDescent="0.25">
      <c r="B4708" t="s">
        <v>1783</v>
      </c>
      <c r="C4708" s="22" t="s">
        <v>29</v>
      </c>
      <c r="D4708">
        <v>4</v>
      </c>
      <c r="E4708">
        <v>4</v>
      </c>
      <c r="G4708" s="25">
        <f>Table132[[#This Row],[nb win]]/Table132[[#This Row],[nb play]]</f>
        <v>1</v>
      </c>
      <c r="H4708" t="str">
        <f>MID(Table132[[#This Row],[ÉTAT]],VALUE(RIGHT(Table132[[#This Row],[next move]],1))+1+VALUE(LEFT(Table132[[#This Row],[next move]],1))*3,1)</f>
        <v>V</v>
      </c>
      <c r="I4708" t="str">
        <f>Table132[[#This Row],[ÉTAT]]&amp;Table132[[#This Row],[next move]]</f>
        <v>MEEEVVVVM11</v>
      </c>
    </row>
    <row r="4709" spans="2:9" x14ac:dyDescent="0.25">
      <c r="B4709" t="s">
        <v>1570</v>
      </c>
      <c r="C4709" s="22" t="s">
        <v>35</v>
      </c>
      <c r="D4709">
        <v>2</v>
      </c>
      <c r="E4709">
        <v>2</v>
      </c>
      <c r="G4709" s="31">
        <f>Table132[[#This Row],[nb win]]/Table132[[#This Row],[nb play]]</f>
        <v>1</v>
      </c>
      <c r="H4709" t="str">
        <f>MID(Table132[[#This Row],[ÉTAT]],VALUE(RIGHT(Table132[[#This Row],[next move]],1))+1+VALUE(LEFT(Table132[[#This Row],[next move]],1))*3,1)</f>
        <v>V</v>
      </c>
      <c r="I4709" t="str">
        <f>Table132[[#This Row],[ÉTAT]]&amp;Table132[[#This Row],[next move]]</f>
        <v>MEEEVVVMM20</v>
      </c>
    </row>
    <row r="4710" spans="2:9" x14ac:dyDescent="0.25">
      <c r="B4710" t="s">
        <v>2856</v>
      </c>
      <c r="C4710" s="22" t="s">
        <v>22</v>
      </c>
      <c r="D4710">
        <v>1</v>
      </c>
      <c r="E4710">
        <v>1</v>
      </c>
      <c r="G4710" s="25">
        <f>Table132[[#This Row],[nb win]]/Table132[[#This Row],[nb play]]</f>
        <v>1</v>
      </c>
      <c r="H4710" t="str">
        <f>MID(Table132[[#This Row],[ÉTAT]],VALUE(RIGHT(Table132[[#This Row],[next move]],1))+1+VALUE(LEFT(Table132[[#This Row],[next move]],1))*3,1)</f>
        <v>V</v>
      </c>
      <c r="I4710" t="str">
        <f>Table132[[#This Row],[ÉTAT]]&amp;Table132[[#This Row],[next move]]</f>
        <v>MEEEVVMVV21</v>
      </c>
    </row>
    <row r="4711" spans="2:9" x14ac:dyDescent="0.25">
      <c r="B4711" t="s">
        <v>2264</v>
      </c>
      <c r="C4711" s="22" t="s">
        <v>29</v>
      </c>
      <c r="D4711">
        <v>2</v>
      </c>
      <c r="E4711">
        <v>2</v>
      </c>
      <c r="G4711" s="31">
        <f>Table132[[#This Row],[nb win]]/Table132[[#This Row],[nb play]]</f>
        <v>1</v>
      </c>
      <c r="H4711" t="str">
        <f>MID(Table132[[#This Row],[ÉTAT]],VALUE(RIGHT(Table132[[#This Row],[next move]],1))+1+VALUE(LEFT(Table132[[#This Row],[next move]],1))*3,1)</f>
        <v>V</v>
      </c>
      <c r="I4711" t="str">
        <f>Table132[[#This Row],[ÉTAT]]&amp;Table132[[#This Row],[next move]]</f>
        <v>MEEEVVMVM11</v>
      </c>
    </row>
    <row r="4712" spans="2:9" x14ac:dyDescent="0.25">
      <c r="B4712" t="s">
        <v>1960</v>
      </c>
      <c r="C4712" s="22" t="s">
        <v>29</v>
      </c>
      <c r="D4712">
        <v>1</v>
      </c>
      <c r="E4712">
        <v>1</v>
      </c>
      <c r="G4712" s="25">
        <f>Table132[[#This Row],[nb win]]/Table132[[#This Row],[nb play]]</f>
        <v>1</v>
      </c>
      <c r="H4712" t="str">
        <f>MID(Table132[[#This Row],[ÉTAT]],VALUE(RIGHT(Table132[[#This Row],[next move]],1))+1+VALUE(LEFT(Table132[[#This Row],[next move]],1))*3,1)</f>
        <v>V</v>
      </c>
      <c r="I4712" t="str">
        <f>Table132[[#This Row],[ÉTAT]]&amp;Table132[[#This Row],[next move]]</f>
        <v>MEEEVVMEM11</v>
      </c>
    </row>
    <row r="4713" spans="2:9" x14ac:dyDescent="0.25">
      <c r="B4713" t="s">
        <v>2885</v>
      </c>
      <c r="C4713" s="22" t="s">
        <v>35</v>
      </c>
      <c r="D4713">
        <v>1</v>
      </c>
      <c r="E4713">
        <v>1</v>
      </c>
      <c r="G4713" s="25">
        <f>Table132[[#This Row],[nb win]]/Table132[[#This Row],[nb play]]</f>
        <v>1</v>
      </c>
      <c r="H4713" t="str">
        <f>MID(Table132[[#This Row],[ÉTAT]],VALUE(RIGHT(Table132[[#This Row],[next move]],1))+1+VALUE(LEFT(Table132[[#This Row],[next move]],1))*3,1)</f>
        <v>V</v>
      </c>
      <c r="I4713" t="str">
        <f>Table132[[#This Row],[ÉTAT]]&amp;Table132[[#This Row],[next move]]</f>
        <v>MEEEVMVVM20</v>
      </c>
    </row>
    <row r="4714" spans="2:9" x14ac:dyDescent="0.25">
      <c r="B4714" t="s">
        <v>3133</v>
      </c>
      <c r="C4714" s="22" t="s">
        <v>35</v>
      </c>
      <c r="D4714">
        <v>1</v>
      </c>
      <c r="E4714">
        <v>1</v>
      </c>
      <c r="G4714" s="31">
        <f>Table132[[#This Row],[nb win]]/Table132[[#This Row],[nb play]]</f>
        <v>1</v>
      </c>
      <c r="H4714" t="str">
        <f>MID(Table132[[#This Row],[ÉTAT]],VALUE(RIGHT(Table132[[#This Row],[next move]],1))+1+VALUE(LEFT(Table132[[#This Row],[next move]],1))*3,1)</f>
        <v>V</v>
      </c>
      <c r="I4714" t="str">
        <f>Table132[[#This Row],[ÉTAT]]&amp;Table132[[#This Row],[next move]]</f>
        <v>MEEEVMVMV20</v>
      </c>
    </row>
    <row r="4715" spans="2:9" x14ac:dyDescent="0.25">
      <c r="B4715" t="s">
        <v>1592</v>
      </c>
      <c r="C4715" s="22" t="s">
        <v>29</v>
      </c>
      <c r="D4715">
        <v>2</v>
      </c>
      <c r="E4715">
        <v>2</v>
      </c>
      <c r="G4715" s="31">
        <f>Table132[[#This Row],[nb win]]/Table132[[#This Row],[nb play]]</f>
        <v>1</v>
      </c>
      <c r="H4715" t="str">
        <f>MID(Table132[[#This Row],[ÉTAT]],VALUE(RIGHT(Table132[[#This Row],[next move]],1))+1+VALUE(LEFT(Table132[[#This Row],[next move]],1))*3,1)</f>
        <v>V</v>
      </c>
      <c r="I4715" t="str">
        <f>Table132[[#This Row],[ÉTAT]]&amp;Table132[[#This Row],[next move]]</f>
        <v>MEEEVMMEM11</v>
      </c>
    </row>
    <row r="4716" spans="2:9" x14ac:dyDescent="0.25">
      <c r="B4716" t="s">
        <v>3235</v>
      </c>
      <c r="C4716" s="22" t="s">
        <v>29</v>
      </c>
      <c r="D4716">
        <v>2</v>
      </c>
      <c r="E4716">
        <v>2</v>
      </c>
      <c r="G4716" s="31">
        <f>Table132[[#This Row],[nb win]]/Table132[[#This Row],[nb play]]</f>
        <v>1</v>
      </c>
      <c r="H4716" t="str">
        <f>MID(Table132[[#This Row],[ÉTAT]],VALUE(RIGHT(Table132[[#This Row],[next move]],1))+1+VALUE(LEFT(Table132[[#This Row],[next move]],1))*3,1)</f>
        <v>V</v>
      </c>
      <c r="I4716" t="str">
        <f>Table132[[#This Row],[ÉTAT]]&amp;Table132[[#This Row],[next move]]</f>
        <v>MEEEVMEVM11</v>
      </c>
    </row>
    <row r="4717" spans="2:9" x14ac:dyDescent="0.25">
      <c r="B4717" t="s">
        <v>3235</v>
      </c>
      <c r="C4717" s="22" t="s">
        <v>22</v>
      </c>
      <c r="D4717">
        <v>1</v>
      </c>
      <c r="G4717" s="30">
        <f>Table132[[#This Row],[nb win]]/Table132[[#This Row],[nb play]]</f>
        <v>0</v>
      </c>
      <c r="H4717" t="str">
        <f>MID(Table132[[#This Row],[ÉTAT]],VALUE(RIGHT(Table132[[#This Row],[next move]],1))+1+VALUE(LEFT(Table132[[#This Row],[next move]],1))*3,1)</f>
        <v>V</v>
      </c>
      <c r="I4717" t="str">
        <f>Table132[[#This Row],[ÉTAT]]&amp;Table132[[#This Row],[next move]]</f>
        <v>MEEEVMEVM21</v>
      </c>
    </row>
    <row r="4718" spans="2:9" x14ac:dyDescent="0.25">
      <c r="B4718" t="s">
        <v>124</v>
      </c>
      <c r="C4718" s="22" t="s">
        <v>29</v>
      </c>
      <c r="D4718">
        <v>2</v>
      </c>
      <c r="E4718">
        <v>2</v>
      </c>
      <c r="G4718" s="25">
        <f>Table132[[#This Row],[nb win]]/Table132[[#This Row],[nb play]]</f>
        <v>1</v>
      </c>
      <c r="H4718" t="str">
        <f>MID(Table132[[#This Row],[ÉTAT]],VALUE(RIGHT(Table132[[#This Row],[next move]],1))+1+VALUE(LEFT(Table132[[#This Row],[next move]],1))*3,1)</f>
        <v>V</v>
      </c>
      <c r="I4718" t="str">
        <f>Table132[[#This Row],[ÉTAT]]&amp;Table132[[#This Row],[next move]]</f>
        <v>MEEEVMEMM11</v>
      </c>
    </row>
    <row r="4719" spans="2:9" x14ac:dyDescent="0.25">
      <c r="B4719" t="s">
        <v>3432</v>
      </c>
      <c r="C4719" s="22" t="s">
        <v>29</v>
      </c>
      <c r="D4719">
        <v>1</v>
      </c>
      <c r="E4719">
        <v>1</v>
      </c>
      <c r="G4719" s="31">
        <f>Table132[[#This Row],[nb win]]/Table132[[#This Row],[nb play]]</f>
        <v>1</v>
      </c>
      <c r="H4719" t="str">
        <f>MID(Table132[[#This Row],[ÉTAT]],VALUE(RIGHT(Table132[[#This Row],[next move]],1))+1+VALUE(LEFT(Table132[[#This Row],[next move]],1))*3,1)</f>
        <v>V</v>
      </c>
      <c r="I4719" t="str">
        <f>Table132[[#This Row],[ÉTAT]]&amp;Table132[[#This Row],[next move]]</f>
        <v>MEEEVEVMM11</v>
      </c>
    </row>
    <row r="4720" spans="2:9" x14ac:dyDescent="0.25">
      <c r="B4720" t="s">
        <v>2396</v>
      </c>
      <c r="C4720" s="22" t="s">
        <v>29</v>
      </c>
      <c r="D4720">
        <v>1</v>
      </c>
      <c r="E4720">
        <v>1</v>
      </c>
      <c r="G4720" s="25">
        <f>Table132[[#This Row],[nb win]]/Table132[[#This Row],[nb play]]</f>
        <v>1</v>
      </c>
      <c r="H4720" t="str">
        <f>MID(Table132[[#This Row],[ÉTAT]],VALUE(RIGHT(Table132[[#This Row],[next move]],1))+1+VALUE(LEFT(Table132[[#This Row],[next move]],1))*3,1)</f>
        <v>V</v>
      </c>
      <c r="I4720" t="str">
        <f>Table132[[#This Row],[ÉTAT]]&amp;Table132[[#This Row],[next move]]</f>
        <v>MEEEVEMVM11</v>
      </c>
    </row>
    <row r="4721" spans="2:9" x14ac:dyDescent="0.25">
      <c r="B4721" t="s">
        <v>1378</v>
      </c>
      <c r="C4721" s="22" t="s">
        <v>29</v>
      </c>
      <c r="D4721">
        <v>1</v>
      </c>
      <c r="G4721" s="25">
        <f>Table132[[#This Row],[nb win]]/Table132[[#This Row],[nb play]]</f>
        <v>0</v>
      </c>
      <c r="H4721" t="str">
        <f>MID(Table132[[#This Row],[ÉTAT]],VALUE(RIGHT(Table132[[#This Row],[next move]],1))+1+VALUE(LEFT(Table132[[#This Row],[next move]],1))*3,1)</f>
        <v>V</v>
      </c>
      <c r="I4721" t="str">
        <f>Table132[[#This Row],[ÉTAT]]&amp;Table132[[#This Row],[next move]]</f>
        <v>MEEEVEMMV11</v>
      </c>
    </row>
    <row r="4722" spans="2:9" x14ac:dyDescent="0.25">
      <c r="B4722" t="s">
        <v>1378</v>
      </c>
      <c r="C4722" s="22" t="s">
        <v>31</v>
      </c>
      <c r="D4722">
        <v>2</v>
      </c>
      <c r="E4722">
        <v>2</v>
      </c>
      <c r="G4722" s="31">
        <f>Table132[[#This Row],[nb win]]/Table132[[#This Row],[nb play]]</f>
        <v>1</v>
      </c>
      <c r="H4722" t="str">
        <f>MID(Table132[[#This Row],[ÉTAT]],VALUE(RIGHT(Table132[[#This Row],[next move]],1))+1+VALUE(LEFT(Table132[[#This Row],[next move]],1))*3,1)</f>
        <v>V</v>
      </c>
      <c r="I4722" t="str">
        <f>Table132[[#This Row],[ÉTAT]]&amp;Table132[[#This Row],[next move]]</f>
        <v>MEEEVEMMV22</v>
      </c>
    </row>
    <row r="4723" spans="2:9" x14ac:dyDescent="0.25">
      <c r="B4723" t="s">
        <v>54</v>
      </c>
      <c r="C4723" s="22" t="s">
        <v>22</v>
      </c>
      <c r="D4723">
        <v>1</v>
      </c>
      <c r="G4723" s="25">
        <f>Table132[[#This Row],[nb win]]/Table132[[#This Row],[nb play]]</f>
        <v>0</v>
      </c>
      <c r="H4723" t="str">
        <f>MID(Table132[[#This Row],[ÉTAT]],VALUE(RIGHT(Table132[[#This Row],[next move]],1))+1+VALUE(LEFT(Table132[[#This Row],[next move]],1))*3,1)</f>
        <v>V</v>
      </c>
      <c r="I4723" t="str">
        <f>Table132[[#This Row],[ÉTAT]]&amp;Table132[[#This Row],[next move]]</f>
        <v>MEEEMVVVV21</v>
      </c>
    </row>
    <row r="4724" spans="2:9" x14ac:dyDescent="0.25">
      <c r="B4724" t="s">
        <v>54</v>
      </c>
      <c r="C4724" s="22" t="s">
        <v>31</v>
      </c>
      <c r="D4724">
        <v>2</v>
      </c>
      <c r="E4724">
        <v>2</v>
      </c>
      <c r="G4724" s="25">
        <f>Table132[[#This Row],[nb win]]/Table132[[#This Row],[nb play]]</f>
        <v>1</v>
      </c>
      <c r="H4724" t="str">
        <f>MID(Table132[[#This Row],[ÉTAT]],VALUE(RIGHT(Table132[[#This Row],[next move]],1))+1+VALUE(LEFT(Table132[[#This Row],[next move]],1))*3,1)</f>
        <v>V</v>
      </c>
      <c r="I4724" t="str">
        <f>Table132[[#This Row],[ÉTAT]]&amp;Table132[[#This Row],[next move]]</f>
        <v>MEEEMVVVV22</v>
      </c>
    </row>
    <row r="4725" spans="2:9" x14ac:dyDescent="0.25">
      <c r="B4725" t="s">
        <v>1673</v>
      </c>
      <c r="C4725" s="22" t="s">
        <v>31</v>
      </c>
      <c r="D4725">
        <v>2</v>
      </c>
      <c r="E4725">
        <v>2</v>
      </c>
      <c r="G4725" s="25">
        <f>Table132[[#This Row],[nb win]]/Table132[[#This Row],[nb play]]</f>
        <v>1</v>
      </c>
      <c r="H4725" t="str">
        <f>MID(Table132[[#This Row],[ÉTAT]],VALUE(RIGHT(Table132[[#This Row],[next move]],1))+1+VALUE(LEFT(Table132[[#This Row],[next move]],1))*3,1)</f>
        <v>V</v>
      </c>
      <c r="I4725" t="str">
        <f>Table132[[#This Row],[ÉTAT]]&amp;Table132[[#This Row],[next move]]</f>
        <v>MEEEMVVMV22</v>
      </c>
    </row>
    <row r="4726" spans="2:9" x14ac:dyDescent="0.25">
      <c r="B4726" t="s">
        <v>2663</v>
      </c>
      <c r="C4726" s="22" t="s">
        <v>35</v>
      </c>
      <c r="D4726">
        <v>1</v>
      </c>
      <c r="G4726" s="25">
        <f>Table132[[#This Row],[nb win]]/Table132[[#This Row],[nb play]]</f>
        <v>0</v>
      </c>
      <c r="H4726" t="str">
        <f>MID(Table132[[#This Row],[ÉTAT]],VALUE(RIGHT(Table132[[#This Row],[next move]],1))+1+VALUE(LEFT(Table132[[#This Row],[next move]],1))*3,1)</f>
        <v>V</v>
      </c>
      <c r="I4726" t="str">
        <f>Table132[[#This Row],[ÉTAT]]&amp;Table132[[#This Row],[next move]]</f>
        <v>MEEEMVVME20</v>
      </c>
    </row>
    <row r="4727" spans="2:9" x14ac:dyDescent="0.25">
      <c r="B4727" t="s">
        <v>2238</v>
      </c>
      <c r="C4727" s="22" t="s">
        <v>22</v>
      </c>
      <c r="D4727">
        <v>1</v>
      </c>
      <c r="E4727">
        <v>1</v>
      </c>
      <c r="G4727" s="25">
        <f>Table132[[#This Row],[nb win]]/Table132[[#This Row],[nb play]]</f>
        <v>1</v>
      </c>
      <c r="H4727" t="str">
        <f>MID(Table132[[#This Row],[ÉTAT]],VALUE(RIGHT(Table132[[#This Row],[next move]],1))+1+VALUE(LEFT(Table132[[#This Row],[next move]],1))*3,1)</f>
        <v>V</v>
      </c>
      <c r="I4727" t="str">
        <f>Table132[[#This Row],[ÉTAT]]&amp;Table132[[#This Row],[next move]]</f>
        <v>MEEEMVMVV21</v>
      </c>
    </row>
    <row r="4728" spans="2:9" x14ac:dyDescent="0.25">
      <c r="B4728" t="s">
        <v>2291</v>
      </c>
      <c r="C4728" s="22" t="s">
        <v>22</v>
      </c>
      <c r="D4728">
        <v>1</v>
      </c>
      <c r="G4728" s="25">
        <f>Table132[[#This Row],[nb win]]/Table132[[#This Row],[nb play]]</f>
        <v>0</v>
      </c>
      <c r="H4728" t="str">
        <f>MID(Table132[[#This Row],[ÉTAT]],VALUE(RIGHT(Table132[[#This Row],[next move]],1))+1+VALUE(LEFT(Table132[[#This Row],[next move]],1))*3,1)</f>
        <v>V</v>
      </c>
      <c r="I4728" t="str">
        <f>Table132[[#This Row],[ÉTAT]]&amp;Table132[[#This Row],[next move]]</f>
        <v>MEEEMVMVE21</v>
      </c>
    </row>
    <row r="4729" spans="2:9" x14ac:dyDescent="0.25">
      <c r="B4729" t="s">
        <v>1680</v>
      </c>
      <c r="C4729" s="22" t="s">
        <v>31</v>
      </c>
      <c r="D4729">
        <v>3</v>
      </c>
      <c r="E4729">
        <v>3</v>
      </c>
      <c r="G4729" s="31">
        <f>Table132[[#This Row],[nb win]]/Table132[[#This Row],[nb play]]</f>
        <v>1</v>
      </c>
      <c r="H4729" t="str">
        <f>MID(Table132[[#This Row],[ÉTAT]],VALUE(RIGHT(Table132[[#This Row],[next move]],1))+1+VALUE(LEFT(Table132[[#This Row],[next move]],1))*3,1)</f>
        <v>V</v>
      </c>
      <c r="I4729" t="str">
        <f>Table132[[#This Row],[ÉTAT]]&amp;Table132[[#This Row],[next move]]</f>
        <v>MEEEMVMEV22</v>
      </c>
    </row>
    <row r="4730" spans="2:9" x14ac:dyDescent="0.25">
      <c r="B4730" t="s">
        <v>899</v>
      </c>
      <c r="C4730" s="22" t="s">
        <v>31</v>
      </c>
      <c r="D4730">
        <v>3</v>
      </c>
      <c r="E4730">
        <v>3</v>
      </c>
      <c r="G4730" s="31">
        <f>Table132[[#This Row],[nb win]]/Table132[[#This Row],[nb play]]</f>
        <v>1</v>
      </c>
      <c r="H4730" t="str">
        <f>MID(Table132[[#This Row],[ÉTAT]],VALUE(RIGHT(Table132[[#This Row],[next move]],1))+1+VALUE(LEFT(Table132[[#This Row],[next move]],1))*3,1)</f>
        <v>V</v>
      </c>
      <c r="I4730" t="str">
        <f>Table132[[#This Row],[ÉTAT]]&amp;Table132[[#This Row],[next move]]</f>
        <v>MEEEMVEMV22</v>
      </c>
    </row>
    <row r="4731" spans="2:9" x14ac:dyDescent="0.25">
      <c r="B4731" t="s">
        <v>2229</v>
      </c>
      <c r="C4731" s="22" t="s">
        <v>31</v>
      </c>
      <c r="D4731">
        <v>2</v>
      </c>
      <c r="E4731">
        <v>2</v>
      </c>
      <c r="G4731" s="25">
        <f>Table132[[#This Row],[nb win]]/Table132[[#This Row],[nb play]]</f>
        <v>1</v>
      </c>
      <c r="H4731" t="str">
        <f>MID(Table132[[#This Row],[ÉTAT]],VALUE(RIGHT(Table132[[#This Row],[next move]],1))+1+VALUE(LEFT(Table132[[#This Row],[next move]],1))*3,1)</f>
        <v>V</v>
      </c>
      <c r="I4731" t="str">
        <f>Table132[[#This Row],[ÉTAT]]&amp;Table132[[#This Row],[next move]]</f>
        <v>MEEEMMVVV22</v>
      </c>
    </row>
    <row r="4732" spans="2:9" x14ac:dyDescent="0.25">
      <c r="B4732" t="s">
        <v>3137</v>
      </c>
      <c r="C4732" s="22" t="s">
        <v>31</v>
      </c>
      <c r="D4732">
        <v>2</v>
      </c>
      <c r="E4732">
        <v>2</v>
      </c>
      <c r="G4732" s="31">
        <f>Table132[[#This Row],[nb win]]/Table132[[#This Row],[nb play]]</f>
        <v>1</v>
      </c>
      <c r="H4732" t="str">
        <f>MID(Table132[[#This Row],[ÉTAT]],VALUE(RIGHT(Table132[[#This Row],[next move]],1))+1+VALUE(LEFT(Table132[[#This Row],[next move]],1))*3,1)</f>
        <v>V</v>
      </c>
      <c r="I4732" t="str">
        <f>Table132[[#This Row],[ÉTAT]]&amp;Table132[[#This Row],[next move]]</f>
        <v>MEEEMMVEV22</v>
      </c>
    </row>
    <row r="4733" spans="2:9" x14ac:dyDescent="0.25">
      <c r="B4733" t="s">
        <v>2044</v>
      </c>
      <c r="C4733" s="22" t="s">
        <v>31</v>
      </c>
      <c r="D4733">
        <v>2</v>
      </c>
      <c r="E4733">
        <v>2</v>
      </c>
      <c r="G4733" s="25">
        <f>Table132[[#This Row],[nb win]]/Table132[[#This Row],[nb play]]</f>
        <v>1</v>
      </c>
      <c r="H4733" t="str">
        <f>MID(Table132[[#This Row],[ÉTAT]],VALUE(RIGHT(Table132[[#This Row],[next move]],1))+1+VALUE(LEFT(Table132[[#This Row],[next move]],1))*3,1)</f>
        <v>V</v>
      </c>
      <c r="I4733" t="str">
        <f>Table132[[#This Row],[ÉTAT]]&amp;Table132[[#This Row],[next move]]</f>
        <v>MEEEMMMEV22</v>
      </c>
    </row>
    <row r="4734" spans="2:9" x14ac:dyDescent="0.25">
      <c r="B4734" t="s">
        <v>3159</v>
      </c>
      <c r="C4734" s="22" t="s">
        <v>31</v>
      </c>
      <c r="D4734">
        <v>1</v>
      </c>
      <c r="E4734">
        <v>1</v>
      </c>
      <c r="G4734" s="31">
        <f>Table132[[#This Row],[nb win]]/Table132[[#This Row],[nb play]]</f>
        <v>1</v>
      </c>
      <c r="H4734" t="str">
        <f>MID(Table132[[#This Row],[ÉTAT]],VALUE(RIGHT(Table132[[#This Row],[next move]],1))+1+VALUE(LEFT(Table132[[#This Row],[next move]],1))*3,1)</f>
        <v>V</v>
      </c>
      <c r="I4734" t="str">
        <f>Table132[[#This Row],[ÉTAT]]&amp;Table132[[#This Row],[next move]]</f>
        <v>MEEEMMEVV22</v>
      </c>
    </row>
    <row r="4735" spans="2:9" x14ac:dyDescent="0.25">
      <c r="B4735" t="s">
        <v>1137</v>
      </c>
      <c r="C4735" s="22" t="s">
        <v>31</v>
      </c>
      <c r="D4735">
        <v>4</v>
      </c>
      <c r="E4735">
        <v>4</v>
      </c>
      <c r="G4735" s="31">
        <f>Table132[[#This Row],[nb win]]/Table132[[#This Row],[nb play]]</f>
        <v>1</v>
      </c>
      <c r="H4735" t="str">
        <f>MID(Table132[[#This Row],[ÉTAT]],VALUE(RIGHT(Table132[[#This Row],[next move]],1))+1+VALUE(LEFT(Table132[[#This Row],[next move]],1))*3,1)</f>
        <v>V</v>
      </c>
      <c r="I4735" t="str">
        <f>Table132[[#This Row],[ÉTAT]]&amp;Table132[[#This Row],[next move]]</f>
        <v>MEEEMMEMV22</v>
      </c>
    </row>
    <row r="4736" spans="2:9" x14ac:dyDescent="0.25">
      <c r="B4736" t="s">
        <v>834</v>
      </c>
      <c r="C4736" s="22" t="s">
        <v>35</v>
      </c>
      <c r="D4736">
        <v>2</v>
      </c>
      <c r="G4736" s="30">
        <f>Table132[[#This Row],[nb win]]/Table132[[#This Row],[nb play]]</f>
        <v>0</v>
      </c>
      <c r="H4736" t="str">
        <f>MID(Table132[[#This Row],[ÉTAT]],VALUE(RIGHT(Table132[[#This Row],[next move]],1))+1+VALUE(LEFT(Table132[[#This Row],[next move]],1))*3,1)</f>
        <v>V</v>
      </c>
      <c r="I4736" t="str">
        <f>Table132[[#This Row],[ÉTAT]]&amp;Table132[[#This Row],[next move]]</f>
        <v>MEEEMEVMV20</v>
      </c>
    </row>
    <row r="4737" spans="2:9" x14ac:dyDescent="0.25">
      <c r="B4737" t="s">
        <v>834</v>
      </c>
      <c r="C4737" s="22" t="s">
        <v>31</v>
      </c>
      <c r="D4737">
        <v>2</v>
      </c>
      <c r="E4737">
        <v>2</v>
      </c>
      <c r="G4737" s="31">
        <f>Table132[[#This Row],[nb win]]/Table132[[#This Row],[nb play]]</f>
        <v>1</v>
      </c>
      <c r="H4737" t="str">
        <f>MID(Table132[[#This Row],[ÉTAT]],VALUE(RIGHT(Table132[[#This Row],[next move]],1))+1+VALUE(LEFT(Table132[[#This Row],[next move]],1))*3,1)</f>
        <v>V</v>
      </c>
      <c r="I4737" t="str">
        <f>Table132[[#This Row],[ÉTAT]]&amp;Table132[[#This Row],[next move]]</f>
        <v>MEEEMEVMV22</v>
      </c>
    </row>
    <row r="4738" spans="2:9" x14ac:dyDescent="0.25">
      <c r="B4738" t="s">
        <v>2029</v>
      </c>
      <c r="C4738" s="22" t="s">
        <v>31</v>
      </c>
      <c r="D4738">
        <v>3</v>
      </c>
      <c r="E4738">
        <v>3</v>
      </c>
      <c r="G4738" s="31">
        <f>Table132[[#This Row],[nb win]]/Table132[[#This Row],[nb play]]</f>
        <v>1</v>
      </c>
      <c r="H4738" t="str">
        <f>MID(Table132[[#This Row],[ÉTAT]],VALUE(RIGHT(Table132[[#This Row],[next move]],1))+1+VALUE(LEFT(Table132[[#This Row],[next move]],1))*3,1)</f>
        <v>V</v>
      </c>
      <c r="I4738" t="str">
        <f>Table132[[#This Row],[ÉTAT]]&amp;Table132[[#This Row],[next move]]</f>
        <v>MEEEMEMVV22</v>
      </c>
    </row>
    <row r="4739" spans="2:9" x14ac:dyDescent="0.25">
      <c r="B4739" t="s">
        <v>2240</v>
      </c>
      <c r="C4739" s="22" t="s">
        <v>31</v>
      </c>
      <c r="D4739">
        <v>2</v>
      </c>
      <c r="E4739">
        <v>2</v>
      </c>
      <c r="G4739" s="31">
        <f>Table132[[#This Row],[nb win]]/Table132[[#This Row],[nb play]]</f>
        <v>1</v>
      </c>
      <c r="H4739" t="str">
        <f>MID(Table132[[#This Row],[ÉTAT]],VALUE(RIGHT(Table132[[#This Row],[next move]],1))+1+VALUE(LEFT(Table132[[#This Row],[next move]],1))*3,1)</f>
        <v>V</v>
      </c>
      <c r="I4739" t="str">
        <f>Table132[[#This Row],[ÉTAT]]&amp;Table132[[#This Row],[next move]]</f>
        <v>MEEEMEMMV22</v>
      </c>
    </row>
    <row r="4740" spans="2:9" x14ac:dyDescent="0.25">
      <c r="B4740" t="s">
        <v>1759</v>
      </c>
      <c r="C4740" s="22" t="s">
        <v>35</v>
      </c>
      <c r="D4740">
        <v>2</v>
      </c>
      <c r="E4740">
        <v>2</v>
      </c>
      <c r="G4740" s="25">
        <f>Table132[[#This Row],[nb win]]/Table132[[#This Row],[nb play]]</f>
        <v>1</v>
      </c>
      <c r="H4740" t="str">
        <f>MID(Table132[[#This Row],[ÉTAT]],VALUE(RIGHT(Table132[[#This Row],[next move]],1))+1+VALUE(LEFT(Table132[[#This Row],[next move]],1))*3,1)</f>
        <v>V</v>
      </c>
      <c r="I4740" t="str">
        <f>Table132[[#This Row],[ÉTAT]]&amp;Table132[[#This Row],[next move]]</f>
        <v>MEEEEVVMM20</v>
      </c>
    </row>
    <row r="4741" spans="2:9" x14ac:dyDescent="0.25">
      <c r="B4741" t="s">
        <v>1932</v>
      </c>
      <c r="C4741" s="22" t="s">
        <v>22</v>
      </c>
      <c r="D4741">
        <v>2</v>
      </c>
      <c r="E4741">
        <v>2</v>
      </c>
      <c r="G4741" s="31">
        <f>Table132[[#This Row],[nb win]]/Table132[[#This Row],[nb play]]</f>
        <v>1</v>
      </c>
      <c r="H4741" t="str">
        <f>MID(Table132[[#This Row],[ÉTAT]],VALUE(RIGHT(Table132[[#This Row],[next move]],1))+1+VALUE(LEFT(Table132[[#This Row],[next move]],1))*3,1)</f>
        <v>V</v>
      </c>
      <c r="I4741" t="str">
        <f>Table132[[#This Row],[ÉTAT]]&amp;Table132[[#This Row],[next move]]</f>
        <v>MEEEEVMVM21</v>
      </c>
    </row>
    <row r="4742" spans="2:9" x14ac:dyDescent="0.25">
      <c r="B4742" t="s">
        <v>2858</v>
      </c>
      <c r="C4742" s="22" t="s">
        <v>31</v>
      </c>
      <c r="D4742">
        <v>3</v>
      </c>
      <c r="E4742">
        <v>3</v>
      </c>
      <c r="G4742" s="31">
        <f>Table132[[#This Row],[nb win]]/Table132[[#This Row],[nb play]]</f>
        <v>1</v>
      </c>
      <c r="H4742" t="str">
        <f>MID(Table132[[#This Row],[ÉTAT]],VALUE(RIGHT(Table132[[#This Row],[next move]],1))+1+VALUE(LEFT(Table132[[#This Row],[next move]],1))*3,1)</f>
        <v>V</v>
      </c>
      <c r="I4742" t="str">
        <f>Table132[[#This Row],[ÉTAT]]&amp;Table132[[#This Row],[next move]]</f>
        <v>MEEEEVMMV22</v>
      </c>
    </row>
    <row r="4743" spans="2:9" x14ac:dyDescent="0.25">
      <c r="B4743" t="s">
        <v>504</v>
      </c>
      <c r="C4743" s="22" t="s">
        <v>35</v>
      </c>
      <c r="D4743">
        <v>4</v>
      </c>
      <c r="G4743" s="30">
        <f>Table132[[#This Row],[nb win]]/Table132[[#This Row],[nb play]]</f>
        <v>0</v>
      </c>
      <c r="H4743" t="str">
        <f>MID(Table132[[#This Row],[ÉTAT]],VALUE(RIGHT(Table132[[#This Row],[next move]],1))+1+VALUE(LEFT(Table132[[#This Row],[next move]],1))*3,1)</f>
        <v>V</v>
      </c>
      <c r="I4743" t="str">
        <f>Table132[[#This Row],[ÉTAT]]&amp;Table132[[#This Row],[next move]]</f>
        <v>MEEEEMVVM20</v>
      </c>
    </row>
    <row r="4744" spans="2:9" x14ac:dyDescent="0.25">
      <c r="B4744" t="s">
        <v>504</v>
      </c>
      <c r="C4744" s="22" t="s">
        <v>22</v>
      </c>
      <c r="D4744">
        <v>4</v>
      </c>
      <c r="G4744" s="30">
        <f>Table132[[#This Row],[nb win]]/Table132[[#This Row],[nb play]]</f>
        <v>0</v>
      </c>
      <c r="H4744" t="str">
        <f>MID(Table132[[#This Row],[ÉTAT]],VALUE(RIGHT(Table132[[#This Row],[next move]],1))+1+VALUE(LEFT(Table132[[#This Row],[next move]],1))*3,1)</f>
        <v>V</v>
      </c>
      <c r="I4744" t="str">
        <f>Table132[[#This Row],[ÉTAT]]&amp;Table132[[#This Row],[next move]]</f>
        <v>MEEEEMVVM21</v>
      </c>
    </row>
    <row r="4745" spans="2:9" x14ac:dyDescent="0.25">
      <c r="B4745" t="s">
        <v>2846</v>
      </c>
      <c r="C4745" s="22" t="s">
        <v>35</v>
      </c>
      <c r="D4745">
        <v>4</v>
      </c>
      <c r="E4745">
        <v>4</v>
      </c>
      <c r="G4745" s="31">
        <f>Table132[[#This Row],[nb win]]/Table132[[#This Row],[nb play]]</f>
        <v>1</v>
      </c>
      <c r="H4745" t="str">
        <f>MID(Table132[[#This Row],[ÉTAT]],VALUE(RIGHT(Table132[[#This Row],[next move]],1))+1+VALUE(LEFT(Table132[[#This Row],[next move]],1))*3,1)</f>
        <v>V</v>
      </c>
      <c r="I4745" t="str">
        <f>Table132[[#This Row],[ÉTAT]]&amp;Table132[[#This Row],[next move]]</f>
        <v>MEEEEMVMM20</v>
      </c>
    </row>
    <row r="4746" spans="2:9" x14ac:dyDescent="0.25">
      <c r="B4746" t="s">
        <v>2428</v>
      </c>
      <c r="C4746" s="22" t="s">
        <v>31</v>
      </c>
      <c r="D4746">
        <v>1</v>
      </c>
      <c r="G4746" s="25">
        <f>Table132[[#This Row],[nb win]]/Table132[[#This Row],[nb play]]</f>
        <v>0</v>
      </c>
      <c r="H4746" t="str">
        <f>MID(Table132[[#This Row],[ÉTAT]],VALUE(RIGHT(Table132[[#This Row],[next move]],1))+1+VALUE(LEFT(Table132[[#This Row],[next move]],1))*3,1)</f>
        <v>V</v>
      </c>
      <c r="I4746" t="str">
        <f>Table132[[#This Row],[ÉTAT]]&amp;Table132[[#This Row],[next move]]</f>
        <v>MEEEEMMVV22</v>
      </c>
    </row>
    <row r="4747" spans="2:9" x14ac:dyDescent="0.25">
      <c r="B4747" t="s">
        <v>2887</v>
      </c>
      <c r="C4747" s="22" t="s">
        <v>22</v>
      </c>
      <c r="D4747">
        <v>3</v>
      </c>
      <c r="E4747">
        <v>3</v>
      </c>
      <c r="G4747" s="31">
        <f>Table132[[#This Row],[nb win]]/Table132[[#This Row],[nb play]]</f>
        <v>1</v>
      </c>
      <c r="H4747" t="str">
        <f>MID(Table132[[#This Row],[ÉTAT]],VALUE(RIGHT(Table132[[#This Row],[next move]],1))+1+VALUE(LEFT(Table132[[#This Row],[next move]],1))*3,1)</f>
        <v>V</v>
      </c>
      <c r="I4747" t="str">
        <f>Table132[[#This Row],[ÉTAT]]&amp;Table132[[#This Row],[next move]]</f>
        <v>MEEEEMMVM21</v>
      </c>
    </row>
    <row r="4748" spans="2:9" x14ac:dyDescent="0.25">
      <c r="B4748" t="s">
        <v>2155</v>
      </c>
      <c r="C4748" s="22" t="s">
        <v>31</v>
      </c>
      <c r="D4748">
        <v>4</v>
      </c>
      <c r="E4748">
        <v>4</v>
      </c>
      <c r="G4748" s="31">
        <f>Table132[[#This Row],[nb win]]/Table132[[#This Row],[nb play]]</f>
        <v>1</v>
      </c>
      <c r="H4748" t="str">
        <f>MID(Table132[[#This Row],[ÉTAT]],VALUE(RIGHT(Table132[[#This Row],[next move]],1))+1+VALUE(LEFT(Table132[[#This Row],[next move]],1))*3,1)</f>
        <v>V</v>
      </c>
      <c r="I4748" t="str">
        <f>Table132[[#This Row],[ÉTAT]]&amp;Table132[[#This Row],[next move]]</f>
        <v>MEEEEMMMV22</v>
      </c>
    </row>
    <row r="4749" spans="2:9" x14ac:dyDescent="0.25">
      <c r="B4749" t="s">
        <v>25</v>
      </c>
      <c r="C4749" s="22" t="s">
        <v>26</v>
      </c>
      <c r="D4749">
        <v>72</v>
      </c>
      <c r="E4749">
        <v>16</v>
      </c>
      <c r="G4749" s="30">
        <f>Table132[[#This Row],[nb win]]/Table132[[#This Row],[nb play]]</f>
        <v>0.22222222222222221</v>
      </c>
      <c r="H4749" t="str">
        <f>MID(Table132[[#This Row],[ÉTAT]],VALUE(RIGHT(Table132[[#This Row],[next move]],1))+1+VALUE(LEFT(Table132[[#This Row],[next move]],1))*3,1)</f>
        <v>V</v>
      </c>
      <c r="I4749" t="str">
        <f>Table132[[#This Row],[ÉTAT]]&amp;Table132[[#This Row],[next move]]</f>
        <v>EVVVVVVVV01</v>
      </c>
    </row>
    <row r="4750" spans="2:9" x14ac:dyDescent="0.25">
      <c r="B4750" t="s">
        <v>25</v>
      </c>
      <c r="C4750" s="22" t="s">
        <v>20</v>
      </c>
      <c r="D4750">
        <v>45</v>
      </c>
      <c r="E4750">
        <v>8</v>
      </c>
      <c r="G4750" s="30">
        <f>Table132[[#This Row],[nb win]]/Table132[[#This Row],[nb play]]</f>
        <v>0.17777777777777778</v>
      </c>
      <c r="H4750" t="str">
        <f>MID(Table132[[#This Row],[ÉTAT]],VALUE(RIGHT(Table132[[#This Row],[next move]],1))+1+VALUE(LEFT(Table132[[#This Row],[next move]],1))*3,1)</f>
        <v>V</v>
      </c>
      <c r="I4750" t="str">
        <f>Table132[[#This Row],[ÉTAT]]&amp;Table132[[#This Row],[next move]]</f>
        <v>EVVVVVVVV02</v>
      </c>
    </row>
    <row r="4751" spans="2:9" x14ac:dyDescent="0.25">
      <c r="B4751" t="s">
        <v>25</v>
      </c>
      <c r="C4751" s="22" t="s">
        <v>30</v>
      </c>
      <c r="D4751">
        <v>38</v>
      </c>
      <c r="E4751">
        <v>10</v>
      </c>
      <c r="G4751" s="31">
        <f>Table132[[#This Row],[nb win]]/Table132[[#This Row],[nb play]]</f>
        <v>0.26315789473684209</v>
      </c>
      <c r="H4751" t="str">
        <f>MID(Table132[[#This Row],[ÉTAT]],VALUE(RIGHT(Table132[[#This Row],[next move]],1))+1+VALUE(LEFT(Table132[[#This Row],[next move]],1))*3,1)</f>
        <v>V</v>
      </c>
      <c r="I4751" t="str">
        <f>Table132[[#This Row],[ÉTAT]]&amp;Table132[[#This Row],[next move]]</f>
        <v>EVVVVVVVV10</v>
      </c>
    </row>
    <row r="4752" spans="2:9" x14ac:dyDescent="0.25">
      <c r="B4752" t="s">
        <v>25</v>
      </c>
      <c r="C4752" s="22" t="s">
        <v>29</v>
      </c>
      <c r="D4752">
        <v>72</v>
      </c>
      <c r="E4752">
        <v>37</v>
      </c>
      <c r="G4752" s="31">
        <f>Table132[[#This Row],[nb win]]/Table132[[#This Row],[nb play]]</f>
        <v>0.51388888888888884</v>
      </c>
      <c r="H4752" t="str">
        <f>MID(Table132[[#This Row],[ÉTAT]],VALUE(RIGHT(Table132[[#This Row],[next move]],1))+1+VALUE(LEFT(Table132[[#This Row],[next move]],1))*3,1)</f>
        <v>V</v>
      </c>
      <c r="I4752" t="str">
        <f>Table132[[#This Row],[ÉTAT]]&amp;Table132[[#This Row],[next move]]</f>
        <v>EVVVVVVVV11</v>
      </c>
    </row>
    <row r="4753" spans="2:9" x14ac:dyDescent="0.25">
      <c r="B4753" t="s">
        <v>25</v>
      </c>
      <c r="C4753" s="22" t="s">
        <v>28</v>
      </c>
      <c r="D4753">
        <v>48</v>
      </c>
      <c r="E4753">
        <v>15</v>
      </c>
      <c r="G4753" s="30">
        <f>Table132[[#This Row],[nb win]]/Table132[[#This Row],[nb play]]</f>
        <v>0.3125</v>
      </c>
      <c r="H4753" t="str">
        <f>MID(Table132[[#This Row],[ÉTAT]],VALUE(RIGHT(Table132[[#This Row],[next move]],1))+1+VALUE(LEFT(Table132[[#This Row],[next move]],1))*3,1)</f>
        <v>V</v>
      </c>
      <c r="I4753" t="str">
        <f>Table132[[#This Row],[ÉTAT]]&amp;Table132[[#This Row],[next move]]</f>
        <v>EVVVVVVVV12</v>
      </c>
    </row>
    <row r="4754" spans="2:9" x14ac:dyDescent="0.25">
      <c r="B4754" t="s">
        <v>25</v>
      </c>
      <c r="C4754" s="22" t="s">
        <v>35</v>
      </c>
      <c r="D4754">
        <v>53</v>
      </c>
      <c r="E4754">
        <v>17</v>
      </c>
      <c r="G4754" s="30">
        <f>Table132[[#This Row],[nb win]]/Table132[[#This Row],[nb play]]</f>
        <v>0.32075471698113206</v>
      </c>
      <c r="H4754" t="str">
        <f>MID(Table132[[#This Row],[ÉTAT]],VALUE(RIGHT(Table132[[#This Row],[next move]],1))+1+VALUE(LEFT(Table132[[#This Row],[next move]],1))*3,1)</f>
        <v>V</v>
      </c>
      <c r="I4754" t="str">
        <f>Table132[[#This Row],[ÉTAT]]&amp;Table132[[#This Row],[next move]]</f>
        <v>EVVVVVVVV20</v>
      </c>
    </row>
    <row r="4755" spans="2:9" x14ac:dyDescent="0.25">
      <c r="B4755" t="s">
        <v>25</v>
      </c>
      <c r="C4755" s="22" t="s">
        <v>22</v>
      </c>
      <c r="D4755">
        <v>59</v>
      </c>
      <c r="E4755">
        <v>16</v>
      </c>
      <c r="G4755" s="30">
        <f>Table132[[#This Row],[nb win]]/Table132[[#This Row],[nb play]]</f>
        <v>0.2711864406779661</v>
      </c>
      <c r="H4755" t="str">
        <f>MID(Table132[[#This Row],[ÉTAT]],VALUE(RIGHT(Table132[[#This Row],[next move]],1))+1+VALUE(LEFT(Table132[[#This Row],[next move]],1))*3,1)</f>
        <v>V</v>
      </c>
      <c r="I4755" t="str">
        <f>Table132[[#This Row],[ÉTAT]]&amp;Table132[[#This Row],[next move]]</f>
        <v>EVVVVVVVV21</v>
      </c>
    </row>
    <row r="4756" spans="2:9" x14ac:dyDescent="0.25">
      <c r="B4756" t="s">
        <v>25</v>
      </c>
      <c r="C4756" s="22" t="s">
        <v>31</v>
      </c>
      <c r="D4756">
        <v>49</v>
      </c>
      <c r="E4756">
        <v>14</v>
      </c>
      <c r="G4756" s="31">
        <f>Table132[[#This Row],[nb win]]/Table132[[#This Row],[nb play]]</f>
        <v>0.2857142857142857</v>
      </c>
      <c r="H4756" t="str">
        <f>MID(Table132[[#This Row],[ÉTAT]],VALUE(RIGHT(Table132[[#This Row],[next move]],1))+1+VALUE(LEFT(Table132[[#This Row],[next move]],1))*3,1)</f>
        <v>V</v>
      </c>
      <c r="I4756" t="str">
        <f>Table132[[#This Row],[ÉTAT]]&amp;Table132[[#This Row],[next move]]</f>
        <v>EVVVVVVVV22</v>
      </c>
    </row>
    <row r="4757" spans="2:9" x14ac:dyDescent="0.25">
      <c r="B4757" t="s">
        <v>279</v>
      </c>
      <c r="C4757" s="22" t="s">
        <v>26</v>
      </c>
      <c r="D4757">
        <v>10</v>
      </c>
      <c r="E4757">
        <v>6</v>
      </c>
      <c r="G4757" s="30">
        <f>Table132[[#This Row],[nb win]]/Table132[[#This Row],[nb play]]</f>
        <v>0.6</v>
      </c>
      <c r="H4757" t="str">
        <f>MID(Table132[[#This Row],[ÉTAT]],VALUE(RIGHT(Table132[[#This Row],[next move]],1))+1+VALUE(LEFT(Table132[[#This Row],[next move]],1))*3,1)</f>
        <v>V</v>
      </c>
      <c r="I4757" t="str">
        <f>Table132[[#This Row],[ÉTAT]]&amp;Table132[[#This Row],[next move]]</f>
        <v>EVVVVVVVM01</v>
      </c>
    </row>
    <row r="4758" spans="2:9" x14ac:dyDescent="0.25">
      <c r="B4758" t="s">
        <v>279</v>
      </c>
      <c r="C4758" s="22" t="s">
        <v>20</v>
      </c>
      <c r="D4758">
        <v>6</v>
      </c>
      <c r="E4758">
        <v>6</v>
      </c>
      <c r="G4758" s="31">
        <f>Table132[[#This Row],[nb win]]/Table132[[#This Row],[nb play]]</f>
        <v>1</v>
      </c>
      <c r="H4758" t="str">
        <f>MID(Table132[[#This Row],[ÉTAT]],VALUE(RIGHT(Table132[[#This Row],[next move]],1))+1+VALUE(LEFT(Table132[[#This Row],[next move]],1))*3,1)</f>
        <v>V</v>
      </c>
      <c r="I4758" t="str">
        <f>Table132[[#This Row],[ÉTAT]]&amp;Table132[[#This Row],[next move]]</f>
        <v>EVVVVVVVM02</v>
      </c>
    </row>
    <row r="4759" spans="2:9" x14ac:dyDescent="0.25">
      <c r="B4759" t="s">
        <v>279</v>
      </c>
      <c r="C4759" s="22" t="s">
        <v>30</v>
      </c>
      <c r="D4759">
        <v>11</v>
      </c>
      <c r="E4759">
        <v>4</v>
      </c>
      <c r="G4759" s="31">
        <f>Table132[[#This Row],[nb win]]/Table132[[#This Row],[nb play]]</f>
        <v>0.36363636363636365</v>
      </c>
      <c r="H4759" t="str">
        <f>MID(Table132[[#This Row],[ÉTAT]],VALUE(RIGHT(Table132[[#This Row],[next move]],1))+1+VALUE(LEFT(Table132[[#This Row],[next move]],1))*3,1)</f>
        <v>V</v>
      </c>
      <c r="I4759" t="str">
        <f>Table132[[#This Row],[ÉTAT]]&amp;Table132[[#This Row],[next move]]</f>
        <v>EVVVVVVVM10</v>
      </c>
    </row>
    <row r="4760" spans="2:9" x14ac:dyDescent="0.25">
      <c r="B4760" t="s">
        <v>279</v>
      </c>
      <c r="C4760" s="22" t="s">
        <v>29</v>
      </c>
      <c r="D4760">
        <v>6</v>
      </c>
      <c r="E4760">
        <v>3</v>
      </c>
      <c r="G4760" s="30">
        <f>Table132[[#This Row],[nb win]]/Table132[[#This Row],[nb play]]</f>
        <v>0.5</v>
      </c>
      <c r="H4760" t="str">
        <f>MID(Table132[[#This Row],[ÉTAT]],VALUE(RIGHT(Table132[[#This Row],[next move]],1))+1+VALUE(LEFT(Table132[[#This Row],[next move]],1))*3,1)</f>
        <v>V</v>
      </c>
      <c r="I4760" t="str">
        <f>Table132[[#This Row],[ÉTAT]]&amp;Table132[[#This Row],[next move]]</f>
        <v>EVVVVVVVM11</v>
      </c>
    </row>
    <row r="4761" spans="2:9" x14ac:dyDescent="0.25">
      <c r="B4761" t="s">
        <v>279</v>
      </c>
      <c r="C4761" s="22" t="s">
        <v>28</v>
      </c>
      <c r="D4761">
        <v>4</v>
      </c>
      <c r="G4761" s="30">
        <f>Table132[[#This Row],[nb win]]/Table132[[#This Row],[nb play]]</f>
        <v>0</v>
      </c>
      <c r="H4761" t="str">
        <f>MID(Table132[[#This Row],[ÉTAT]],VALUE(RIGHT(Table132[[#This Row],[next move]],1))+1+VALUE(LEFT(Table132[[#This Row],[next move]],1))*3,1)</f>
        <v>V</v>
      </c>
      <c r="I4761" t="str">
        <f>Table132[[#This Row],[ÉTAT]]&amp;Table132[[#This Row],[next move]]</f>
        <v>EVVVVVVVM12</v>
      </c>
    </row>
    <row r="4762" spans="2:9" x14ac:dyDescent="0.25">
      <c r="B4762" t="s">
        <v>279</v>
      </c>
      <c r="C4762" s="22" t="s">
        <v>22</v>
      </c>
      <c r="D4762">
        <v>17</v>
      </c>
      <c r="E4762">
        <v>14</v>
      </c>
      <c r="G4762" s="31">
        <f>Table132[[#This Row],[nb win]]/Table132[[#This Row],[nb play]]</f>
        <v>0.82352941176470584</v>
      </c>
      <c r="H4762" t="str">
        <f>MID(Table132[[#This Row],[ÉTAT]],VALUE(RIGHT(Table132[[#This Row],[next move]],1))+1+VALUE(LEFT(Table132[[#This Row],[next move]],1))*3,1)</f>
        <v>V</v>
      </c>
      <c r="I4762" t="str">
        <f>Table132[[#This Row],[ÉTAT]]&amp;Table132[[#This Row],[next move]]</f>
        <v>EVVVVVVVM21</v>
      </c>
    </row>
    <row r="4763" spans="2:9" x14ac:dyDescent="0.25">
      <c r="B4763" t="s">
        <v>42</v>
      </c>
      <c r="C4763" s="22" t="s">
        <v>26</v>
      </c>
      <c r="D4763">
        <v>8</v>
      </c>
      <c r="E4763">
        <v>6</v>
      </c>
      <c r="G4763" s="31">
        <f>Table132[[#This Row],[nb win]]/Table132[[#This Row],[nb play]]</f>
        <v>0.75</v>
      </c>
      <c r="H4763" t="str">
        <f>MID(Table132[[#This Row],[ÉTAT]],VALUE(RIGHT(Table132[[#This Row],[next move]],1))+1+VALUE(LEFT(Table132[[#This Row],[next move]],1))*3,1)</f>
        <v>V</v>
      </c>
      <c r="I4763" t="str">
        <f>Table132[[#This Row],[ÉTAT]]&amp;Table132[[#This Row],[next move]]</f>
        <v>EVVVVVVMV01</v>
      </c>
    </row>
    <row r="4764" spans="2:9" x14ac:dyDescent="0.25">
      <c r="B4764" t="s">
        <v>42</v>
      </c>
      <c r="C4764" s="22" t="s">
        <v>20</v>
      </c>
      <c r="D4764">
        <v>8</v>
      </c>
      <c r="E4764">
        <v>7</v>
      </c>
      <c r="G4764" s="31">
        <f>Table132[[#This Row],[nb win]]/Table132[[#This Row],[nb play]]</f>
        <v>0.875</v>
      </c>
      <c r="H4764" t="str">
        <f>MID(Table132[[#This Row],[ÉTAT]],VALUE(RIGHT(Table132[[#This Row],[next move]],1))+1+VALUE(LEFT(Table132[[#This Row],[next move]],1))*3,1)</f>
        <v>V</v>
      </c>
      <c r="I4764" t="str">
        <f>Table132[[#This Row],[ÉTAT]]&amp;Table132[[#This Row],[next move]]</f>
        <v>EVVVVVVMV02</v>
      </c>
    </row>
    <row r="4765" spans="2:9" x14ac:dyDescent="0.25">
      <c r="B4765" t="s">
        <v>42</v>
      </c>
      <c r="C4765" s="22" t="s">
        <v>30</v>
      </c>
      <c r="D4765">
        <v>8</v>
      </c>
      <c r="E4765">
        <v>3</v>
      </c>
      <c r="G4765" s="30">
        <f>Table132[[#This Row],[nb win]]/Table132[[#This Row],[nb play]]</f>
        <v>0.375</v>
      </c>
      <c r="H4765" t="str">
        <f>MID(Table132[[#This Row],[ÉTAT]],VALUE(RIGHT(Table132[[#This Row],[next move]],1))+1+VALUE(LEFT(Table132[[#This Row],[next move]],1))*3,1)</f>
        <v>V</v>
      </c>
      <c r="I4765" t="str">
        <f>Table132[[#This Row],[ÉTAT]]&amp;Table132[[#This Row],[next move]]</f>
        <v>EVVVVVVMV10</v>
      </c>
    </row>
    <row r="4766" spans="2:9" x14ac:dyDescent="0.25">
      <c r="B4766" t="s">
        <v>42</v>
      </c>
      <c r="C4766" s="22" t="s">
        <v>29</v>
      </c>
      <c r="D4766">
        <v>9</v>
      </c>
      <c r="E4766">
        <v>2</v>
      </c>
      <c r="G4766" s="30">
        <f>Table132[[#This Row],[nb win]]/Table132[[#This Row],[nb play]]</f>
        <v>0.22222222222222221</v>
      </c>
      <c r="H4766" t="str">
        <f>MID(Table132[[#This Row],[ÉTAT]],VALUE(RIGHT(Table132[[#This Row],[next move]],1))+1+VALUE(LEFT(Table132[[#This Row],[next move]],1))*3,1)</f>
        <v>V</v>
      </c>
      <c r="I4766" t="str">
        <f>Table132[[#This Row],[ÉTAT]]&amp;Table132[[#This Row],[next move]]</f>
        <v>EVVVVVVMV11</v>
      </c>
    </row>
    <row r="4767" spans="2:9" x14ac:dyDescent="0.25">
      <c r="B4767" t="s">
        <v>42</v>
      </c>
      <c r="C4767" s="22" t="s">
        <v>28</v>
      </c>
      <c r="D4767">
        <v>10</v>
      </c>
      <c r="E4767">
        <v>4</v>
      </c>
      <c r="G4767" s="30">
        <f>Table132[[#This Row],[nb win]]/Table132[[#This Row],[nb play]]</f>
        <v>0.4</v>
      </c>
      <c r="H4767" t="str">
        <f>MID(Table132[[#This Row],[ÉTAT]],VALUE(RIGHT(Table132[[#This Row],[next move]],1))+1+VALUE(LEFT(Table132[[#This Row],[next move]],1))*3,1)</f>
        <v>V</v>
      </c>
      <c r="I4767" t="str">
        <f>Table132[[#This Row],[ÉTAT]]&amp;Table132[[#This Row],[next move]]</f>
        <v>EVVVVVVMV12</v>
      </c>
    </row>
    <row r="4768" spans="2:9" x14ac:dyDescent="0.25">
      <c r="B4768" t="s">
        <v>42</v>
      </c>
      <c r="C4768" s="22" t="s">
        <v>35</v>
      </c>
      <c r="D4768">
        <v>12</v>
      </c>
      <c r="E4768">
        <v>6</v>
      </c>
      <c r="G4768" s="31">
        <f>Table132[[#This Row],[nb win]]/Table132[[#This Row],[nb play]]</f>
        <v>0.5</v>
      </c>
      <c r="H4768" t="str">
        <f>MID(Table132[[#This Row],[ÉTAT]],VALUE(RIGHT(Table132[[#This Row],[next move]],1))+1+VALUE(LEFT(Table132[[#This Row],[next move]],1))*3,1)</f>
        <v>V</v>
      </c>
      <c r="I4768" t="str">
        <f>Table132[[#This Row],[ÉTAT]]&amp;Table132[[#This Row],[next move]]</f>
        <v>EVVVVVVMV20</v>
      </c>
    </row>
    <row r="4769" spans="2:9" x14ac:dyDescent="0.25">
      <c r="B4769" t="s">
        <v>42</v>
      </c>
      <c r="C4769" s="22" t="s">
        <v>31</v>
      </c>
      <c r="D4769">
        <v>9</v>
      </c>
      <c r="E4769">
        <v>6</v>
      </c>
      <c r="G4769" s="31">
        <f>Table132[[#This Row],[nb win]]/Table132[[#This Row],[nb play]]</f>
        <v>0.66666666666666663</v>
      </c>
      <c r="H4769" t="str">
        <f>MID(Table132[[#This Row],[ÉTAT]],VALUE(RIGHT(Table132[[#This Row],[next move]],1))+1+VALUE(LEFT(Table132[[#This Row],[next move]],1))*3,1)</f>
        <v>V</v>
      </c>
      <c r="I4769" t="str">
        <f>Table132[[#This Row],[ÉTAT]]&amp;Table132[[#This Row],[next move]]</f>
        <v>EVVVVVVMV22</v>
      </c>
    </row>
    <row r="4770" spans="2:9" x14ac:dyDescent="0.25">
      <c r="B4770" t="s">
        <v>2530</v>
      </c>
      <c r="C4770" s="22" t="s">
        <v>29</v>
      </c>
      <c r="D4770">
        <v>2</v>
      </c>
      <c r="E4770">
        <v>2</v>
      </c>
      <c r="G4770" s="31">
        <f>Table132[[#This Row],[nb win]]/Table132[[#This Row],[nb play]]</f>
        <v>1</v>
      </c>
      <c r="H4770" t="str">
        <f>MID(Table132[[#This Row],[ÉTAT]],VALUE(RIGHT(Table132[[#This Row],[next move]],1))+1+VALUE(LEFT(Table132[[#This Row],[next move]],1))*3,1)</f>
        <v>V</v>
      </c>
      <c r="I4770" t="str">
        <f>Table132[[#This Row],[ÉTAT]]&amp;Table132[[#This Row],[next move]]</f>
        <v>EVVVVVVME11</v>
      </c>
    </row>
    <row r="4771" spans="2:9" x14ac:dyDescent="0.25">
      <c r="B4771" t="s">
        <v>2530</v>
      </c>
      <c r="C4771" s="22" t="s">
        <v>28</v>
      </c>
      <c r="D4771">
        <v>3</v>
      </c>
      <c r="G4771" s="30">
        <f>Table132[[#This Row],[nb win]]/Table132[[#This Row],[nb play]]</f>
        <v>0</v>
      </c>
      <c r="H4771" t="str">
        <f>MID(Table132[[#This Row],[ÉTAT]],VALUE(RIGHT(Table132[[#This Row],[next move]],1))+1+VALUE(LEFT(Table132[[#This Row],[next move]],1))*3,1)</f>
        <v>V</v>
      </c>
      <c r="I4771" t="str">
        <f>Table132[[#This Row],[ÉTAT]]&amp;Table132[[#This Row],[next move]]</f>
        <v>EVVVVVVME12</v>
      </c>
    </row>
    <row r="4772" spans="2:9" x14ac:dyDescent="0.25">
      <c r="B4772" t="s">
        <v>2530</v>
      </c>
      <c r="C4772" s="22" t="s">
        <v>35</v>
      </c>
      <c r="D4772">
        <v>1</v>
      </c>
      <c r="G4772" s="25">
        <f>Table132[[#This Row],[nb win]]/Table132[[#This Row],[nb play]]</f>
        <v>0</v>
      </c>
      <c r="H4772" t="str">
        <f>MID(Table132[[#This Row],[ÉTAT]],VALUE(RIGHT(Table132[[#This Row],[next move]],1))+1+VALUE(LEFT(Table132[[#This Row],[next move]],1))*3,1)</f>
        <v>V</v>
      </c>
      <c r="I4772" t="str">
        <f>Table132[[#This Row],[ÉTAT]]&amp;Table132[[#This Row],[next move]]</f>
        <v>EVVVVVVME20</v>
      </c>
    </row>
    <row r="4773" spans="2:9" x14ac:dyDescent="0.25">
      <c r="B4773" t="s">
        <v>1058</v>
      </c>
      <c r="C4773" s="22" t="s">
        <v>26</v>
      </c>
      <c r="D4773">
        <v>1</v>
      </c>
      <c r="G4773" s="25">
        <f>Table132[[#This Row],[nb win]]/Table132[[#This Row],[nb play]]</f>
        <v>0</v>
      </c>
      <c r="H4773" t="str">
        <f>MID(Table132[[#This Row],[ÉTAT]],VALUE(RIGHT(Table132[[#This Row],[next move]],1))+1+VALUE(LEFT(Table132[[#This Row],[next move]],1))*3,1)</f>
        <v>V</v>
      </c>
      <c r="I4773" t="str">
        <f>Table132[[#This Row],[ÉTAT]]&amp;Table132[[#This Row],[next move]]</f>
        <v>EVVVVVVEM01</v>
      </c>
    </row>
    <row r="4774" spans="2:9" x14ac:dyDescent="0.25">
      <c r="B4774" t="s">
        <v>1058</v>
      </c>
      <c r="C4774" s="22" t="s">
        <v>20</v>
      </c>
      <c r="D4774">
        <v>6</v>
      </c>
      <c r="E4774">
        <v>1</v>
      </c>
      <c r="G4774" s="30">
        <f>Table132[[#This Row],[nb win]]/Table132[[#This Row],[nb play]]</f>
        <v>0.16666666666666666</v>
      </c>
      <c r="H4774" t="str">
        <f>MID(Table132[[#This Row],[ÉTAT]],VALUE(RIGHT(Table132[[#This Row],[next move]],1))+1+VALUE(LEFT(Table132[[#This Row],[next move]],1))*3,1)</f>
        <v>V</v>
      </c>
      <c r="I4774" t="str">
        <f>Table132[[#This Row],[ÉTAT]]&amp;Table132[[#This Row],[next move]]</f>
        <v>EVVVVVVEM02</v>
      </c>
    </row>
    <row r="4775" spans="2:9" x14ac:dyDescent="0.25">
      <c r="B4775" t="s">
        <v>1058</v>
      </c>
      <c r="C4775" s="22" t="s">
        <v>30</v>
      </c>
      <c r="D4775">
        <v>2</v>
      </c>
      <c r="G4775" s="30">
        <f>Table132[[#This Row],[nb win]]/Table132[[#This Row],[nb play]]</f>
        <v>0</v>
      </c>
      <c r="H4775" t="str">
        <f>MID(Table132[[#This Row],[ÉTAT]],VALUE(RIGHT(Table132[[#This Row],[next move]],1))+1+VALUE(LEFT(Table132[[#This Row],[next move]],1))*3,1)</f>
        <v>V</v>
      </c>
      <c r="I4775" t="str">
        <f>Table132[[#This Row],[ÉTAT]]&amp;Table132[[#This Row],[next move]]</f>
        <v>EVVVVVVEM10</v>
      </c>
    </row>
    <row r="4776" spans="2:9" x14ac:dyDescent="0.25">
      <c r="B4776" t="s">
        <v>1058</v>
      </c>
      <c r="C4776" s="22" t="s">
        <v>29</v>
      </c>
      <c r="D4776">
        <v>1</v>
      </c>
      <c r="G4776" s="25">
        <f>Table132[[#This Row],[nb win]]/Table132[[#This Row],[nb play]]</f>
        <v>0</v>
      </c>
      <c r="H4776" t="str">
        <f>MID(Table132[[#This Row],[ÉTAT]],VALUE(RIGHT(Table132[[#This Row],[next move]],1))+1+VALUE(LEFT(Table132[[#This Row],[next move]],1))*3,1)</f>
        <v>V</v>
      </c>
      <c r="I4776" t="str">
        <f>Table132[[#This Row],[ÉTAT]]&amp;Table132[[#This Row],[next move]]</f>
        <v>EVVVVVVEM11</v>
      </c>
    </row>
    <row r="4777" spans="2:9" x14ac:dyDescent="0.25">
      <c r="B4777" t="s">
        <v>1058</v>
      </c>
      <c r="C4777" s="22" t="s">
        <v>28</v>
      </c>
      <c r="D4777">
        <v>4</v>
      </c>
      <c r="E4777">
        <v>1</v>
      </c>
      <c r="G4777" s="31">
        <f>Table132[[#This Row],[nb win]]/Table132[[#This Row],[nb play]]</f>
        <v>0.25</v>
      </c>
      <c r="H4777" t="str">
        <f>MID(Table132[[#This Row],[ÉTAT]],VALUE(RIGHT(Table132[[#This Row],[next move]],1))+1+VALUE(LEFT(Table132[[#This Row],[next move]],1))*3,1)</f>
        <v>V</v>
      </c>
      <c r="I4777" t="str">
        <f>Table132[[#This Row],[ÉTAT]]&amp;Table132[[#This Row],[next move]]</f>
        <v>EVVVVVVEM12</v>
      </c>
    </row>
    <row r="4778" spans="2:9" x14ac:dyDescent="0.25">
      <c r="B4778" t="s">
        <v>1058</v>
      </c>
      <c r="C4778" s="22" t="s">
        <v>35</v>
      </c>
      <c r="D4778">
        <v>3</v>
      </c>
      <c r="G4778" s="30">
        <f>Table132[[#This Row],[nb win]]/Table132[[#This Row],[nb play]]</f>
        <v>0</v>
      </c>
      <c r="H4778" t="str">
        <f>MID(Table132[[#This Row],[ÉTAT]],VALUE(RIGHT(Table132[[#This Row],[next move]],1))+1+VALUE(LEFT(Table132[[#This Row],[next move]],1))*3,1)</f>
        <v>V</v>
      </c>
      <c r="I4778" t="str">
        <f>Table132[[#This Row],[ÉTAT]]&amp;Table132[[#This Row],[next move]]</f>
        <v>EVVVVVVEM20</v>
      </c>
    </row>
    <row r="4779" spans="2:9" x14ac:dyDescent="0.25">
      <c r="B4779" t="s">
        <v>471</v>
      </c>
      <c r="C4779" s="22" t="s">
        <v>26</v>
      </c>
      <c r="D4779">
        <v>3</v>
      </c>
      <c r="E4779">
        <v>1</v>
      </c>
      <c r="G4779" s="30">
        <f>Table132[[#This Row],[nb win]]/Table132[[#This Row],[nb play]]</f>
        <v>0.33333333333333331</v>
      </c>
      <c r="H4779" t="str">
        <f>MID(Table132[[#This Row],[ÉTAT]],VALUE(RIGHT(Table132[[#This Row],[next move]],1))+1+VALUE(LEFT(Table132[[#This Row],[next move]],1))*3,1)</f>
        <v>V</v>
      </c>
      <c r="I4779" t="str">
        <f>Table132[[#This Row],[ÉTAT]]&amp;Table132[[#This Row],[next move]]</f>
        <v>EVVVVVMVV01</v>
      </c>
    </row>
    <row r="4780" spans="2:9" x14ac:dyDescent="0.25">
      <c r="B4780" t="s">
        <v>471</v>
      </c>
      <c r="C4780" s="22" t="s">
        <v>20</v>
      </c>
      <c r="D4780">
        <v>10</v>
      </c>
      <c r="E4780">
        <v>5</v>
      </c>
      <c r="G4780" s="31">
        <f>Table132[[#This Row],[nb win]]/Table132[[#This Row],[nb play]]</f>
        <v>0.5</v>
      </c>
      <c r="H4780" t="str">
        <f>MID(Table132[[#This Row],[ÉTAT]],VALUE(RIGHT(Table132[[#This Row],[next move]],1))+1+VALUE(LEFT(Table132[[#This Row],[next move]],1))*3,1)</f>
        <v>V</v>
      </c>
      <c r="I4780" t="str">
        <f>Table132[[#This Row],[ÉTAT]]&amp;Table132[[#This Row],[next move]]</f>
        <v>EVVVVVMVV02</v>
      </c>
    </row>
    <row r="4781" spans="2:9" x14ac:dyDescent="0.25">
      <c r="B4781" t="s">
        <v>471</v>
      </c>
      <c r="C4781" s="22" t="s">
        <v>30</v>
      </c>
      <c r="D4781">
        <v>12</v>
      </c>
      <c r="E4781">
        <v>2</v>
      </c>
      <c r="G4781" s="30">
        <f>Table132[[#This Row],[nb win]]/Table132[[#This Row],[nb play]]</f>
        <v>0.16666666666666666</v>
      </c>
      <c r="H4781" t="str">
        <f>MID(Table132[[#This Row],[ÉTAT]],VALUE(RIGHT(Table132[[#This Row],[next move]],1))+1+VALUE(LEFT(Table132[[#This Row],[next move]],1))*3,1)</f>
        <v>V</v>
      </c>
      <c r="I4781" t="str">
        <f>Table132[[#This Row],[ÉTAT]]&amp;Table132[[#This Row],[next move]]</f>
        <v>EVVVVVMVV10</v>
      </c>
    </row>
    <row r="4782" spans="2:9" x14ac:dyDescent="0.25">
      <c r="B4782" t="s">
        <v>471</v>
      </c>
      <c r="C4782" s="22" t="s">
        <v>29</v>
      </c>
      <c r="D4782">
        <v>6</v>
      </c>
      <c r="E4782">
        <v>5</v>
      </c>
      <c r="G4782" s="31">
        <f>Table132[[#This Row],[nb win]]/Table132[[#This Row],[nb play]]</f>
        <v>0.83333333333333337</v>
      </c>
      <c r="H4782" t="str">
        <f>MID(Table132[[#This Row],[ÉTAT]],VALUE(RIGHT(Table132[[#This Row],[next move]],1))+1+VALUE(LEFT(Table132[[#This Row],[next move]],1))*3,1)</f>
        <v>V</v>
      </c>
      <c r="I4782" t="str">
        <f>Table132[[#This Row],[ÉTAT]]&amp;Table132[[#This Row],[next move]]</f>
        <v>EVVVVVMVV11</v>
      </c>
    </row>
    <row r="4783" spans="2:9" x14ac:dyDescent="0.25">
      <c r="B4783" t="s">
        <v>471</v>
      </c>
      <c r="C4783" s="22" t="s">
        <v>22</v>
      </c>
      <c r="D4783">
        <v>7</v>
      </c>
      <c r="E4783">
        <v>6</v>
      </c>
      <c r="G4783" s="31">
        <f>Table132[[#This Row],[nb win]]/Table132[[#This Row],[nb play]]</f>
        <v>0.8571428571428571</v>
      </c>
      <c r="H4783" t="str">
        <f>MID(Table132[[#This Row],[ÉTAT]],VALUE(RIGHT(Table132[[#This Row],[next move]],1))+1+VALUE(LEFT(Table132[[#This Row],[next move]],1))*3,1)</f>
        <v>V</v>
      </c>
      <c r="I4783" t="str">
        <f>Table132[[#This Row],[ÉTAT]]&amp;Table132[[#This Row],[next move]]</f>
        <v>EVVVVVMVV21</v>
      </c>
    </row>
    <row r="4784" spans="2:9" x14ac:dyDescent="0.25">
      <c r="B4784" t="s">
        <v>471</v>
      </c>
      <c r="C4784" s="22" t="s">
        <v>31</v>
      </c>
      <c r="D4784">
        <v>2</v>
      </c>
      <c r="E4784">
        <v>2</v>
      </c>
      <c r="G4784" s="31">
        <f>Table132[[#This Row],[nb win]]/Table132[[#This Row],[nb play]]</f>
        <v>1</v>
      </c>
      <c r="H4784" t="str">
        <f>MID(Table132[[#This Row],[ÉTAT]],VALUE(RIGHT(Table132[[#This Row],[next move]],1))+1+VALUE(LEFT(Table132[[#This Row],[next move]],1))*3,1)</f>
        <v>V</v>
      </c>
      <c r="I4784" t="str">
        <f>Table132[[#This Row],[ÉTAT]]&amp;Table132[[#This Row],[next move]]</f>
        <v>EVVVVVMVV22</v>
      </c>
    </row>
    <row r="4785" spans="2:9" x14ac:dyDescent="0.25">
      <c r="B4785" t="s">
        <v>1367</v>
      </c>
      <c r="C4785" s="22" t="s">
        <v>26</v>
      </c>
      <c r="D4785">
        <v>1</v>
      </c>
      <c r="G4785" s="25">
        <f>Table132[[#This Row],[nb win]]/Table132[[#This Row],[nb play]]</f>
        <v>0</v>
      </c>
      <c r="H4785" t="str">
        <f>MID(Table132[[#This Row],[ÉTAT]],VALUE(RIGHT(Table132[[#This Row],[next move]],1))+1+VALUE(LEFT(Table132[[#This Row],[next move]],1))*3,1)</f>
        <v>V</v>
      </c>
      <c r="I4785" t="str">
        <f>Table132[[#This Row],[ÉTAT]]&amp;Table132[[#This Row],[next move]]</f>
        <v>EVVVVVMME01</v>
      </c>
    </row>
    <row r="4786" spans="2:9" x14ac:dyDescent="0.25">
      <c r="B4786" t="s">
        <v>1367</v>
      </c>
      <c r="C4786" s="22" t="s">
        <v>29</v>
      </c>
      <c r="D4786">
        <v>2</v>
      </c>
      <c r="E4786">
        <v>1</v>
      </c>
      <c r="G4786" s="25">
        <f>Table132[[#This Row],[nb win]]/Table132[[#This Row],[nb play]]</f>
        <v>0.5</v>
      </c>
      <c r="H4786" t="str">
        <f>MID(Table132[[#This Row],[ÉTAT]],VALUE(RIGHT(Table132[[#This Row],[next move]],1))+1+VALUE(LEFT(Table132[[#This Row],[next move]],1))*3,1)</f>
        <v>V</v>
      </c>
      <c r="I4786" t="str">
        <f>Table132[[#This Row],[ÉTAT]]&amp;Table132[[#This Row],[next move]]</f>
        <v>EVVVVVMME11</v>
      </c>
    </row>
    <row r="4787" spans="2:9" x14ac:dyDescent="0.25">
      <c r="B4787" t="s">
        <v>1367</v>
      </c>
      <c r="C4787" s="22" t="s">
        <v>28</v>
      </c>
      <c r="D4787">
        <v>1</v>
      </c>
      <c r="E4787">
        <v>1</v>
      </c>
      <c r="G4787" s="31">
        <f>Table132[[#This Row],[nb win]]/Table132[[#This Row],[nb play]]</f>
        <v>1</v>
      </c>
      <c r="H4787" t="str">
        <f>MID(Table132[[#This Row],[ÉTAT]],VALUE(RIGHT(Table132[[#This Row],[next move]],1))+1+VALUE(LEFT(Table132[[#This Row],[next move]],1))*3,1)</f>
        <v>V</v>
      </c>
      <c r="I4787" t="str">
        <f>Table132[[#This Row],[ÉTAT]]&amp;Table132[[#This Row],[next move]]</f>
        <v>EVVVVVMME12</v>
      </c>
    </row>
    <row r="4788" spans="2:9" x14ac:dyDescent="0.25">
      <c r="B4788" t="s">
        <v>352</v>
      </c>
      <c r="C4788" s="22" t="s">
        <v>26</v>
      </c>
      <c r="D4788">
        <v>1</v>
      </c>
      <c r="G4788" s="25">
        <f>Table132[[#This Row],[nb win]]/Table132[[#This Row],[nb play]]</f>
        <v>0</v>
      </c>
      <c r="H4788" t="str">
        <f>MID(Table132[[#This Row],[ÉTAT]],VALUE(RIGHT(Table132[[#This Row],[next move]],1))+1+VALUE(LEFT(Table132[[#This Row],[next move]],1))*3,1)</f>
        <v>V</v>
      </c>
      <c r="I4788" t="str">
        <f>Table132[[#This Row],[ÉTAT]]&amp;Table132[[#This Row],[next move]]</f>
        <v>EVVVVVMEV01</v>
      </c>
    </row>
    <row r="4789" spans="2:9" x14ac:dyDescent="0.25">
      <c r="B4789" t="s">
        <v>352</v>
      </c>
      <c r="C4789" s="22" t="s">
        <v>20</v>
      </c>
      <c r="D4789">
        <v>3</v>
      </c>
      <c r="E4789">
        <v>1</v>
      </c>
      <c r="G4789" s="30">
        <f>Table132[[#This Row],[nb win]]/Table132[[#This Row],[nb play]]</f>
        <v>0.33333333333333331</v>
      </c>
      <c r="H4789" t="str">
        <f>MID(Table132[[#This Row],[ÉTAT]],VALUE(RIGHT(Table132[[#This Row],[next move]],1))+1+VALUE(LEFT(Table132[[#This Row],[next move]],1))*3,1)</f>
        <v>V</v>
      </c>
      <c r="I4789" t="str">
        <f>Table132[[#This Row],[ÉTAT]]&amp;Table132[[#This Row],[next move]]</f>
        <v>EVVVVVMEV02</v>
      </c>
    </row>
    <row r="4790" spans="2:9" x14ac:dyDescent="0.25">
      <c r="B4790" t="s">
        <v>352</v>
      </c>
      <c r="C4790" s="22" t="s">
        <v>30</v>
      </c>
      <c r="D4790">
        <v>2</v>
      </c>
      <c r="G4790" s="25">
        <f>Table132[[#This Row],[nb win]]/Table132[[#This Row],[nb play]]</f>
        <v>0</v>
      </c>
      <c r="H4790" t="str">
        <f>MID(Table132[[#This Row],[ÉTAT]],VALUE(RIGHT(Table132[[#This Row],[next move]],1))+1+VALUE(LEFT(Table132[[#This Row],[next move]],1))*3,1)</f>
        <v>V</v>
      </c>
      <c r="I4790" t="str">
        <f>Table132[[#This Row],[ÉTAT]]&amp;Table132[[#This Row],[next move]]</f>
        <v>EVVVVVMEV10</v>
      </c>
    </row>
    <row r="4791" spans="2:9" x14ac:dyDescent="0.25">
      <c r="B4791" t="s">
        <v>352</v>
      </c>
      <c r="C4791" s="22" t="s">
        <v>29</v>
      </c>
      <c r="D4791">
        <v>4</v>
      </c>
      <c r="E4791">
        <v>4</v>
      </c>
      <c r="G4791" s="25">
        <f>Table132[[#This Row],[nb win]]/Table132[[#This Row],[nb play]]</f>
        <v>1</v>
      </c>
      <c r="H4791" t="str">
        <f>MID(Table132[[#This Row],[ÉTAT]],VALUE(RIGHT(Table132[[#This Row],[next move]],1))+1+VALUE(LEFT(Table132[[#This Row],[next move]],1))*3,1)</f>
        <v>V</v>
      </c>
      <c r="I4791" t="str">
        <f>Table132[[#This Row],[ÉTAT]]&amp;Table132[[#This Row],[next move]]</f>
        <v>EVVVVVMEV11</v>
      </c>
    </row>
    <row r="4792" spans="2:9" x14ac:dyDescent="0.25">
      <c r="B4792" t="s">
        <v>352</v>
      </c>
      <c r="C4792" s="22" t="s">
        <v>28</v>
      </c>
      <c r="D4792">
        <v>5</v>
      </c>
      <c r="E4792">
        <v>1</v>
      </c>
      <c r="G4792" s="30">
        <f>Table132[[#This Row],[nb win]]/Table132[[#This Row],[nb play]]</f>
        <v>0.2</v>
      </c>
      <c r="H4792" t="str">
        <f>MID(Table132[[#This Row],[ÉTAT]],VALUE(RIGHT(Table132[[#This Row],[next move]],1))+1+VALUE(LEFT(Table132[[#This Row],[next move]],1))*3,1)</f>
        <v>V</v>
      </c>
      <c r="I4792" t="str">
        <f>Table132[[#This Row],[ÉTAT]]&amp;Table132[[#This Row],[next move]]</f>
        <v>EVVVVVMEV12</v>
      </c>
    </row>
    <row r="4793" spans="2:9" x14ac:dyDescent="0.25">
      <c r="B4793" t="s">
        <v>352</v>
      </c>
      <c r="C4793" s="22" t="s">
        <v>31</v>
      </c>
      <c r="D4793">
        <v>6</v>
      </c>
      <c r="G4793" s="30">
        <f>Table132[[#This Row],[nb win]]/Table132[[#This Row],[nb play]]</f>
        <v>0</v>
      </c>
      <c r="H4793" t="str">
        <f>MID(Table132[[#This Row],[ÉTAT]],VALUE(RIGHT(Table132[[#This Row],[next move]],1))+1+VALUE(LEFT(Table132[[#This Row],[next move]],1))*3,1)</f>
        <v>V</v>
      </c>
      <c r="I4793" t="str">
        <f>Table132[[#This Row],[ÉTAT]]&amp;Table132[[#This Row],[next move]]</f>
        <v>EVVVVVMEV22</v>
      </c>
    </row>
    <row r="4794" spans="2:9" x14ac:dyDescent="0.25">
      <c r="B4794" t="s">
        <v>351</v>
      </c>
      <c r="C4794" s="22" t="s">
        <v>26</v>
      </c>
      <c r="D4794">
        <v>3</v>
      </c>
      <c r="G4794" s="30">
        <f>Table132[[#This Row],[nb win]]/Table132[[#This Row],[nb play]]</f>
        <v>0</v>
      </c>
      <c r="H4794" t="str">
        <f>MID(Table132[[#This Row],[ÉTAT]],VALUE(RIGHT(Table132[[#This Row],[next move]],1))+1+VALUE(LEFT(Table132[[#This Row],[next move]],1))*3,1)</f>
        <v>V</v>
      </c>
      <c r="I4794" t="str">
        <f>Table132[[#This Row],[ÉTAT]]&amp;Table132[[#This Row],[next move]]</f>
        <v>EVVVVVEVM01</v>
      </c>
    </row>
    <row r="4795" spans="2:9" x14ac:dyDescent="0.25">
      <c r="B4795" t="s">
        <v>351</v>
      </c>
      <c r="C4795" s="22" t="s">
        <v>29</v>
      </c>
      <c r="D4795">
        <v>2</v>
      </c>
      <c r="E4795">
        <v>1</v>
      </c>
      <c r="G4795" s="30">
        <f>Table132[[#This Row],[nb win]]/Table132[[#This Row],[nb play]]</f>
        <v>0.5</v>
      </c>
      <c r="H4795" t="str">
        <f>MID(Table132[[#This Row],[ÉTAT]],VALUE(RIGHT(Table132[[#This Row],[next move]],1))+1+VALUE(LEFT(Table132[[#This Row],[next move]],1))*3,1)</f>
        <v>V</v>
      </c>
      <c r="I4795" t="str">
        <f>Table132[[#This Row],[ÉTAT]]&amp;Table132[[#This Row],[next move]]</f>
        <v>EVVVVVEVM11</v>
      </c>
    </row>
    <row r="4796" spans="2:9" x14ac:dyDescent="0.25">
      <c r="B4796" t="s">
        <v>351</v>
      </c>
      <c r="C4796" s="22" t="s">
        <v>28</v>
      </c>
      <c r="D4796">
        <v>5</v>
      </c>
      <c r="E4796">
        <v>1</v>
      </c>
      <c r="G4796" s="30">
        <f>Table132[[#This Row],[nb win]]/Table132[[#This Row],[nb play]]</f>
        <v>0.2</v>
      </c>
      <c r="H4796" t="str">
        <f>MID(Table132[[#This Row],[ÉTAT]],VALUE(RIGHT(Table132[[#This Row],[next move]],1))+1+VALUE(LEFT(Table132[[#This Row],[next move]],1))*3,1)</f>
        <v>V</v>
      </c>
      <c r="I4796" t="str">
        <f>Table132[[#This Row],[ÉTAT]]&amp;Table132[[#This Row],[next move]]</f>
        <v>EVVVVVEVM12</v>
      </c>
    </row>
    <row r="4797" spans="2:9" x14ac:dyDescent="0.25">
      <c r="B4797" t="s">
        <v>351</v>
      </c>
      <c r="C4797" s="22" t="s">
        <v>22</v>
      </c>
      <c r="D4797">
        <v>1</v>
      </c>
      <c r="G4797" s="25">
        <f>Table132[[#This Row],[nb win]]/Table132[[#This Row],[nb play]]</f>
        <v>0</v>
      </c>
      <c r="H4797" t="str">
        <f>MID(Table132[[#This Row],[ÉTAT]],VALUE(RIGHT(Table132[[#This Row],[next move]],1))+1+VALUE(LEFT(Table132[[#This Row],[next move]],1))*3,1)</f>
        <v>V</v>
      </c>
      <c r="I4797" t="str">
        <f>Table132[[#This Row],[ÉTAT]]&amp;Table132[[#This Row],[next move]]</f>
        <v>EVVVVVEVM21</v>
      </c>
    </row>
    <row r="4798" spans="2:9" x14ac:dyDescent="0.25">
      <c r="B4798" t="s">
        <v>3438</v>
      </c>
      <c r="C4798" s="22" t="s">
        <v>20</v>
      </c>
      <c r="D4798">
        <v>1</v>
      </c>
      <c r="G4798" s="30">
        <f>Table132[[#This Row],[nb win]]/Table132[[#This Row],[nb play]]</f>
        <v>0</v>
      </c>
      <c r="H4798" t="str">
        <f>MID(Table132[[#This Row],[ÉTAT]],VALUE(RIGHT(Table132[[#This Row],[next move]],1))+1+VALUE(LEFT(Table132[[#This Row],[next move]],1))*3,1)</f>
        <v>V</v>
      </c>
      <c r="I4798" t="str">
        <f>Table132[[#This Row],[ÉTAT]]&amp;Table132[[#This Row],[next move]]</f>
        <v>EVVVVVEMV02</v>
      </c>
    </row>
    <row r="4799" spans="2:9" x14ac:dyDescent="0.25">
      <c r="B4799" t="s">
        <v>3438</v>
      </c>
      <c r="C4799" s="22" t="s">
        <v>31</v>
      </c>
      <c r="D4799">
        <v>1</v>
      </c>
      <c r="G4799" s="30">
        <f>Table132[[#This Row],[nb win]]/Table132[[#This Row],[nb play]]</f>
        <v>0</v>
      </c>
      <c r="H4799" t="str">
        <f>MID(Table132[[#This Row],[ÉTAT]],VALUE(RIGHT(Table132[[#This Row],[next move]],1))+1+VALUE(LEFT(Table132[[#This Row],[next move]],1))*3,1)</f>
        <v>V</v>
      </c>
      <c r="I4799" t="str">
        <f>Table132[[#This Row],[ÉTAT]]&amp;Table132[[#This Row],[next move]]</f>
        <v>EVVVVVEMV22</v>
      </c>
    </row>
    <row r="4800" spans="2:9" x14ac:dyDescent="0.25">
      <c r="B4800" t="s">
        <v>1449</v>
      </c>
      <c r="C4800" s="22" t="s">
        <v>26</v>
      </c>
      <c r="D4800">
        <v>2</v>
      </c>
      <c r="E4800">
        <v>1</v>
      </c>
      <c r="G4800" s="25">
        <f>Table132[[#This Row],[nb win]]/Table132[[#This Row],[nb play]]</f>
        <v>0.5</v>
      </c>
      <c r="H4800" t="str">
        <f>MID(Table132[[#This Row],[ÉTAT]],VALUE(RIGHT(Table132[[#This Row],[next move]],1))+1+VALUE(LEFT(Table132[[#This Row],[next move]],1))*3,1)</f>
        <v>V</v>
      </c>
      <c r="I4800" t="str">
        <f>Table132[[#This Row],[ÉTAT]]&amp;Table132[[#This Row],[next move]]</f>
        <v>EVVVVVEMM01</v>
      </c>
    </row>
    <row r="4801" spans="2:9" x14ac:dyDescent="0.25">
      <c r="B4801" t="s">
        <v>1449</v>
      </c>
      <c r="C4801" s="22" t="s">
        <v>30</v>
      </c>
      <c r="D4801">
        <v>1</v>
      </c>
      <c r="G4801" s="25">
        <f>Table132[[#This Row],[nb win]]/Table132[[#This Row],[nb play]]</f>
        <v>0</v>
      </c>
      <c r="H4801" t="str">
        <f>MID(Table132[[#This Row],[ÉTAT]],VALUE(RIGHT(Table132[[#This Row],[next move]],1))+1+VALUE(LEFT(Table132[[#This Row],[next move]],1))*3,1)</f>
        <v>V</v>
      </c>
      <c r="I4801" t="str">
        <f>Table132[[#This Row],[ÉTAT]]&amp;Table132[[#This Row],[next move]]</f>
        <v>EVVVVVEMM10</v>
      </c>
    </row>
    <row r="4802" spans="2:9" x14ac:dyDescent="0.25">
      <c r="B4802" t="s">
        <v>1449</v>
      </c>
      <c r="C4802" s="22" t="s">
        <v>29</v>
      </c>
      <c r="D4802">
        <v>1</v>
      </c>
      <c r="G4802" s="25">
        <f>Table132[[#This Row],[nb win]]/Table132[[#This Row],[nb play]]</f>
        <v>0</v>
      </c>
      <c r="H4802" t="str">
        <f>MID(Table132[[#This Row],[ÉTAT]],VALUE(RIGHT(Table132[[#This Row],[next move]],1))+1+VALUE(LEFT(Table132[[#This Row],[next move]],1))*3,1)</f>
        <v>V</v>
      </c>
      <c r="I4802" t="str">
        <f>Table132[[#This Row],[ÉTAT]]&amp;Table132[[#This Row],[next move]]</f>
        <v>EVVVVVEMM11</v>
      </c>
    </row>
    <row r="4803" spans="2:9" x14ac:dyDescent="0.25">
      <c r="B4803" t="s">
        <v>1449</v>
      </c>
      <c r="C4803" s="22" t="s">
        <v>28</v>
      </c>
      <c r="D4803">
        <v>1</v>
      </c>
      <c r="G4803" s="25">
        <f>Table132[[#This Row],[nb win]]/Table132[[#This Row],[nb play]]</f>
        <v>0</v>
      </c>
      <c r="H4803" t="str">
        <f>MID(Table132[[#This Row],[ÉTAT]],VALUE(RIGHT(Table132[[#This Row],[next move]],1))+1+VALUE(LEFT(Table132[[#This Row],[next move]],1))*3,1)</f>
        <v>V</v>
      </c>
      <c r="I4803" t="str">
        <f>Table132[[#This Row],[ÉTAT]]&amp;Table132[[#This Row],[next move]]</f>
        <v>EVVVVVEMM12</v>
      </c>
    </row>
    <row r="4804" spans="2:9" x14ac:dyDescent="0.25">
      <c r="B4804" t="s">
        <v>46</v>
      </c>
      <c r="C4804" s="22" t="s">
        <v>26</v>
      </c>
      <c r="D4804">
        <v>10</v>
      </c>
      <c r="E4804">
        <v>6</v>
      </c>
      <c r="G4804" s="30">
        <f>Table132[[#This Row],[nb win]]/Table132[[#This Row],[nb play]]</f>
        <v>0.6</v>
      </c>
      <c r="H4804" t="str">
        <f>MID(Table132[[#This Row],[ÉTAT]],VALUE(RIGHT(Table132[[#This Row],[next move]],1))+1+VALUE(LEFT(Table132[[#This Row],[next move]],1))*3,1)</f>
        <v>V</v>
      </c>
      <c r="I4804" t="str">
        <f>Table132[[#This Row],[ÉTAT]]&amp;Table132[[#This Row],[next move]]</f>
        <v>EVVVVMVVV01</v>
      </c>
    </row>
    <row r="4805" spans="2:9" x14ac:dyDescent="0.25">
      <c r="B4805" t="s">
        <v>46</v>
      </c>
      <c r="C4805" s="22" t="s">
        <v>20</v>
      </c>
      <c r="D4805">
        <v>1</v>
      </c>
      <c r="E4805">
        <v>1</v>
      </c>
      <c r="G4805" s="31">
        <f>Table132[[#This Row],[nb win]]/Table132[[#This Row],[nb play]]</f>
        <v>1</v>
      </c>
      <c r="H4805" t="str">
        <f>MID(Table132[[#This Row],[ÉTAT]],VALUE(RIGHT(Table132[[#This Row],[next move]],1))+1+VALUE(LEFT(Table132[[#This Row],[next move]],1))*3,1)</f>
        <v>V</v>
      </c>
      <c r="I4805" t="str">
        <f>Table132[[#This Row],[ÉTAT]]&amp;Table132[[#This Row],[next move]]</f>
        <v>EVVVVMVVV02</v>
      </c>
    </row>
    <row r="4806" spans="2:9" x14ac:dyDescent="0.25">
      <c r="B4806" t="s">
        <v>46</v>
      </c>
      <c r="C4806" s="22" t="s">
        <v>30</v>
      </c>
      <c r="D4806">
        <v>40</v>
      </c>
      <c r="E4806">
        <v>36</v>
      </c>
      <c r="G4806" s="31">
        <f>Table132[[#This Row],[nb win]]/Table132[[#This Row],[nb play]]</f>
        <v>0.9</v>
      </c>
      <c r="H4806" t="str">
        <f>MID(Table132[[#This Row],[ÉTAT]],VALUE(RIGHT(Table132[[#This Row],[next move]],1))+1+VALUE(LEFT(Table132[[#This Row],[next move]],1))*3,1)</f>
        <v>V</v>
      </c>
      <c r="I4806" t="str">
        <f>Table132[[#This Row],[ÉTAT]]&amp;Table132[[#This Row],[next move]]</f>
        <v>EVVVVMVVV10</v>
      </c>
    </row>
    <row r="4807" spans="2:9" x14ac:dyDescent="0.25">
      <c r="B4807" t="s">
        <v>46</v>
      </c>
      <c r="C4807" s="22" t="s">
        <v>22</v>
      </c>
      <c r="D4807">
        <v>2</v>
      </c>
      <c r="E4807">
        <v>1</v>
      </c>
      <c r="G4807" s="30">
        <f>Table132[[#This Row],[nb win]]/Table132[[#This Row],[nb play]]</f>
        <v>0.5</v>
      </c>
      <c r="H4807" t="str">
        <f>MID(Table132[[#This Row],[ÉTAT]],VALUE(RIGHT(Table132[[#This Row],[next move]],1))+1+VALUE(LEFT(Table132[[#This Row],[next move]],1))*3,1)</f>
        <v>V</v>
      </c>
      <c r="I4807" t="str">
        <f>Table132[[#This Row],[ÉTAT]]&amp;Table132[[#This Row],[next move]]</f>
        <v>EVVVVMVVV21</v>
      </c>
    </row>
    <row r="4808" spans="2:9" x14ac:dyDescent="0.25">
      <c r="B4808" t="s">
        <v>46</v>
      </c>
      <c r="C4808" s="22" t="s">
        <v>31</v>
      </c>
      <c r="D4808">
        <v>1</v>
      </c>
      <c r="G4808" s="30">
        <f>Table132[[#This Row],[nb win]]/Table132[[#This Row],[nb play]]</f>
        <v>0</v>
      </c>
      <c r="H4808" t="str">
        <f>MID(Table132[[#This Row],[ÉTAT]],VALUE(RIGHT(Table132[[#This Row],[next move]],1))+1+VALUE(LEFT(Table132[[#This Row],[next move]],1))*3,1)</f>
        <v>V</v>
      </c>
      <c r="I4808" t="str">
        <f>Table132[[#This Row],[ÉTAT]]&amp;Table132[[#This Row],[next move]]</f>
        <v>EVVVVMVVV22</v>
      </c>
    </row>
    <row r="4809" spans="2:9" x14ac:dyDescent="0.25">
      <c r="B4809" t="s">
        <v>1746</v>
      </c>
      <c r="C4809" s="22" t="s">
        <v>26</v>
      </c>
      <c r="D4809">
        <v>6</v>
      </c>
      <c r="E4809">
        <v>1</v>
      </c>
      <c r="G4809" s="30">
        <f>Table132[[#This Row],[nb win]]/Table132[[#This Row],[nb play]]</f>
        <v>0.16666666666666666</v>
      </c>
      <c r="H4809" t="str">
        <f>MID(Table132[[#This Row],[ÉTAT]],VALUE(RIGHT(Table132[[#This Row],[next move]],1))+1+VALUE(LEFT(Table132[[#This Row],[next move]],1))*3,1)</f>
        <v>V</v>
      </c>
      <c r="I4809" t="str">
        <f>Table132[[#This Row],[ÉTAT]]&amp;Table132[[#This Row],[next move]]</f>
        <v>EVVVVMVVE01</v>
      </c>
    </row>
    <row r="4810" spans="2:9" x14ac:dyDescent="0.25">
      <c r="B4810" t="s">
        <v>1746</v>
      </c>
      <c r="C4810" s="22" t="s">
        <v>20</v>
      </c>
      <c r="D4810">
        <v>3</v>
      </c>
      <c r="G4810" s="30">
        <f>Table132[[#This Row],[nb win]]/Table132[[#This Row],[nb play]]</f>
        <v>0</v>
      </c>
      <c r="H4810" t="str">
        <f>MID(Table132[[#This Row],[ÉTAT]],VALUE(RIGHT(Table132[[#This Row],[next move]],1))+1+VALUE(LEFT(Table132[[#This Row],[next move]],1))*3,1)</f>
        <v>V</v>
      </c>
      <c r="I4810" t="str">
        <f>Table132[[#This Row],[ÉTAT]]&amp;Table132[[#This Row],[next move]]</f>
        <v>EVVVVMVVE02</v>
      </c>
    </row>
    <row r="4811" spans="2:9" x14ac:dyDescent="0.25">
      <c r="B4811" t="s">
        <v>1746</v>
      </c>
      <c r="C4811" s="22" t="s">
        <v>30</v>
      </c>
      <c r="D4811">
        <v>3</v>
      </c>
      <c r="E4811">
        <v>2</v>
      </c>
      <c r="G4811" s="31">
        <f>Table132[[#This Row],[nb win]]/Table132[[#This Row],[nb play]]</f>
        <v>0.66666666666666663</v>
      </c>
      <c r="H4811" t="str">
        <f>MID(Table132[[#This Row],[ÉTAT]],VALUE(RIGHT(Table132[[#This Row],[next move]],1))+1+VALUE(LEFT(Table132[[#This Row],[next move]],1))*3,1)</f>
        <v>V</v>
      </c>
      <c r="I4811" t="str">
        <f>Table132[[#This Row],[ÉTAT]]&amp;Table132[[#This Row],[next move]]</f>
        <v>EVVVVMVVE10</v>
      </c>
    </row>
    <row r="4812" spans="2:9" x14ac:dyDescent="0.25">
      <c r="B4812" t="s">
        <v>1746</v>
      </c>
      <c r="C4812" s="22" t="s">
        <v>29</v>
      </c>
      <c r="D4812">
        <v>1</v>
      </c>
      <c r="E4812">
        <v>1</v>
      </c>
      <c r="G4812" s="25">
        <f>Table132[[#This Row],[nb win]]/Table132[[#This Row],[nb play]]</f>
        <v>1</v>
      </c>
      <c r="H4812" t="str">
        <f>MID(Table132[[#This Row],[ÉTAT]],VALUE(RIGHT(Table132[[#This Row],[next move]],1))+1+VALUE(LEFT(Table132[[#This Row],[next move]],1))*3,1)</f>
        <v>V</v>
      </c>
      <c r="I4812" t="str">
        <f>Table132[[#This Row],[ÉTAT]]&amp;Table132[[#This Row],[next move]]</f>
        <v>EVVVVMVVE11</v>
      </c>
    </row>
    <row r="4813" spans="2:9" x14ac:dyDescent="0.25">
      <c r="B4813" t="s">
        <v>1746</v>
      </c>
      <c r="C4813" s="22" t="s">
        <v>22</v>
      </c>
      <c r="D4813">
        <v>2</v>
      </c>
      <c r="G4813" s="30">
        <f>Table132[[#This Row],[nb win]]/Table132[[#This Row],[nb play]]</f>
        <v>0</v>
      </c>
      <c r="H4813" t="str">
        <f>MID(Table132[[#This Row],[ÉTAT]],VALUE(RIGHT(Table132[[#This Row],[next move]],1))+1+VALUE(LEFT(Table132[[#This Row],[next move]],1))*3,1)</f>
        <v>V</v>
      </c>
      <c r="I4813" t="str">
        <f>Table132[[#This Row],[ÉTAT]]&amp;Table132[[#This Row],[next move]]</f>
        <v>EVVVVMVVE21</v>
      </c>
    </row>
    <row r="4814" spans="2:9" x14ac:dyDescent="0.25">
      <c r="B4814" t="s">
        <v>2889</v>
      </c>
      <c r="C4814" s="22" t="s">
        <v>26</v>
      </c>
      <c r="D4814">
        <v>1</v>
      </c>
      <c r="G4814" s="25">
        <f>Table132[[#This Row],[nb win]]/Table132[[#This Row],[nb play]]</f>
        <v>0</v>
      </c>
      <c r="H4814" t="str">
        <f>MID(Table132[[#This Row],[ÉTAT]],VALUE(RIGHT(Table132[[#This Row],[next move]],1))+1+VALUE(LEFT(Table132[[#This Row],[next move]],1))*3,1)</f>
        <v>V</v>
      </c>
      <c r="I4814" t="str">
        <f>Table132[[#This Row],[ÉTAT]]&amp;Table132[[#This Row],[next move]]</f>
        <v>EVVVVMVME01</v>
      </c>
    </row>
    <row r="4815" spans="2:9" x14ac:dyDescent="0.25">
      <c r="B4815" t="s">
        <v>2889</v>
      </c>
      <c r="C4815" s="22" t="s">
        <v>29</v>
      </c>
      <c r="D4815">
        <v>2</v>
      </c>
      <c r="E4815">
        <v>2</v>
      </c>
      <c r="G4815" s="31">
        <f>Table132[[#This Row],[nb win]]/Table132[[#This Row],[nb play]]</f>
        <v>1</v>
      </c>
      <c r="H4815" t="str">
        <f>MID(Table132[[#This Row],[ÉTAT]],VALUE(RIGHT(Table132[[#This Row],[next move]],1))+1+VALUE(LEFT(Table132[[#This Row],[next move]],1))*3,1)</f>
        <v>V</v>
      </c>
      <c r="I4815" t="str">
        <f>Table132[[#This Row],[ÉTAT]]&amp;Table132[[#This Row],[next move]]</f>
        <v>EVVVVMVME11</v>
      </c>
    </row>
    <row r="4816" spans="2:9" x14ac:dyDescent="0.25">
      <c r="B4816" t="s">
        <v>1634</v>
      </c>
      <c r="C4816" s="22" t="s">
        <v>20</v>
      </c>
      <c r="D4816">
        <v>7</v>
      </c>
      <c r="E4816">
        <v>4</v>
      </c>
      <c r="G4816" s="31">
        <f>Table132[[#This Row],[nb win]]/Table132[[#This Row],[nb play]]</f>
        <v>0.5714285714285714</v>
      </c>
      <c r="H4816" t="str">
        <f>MID(Table132[[#This Row],[ÉTAT]],VALUE(RIGHT(Table132[[#This Row],[next move]],1))+1+VALUE(LEFT(Table132[[#This Row],[next move]],1))*3,1)</f>
        <v>V</v>
      </c>
      <c r="I4816" t="str">
        <f>Table132[[#This Row],[ÉTAT]]&amp;Table132[[#This Row],[next move]]</f>
        <v>EVVVVMVEV02</v>
      </c>
    </row>
    <row r="4817" spans="2:9" x14ac:dyDescent="0.25">
      <c r="B4817" t="s">
        <v>1634</v>
      </c>
      <c r="C4817" s="22" t="s">
        <v>30</v>
      </c>
      <c r="D4817">
        <v>2</v>
      </c>
      <c r="E4817">
        <v>1</v>
      </c>
      <c r="G4817" s="30">
        <f>Table132[[#This Row],[nb win]]/Table132[[#This Row],[nb play]]</f>
        <v>0.5</v>
      </c>
      <c r="H4817" t="str">
        <f>MID(Table132[[#This Row],[ÉTAT]],VALUE(RIGHT(Table132[[#This Row],[next move]],1))+1+VALUE(LEFT(Table132[[#This Row],[next move]],1))*3,1)</f>
        <v>V</v>
      </c>
      <c r="I4817" t="str">
        <f>Table132[[#This Row],[ÉTAT]]&amp;Table132[[#This Row],[next move]]</f>
        <v>EVVVVMVEV10</v>
      </c>
    </row>
    <row r="4818" spans="2:9" x14ac:dyDescent="0.25">
      <c r="B4818" t="s">
        <v>1634</v>
      </c>
      <c r="C4818" s="22" t="s">
        <v>29</v>
      </c>
      <c r="D4818">
        <v>1</v>
      </c>
      <c r="G4818" s="30">
        <f>Table132[[#This Row],[nb win]]/Table132[[#This Row],[nb play]]</f>
        <v>0</v>
      </c>
      <c r="H4818" t="str">
        <f>MID(Table132[[#This Row],[ÉTAT]],VALUE(RIGHT(Table132[[#This Row],[next move]],1))+1+VALUE(LEFT(Table132[[#This Row],[next move]],1))*3,1)</f>
        <v>V</v>
      </c>
      <c r="I4818" t="str">
        <f>Table132[[#This Row],[ÉTAT]]&amp;Table132[[#This Row],[next move]]</f>
        <v>EVVVVMVEV11</v>
      </c>
    </row>
    <row r="4819" spans="2:9" x14ac:dyDescent="0.25">
      <c r="B4819" t="s">
        <v>1634</v>
      </c>
      <c r="C4819" s="22" t="s">
        <v>35</v>
      </c>
      <c r="D4819">
        <v>2</v>
      </c>
      <c r="E4819">
        <v>1</v>
      </c>
      <c r="G4819" s="30">
        <f>Table132[[#This Row],[nb win]]/Table132[[#This Row],[nb play]]</f>
        <v>0.5</v>
      </c>
      <c r="H4819" t="str">
        <f>MID(Table132[[#This Row],[ÉTAT]],VALUE(RIGHT(Table132[[#This Row],[next move]],1))+1+VALUE(LEFT(Table132[[#This Row],[next move]],1))*3,1)</f>
        <v>V</v>
      </c>
      <c r="I4819" t="str">
        <f>Table132[[#This Row],[ÉTAT]]&amp;Table132[[#This Row],[next move]]</f>
        <v>EVVVVMVEV20</v>
      </c>
    </row>
    <row r="4820" spans="2:9" x14ac:dyDescent="0.25">
      <c r="B4820" t="s">
        <v>2271</v>
      </c>
      <c r="C4820" s="22" t="s">
        <v>30</v>
      </c>
      <c r="D4820">
        <v>3</v>
      </c>
      <c r="E4820">
        <v>3</v>
      </c>
      <c r="G4820" s="31">
        <f>Table132[[#This Row],[nb win]]/Table132[[#This Row],[nb play]]</f>
        <v>1</v>
      </c>
      <c r="H4820" t="str">
        <f>MID(Table132[[#This Row],[ÉTAT]],VALUE(RIGHT(Table132[[#This Row],[next move]],1))+1+VALUE(LEFT(Table132[[#This Row],[next move]],1))*3,1)</f>
        <v>V</v>
      </c>
      <c r="I4820" t="str">
        <f>Table132[[#This Row],[ÉTAT]]&amp;Table132[[#This Row],[next move]]</f>
        <v>EVVVVMVEM10</v>
      </c>
    </row>
    <row r="4821" spans="2:9" x14ac:dyDescent="0.25">
      <c r="B4821" t="s">
        <v>593</v>
      </c>
      <c r="C4821" s="22" t="s">
        <v>26</v>
      </c>
      <c r="D4821">
        <v>2</v>
      </c>
      <c r="E4821">
        <v>2</v>
      </c>
      <c r="G4821" s="31">
        <f>Table132[[#This Row],[nb win]]/Table132[[#This Row],[nb play]]</f>
        <v>1</v>
      </c>
      <c r="H4821" t="str">
        <f>MID(Table132[[#This Row],[ÉTAT]],VALUE(RIGHT(Table132[[#This Row],[next move]],1))+1+VALUE(LEFT(Table132[[#This Row],[next move]],1))*3,1)</f>
        <v>V</v>
      </c>
      <c r="I4821" t="str">
        <f>Table132[[#This Row],[ÉTAT]]&amp;Table132[[#This Row],[next move]]</f>
        <v>EVVVVMMVE01</v>
      </c>
    </row>
    <row r="4822" spans="2:9" x14ac:dyDescent="0.25">
      <c r="B4822" t="s">
        <v>593</v>
      </c>
      <c r="C4822" s="22" t="s">
        <v>22</v>
      </c>
      <c r="D4822">
        <v>1</v>
      </c>
      <c r="G4822" s="25">
        <f>Table132[[#This Row],[nb win]]/Table132[[#This Row],[nb play]]</f>
        <v>0</v>
      </c>
      <c r="H4822" t="str">
        <f>MID(Table132[[#This Row],[ÉTAT]],VALUE(RIGHT(Table132[[#This Row],[next move]],1))+1+VALUE(LEFT(Table132[[#This Row],[next move]],1))*3,1)</f>
        <v>V</v>
      </c>
      <c r="I4822" t="str">
        <f>Table132[[#This Row],[ÉTAT]]&amp;Table132[[#This Row],[next move]]</f>
        <v>EVVVVMMVE21</v>
      </c>
    </row>
    <row r="4823" spans="2:9" x14ac:dyDescent="0.25">
      <c r="B4823" t="s">
        <v>2906</v>
      </c>
      <c r="C4823" s="22" t="s">
        <v>20</v>
      </c>
      <c r="D4823">
        <v>2</v>
      </c>
      <c r="E4823">
        <v>1</v>
      </c>
      <c r="G4823" s="30">
        <f>Table132[[#This Row],[nb win]]/Table132[[#This Row],[nb play]]</f>
        <v>0.5</v>
      </c>
      <c r="H4823" t="str">
        <f>MID(Table132[[#This Row],[ÉTAT]],VALUE(RIGHT(Table132[[#This Row],[next move]],1))+1+VALUE(LEFT(Table132[[#This Row],[next move]],1))*3,1)</f>
        <v>V</v>
      </c>
      <c r="I4823" t="str">
        <f>Table132[[#This Row],[ÉTAT]]&amp;Table132[[#This Row],[next move]]</f>
        <v>EVVVVMMEV02</v>
      </c>
    </row>
    <row r="4824" spans="2:9" x14ac:dyDescent="0.25">
      <c r="B4824" t="s">
        <v>2906</v>
      </c>
      <c r="C4824" s="22" t="s">
        <v>30</v>
      </c>
      <c r="D4824">
        <v>1</v>
      </c>
      <c r="G4824" s="30">
        <f>Table132[[#This Row],[nb win]]/Table132[[#This Row],[nb play]]</f>
        <v>0</v>
      </c>
      <c r="H4824" t="str">
        <f>MID(Table132[[#This Row],[ÉTAT]],VALUE(RIGHT(Table132[[#This Row],[next move]],1))+1+VALUE(LEFT(Table132[[#This Row],[next move]],1))*3,1)</f>
        <v>V</v>
      </c>
      <c r="I4824" t="str">
        <f>Table132[[#This Row],[ÉTAT]]&amp;Table132[[#This Row],[next move]]</f>
        <v>EVVVVMMEV10</v>
      </c>
    </row>
    <row r="4825" spans="2:9" x14ac:dyDescent="0.25">
      <c r="B4825" t="s">
        <v>2906</v>
      </c>
      <c r="C4825" s="22" t="s">
        <v>31</v>
      </c>
      <c r="D4825">
        <v>1</v>
      </c>
      <c r="G4825" s="30">
        <f>Table132[[#This Row],[nb win]]/Table132[[#This Row],[nb play]]</f>
        <v>0</v>
      </c>
      <c r="H4825" t="str">
        <f>MID(Table132[[#This Row],[ÉTAT]],VALUE(RIGHT(Table132[[#This Row],[next move]],1))+1+VALUE(LEFT(Table132[[#This Row],[next move]],1))*3,1)</f>
        <v>V</v>
      </c>
      <c r="I4825" t="str">
        <f>Table132[[#This Row],[ÉTAT]]&amp;Table132[[#This Row],[next move]]</f>
        <v>EVVVVMMEV22</v>
      </c>
    </row>
    <row r="4826" spans="2:9" x14ac:dyDescent="0.25">
      <c r="B4826" t="s">
        <v>771</v>
      </c>
      <c r="C4826" s="22" t="s">
        <v>26</v>
      </c>
      <c r="D4826">
        <v>1</v>
      </c>
      <c r="G4826" s="25">
        <f>Table132[[#This Row],[nb win]]/Table132[[#This Row],[nb play]]</f>
        <v>0</v>
      </c>
      <c r="H4826" t="str">
        <f>MID(Table132[[#This Row],[ÉTAT]],VALUE(RIGHT(Table132[[#This Row],[next move]],1))+1+VALUE(LEFT(Table132[[#This Row],[next move]],1))*3,1)</f>
        <v>V</v>
      </c>
      <c r="I4826" t="str">
        <f>Table132[[#This Row],[ÉTAT]]&amp;Table132[[#This Row],[next move]]</f>
        <v>EVVVVMMEE01</v>
      </c>
    </row>
    <row r="4827" spans="2:9" x14ac:dyDescent="0.25">
      <c r="B4827" t="s">
        <v>771</v>
      </c>
      <c r="C4827" s="22" t="s">
        <v>20</v>
      </c>
      <c r="D4827">
        <v>2</v>
      </c>
      <c r="G4827" s="30">
        <f>Table132[[#This Row],[nb win]]/Table132[[#This Row],[nb play]]</f>
        <v>0</v>
      </c>
      <c r="H4827" t="str">
        <f>MID(Table132[[#This Row],[ÉTAT]],VALUE(RIGHT(Table132[[#This Row],[next move]],1))+1+VALUE(LEFT(Table132[[#This Row],[next move]],1))*3,1)</f>
        <v>V</v>
      </c>
      <c r="I4827" t="str">
        <f>Table132[[#This Row],[ÉTAT]]&amp;Table132[[#This Row],[next move]]</f>
        <v>EVVVVMMEE02</v>
      </c>
    </row>
    <row r="4828" spans="2:9" x14ac:dyDescent="0.25">
      <c r="B4828" t="s">
        <v>771</v>
      </c>
      <c r="C4828" s="22" t="s">
        <v>30</v>
      </c>
      <c r="D4828">
        <v>2</v>
      </c>
      <c r="E4828">
        <v>1</v>
      </c>
      <c r="G4828" s="25">
        <f>Table132[[#This Row],[nb win]]/Table132[[#This Row],[nb play]]</f>
        <v>0.5</v>
      </c>
      <c r="H4828" t="str">
        <f>MID(Table132[[#This Row],[ÉTAT]],VALUE(RIGHT(Table132[[#This Row],[next move]],1))+1+VALUE(LEFT(Table132[[#This Row],[next move]],1))*3,1)</f>
        <v>V</v>
      </c>
      <c r="I4828" t="str">
        <f>Table132[[#This Row],[ÉTAT]]&amp;Table132[[#This Row],[next move]]</f>
        <v>EVVVVMMEE10</v>
      </c>
    </row>
    <row r="4829" spans="2:9" x14ac:dyDescent="0.25">
      <c r="B4829" t="s">
        <v>771</v>
      </c>
      <c r="C4829" s="22" t="s">
        <v>29</v>
      </c>
      <c r="D4829">
        <v>1</v>
      </c>
      <c r="E4829">
        <v>1</v>
      </c>
      <c r="G4829" s="31">
        <f>Table132[[#This Row],[nb win]]/Table132[[#This Row],[nb play]]</f>
        <v>1</v>
      </c>
      <c r="H4829" t="str">
        <f>MID(Table132[[#This Row],[ÉTAT]],VALUE(RIGHT(Table132[[#This Row],[next move]],1))+1+VALUE(LEFT(Table132[[#This Row],[next move]],1))*3,1)</f>
        <v>V</v>
      </c>
      <c r="I4829" t="str">
        <f>Table132[[#This Row],[ÉTAT]]&amp;Table132[[#This Row],[next move]]</f>
        <v>EVVVVMMEE11</v>
      </c>
    </row>
    <row r="4830" spans="2:9" x14ac:dyDescent="0.25">
      <c r="B4830" t="s">
        <v>594</v>
      </c>
      <c r="C4830" s="22" t="s">
        <v>26</v>
      </c>
      <c r="D4830">
        <v>3</v>
      </c>
      <c r="G4830" s="30">
        <f>Table132[[#This Row],[nb win]]/Table132[[#This Row],[nb play]]</f>
        <v>0</v>
      </c>
      <c r="H4830" t="str">
        <f>MID(Table132[[#This Row],[ÉTAT]],VALUE(RIGHT(Table132[[#This Row],[next move]],1))+1+VALUE(LEFT(Table132[[#This Row],[next move]],1))*3,1)</f>
        <v>V</v>
      </c>
      <c r="I4830" t="str">
        <f>Table132[[#This Row],[ÉTAT]]&amp;Table132[[#This Row],[next move]]</f>
        <v>EVVVVMEVV01</v>
      </c>
    </row>
    <row r="4831" spans="2:9" x14ac:dyDescent="0.25">
      <c r="B4831" t="s">
        <v>594</v>
      </c>
      <c r="C4831" s="22" t="s">
        <v>20</v>
      </c>
      <c r="D4831">
        <v>4</v>
      </c>
      <c r="E4831">
        <v>2</v>
      </c>
      <c r="G4831" s="30">
        <f>Table132[[#This Row],[nb win]]/Table132[[#This Row],[nb play]]</f>
        <v>0.5</v>
      </c>
      <c r="H4831" t="str">
        <f>MID(Table132[[#This Row],[ÉTAT]],VALUE(RIGHT(Table132[[#This Row],[next move]],1))+1+VALUE(LEFT(Table132[[#This Row],[next move]],1))*3,1)</f>
        <v>V</v>
      </c>
      <c r="I4831" t="str">
        <f>Table132[[#This Row],[ÉTAT]]&amp;Table132[[#This Row],[next move]]</f>
        <v>EVVVVMEVV02</v>
      </c>
    </row>
    <row r="4832" spans="2:9" x14ac:dyDescent="0.25">
      <c r="B4832" t="s">
        <v>594</v>
      </c>
      <c r="C4832" s="22" t="s">
        <v>30</v>
      </c>
      <c r="D4832">
        <v>5</v>
      </c>
      <c r="E4832">
        <v>3</v>
      </c>
      <c r="G4832" s="31">
        <f>Table132[[#This Row],[nb win]]/Table132[[#This Row],[nb play]]</f>
        <v>0.6</v>
      </c>
      <c r="H4832" t="str">
        <f>MID(Table132[[#This Row],[ÉTAT]],VALUE(RIGHT(Table132[[#This Row],[next move]],1))+1+VALUE(LEFT(Table132[[#This Row],[next move]],1))*3,1)</f>
        <v>V</v>
      </c>
      <c r="I4832" t="str">
        <f>Table132[[#This Row],[ÉTAT]]&amp;Table132[[#This Row],[next move]]</f>
        <v>EVVVVMEVV10</v>
      </c>
    </row>
    <row r="4833" spans="2:9" x14ac:dyDescent="0.25">
      <c r="B4833" t="s">
        <v>594</v>
      </c>
      <c r="C4833" s="22" t="s">
        <v>29</v>
      </c>
      <c r="D4833">
        <v>3</v>
      </c>
      <c r="E4833">
        <v>1</v>
      </c>
      <c r="G4833" s="25">
        <f>Table132[[#This Row],[nb win]]/Table132[[#This Row],[nb play]]</f>
        <v>0.33333333333333331</v>
      </c>
      <c r="H4833" t="str">
        <f>MID(Table132[[#This Row],[ÉTAT]],VALUE(RIGHT(Table132[[#This Row],[next move]],1))+1+VALUE(LEFT(Table132[[#This Row],[next move]],1))*3,1)</f>
        <v>V</v>
      </c>
      <c r="I4833" t="str">
        <f>Table132[[#This Row],[ÉTAT]]&amp;Table132[[#This Row],[next move]]</f>
        <v>EVVVVMEVV11</v>
      </c>
    </row>
    <row r="4834" spans="2:9" x14ac:dyDescent="0.25">
      <c r="B4834" t="s">
        <v>594</v>
      </c>
      <c r="C4834" s="22" t="s">
        <v>22</v>
      </c>
      <c r="D4834">
        <v>4</v>
      </c>
      <c r="E4834">
        <v>1</v>
      </c>
      <c r="G4834" s="25">
        <f>Table132[[#This Row],[nb win]]/Table132[[#This Row],[nb play]]</f>
        <v>0.25</v>
      </c>
      <c r="H4834" t="str">
        <f>MID(Table132[[#This Row],[ÉTAT]],VALUE(RIGHT(Table132[[#This Row],[next move]],1))+1+VALUE(LEFT(Table132[[#This Row],[next move]],1))*3,1)</f>
        <v>V</v>
      </c>
      <c r="I4834" t="str">
        <f>Table132[[#This Row],[ÉTAT]]&amp;Table132[[#This Row],[next move]]</f>
        <v>EVVVVMEVV21</v>
      </c>
    </row>
    <row r="4835" spans="2:9" x14ac:dyDescent="0.25">
      <c r="B4835" t="s">
        <v>594</v>
      </c>
      <c r="C4835" s="22" t="s">
        <v>31</v>
      </c>
      <c r="D4835">
        <v>1</v>
      </c>
      <c r="E4835">
        <v>1</v>
      </c>
      <c r="G4835" s="25">
        <f>Table132[[#This Row],[nb win]]/Table132[[#This Row],[nb play]]</f>
        <v>1</v>
      </c>
      <c r="H4835" t="str">
        <f>MID(Table132[[#This Row],[ÉTAT]],VALUE(RIGHT(Table132[[#This Row],[next move]],1))+1+VALUE(LEFT(Table132[[#This Row],[next move]],1))*3,1)</f>
        <v>V</v>
      </c>
      <c r="I4835" t="str">
        <f>Table132[[#This Row],[ÉTAT]]&amp;Table132[[#This Row],[next move]]</f>
        <v>EVVVVMEVV22</v>
      </c>
    </row>
    <row r="4836" spans="2:9" x14ac:dyDescent="0.25">
      <c r="B4836" t="s">
        <v>2490</v>
      </c>
      <c r="C4836" s="22" t="s">
        <v>20</v>
      </c>
      <c r="D4836">
        <v>1</v>
      </c>
      <c r="E4836">
        <v>1</v>
      </c>
      <c r="G4836" s="25">
        <f>Table132[[#This Row],[nb win]]/Table132[[#This Row],[nb play]]</f>
        <v>1</v>
      </c>
      <c r="H4836" t="str">
        <f>MID(Table132[[#This Row],[ÉTAT]],VALUE(RIGHT(Table132[[#This Row],[next move]],1))+1+VALUE(LEFT(Table132[[#This Row],[next move]],1))*3,1)</f>
        <v>V</v>
      </c>
      <c r="I4836" t="str">
        <f>Table132[[#This Row],[ÉTAT]]&amp;Table132[[#This Row],[next move]]</f>
        <v>EVVVVMEMV02</v>
      </c>
    </row>
    <row r="4837" spans="2:9" x14ac:dyDescent="0.25">
      <c r="B4837" t="s">
        <v>799</v>
      </c>
      <c r="C4837" s="22" t="s">
        <v>26</v>
      </c>
      <c r="D4837">
        <v>1</v>
      </c>
      <c r="G4837" s="25">
        <f>Table132[[#This Row],[nb win]]/Table132[[#This Row],[nb play]]</f>
        <v>0</v>
      </c>
      <c r="H4837" t="str">
        <f>MID(Table132[[#This Row],[ÉTAT]],VALUE(RIGHT(Table132[[#This Row],[next move]],1))+1+VALUE(LEFT(Table132[[#This Row],[next move]],1))*3,1)</f>
        <v>V</v>
      </c>
      <c r="I4837" t="str">
        <f>Table132[[#This Row],[ÉTAT]]&amp;Table132[[#This Row],[next move]]</f>
        <v>EVVVVMEME01</v>
      </c>
    </row>
    <row r="4838" spans="2:9" x14ac:dyDescent="0.25">
      <c r="B4838" t="s">
        <v>799</v>
      </c>
      <c r="C4838" s="22" t="s">
        <v>20</v>
      </c>
      <c r="D4838">
        <v>2</v>
      </c>
      <c r="G4838" s="25">
        <f>Table132[[#This Row],[nb win]]/Table132[[#This Row],[nb play]]</f>
        <v>0</v>
      </c>
      <c r="H4838" t="str">
        <f>MID(Table132[[#This Row],[ÉTAT]],VALUE(RIGHT(Table132[[#This Row],[next move]],1))+1+VALUE(LEFT(Table132[[#This Row],[next move]],1))*3,1)</f>
        <v>V</v>
      </c>
      <c r="I4838" t="str">
        <f>Table132[[#This Row],[ÉTAT]]&amp;Table132[[#This Row],[next move]]</f>
        <v>EVVVVMEME02</v>
      </c>
    </row>
    <row r="4839" spans="2:9" x14ac:dyDescent="0.25">
      <c r="B4839" t="s">
        <v>799</v>
      </c>
      <c r="C4839" s="22" t="s">
        <v>30</v>
      </c>
      <c r="D4839">
        <v>2</v>
      </c>
      <c r="E4839">
        <v>2</v>
      </c>
      <c r="G4839" s="25">
        <f>Table132[[#This Row],[nb win]]/Table132[[#This Row],[nb play]]</f>
        <v>1</v>
      </c>
      <c r="H4839" t="str">
        <f>MID(Table132[[#This Row],[ÉTAT]],VALUE(RIGHT(Table132[[#This Row],[next move]],1))+1+VALUE(LEFT(Table132[[#This Row],[next move]],1))*3,1)</f>
        <v>V</v>
      </c>
      <c r="I4839" t="str">
        <f>Table132[[#This Row],[ÉTAT]]&amp;Table132[[#This Row],[next move]]</f>
        <v>EVVVVMEME10</v>
      </c>
    </row>
    <row r="4840" spans="2:9" x14ac:dyDescent="0.25">
      <c r="B4840" t="s">
        <v>2970</v>
      </c>
      <c r="C4840" s="22" t="s">
        <v>20</v>
      </c>
      <c r="D4840">
        <v>1</v>
      </c>
      <c r="E4840">
        <v>1</v>
      </c>
      <c r="G4840" s="25">
        <f>Table132[[#This Row],[nb win]]/Table132[[#This Row],[nb play]]</f>
        <v>1</v>
      </c>
      <c r="H4840" t="str">
        <f>MID(Table132[[#This Row],[ÉTAT]],VALUE(RIGHT(Table132[[#This Row],[next move]],1))+1+VALUE(LEFT(Table132[[#This Row],[next move]],1))*3,1)</f>
        <v>V</v>
      </c>
      <c r="I4840" t="str">
        <f>Table132[[#This Row],[ÉTAT]]&amp;Table132[[#This Row],[next move]]</f>
        <v>EVVVVMEEM02</v>
      </c>
    </row>
    <row r="4841" spans="2:9" x14ac:dyDescent="0.25">
      <c r="B4841" t="s">
        <v>690</v>
      </c>
      <c r="C4841" s="22" t="s">
        <v>26</v>
      </c>
      <c r="D4841">
        <v>2</v>
      </c>
      <c r="G4841" s="25">
        <f>Table132[[#This Row],[nb win]]/Table132[[#This Row],[nb play]]</f>
        <v>0</v>
      </c>
      <c r="H4841" t="str">
        <f>MID(Table132[[#This Row],[ÉTAT]],VALUE(RIGHT(Table132[[#This Row],[next move]],1))+1+VALUE(LEFT(Table132[[#This Row],[next move]],1))*3,1)</f>
        <v>V</v>
      </c>
      <c r="I4841" t="str">
        <f>Table132[[#This Row],[ÉTAT]]&amp;Table132[[#This Row],[next move]]</f>
        <v>EVVVVEVVM01</v>
      </c>
    </row>
    <row r="4842" spans="2:9" x14ac:dyDescent="0.25">
      <c r="B4842" t="s">
        <v>690</v>
      </c>
      <c r="C4842" s="22" t="s">
        <v>20</v>
      </c>
      <c r="D4842">
        <v>2</v>
      </c>
      <c r="G4842" s="25">
        <f>Table132[[#This Row],[nb win]]/Table132[[#This Row],[nb play]]</f>
        <v>0</v>
      </c>
      <c r="H4842" t="str">
        <f>MID(Table132[[#This Row],[ÉTAT]],VALUE(RIGHT(Table132[[#This Row],[next move]],1))+1+VALUE(LEFT(Table132[[#This Row],[next move]],1))*3,1)</f>
        <v>V</v>
      </c>
      <c r="I4842" t="str">
        <f>Table132[[#This Row],[ÉTAT]]&amp;Table132[[#This Row],[next move]]</f>
        <v>EVVVVEVVM02</v>
      </c>
    </row>
    <row r="4843" spans="2:9" x14ac:dyDescent="0.25">
      <c r="B4843" t="s">
        <v>690</v>
      </c>
      <c r="C4843" s="22" t="s">
        <v>30</v>
      </c>
      <c r="D4843">
        <v>2</v>
      </c>
      <c r="G4843" s="25">
        <f>Table132[[#This Row],[nb win]]/Table132[[#This Row],[nb play]]</f>
        <v>0</v>
      </c>
      <c r="H4843" t="str">
        <f>MID(Table132[[#This Row],[ÉTAT]],VALUE(RIGHT(Table132[[#This Row],[next move]],1))+1+VALUE(LEFT(Table132[[#This Row],[next move]],1))*3,1)</f>
        <v>V</v>
      </c>
      <c r="I4843" t="str">
        <f>Table132[[#This Row],[ÉTAT]]&amp;Table132[[#This Row],[next move]]</f>
        <v>EVVVVEVVM10</v>
      </c>
    </row>
    <row r="4844" spans="2:9" x14ac:dyDescent="0.25">
      <c r="B4844" t="s">
        <v>690</v>
      </c>
      <c r="C4844" s="22" t="s">
        <v>29</v>
      </c>
      <c r="D4844">
        <v>2</v>
      </c>
      <c r="G4844" s="25">
        <f>Table132[[#This Row],[nb win]]/Table132[[#This Row],[nb play]]</f>
        <v>0</v>
      </c>
      <c r="H4844" t="str">
        <f>MID(Table132[[#This Row],[ÉTAT]],VALUE(RIGHT(Table132[[#This Row],[next move]],1))+1+VALUE(LEFT(Table132[[#This Row],[next move]],1))*3,1)</f>
        <v>V</v>
      </c>
      <c r="I4844" t="str">
        <f>Table132[[#This Row],[ÉTAT]]&amp;Table132[[#This Row],[next move]]</f>
        <v>EVVVVEVVM11</v>
      </c>
    </row>
    <row r="4845" spans="2:9" x14ac:dyDescent="0.25">
      <c r="B4845" t="s">
        <v>690</v>
      </c>
      <c r="C4845" s="22" t="s">
        <v>35</v>
      </c>
      <c r="D4845">
        <v>4</v>
      </c>
      <c r="E4845">
        <v>3</v>
      </c>
      <c r="G4845" s="31">
        <f>Table132[[#This Row],[nb win]]/Table132[[#This Row],[nb play]]</f>
        <v>0.75</v>
      </c>
      <c r="H4845" t="str">
        <f>MID(Table132[[#This Row],[ÉTAT]],VALUE(RIGHT(Table132[[#This Row],[next move]],1))+1+VALUE(LEFT(Table132[[#This Row],[next move]],1))*3,1)</f>
        <v>V</v>
      </c>
      <c r="I4845" t="str">
        <f>Table132[[#This Row],[ÉTAT]]&amp;Table132[[#This Row],[next move]]</f>
        <v>EVVVVEVVM20</v>
      </c>
    </row>
    <row r="4846" spans="2:9" x14ac:dyDescent="0.25">
      <c r="B4846" t="s">
        <v>690</v>
      </c>
      <c r="C4846" s="22" t="s">
        <v>22</v>
      </c>
      <c r="D4846">
        <v>7</v>
      </c>
      <c r="E4846">
        <v>2</v>
      </c>
      <c r="G4846" s="30">
        <f>Table132[[#This Row],[nb win]]/Table132[[#This Row],[nb play]]</f>
        <v>0.2857142857142857</v>
      </c>
      <c r="H4846" t="str">
        <f>MID(Table132[[#This Row],[ÉTAT]],VALUE(RIGHT(Table132[[#This Row],[next move]],1))+1+VALUE(LEFT(Table132[[#This Row],[next move]],1))*3,1)</f>
        <v>V</v>
      </c>
      <c r="I4846" t="str">
        <f>Table132[[#This Row],[ÉTAT]]&amp;Table132[[#This Row],[next move]]</f>
        <v>EVVVVEVVM21</v>
      </c>
    </row>
    <row r="4847" spans="2:9" x14ac:dyDescent="0.25">
      <c r="B4847" t="s">
        <v>3019</v>
      </c>
      <c r="C4847" s="22" t="s">
        <v>30</v>
      </c>
      <c r="D4847">
        <v>1</v>
      </c>
      <c r="G4847" s="25">
        <f>Table132[[#This Row],[nb win]]/Table132[[#This Row],[nb play]]</f>
        <v>0</v>
      </c>
      <c r="H4847" t="str">
        <f>MID(Table132[[#This Row],[ÉTAT]],VALUE(RIGHT(Table132[[#This Row],[next move]],1))+1+VALUE(LEFT(Table132[[#This Row],[next move]],1))*3,1)</f>
        <v>V</v>
      </c>
      <c r="I4847" t="str">
        <f>Table132[[#This Row],[ÉTAT]]&amp;Table132[[#This Row],[next move]]</f>
        <v>EVVVVEVMV10</v>
      </c>
    </row>
    <row r="4848" spans="2:9" x14ac:dyDescent="0.25">
      <c r="B4848" t="s">
        <v>3019</v>
      </c>
      <c r="C4848" s="22" t="s">
        <v>35</v>
      </c>
      <c r="D4848">
        <v>3</v>
      </c>
      <c r="E4848">
        <v>3</v>
      </c>
      <c r="G4848" s="31">
        <f>Table132[[#This Row],[nb win]]/Table132[[#This Row],[nb play]]</f>
        <v>1</v>
      </c>
      <c r="H4848" t="str">
        <f>MID(Table132[[#This Row],[ÉTAT]],VALUE(RIGHT(Table132[[#This Row],[next move]],1))+1+VALUE(LEFT(Table132[[#This Row],[next move]],1))*3,1)</f>
        <v>V</v>
      </c>
      <c r="I4848" t="str">
        <f>Table132[[#This Row],[ÉTAT]]&amp;Table132[[#This Row],[next move]]</f>
        <v>EVVVVEVMV20</v>
      </c>
    </row>
    <row r="4849" spans="2:9" x14ac:dyDescent="0.25">
      <c r="B4849" t="s">
        <v>3019</v>
      </c>
      <c r="C4849" s="22" t="s">
        <v>31</v>
      </c>
      <c r="D4849">
        <v>5</v>
      </c>
      <c r="E4849">
        <v>2</v>
      </c>
      <c r="G4849" s="30">
        <f>Table132[[#This Row],[nb win]]/Table132[[#This Row],[nb play]]</f>
        <v>0.4</v>
      </c>
      <c r="H4849" t="str">
        <f>MID(Table132[[#This Row],[ÉTAT]],VALUE(RIGHT(Table132[[#This Row],[next move]],1))+1+VALUE(LEFT(Table132[[#This Row],[next move]],1))*3,1)</f>
        <v>V</v>
      </c>
      <c r="I4849" t="str">
        <f>Table132[[#This Row],[ÉTAT]]&amp;Table132[[#This Row],[next move]]</f>
        <v>EVVVVEVMV22</v>
      </c>
    </row>
    <row r="4850" spans="2:9" x14ac:dyDescent="0.25">
      <c r="B4850" t="s">
        <v>682</v>
      </c>
      <c r="C4850" s="22" t="s">
        <v>26</v>
      </c>
      <c r="D4850">
        <v>3</v>
      </c>
      <c r="E4850">
        <v>2</v>
      </c>
      <c r="G4850" s="25">
        <f>Table132[[#This Row],[nb win]]/Table132[[#This Row],[nb play]]</f>
        <v>0.66666666666666663</v>
      </c>
      <c r="H4850" t="str">
        <f>MID(Table132[[#This Row],[ÉTAT]],VALUE(RIGHT(Table132[[#This Row],[next move]],1))+1+VALUE(LEFT(Table132[[#This Row],[next move]],1))*3,1)</f>
        <v>V</v>
      </c>
      <c r="I4850" t="str">
        <f>Table132[[#This Row],[ÉTAT]]&amp;Table132[[#This Row],[next move]]</f>
        <v>EVVVVEVMM01</v>
      </c>
    </row>
    <row r="4851" spans="2:9" x14ac:dyDescent="0.25">
      <c r="B4851" t="s">
        <v>682</v>
      </c>
      <c r="C4851" s="22" t="s">
        <v>20</v>
      </c>
      <c r="D4851">
        <v>2</v>
      </c>
      <c r="G4851" s="25">
        <f>Table132[[#This Row],[nb win]]/Table132[[#This Row],[nb play]]</f>
        <v>0</v>
      </c>
      <c r="H4851" t="str">
        <f>MID(Table132[[#This Row],[ÉTAT]],VALUE(RIGHT(Table132[[#This Row],[next move]],1))+1+VALUE(LEFT(Table132[[#This Row],[next move]],1))*3,1)</f>
        <v>V</v>
      </c>
      <c r="I4851" t="str">
        <f>Table132[[#This Row],[ÉTAT]]&amp;Table132[[#This Row],[next move]]</f>
        <v>EVVVVEVMM02</v>
      </c>
    </row>
    <row r="4852" spans="2:9" x14ac:dyDescent="0.25">
      <c r="B4852" t="s">
        <v>682</v>
      </c>
      <c r="C4852" s="22" t="s">
        <v>29</v>
      </c>
      <c r="D4852">
        <v>2</v>
      </c>
      <c r="E4852">
        <v>2</v>
      </c>
      <c r="G4852" s="31">
        <f>Table132[[#This Row],[nb win]]/Table132[[#This Row],[nb play]]</f>
        <v>1</v>
      </c>
      <c r="H4852" t="str">
        <f>MID(Table132[[#This Row],[ÉTAT]],VALUE(RIGHT(Table132[[#This Row],[next move]],1))+1+VALUE(LEFT(Table132[[#This Row],[next move]],1))*3,1)</f>
        <v>V</v>
      </c>
      <c r="I4852" t="str">
        <f>Table132[[#This Row],[ÉTAT]]&amp;Table132[[#This Row],[next move]]</f>
        <v>EVVVVEVMM11</v>
      </c>
    </row>
    <row r="4853" spans="2:9" x14ac:dyDescent="0.25">
      <c r="B4853" t="s">
        <v>264</v>
      </c>
      <c r="C4853" s="22" t="s">
        <v>26</v>
      </c>
      <c r="D4853">
        <v>3</v>
      </c>
      <c r="G4853" s="30">
        <f>Table132[[#This Row],[nb win]]/Table132[[#This Row],[nb play]]</f>
        <v>0</v>
      </c>
      <c r="H4853" t="str">
        <f>MID(Table132[[#This Row],[ÉTAT]],VALUE(RIGHT(Table132[[#This Row],[next move]],1))+1+VALUE(LEFT(Table132[[#This Row],[next move]],1))*3,1)</f>
        <v>V</v>
      </c>
      <c r="I4853" t="str">
        <f>Table132[[#This Row],[ÉTAT]]&amp;Table132[[#This Row],[next move]]</f>
        <v>EVVVVEMVV01</v>
      </c>
    </row>
    <row r="4854" spans="2:9" x14ac:dyDescent="0.25">
      <c r="B4854" t="s">
        <v>264</v>
      </c>
      <c r="C4854" s="22" t="s">
        <v>20</v>
      </c>
      <c r="D4854">
        <v>1</v>
      </c>
      <c r="G4854" s="25">
        <f>Table132[[#This Row],[nb win]]/Table132[[#This Row],[nb play]]</f>
        <v>0</v>
      </c>
      <c r="H4854" t="str">
        <f>MID(Table132[[#This Row],[ÉTAT]],VALUE(RIGHT(Table132[[#This Row],[next move]],1))+1+VALUE(LEFT(Table132[[#This Row],[next move]],1))*3,1)</f>
        <v>V</v>
      </c>
      <c r="I4854" t="str">
        <f>Table132[[#This Row],[ÉTAT]]&amp;Table132[[#This Row],[next move]]</f>
        <v>EVVVVEMVV02</v>
      </c>
    </row>
    <row r="4855" spans="2:9" x14ac:dyDescent="0.25">
      <c r="B4855" t="s">
        <v>264</v>
      </c>
      <c r="C4855" s="22" t="s">
        <v>30</v>
      </c>
      <c r="D4855">
        <v>2</v>
      </c>
      <c r="G4855" s="25">
        <f>Table132[[#This Row],[nb win]]/Table132[[#This Row],[nb play]]</f>
        <v>0</v>
      </c>
      <c r="H4855" t="str">
        <f>MID(Table132[[#This Row],[ÉTAT]],VALUE(RIGHT(Table132[[#This Row],[next move]],1))+1+VALUE(LEFT(Table132[[#This Row],[next move]],1))*3,1)</f>
        <v>V</v>
      </c>
      <c r="I4855" t="str">
        <f>Table132[[#This Row],[ÉTAT]]&amp;Table132[[#This Row],[next move]]</f>
        <v>EVVVVEMVV10</v>
      </c>
    </row>
    <row r="4856" spans="2:9" x14ac:dyDescent="0.25">
      <c r="B4856" t="s">
        <v>264</v>
      </c>
      <c r="C4856" s="22" t="s">
        <v>29</v>
      </c>
      <c r="D4856">
        <v>3</v>
      </c>
      <c r="E4856">
        <v>1</v>
      </c>
      <c r="G4856" s="30">
        <f>Table132[[#This Row],[nb win]]/Table132[[#This Row],[nb play]]</f>
        <v>0.33333333333333331</v>
      </c>
      <c r="H4856" t="str">
        <f>MID(Table132[[#This Row],[ÉTAT]],VALUE(RIGHT(Table132[[#This Row],[next move]],1))+1+VALUE(LEFT(Table132[[#This Row],[next move]],1))*3,1)</f>
        <v>V</v>
      </c>
      <c r="I4856" t="str">
        <f>Table132[[#This Row],[ÉTAT]]&amp;Table132[[#This Row],[next move]]</f>
        <v>EVVVVEMVV11</v>
      </c>
    </row>
    <row r="4857" spans="2:9" x14ac:dyDescent="0.25">
      <c r="B4857" t="s">
        <v>264</v>
      </c>
      <c r="C4857" s="22" t="s">
        <v>22</v>
      </c>
      <c r="D4857">
        <v>4</v>
      </c>
      <c r="E4857">
        <v>1</v>
      </c>
      <c r="G4857" s="30">
        <f>Table132[[#This Row],[nb win]]/Table132[[#This Row],[nb play]]</f>
        <v>0.25</v>
      </c>
      <c r="H4857" t="str">
        <f>MID(Table132[[#This Row],[ÉTAT]],VALUE(RIGHT(Table132[[#This Row],[next move]],1))+1+VALUE(LEFT(Table132[[#This Row],[next move]],1))*3,1)</f>
        <v>V</v>
      </c>
      <c r="I4857" t="str">
        <f>Table132[[#This Row],[ÉTAT]]&amp;Table132[[#This Row],[next move]]</f>
        <v>EVVVVEMVV21</v>
      </c>
    </row>
    <row r="4858" spans="2:9" x14ac:dyDescent="0.25">
      <c r="B4858" t="s">
        <v>264</v>
      </c>
      <c r="C4858" s="22" t="s">
        <v>31</v>
      </c>
      <c r="D4858">
        <v>1</v>
      </c>
      <c r="G4858" s="25">
        <f>Table132[[#This Row],[nb win]]/Table132[[#This Row],[nb play]]</f>
        <v>0</v>
      </c>
      <c r="H4858" t="str">
        <f>MID(Table132[[#This Row],[ÉTAT]],VALUE(RIGHT(Table132[[#This Row],[next move]],1))+1+VALUE(LEFT(Table132[[#This Row],[next move]],1))*3,1)</f>
        <v>V</v>
      </c>
      <c r="I4858" t="str">
        <f>Table132[[#This Row],[ÉTAT]]&amp;Table132[[#This Row],[next move]]</f>
        <v>EVVVVEMVV22</v>
      </c>
    </row>
    <row r="4859" spans="2:9" x14ac:dyDescent="0.25">
      <c r="B4859" t="s">
        <v>3212</v>
      </c>
      <c r="C4859" s="22" t="s">
        <v>30</v>
      </c>
      <c r="D4859">
        <v>1</v>
      </c>
      <c r="E4859">
        <v>1</v>
      </c>
      <c r="G4859" s="31">
        <f>Table132[[#This Row],[nb win]]/Table132[[#This Row],[nb play]]</f>
        <v>1</v>
      </c>
      <c r="H4859" t="str">
        <f>MID(Table132[[#This Row],[ÉTAT]],VALUE(RIGHT(Table132[[#This Row],[next move]],1))+1+VALUE(LEFT(Table132[[#This Row],[next move]],1))*3,1)</f>
        <v>V</v>
      </c>
      <c r="I4859" t="str">
        <f>Table132[[#This Row],[ÉTAT]]&amp;Table132[[#This Row],[next move]]</f>
        <v>EVVVVEMVM10</v>
      </c>
    </row>
    <row r="4860" spans="2:9" x14ac:dyDescent="0.25">
      <c r="B4860" t="s">
        <v>1869</v>
      </c>
      <c r="C4860" s="22" t="s">
        <v>26</v>
      </c>
      <c r="D4860">
        <v>2</v>
      </c>
      <c r="E4860">
        <v>2</v>
      </c>
      <c r="G4860" s="31">
        <f>Table132[[#This Row],[nb win]]/Table132[[#This Row],[nb play]]</f>
        <v>1</v>
      </c>
      <c r="H4860" t="str">
        <f>MID(Table132[[#This Row],[ÉTAT]],VALUE(RIGHT(Table132[[#This Row],[next move]],1))+1+VALUE(LEFT(Table132[[#This Row],[next move]],1))*3,1)</f>
        <v>V</v>
      </c>
      <c r="I4860" t="str">
        <f>Table132[[#This Row],[ÉTAT]]&amp;Table132[[#This Row],[next move]]</f>
        <v>EVVVVEMMV01</v>
      </c>
    </row>
    <row r="4861" spans="2:9" x14ac:dyDescent="0.25">
      <c r="B4861" t="s">
        <v>1869</v>
      </c>
      <c r="C4861" s="22" t="s">
        <v>20</v>
      </c>
      <c r="D4861">
        <v>2</v>
      </c>
      <c r="G4861" s="25">
        <f>Table132[[#This Row],[nb win]]/Table132[[#This Row],[nb play]]</f>
        <v>0</v>
      </c>
      <c r="H4861" t="str">
        <f>MID(Table132[[#This Row],[ÉTAT]],VALUE(RIGHT(Table132[[#This Row],[next move]],1))+1+VALUE(LEFT(Table132[[#This Row],[next move]],1))*3,1)</f>
        <v>V</v>
      </c>
      <c r="I4861" t="str">
        <f>Table132[[#This Row],[ÉTAT]]&amp;Table132[[#This Row],[next move]]</f>
        <v>EVVVVEMMV02</v>
      </c>
    </row>
    <row r="4862" spans="2:9" x14ac:dyDescent="0.25">
      <c r="B4862" t="s">
        <v>1869</v>
      </c>
      <c r="C4862" s="22" t="s">
        <v>30</v>
      </c>
      <c r="D4862">
        <v>3</v>
      </c>
      <c r="E4862">
        <v>1</v>
      </c>
      <c r="G4862" s="31">
        <f>Table132[[#This Row],[nb win]]/Table132[[#This Row],[nb play]]</f>
        <v>0.33333333333333331</v>
      </c>
      <c r="H4862" t="str">
        <f>MID(Table132[[#This Row],[ÉTAT]],VALUE(RIGHT(Table132[[#This Row],[next move]],1))+1+VALUE(LEFT(Table132[[#This Row],[next move]],1))*3,1)</f>
        <v>V</v>
      </c>
      <c r="I4862" t="str">
        <f>Table132[[#This Row],[ÉTAT]]&amp;Table132[[#This Row],[next move]]</f>
        <v>EVVVVEMMV10</v>
      </c>
    </row>
    <row r="4863" spans="2:9" x14ac:dyDescent="0.25">
      <c r="B4863" t="s">
        <v>1869</v>
      </c>
      <c r="C4863" s="22" t="s">
        <v>29</v>
      </c>
      <c r="D4863">
        <v>3</v>
      </c>
      <c r="E4863">
        <v>2</v>
      </c>
      <c r="G4863" s="31">
        <f>Table132[[#This Row],[nb win]]/Table132[[#This Row],[nb play]]</f>
        <v>0.66666666666666663</v>
      </c>
      <c r="H4863" t="str">
        <f>MID(Table132[[#This Row],[ÉTAT]],VALUE(RIGHT(Table132[[#This Row],[next move]],1))+1+VALUE(LEFT(Table132[[#This Row],[next move]],1))*3,1)</f>
        <v>V</v>
      </c>
      <c r="I4863" t="str">
        <f>Table132[[#This Row],[ÉTAT]]&amp;Table132[[#This Row],[next move]]</f>
        <v>EVVVVEMMV11</v>
      </c>
    </row>
    <row r="4864" spans="2:9" x14ac:dyDescent="0.25">
      <c r="B4864" t="s">
        <v>3413</v>
      </c>
      <c r="C4864" s="22" t="s">
        <v>20</v>
      </c>
      <c r="D4864">
        <v>1</v>
      </c>
      <c r="G4864" s="30">
        <f>Table132[[#This Row],[nb win]]/Table132[[#This Row],[nb play]]</f>
        <v>0</v>
      </c>
      <c r="H4864" t="str">
        <f>MID(Table132[[#This Row],[ÉTAT]],VALUE(RIGHT(Table132[[#This Row],[next move]],1))+1+VALUE(LEFT(Table132[[#This Row],[next move]],1))*3,1)</f>
        <v>V</v>
      </c>
      <c r="I4864" t="str">
        <f>Table132[[#This Row],[ÉTAT]]&amp;Table132[[#This Row],[next move]]</f>
        <v>EVVVVEMME02</v>
      </c>
    </row>
    <row r="4865" spans="2:9" x14ac:dyDescent="0.25">
      <c r="B4865" t="s">
        <v>364</v>
      </c>
      <c r="C4865" s="22" t="s">
        <v>30</v>
      </c>
      <c r="D4865">
        <v>1</v>
      </c>
      <c r="G4865" s="25">
        <f>Table132[[#This Row],[nb win]]/Table132[[#This Row],[nb play]]</f>
        <v>0</v>
      </c>
      <c r="H4865" t="str">
        <f>MID(Table132[[#This Row],[ÉTAT]],VALUE(RIGHT(Table132[[#This Row],[next move]],1))+1+VALUE(LEFT(Table132[[#This Row],[next move]],1))*3,1)</f>
        <v>V</v>
      </c>
      <c r="I4865" t="str">
        <f>Table132[[#This Row],[ÉTAT]]&amp;Table132[[#This Row],[next move]]</f>
        <v>EVVVVEMEM10</v>
      </c>
    </row>
    <row r="4866" spans="2:9" x14ac:dyDescent="0.25">
      <c r="B4866" t="s">
        <v>364</v>
      </c>
      <c r="C4866" s="22" t="s">
        <v>29</v>
      </c>
      <c r="D4866">
        <v>1</v>
      </c>
      <c r="G4866" s="30">
        <f>Table132[[#This Row],[nb win]]/Table132[[#This Row],[nb play]]</f>
        <v>0</v>
      </c>
      <c r="H4866" t="str">
        <f>MID(Table132[[#This Row],[ÉTAT]],VALUE(RIGHT(Table132[[#This Row],[next move]],1))+1+VALUE(LEFT(Table132[[#This Row],[next move]],1))*3,1)</f>
        <v>V</v>
      </c>
      <c r="I4866" t="str">
        <f>Table132[[#This Row],[ÉTAT]]&amp;Table132[[#This Row],[next move]]</f>
        <v>EVVVVEMEM11</v>
      </c>
    </row>
    <row r="4867" spans="2:9" x14ac:dyDescent="0.25">
      <c r="B4867" t="s">
        <v>3357</v>
      </c>
      <c r="C4867" s="22" t="s">
        <v>29</v>
      </c>
      <c r="D4867">
        <v>1</v>
      </c>
      <c r="E4867">
        <v>1</v>
      </c>
      <c r="G4867" s="31">
        <f>Table132[[#This Row],[nb win]]/Table132[[#This Row],[nb play]]</f>
        <v>1</v>
      </c>
      <c r="H4867" t="str">
        <f>MID(Table132[[#This Row],[ÉTAT]],VALUE(RIGHT(Table132[[#This Row],[next move]],1))+1+VALUE(LEFT(Table132[[#This Row],[next move]],1))*3,1)</f>
        <v>V</v>
      </c>
      <c r="I4867" t="str">
        <f>Table132[[#This Row],[ÉTAT]]&amp;Table132[[#This Row],[next move]]</f>
        <v>EVVVVEEMM11</v>
      </c>
    </row>
    <row r="4868" spans="2:9" x14ac:dyDescent="0.25">
      <c r="B4868" t="s">
        <v>137</v>
      </c>
      <c r="C4868" s="22" t="s">
        <v>26</v>
      </c>
      <c r="D4868">
        <v>16</v>
      </c>
      <c r="E4868">
        <v>14</v>
      </c>
      <c r="G4868" s="31">
        <f>Table132[[#This Row],[nb win]]/Table132[[#This Row],[nb play]]</f>
        <v>0.875</v>
      </c>
      <c r="H4868" t="str">
        <f>MID(Table132[[#This Row],[ÉTAT]],VALUE(RIGHT(Table132[[#This Row],[next move]],1))+1+VALUE(LEFT(Table132[[#This Row],[next move]],1))*3,1)</f>
        <v>V</v>
      </c>
      <c r="I4868" t="str">
        <f>Table132[[#This Row],[ÉTAT]]&amp;Table132[[#This Row],[next move]]</f>
        <v>EVVVMVVVV01</v>
      </c>
    </row>
    <row r="4869" spans="2:9" x14ac:dyDescent="0.25">
      <c r="B4869" t="s">
        <v>137</v>
      </c>
      <c r="C4869" s="22" t="s">
        <v>20</v>
      </c>
      <c r="D4869">
        <v>20</v>
      </c>
      <c r="E4869">
        <v>14</v>
      </c>
      <c r="G4869" s="31">
        <f>Table132[[#This Row],[nb win]]/Table132[[#This Row],[nb play]]</f>
        <v>0.7</v>
      </c>
      <c r="H4869" t="str">
        <f>MID(Table132[[#This Row],[ÉTAT]],VALUE(RIGHT(Table132[[#This Row],[next move]],1))+1+VALUE(LEFT(Table132[[#This Row],[next move]],1))*3,1)</f>
        <v>V</v>
      </c>
      <c r="I4869" t="str">
        <f>Table132[[#This Row],[ÉTAT]]&amp;Table132[[#This Row],[next move]]</f>
        <v>EVVVMVVVV02</v>
      </c>
    </row>
    <row r="4870" spans="2:9" x14ac:dyDescent="0.25">
      <c r="B4870" t="s">
        <v>137</v>
      </c>
      <c r="C4870" s="22" t="s">
        <v>30</v>
      </c>
      <c r="D4870">
        <v>28</v>
      </c>
      <c r="E4870">
        <v>21</v>
      </c>
      <c r="G4870" s="31">
        <f>Table132[[#This Row],[nb win]]/Table132[[#This Row],[nb play]]</f>
        <v>0.75</v>
      </c>
      <c r="H4870" t="str">
        <f>MID(Table132[[#This Row],[ÉTAT]],VALUE(RIGHT(Table132[[#This Row],[next move]],1))+1+VALUE(LEFT(Table132[[#This Row],[next move]],1))*3,1)</f>
        <v>V</v>
      </c>
      <c r="I4870" t="str">
        <f>Table132[[#This Row],[ÉTAT]]&amp;Table132[[#This Row],[next move]]</f>
        <v>EVVVMVVVV10</v>
      </c>
    </row>
    <row r="4871" spans="2:9" x14ac:dyDescent="0.25">
      <c r="B4871" t="s">
        <v>137</v>
      </c>
      <c r="C4871" s="22" t="s">
        <v>28</v>
      </c>
      <c r="D4871">
        <v>11</v>
      </c>
      <c r="E4871">
        <v>5</v>
      </c>
      <c r="G4871" s="31">
        <f>Table132[[#This Row],[nb win]]/Table132[[#This Row],[nb play]]</f>
        <v>0.45454545454545453</v>
      </c>
      <c r="H4871" t="str">
        <f>MID(Table132[[#This Row],[ÉTAT]],VALUE(RIGHT(Table132[[#This Row],[next move]],1))+1+VALUE(LEFT(Table132[[#This Row],[next move]],1))*3,1)</f>
        <v>V</v>
      </c>
      <c r="I4871" t="str">
        <f>Table132[[#This Row],[ÉTAT]]&amp;Table132[[#This Row],[next move]]</f>
        <v>EVVVMVVVV12</v>
      </c>
    </row>
    <row r="4872" spans="2:9" x14ac:dyDescent="0.25">
      <c r="B4872" t="s">
        <v>137</v>
      </c>
      <c r="C4872" s="22" t="s">
        <v>35</v>
      </c>
      <c r="D4872">
        <v>26</v>
      </c>
      <c r="E4872">
        <v>19</v>
      </c>
      <c r="G4872" s="31">
        <f>Table132[[#This Row],[nb win]]/Table132[[#This Row],[nb play]]</f>
        <v>0.73076923076923073</v>
      </c>
      <c r="H4872" t="str">
        <f>MID(Table132[[#This Row],[ÉTAT]],VALUE(RIGHT(Table132[[#This Row],[next move]],1))+1+VALUE(LEFT(Table132[[#This Row],[next move]],1))*3,1)</f>
        <v>V</v>
      </c>
      <c r="I4872" t="str">
        <f>Table132[[#This Row],[ÉTAT]]&amp;Table132[[#This Row],[next move]]</f>
        <v>EVVVMVVVV20</v>
      </c>
    </row>
    <row r="4873" spans="2:9" x14ac:dyDescent="0.25">
      <c r="B4873" t="s">
        <v>137</v>
      </c>
      <c r="C4873" s="22" t="s">
        <v>22</v>
      </c>
      <c r="D4873">
        <v>7</v>
      </c>
      <c r="E4873">
        <v>3</v>
      </c>
      <c r="G4873" s="31">
        <f>Table132[[#This Row],[nb win]]/Table132[[#This Row],[nb play]]</f>
        <v>0.42857142857142855</v>
      </c>
      <c r="H4873" t="str">
        <f>MID(Table132[[#This Row],[ÉTAT]],VALUE(RIGHT(Table132[[#This Row],[next move]],1))+1+VALUE(LEFT(Table132[[#This Row],[next move]],1))*3,1)</f>
        <v>V</v>
      </c>
      <c r="I4873" t="str">
        <f>Table132[[#This Row],[ÉTAT]]&amp;Table132[[#This Row],[next move]]</f>
        <v>EVVVMVVVV21</v>
      </c>
    </row>
    <row r="4874" spans="2:9" x14ac:dyDescent="0.25">
      <c r="B4874" t="s">
        <v>137</v>
      </c>
      <c r="C4874" s="22" t="s">
        <v>31</v>
      </c>
      <c r="D4874">
        <v>9</v>
      </c>
      <c r="E4874">
        <v>5</v>
      </c>
      <c r="G4874" s="30">
        <f>Table132[[#This Row],[nb win]]/Table132[[#This Row],[nb play]]</f>
        <v>0.55555555555555558</v>
      </c>
      <c r="H4874" t="str">
        <f>MID(Table132[[#This Row],[ÉTAT]],VALUE(RIGHT(Table132[[#This Row],[next move]],1))+1+VALUE(LEFT(Table132[[#This Row],[next move]],1))*3,1)</f>
        <v>V</v>
      </c>
      <c r="I4874" t="str">
        <f>Table132[[#This Row],[ÉTAT]]&amp;Table132[[#This Row],[next move]]</f>
        <v>EVVVMVVVV22</v>
      </c>
    </row>
    <row r="4875" spans="2:9" x14ac:dyDescent="0.25">
      <c r="B4875" t="s">
        <v>118</v>
      </c>
      <c r="C4875" s="22" t="s">
        <v>26</v>
      </c>
      <c r="D4875">
        <v>4</v>
      </c>
      <c r="E4875">
        <v>2</v>
      </c>
      <c r="G4875" s="30">
        <f>Table132[[#This Row],[nb win]]/Table132[[#This Row],[nb play]]</f>
        <v>0.5</v>
      </c>
      <c r="H4875" t="str">
        <f>MID(Table132[[#This Row],[ÉTAT]],VALUE(RIGHT(Table132[[#This Row],[next move]],1))+1+VALUE(LEFT(Table132[[#This Row],[next move]],1))*3,1)</f>
        <v>V</v>
      </c>
      <c r="I4875" t="str">
        <f>Table132[[#This Row],[ÉTAT]]&amp;Table132[[#This Row],[next move]]</f>
        <v>EVVVMVVVE01</v>
      </c>
    </row>
    <row r="4876" spans="2:9" x14ac:dyDescent="0.25">
      <c r="B4876" t="s">
        <v>118</v>
      </c>
      <c r="C4876" s="22" t="s">
        <v>20</v>
      </c>
      <c r="D4876">
        <v>6</v>
      </c>
      <c r="E4876">
        <v>3</v>
      </c>
      <c r="G4876" s="30">
        <f>Table132[[#This Row],[nb win]]/Table132[[#This Row],[nb play]]</f>
        <v>0.5</v>
      </c>
      <c r="H4876" t="str">
        <f>MID(Table132[[#This Row],[ÉTAT]],VALUE(RIGHT(Table132[[#This Row],[next move]],1))+1+VALUE(LEFT(Table132[[#This Row],[next move]],1))*3,1)</f>
        <v>V</v>
      </c>
      <c r="I4876" t="str">
        <f>Table132[[#This Row],[ÉTAT]]&amp;Table132[[#This Row],[next move]]</f>
        <v>EVVVMVVVE02</v>
      </c>
    </row>
    <row r="4877" spans="2:9" x14ac:dyDescent="0.25">
      <c r="B4877" t="s">
        <v>118</v>
      </c>
      <c r="C4877" s="22" t="s">
        <v>30</v>
      </c>
      <c r="D4877">
        <v>2</v>
      </c>
      <c r="G4877" s="25">
        <f>Table132[[#This Row],[nb win]]/Table132[[#This Row],[nb play]]</f>
        <v>0</v>
      </c>
      <c r="H4877" t="str">
        <f>MID(Table132[[#This Row],[ÉTAT]],VALUE(RIGHT(Table132[[#This Row],[next move]],1))+1+VALUE(LEFT(Table132[[#This Row],[next move]],1))*3,1)</f>
        <v>V</v>
      </c>
      <c r="I4877" t="str">
        <f>Table132[[#This Row],[ÉTAT]]&amp;Table132[[#This Row],[next move]]</f>
        <v>EVVVMVVVE10</v>
      </c>
    </row>
    <row r="4878" spans="2:9" x14ac:dyDescent="0.25">
      <c r="B4878" t="s">
        <v>118</v>
      </c>
      <c r="C4878" s="22" t="s">
        <v>28</v>
      </c>
      <c r="D4878">
        <v>13</v>
      </c>
      <c r="E4878">
        <v>10</v>
      </c>
      <c r="G4878" s="31">
        <f>Table132[[#This Row],[nb win]]/Table132[[#This Row],[nb play]]</f>
        <v>0.76923076923076927</v>
      </c>
      <c r="H4878" t="str">
        <f>MID(Table132[[#This Row],[ÉTAT]],VALUE(RIGHT(Table132[[#This Row],[next move]],1))+1+VALUE(LEFT(Table132[[#This Row],[next move]],1))*3,1)</f>
        <v>V</v>
      </c>
      <c r="I4878" t="str">
        <f>Table132[[#This Row],[ÉTAT]]&amp;Table132[[#This Row],[next move]]</f>
        <v>EVVVMVVVE12</v>
      </c>
    </row>
    <row r="4879" spans="2:9" x14ac:dyDescent="0.25">
      <c r="B4879" t="s">
        <v>118</v>
      </c>
      <c r="C4879" s="22" t="s">
        <v>35</v>
      </c>
      <c r="D4879">
        <v>7</v>
      </c>
      <c r="E4879">
        <v>4</v>
      </c>
      <c r="G4879" s="31">
        <f>Table132[[#This Row],[nb win]]/Table132[[#This Row],[nb play]]</f>
        <v>0.5714285714285714</v>
      </c>
      <c r="H4879" t="str">
        <f>MID(Table132[[#This Row],[ÉTAT]],VALUE(RIGHT(Table132[[#This Row],[next move]],1))+1+VALUE(LEFT(Table132[[#This Row],[next move]],1))*3,1)</f>
        <v>V</v>
      </c>
      <c r="I4879" t="str">
        <f>Table132[[#This Row],[ÉTAT]]&amp;Table132[[#This Row],[next move]]</f>
        <v>EVVVMVVVE20</v>
      </c>
    </row>
    <row r="4880" spans="2:9" x14ac:dyDescent="0.25">
      <c r="B4880" t="s">
        <v>118</v>
      </c>
      <c r="C4880" s="22" t="s">
        <v>22</v>
      </c>
      <c r="D4880">
        <v>3</v>
      </c>
      <c r="E4880">
        <v>1</v>
      </c>
      <c r="G4880" s="30">
        <f>Table132[[#This Row],[nb win]]/Table132[[#This Row],[nb play]]</f>
        <v>0.33333333333333331</v>
      </c>
      <c r="H4880" t="str">
        <f>MID(Table132[[#This Row],[ÉTAT]],VALUE(RIGHT(Table132[[#This Row],[next move]],1))+1+VALUE(LEFT(Table132[[#This Row],[next move]],1))*3,1)</f>
        <v>V</v>
      </c>
      <c r="I4880" t="str">
        <f>Table132[[#This Row],[ÉTAT]]&amp;Table132[[#This Row],[next move]]</f>
        <v>EVVVMVVVE21</v>
      </c>
    </row>
    <row r="4881" spans="2:9" x14ac:dyDescent="0.25">
      <c r="B4881" t="s">
        <v>1343</v>
      </c>
      <c r="C4881" s="22" t="s">
        <v>26</v>
      </c>
      <c r="D4881">
        <v>3</v>
      </c>
      <c r="E4881">
        <v>3</v>
      </c>
      <c r="G4881" s="31">
        <f>Table132[[#This Row],[nb win]]/Table132[[#This Row],[nb play]]</f>
        <v>1</v>
      </c>
      <c r="H4881" t="str">
        <f>MID(Table132[[#This Row],[ÉTAT]],VALUE(RIGHT(Table132[[#This Row],[next move]],1))+1+VALUE(LEFT(Table132[[#This Row],[next move]],1))*3,1)</f>
        <v>V</v>
      </c>
      <c r="I4881" t="str">
        <f>Table132[[#This Row],[ÉTAT]]&amp;Table132[[#This Row],[next move]]</f>
        <v>EVVVMVVME01</v>
      </c>
    </row>
    <row r="4882" spans="2:9" x14ac:dyDescent="0.25">
      <c r="B4882" t="s">
        <v>1896</v>
      </c>
      <c r="C4882" s="22" t="s">
        <v>20</v>
      </c>
      <c r="D4882">
        <v>5</v>
      </c>
      <c r="E4882">
        <v>3</v>
      </c>
      <c r="G4882" s="31">
        <f>Table132[[#This Row],[nb win]]/Table132[[#This Row],[nb play]]</f>
        <v>0.6</v>
      </c>
      <c r="H4882" t="str">
        <f>MID(Table132[[#This Row],[ÉTAT]],VALUE(RIGHT(Table132[[#This Row],[next move]],1))+1+VALUE(LEFT(Table132[[#This Row],[next move]],1))*3,1)</f>
        <v>V</v>
      </c>
      <c r="I4882" t="str">
        <f>Table132[[#This Row],[ÉTAT]]&amp;Table132[[#This Row],[next move]]</f>
        <v>EVVVMVVEV02</v>
      </c>
    </row>
    <row r="4883" spans="2:9" x14ac:dyDescent="0.25">
      <c r="B4883" t="s">
        <v>1896</v>
      </c>
      <c r="C4883" s="22" t="s">
        <v>30</v>
      </c>
      <c r="D4883">
        <v>13</v>
      </c>
      <c r="E4883">
        <v>12</v>
      </c>
      <c r="G4883" s="31">
        <f>Table132[[#This Row],[nb win]]/Table132[[#This Row],[nb play]]</f>
        <v>0.92307692307692313</v>
      </c>
      <c r="H4883" t="str">
        <f>MID(Table132[[#This Row],[ÉTAT]],VALUE(RIGHT(Table132[[#This Row],[next move]],1))+1+VALUE(LEFT(Table132[[#This Row],[next move]],1))*3,1)</f>
        <v>V</v>
      </c>
      <c r="I4883" t="str">
        <f>Table132[[#This Row],[ÉTAT]]&amp;Table132[[#This Row],[next move]]</f>
        <v>EVVVMVVEV10</v>
      </c>
    </row>
    <row r="4884" spans="2:9" x14ac:dyDescent="0.25">
      <c r="B4884" t="s">
        <v>1896</v>
      </c>
      <c r="C4884" s="22" t="s">
        <v>28</v>
      </c>
      <c r="D4884">
        <v>8</v>
      </c>
      <c r="E4884">
        <v>3</v>
      </c>
      <c r="G4884" s="30">
        <f>Table132[[#This Row],[nb win]]/Table132[[#This Row],[nb play]]</f>
        <v>0.375</v>
      </c>
      <c r="H4884" t="str">
        <f>MID(Table132[[#This Row],[ÉTAT]],VALUE(RIGHT(Table132[[#This Row],[next move]],1))+1+VALUE(LEFT(Table132[[#This Row],[next move]],1))*3,1)</f>
        <v>V</v>
      </c>
      <c r="I4884" t="str">
        <f>Table132[[#This Row],[ÉTAT]]&amp;Table132[[#This Row],[next move]]</f>
        <v>EVVVMVVEV12</v>
      </c>
    </row>
    <row r="4885" spans="2:9" x14ac:dyDescent="0.25">
      <c r="B4885" t="s">
        <v>1921</v>
      </c>
      <c r="C4885" s="22" t="s">
        <v>30</v>
      </c>
      <c r="D4885">
        <v>3</v>
      </c>
      <c r="E4885">
        <v>3</v>
      </c>
      <c r="G4885" s="31">
        <f>Table132[[#This Row],[nb win]]/Table132[[#This Row],[nb play]]</f>
        <v>1</v>
      </c>
      <c r="H4885" t="str">
        <f>MID(Table132[[#This Row],[ÉTAT]],VALUE(RIGHT(Table132[[#This Row],[next move]],1))+1+VALUE(LEFT(Table132[[#This Row],[next move]],1))*3,1)</f>
        <v>V</v>
      </c>
      <c r="I4885" t="str">
        <f>Table132[[#This Row],[ÉTAT]]&amp;Table132[[#This Row],[next move]]</f>
        <v>EVVVMVVEM10</v>
      </c>
    </row>
    <row r="4886" spans="2:9" x14ac:dyDescent="0.25">
      <c r="B4886" t="s">
        <v>1665</v>
      </c>
      <c r="C4886" s="22" t="s">
        <v>20</v>
      </c>
      <c r="D4886">
        <v>4</v>
      </c>
      <c r="E4886">
        <v>4</v>
      </c>
      <c r="G4886" s="31">
        <f>Table132[[#This Row],[nb win]]/Table132[[#This Row],[nb play]]</f>
        <v>1</v>
      </c>
      <c r="H4886" t="str">
        <f>MID(Table132[[#This Row],[ÉTAT]],VALUE(RIGHT(Table132[[#This Row],[next move]],1))+1+VALUE(LEFT(Table132[[#This Row],[next move]],1))*3,1)</f>
        <v>V</v>
      </c>
      <c r="I4886" t="str">
        <f>Table132[[#This Row],[ÉTAT]]&amp;Table132[[#This Row],[next move]]</f>
        <v>EVVVMVMVE02</v>
      </c>
    </row>
    <row r="4887" spans="2:9" x14ac:dyDescent="0.25">
      <c r="B4887" t="s">
        <v>492</v>
      </c>
      <c r="C4887" s="22" t="s">
        <v>30</v>
      </c>
      <c r="D4887">
        <v>5</v>
      </c>
      <c r="E4887">
        <v>4</v>
      </c>
      <c r="G4887" s="30">
        <f>Table132[[#This Row],[nb win]]/Table132[[#This Row],[nb play]]</f>
        <v>0.8</v>
      </c>
      <c r="H4887" t="str">
        <f>MID(Table132[[#This Row],[ÉTAT]],VALUE(RIGHT(Table132[[#This Row],[next move]],1))+1+VALUE(LEFT(Table132[[#This Row],[next move]],1))*3,1)</f>
        <v>V</v>
      </c>
      <c r="I4887" t="str">
        <f>Table132[[#This Row],[ÉTAT]]&amp;Table132[[#This Row],[next move]]</f>
        <v>EVVVMVMEV10</v>
      </c>
    </row>
    <row r="4888" spans="2:9" x14ac:dyDescent="0.25">
      <c r="B4888" t="s">
        <v>1624</v>
      </c>
      <c r="C4888" s="22" t="s">
        <v>20</v>
      </c>
      <c r="D4888">
        <v>5</v>
      </c>
      <c r="E4888">
        <v>5</v>
      </c>
      <c r="G4888" s="31">
        <f>Table132[[#This Row],[nb win]]/Table132[[#This Row],[nb play]]</f>
        <v>1</v>
      </c>
      <c r="H4888" t="str">
        <f>MID(Table132[[#This Row],[ÉTAT]],VALUE(RIGHT(Table132[[#This Row],[next move]],1))+1+VALUE(LEFT(Table132[[#This Row],[next move]],1))*3,1)</f>
        <v>V</v>
      </c>
      <c r="I4888" t="str">
        <f>Table132[[#This Row],[ÉTAT]]&amp;Table132[[#This Row],[next move]]</f>
        <v>EVVVMVMEE02</v>
      </c>
    </row>
    <row r="4889" spans="2:9" x14ac:dyDescent="0.25">
      <c r="B4889" t="s">
        <v>1664</v>
      </c>
      <c r="C4889" s="22" t="s">
        <v>30</v>
      </c>
      <c r="D4889">
        <v>4</v>
      </c>
      <c r="E4889">
        <v>4</v>
      </c>
      <c r="G4889" s="31">
        <f>Table132[[#This Row],[nb win]]/Table132[[#This Row],[nb play]]</f>
        <v>1</v>
      </c>
      <c r="H4889" t="str">
        <f>MID(Table132[[#This Row],[ÉTAT]],VALUE(RIGHT(Table132[[#This Row],[next move]],1))+1+VALUE(LEFT(Table132[[#This Row],[next move]],1))*3,1)</f>
        <v>V</v>
      </c>
      <c r="I4889" t="str">
        <f>Table132[[#This Row],[ÉTAT]]&amp;Table132[[#This Row],[next move]]</f>
        <v>EVVVMVEVV10</v>
      </c>
    </row>
    <row r="4890" spans="2:9" x14ac:dyDescent="0.25">
      <c r="B4890" t="s">
        <v>1664</v>
      </c>
      <c r="C4890" s="22" t="s">
        <v>31</v>
      </c>
      <c r="D4890">
        <v>4</v>
      </c>
      <c r="G4890" s="30">
        <f>Table132[[#This Row],[nb win]]/Table132[[#This Row],[nb play]]</f>
        <v>0</v>
      </c>
      <c r="H4890" t="str">
        <f>MID(Table132[[#This Row],[ÉTAT]],VALUE(RIGHT(Table132[[#This Row],[next move]],1))+1+VALUE(LEFT(Table132[[#This Row],[next move]],1))*3,1)</f>
        <v>V</v>
      </c>
      <c r="I4890" t="str">
        <f>Table132[[#This Row],[ÉTAT]]&amp;Table132[[#This Row],[next move]]</f>
        <v>EVVVMVEVV22</v>
      </c>
    </row>
    <row r="4891" spans="2:9" x14ac:dyDescent="0.25">
      <c r="B4891" t="s">
        <v>227</v>
      </c>
      <c r="C4891" s="22" t="s">
        <v>26</v>
      </c>
      <c r="D4891">
        <v>1</v>
      </c>
      <c r="G4891" s="25">
        <f>Table132[[#This Row],[nb win]]/Table132[[#This Row],[nb play]]</f>
        <v>0</v>
      </c>
      <c r="H4891" t="str">
        <f>MID(Table132[[#This Row],[ÉTAT]],VALUE(RIGHT(Table132[[#This Row],[next move]],1))+1+VALUE(LEFT(Table132[[#This Row],[next move]],1))*3,1)</f>
        <v>V</v>
      </c>
      <c r="I4891" t="str">
        <f>Table132[[#This Row],[ÉTAT]]&amp;Table132[[#This Row],[next move]]</f>
        <v>EVVVMVEVM01</v>
      </c>
    </row>
    <row r="4892" spans="2:9" x14ac:dyDescent="0.25">
      <c r="B4892" t="s">
        <v>227</v>
      </c>
      <c r="C4892" s="22" t="s">
        <v>30</v>
      </c>
      <c r="D4892">
        <v>4</v>
      </c>
      <c r="E4892">
        <v>3</v>
      </c>
      <c r="G4892" s="31">
        <f>Table132[[#This Row],[nb win]]/Table132[[#This Row],[nb play]]</f>
        <v>0.75</v>
      </c>
      <c r="H4892" t="str">
        <f>MID(Table132[[#This Row],[ÉTAT]],VALUE(RIGHT(Table132[[#This Row],[next move]],1))+1+VALUE(LEFT(Table132[[#This Row],[next move]],1))*3,1)</f>
        <v>V</v>
      </c>
      <c r="I4892" t="str">
        <f>Table132[[#This Row],[ÉTAT]]&amp;Table132[[#This Row],[next move]]</f>
        <v>EVVVMVEVM10</v>
      </c>
    </row>
    <row r="4893" spans="2:9" x14ac:dyDescent="0.25">
      <c r="B4893" t="s">
        <v>227</v>
      </c>
      <c r="C4893" s="22" t="s">
        <v>28</v>
      </c>
      <c r="D4893">
        <v>4</v>
      </c>
      <c r="G4893" s="30">
        <f>Table132[[#This Row],[nb win]]/Table132[[#This Row],[nb play]]</f>
        <v>0</v>
      </c>
      <c r="H4893" t="str">
        <f>MID(Table132[[#This Row],[ÉTAT]],VALUE(RIGHT(Table132[[#This Row],[next move]],1))+1+VALUE(LEFT(Table132[[#This Row],[next move]],1))*3,1)</f>
        <v>V</v>
      </c>
      <c r="I4893" t="str">
        <f>Table132[[#This Row],[ÉTAT]]&amp;Table132[[#This Row],[next move]]</f>
        <v>EVVVMVEVM12</v>
      </c>
    </row>
    <row r="4894" spans="2:9" x14ac:dyDescent="0.25">
      <c r="B4894" t="s">
        <v>227</v>
      </c>
      <c r="C4894" s="22" t="s">
        <v>22</v>
      </c>
      <c r="D4894">
        <v>1</v>
      </c>
      <c r="E4894">
        <v>1</v>
      </c>
      <c r="G4894" s="25">
        <f>Table132[[#This Row],[nb win]]/Table132[[#This Row],[nb play]]</f>
        <v>1</v>
      </c>
      <c r="H4894" t="str">
        <f>MID(Table132[[#This Row],[ÉTAT]],VALUE(RIGHT(Table132[[#This Row],[next move]],1))+1+VALUE(LEFT(Table132[[#This Row],[next move]],1))*3,1)</f>
        <v>V</v>
      </c>
      <c r="I4894" t="str">
        <f>Table132[[#This Row],[ÉTAT]]&amp;Table132[[#This Row],[next move]]</f>
        <v>EVVVMVEVM21</v>
      </c>
    </row>
    <row r="4895" spans="2:9" x14ac:dyDescent="0.25">
      <c r="B4895" t="s">
        <v>1753</v>
      </c>
      <c r="C4895" s="22" t="s">
        <v>26</v>
      </c>
      <c r="D4895">
        <v>6</v>
      </c>
      <c r="E4895">
        <v>6</v>
      </c>
      <c r="G4895" s="31">
        <f>Table132[[#This Row],[nb win]]/Table132[[#This Row],[nb play]]</f>
        <v>1</v>
      </c>
      <c r="H4895" t="str">
        <f>MID(Table132[[#This Row],[ÉTAT]],VALUE(RIGHT(Table132[[#This Row],[next move]],1))+1+VALUE(LEFT(Table132[[#This Row],[next move]],1))*3,1)</f>
        <v>V</v>
      </c>
      <c r="I4895" t="str">
        <f>Table132[[#This Row],[ÉTAT]]&amp;Table132[[#This Row],[next move]]</f>
        <v>EVVVMVEMV01</v>
      </c>
    </row>
    <row r="4896" spans="2:9" x14ac:dyDescent="0.25">
      <c r="B4896" t="s">
        <v>1753</v>
      </c>
      <c r="C4896" s="22" t="s">
        <v>28</v>
      </c>
      <c r="D4896">
        <v>1</v>
      </c>
      <c r="G4896" s="25">
        <f>Table132[[#This Row],[nb win]]/Table132[[#This Row],[nb play]]</f>
        <v>0</v>
      </c>
      <c r="H4896" t="str">
        <f>MID(Table132[[#This Row],[ÉTAT]],VALUE(RIGHT(Table132[[#This Row],[next move]],1))+1+VALUE(LEFT(Table132[[#This Row],[next move]],1))*3,1)</f>
        <v>V</v>
      </c>
      <c r="I4896" t="str">
        <f>Table132[[#This Row],[ÉTAT]]&amp;Table132[[#This Row],[next move]]</f>
        <v>EVVVMVEMV12</v>
      </c>
    </row>
    <row r="4897" spans="2:9" x14ac:dyDescent="0.25">
      <c r="B4897" t="s">
        <v>1919</v>
      </c>
      <c r="C4897" s="22" t="s">
        <v>26</v>
      </c>
      <c r="D4897">
        <v>1</v>
      </c>
      <c r="E4897">
        <v>1</v>
      </c>
      <c r="G4897" s="25">
        <f>Table132[[#This Row],[nb win]]/Table132[[#This Row],[nb play]]</f>
        <v>1</v>
      </c>
      <c r="H4897" t="str">
        <f>MID(Table132[[#This Row],[ÉTAT]],VALUE(RIGHT(Table132[[#This Row],[next move]],1))+1+VALUE(LEFT(Table132[[#This Row],[next move]],1))*3,1)</f>
        <v>V</v>
      </c>
      <c r="I4897" t="str">
        <f>Table132[[#This Row],[ÉTAT]]&amp;Table132[[#This Row],[next move]]</f>
        <v>EVVVMVEME01</v>
      </c>
    </row>
    <row r="4898" spans="2:9" x14ac:dyDescent="0.25">
      <c r="B4898" t="s">
        <v>1484</v>
      </c>
      <c r="C4898" s="22" t="s">
        <v>30</v>
      </c>
      <c r="D4898">
        <v>2</v>
      </c>
      <c r="E4898">
        <v>2</v>
      </c>
      <c r="G4898" s="25">
        <f>Table132[[#This Row],[nb win]]/Table132[[#This Row],[nb play]]</f>
        <v>1</v>
      </c>
      <c r="H4898" t="str">
        <f>MID(Table132[[#This Row],[ÉTAT]],VALUE(RIGHT(Table132[[#This Row],[next move]],1))+1+VALUE(LEFT(Table132[[#This Row],[next move]],1))*3,1)</f>
        <v>V</v>
      </c>
      <c r="I4898" t="str">
        <f>Table132[[#This Row],[ÉTAT]]&amp;Table132[[#This Row],[next move]]</f>
        <v>EVVVMVEEM10</v>
      </c>
    </row>
    <row r="4899" spans="2:9" x14ac:dyDescent="0.25">
      <c r="B4899" t="s">
        <v>1472</v>
      </c>
      <c r="C4899" s="22" t="s">
        <v>26</v>
      </c>
      <c r="D4899">
        <v>2</v>
      </c>
      <c r="E4899">
        <v>2</v>
      </c>
      <c r="G4899" s="31">
        <f>Table132[[#This Row],[nb win]]/Table132[[#This Row],[nb play]]</f>
        <v>1</v>
      </c>
      <c r="H4899" t="str">
        <f>MID(Table132[[#This Row],[ÉTAT]],VALUE(RIGHT(Table132[[#This Row],[next move]],1))+1+VALUE(LEFT(Table132[[#This Row],[next move]],1))*3,1)</f>
        <v>V</v>
      </c>
      <c r="I4899" t="str">
        <f>Table132[[#This Row],[ÉTAT]]&amp;Table132[[#This Row],[next move]]</f>
        <v>EVVVMMVVE01</v>
      </c>
    </row>
    <row r="4900" spans="2:9" x14ac:dyDescent="0.25">
      <c r="B4900" t="s">
        <v>1289</v>
      </c>
      <c r="C4900" s="22" t="s">
        <v>26</v>
      </c>
      <c r="D4900">
        <v>1</v>
      </c>
      <c r="G4900" s="25">
        <f>Table132[[#This Row],[nb win]]/Table132[[#This Row],[nb play]]</f>
        <v>0</v>
      </c>
      <c r="H4900" t="str">
        <f>MID(Table132[[#This Row],[ÉTAT]],VALUE(RIGHT(Table132[[#This Row],[next move]],1))+1+VALUE(LEFT(Table132[[#This Row],[next move]],1))*3,1)</f>
        <v>V</v>
      </c>
      <c r="I4900" t="str">
        <f>Table132[[#This Row],[ÉTAT]]&amp;Table132[[#This Row],[next move]]</f>
        <v>EVVVMMVEV01</v>
      </c>
    </row>
    <row r="4901" spans="2:9" x14ac:dyDescent="0.25">
      <c r="B4901" t="s">
        <v>1289</v>
      </c>
      <c r="C4901" s="22" t="s">
        <v>20</v>
      </c>
      <c r="D4901">
        <v>1</v>
      </c>
      <c r="E4901">
        <v>1</v>
      </c>
      <c r="G4901" s="31">
        <f>Table132[[#This Row],[nb win]]/Table132[[#This Row],[nb play]]</f>
        <v>1</v>
      </c>
      <c r="H4901" t="str">
        <f>MID(Table132[[#This Row],[ÉTAT]],VALUE(RIGHT(Table132[[#This Row],[next move]],1))+1+VALUE(LEFT(Table132[[#This Row],[next move]],1))*3,1)</f>
        <v>V</v>
      </c>
      <c r="I4901" t="str">
        <f>Table132[[#This Row],[ÉTAT]]&amp;Table132[[#This Row],[next move]]</f>
        <v>EVVVMMVEV02</v>
      </c>
    </row>
    <row r="4902" spans="2:9" x14ac:dyDescent="0.25">
      <c r="B4902" t="s">
        <v>1289</v>
      </c>
      <c r="C4902" s="22" t="s">
        <v>31</v>
      </c>
      <c r="D4902">
        <v>1</v>
      </c>
      <c r="G4902" s="25">
        <f>Table132[[#This Row],[nb win]]/Table132[[#This Row],[nb play]]</f>
        <v>0</v>
      </c>
      <c r="H4902" t="str">
        <f>MID(Table132[[#This Row],[ÉTAT]],VALUE(RIGHT(Table132[[#This Row],[next move]],1))+1+VALUE(LEFT(Table132[[#This Row],[next move]],1))*3,1)</f>
        <v>V</v>
      </c>
      <c r="I4902" t="str">
        <f>Table132[[#This Row],[ÉTAT]]&amp;Table132[[#This Row],[next move]]</f>
        <v>EVVVMMVEV22</v>
      </c>
    </row>
    <row r="4903" spans="2:9" x14ac:dyDescent="0.25">
      <c r="B4903" t="s">
        <v>2367</v>
      </c>
      <c r="C4903" s="22" t="s">
        <v>35</v>
      </c>
      <c r="D4903">
        <v>6</v>
      </c>
      <c r="E4903">
        <v>6</v>
      </c>
      <c r="G4903" s="31">
        <f>Table132[[#This Row],[nb win]]/Table132[[#This Row],[nb play]]</f>
        <v>1</v>
      </c>
      <c r="H4903" t="str">
        <f>MID(Table132[[#This Row],[ÉTAT]],VALUE(RIGHT(Table132[[#This Row],[next move]],1))+1+VALUE(LEFT(Table132[[#This Row],[next move]],1))*3,1)</f>
        <v>V</v>
      </c>
      <c r="I4903" t="str">
        <f>Table132[[#This Row],[ÉTAT]]&amp;Table132[[#This Row],[next move]]</f>
        <v>EVVVMMVEE20</v>
      </c>
    </row>
    <row r="4904" spans="2:9" x14ac:dyDescent="0.25">
      <c r="B4904" t="s">
        <v>3043</v>
      </c>
      <c r="C4904" s="22" t="s">
        <v>30</v>
      </c>
      <c r="D4904">
        <v>3</v>
      </c>
      <c r="E4904">
        <v>3</v>
      </c>
      <c r="G4904" s="31">
        <f>Table132[[#This Row],[nb win]]/Table132[[#This Row],[nb play]]</f>
        <v>1</v>
      </c>
      <c r="H4904" t="str">
        <f>MID(Table132[[#This Row],[ÉTAT]],VALUE(RIGHT(Table132[[#This Row],[next move]],1))+1+VALUE(LEFT(Table132[[#This Row],[next move]],1))*3,1)</f>
        <v>V</v>
      </c>
      <c r="I4904" t="str">
        <f>Table132[[#This Row],[ÉTAT]]&amp;Table132[[#This Row],[next move]]</f>
        <v>EVVVMMMEE10</v>
      </c>
    </row>
    <row r="4905" spans="2:9" x14ac:dyDescent="0.25">
      <c r="B4905" t="s">
        <v>490</v>
      </c>
      <c r="C4905" s="22" t="s">
        <v>22</v>
      </c>
      <c r="D4905">
        <v>5</v>
      </c>
      <c r="E4905">
        <v>3</v>
      </c>
      <c r="G4905" s="30">
        <f>Table132[[#This Row],[nb win]]/Table132[[#This Row],[nb play]]</f>
        <v>0.6</v>
      </c>
      <c r="H4905" t="str">
        <f>MID(Table132[[#This Row],[ÉTAT]],VALUE(RIGHT(Table132[[#This Row],[next move]],1))+1+VALUE(LEFT(Table132[[#This Row],[next move]],1))*3,1)</f>
        <v>V</v>
      </c>
      <c r="I4905" t="str">
        <f>Table132[[#This Row],[ÉTAT]]&amp;Table132[[#This Row],[next move]]</f>
        <v>EVVVMMEVV21</v>
      </c>
    </row>
    <row r="4906" spans="2:9" x14ac:dyDescent="0.25">
      <c r="B4906" t="s">
        <v>2505</v>
      </c>
      <c r="C4906" s="22" t="s">
        <v>26</v>
      </c>
      <c r="D4906">
        <v>1</v>
      </c>
      <c r="G4906" s="25">
        <f>Table132[[#This Row],[nb win]]/Table132[[#This Row],[nb play]]</f>
        <v>0</v>
      </c>
      <c r="H4906" t="str">
        <f>MID(Table132[[#This Row],[ÉTAT]],VALUE(RIGHT(Table132[[#This Row],[next move]],1))+1+VALUE(LEFT(Table132[[#This Row],[next move]],1))*3,1)</f>
        <v>V</v>
      </c>
      <c r="I4906" t="str">
        <f>Table132[[#This Row],[ÉTAT]]&amp;Table132[[#This Row],[next move]]</f>
        <v>EVVVMMEVE01</v>
      </c>
    </row>
    <row r="4907" spans="2:9" x14ac:dyDescent="0.25">
      <c r="B4907" t="s">
        <v>2505</v>
      </c>
      <c r="C4907" s="22" t="s">
        <v>20</v>
      </c>
      <c r="D4907">
        <v>1</v>
      </c>
      <c r="G4907" s="25">
        <f>Table132[[#This Row],[nb win]]/Table132[[#This Row],[nb play]]</f>
        <v>0</v>
      </c>
      <c r="H4907" t="str">
        <f>MID(Table132[[#This Row],[ÉTAT]],VALUE(RIGHT(Table132[[#This Row],[next move]],1))+1+VALUE(LEFT(Table132[[#This Row],[next move]],1))*3,1)</f>
        <v>V</v>
      </c>
      <c r="I4907" t="str">
        <f>Table132[[#This Row],[ÉTAT]]&amp;Table132[[#This Row],[next move]]</f>
        <v>EVVVMMEVE02</v>
      </c>
    </row>
    <row r="4908" spans="2:9" x14ac:dyDescent="0.25">
      <c r="B4908" t="s">
        <v>2505</v>
      </c>
      <c r="C4908" s="22" t="s">
        <v>30</v>
      </c>
      <c r="D4908">
        <v>3</v>
      </c>
      <c r="E4908">
        <v>3</v>
      </c>
      <c r="G4908" s="31">
        <f>Table132[[#This Row],[nb win]]/Table132[[#This Row],[nb play]]</f>
        <v>1</v>
      </c>
      <c r="H4908" t="str">
        <f>MID(Table132[[#This Row],[ÉTAT]],VALUE(RIGHT(Table132[[#This Row],[next move]],1))+1+VALUE(LEFT(Table132[[#This Row],[next move]],1))*3,1)</f>
        <v>V</v>
      </c>
      <c r="I4908" t="str">
        <f>Table132[[#This Row],[ÉTAT]]&amp;Table132[[#This Row],[next move]]</f>
        <v>EVVVMMEVE10</v>
      </c>
    </row>
    <row r="4909" spans="2:9" x14ac:dyDescent="0.25">
      <c r="B4909" t="s">
        <v>3377</v>
      </c>
      <c r="C4909" s="22" t="s">
        <v>30</v>
      </c>
      <c r="D4909">
        <v>1</v>
      </c>
      <c r="E4909">
        <v>1</v>
      </c>
      <c r="G4909" s="31">
        <f>Table132[[#This Row],[nb win]]/Table132[[#This Row],[nb play]]</f>
        <v>1</v>
      </c>
      <c r="H4909" t="str">
        <f>MID(Table132[[#This Row],[ÉTAT]],VALUE(RIGHT(Table132[[#This Row],[next move]],1))+1+VALUE(LEFT(Table132[[#This Row],[next move]],1))*3,1)</f>
        <v>V</v>
      </c>
      <c r="I4909" t="str">
        <f>Table132[[#This Row],[ÉTAT]]&amp;Table132[[#This Row],[next move]]</f>
        <v>EVVVMMEME10</v>
      </c>
    </row>
    <row r="4910" spans="2:9" x14ac:dyDescent="0.25">
      <c r="B4910" t="s">
        <v>1898</v>
      </c>
      <c r="C4910" s="22" t="s">
        <v>26</v>
      </c>
      <c r="D4910">
        <v>1</v>
      </c>
      <c r="G4910" s="25">
        <f>Table132[[#This Row],[nb win]]/Table132[[#This Row],[nb play]]</f>
        <v>0</v>
      </c>
      <c r="H4910" t="str">
        <f>MID(Table132[[#This Row],[ÉTAT]],VALUE(RIGHT(Table132[[#This Row],[next move]],1))+1+VALUE(LEFT(Table132[[#This Row],[next move]],1))*3,1)</f>
        <v>V</v>
      </c>
      <c r="I4910" t="str">
        <f>Table132[[#This Row],[ÉTAT]]&amp;Table132[[#This Row],[next move]]</f>
        <v>EVVVMMEEV01</v>
      </c>
    </row>
    <row r="4911" spans="2:9" x14ac:dyDescent="0.25">
      <c r="B4911" t="s">
        <v>1898</v>
      </c>
      <c r="C4911" s="22" t="s">
        <v>20</v>
      </c>
      <c r="D4911">
        <v>1</v>
      </c>
      <c r="G4911" s="25">
        <f>Table132[[#This Row],[nb win]]/Table132[[#This Row],[nb play]]</f>
        <v>0</v>
      </c>
      <c r="H4911" t="str">
        <f>MID(Table132[[#This Row],[ÉTAT]],VALUE(RIGHT(Table132[[#This Row],[next move]],1))+1+VALUE(LEFT(Table132[[#This Row],[next move]],1))*3,1)</f>
        <v>V</v>
      </c>
      <c r="I4911" t="str">
        <f>Table132[[#This Row],[ÉTAT]]&amp;Table132[[#This Row],[next move]]</f>
        <v>EVVVMMEEV02</v>
      </c>
    </row>
    <row r="4912" spans="2:9" x14ac:dyDescent="0.25">
      <c r="B4912" t="s">
        <v>1898</v>
      </c>
      <c r="C4912" s="22" t="s">
        <v>30</v>
      </c>
      <c r="D4912">
        <v>1</v>
      </c>
      <c r="E4912">
        <v>1</v>
      </c>
      <c r="G4912" s="25">
        <f>Table132[[#This Row],[nb win]]/Table132[[#This Row],[nb play]]</f>
        <v>1</v>
      </c>
      <c r="H4912" t="str">
        <f>MID(Table132[[#This Row],[ÉTAT]],VALUE(RIGHT(Table132[[#This Row],[next move]],1))+1+VALUE(LEFT(Table132[[#This Row],[next move]],1))*3,1)</f>
        <v>V</v>
      </c>
      <c r="I4912" t="str">
        <f>Table132[[#This Row],[ÉTAT]]&amp;Table132[[#This Row],[next move]]</f>
        <v>EVVVMMEEV10</v>
      </c>
    </row>
    <row r="4913" spans="2:9" x14ac:dyDescent="0.25">
      <c r="B4913" t="s">
        <v>1898</v>
      </c>
      <c r="C4913" s="22" t="s">
        <v>31</v>
      </c>
      <c r="D4913">
        <v>2</v>
      </c>
      <c r="G4913" s="30">
        <f>Table132[[#This Row],[nb win]]/Table132[[#This Row],[nb play]]</f>
        <v>0</v>
      </c>
      <c r="H4913" t="str">
        <f>MID(Table132[[#This Row],[ÉTAT]],VALUE(RIGHT(Table132[[#This Row],[next move]],1))+1+VALUE(LEFT(Table132[[#This Row],[next move]],1))*3,1)</f>
        <v>V</v>
      </c>
      <c r="I4913" t="str">
        <f>Table132[[#This Row],[ÉTAT]]&amp;Table132[[#This Row],[next move]]</f>
        <v>EVVVMMEEV22</v>
      </c>
    </row>
    <row r="4914" spans="2:9" x14ac:dyDescent="0.25">
      <c r="B4914" t="s">
        <v>2559</v>
      </c>
      <c r="C4914" s="22" t="s">
        <v>20</v>
      </c>
      <c r="D4914">
        <v>2</v>
      </c>
      <c r="E4914">
        <v>2</v>
      </c>
      <c r="G4914" s="31">
        <f>Table132[[#This Row],[nb win]]/Table132[[#This Row],[nb play]]</f>
        <v>1</v>
      </c>
      <c r="H4914" t="str">
        <f>MID(Table132[[#This Row],[ÉTAT]],VALUE(RIGHT(Table132[[#This Row],[next move]],1))+1+VALUE(LEFT(Table132[[#This Row],[next move]],1))*3,1)</f>
        <v>V</v>
      </c>
      <c r="I4914" t="str">
        <f>Table132[[#This Row],[ÉTAT]]&amp;Table132[[#This Row],[next move]]</f>
        <v>EVVVMMEEM02</v>
      </c>
    </row>
    <row r="4915" spans="2:9" x14ac:dyDescent="0.25">
      <c r="B4915" t="s">
        <v>222</v>
      </c>
      <c r="C4915" s="22" t="s">
        <v>26</v>
      </c>
      <c r="D4915">
        <v>5</v>
      </c>
      <c r="E4915">
        <v>4</v>
      </c>
      <c r="G4915" s="31">
        <f>Table132[[#This Row],[nb win]]/Table132[[#This Row],[nb play]]</f>
        <v>0.8</v>
      </c>
      <c r="H4915" t="str">
        <f>MID(Table132[[#This Row],[ÉTAT]],VALUE(RIGHT(Table132[[#This Row],[next move]],1))+1+VALUE(LEFT(Table132[[#This Row],[next move]],1))*3,1)</f>
        <v>V</v>
      </c>
      <c r="I4915" t="str">
        <f>Table132[[#This Row],[ÉTAT]]&amp;Table132[[#This Row],[next move]]</f>
        <v>EVVVMEVVV01</v>
      </c>
    </row>
    <row r="4916" spans="2:9" x14ac:dyDescent="0.25">
      <c r="B4916" t="s">
        <v>222</v>
      </c>
      <c r="C4916" s="22" t="s">
        <v>20</v>
      </c>
      <c r="D4916">
        <v>2</v>
      </c>
      <c r="E4916">
        <v>1</v>
      </c>
      <c r="G4916" s="25">
        <f>Table132[[#This Row],[nb win]]/Table132[[#This Row],[nb play]]</f>
        <v>0.5</v>
      </c>
      <c r="H4916" t="str">
        <f>MID(Table132[[#This Row],[ÉTAT]],VALUE(RIGHT(Table132[[#This Row],[next move]],1))+1+VALUE(LEFT(Table132[[#This Row],[next move]],1))*3,1)</f>
        <v>V</v>
      </c>
      <c r="I4916" t="str">
        <f>Table132[[#This Row],[ÉTAT]]&amp;Table132[[#This Row],[next move]]</f>
        <v>EVVVMEVVV02</v>
      </c>
    </row>
    <row r="4917" spans="2:9" x14ac:dyDescent="0.25">
      <c r="B4917" t="s">
        <v>222</v>
      </c>
      <c r="C4917" s="22" t="s">
        <v>30</v>
      </c>
      <c r="D4917">
        <v>2</v>
      </c>
      <c r="G4917" s="30">
        <f>Table132[[#This Row],[nb win]]/Table132[[#This Row],[nb play]]</f>
        <v>0</v>
      </c>
      <c r="H4917" t="str">
        <f>MID(Table132[[#This Row],[ÉTAT]],VALUE(RIGHT(Table132[[#This Row],[next move]],1))+1+VALUE(LEFT(Table132[[#This Row],[next move]],1))*3,1)</f>
        <v>V</v>
      </c>
      <c r="I4917" t="str">
        <f>Table132[[#This Row],[ÉTAT]]&amp;Table132[[#This Row],[next move]]</f>
        <v>EVVVMEVVV10</v>
      </c>
    </row>
    <row r="4918" spans="2:9" x14ac:dyDescent="0.25">
      <c r="B4918" t="s">
        <v>222</v>
      </c>
      <c r="C4918" s="22" t="s">
        <v>35</v>
      </c>
      <c r="D4918">
        <v>5</v>
      </c>
      <c r="E4918">
        <v>3</v>
      </c>
      <c r="G4918" s="30">
        <f>Table132[[#This Row],[nb win]]/Table132[[#This Row],[nb play]]</f>
        <v>0.6</v>
      </c>
      <c r="H4918" t="str">
        <f>MID(Table132[[#This Row],[ÉTAT]],VALUE(RIGHT(Table132[[#This Row],[next move]],1))+1+VALUE(LEFT(Table132[[#This Row],[next move]],1))*3,1)</f>
        <v>V</v>
      </c>
      <c r="I4918" t="str">
        <f>Table132[[#This Row],[ÉTAT]]&amp;Table132[[#This Row],[next move]]</f>
        <v>EVVVMEVVV20</v>
      </c>
    </row>
    <row r="4919" spans="2:9" x14ac:dyDescent="0.25">
      <c r="B4919" t="s">
        <v>222</v>
      </c>
      <c r="C4919" s="22" t="s">
        <v>22</v>
      </c>
      <c r="D4919">
        <v>4</v>
      </c>
      <c r="E4919">
        <v>1</v>
      </c>
      <c r="G4919" s="31">
        <f>Table132[[#This Row],[nb win]]/Table132[[#This Row],[nb play]]</f>
        <v>0.25</v>
      </c>
      <c r="H4919" t="str">
        <f>MID(Table132[[#This Row],[ÉTAT]],VALUE(RIGHT(Table132[[#This Row],[next move]],1))+1+VALUE(LEFT(Table132[[#This Row],[next move]],1))*3,1)</f>
        <v>V</v>
      </c>
      <c r="I4919" t="str">
        <f>Table132[[#This Row],[ÉTAT]]&amp;Table132[[#This Row],[next move]]</f>
        <v>EVVVMEVVV21</v>
      </c>
    </row>
    <row r="4920" spans="2:9" x14ac:dyDescent="0.25">
      <c r="B4920" t="s">
        <v>222</v>
      </c>
      <c r="C4920" s="22" t="s">
        <v>31</v>
      </c>
      <c r="D4920">
        <v>1</v>
      </c>
      <c r="G4920" s="25">
        <f>Table132[[#This Row],[nb win]]/Table132[[#This Row],[nb play]]</f>
        <v>0</v>
      </c>
      <c r="H4920" t="str">
        <f>MID(Table132[[#This Row],[ÉTAT]],VALUE(RIGHT(Table132[[#This Row],[next move]],1))+1+VALUE(LEFT(Table132[[#This Row],[next move]],1))*3,1)</f>
        <v>V</v>
      </c>
      <c r="I4920" t="str">
        <f>Table132[[#This Row],[ÉTAT]]&amp;Table132[[#This Row],[next move]]</f>
        <v>EVVVMEVVV22</v>
      </c>
    </row>
    <row r="4921" spans="2:9" x14ac:dyDescent="0.25">
      <c r="B4921" t="s">
        <v>2087</v>
      </c>
      <c r="C4921" s="22" t="s">
        <v>26</v>
      </c>
      <c r="D4921">
        <v>2</v>
      </c>
      <c r="E4921">
        <v>1</v>
      </c>
      <c r="G4921" s="25">
        <f>Table132[[#This Row],[nb win]]/Table132[[#This Row],[nb play]]</f>
        <v>0.5</v>
      </c>
      <c r="H4921" t="str">
        <f>MID(Table132[[#This Row],[ÉTAT]],VALUE(RIGHT(Table132[[#This Row],[next move]],1))+1+VALUE(LEFT(Table132[[#This Row],[next move]],1))*3,1)</f>
        <v>V</v>
      </c>
      <c r="I4921" t="str">
        <f>Table132[[#This Row],[ÉTAT]]&amp;Table132[[#This Row],[next move]]</f>
        <v>EVVVMEVVM01</v>
      </c>
    </row>
    <row r="4922" spans="2:9" x14ac:dyDescent="0.25">
      <c r="B4922" t="s">
        <v>2087</v>
      </c>
      <c r="C4922" s="22" t="s">
        <v>35</v>
      </c>
      <c r="D4922">
        <v>4</v>
      </c>
      <c r="E4922">
        <v>4</v>
      </c>
      <c r="G4922" s="31">
        <f>Table132[[#This Row],[nb win]]/Table132[[#This Row],[nb play]]</f>
        <v>1</v>
      </c>
      <c r="H4922" t="str">
        <f>MID(Table132[[#This Row],[ÉTAT]],VALUE(RIGHT(Table132[[#This Row],[next move]],1))+1+VALUE(LEFT(Table132[[#This Row],[next move]],1))*3,1)</f>
        <v>V</v>
      </c>
      <c r="I4922" t="str">
        <f>Table132[[#This Row],[ÉTAT]]&amp;Table132[[#This Row],[next move]]</f>
        <v>EVVVMEVVM20</v>
      </c>
    </row>
    <row r="4923" spans="2:9" x14ac:dyDescent="0.25">
      <c r="B4923" t="s">
        <v>1509</v>
      </c>
      <c r="C4923" s="22" t="s">
        <v>26</v>
      </c>
      <c r="D4923">
        <v>5</v>
      </c>
      <c r="E4923">
        <v>5</v>
      </c>
      <c r="G4923" s="31">
        <f>Table132[[#This Row],[nb win]]/Table132[[#This Row],[nb play]]</f>
        <v>1</v>
      </c>
      <c r="H4923" t="str">
        <f>MID(Table132[[#This Row],[ÉTAT]],VALUE(RIGHT(Table132[[#This Row],[next move]],1))+1+VALUE(LEFT(Table132[[#This Row],[next move]],1))*3,1)</f>
        <v>V</v>
      </c>
      <c r="I4923" t="str">
        <f>Table132[[#This Row],[ÉTAT]]&amp;Table132[[#This Row],[next move]]</f>
        <v>EVVVMEVME01</v>
      </c>
    </row>
    <row r="4924" spans="2:9" x14ac:dyDescent="0.25">
      <c r="B4924" t="s">
        <v>2520</v>
      </c>
      <c r="C4924" s="22" t="s">
        <v>30</v>
      </c>
      <c r="D4924">
        <v>1</v>
      </c>
      <c r="G4924" s="25">
        <f>Table132[[#This Row],[nb win]]/Table132[[#This Row],[nb play]]</f>
        <v>0</v>
      </c>
      <c r="H4924" t="str">
        <f>MID(Table132[[#This Row],[ÉTAT]],VALUE(RIGHT(Table132[[#This Row],[next move]],1))+1+VALUE(LEFT(Table132[[#This Row],[next move]],1))*3,1)</f>
        <v>V</v>
      </c>
      <c r="I4924" t="str">
        <f>Table132[[#This Row],[ÉTAT]]&amp;Table132[[#This Row],[next move]]</f>
        <v>EVVVMEVEM10</v>
      </c>
    </row>
    <row r="4925" spans="2:9" x14ac:dyDescent="0.25">
      <c r="B4925" t="s">
        <v>2520</v>
      </c>
      <c r="C4925" s="22" t="s">
        <v>35</v>
      </c>
      <c r="D4925">
        <v>1</v>
      </c>
      <c r="E4925">
        <v>1</v>
      </c>
      <c r="G4925" s="31">
        <f>Table132[[#This Row],[nb win]]/Table132[[#This Row],[nb play]]</f>
        <v>1</v>
      </c>
      <c r="H4925" t="str">
        <f>MID(Table132[[#This Row],[ÉTAT]],VALUE(RIGHT(Table132[[#This Row],[next move]],1))+1+VALUE(LEFT(Table132[[#This Row],[next move]],1))*3,1)</f>
        <v>V</v>
      </c>
      <c r="I4925" t="str">
        <f>Table132[[#This Row],[ÉTAT]]&amp;Table132[[#This Row],[next move]]</f>
        <v>EVVVMEVEM20</v>
      </c>
    </row>
    <row r="4926" spans="2:9" x14ac:dyDescent="0.25">
      <c r="B4926" t="s">
        <v>1649</v>
      </c>
      <c r="C4926" s="22" t="s">
        <v>20</v>
      </c>
      <c r="D4926">
        <v>3</v>
      </c>
      <c r="E4926">
        <v>3</v>
      </c>
      <c r="G4926" s="31">
        <f>Table132[[#This Row],[nb win]]/Table132[[#This Row],[nb play]]</f>
        <v>1</v>
      </c>
      <c r="H4926" t="str">
        <f>MID(Table132[[#This Row],[ÉTAT]],VALUE(RIGHT(Table132[[#This Row],[next move]],1))+1+VALUE(LEFT(Table132[[#This Row],[next move]],1))*3,1)</f>
        <v>V</v>
      </c>
      <c r="I4926" t="str">
        <f>Table132[[#This Row],[ÉTAT]]&amp;Table132[[#This Row],[next move]]</f>
        <v>EVVVMEMVV02</v>
      </c>
    </row>
    <row r="4927" spans="2:9" x14ac:dyDescent="0.25">
      <c r="B4927" t="s">
        <v>483</v>
      </c>
      <c r="C4927" s="22" t="s">
        <v>20</v>
      </c>
      <c r="D4927">
        <v>1</v>
      </c>
      <c r="E4927">
        <v>1</v>
      </c>
      <c r="G4927" s="25">
        <f>Table132[[#This Row],[nb win]]/Table132[[#This Row],[nb play]]</f>
        <v>1</v>
      </c>
      <c r="H4927" t="str">
        <f>MID(Table132[[#This Row],[ÉTAT]],VALUE(RIGHT(Table132[[#This Row],[next move]],1))+1+VALUE(LEFT(Table132[[#This Row],[next move]],1))*3,1)</f>
        <v>V</v>
      </c>
      <c r="I4927" t="str">
        <f>Table132[[#This Row],[ÉTAT]]&amp;Table132[[#This Row],[next move]]</f>
        <v>EVVVMEMVE02</v>
      </c>
    </row>
    <row r="4928" spans="2:9" x14ac:dyDescent="0.25">
      <c r="B4928" t="s">
        <v>2763</v>
      </c>
      <c r="C4928" s="22" t="s">
        <v>26</v>
      </c>
      <c r="D4928">
        <v>1</v>
      </c>
      <c r="E4928">
        <v>1</v>
      </c>
      <c r="G4928" s="31">
        <f>Table132[[#This Row],[nb win]]/Table132[[#This Row],[nb play]]</f>
        <v>1</v>
      </c>
      <c r="H4928" t="str">
        <f>MID(Table132[[#This Row],[ÉTAT]],VALUE(RIGHT(Table132[[#This Row],[next move]],1))+1+VALUE(LEFT(Table132[[#This Row],[next move]],1))*3,1)</f>
        <v>V</v>
      </c>
      <c r="I4928" t="str">
        <f>Table132[[#This Row],[ÉTAT]]&amp;Table132[[#This Row],[next move]]</f>
        <v>EVVVMEMME01</v>
      </c>
    </row>
    <row r="4929" spans="2:9" x14ac:dyDescent="0.25">
      <c r="B4929" t="s">
        <v>2763</v>
      </c>
      <c r="C4929" s="22" t="s">
        <v>30</v>
      </c>
      <c r="D4929">
        <v>1</v>
      </c>
      <c r="G4929" s="25">
        <f>Table132[[#This Row],[nb win]]/Table132[[#This Row],[nb play]]</f>
        <v>0</v>
      </c>
      <c r="H4929" t="str">
        <f>MID(Table132[[#This Row],[ÉTAT]],VALUE(RIGHT(Table132[[#This Row],[next move]],1))+1+VALUE(LEFT(Table132[[#This Row],[next move]],1))*3,1)</f>
        <v>V</v>
      </c>
      <c r="I4929" t="str">
        <f>Table132[[#This Row],[ÉTAT]]&amp;Table132[[#This Row],[next move]]</f>
        <v>EVVVMEMME10</v>
      </c>
    </row>
    <row r="4930" spans="2:9" x14ac:dyDescent="0.25">
      <c r="B4930" t="s">
        <v>2293</v>
      </c>
      <c r="C4930" s="22" t="s">
        <v>20</v>
      </c>
      <c r="D4930">
        <v>2</v>
      </c>
      <c r="E4930">
        <v>2</v>
      </c>
      <c r="G4930" s="25">
        <f>Table132[[#This Row],[nb win]]/Table132[[#This Row],[nb play]]</f>
        <v>1</v>
      </c>
      <c r="H4930" t="str">
        <f>MID(Table132[[#This Row],[ÉTAT]],VALUE(RIGHT(Table132[[#This Row],[next move]],1))+1+VALUE(LEFT(Table132[[#This Row],[next move]],1))*3,1)</f>
        <v>V</v>
      </c>
      <c r="I4930" t="str">
        <f>Table132[[#This Row],[ÉTAT]]&amp;Table132[[#This Row],[next move]]</f>
        <v>EVVVMEMEV02</v>
      </c>
    </row>
    <row r="4931" spans="2:9" x14ac:dyDescent="0.25">
      <c r="B4931" t="s">
        <v>2333</v>
      </c>
      <c r="C4931" s="22" t="s">
        <v>26</v>
      </c>
      <c r="D4931">
        <v>1</v>
      </c>
      <c r="G4931" s="25">
        <f>Table132[[#This Row],[nb win]]/Table132[[#This Row],[nb play]]</f>
        <v>0</v>
      </c>
      <c r="H4931" t="str">
        <f>MID(Table132[[#This Row],[ÉTAT]],VALUE(RIGHT(Table132[[#This Row],[next move]],1))+1+VALUE(LEFT(Table132[[#This Row],[next move]],1))*3,1)</f>
        <v>V</v>
      </c>
      <c r="I4931" t="str">
        <f>Table132[[#This Row],[ÉTAT]]&amp;Table132[[#This Row],[next move]]</f>
        <v>EVVVMEEVM01</v>
      </c>
    </row>
    <row r="4932" spans="2:9" x14ac:dyDescent="0.25">
      <c r="B4932" t="s">
        <v>2333</v>
      </c>
      <c r="C4932" s="22" t="s">
        <v>22</v>
      </c>
      <c r="D4932">
        <v>1</v>
      </c>
      <c r="G4932" s="25">
        <f>Table132[[#This Row],[nb win]]/Table132[[#This Row],[nb play]]</f>
        <v>0</v>
      </c>
      <c r="H4932" t="str">
        <f>MID(Table132[[#This Row],[ÉTAT]],VALUE(RIGHT(Table132[[#This Row],[next move]],1))+1+VALUE(LEFT(Table132[[#This Row],[next move]],1))*3,1)</f>
        <v>V</v>
      </c>
      <c r="I4932" t="str">
        <f>Table132[[#This Row],[ÉTAT]]&amp;Table132[[#This Row],[next move]]</f>
        <v>EVVVMEEVM21</v>
      </c>
    </row>
    <row r="4933" spans="2:9" x14ac:dyDescent="0.25">
      <c r="B4933" t="s">
        <v>746</v>
      </c>
      <c r="C4933" s="22" t="s">
        <v>26</v>
      </c>
      <c r="D4933">
        <v>1</v>
      </c>
      <c r="E4933">
        <v>1</v>
      </c>
      <c r="G4933" s="31">
        <f>Table132[[#This Row],[nb win]]/Table132[[#This Row],[nb play]]</f>
        <v>1</v>
      </c>
      <c r="H4933" t="str">
        <f>MID(Table132[[#This Row],[ÉTAT]],VALUE(RIGHT(Table132[[#This Row],[next move]],1))+1+VALUE(LEFT(Table132[[#This Row],[next move]],1))*3,1)</f>
        <v>V</v>
      </c>
      <c r="I4933" t="str">
        <f>Table132[[#This Row],[ÉTAT]]&amp;Table132[[#This Row],[next move]]</f>
        <v>EVVVMEEMV01</v>
      </c>
    </row>
    <row r="4934" spans="2:9" x14ac:dyDescent="0.25">
      <c r="B4934" t="s">
        <v>746</v>
      </c>
      <c r="C4934" s="22" t="s">
        <v>20</v>
      </c>
      <c r="D4934">
        <v>1</v>
      </c>
      <c r="G4934" s="25">
        <f>Table132[[#This Row],[nb win]]/Table132[[#This Row],[nb play]]</f>
        <v>0</v>
      </c>
      <c r="H4934" t="str">
        <f>MID(Table132[[#This Row],[ÉTAT]],VALUE(RIGHT(Table132[[#This Row],[next move]],1))+1+VALUE(LEFT(Table132[[#This Row],[next move]],1))*3,1)</f>
        <v>V</v>
      </c>
      <c r="I4934" t="str">
        <f>Table132[[#This Row],[ÉTAT]]&amp;Table132[[#This Row],[next move]]</f>
        <v>EVVVMEEMV02</v>
      </c>
    </row>
    <row r="4935" spans="2:9" x14ac:dyDescent="0.25">
      <c r="B4935" t="s">
        <v>746</v>
      </c>
      <c r="C4935" s="22" t="s">
        <v>30</v>
      </c>
      <c r="D4935">
        <v>1</v>
      </c>
      <c r="G4935" s="25">
        <f>Table132[[#This Row],[nb win]]/Table132[[#This Row],[nb play]]</f>
        <v>0</v>
      </c>
      <c r="H4935" t="str">
        <f>MID(Table132[[#This Row],[ÉTAT]],VALUE(RIGHT(Table132[[#This Row],[next move]],1))+1+VALUE(LEFT(Table132[[#This Row],[next move]],1))*3,1)</f>
        <v>V</v>
      </c>
      <c r="I4935" t="str">
        <f>Table132[[#This Row],[ÉTAT]]&amp;Table132[[#This Row],[next move]]</f>
        <v>EVVVMEEMV10</v>
      </c>
    </row>
    <row r="4936" spans="2:9" x14ac:dyDescent="0.25">
      <c r="B4936" t="s">
        <v>746</v>
      </c>
      <c r="C4936" s="22" t="s">
        <v>31</v>
      </c>
      <c r="D4936">
        <v>2</v>
      </c>
      <c r="E4936">
        <v>1</v>
      </c>
      <c r="G4936" s="25">
        <f>Table132[[#This Row],[nb win]]/Table132[[#This Row],[nb play]]</f>
        <v>0.5</v>
      </c>
      <c r="H4936" t="str">
        <f>MID(Table132[[#This Row],[ÉTAT]],VALUE(RIGHT(Table132[[#This Row],[next move]],1))+1+VALUE(LEFT(Table132[[#This Row],[next move]],1))*3,1)</f>
        <v>V</v>
      </c>
      <c r="I4936" t="str">
        <f>Table132[[#This Row],[ÉTAT]]&amp;Table132[[#This Row],[next move]]</f>
        <v>EVVVMEEMV22</v>
      </c>
    </row>
    <row r="4937" spans="2:9" x14ac:dyDescent="0.25">
      <c r="B4937" t="s">
        <v>1451</v>
      </c>
      <c r="C4937" s="22" t="s">
        <v>26</v>
      </c>
      <c r="D4937">
        <v>1</v>
      </c>
      <c r="E4937">
        <v>1</v>
      </c>
      <c r="G4937" s="25">
        <f>Table132[[#This Row],[nb win]]/Table132[[#This Row],[nb play]]</f>
        <v>1</v>
      </c>
      <c r="H4937" t="str">
        <f>MID(Table132[[#This Row],[ÉTAT]],VALUE(RIGHT(Table132[[#This Row],[next move]],1))+1+VALUE(LEFT(Table132[[#This Row],[next move]],1))*3,1)</f>
        <v>V</v>
      </c>
      <c r="I4937" t="str">
        <f>Table132[[#This Row],[ÉTAT]]&amp;Table132[[#This Row],[next move]]</f>
        <v>EVVVMEEMM01</v>
      </c>
    </row>
    <row r="4938" spans="2:9" x14ac:dyDescent="0.25">
      <c r="B4938" t="s">
        <v>1451</v>
      </c>
      <c r="C4938" s="22" t="s">
        <v>20</v>
      </c>
      <c r="D4938">
        <v>1</v>
      </c>
      <c r="G4938" s="25">
        <f>Table132[[#This Row],[nb win]]/Table132[[#This Row],[nb play]]</f>
        <v>0</v>
      </c>
      <c r="H4938" t="str">
        <f>MID(Table132[[#This Row],[ÉTAT]],VALUE(RIGHT(Table132[[#This Row],[next move]],1))+1+VALUE(LEFT(Table132[[#This Row],[next move]],1))*3,1)</f>
        <v>V</v>
      </c>
      <c r="I4938" t="str">
        <f>Table132[[#This Row],[ÉTAT]]&amp;Table132[[#This Row],[next move]]</f>
        <v>EVVVMEEMM02</v>
      </c>
    </row>
    <row r="4939" spans="2:9" x14ac:dyDescent="0.25">
      <c r="B4939" t="s">
        <v>98</v>
      </c>
      <c r="C4939" s="22" t="s">
        <v>20</v>
      </c>
      <c r="D4939">
        <v>4</v>
      </c>
      <c r="E4939">
        <v>3</v>
      </c>
      <c r="G4939" s="31">
        <f>Table132[[#This Row],[nb win]]/Table132[[#This Row],[nb play]]</f>
        <v>0.75</v>
      </c>
      <c r="H4939" t="str">
        <f>MID(Table132[[#This Row],[ÉTAT]],VALUE(RIGHT(Table132[[#This Row],[next move]],1))+1+VALUE(LEFT(Table132[[#This Row],[next move]],1))*3,1)</f>
        <v>V</v>
      </c>
      <c r="I4939" t="str">
        <f>Table132[[#This Row],[ÉTAT]]&amp;Table132[[#This Row],[next move]]</f>
        <v>EVVVEVVVM02</v>
      </c>
    </row>
    <row r="4940" spans="2:9" x14ac:dyDescent="0.25">
      <c r="B4940" t="s">
        <v>98</v>
      </c>
      <c r="C4940" s="22" t="s">
        <v>30</v>
      </c>
      <c r="D4940">
        <v>1</v>
      </c>
      <c r="E4940">
        <v>1</v>
      </c>
      <c r="G4940" s="31">
        <f>Table132[[#This Row],[nb win]]/Table132[[#This Row],[nb play]]</f>
        <v>1</v>
      </c>
      <c r="H4940" t="str">
        <f>MID(Table132[[#This Row],[ÉTAT]],VALUE(RIGHT(Table132[[#This Row],[next move]],1))+1+VALUE(LEFT(Table132[[#This Row],[next move]],1))*3,1)</f>
        <v>V</v>
      </c>
      <c r="I4940" t="str">
        <f>Table132[[#This Row],[ÉTAT]]&amp;Table132[[#This Row],[next move]]</f>
        <v>EVVVEVVVM10</v>
      </c>
    </row>
    <row r="4941" spans="2:9" x14ac:dyDescent="0.25">
      <c r="B4941" t="s">
        <v>98</v>
      </c>
      <c r="C4941" s="22" t="s">
        <v>28</v>
      </c>
      <c r="D4941">
        <v>1</v>
      </c>
      <c r="G4941" s="30">
        <f>Table132[[#This Row],[nb win]]/Table132[[#This Row],[nb play]]</f>
        <v>0</v>
      </c>
      <c r="H4941" t="str">
        <f>MID(Table132[[#This Row],[ÉTAT]],VALUE(RIGHT(Table132[[#This Row],[next move]],1))+1+VALUE(LEFT(Table132[[#This Row],[next move]],1))*3,1)</f>
        <v>V</v>
      </c>
      <c r="I4941" t="str">
        <f>Table132[[#This Row],[ÉTAT]]&amp;Table132[[#This Row],[next move]]</f>
        <v>EVVVEVVVM12</v>
      </c>
    </row>
    <row r="4942" spans="2:9" x14ac:dyDescent="0.25">
      <c r="B4942" t="s">
        <v>98</v>
      </c>
      <c r="C4942" s="22" t="s">
        <v>22</v>
      </c>
      <c r="D4942">
        <v>1</v>
      </c>
      <c r="G4942" s="30">
        <f>Table132[[#This Row],[nb win]]/Table132[[#This Row],[nb play]]</f>
        <v>0</v>
      </c>
      <c r="H4942" t="str">
        <f>MID(Table132[[#This Row],[ÉTAT]],VALUE(RIGHT(Table132[[#This Row],[next move]],1))+1+VALUE(LEFT(Table132[[#This Row],[next move]],1))*3,1)</f>
        <v>V</v>
      </c>
      <c r="I4942" t="str">
        <f>Table132[[#This Row],[ÉTAT]]&amp;Table132[[#This Row],[next move]]</f>
        <v>EVVVEVVVM21</v>
      </c>
    </row>
    <row r="4943" spans="2:9" x14ac:dyDescent="0.25">
      <c r="B4943" t="s">
        <v>188</v>
      </c>
      <c r="C4943" s="22" t="s">
        <v>26</v>
      </c>
      <c r="D4943">
        <v>11</v>
      </c>
      <c r="G4943" s="30">
        <f>Table132[[#This Row],[nb win]]/Table132[[#This Row],[nb play]]</f>
        <v>0</v>
      </c>
      <c r="H4943" t="str">
        <f>MID(Table132[[#This Row],[ÉTAT]],VALUE(RIGHT(Table132[[#This Row],[next move]],1))+1+VALUE(LEFT(Table132[[#This Row],[next move]],1))*3,1)</f>
        <v>V</v>
      </c>
      <c r="I4943" t="str">
        <f>Table132[[#This Row],[ÉTAT]]&amp;Table132[[#This Row],[next move]]</f>
        <v>EVVVEVVMV01</v>
      </c>
    </row>
    <row r="4944" spans="2:9" x14ac:dyDescent="0.25">
      <c r="B4944" t="s">
        <v>188</v>
      </c>
      <c r="C4944" s="22" t="s">
        <v>20</v>
      </c>
      <c r="D4944">
        <v>7</v>
      </c>
      <c r="G4944" s="30">
        <f>Table132[[#This Row],[nb win]]/Table132[[#This Row],[nb play]]</f>
        <v>0</v>
      </c>
      <c r="H4944" t="str">
        <f>MID(Table132[[#This Row],[ÉTAT]],VALUE(RIGHT(Table132[[#This Row],[next move]],1))+1+VALUE(LEFT(Table132[[#This Row],[next move]],1))*3,1)</f>
        <v>V</v>
      </c>
      <c r="I4944" t="str">
        <f>Table132[[#This Row],[ÉTAT]]&amp;Table132[[#This Row],[next move]]</f>
        <v>EVVVEVVMV02</v>
      </c>
    </row>
    <row r="4945" spans="2:9" x14ac:dyDescent="0.25">
      <c r="B4945" t="s">
        <v>188</v>
      </c>
      <c r="C4945" s="22" t="s">
        <v>30</v>
      </c>
      <c r="D4945">
        <v>6</v>
      </c>
      <c r="G4945" s="30">
        <f>Table132[[#This Row],[nb win]]/Table132[[#This Row],[nb play]]</f>
        <v>0</v>
      </c>
      <c r="H4945" t="str">
        <f>MID(Table132[[#This Row],[ÉTAT]],VALUE(RIGHT(Table132[[#This Row],[next move]],1))+1+VALUE(LEFT(Table132[[#This Row],[next move]],1))*3,1)</f>
        <v>V</v>
      </c>
      <c r="I4945" t="str">
        <f>Table132[[#This Row],[ÉTAT]]&amp;Table132[[#This Row],[next move]]</f>
        <v>EVVVEVVMV10</v>
      </c>
    </row>
    <row r="4946" spans="2:9" x14ac:dyDescent="0.25">
      <c r="B4946" t="s">
        <v>188</v>
      </c>
      <c r="C4946" s="22" t="s">
        <v>28</v>
      </c>
      <c r="D4946">
        <v>7</v>
      </c>
      <c r="G4946" s="30">
        <f>Table132[[#This Row],[nb win]]/Table132[[#This Row],[nb play]]</f>
        <v>0</v>
      </c>
      <c r="H4946" t="str">
        <f>MID(Table132[[#This Row],[ÉTAT]],VALUE(RIGHT(Table132[[#This Row],[next move]],1))+1+VALUE(LEFT(Table132[[#This Row],[next move]],1))*3,1)</f>
        <v>V</v>
      </c>
      <c r="I4946" t="str">
        <f>Table132[[#This Row],[ÉTAT]]&amp;Table132[[#This Row],[next move]]</f>
        <v>EVVVEVVMV12</v>
      </c>
    </row>
    <row r="4947" spans="2:9" x14ac:dyDescent="0.25">
      <c r="B4947" t="s">
        <v>188</v>
      </c>
      <c r="C4947" s="22" t="s">
        <v>31</v>
      </c>
      <c r="D4947">
        <v>3</v>
      </c>
      <c r="E4947">
        <v>3</v>
      </c>
      <c r="G4947" s="31">
        <f>Table132[[#This Row],[nb win]]/Table132[[#This Row],[nb play]]</f>
        <v>1</v>
      </c>
      <c r="H4947" t="str">
        <f>MID(Table132[[#This Row],[ÉTAT]],VALUE(RIGHT(Table132[[#This Row],[next move]],1))+1+VALUE(LEFT(Table132[[#This Row],[next move]],1))*3,1)</f>
        <v>V</v>
      </c>
      <c r="I4947" t="str">
        <f>Table132[[#This Row],[ÉTAT]]&amp;Table132[[#This Row],[next move]]</f>
        <v>EVVVEVVMV22</v>
      </c>
    </row>
    <row r="4948" spans="2:9" x14ac:dyDescent="0.25">
      <c r="B4948" t="s">
        <v>407</v>
      </c>
      <c r="C4948" s="22" t="s">
        <v>20</v>
      </c>
      <c r="D4948">
        <v>4</v>
      </c>
      <c r="E4948">
        <v>3</v>
      </c>
      <c r="G4948" s="31">
        <f>Table132[[#This Row],[nb win]]/Table132[[#This Row],[nb play]]</f>
        <v>0.75</v>
      </c>
      <c r="H4948" t="str">
        <f>MID(Table132[[#This Row],[ÉTAT]],VALUE(RIGHT(Table132[[#This Row],[next move]],1))+1+VALUE(LEFT(Table132[[#This Row],[next move]],1))*3,1)</f>
        <v>V</v>
      </c>
      <c r="I4948" t="str">
        <f>Table132[[#This Row],[ÉTAT]]&amp;Table132[[#This Row],[next move]]</f>
        <v>EVVVEVVMM02</v>
      </c>
    </row>
    <row r="4949" spans="2:9" x14ac:dyDescent="0.25">
      <c r="B4949" t="s">
        <v>407</v>
      </c>
      <c r="C4949" s="22" t="s">
        <v>28</v>
      </c>
      <c r="D4949">
        <v>1</v>
      </c>
      <c r="G4949" s="25">
        <f>Table132[[#This Row],[nb win]]/Table132[[#This Row],[nb play]]</f>
        <v>0</v>
      </c>
      <c r="H4949" t="str">
        <f>MID(Table132[[#This Row],[ÉTAT]],VALUE(RIGHT(Table132[[#This Row],[next move]],1))+1+VALUE(LEFT(Table132[[#This Row],[next move]],1))*3,1)</f>
        <v>V</v>
      </c>
      <c r="I4949" t="str">
        <f>Table132[[#This Row],[ÉTAT]]&amp;Table132[[#This Row],[next move]]</f>
        <v>EVVVEVVMM12</v>
      </c>
    </row>
    <row r="4950" spans="2:9" x14ac:dyDescent="0.25">
      <c r="B4950" t="s">
        <v>407</v>
      </c>
      <c r="C4950" s="22" t="s">
        <v>35</v>
      </c>
      <c r="D4950">
        <v>6</v>
      </c>
      <c r="E4950">
        <v>6</v>
      </c>
      <c r="G4950" s="31">
        <f>Table132[[#This Row],[nb win]]/Table132[[#This Row],[nb play]]</f>
        <v>1</v>
      </c>
      <c r="H4950" t="str">
        <f>MID(Table132[[#This Row],[ÉTAT]],VALUE(RIGHT(Table132[[#This Row],[next move]],1))+1+VALUE(LEFT(Table132[[#This Row],[next move]],1))*3,1)</f>
        <v>V</v>
      </c>
      <c r="I4950" t="str">
        <f>Table132[[#This Row],[ÉTAT]]&amp;Table132[[#This Row],[next move]]</f>
        <v>EVVVEVVMM20</v>
      </c>
    </row>
    <row r="4951" spans="2:9" x14ac:dyDescent="0.25">
      <c r="B4951" t="s">
        <v>91</v>
      </c>
      <c r="C4951" s="22" t="s">
        <v>26</v>
      </c>
      <c r="D4951">
        <v>3</v>
      </c>
      <c r="G4951" s="30">
        <f>Table132[[#This Row],[nb win]]/Table132[[#This Row],[nb play]]</f>
        <v>0</v>
      </c>
      <c r="H4951" t="str">
        <f>MID(Table132[[#This Row],[ÉTAT]],VALUE(RIGHT(Table132[[#This Row],[next move]],1))+1+VALUE(LEFT(Table132[[#This Row],[next move]],1))*3,1)</f>
        <v>V</v>
      </c>
      <c r="I4951" t="str">
        <f>Table132[[#This Row],[ÉTAT]]&amp;Table132[[#This Row],[next move]]</f>
        <v>EVVVEVMVV01</v>
      </c>
    </row>
    <row r="4952" spans="2:9" x14ac:dyDescent="0.25">
      <c r="B4952" t="s">
        <v>91</v>
      </c>
      <c r="C4952" s="22" t="s">
        <v>20</v>
      </c>
      <c r="D4952">
        <v>2</v>
      </c>
      <c r="E4952">
        <v>1</v>
      </c>
      <c r="G4952" s="30">
        <f>Table132[[#This Row],[nb win]]/Table132[[#This Row],[nb play]]</f>
        <v>0.5</v>
      </c>
      <c r="H4952" t="str">
        <f>MID(Table132[[#This Row],[ÉTAT]],VALUE(RIGHT(Table132[[#This Row],[next move]],1))+1+VALUE(LEFT(Table132[[#This Row],[next move]],1))*3,1)</f>
        <v>V</v>
      </c>
      <c r="I4952" t="str">
        <f>Table132[[#This Row],[ÉTAT]]&amp;Table132[[#This Row],[next move]]</f>
        <v>EVVVEVMVV02</v>
      </c>
    </row>
    <row r="4953" spans="2:9" x14ac:dyDescent="0.25">
      <c r="B4953" t="s">
        <v>91</v>
      </c>
      <c r="C4953" s="22" t="s">
        <v>30</v>
      </c>
      <c r="D4953">
        <v>4</v>
      </c>
      <c r="G4953" s="30">
        <f>Table132[[#This Row],[nb win]]/Table132[[#This Row],[nb play]]</f>
        <v>0</v>
      </c>
      <c r="H4953" t="str">
        <f>MID(Table132[[#This Row],[ÉTAT]],VALUE(RIGHT(Table132[[#This Row],[next move]],1))+1+VALUE(LEFT(Table132[[#This Row],[next move]],1))*3,1)</f>
        <v>V</v>
      </c>
      <c r="I4953" t="str">
        <f>Table132[[#This Row],[ÉTAT]]&amp;Table132[[#This Row],[next move]]</f>
        <v>EVVVEVMVV10</v>
      </c>
    </row>
    <row r="4954" spans="2:9" x14ac:dyDescent="0.25">
      <c r="B4954" t="s">
        <v>91</v>
      </c>
      <c r="C4954" s="22" t="s">
        <v>28</v>
      </c>
      <c r="D4954">
        <v>2</v>
      </c>
      <c r="G4954" s="30">
        <f>Table132[[#This Row],[nb win]]/Table132[[#This Row],[nb play]]</f>
        <v>0</v>
      </c>
      <c r="H4954" t="str">
        <f>MID(Table132[[#This Row],[ÉTAT]],VALUE(RIGHT(Table132[[#This Row],[next move]],1))+1+VALUE(LEFT(Table132[[#This Row],[next move]],1))*3,1)</f>
        <v>V</v>
      </c>
      <c r="I4954" t="str">
        <f>Table132[[#This Row],[ÉTAT]]&amp;Table132[[#This Row],[next move]]</f>
        <v>EVVVEVMVV12</v>
      </c>
    </row>
    <row r="4955" spans="2:9" x14ac:dyDescent="0.25">
      <c r="B4955" t="s">
        <v>91</v>
      </c>
      <c r="C4955" s="22" t="s">
        <v>22</v>
      </c>
      <c r="D4955">
        <v>4</v>
      </c>
      <c r="E4955">
        <v>1</v>
      </c>
      <c r="G4955" s="30">
        <f>Table132[[#This Row],[nb win]]/Table132[[#This Row],[nb play]]</f>
        <v>0.25</v>
      </c>
      <c r="H4955" t="str">
        <f>MID(Table132[[#This Row],[ÉTAT]],VALUE(RIGHT(Table132[[#This Row],[next move]],1))+1+VALUE(LEFT(Table132[[#This Row],[next move]],1))*3,1)</f>
        <v>V</v>
      </c>
      <c r="I4955" t="str">
        <f>Table132[[#This Row],[ÉTAT]]&amp;Table132[[#This Row],[next move]]</f>
        <v>EVVVEVMVV21</v>
      </c>
    </row>
    <row r="4956" spans="2:9" x14ac:dyDescent="0.25">
      <c r="B4956" t="s">
        <v>91</v>
      </c>
      <c r="C4956" s="22" t="s">
        <v>31</v>
      </c>
      <c r="D4956">
        <v>3</v>
      </c>
      <c r="E4956">
        <v>1</v>
      </c>
      <c r="G4956" s="30">
        <f>Table132[[#This Row],[nb win]]/Table132[[#This Row],[nb play]]</f>
        <v>0.33333333333333331</v>
      </c>
      <c r="H4956" t="str">
        <f>MID(Table132[[#This Row],[ÉTAT]],VALUE(RIGHT(Table132[[#This Row],[next move]],1))+1+VALUE(LEFT(Table132[[#This Row],[next move]],1))*3,1)</f>
        <v>V</v>
      </c>
      <c r="I4956" t="str">
        <f>Table132[[#This Row],[ÉTAT]]&amp;Table132[[#This Row],[next move]]</f>
        <v>EVVVEVMVV22</v>
      </c>
    </row>
    <row r="4957" spans="2:9" x14ac:dyDescent="0.25">
      <c r="B4957" t="s">
        <v>1562</v>
      </c>
      <c r="C4957" s="22" t="s">
        <v>22</v>
      </c>
      <c r="D4957">
        <v>3</v>
      </c>
      <c r="E4957">
        <v>3</v>
      </c>
      <c r="G4957" s="31">
        <f>Table132[[#This Row],[nb win]]/Table132[[#This Row],[nb play]]</f>
        <v>1</v>
      </c>
      <c r="H4957" t="str">
        <f>MID(Table132[[#This Row],[ÉTAT]],VALUE(RIGHT(Table132[[#This Row],[next move]],1))+1+VALUE(LEFT(Table132[[#This Row],[next move]],1))*3,1)</f>
        <v>V</v>
      </c>
      <c r="I4957" t="str">
        <f>Table132[[#This Row],[ÉTAT]]&amp;Table132[[#This Row],[next move]]</f>
        <v>EVVVEVMVM21</v>
      </c>
    </row>
    <row r="4958" spans="2:9" x14ac:dyDescent="0.25">
      <c r="B4958" t="s">
        <v>1161</v>
      </c>
      <c r="C4958" s="22" t="s">
        <v>26</v>
      </c>
      <c r="D4958">
        <v>5</v>
      </c>
      <c r="E4958">
        <v>4</v>
      </c>
      <c r="G4958" s="30">
        <f>Table132[[#This Row],[nb win]]/Table132[[#This Row],[nb play]]</f>
        <v>0.8</v>
      </c>
      <c r="H4958" t="str">
        <f>MID(Table132[[#This Row],[ÉTAT]],VALUE(RIGHT(Table132[[#This Row],[next move]],1))+1+VALUE(LEFT(Table132[[#This Row],[next move]],1))*3,1)</f>
        <v>V</v>
      </c>
      <c r="I4958" t="str">
        <f>Table132[[#This Row],[ÉTAT]]&amp;Table132[[#This Row],[next move]]</f>
        <v>EVVVEVMMV01</v>
      </c>
    </row>
    <row r="4959" spans="2:9" x14ac:dyDescent="0.25">
      <c r="B4959" t="s">
        <v>1161</v>
      </c>
      <c r="C4959" s="22" t="s">
        <v>20</v>
      </c>
      <c r="D4959">
        <v>1</v>
      </c>
      <c r="G4959" s="30">
        <f>Table132[[#This Row],[nb win]]/Table132[[#This Row],[nb play]]</f>
        <v>0</v>
      </c>
      <c r="H4959" t="str">
        <f>MID(Table132[[#This Row],[ÉTAT]],VALUE(RIGHT(Table132[[#This Row],[next move]],1))+1+VALUE(LEFT(Table132[[#This Row],[next move]],1))*3,1)</f>
        <v>V</v>
      </c>
      <c r="I4959" t="str">
        <f>Table132[[#This Row],[ÉTAT]]&amp;Table132[[#This Row],[next move]]</f>
        <v>EVVVEVMMV02</v>
      </c>
    </row>
    <row r="4960" spans="2:9" x14ac:dyDescent="0.25">
      <c r="B4960" t="s">
        <v>1161</v>
      </c>
      <c r="C4960" s="22" t="s">
        <v>28</v>
      </c>
      <c r="D4960">
        <v>1</v>
      </c>
      <c r="G4960" s="30">
        <f>Table132[[#This Row],[nb win]]/Table132[[#This Row],[nb play]]</f>
        <v>0</v>
      </c>
      <c r="H4960" t="str">
        <f>MID(Table132[[#This Row],[ÉTAT]],VALUE(RIGHT(Table132[[#This Row],[next move]],1))+1+VALUE(LEFT(Table132[[#This Row],[next move]],1))*3,1)</f>
        <v>V</v>
      </c>
      <c r="I4960" t="str">
        <f>Table132[[#This Row],[ÉTAT]]&amp;Table132[[#This Row],[next move]]</f>
        <v>EVVVEVMMV12</v>
      </c>
    </row>
    <row r="4961" spans="2:9" x14ac:dyDescent="0.25">
      <c r="B4961" t="s">
        <v>1161</v>
      </c>
      <c r="C4961" s="22" t="s">
        <v>31</v>
      </c>
      <c r="D4961">
        <v>1</v>
      </c>
      <c r="E4961">
        <v>1</v>
      </c>
      <c r="G4961" s="31">
        <f>Table132[[#This Row],[nb win]]/Table132[[#This Row],[nb play]]</f>
        <v>1</v>
      </c>
      <c r="H4961" t="str">
        <f>MID(Table132[[#This Row],[ÉTAT]],VALUE(RIGHT(Table132[[#This Row],[next move]],1))+1+VALUE(LEFT(Table132[[#This Row],[next move]],1))*3,1)</f>
        <v>V</v>
      </c>
      <c r="I4961" t="str">
        <f>Table132[[#This Row],[ÉTAT]]&amp;Table132[[#This Row],[next move]]</f>
        <v>EVVVEVMMV22</v>
      </c>
    </row>
    <row r="4962" spans="2:9" x14ac:dyDescent="0.25">
      <c r="B4962" t="s">
        <v>462</v>
      </c>
      <c r="C4962" s="22" t="s">
        <v>28</v>
      </c>
      <c r="D4962">
        <v>1</v>
      </c>
      <c r="G4962" s="25">
        <f>Table132[[#This Row],[nb win]]/Table132[[#This Row],[nb play]]</f>
        <v>0</v>
      </c>
      <c r="H4962" t="str">
        <f>MID(Table132[[#This Row],[ÉTAT]],VALUE(RIGHT(Table132[[#This Row],[next move]],1))+1+VALUE(LEFT(Table132[[#This Row],[next move]],1))*3,1)</f>
        <v>V</v>
      </c>
      <c r="I4962" t="str">
        <f>Table132[[#This Row],[ÉTAT]]&amp;Table132[[#This Row],[next move]]</f>
        <v>EVVVEVMEM12</v>
      </c>
    </row>
    <row r="4963" spans="2:9" x14ac:dyDescent="0.25">
      <c r="B4963" t="s">
        <v>3396</v>
      </c>
      <c r="C4963" s="22" t="s">
        <v>20</v>
      </c>
      <c r="D4963">
        <v>1</v>
      </c>
      <c r="G4963" s="30">
        <f>Table132[[#This Row],[nb win]]/Table132[[#This Row],[nb play]]</f>
        <v>0</v>
      </c>
      <c r="H4963" t="str">
        <f>MID(Table132[[#This Row],[ÉTAT]],VALUE(RIGHT(Table132[[#This Row],[next move]],1))+1+VALUE(LEFT(Table132[[#This Row],[next move]],1))*3,1)</f>
        <v>V</v>
      </c>
      <c r="I4963" t="str">
        <f>Table132[[#This Row],[ÉTAT]]&amp;Table132[[#This Row],[next move]]</f>
        <v>EVVVEVEMM02</v>
      </c>
    </row>
    <row r="4964" spans="2:9" x14ac:dyDescent="0.25">
      <c r="B4964" t="s">
        <v>190</v>
      </c>
      <c r="C4964" s="22" t="s">
        <v>26</v>
      </c>
      <c r="D4964">
        <v>2</v>
      </c>
      <c r="G4964" s="30">
        <f>Table132[[#This Row],[nb win]]/Table132[[#This Row],[nb play]]</f>
        <v>0</v>
      </c>
      <c r="H4964" t="str">
        <f>MID(Table132[[#This Row],[ÉTAT]],VALUE(RIGHT(Table132[[#This Row],[next move]],1))+1+VALUE(LEFT(Table132[[#This Row],[next move]],1))*3,1)</f>
        <v>V</v>
      </c>
      <c r="I4964" t="str">
        <f>Table132[[#This Row],[ÉTAT]]&amp;Table132[[#This Row],[next move]]</f>
        <v>EVVVEMVVV01</v>
      </c>
    </row>
    <row r="4965" spans="2:9" x14ac:dyDescent="0.25">
      <c r="B4965" t="s">
        <v>190</v>
      </c>
      <c r="C4965" s="22" t="s">
        <v>30</v>
      </c>
      <c r="D4965">
        <v>3</v>
      </c>
      <c r="G4965" s="30">
        <f>Table132[[#This Row],[nb win]]/Table132[[#This Row],[nb play]]</f>
        <v>0</v>
      </c>
      <c r="H4965" t="str">
        <f>MID(Table132[[#This Row],[ÉTAT]],VALUE(RIGHT(Table132[[#This Row],[next move]],1))+1+VALUE(LEFT(Table132[[#This Row],[next move]],1))*3,1)</f>
        <v>V</v>
      </c>
      <c r="I4965" t="str">
        <f>Table132[[#This Row],[ÉTAT]]&amp;Table132[[#This Row],[next move]]</f>
        <v>EVVVEMVVV10</v>
      </c>
    </row>
    <row r="4966" spans="2:9" x14ac:dyDescent="0.25">
      <c r="B4966" t="s">
        <v>190</v>
      </c>
      <c r="C4966" s="22" t="s">
        <v>35</v>
      </c>
      <c r="D4966">
        <v>2</v>
      </c>
      <c r="E4966">
        <v>1</v>
      </c>
      <c r="G4966" s="30">
        <f>Table132[[#This Row],[nb win]]/Table132[[#This Row],[nb play]]</f>
        <v>0.5</v>
      </c>
      <c r="H4966" t="str">
        <f>MID(Table132[[#This Row],[ÉTAT]],VALUE(RIGHT(Table132[[#This Row],[next move]],1))+1+VALUE(LEFT(Table132[[#This Row],[next move]],1))*3,1)</f>
        <v>V</v>
      </c>
      <c r="I4966" t="str">
        <f>Table132[[#This Row],[ÉTAT]]&amp;Table132[[#This Row],[next move]]</f>
        <v>EVVVEMVVV20</v>
      </c>
    </row>
    <row r="4967" spans="2:9" x14ac:dyDescent="0.25">
      <c r="B4967" t="s">
        <v>190</v>
      </c>
      <c r="C4967" s="22" t="s">
        <v>22</v>
      </c>
      <c r="D4967">
        <v>3</v>
      </c>
      <c r="G4967" s="30">
        <f>Table132[[#This Row],[nb win]]/Table132[[#This Row],[nb play]]</f>
        <v>0</v>
      </c>
      <c r="H4967" t="str">
        <f>MID(Table132[[#This Row],[ÉTAT]],VALUE(RIGHT(Table132[[#This Row],[next move]],1))+1+VALUE(LEFT(Table132[[#This Row],[next move]],1))*3,1)</f>
        <v>V</v>
      </c>
      <c r="I4967" t="str">
        <f>Table132[[#This Row],[ÉTAT]]&amp;Table132[[#This Row],[next move]]</f>
        <v>EVVVEMVVV21</v>
      </c>
    </row>
    <row r="4968" spans="2:9" x14ac:dyDescent="0.25">
      <c r="B4968" t="s">
        <v>3290</v>
      </c>
      <c r="C4968" s="22" t="s">
        <v>30</v>
      </c>
      <c r="D4968">
        <v>1</v>
      </c>
      <c r="G4968" s="30">
        <f>Table132[[#This Row],[nb win]]/Table132[[#This Row],[nb play]]</f>
        <v>0</v>
      </c>
      <c r="H4968" t="str">
        <f>MID(Table132[[#This Row],[ÉTAT]],VALUE(RIGHT(Table132[[#This Row],[next move]],1))+1+VALUE(LEFT(Table132[[#This Row],[next move]],1))*3,1)</f>
        <v>V</v>
      </c>
      <c r="I4968" t="str">
        <f>Table132[[#This Row],[ÉTAT]]&amp;Table132[[#This Row],[next move]]</f>
        <v>EVVVEMVVM10</v>
      </c>
    </row>
    <row r="4969" spans="2:9" x14ac:dyDescent="0.25">
      <c r="B4969" t="s">
        <v>3290</v>
      </c>
      <c r="C4969" s="22" t="s">
        <v>35</v>
      </c>
      <c r="D4969">
        <v>3</v>
      </c>
      <c r="E4969">
        <v>3</v>
      </c>
      <c r="G4969" s="31">
        <f>Table132[[#This Row],[nb win]]/Table132[[#This Row],[nb play]]</f>
        <v>1</v>
      </c>
      <c r="H4969" t="str">
        <f>MID(Table132[[#This Row],[ÉTAT]],VALUE(RIGHT(Table132[[#This Row],[next move]],1))+1+VALUE(LEFT(Table132[[#This Row],[next move]],1))*3,1)</f>
        <v>V</v>
      </c>
      <c r="I4969" t="str">
        <f>Table132[[#This Row],[ÉTAT]]&amp;Table132[[#This Row],[next move]]</f>
        <v>EVVVEMVVM20</v>
      </c>
    </row>
    <row r="4970" spans="2:9" x14ac:dyDescent="0.25">
      <c r="B4970" t="s">
        <v>3378</v>
      </c>
      <c r="C4970" s="22" t="s">
        <v>31</v>
      </c>
      <c r="D4970">
        <v>2</v>
      </c>
      <c r="E4970">
        <v>2</v>
      </c>
      <c r="G4970" s="31">
        <f>Table132[[#This Row],[nb win]]/Table132[[#This Row],[nb play]]</f>
        <v>1</v>
      </c>
      <c r="H4970" t="str">
        <f>MID(Table132[[#This Row],[ÉTAT]],VALUE(RIGHT(Table132[[#This Row],[next move]],1))+1+VALUE(LEFT(Table132[[#This Row],[next move]],1))*3,1)</f>
        <v>V</v>
      </c>
      <c r="I4970" t="str">
        <f>Table132[[#This Row],[ÉTAT]]&amp;Table132[[#This Row],[next move]]</f>
        <v>EVVVEMVMV22</v>
      </c>
    </row>
    <row r="4971" spans="2:9" x14ac:dyDescent="0.25">
      <c r="B4971" t="s">
        <v>921</v>
      </c>
      <c r="C4971" s="22" t="s">
        <v>20</v>
      </c>
      <c r="D4971">
        <v>3</v>
      </c>
      <c r="E4971">
        <v>3</v>
      </c>
      <c r="G4971" s="31">
        <f>Table132[[#This Row],[nb win]]/Table132[[#This Row],[nb play]]</f>
        <v>1</v>
      </c>
      <c r="H4971" t="str">
        <f>MID(Table132[[#This Row],[ÉTAT]],VALUE(RIGHT(Table132[[#This Row],[next move]],1))+1+VALUE(LEFT(Table132[[#This Row],[next move]],1))*3,1)</f>
        <v>V</v>
      </c>
      <c r="I4971" t="str">
        <f>Table132[[#This Row],[ÉTAT]]&amp;Table132[[#This Row],[next move]]</f>
        <v>EVVVEMVEM02</v>
      </c>
    </row>
    <row r="4972" spans="2:9" x14ac:dyDescent="0.25">
      <c r="B4972" t="s">
        <v>2565</v>
      </c>
      <c r="C4972" s="22" t="s">
        <v>26</v>
      </c>
      <c r="D4972">
        <v>1</v>
      </c>
      <c r="G4972" s="30">
        <f>Table132[[#This Row],[nb win]]/Table132[[#This Row],[nb play]]</f>
        <v>0</v>
      </c>
      <c r="H4972" t="str">
        <f>MID(Table132[[#This Row],[ÉTAT]],VALUE(RIGHT(Table132[[#This Row],[next move]],1))+1+VALUE(LEFT(Table132[[#This Row],[next move]],1))*3,1)</f>
        <v>V</v>
      </c>
      <c r="I4972" t="str">
        <f>Table132[[#This Row],[ÉTAT]]&amp;Table132[[#This Row],[next move]]</f>
        <v>EVVVEMMVV01</v>
      </c>
    </row>
    <row r="4973" spans="2:9" x14ac:dyDescent="0.25">
      <c r="B4973" t="s">
        <v>2565</v>
      </c>
      <c r="C4973" s="22" t="s">
        <v>31</v>
      </c>
      <c r="D4973">
        <v>4</v>
      </c>
      <c r="E4973">
        <v>3</v>
      </c>
      <c r="G4973" s="30">
        <f>Table132[[#This Row],[nb win]]/Table132[[#This Row],[nb play]]</f>
        <v>0.75</v>
      </c>
      <c r="H4973" t="str">
        <f>MID(Table132[[#This Row],[ÉTAT]],VALUE(RIGHT(Table132[[#This Row],[next move]],1))+1+VALUE(LEFT(Table132[[#This Row],[next move]],1))*3,1)</f>
        <v>V</v>
      </c>
      <c r="I4973" t="str">
        <f>Table132[[#This Row],[ÉTAT]]&amp;Table132[[#This Row],[next move]]</f>
        <v>EVVVEMMVV22</v>
      </c>
    </row>
    <row r="4974" spans="2:9" x14ac:dyDescent="0.25">
      <c r="B4974" t="s">
        <v>3002</v>
      </c>
      <c r="C4974" s="22" t="s">
        <v>20</v>
      </c>
      <c r="D4974">
        <v>2</v>
      </c>
      <c r="E4974">
        <v>2</v>
      </c>
      <c r="G4974" s="31">
        <f>Table132[[#This Row],[nb win]]/Table132[[#This Row],[nb play]]</f>
        <v>1</v>
      </c>
      <c r="H4974" t="str">
        <f>MID(Table132[[#This Row],[ÉTAT]],VALUE(RIGHT(Table132[[#This Row],[next move]],1))+1+VALUE(LEFT(Table132[[#This Row],[next move]],1))*3,1)</f>
        <v>V</v>
      </c>
      <c r="I4974" t="str">
        <f>Table132[[#This Row],[ÉTAT]]&amp;Table132[[#This Row],[next move]]</f>
        <v>EVVVEMMEM02</v>
      </c>
    </row>
    <row r="4975" spans="2:9" x14ac:dyDescent="0.25">
      <c r="B4975" t="s">
        <v>115</v>
      </c>
      <c r="C4975" s="22" t="s">
        <v>26</v>
      </c>
      <c r="D4975">
        <v>1</v>
      </c>
      <c r="E4975">
        <v>1</v>
      </c>
      <c r="G4975" s="25">
        <f>Table132[[#This Row],[nb win]]/Table132[[#This Row],[nb play]]</f>
        <v>1</v>
      </c>
      <c r="H4975" t="str">
        <f>MID(Table132[[#This Row],[ÉTAT]],VALUE(RIGHT(Table132[[#This Row],[next move]],1))+1+VALUE(LEFT(Table132[[#This Row],[next move]],1))*3,1)</f>
        <v>V</v>
      </c>
      <c r="I4975" t="str">
        <f>Table132[[#This Row],[ÉTAT]]&amp;Table132[[#This Row],[next move]]</f>
        <v>EVVVEMEVM01</v>
      </c>
    </row>
    <row r="4976" spans="2:9" x14ac:dyDescent="0.25">
      <c r="B4976" t="s">
        <v>115</v>
      </c>
      <c r="C4976" s="22" t="s">
        <v>30</v>
      </c>
      <c r="D4976">
        <v>1</v>
      </c>
      <c r="G4976" s="25">
        <f>Table132[[#This Row],[nb win]]/Table132[[#This Row],[nb play]]</f>
        <v>0</v>
      </c>
      <c r="H4976" t="str">
        <f>MID(Table132[[#This Row],[ÉTAT]],VALUE(RIGHT(Table132[[#This Row],[next move]],1))+1+VALUE(LEFT(Table132[[#This Row],[next move]],1))*3,1)</f>
        <v>V</v>
      </c>
      <c r="I4976" t="str">
        <f>Table132[[#This Row],[ÉTAT]]&amp;Table132[[#This Row],[next move]]</f>
        <v>EVVVEMEVM10</v>
      </c>
    </row>
    <row r="4977" spans="2:9" x14ac:dyDescent="0.25">
      <c r="B4977" t="s">
        <v>1455</v>
      </c>
      <c r="C4977" s="22" t="s">
        <v>30</v>
      </c>
      <c r="D4977">
        <v>1</v>
      </c>
      <c r="G4977" s="25">
        <f>Table132[[#This Row],[nb win]]/Table132[[#This Row],[nb play]]</f>
        <v>0</v>
      </c>
      <c r="H4977" t="str">
        <f>MID(Table132[[#This Row],[ÉTAT]],VALUE(RIGHT(Table132[[#This Row],[next move]],1))+1+VALUE(LEFT(Table132[[#This Row],[next move]],1))*3,1)</f>
        <v>V</v>
      </c>
      <c r="I4977" t="str">
        <f>Table132[[#This Row],[ÉTAT]]&amp;Table132[[#This Row],[next move]]</f>
        <v>EVVVEMEMV10</v>
      </c>
    </row>
    <row r="4978" spans="2:9" x14ac:dyDescent="0.25">
      <c r="B4978" t="s">
        <v>3365</v>
      </c>
      <c r="C4978" s="22" t="s">
        <v>20</v>
      </c>
      <c r="D4978">
        <v>1</v>
      </c>
      <c r="G4978" s="30">
        <f>Table132[[#This Row],[nb win]]/Table132[[#This Row],[nb play]]</f>
        <v>0</v>
      </c>
      <c r="H4978" t="str">
        <f>MID(Table132[[#This Row],[ÉTAT]],VALUE(RIGHT(Table132[[#This Row],[next move]],1))+1+VALUE(LEFT(Table132[[#This Row],[next move]],1))*3,1)</f>
        <v>V</v>
      </c>
      <c r="I4978" t="str">
        <f>Table132[[#This Row],[ÉTAT]]&amp;Table132[[#This Row],[next move]]</f>
        <v>EVVVEEVMM02</v>
      </c>
    </row>
    <row r="4979" spans="2:9" x14ac:dyDescent="0.25">
      <c r="B4979" t="s">
        <v>3365</v>
      </c>
      <c r="C4979" s="22" t="s">
        <v>35</v>
      </c>
      <c r="D4979">
        <v>1</v>
      </c>
      <c r="E4979">
        <v>1</v>
      </c>
      <c r="G4979" s="31">
        <f>Table132[[#This Row],[nb win]]/Table132[[#This Row],[nb play]]</f>
        <v>1</v>
      </c>
      <c r="H4979" t="str">
        <f>MID(Table132[[#This Row],[ÉTAT]],VALUE(RIGHT(Table132[[#This Row],[next move]],1))+1+VALUE(LEFT(Table132[[#This Row],[next move]],1))*3,1)</f>
        <v>V</v>
      </c>
      <c r="I4979" t="str">
        <f>Table132[[#This Row],[ÉTAT]]&amp;Table132[[#This Row],[next move]]</f>
        <v>EVVVEEVMM20</v>
      </c>
    </row>
    <row r="4980" spans="2:9" x14ac:dyDescent="0.25">
      <c r="B4980" t="s">
        <v>153</v>
      </c>
      <c r="C4980" s="22" t="s">
        <v>22</v>
      </c>
      <c r="D4980">
        <v>2</v>
      </c>
      <c r="E4980">
        <v>2</v>
      </c>
      <c r="G4980" s="25">
        <f>Table132[[#This Row],[nb win]]/Table132[[#This Row],[nb play]]</f>
        <v>1</v>
      </c>
      <c r="H4980" t="str">
        <f>MID(Table132[[#This Row],[ÉTAT]],VALUE(RIGHT(Table132[[#This Row],[next move]],1))+1+VALUE(LEFT(Table132[[#This Row],[next move]],1))*3,1)</f>
        <v>V</v>
      </c>
      <c r="I4980" t="str">
        <f>Table132[[#This Row],[ÉTAT]]&amp;Table132[[#This Row],[next move]]</f>
        <v>EVVVEEMVM21</v>
      </c>
    </row>
    <row r="4981" spans="2:9" x14ac:dyDescent="0.25">
      <c r="B4981" t="s">
        <v>2301</v>
      </c>
      <c r="C4981" s="22" t="s">
        <v>30</v>
      </c>
      <c r="D4981">
        <v>1</v>
      </c>
      <c r="G4981" s="25">
        <f>Table132[[#This Row],[nb win]]/Table132[[#This Row],[nb play]]</f>
        <v>0</v>
      </c>
      <c r="H4981" t="str">
        <f>MID(Table132[[#This Row],[ÉTAT]],VALUE(RIGHT(Table132[[#This Row],[next move]],1))+1+VALUE(LEFT(Table132[[#This Row],[next move]],1))*3,1)</f>
        <v>V</v>
      </c>
      <c r="I4981" t="str">
        <f>Table132[[#This Row],[ÉTAT]]&amp;Table132[[#This Row],[next move]]</f>
        <v>EVVVEEMMV10</v>
      </c>
    </row>
    <row r="4982" spans="2:9" x14ac:dyDescent="0.25">
      <c r="B4982" t="s">
        <v>2301</v>
      </c>
      <c r="C4982" s="22" t="s">
        <v>31</v>
      </c>
      <c r="D4982">
        <v>1</v>
      </c>
      <c r="E4982">
        <v>1</v>
      </c>
      <c r="G4982" s="25">
        <f>Table132[[#This Row],[nb win]]/Table132[[#This Row],[nb play]]</f>
        <v>1</v>
      </c>
      <c r="H4982" t="str">
        <f>MID(Table132[[#This Row],[ÉTAT]],VALUE(RIGHT(Table132[[#This Row],[next move]],1))+1+VALUE(LEFT(Table132[[#This Row],[next move]],1))*3,1)</f>
        <v>V</v>
      </c>
      <c r="I4982" t="str">
        <f>Table132[[#This Row],[ÉTAT]]&amp;Table132[[#This Row],[next move]]</f>
        <v>EVVVEEMMV22</v>
      </c>
    </row>
    <row r="4983" spans="2:9" x14ac:dyDescent="0.25">
      <c r="B4983" t="s">
        <v>53</v>
      </c>
      <c r="C4983" s="22" t="s">
        <v>29</v>
      </c>
      <c r="D4983">
        <v>14</v>
      </c>
      <c r="E4983">
        <v>14</v>
      </c>
      <c r="G4983" s="31">
        <f>Table132[[#This Row],[nb win]]/Table132[[#This Row],[nb play]]</f>
        <v>1</v>
      </c>
      <c r="H4983" t="str">
        <f>MID(Table132[[#This Row],[ÉTAT]],VALUE(RIGHT(Table132[[#This Row],[next move]],1))+1+VALUE(LEFT(Table132[[#This Row],[next move]],1))*3,1)</f>
        <v>V</v>
      </c>
      <c r="I4983" t="str">
        <f>Table132[[#This Row],[ÉTAT]]&amp;Table132[[#This Row],[next move]]</f>
        <v>EVVMVVVVV11</v>
      </c>
    </row>
    <row r="4984" spans="2:9" x14ac:dyDescent="0.25">
      <c r="B4984" t="s">
        <v>53</v>
      </c>
      <c r="C4984" s="22" t="s">
        <v>28</v>
      </c>
      <c r="D4984">
        <v>14</v>
      </c>
      <c r="E4984">
        <v>10</v>
      </c>
      <c r="G4984" s="30">
        <f>Table132[[#This Row],[nb win]]/Table132[[#This Row],[nb play]]</f>
        <v>0.7142857142857143</v>
      </c>
      <c r="H4984" t="str">
        <f>MID(Table132[[#This Row],[ÉTAT]],VALUE(RIGHT(Table132[[#This Row],[next move]],1))+1+VALUE(LEFT(Table132[[#This Row],[next move]],1))*3,1)</f>
        <v>V</v>
      </c>
      <c r="I4984" t="str">
        <f>Table132[[#This Row],[ÉTAT]]&amp;Table132[[#This Row],[next move]]</f>
        <v>EVVMVVVVV12</v>
      </c>
    </row>
    <row r="4985" spans="2:9" x14ac:dyDescent="0.25">
      <c r="B4985" t="s">
        <v>53</v>
      </c>
      <c r="C4985" s="22" t="s">
        <v>35</v>
      </c>
      <c r="D4985">
        <v>17</v>
      </c>
      <c r="E4985">
        <v>5</v>
      </c>
      <c r="G4985" s="30">
        <f>Table132[[#This Row],[nb win]]/Table132[[#This Row],[nb play]]</f>
        <v>0.29411764705882354</v>
      </c>
      <c r="H4985" t="str">
        <f>MID(Table132[[#This Row],[ÉTAT]],VALUE(RIGHT(Table132[[#This Row],[next move]],1))+1+VALUE(LEFT(Table132[[#This Row],[next move]],1))*3,1)</f>
        <v>V</v>
      </c>
      <c r="I4985" t="str">
        <f>Table132[[#This Row],[ÉTAT]]&amp;Table132[[#This Row],[next move]]</f>
        <v>EVVMVVVVV20</v>
      </c>
    </row>
    <row r="4986" spans="2:9" x14ac:dyDescent="0.25">
      <c r="B4986" t="s">
        <v>1433</v>
      </c>
      <c r="C4986" s="22" t="s">
        <v>26</v>
      </c>
      <c r="D4986">
        <v>2</v>
      </c>
      <c r="G4986" s="30">
        <f>Table132[[#This Row],[nb win]]/Table132[[#This Row],[nb play]]</f>
        <v>0</v>
      </c>
      <c r="H4986" t="str">
        <f>MID(Table132[[#This Row],[ÉTAT]],VALUE(RIGHT(Table132[[#This Row],[next move]],1))+1+VALUE(LEFT(Table132[[#This Row],[next move]],1))*3,1)</f>
        <v>V</v>
      </c>
      <c r="I4986" t="str">
        <f>Table132[[#This Row],[ÉTAT]]&amp;Table132[[#This Row],[next move]]</f>
        <v>EVVMVVVVE01</v>
      </c>
    </row>
    <row r="4987" spans="2:9" x14ac:dyDescent="0.25">
      <c r="B4987" t="s">
        <v>1433</v>
      </c>
      <c r="C4987" s="22" t="s">
        <v>29</v>
      </c>
      <c r="D4987">
        <v>2</v>
      </c>
      <c r="E4987">
        <v>2</v>
      </c>
      <c r="G4987" s="31">
        <f>Table132[[#This Row],[nb win]]/Table132[[#This Row],[nb play]]</f>
        <v>1</v>
      </c>
      <c r="H4987" t="str">
        <f>MID(Table132[[#This Row],[ÉTAT]],VALUE(RIGHT(Table132[[#This Row],[next move]],1))+1+VALUE(LEFT(Table132[[#This Row],[next move]],1))*3,1)</f>
        <v>V</v>
      </c>
      <c r="I4987" t="str">
        <f>Table132[[#This Row],[ÉTAT]]&amp;Table132[[#This Row],[next move]]</f>
        <v>EVVMVVVVE11</v>
      </c>
    </row>
    <row r="4988" spans="2:9" x14ac:dyDescent="0.25">
      <c r="B4988" t="s">
        <v>1433</v>
      </c>
      <c r="C4988" s="22" t="s">
        <v>22</v>
      </c>
      <c r="D4988">
        <v>2</v>
      </c>
      <c r="G4988" s="30">
        <f>Table132[[#This Row],[nb win]]/Table132[[#This Row],[nb play]]</f>
        <v>0</v>
      </c>
      <c r="H4988" t="str">
        <f>MID(Table132[[#This Row],[ÉTAT]],VALUE(RIGHT(Table132[[#This Row],[next move]],1))+1+VALUE(LEFT(Table132[[#This Row],[next move]],1))*3,1)</f>
        <v>V</v>
      </c>
      <c r="I4988" t="str">
        <f>Table132[[#This Row],[ÉTAT]]&amp;Table132[[#This Row],[next move]]</f>
        <v>EVVMVVVVE21</v>
      </c>
    </row>
    <row r="4989" spans="2:9" x14ac:dyDescent="0.25">
      <c r="B4989" t="s">
        <v>996</v>
      </c>
      <c r="C4989" s="22" t="s">
        <v>29</v>
      </c>
      <c r="D4989">
        <v>4</v>
      </c>
      <c r="E4989">
        <v>4</v>
      </c>
      <c r="G4989" s="31">
        <f>Table132[[#This Row],[nb win]]/Table132[[#This Row],[nb play]]</f>
        <v>1</v>
      </c>
      <c r="H4989" t="str">
        <f>MID(Table132[[#This Row],[ÉTAT]],VALUE(RIGHT(Table132[[#This Row],[next move]],1))+1+VALUE(LEFT(Table132[[#This Row],[next move]],1))*3,1)</f>
        <v>V</v>
      </c>
      <c r="I4989" t="str">
        <f>Table132[[#This Row],[ÉTAT]]&amp;Table132[[#This Row],[next move]]</f>
        <v>EVVMVVVME11</v>
      </c>
    </row>
    <row r="4990" spans="2:9" x14ac:dyDescent="0.25">
      <c r="B4990" t="s">
        <v>996</v>
      </c>
      <c r="C4990" s="22" t="s">
        <v>35</v>
      </c>
      <c r="D4990">
        <v>3</v>
      </c>
      <c r="G4990" s="30">
        <f>Table132[[#This Row],[nb win]]/Table132[[#This Row],[nb play]]</f>
        <v>0</v>
      </c>
      <c r="H4990" t="str">
        <f>MID(Table132[[#This Row],[ÉTAT]],VALUE(RIGHT(Table132[[#This Row],[next move]],1))+1+VALUE(LEFT(Table132[[#This Row],[next move]],1))*3,1)</f>
        <v>V</v>
      </c>
      <c r="I4990" t="str">
        <f>Table132[[#This Row],[ÉTAT]]&amp;Table132[[#This Row],[next move]]</f>
        <v>EVVMVVVME20</v>
      </c>
    </row>
    <row r="4991" spans="2:9" x14ac:dyDescent="0.25">
      <c r="B4991" t="s">
        <v>2063</v>
      </c>
      <c r="C4991" s="22" t="s">
        <v>29</v>
      </c>
      <c r="D4991">
        <v>2</v>
      </c>
      <c r="E4991">
        <v>2</v>
      </c>
      <c r="G4991" s="31">
        <f>Table132[[#This Row],[nb win]]/Table132[[#This Row],[nb play]]</f>
        <v>1</v>
      </c>
      <c r="H4991" t="str">
        <f>MID(Table132[[#This Row],[ÉTAT]],VALUE(RIGHT(Table132[[#This Row],[next move]],1))+1+VALUE(LEFT(Table132[[#This Row],[next move]],1))*3,1)</f>
        <v>V</v>
      </c>
      <c r="I4991" t="str">
        <f>Table132[[#This Row],[ÉTAT]]&amp;Table132[[#This Row],[next move]]</f>
        <v>EVVMVVVEV11</v>
      </c>
    </row>
    <row r="4992" spans="2:9" x14ac:dyDescent="0.25">
      <c r="B4992" t="s">
        <v>2063</v>
      </c>
      <c r="C4992" s="22" t="s">
        <v>35</v>
      </c>
      <c r="D4992">
        <v>1</v>
      </c>
      <c r="G4992" s="25">
        <f>Table132[[#This Row],[nb win]]/Table132[[#This Row],[nb play]]</f>
        <v>0</v>
      </c>
      <c r="H4992" t="str">
        <f>MID(Table132[[#This Row],[ÉTAT]],VALUE(RIGHT(Table132[[#This Row],[next move]],1))+1+VALUE(LEFT(Table132[[#This Row],[next move]],1))*3,1)</f>
        <v>V</v>
      </c>
      <c r="I4992" t="str">
        <f>Table132[[#This Row],[ÉTAT]]&amp;Table132[[#This Row],[next move]]</f>
        <v>EVVMVVVEV20</v>
      </c>
    </row>
    <row r="4993" spans="2:9" x14ac:dyDescent="0.25">
      <c r="B4993" t="s">
        <v>769</v>
      </c>
      <c r="C4993" s="22" t="s">
        <v>20</v>
      </c>
      <c r="D4993">
        <v>2</v>
      </c>
      <c r="E4993">
        <v>2</v>
      </c>
      <c r="G4993" s="31">
        <f>Table132[[#This Row],[nb win]]/Table132[[#This Row],[nb play]]</f>
        <v>1</v>
      </c>
      <c r="H4993" t="str">
        <f>MID(Table132[[#This Row],[ÉTAT]],VALUE(RIGHT(Table132[[#This Row],[next move]],1))+1+VALUE(LEFT(Table132[[#This Row],[next move]],1))*3,1)</f>
        <v>V</v>
      </c>
      <c r="I4993" t="str">
        <f>Table132[[#This Row],[ÉTAT]]&amp;Table132[[#This Row],[next move]]</f>
        <v>EVVMVVMVE02</v>
      </c>
    </row>
    <row r="4994" spans="2:9" x14ac:dyDescent="0.25">
      <c r="B4994" t="s">
        <v>769</v>
      </c>
      <c r="C4994" s="22" t="s">
        <v>29</v>
      </c>
      <c r="D4994">
        <v>2</v>
      </c>
      <c r="E4994">
        <v>1</v>
      </c>
      <c r="G4994" s="25">
        <f>Table132[[#This Row],[nb win]]/Table132[[#This Row],[nb play]]</f>
        <v>0.5</v>
      </c>
      <c r="H4994" t="str">
        <f>MID(Table132[[#This Row],[ÉTAT]],VALUE(RIGHT(Table132[[#This Row],[next move]],1))+1+VALUE(LEFT(Table132[[#This Row],[next move]],1))*3,1)</f>
        <v>V</v>
      </c>
      <c r="I4994" t="str">
        <f>Table132[[#This Row],[ÉTAT]]&amp;Table132[[#This Row],[next move]]</f>
        <v>EVVMVVMVE11</v>
      </c>
    </row>
    <row r="4995" spans="2:9" x14ac:dyDescent="0.25">
      <c r="B4995" t="s">
        <v>769</v>
      </c>
      <c r="C4995" s="22" t="s">
        <v>28</v>
      </c>
      <c r="D4995">
        <v>3</v>
      </c>
      <c r="G4995" s="30">
        <f>Table132[[#This Row],[nb win]]/Table132[[#This Row],[nb play]]</f>
        <v>0</v>
      </c>
      <c r="H4995" t="str">
        <f>MID(Table132[[#This Row],[ÉTAT]],VALUE(RIGHT(Table132[[#This Row],[next move]],1))+1+VALUE(LEFT(Table132[[#This Row],[next move]],1))*3,1)</f>
        <v>V</v>
      </c>
      <c r="I4995" t="str">
        <f>Table132[[#This Row],[ÉTAT]]&amp;Table132[[#This Row],[next move]]</f>
        <v>EVVMVVMVE12</v>
      </c>
    </row>
    <row r="4996" spans="2:9" x14ac:dyDescent="0.25">
      <c r="B4996" t="s">
        <v>769</v>
      </c>
      <c r="C4996" s="22" t="s">
        <v>22</v>
      </c>
      <c r="D4996">
        <v>3</v>
      </c>
      <c r="G4996" s="30">
        <f>Table132[[#This Row],[nb win]]/Table132[[#This Row],[nb play]]</f>
        <v>0</v>
      </c>
      <c r="H4996" t="str">
        <f>MID(Table132[[#This Row],[ÉTAT]],VALUE(RIGHT(Table132[[#This Row],[next move]],1))+1+VALUE(LEFT(Table132[[#This Row],[next move]],1))*3,1)</f>
        <v>V</v>
      </c>
      <c r="I4996" t="str">
        <f>Table132[[#This Row],[ÉTAT]]&amp;Table132[[#This Row],[next move]]</f>
        <v>EVVMVVMVE21</v>
      </c>
    </row>
    <row r="4997" spans="2:9" x14ac:dyDescent="0.25">
      <c r="B4997" t="s">
        <v>2310</v>
      </c>
      <c r="C4997" s="22" t="s">
        <v>20</v>
      </c>
      <c r="D4997">
        <v>3</v>
      </c>
      <c r="E4997">
        <v>2</v>
      </c>
      <c r="G4997" s="30">
        <f>Table132[[#This Row],[nb win]]/Table132[[#This Row],[nb play]]</f>
        <v>0.66666666666666663</v>
      </c>
      <c r="H4997" t="str">
        <f>MID(Table132[[#This Row],[ÉTAT]],VALUE(RIGHT(Table132[[#This Row],[next move]],1))+1+VALUE(LEFT(Table132[[#This Row],[next move]],1))*3,1)</f>
        <v>V</v>
      </c>
      <c r="I4997" t="str">
        <f>Table132[[#This Row],[ÉTAT]]&amp;Table132[[#This Row],[next move]]</f>
        <v>EVVMVVMEV02</v>
      </c>
    </row>
    <row r="4998" spans="2:9" x14ac:dyDescent="0.25">
      <c r="B4998" t="s">
        <v>350</v>
      </c>
      <c r="C4998" s="22" t="s">
        <v>26</v>
      </c>
      <c r="D4998">
        <v>2</v>
      </c>
      <c r="E4998">
        <v>1</v>
      </c>
      <c r="G4998" s="25">
        <f>Table132[[#This Row],[nb win]]/Table132[[#This Row],[nb play]]</f>
        <v>0.5</v>
      </c>
      <c r="H4998" t="str">
        <f>MID(Table132[[#This Row],[ÉTAT]],VALUE(RIGHT(Table132[[#This Row],[next move]],1))+1+VALUE(LEFT(Table132[[#This Row],[next move]],1))*3,1)</f>
        <v>V</v>
      </c>
      <c r="I4998" t="str">
        <f>Table132[[#This Row],[ÉTAT]]&amp;Table132[[#This Row],[next move]]</f>
        <v>EVVMVVEVV01</v>
      </c>
    </row>
    <row r="4999" spans="2:9" x14ac:dyDescent="0.25">
      <c r="B4999" t="s">
        <v>350</v>
      </c>
      <c r="C4999" s="22" t="s">
        <v>28</v>
      </c>
      <c r="D4999">
        <v>4</v>
      </c>
      <c r="E4999">
        <v>3</v>
      </c>
      <c r="G4999" s="30">
        <f>Table132[[#This Row],[nb win]]/Table132[[#This Row],[nb play]]</f>
        <v>0.75</v>
      </c>
      <c r="H4999" t="str">
        <f>MID(Table132[[#This Row],[ÉTAT]],VALUE(RIGHT(Table132[[#This Row],[next move]],1))+1+VALUE(LEFT(Table132[[#This Row],[next move]],1))*3,1)</f>
        <v>V</v>
      </c>
      <c r="I4999" t="str">
        <f>Table132[[#This Row],[ÉTAT]]&amp;Table132[[#This Row],[next move]]</f>
        <v>EVVMVVEVV12</v>
      </c>
    </row>
    <row r="5000" spans="2:9" x14ac:dyDescent="0.25">
      <c r="B5000" t="s">
        <v>350</v>
      </c>
      <c r="C5000" s="22" t="s">
        <v>22</v>
      </c>
      <c r="D5000">
        <v>5</v>
      </c>
      <c r="E5000">
        <v>2</v>
      </c>
      <c r="G5000" s="30">
        <f>Table132[[#This Row],[nb win]]/Table132[[#This Row],[nb play]]</f>
        <v>0.4</v>
      </c>
      <c r="H5000" t="str">
        <f>MID(Table132[[#This Row],[ÉTAT]],VALUE(RIGHT(Table132[[#This Row],[next move]],1))+1+VALUE(LEFT(Table132[[#This Row],[next move]],1))*3,1)</f>
        <v>V</v>
      </c>
      <c r="I5000" t="str">
        <f>Table132[[#This Row],[ÉTAT]]&amp;Table132[[#This Row],[next move]]</f>
        <v>EVVMVVEVV21</v>
      </c>
    </row>
    <row r="5001" spans="2:9" x14ac:dyDescent="0.25">
      <c r="B5001" t="s">
        <v>350</v>
      </c>
      <c r="C5001" s="22" t="s">
        <v>31</v>
      </c>
      <c r="D5001">
        <v>4</v>
      </c>
      <c r="E5001">
        <v>2</v>
      </c>
      <c r="G5001" s="30">
        <f>Table132[[#This Row],[nb win]]/Table132[[#This Row],[nb play]]</f>
        <v>0.5</v>
      </c>
      <c r="H5001" t="str">
        <f>MID(Table132[[#This Row],[ÉTAT]],VALUE(RIGHT(Table132[[#This Row],[next move]],1))+1+VALUE(LEFT(Table132[[#This Row],[next move]],1))*3,1)</f>
        <v>V</v>
      </c>
      <c r="I5001" t="str">
        <f>Table132[[#This Row],[ÉTAT]]&amp;Table132[[#This Row],[next move]]</f>
        <v>EVVMVVEVV22</v>
      </c>
    </row>
    <row r="5002" spans="2:9" x14ac:dyDescent="0.25">
      <c r="B5002" t="s">
        <v>3292</v>
      </c>
      <c r="C5002" s="22" t="s">
        <v>28</v>
      </c>
      <c r="D5002">
        <v>1</v>
      </c>
      <c r="E5002">
        <v>1</v>
      </c>
      <c r="G5002" s="31">
        <f>Table132[[#This Row],[nb win]]/Table132[[#This Row],[nb play]]</f>
        <v>1</v>
      </c>
      <c r="H5002" t="str">
        <f>MID(Table132[[#This Row],[ÉTAT]],VALUE(RIGHT(Table132[[#This Row],[next move]],1))+1+VALUE(LEFT(Table132[[#This Row],[next move]],1))*3,1)</f>
        <v>V</v>
      </c>
      <c r="I5002" t="str">
        <f>Table132[[#This Row],[ÉTAT]]&amp;Table132[[#This Row],[next move]]</f>
        <v>EVVMVVEVM12</v>
      </c>
    </row>
    <row r="5003" spans="2:9" x14ac:dyDescent="0.25">
      <c r="B5003" t="s">
        <v>902</v>
      </c>
      <c r="C5003" s="22" t="s">
        <v>20</v>
      </c>
      <c r="D5003">
        <v>1</v>
      </c>
      <c r="G5003" s="30">
        <f>Table132[[#This Row],[nb win]]/Table132[[#This Row],[nb play]]</f>
        <v>0</v>
      </c>
      <c r="H5003" t="str">
        <f>MID(Table132[[#This Row],[ÉTAT]],VALUE(RIGHT(Table132[[#This Row],[next move]],1))+1+VALUE(LEFT(Table132[[#This Row],[next move]],1))*3,1)</f>
        <v>V</v>
      </c>
      <c r="I5003" t="str">
        <f>Table132[[#This Row],[ÉTAT]]&amp;Table132[[#This Row],[next move]]</f>
        <v>EVVMVVEMV02</v>
      </c>
    </row>
    <row r="5004" spans="2:9" x14ac:dyDescent="0.25">
      <c r="B5004" t="s">
        <v>902</v>
      </c>
      <c r="C5004" s="22" t="s">
        <v>28</v>
      </c>
      <c r="D5004">
        <v>3</v>
      </c>
      <c r="E5004">
        <v>2</v>
      </c>
      <c r="G5004" s="25">
        <f>Table132[[#This Row],[nb win]]/Table132[[#This Row],[nb play]]</f>
        <v>0.66666666666666663</v>
      </c>
      <c r="H5004" t="str">
        <f>MID(Table132[[#This Row],[ÉTAT]],VALUE(RIGHT(Table132[[#This Row],[next move]],1))+1+VALUE(LEFT(Table132[[#This Row],[next move]],1))*3,1)</f>
        <v>V</v>
      </c>
      <c r="I5004" t="str">
        <f>Table132[[#This Row],[ÉTAT]]&amp;Table132[[#This Row],[next move]]</f>
        <v>EVVMVVEMV12</v>
      </c>
    </row>
    <row r="5005" spans="2:9" x14ac:dyDescent="0.25">
      <c r="B5005" t="s">
        <v>961</v>
      </c>
      <c r="C5005" s="22" t="s">
        <v>29</v>
      </c>
      <c r="D5005">
        <v>2</v>
      </c>
      <c r="E5005">
        <v>2</v>
      </c>
      <c r="G5005" s="31">
        <f>Table132[[#This Row],[nb win]]/Table132[[#This Row],[nb play]]</f>
        <v>1</v>
      </c>
      <c r="H5005" t="str">
        <f>MID(Table132[[#This Row],[ÉTAT]],VALUE(RIGHT(Table132[[#This Row],[next move]],1))+1+VALUE(LEFT(Table132[[#This Row],[next move]],1))*3,1)</f>
        <v>V</v>
      </c>
      <c r="I5005" t="str">
        <f>Table132[[#This Row],[ÉTAT]]&amp;Table132[[#This Row],[next move]]</f>
        <v>EVVMVVEME11</v>
      </c>
    </row>
    <row r="5006" spans="2:9" x14ac:dyDescent="0.25">
      <c r="B5006" t="s">
        <v>961</v>
      </c>
      <c r="C5006" s="22" t="s">
        <v>28</v>
      </c>
      <c r="D5006">
        <v>3</v>
      </c>
      <c r="G5006" s="30">
        <f>Table132[[#This Row],[nb win]]/Table132[[#This Row],[nb play]]</f>
        <v>0</v>
      </c>
      <c r="H5006" t="str">
        <f>MID(Table132[[#This Row],[ÉTAT]],VALUE(RIGHT(Table132[[#This Row],[next move]],1))+1+VALUE(LEFT(Table132[[#This Row],[next move]],1))*3,1)</f>
        <v>V</v>
      </c>
      <c r="I5006" t="str">
        <f>Table132[[#This Row],[ÉTAT]]&amp;Table132[[#This Row],[next move]]</f>
        <v>EVVMVVEME12</v>
      </c>
    </row>
    <row r="5007" spans="2:9" x14ac:dyDescent="0.25">
      <c r="B5007" t="s">
        <v>1834</v>
      </c>
      <c r="C5007" s="22" t="s">
        <v>29</v>
      </c>
      <c r="D5007">
        <v>1</v>
      </c>
      <c r="E5007">
        <v>1</v>
      </c>
      <c r="G5007" s="25">
        <f>Table132[[#This Row],[nb win]]/Table132[[#This Row],[nb play]]</f>
        <v>1</v>
      </c>
      <c r="H5007" t="str">
        <f>MID(Table132[[#This Row],[ÉTAT]],VALUE(RIGHT(Table132[[#This Row],[next move]],1))+1+VALUE(LEFT(Table132[[#This Row],[next move]],1))*3,1)</f>
        <v>V</v>
      </c>
      <c r="I5007" t="str">
        <f>Table132[[#This Row],[ÉTAT]]&amp;Table132[[#This Row],[next move]]</f>
        <v>EVVMVVEEM11</v>
      </c>
    </row>
    <row r="5008" spans="2:9" x14ac:dyDescent="0.25">
      <c r="B5008" t="s">
        <v>730</v>
      </c>
      <c r="C5008" s="22" t="s">
        <v>26</v>
      </c>
      <c r="D5008">
        <v>1</v>
      </c>
      <c r="G5008" s="30">
        <f>Table132[[#This Row],[nb win]]/Table132[[#This Row],[nb play]]</f>
        <v>0</v>
      </c>
      <c r="H5008" t="str">
        <f>MID(Table132[[#This Row],[ÉTAT]],VALUE(RIGHT(Table132[[#This Row],[next move]],1))+1+VALUE(LEFT(Table132[[#This Row],[next move]],1))*3,1)</f>
        <v>V</v>
      </c>
      <c r="I5008" t="str">
        <f>Table132[[#This Row],[ÉTAT]]&amp;Table132[[#This Row],[next move]]</f>
        <v>EVVMVMVVE01</v>
      </c>
    </row>
    <row r="5009" spans="2:9" x14ac:dyDescent="0.25">
      <c r="B5009" t="s">
        <v>730</v>
      </c>
      <c r="C5009" s="22" t="s">
        <v>35</v>
      </c>
      <c r="D5009">
        <v>3</v>
      </c>
      <c r="E5009">
        <v>2</v>
      </c>
      <c r="G5009" s="25">
        <f>Table132[[#This Row],[nb win]]/Table132[[#This Row],[nb play]]</f>
        <v>0.66666666666666663</v>
      </c>
      <c r="H5009" t="str">
        <f>MID(Table132[[#This Row],[ÉTAT]],VALUE(RIGHT(Table132[[#This Row],[next move]],1))+1+VALUE(LEFT(Table132[[#This Row],[next move]],1))*3,1)</f>
        <v>V</v>
      </c>
      <c r="I5009" t="str">
        <f>Table132[[#This Row],[ÉTAT]]&amp;Table132[[#This Row],[next move]]</f>
        <v>EVVMVMVVE20</v>
      </c>
    </row>
    <row r="5010" spans="2:9" x14ac:dyDescent="0.25">
      <c r="B5010" t="s">
        <v>102</v>
      </c>
      <c r="C5010" s="22" t="s">
        <v>26</v>
      </c>
      <c r="D5010">
        <v>2</v>
      </c>
      <c r="E5010">
        <v>2</v>
      </c>
      <c r="G5010" s="25">
        <f>Table132[[#This Row],[nb win]]/Table132[[#This Row],[nb play]]</f>
        <v>1</v>
      </c>
      <c r="H5010" t="str">
        <f>MID(Table132[[#This Row],[ÉTAT]],VALUE(RIGHT(Table132[[#This Row],[next move]],1))+1+VALUE(LEFT(Table132[[#This Row],[next move]],1))*3,1)</f>
        <v>V</v>
      </c>
      <c r="I5010" t="str">
        <f>Table132[[#This Row],[ÉTAT]]&amp;Table132[[#This Row],[next move]]</f>
        <v>EVVMVMVEV01</v>
      </c>
    </row>
    <row r="5011" spans="2:9" x14ac:dyDescent="0.25">
      <c r="B5011" t="s">
        <v>2767</v>
      </c>
      <c r="C5011" s="22" t="s">
        <v>29</v>
      </c>
      <c r="D5011">
        <v>2</v>
      </c>
      <c r="E5011">
        <v>2</v>
      </c>
      <c r="G5011" s="31">
        <f>Table132[[#This Row],[nb win]]/Table132[[#This Row],[nb play]]</f>
        <v>1</v>
      </c>
      <c r="H5011" t="str">
        <f>MID(Table132[[#This Row],[ÉTAT]],VALUE(RIGHT(Table132[[#This Row],[next move]],1))+1+VALUE(LEFT(Table132[[#This Row],[next move]],1))*3,1)</f>
        <v>V</v>
      </c>
      <c r="I5011" t="str">
        <f>Table132[[#This Row],[ÉTAT]]&amp;Table132[[#This Row],[next move]]</f>
        <v>EVVMVMMEE11</v>
      </c>
    </row>
    <row r="5012" spans="2:9" x14ac:dyDescent="0.25">
      <c r="B5012" t="s">
        <v>1091</v>
      </c>
      <c r="C5012" s="22" t="s">
        <v>29</v>
      </c>
      <c r="D5012">
        <v>20</v>
      </c>
      <c r="E5012">
        <v>20</v>
      </c>
      <c r="G5012" s="31">
        <f>Table132[[#This Row],[nb win]]/Table132[[#This Row],[nb play]]</f>
        <v>1</v>
      </c>
      <c r="H5012" t="str">
        <f>MID(Table132[[#This Row],[ÉTAT]],VALUE(RIGHT(Table132[[#This Row],[next move]],1))+1+VALUE(LEFT(Table132[[#This Row],[next move]],1))*3,1)</f>
        <v>V</v>
      </c>
      <c r="I5012" t="str">
        <f>Table132[[#This Row],[ÉTAT]]&amp;Table132[[#This Row],[next move]]</f>
        <v>EVVMVMEVV11</v>
      </c>
    </row>
    <row r="5013" spans="2:9" x14ac:dyDescent="0.25">
      <c r="B5013" t="s">
        <v>2469</v>
      </c>
      <c r="C5013" s="22" t="s">
        <v>26</v>
      </c>
      <c r="D5013">
        <v>2</v>
      </c>
      <c r="E5013">
        <v>2</v>
      </c>
      <c r="G5013" s="31">
        <f>Table132[[#This Row],[nb win]]/Table132[[#This Row],[nb play]]</f>
        <v>1</v>
      </c>
      <c r="H5013" t="str">
        <f>MID(Table132[[#This Row],[ÉTAT]],VALUE(RIGHT(Table132[[#This Row],[next move]],1))+1+VALUE(LEFT(Table132[[#This Row],[next move]],1))*3,1)</f>
        <v>V</v>
      </c>
      <c r="I5013" t="str">
        <f>Table132[[#This Row],[ÉTAT]]&amp;Table132[[#This Row],[next move]]</f>
        <v>EVVMVMEEV01</v>
      </c>
    </row>
    <row r="5014" spans="2:9" x14ac:dyDescent="0.25">
      <c r="B5014" t="s">
        <v>2273</v>
      </c>
      <c r="C5014" s="22" t="s">
        <v>20</v>
      </c>
      <c r="D5014">
        <v>2</v>
      </c>
      <c r="E5014">
        <v>2</v>
      </c>
      <c r="G5014" s="31">
        <f>Table132[[#This Row],[nb win]]/Table132[[#This Row],[nb play]]</f>
        <v>1</v>
      </c>
      <c r="H5014" t="str">
        <f>MID(Table132[[#This Row],[ÉTAT]],VALUE(RIGHT(Table132[[#This Row],[next move]],1))+1+VALUE(LEFT(Table132[[#This Row],[next move]],1))*3,1)</f>
        <v>V</v>
      </c>
      <c r="I5014" t="str">
        <f>Table132[[#This Row],[ÉTAT]]&amp;Table132[[#This Row],[next move]]</f>
        <v>EVVMVMEEM02</v>
      </c>
    </row>
    <row r="5015" spans="2:9" x14ac:dyDescent="0.25">
      <c r="B5015" t="s">
        <v>693</v>
      </c>
      <c r="C5015" s="22" t="s">
        <v>26</v>
      </c>
      <c r="D5015">
        <v>2</v>
      </c>
      <c r="E5015">
        <v>1</v>
      </c>
      <c r="G5015" s="30">
        <f>Table132[[#This Row],[nb win]]/Table132[[#This Row],[nb play]]</f>
        <v>0.5</v>
      </c>
      <c r="H5015" t="str">
        <f>MID(Table132[[#This Row],[ÉTAT]],VALUE(RIGHT(Table132[[#This Row],[next move]],1))+1+VALUE(LEFT(Table132[[#This Row],[next move]],1))*3,1)</f>
        <v>V</v>
      </c>
      <c r="I5015" t="str">
        <f>Table132[[#This Row],[ÉTAT]]&amp;Table132[[#This Row],[next move]]</f>
        <v>EVVMVEVMV01</v>
      </c>
    </row>
    <row r="5016" spans="2:9" x14ac:dyDescent="0.25">
      <c r="B5016" t="s">
        <v>693</v>
      </c>
      <c r="C5016" s="22" t="s">
        <v>29</v>
      </c>
      <c r="D5016">
        <v>1</v>
      </c>
      <c r="G5016" s="25">
        <f>Table132[[#This Row],[nb win]]/Table132[[#This Row],[nb play]]</f>
        <v>0</v>
      </c>
      <c r="H5016" t="str">
        <f>MID(Table132[[#This Row],[ÉTAT]],VALUE(RIGHT(Table132[[#This Row],[next move]],1))+1+VALUE(LEFT(Table132[[#This Row],[next move]],1))*3,1)</f>
        <v>V</v>
      </c>
      <c r="I5016" t="str">
        <f>Table132[[#This Row],[ÉTAT]]&amp;Table132[[#This Row],[next move]]</f>
        <v>EVVMVEVMV11</v>
      </c>
    </row>
    <row r="5017" spans="2:9" x14ac:dyDescent="0.25">
      <c r="B5017" t="s">
        <v>693</v>
      </c>
      <c r="C5017" s="22" t="s">
        <v>35</v>
      </c>
      <c r="D5017">
        <v>1</v>
      </c>
      <c r="G5017" s="25">
        <f>Table132[[#This Row],[nb win]]/Table132[[#This Row],[nb play]]</f>
        <v>0</v>
      </c>
      <c r="H5017" t="str">
        <f>MID(Table132[[#This Row],[ÉTAT]],VALUE(RIGHT(Table132[[#This Row],[next move]],1))+1+VALUE(LEFT(Table132[[#This Row],[next move]],1))*3,1)</f>
        <v>V</v>
      </c>
      <c r="I5017" t="str">
        <f>Table132[[#This Row],[ÉTAT]]&amp;Table132[[#This Row],[next move]]</f>
        <v>EVVMVEVMV20</v>
      </c>
    </row>
    <row r="5018" spans="2:9" x14ac:dyDescent="0.25">
      <c r="B5018" t="s">
        <v>3480</v>
      </c>
      <c r="C5018" s="22" t="s">
        <v>35</v>
      </c>
      <c r="D5018">
        <v>1</v>
      </c>
      <c r="G5018" s="30">
        <f>Table132[[#This Row],[nb win]]/Table132[[#This Row],[nb play]]</f>
        <v>0</v>
      </c>
      <c r="H5018" t="str">
        <f>MID(Table132[[#This Row],[ÉTAT]],VALUE(RIGHT(Table132[[#This Row],[next move]],1))+1+VALUE(LEFT(Table132[[#This Row],[next move]],1))*3,1)</f>
        <v>V</v>
      </c>
      <c r="I5018" t="str">
        <f>Table132[[#This Row],[ÉTAT]]&amp;Table132[[#This Row],[next move]]</f>
        <v>EVVMVEVEM20</v>
      </c>
    </row>
    <row r="5019" spans="2:9" x14ac:dyDescent="0.25">
      <c r="B5019" t="s">
        <v>2303</v>
      </c>
      <c r="C5019" s="22" t="s">
        <v>20</v>
      </c>
      <c r="D5019">
        <v>1</v>
      </c>
      <c r="E5019">
        <v>1</v>
      </c>
      <c r="G5019" s="25">
        <f>Table132[[#This Row],[nb win]]/Table132[[#This Row],[nb play]]</f>
        <v>1</v>
      </c>
      <c r="H5019" t="str">
        <f>MID(Table132[[#This Row],[ÉTAT]],VALUE(RIGHT(Table132[[#This Row],[next move]],1))+1+VALUE(LEFT(Table132[[#This Row],[next move]],1))*3,1)</f>
        <v>V</v>
      </c>
      <c r="I5019" t="str">
        <f>Table132[[#This Row],[ÉTAT]]&amp;Table132[[#This Row],[next move]]</f>
        <v>EVVMVEMVV02</v>
      </c>
    </row>
    <row r="5020" spans="2:9" x14ac:dyDescent="0.25">
      <c r="B5020" t="s">
        <v>2303</v>
      </c>
      <c r="C5020" s="22" t="s">
        <v>29</v>
      </c>
      <c r="D5020">
        <v>3</v>
      </c>
      <c r="E5020">
        <v>1</v>
      </c>
      <c r="G5020" s="30">
        <f>Table132[[#This Row],[nb win]]/Table132[[#This Row],[nb play]]</f>
        <v>0.33333333333333331</v>
      </c>
      <c r="H5020" t="str">
        <f>MID(Table132[[#This Row],[ÉTAT]],VALUE(RIGHT(Table132[[#This Row],[next move]],1))+1+VALUE(LEFT(Table132[[#This Row],[next move]],1))*3,1)</f>
        <v>V</v>
      </c>
      <c r="I5020" t="str">
        <f>Table132[[#This Row],[ÉTAT]]&amp;Table132[[#This Row],[next move]]</f>
        <v>EVVMVEMVV11</v>
      </c>
    </row>
    <row r="5021" spans="2:9" x14ac:dyDescent="0.25">
      <c r="B5021" t="s">
        <v>1324</v>
      </c>
      <c r="C5021" s="22" t="s">
        <v>20</v>
      </c>
      <c r="D5021">
        <v>2</v>
      </c>
      <c r="E5021">
        <v>1</v>
      </c>
      <c r="G5021" s="25">
        <f>Table132[[#This Row],[nb win]]/Table132[[#This Row],[nb play]]</f>
        <v>0.5</v>
      </c>
      <c r="H5021" t="str">
        <f>MID(Table132[[#This Row],[ÉTAT]],VALUE(RIGHT(Table132[[#This Row],[next move]],1))+1+VALUE(LEFT(Table132[[#This Row],[next move]],1))*3,1)</f>
        <v>V</v>
      </c>
      <c r="I5021" t="str">
        <f>Table132[[#This Row],[ÉTAT]]&amp;Table132[[#This Row],[next move]]</f>
        <v>EVVMVEMVE02</v>
      </c>
    </row>
    <row r="5022" spans="2:9" x14ac:dyDescent="0.25">
      <c r="B5022" t="s">
        <v>1324</v>
      </c>
      <c r="C5022" s="22" t="s">
        <v>29</v>
      </c>
      <c r="D5022">
        <v>1</v>
      </c>
      <c r="G5022" s="30">
        <f>Table132[[#This Row],[nb win]]/Table132[[#This Row],[nb play]]</f>
        <v>0</v>
      </c>
      <c r="H5022" t="str">
        <f>MID(Table132[[#This Row],[ÉTAT]],VALUE(RIGHT(Table132[[#This Row],[next move]],1))+1+VALUE(LEFT(Table132[[#This Row],[next move]],1))*3,1)</f>
        <v>V</v>
      </c>
      <c r="I5022" t="str">
        <f>Table132[[#This Row],[ÉTAT]]&amp;Table132[[#This Row],[next move]]</f>
        <v>EVVMVEMVE11</v>
      </c>
    </row>
    <row r="5023" spans="2:9" x14ac:dyDescent="0.25">
      <c r="B5023" t="s">
        <v>1324</v>
      </c>
      <c r="C5023" s="22" t="s">
        <v>22</v>
      </c>
      <c r="D5023">
        <v>1</v>
      </c>
      <c r="G5023" s="25">
        <f>Table132[[#This Row],[nb win]]/Table132[[#This Row],[nb play]]</f>
        <v>0</v>
      </c>
      <c r="H5023" t="str">
        <f>MID(Table132[[#This Row],[ÉTAT]],VALUE(RIGHT(Table132[[#This Row],[next move]],1))+1+VALUE(LEFT(Table132[[#This Row],[next move]],1))*3,1)</f>
        <v>V</v>
      </c>
      <c r="I5023" t="str">
        <f>Table132[[#This Row],[ÉTAT]]&amp;Table132[[#This Row],[next move]]</f>
        <v>EVVMVEMVE21</v>
      </c>
    </row>
    <row r="5024" spans="2:9" x14ac:dyDescent="0.25">
      <c r="B5024" t="s">
        <v>3496</v>
      </c>
      <c r="C5024" s="22" t="s">
        <v>26</v>
      </c>
      <c r="D5024">
        <v>1</v>
      </c>
      <c r="G5024" s="30">
        <f>Table132[[#This Row],[nb win]]/Table132[[#This Row],[nb play]]</f>
        <v>0</v>
      </c>
      <c r="H5024" t="str">
        <f>MID(Table132[[#This Row],[ÉTAT]],VALUE(RIGHT(Table132[[#This Row],[next move]],1))+1+VALUE(LEFT(Table132[[#This Row],[next move]],1))*3,1)</f>
        <v>V</v>
      </c>
      <c r="I5024" t="str">
        <f>Table132[[#This Row],[ÉTAT]]&amp;Table132[[#This Row],[next move]]</f>
        <v>EVVMVEMME01</v>
      </c>
    </row>
    <row r="5025" spans="2:9" x14ac:dyDescent="0.25">
      <c r="B5025" t="s">
        <v>1844</v>
      </c>
      <c r="C5025" s="22" t="s">
        <v>22</v>
      </c>
      <c r="D5025">
        <v>1</v>
      </c>
      <c r="G5025" s="25">
        <f>Table132[[#This Row],[nb win]]/Table132[[#This Row],[nb play]]</f>
        <v>0</v>
      </c>
      <c r="H5025" t="str">
        <f>MID(Table132[[#This Row],[ÉTAT]],VALUE(RIGHT(Table132[[#This Row],[next move]],1))+1+VALUE(LEFT(Table132[[#This Row],[next move]],1))*3,1)</f>
        <v>V</v>
      </c>
      <c r="I5025" t="str">
        <f>Table132[[#This Row],[ÉTAT]]&amp;Table132[[#This Row],[next move]]</f>
        <v>EVVMVEEVM21</v>
      </c>
    </row>
    <row r="5026" spans="2:9" x14ac:dyDescent="0.25">
      <c r="B5026" t="s">
        <v>1653</v>
      </c>
      <c r="C5026" s="22" t="s">
        <v>28</v>
      </c>
      <c r="D5026">
        <v>6</v>
      </c>
      <c r="E5026">
        <v>6</v>
      </c>
      <c r="G5026" s="31">
        <f>Table132[[#This Row],[nb win]]/Table132[[#This Row],[nb play]]</f>
        <v>1</v>
      </c>
      <c r="H5026" t="str">
        <f>MID(Table132[[#This Row],[ÉTAT]],VALUE(RIGHT(Table132[[#This Row],[next move]],1))+1+VALUE(LEFT(Table132[[#This Row],[next move]],1))*3,1)</f>
        <v>V</v>
      </c>
      <c r="I5026" t="str">
        <f>Table132[[#This Row],[ÉTAT]]&amp;Table132[[#This Row],[next move]]</f>
        <v>EVVMMVVVE12</v>
      </c>
    </row>
    <row r="5027" spans="2:9" x14ac:dyDescent="0.25">
      <c r="B5027" t="s">
        <v>155</v>
      </c>
      <c r="C5027" s="22" t="s">
        <v>26</v>
      </c>
      <c r="D5027">
        <v>3</v>
      </c>
      <c r="E5027">
        <v>2</v>
      </c>
      <c r="G5027" s="31">
        <f>Table132[[#This Row],[nb win]]/Table132[[#This Row],[nb play]]</f>
        <v>0.66666666666666663</v>
      </c>
      <c r="H5027" t="str">
        <f>MID(Table132[[#This Row],[ÉTAT]],VALUE(RIGHT(Table132[[#This Row],[next move]],1))+1+VALUE(LEFT(Table132[[#This Row],[next move]],1))*3,1)</f>
        <v>V</v>
      </c>
      <c r="I5027" t="str">
        <f>Table132[[#This Row],[ÉTAT]]&amp;Table132[[#This Row],[next move]]</f>
        <v>EVVMMVVEV01</v>
      </c>
    </row>
    <row r="5028" spans="2:9" x14ac:dyDescent="0.25">
      <c r="B5028" t="s">
        <v>155</v>
      </c>
      <c r="C5028" s="22" t="s">
        <v>20</v>
      </c>
      <c r="D5028">
        <v>3</v>
      </c>
      <c r="E5028">
        <v>2</v>
      </c>
      <c r="G5028" s="30">
        <f>Table132[[#This Row],[nb win]]/Table132[[#This Row],[nb play]]</f>
        <v>0.66666666666666663</v>
      </c>
      <c r="H5028" t="str">
        <f>MID(Table132[[#This Row],[ÉTAT]],VALUE(RIGHT(Table132[[#This Row],[next move]],1))+1+VALUE(LEFT(Table132[[#This Row],[next move]],1))*3,1)</f>
        <v>V</v>
      </c>
      <c r="I5028" t="str">
        <f>Table132[[#This Row],[ÉTAT]]&amp;Table132[[#This Row],[next move]]</f>
        <v>EVVMMVVEV02</v>
      </c>
    </row>
    <row r="5029" spans="2:9" x14ac:dyDescent="0.25">
      <c r="B5029" t="s">
        <v>155</v>
      </c>
      <c r="C5029" s="22" t="s">
        <v>35</v>
      </c>
      <c r="D5029">
        <v>2</v>
      </c>
      <c r="E5029">
        <v>2</v>
      </c>
      <c r="G5029" s="31">
        <f>Table132[[#This Row],[nb win]]/Table132[[#This Row],[nb play]]</f>
        <v>1</v>
      </c>
      <c r="H5029" t="str">
        <f>MID(Table132[[#This Row],[ÉTAT]],VALUE(RIGHT(Table132[[#This Row],[next move]],1))+1+VALUE(LEFT(Table132[[#This Row],[next move]],1))*3,1)</f>
        <v>V</v>
      </c>
      <c r="I5029" t="str">
        <f>Table132[[#This Row],[ÉTAT]]&amp;Table132[[#This Row],[next move]]</f>
        <v>EVVMMVVEV20</v>
      </c>
    </row>
    <row r="5030" spans="2:9" x14ac:dyDescent="0.25">
      <c r="B5030" t="s">
        <v>155</v>
      </c>
      <c r="C5030" s="22" t="s">
        <v>31</v>
      </c>
      <c r="D5030">
        <v>3</v>
      </c>
      <c r="E5030">
        <v>2</v>
      </c>
      <c r="G5030" s="25">
        <f>Table132[[#This Row],[nb win]]/Table132[[#This Row],[nb play]]</f>
        <v>0.66666666666666663</v>
      </c>
      <c r="H5030" t="str">
        <f>MID(Table132[[#This Row],[ÉTAT]],VALUE(RIGHT(Table132[[#This Row],[next move]],1))+1+VALUE(LEFT(Table132[[#This Row],[next move]],1))*3,1)</f>
        <v>V</v>
      </c>
      <c r="I5030" t="str">
        <f>Table132[[#This Row],[ÉTAT]]&amp;Table132[[#This Row],[next move]]</f>
        <v>EVVMMVVEV22</v>
      </c>
    </row>
    <row r="5031" spans="2:9" x14ac:dyDescent="0.25">
      <c r="B5031" t="s">
        <v>2432</v>
      </c>
      <c r="C5031" s="22" t="s">
        <v>35</v>
      </c>
      <c r="D5031">
        <v>1</v>
      </c>
      <c r="E5031">
        <v>1</v>
      </c>
      <c r="G5031" s="25">
        <f>Table132[[#This Row],[nb win]]/Table132[[#This Row],[nb play]]</f>
        <v>1</v>
      </c>
      <c r="H5031" t="str">
        <f>MID(Table132[[#This Row],[ÉTAT]],VALUE(RIGHT(Table132[[#This Row],[next move]],1))+1+VALUE(LEFT(Table132[[#This Row],[next move]],1))*3,1)</f>
        <v>V</v>
      </c>
      <c r="I5031" t="str">
        <f>Table132[[#This Row],[ÉTAT]]&amp;Table132[[#This Row],[next move]]</f>
        <v>EVVMMVVEE20</v>
      </c>
    </row>
    <row r="5032" spans="2:9" x14ac:dyDescent="0.25">
      <c r="B5032" t="s">
        <v>144</v>
      </c>
      <c r="C5032" s="22" t="s">
        <v>28</v>
      </c>
      <c r="D5032">
        <v>3</v>
      </c>
      <c r="E5032">
        <v>3</v>
      </c>
      <c r="G5032" s="31">
        <f>Table132[[#This Row],[nb win]]/Table132[[#This Row],[nb play]]</f>
        <v>1</v>
      </c>
      <c r="H5032" t="str">
        <f>MID(Table132[[#This Row],[ÉTAT]],VALUE(RIGHT(Table132[[#This Row],[next move]],1))+1+VALUE(LEFT(Table132[[#This Row],[next move]],1))*3,1)</f>
        <v>V</v>
      </c>
      <c r="I5032" t="str">
        <f>Table132[[#This Row],[ÉTAT]]&amp;Table132[[#This Row],[next move]]</f>
        <v>EVVMMVMEE12</v>
      </c>
    </row>
    <row r="5033" spans="2:9" x14ac:dyDescent="0.25">
      <c r="B5033" t="s">
        <v>2553</v>
      </c>
      <c r="C5033" s="22" t="s">
        <v>26</v>
      </c>
      <c r="D5033">
        <v>5</v>
      </c>
      <c r="E5033">
        <v>5</v>
      </c>
      <c r="G5033" s="31">
        <f>Table132[[#This Row],[nb win]]/Table132[[#This Row],[nb play]]</f>
        <v>1</v>
      </c>
      <c r="H5033" t="str">
        <f>MID(Table132[[#This Row],[ÉTAT]],VALUE(RIGHT(Table132[[#This Row],[next move]],1))+1+VALUE(LEFT(Table132[[#This Row],[next move]],1))*3,1)</f>
        <v>V</v>
      </c>
      <c r="I5033" t="str">
        <f>Table132[[#This Row],[ÉTAT]]&amp;Table132[[#This Row],[next move]]</f>
        <v>EVVMMVEVV01</v>
      </c>
    </row>
    <row r="5034" spans="2:9" x14ac:dyDescent="0.25">
      <c r="B5034" t="s">
        <v>1900</v>
      </c>
      <c r="C5034" s="22" t="s">
        <v>28</v>
      </c>
      <c r="D5034">
        <v>1</v>
      </c>
      <c r="E5034">
        <v>1</v>
      </c>
      <c r="G5034" s="25">
        <f>Table132[[#This Row],[nb win]]/Table132[[#This Row],[nb play]]</f>
        <v>1</v>
      </c>
      <c r="H5034" t="str">
        <f>MID(Table132[[#This Row],[ÉTAT]],VALUE(RIGHT(Table132[[#This Row],[next move]],1))+1+VALUE(LEFT(Table132[[#This Row],[next move]],1))*3,1)</f>
        <v>V</v>
      </c>
      <c r="I5034" t="str">
        <f>Table132[[#This Row],[ÉTAT]]&amp;Table132[[#This Row],[next move]]</f>
        <v>EVVMMVEVE12</v>
      </c>
    </row>
    <row r="5035" spans="2:9" x14ac:dyDescent="0.25">
      <c r="B5035" t="s">
        <v>3101</v>
      </c>
      <c r="C5035" s="22" t="s">
        <v>20</v>
      </c>
      <c r="D5035">
        <v>1</v>
      </c>
      <c r="E5035">
        <v>1</v>
      </c>
      <c r="G5035" s="31">
        <f>Table132[[#This Row],[nb win]]/Table132[[#This Row],[nb play]]</f>
        <v>1</v>
      </c>
      <c r="H5035" t="str">
        <f>MID(Table132[[#This Row],[ÉTAT]],VALUE(RIGHT(Table132[[#This Row],[next move]],1))+1+VALUE(LEFT(Table132[[#This Row],[next move]],1))*3,1)</f>
        <v>V</v>
      </c>
      <c r="I5035" t="str">
        <f>Table132[[#This Row],[ÉTAT]]&amp;Table132[[#This Row],[next move]]</f>
        <v>EVVMMVEME02</v>
      </c>
    </row>
    <row r="5036" spans="2:9" x14ac:dyDescent="0.25">
      <c r="B5036" t="s">
        <v>2274</v>
      </c>
      <c r="C5036" s="22" t="s">
        <v>28</v>
      </c>
      <c r="D5036">
        <v>2</v>
      </c>
      <c r="E5036">
        <v>2</v>
      </c>
      <c r="G5036" s="31">
        <f>Table132[[#This Row],[nb win]]/Table132[[#This Row],[nb play]]</f>
        <v>1</v>
      </c>
      <c r="H5036" t="str">
        <f>MID(Table132[[#This Row],[ÉTAT]],VALUE(RIGHT(Table132[[#This Row],[next move]],1))+1+VALUE(LEFT(Table132[[#This Row],[next move]],1))*3,1)</f>
        <v>V</v>
      </c>
      <c r="I5036" t="str">
        <f>Table132[[#This Row],[ÉTAT]]&amp;Table132[[#This Row],[next move]]</f>
        <v>EVVMMVEEV12</v>
      </c>
    </row>
    <row r="5037" spans="2:9" x14ac:dyDescent="0.25">
      <c r="B5037" t="s">
        <v>2186</v>
      </c>
      <c r="C5037" s="22" t="s">
        <v>26</v>
      </c>
      <c r="D5037">
        <v>1</v>
      </c>
      <c r="E5037">
        <v>1</v>
      </c>
      <c r="G5037" s="25">
        <f>Table132[[#This Row],[nb win]]/Table132[[#This Row],[nb play]]</f>
        <v>1</v>
      </c>
      <c r="H5037" t="str">
        <f>MID(Table132[[#This Row],[ÉTAT]],VALUE(RIGHT(Table132[[#This Row],[next move]],1))+1+VALUE(LEFT(Table132[[#This Row],[next move]],1))*3,1)</f>
        <v>V</v>
      </c>
      <c r="I5037" t="str">
        <f>Table132[[#This Row],[ÉTAT]]&amp;Table132[[#This Row],[next move]]</f>
        <v>EVVMMVEEM01</v>
      </c>
    </row>
    <row r="5038" spans="2:9" x14ac:dyDescent="0.25">
      <c r="B5038" t="s">
        <v>1304</v>
      </c>
      <c r="C5038" s="22" t="s">
        <v>26</v>
      </c>
      <c r="D5038">
        <v>3</v>
      </c>
      <c r="E5038">
        <v>2</v>
      </c>
      <c r="G5038" s="31">
        <f>Table132[[#This Row],[nb win]]/Table132[[#This Row],[nb play]]</f>
        <v>0.66666666666666663</v>
      </c>
      <c r="H5038" t="str">
        <f>MID(Table132[[#This Row],[ÉTAT]],VALUE(RIGHT(Table132[[#This Row],[next move]],1))+1+VALUE(LEFT(Table132[[#This Row],[next move]],1))*3,1)</f>
        <v>V</v>
      </c>
      <c r="I5038" t="str">
        <f>Table132[[#This Row],[ÉTAT]]&amp;Table132[[#This Row],[next move]]</f>
        <v>EVVMMEVVV01</v>
      </c>
    </row>
    <row r="5039" spans="2:9" x14ac:dyDescent="0.25">
      <c r="B5039" t="s">
        <v>1304</v>
      </c>
      <c r="C5039" s="22" t="s">
        <v>20</v>
      </c>
      <c r="D5039">
        <v>7</v>
      </c>
      <c r="E5039">
        <v>7</v>
      </c>
      <c r="G5039" s="25">
        <f>Table132[[#This Row],[nb win]]/Table132[[#This Row],[nb play]]</f>
        <v>1</v>
      </c>
      <c r="H5039" t="str">
        <f>MID(Table132[[#This Row],[ÉTAT]],VALUE(RIGHT(Table132[[#This Row],[next move]],1))+1+VALUE(LEFT(Table132[[#This Row],[next move]],1))*3,1)</f>
        <v>V</v>
      </c>
      <c r="I5039" t="str">
        <f>Table132[[#This Row],[ÉTAT]]&amp;Table132[[#This Row],[next move]]</f>
        <v>EVVMMEVVV02</v>
      </c>
    </row>
    <row r="5040" spans="2:9" x14ac:dyDescent="0.25">
      <c r="B5040" t="s">
        <v>1304</v>
      </c>
      <c r="C5040" s="22" t="s">
        <v>35</v>
      </c>
      <c r="D5040">
        <v>1</v>
      </c>
      <c r="G5040" s="25">
        <f>Table132[[#This Row],[nb win]]/Table132[[#This Row],[nb play]]</f>
        <v>0</v>
      </c>
      <c r="H5040" t="str">
        <f>MID(Table132[[#This Row],[ÉTAT]],VALUE(RIGHT(Table132[[#This Row],[next move]],1))+1+VALUE(LEFT(Table132[[#This Row],[next move]],1))*3,1)</f>
        <v>V</v>
      </c>
      <c r="I5040" t="str">
        <f>Table132[[#This Row],[ÉTAT]]&amp;Table132[[#This Row],[next move]]</f>
        <v>EVVMMEVVV20</v>
      </c>
    </row>
    <row r="5041" spans="2:9" x14ac:dyDescent="0.25">
      <c r="B5041" t="s">
        <v>1304</v>
      </c>
      <c r="C5041" s="22" t="s">
        <v>22</v>
      </c>
      <c r="D5041">
        <v>1</v>
      </c>
      <c r="G5041" s="25">
        <f>Table132[[#This Row],[nb win]]/Table132[[#This Row],[nb play]]</f>
        <v>0</v>
      </c>
      <c r="H5041" t="str">
        <f>MID(Table132[[#This Row],[ÉTAT]],VALUE(RIGHT(Table132[[#This Row],[next move]],1))+1+VALUE(LEFT(Table132[[#This Row],[next move]],1))*3,1)</f>
        <v>V</v>
      </c>
      <c r="I5041" t="str">
        <f>Table132[[#This Row],[ÉTAT]]&amp;Table132[[#This Row],[next move]]</f>
        <v>EVVMMEVVV21</v>
      </c>
    </row>
    <row r="5042" spans="2:9" x14ac:dyDescent="0.25">
      <c r="B5042" t="s">
        <v>232</v>
      </c>
      <c r="C5042" s="22" t="s">
        <v>20</v>
      </c>
      <c r="D5042">
        <v>1</v>
      </c>
      <c r="E5042">
        <v>1</v>
      </c>
      <c r="G5042" s="25">
        <f>Table132[[#This Row],[nb win]]/Table132[[#This Row],[nb play]]</f>
        <v>1</v>
      </c>
      <c r="H5042" t="str">
        <f>MID(Table132[[#This Row],[ÉTAT]],VALUE(RIGHT(Table132[[#This Row],[next move]],1))+1+VALUE(LEFT(Table132[[#This Row],[next move]],1))*3,1)</f>
        <v>V</v>
      </c>
      <c r="I5042" t="str">
        <f>Table132[[#This Row],[ÉTAT]]&amp;Table132[[#This Row],[next move]]</f>
        <v>EVVMMEVVE02</v>
      </c>
    </row>
    <row r="5043" spans="2:9" x14ac:dyDescent="0.25">
      <c r="B5043" t="s">
        <v>1467</v>
      </c>
      <c r="C5043" s="22" t="s">
        <v>26</v>
      </c>
      <c r="D5043">
        <v>1</v>
      </c>
      <c r="E5043">
        <v>1</v>
      </c>
      <c r="G5043" s="25">
        <f>Table132[[#This Row],[nb win]]/Table132[[#This Row],[nb play]]</f>
        <v>1</v>
      </c>
      <c r="H5043" t="str">
        <f>MID(Table132[[#This Row],[ÉTAT]],VALUE(RIGHT(Table132[[#This Row],[next move]],1))+1+VALUE(LEFT(Table132[[#This Row],[next move]],1))*3,1)</f>
        <v>V</v>
      </c>
      <c r="I5043" t="str">
        <f>Table132[[#This Row],[ÉTAT]]&amp;Table132[[#This Row],[next move]]</f>
        <v>EVVMMEVME01</v>
      </c>
    </row>
    <row r="5044" spans="2:9" x14ac:dyDescent="0.25">
      <c r="B5044" t="s">
        <v>1945</v>
      </c>
      <c r="C5044" s="22" t="s">
        <v>26</v>
      </c>
      <c r="D5044">
        <v>1</v>
      </c>
      <c r="G5044" s="25">
        <f>Table132[[#This Row],[nb win]]/Table132[[#This Row],[nb play]]</f>
        <v>0</v>
      </c>
      <c r="H5044" t="str">
        <f>MID(Table132[[#This Row],[ÉTAT]],VALUE(RIGHT(Table132[[#This Row],[next move]],1))+1+VALUE(LEFT(Table132[[#This Row],[next move]],1))*3,1)</f>
        <v>V</v>
      </c>
      <c r="I5044" t="str">
        <f>Table132[[#This Row],[ÉTAT]]&amp;Table132[[#This Row],[next move]]</f>
        <v>EVVMMEVEV01</v>
      </c>
    </row>
    <row r="5045" spans="2:9" x14ac:dyDescent="0.25">
      <c r="B5045" t="s">
        <v>2645</v>
      </c>
      <c r="C5045" s="22" t="s">
        <v>35</v>
      </c>
      <c r="D5045">
        <v>1</v>
      </c>
      <c r="E5045">
        <v>1</v>
      </c>
      <c r="G5045" s="25">
        <f>Table132[[#This Row],[nb win]]/Table132[[#This Row],[nb play]]</f>
        <v>1</v>
      </c>
      <c r="H5045" t="str">
        <f>MID(Table132[[#This Row],[ÉTAT]],VALUE(RIGHT(Table132[[#This Row],[next move]],1))+1+VALUE(LEFT(Table132[[#This Row],[next move]],1))*3,1)</f>
        <v>V</v>
      </c>
      <c r="I5045" t="str">
        <f>Table132[[#This Row],[ÉTAT]]&amp;Table132[[#This Row],[next move]]</f>
        <v>EVVMMEVEM20</v>
      </c>
    </row>
    <row r="5046" spans="2:9" x14ac:dyDescent="0.25">
      <c r="B5046" t="s">
        <v>2030</v>
      </c>
      <c r="C5046" s="22" t="s">
        <v>26</v>
      </c>
      <c r="D5046">
        <v>2</v>
      </c>
      <c r="G5046" s="30">
        <f>Table132[[#This Row],[nb win]]/Table132[[#This Row],[nb play]]</f>
        <v>0</v>
      </c>
      <c r="H5046" t="str">
        <f>MID(Table132[[#This Row],[ÉTAT]],VALUE(RIGHT(Table132[[#This Row],[next move]],1))+1+VALUE(LEFT(Table132[[#This Row],[next move]],1))*3,1)</f>
        <v>V</v>
      </c>
      <c r="I5046" t="str">
        <f>Table132[[#This Row],[ÉTAT]]&amp;Table132[[#This Row],[next move]]</f>
        <v>EVVMMEMVE01</v>
      </c>
    </row>
    <row r="5047" spans="2:9" x14ac:dyDescent="0.25">
      <c r="B5047" t="s">
        <v>2030</v>
      </c>
      <c r="C5047" s="22" t="s">
        <v>22</v>
      </c>
      <c r="D5047">
        <v>1</v>
      </c>
      <c r="E5047">
        <v>1</v>
      </c>
      <c r="G5047" s="25">
        <f>Table132[[#This Row],[nb win]]/Table132[[#This Row],[nb play]]</f>
        <v>1</v>
      </c>
      <c r="H5047" t="str">
        <f>MID(Table132[[#This Row],[ÉTAT]],VALUE(RIGHT(Table132[[#This Row],[next move]],1))+1+VALUE(LEFT(Table132[[#This Row],[next move]],1))*3,1)</f>
        <v>V</v>
      </c>
      <c r="I5047" t="str">
        <f>Table132[[#This Row],[ÉTAT]]&amp;Table132[[#This Row],[next move]]</f>
        <v>EVVMMEMVE21</v>
      </c>
    </row>
    <row r="5048" spans="2:9" x14ac:dyDescent="0.25">
      <c r="B5048" t="s">
        <v>158</v>
      </c>
      <c r="C5048" s="22" t="s">
        <v>26</v>
      </c>
      <c r="D5048">
        <v>1</v>
      </c>
      <c r="E5048">
        <v>1</v>
      </c>
      <c r="G5048" s="25">
        <f>Table132[[#This Row],[nb win]]/Table132[[#This Row],[nb play]]</f>
        <v>1</v>
      </c>
      <c r="H5048" t="str">
        <f>MID(Table132[[#This Row],[ÉTAT]],VALUE(RIGHT(Table132[[#This Row],[next move]],1))+1+VALUE(LEFT(Table132[[#This Row],[next move]],1))*3,1)</f>
        <v>V</v>
      </c>
      <c r="I5048" t="str">
        <f>Table132[[#This Row],[ÉTAT]]&amp;Table132[[#This Row],[next move]]</f>
        <v>EVVMMEMEV01</v>
      </c>
    </row>
    <row r="5049" spans="2:9" x14ac:dyDescent="0.25">
      <c r="B5049" t="s">
        <v>3385</v>
      </c>
      <c r="C5049" s="22" t="s">
        <v>26</v>
      </c>
      <c r="D5049">
        <v>1</v>
      </c>
      <c r="G5049" s="30">
        <f>Table132[[#This Row],[nb win]]/Table132[[#This Row],[nb play]]</f>
        <v>0</v>
      </c>
      <c r="H5049" t="str">
        <f>MID(Table132[[#This Row],[ÉTAT]],VALUE(RIGHT(Table132[[#This Row],[next move]],1))+1+VALUE(LEFT(Table132[[#This Row],[next move]],1))*3,1)</f>
        <v>V</v>
      </c>
      <c r="I5049" t="str">
        <f>Table132[[#This Row],[ÉTAT]]&amp;Table132[[#This Row],[next move]]</f>
        <v>EVVMMEMEE01</v>
      </c>
    </row>
    <row r="5050" spans="2:9" x14ac:dyDescent="0.25">
      <c r="B5050" t="s">
        <v>2074</v>
      </c>
      <c r="C5050" s="22" t="s">
        <v>22</v>
      </c>
      <c r="D5050">
        <v>1</v>
      </c>
      <c r="E5050">
        <v>1</v>
      </c>
      <c r="G5050" s="25">
        <f>Table132[[#This Row],[nb win]]/Table132[[#This Row],[nb play]]</f>
        <v>1</v>
      </c>
      <c r="H5050" t="str">
        <f>MID(Table132[[#This Row],[ÉTAT]],VALUE(RIGHT(Table132[[#This Row],[next move]],1))+1+VALUE(LEFT(Table132[[#This Row],[next move]],1))*3,1)</f>
        <v>V</v>
      </c>
      <c r="I5050" t="str">
        <f>Table132[[#This Row],[ÉTAT]]&amp;Table132[[#This Row],[next move]]</f>
        <v>EVVMMEEVM21</v>
      </c>
    </row>
    <row r="5051" spans="2:9" x14ac:dyDescent="0.25">
      <c r="B5051" t="s">
        <v>87</v>
      </c>
      <c r="C5051" s="22" t="s">
        <v>26</v>
      </c>
      <c r="D5051">
        <v>6</v>
      </c>
      <c r="G5051" s="30">
        <f>Table132[[#This Row],[nb win]]/Table132[[#This Row],[nb play]]</f>
        <v>0</v>
      </c>
      <c r="H5051" t="str">
        <f>MID(Table132[[#This Row],[ÉTAT]],VALUE(RIGHT(Table132[[#This Row],[next move]],1))+1+VALUE(LEFT(Table132[[#This Row],[next move]],1))*3,1)</f>
        <v>V</v>
      </c>
      <c r="I5051" t="str">
        <f>Table132[[#This Row],[ÉTAT]]&amp;Table132[[#This Row],[next move]]</f>
        <v>EVVMEVVVV01</v>
      </c>
    </row>
    <row r="5052" spans="2:9" x14ac:dyDescent="0.25">
      <c r="B5052" t="s">
        <v>87</v>
      </c>
      <c r="C5052" s="22" t="s">
        <v>20</v>
      </c>
      <c r="D5052">
        <v>2</v>
      </c>
      <c r="G5052" s="25">
        <f>Table132[[#This Row],[nb win]]/Table132[[#This Row],[nb play]]</f>
        <v>0</v>
      </c>
      <c r="H5052" t="str">
        <f>MID(Table132[[#This Row],[ÉTAT]],VALUE(RIGHT(Table132[[#This Row],[next move]],1))+1+VALUE(LEFT(Table132[[#This Row],[next move]],1))*3,1)</f>
        <v>V</v>
      </c>
      <c r="I5052" t="str">
        <f>Table132[[#This Row],[ÉTAT]]&amp;Table132[[#This Row],[next move]]</f>
        <v>EVVMEVVVV02</v>
      </c>
    </row>
    <row r="5053" spans="2:9" x14ac:dyDescent="0.25">
      <c r="B5053" t="s">
        <v>87</v>
      </c>
      <c r="C5053" s="22" t="s">
        <v>28</v>
      </c>
      <c r="D5053">
        <v>6</v>
      </c>
      <c r="G5053" s="30">
        <f>Table132[[#This Row],[nb win]]/Table132[[#This Row],[nb play]]</f>
        <v>0</v>
      </c>
      <c r="H5053" t="str">
        <f>MID(Table132[[#This Row],[ÉTAT]],VALUE(RIGHT(Table132[[#This Row],[next move]],1))+1+VALUE(LEFT(Table132[[#This Row],[next move]],1))*3,1)</f>
        <v>V</v>
      </c>
      <c r="I5053" t="str">
        <f>Table132[[#This Row],[ÉTAT]]&amp;Table132[[#This Row],[next move]]</f>
        <v>EVVMEVVVV12</v>
      </c>
    </row>
    <row r="5054" spans="2:9" x14ac:dyDescent="0.25">
      <c r="B5054" t="s">
        <v>87</v>
      </c>
      <c r="C5054" s="22" t="s">
        <v>35</v>
      </c>
      <c r="D5054">
        <v>7</v>
      </c>
      <c r="G5054" s="30">
        <f>Table132[[#This Row],[nb win]]/Table132[[#This Row],[nb play]]</f>
        <v>0</v>
      </c>
      <c r="H5054" t="str">
        <f>MID(Table132[[#This Row],[ÉTAT]],VALUE(RIGHT(Table132[[#This Row],[next move]],1))+1+VALUE(LEFT(Table132[[#This Row],[next move]],1))*3,1)</f>
        <v>V</v>
      </c>
      <c r="I5054" t="str">
        <f>Table132[[#This Row],[ÉTAT]]&amp;Table132[[#This Row],[next move]]</f>
        <v>EVVMEVVVV20</v>
      </c>
    </row>
    <row r="5055" spans="2:9" x14ac:dyDescent="0.25">
      <c r="B5055" t="s">
        <v>87</v>
      </c>
      <c r="C5055" s="22" t="s">
        <v>22</v>
      </c>
      <c r="D5055">
        <v>10</v>
      </c>
      <c r="G5055" s="30">
        <f>Table132[[#This Row],[nb win]]/Table132[[#This Row],[nb play]]</f>
        <v>0</v>
      </c>
      <c r="H5055" t="str">
        <f>MID(Table132[[#This Row],[ÉTAT]],VALUE(RIGHT(Table132[[#This Row],[next move]],1))+1+VALUE(LEFT(Table132[[#This Row],[next move]],1))*3,1)</f>
        <v>V</v>
      </c>
      <c r="I5055" t="str">
        <f>Table132[[#This Row],[ÉTAT]]&amp;Table132[[#This Row],[next move]]</f>
        <v>EVVMEVVVV21</v>
      </c>
    </row>
    <row r="5056" spans="2:9" x14ac:dyDescent="0.25">
      <c r="B5056" t="s">
        <v>87</v>
      </c>
      <c r="C5056" s="22" t="s">
        <v>31</v>
      </c>
      <c r="D5056">
        <v>5</v>
      </c>
      <c r="E5056">
        <v>1</v>
      </c>
      <c r="G5056" s="30">
        <f>Table132[[#This Row],[nb win]]/Table132[[#This Row],[nb play]]</f>
        <v>0.2</v>
      </c>
      <c r="H5056" t="str">
        <f>MID(Table132[[#This Row],[ÉTAT]],VALUE(RIGHT(Table132[[#This Row],[next move]],1))+1+VALUE(LEFT(Table132[[#This Row],[next move]],1))*3,1)</f>
        <v>V</v>
      </c>
      <c r="I5056" t="str">
        <f>Table132[[#This Row],[ÉTAT]]&amp;Table132[[#This Row],[next move]]</f>
        <v>EVVMEVVVV22</v>
      </c>
    </row>
    <row r="5057" spans="2:9" x14ac:dyDescent="0.25">
      <c r="B5057" t="s">
        <v>3424</v>
      </c>
      <c r="C5057" s="22" t="s">
        <v>20</v>
      </c>
      <c r="D5057">
        <v>1</v>
      </c>
      <c r="E5057">
        <v>1</v>
      </c>
      <c r="G5057" s="31">
        <f>Table132[[#This Row],[nb win]]/Table132[[#This Row],[nb play]]</f>
        <v>1</v>
      </c>
      <c r="H5057" t="str">
        <f>MID(Table132[[#This Row],[ÉTAT]],VALUE(RIGHT(Table132[[#This Row],[next move]],1))+1+VALUE(LEFT(Table132[[#This Row],[next move]],1))*3,1)</f>
        <v>V</v>
      </c>
      <c r="I5057" t="str">
        <f>Table132[[#This Row],[ÉTAT]]&amp;Table132[[#This Row],[next move]]</f>
        <v>EVVMEVVVM02</v>
      </c>
    </row>
    <row r="5058" spans="2:9" x14ac:dyDescent="0.25">
      <c r="B5058" t="s">
        <v>3015</v>
      </c>
      <c r="C5058" s="22" t="s">
        <v>26</v>
      </c>
      <c r="D5058">
        <v>1</v>
      </c>
      <c r="E5058">
        <v>1</v>
      </c>
      <c r="G5058" s="31">
        <f>Table132[[#This Row],[nb win]]/Table132[[#This Row],[nb play]]</f>
        <v>1</v>
      </c>
      <c r="H5058" t="str">
        <f>MID(Table132[[#This Row],[ÉTAT]],VALUE(RIGHT(Table132[[#This Row],[next move]],1))+1+VALUE(LEFT(Table132[[#This Row],[next move]],1))*3,1)</f>
        <v>V</v>
      </c>
      <c r="I5058" t="str">
        <f>Table132[[#This Row],[ÉTAT]]&amp;Table132[[#This Row],[next move]]</f>
        <v>EVVMEVVMV01</v>
      </c>
    </row>
    <row r="5059" spans="2:9" x14ac:dyDescent="0.25">
      <c r="B5059" t="s">
        <v>3015</v>
      </c>
      <c r="C5059" s="22" t="s">
        <v>31</v>
      </c>
      <c r="D5059">
        <v>2</v>
      </c>
      <c r="E5059">
        <v>1</v>
      </c>
      <c r="G5059" s="30">
        <f>Table132[[#This Row],[nb win]]/Table132[[#This Row],[nb play]]</f>
        <v>0.5</v>
      </c>
      <c r="H5059" t="str">
        <f>MID(Table132[[#This Row],[ÉTAT]],VALUE(RIGHT(Table132[[#This Row],[next move]],1))+1+VALUE(LEFT(Table132[[#This Row],[next move]],1))*3,1)</f>
        <v>V</v>
      </c>
      <c r="I5059" t="str">
        <f>Table132[[#This Row],[ÉTAT]]&amp;Table132[[#This Row],[next move]]</f>
        <v>EVVMEVVMV22</v>
      </c>
    </row>
    <row r="5060" spans="2:9" x14ac:dyDescent="0.25">
      <c r="B5060" t="s">
        <v>1719</v>
      </c>
      <c r="C5060" s="22" t="s">
        <v>26</v>
      </c>
      <c r="D5060">
        <v>1</v>
      </c>
      <c r="G5060" s="30">
        <f>Table132[[#This Row],[nb win]]/Table132[[#This Row],[nb play]]</f>
        <v>0</v>
      </c>
      <c r="H5060" t="str">
        <f>MID(Table132[[#This Row],[ÉTAT]],VALUE(RIGHT(Table132[[#This Row],[next move]],1))+1+VALUE(LEFT(Table132[[#This Row],[next move]],1))*3,1)</f>
        <v>V</v>
      </c>
      <c r="I5060" t="str">
        <f>Table132[[#This Row],[ÉTAT]]&amp;Table132[[#This Row],[next move]]</f>
        <v>EVVMEVVEM01</v>
      </c>
    </row>
    <row r="5061" spans="2:9" x14ac:dyDescent="0.25">
      <c r="B5061" t="s">
        <v>1719</v>
      </c>
      <c r="C5061" s="22" t="s">
        <v>28</v>
      </c>
      <c r="D5061">
        <v>1</v>
      </c>
      <c r="G5061" s="25">
        <f>Table132[[#This Row],[nb win]]/Table132[[#This Row],[nb play]]</f>
        <v>0</v>
      </c>
      <c r="H5061" t="str">
        <f>MID(Table132[[#This Row],[ÉTAT]],VALUE(RIGHT(Table132[[#This Row],[next move]],1))+1+VALUE(LEFT(Table132[[#This Row],[next move]],1))*3,1)</f>
        <v>V</v>
      </c>
      <c r="I5061" t="str">
        <f>Table132[[#This Row],[ÉTAT]]&amp;Table132[[#This Row],[next move]]</f>
        <v>EVVMEVVEM12</v>
      </c>
    </row>
    <row r="5062" spans="2:9" x14ac:dyDescent="0.25">
      <c r="B5062" t="s">
        <v>1417</v>
      </c>
      <c r="C5062" s="22" t="s">
        <v>26</v>
      </c>
      <c r="D5062">
        <v>3</v>
      </c>
      <c r="E5062">
        <v>1</v>
      </c>
      <c r="G5062" s="30">
        <f>Table132[[#This Row],[nb win]]/Table132[[#This Row],[nb play]]</f>
        <v>0.33333333333333331</v>
      </c>
      <c r="H5062" t="str">
        <f>MID(Table132[[#This Row],[ÉTAT]],VALUE(RIGHT(Table132[[#This Row],[next move]],1))+1+VALUE(LEFT(Table132[[#This Row],[next move]],1))*3,1)</f>
        <v>V</v>
      </c>
      <c r="I5062" t="str">
        <f>Table132[[#This Row],[ÉTAT]]&amp;Table132[[#This Row],[next move]]</f>
        <v>EVVMEVMVV01</v>
      </c>
    </row>
    <row r="5063" spans="2:9" x14ac:dyDescent="0.25">
      <c r="B5063" t="s">
        <v>1417</v>
      </c>
      <c r="C5063" s="22" t="s">
        <v>20</v>
      </c>
      <c r="D5063">
        <v>2</v>
      </c>
      <c r="E5063">
        <v>1</v>
      </c>
      <c r="G5063" s="25">
        <f>Table132[[#This Row],[nb win]]/Table132[[#This Row],[nb play]]</f>
        <v>0.5</v>
      </c>
      <c r="H5063" t="str">
        <f>MID(Table132[[#This Row],[ÉTAT]],VALUE(RIGHT(Table132[[#This Row],[next move]],1))+1+VALUE(LEFT(Table132[[#This Row],[next move]],1))*3,1)</f>
        <v>V</v>
      </c>
      <c r="I5063" t="str">
        <f>Table132[[#This Row],[ÉTAT]]&amp;Table132[[#This Row],[next move]]</f>
        <v>EVVMEVMVV02</v>
      </c>
    </row>
    <row r="5064" spans="2:9" x14ac:dyDescent="0.25">
      <c r="B5064" t="s">
        <v>1417</v>
      </c>
      <c r="C5064" s="22" t="s">
        <v>28</v>
      </c>
      <c r="D5064">
        <v>1</v>
      </c>
      <c r="G5064" s="25">
        <f>Table132[[#This Row],[nb win]]/Table132[[#This Row],[nb play]]</f>
        <v>0</v>
      </c>
      <c r="H5064" t="str">
        <f>MID(Table132[[#This Row],[ÉTAT]],VALUE(RIGHT(Table132[[#This Row],[next move]],1))+1+VALUE(LEFT(Table132[[#This Row],[next move]],1))*3,1)</f>
        <v>V</v>
      </c>
      <c r="I5064" t="str">
        <f>Table132[[#This Row],[ÉTAT]]&amp;Table132[[#This Row],[next move]]</f>
        <v>EVVMEVMVV12</v>
      </c>
    </row>
    <row r="5065" spans="2:9" x14ac:dyDescent="0.25">
      <c r="B5065" t="s">
        <v>1417</v>
      </c>
      <c r="C5065" s="22" t="s">
        <v>22</v>
      </c>
      <c r="D5065">
        <v>2</v>
      </c>
      <c r="G5065" s="30">
        <f>Table132[[#This Row],[nb win]]/Table132[[#This Row],[nb play]]</f>
        <v>0</v>
      </c>
      <c r="H5065" t="str">
        <f>MID(Table132[[#This Row],[ÉTAT]],VALUE(RIGHT(Table132[[#This Row],[next move]],1))+1+VALUE(LEFT(Table132[[#This Row],[next move]],1))*3,1)</f>
        <v>V</v>
      </c>
      <c r="I5065" t="str">
        <f>Table132[[#This Row],[ÉTAT]]&amp;Table132[[#This Row],[next move]]</f>
        <v>EVVMEVMVV21</v>
      </c>
    </row>
    <row r="5066" spans="2:9" x14ac:dyDescent="0.25">
      <c r="B5066" t="s">
        <v>1417</v>
      </c>
      <c r="C5066" s="22" t="s">
        <v>31</v>
      </c>
      <c r="D5066">
        <v>1</v>
      </c>
      <c r="G5066" s="25">
        <f>Table132[[#This Row],[nb win]]/Table132[[#This Row],[nb play]]</f>
        <v>0</v>
      </c>
      <c r="H5066" t="str">
        <f>MID(Table132[[#This Row],[ÉTAT]],VALUE(RIGHT(Table132[[#This Row],[next move]],1))+1+VALUE(LEFT(Table132[[#This Row],[next move]],1))*3,1)</f>
        <v>V</v>
      </c>
      <c r="I5066" t="str">
        <f>Table132[[#This Row],[ÉTAT]]&amp;Table132[[#This Row],[next move]]</f>
        <v>EVVMEVMVV22</v>
      </c>
    </row>
    <row r="5067" spans="2:9" x14ac:dyDescent="0.25">
      <c r="B5067" t="s">
        <v>749</v>
      </c>
      <c r="C5067" s="22" t="s">
        <v>26</v>
      </c>
      <c r="D5067">
        <v>2</v>
      </c>
      <c r="G5067" s="30">
        <f>Table132[[#This Row],[nb win]]/Table132[[#This Row],[nb play]]</f>
        <v>0</v>
      </c>
      <c r="H5067" t="str">
        <f>MID(Table132[[#This Row],[ÉTAT]],VALUE(RIGHT(Table132[[#This Row],[next move]],1))+1+VALUE(LEFT(Table132[[#This Row],[next move]],1))*3,1)</f>
        <v>V</v>
      </c>
      <c r="I5067" t="str">
        <f>Table132[[#This Row],[ÉTAT]]&amp;Table132[[#This Row],[next move]]</f>
        <v>EVVMEVMEV01</v>
      </c>
    </row>
    <row r="5068" spans="2:9" x14ac:dyDescent="0.25">
      <c r="B5068" t="s">
        <v>749</v>
      </c>
      <c r="C5068" s="22" t="s">
        <v>20</v>
      </c>
      <c r="D5068">
        <v>1</v>
      </c>
      <c r="G5068" s="25">
        <f>Table132[[#This Row],[nb win]]/Table132[[#This Row],[nb play]]</f>
        <v>0</v>
      </c>
      <c r="H5068" t="str">
        <f>MID(Table132[[#This Row],[ÉTAT]],VALUE(RIGHT(Table132[[#This Row],[next move]],1))+1+VALUE(LEFT(Table132[[#This Row],[next move]],1))*3,1)</f>
        <v>V</v>
      </c>
      <c r="I5068" t="str">
        <f>Table132[[#This Row],[ÉTAT]]&amp;Table132[[#This Row],[next move]]</f>
        <v>EVVMEVMEV02</v>
      </c>
    </row>
    <row r="5069" spans="2:9" x14ac:dyDescent="0.25">
      <c r="B5069" t="s">
        <v>749</v>
      </c>
      <c r="C5069" s="22" t="s">
        <v>28</v>
      </c>
      <c r="D5069">
        <v>1</v>
      </c>
      <c r="G5069" s="25">
        <f>Table132[[#This Row],[nb win]]/Table132[[#This Row],[nb play]]</f>
        <v>0</v>
      </c>
      <c r="H5069" t="str">
        <f>MID(Table132[[#This Row],[ÉTAT]],VALUE(RIGHT(Table132[[#This Row],[next move]],1))+1+VALUE(LEFT(Table132[[#This Row],[next move]],1))*3,1)</f>
        <v>V</v>
      </c>
      <c r="I5069" t="str">
        <f>Table132[[#This Row],[ÉTAT]]&amp;Table132[[#This Row],[next move]]</f>
        <v>EVVMEVMEV12</v>
      </c>
    </row>
    <row r="5070" spans="2:9" x14ac:dyDescent="0.25">
      <c r="B5070" t="s">
        <v>749</v>
      </c>
      <c r="C5070" s="22" t="s">
        <v>31</v>
      </c>
      <c r="D5070">
        <v>1</v>
      </c>
      <c r="G5070" s="25">
        <f>Table132[[#This Row],[nb win]]/Table132[[#This Row],[nb play]]</f>
        <v>0</v>
      </c>
      <c r="H5070" t="str">
        <f>MID(Table132[[#This Row],[ÉTAT]],VALUE(RIGHT(Table132[[#This Row],[next move]],1))+1+VALUE(LEFT(Table132[[#This Row],[next move]],1))*3,1)</f>
        <v>V</v>
      </c>
      <c r="I5070" t="str">
        <f>Table132[[#This Row],[ÉTAT]]&amp;Table132[[#This Row],[next move]]</f>
        <v>EVVMEVMEV22</v>
      </c>
    </row>
    <row r="5071" spans="2:9" x14ac:dyDescent="0.25">
      <c r="B5071" t="s">
        <v>2770</v>
      </c>
      <c r="C5071" s="22" t="s">
        <v>20</v>
      </c>
      <c r="D5071">
        <v>1</v>
      </c>
      <c r="G5071" s="25">
        <f>Table132[[#This Row],[nb win]]/Table132[[#This Row],[nb play]]</f>
        <v>0</v>
      </c>
      <c r="H5071" t="str">
        <f>MID(Table132[[#This Row],[ÉTAT]],VALUE(RIGHT(Table132[[#This Row],[next move]],1))+1+VALUE(LEFT(Table132[[#This Row],[next move]],1))*3,1)</f>
        <v>V</v>
      </c>
      <c r="I5071" t="str">
        <f>Table132[[#This Row],[ÉTAT]]&amp;Table132[[#This Row],[next move]]</f>
        <v>EVVMEVMEM02</v>
      </c>
    </row>
    <row r="5072" spans="2:9" x14ac:dyDescent="0.25">
      <c r="B5072" t="s">
        <v>475</v>
      </c>
      <c r="C5072" s="22" t="s">
        <v>20</v>
      </c>
      <c r="D5072">
        <v>2</v>
      </c>
      <c r="E5072">
        <v>2</v>
      </c>
      <c r="G5072" s="31">
        <f>Table132[[#This Row],[nb win]]/Table132[[#This Row],[nb play]]</f>
        <v>1</v>
      </c>
      <c r="H5072" t="str">
        <f>MID(Table132[[#This Row],[ÉTAT]],VALUE(RIGHT(Table132[[#This Row],[next move]],1))+1+VALUE(LEFT(Table132[[#This Row],[next move]],1))*3,1)</f>
        <v>V</v>
      </c>
      <c r="I5072" t="str">
        <f>Table132[[#This Row],[ÉTAT]]&amp;Table132[[#This Row],[next move]]</f>
        <v>EVVMEVEVM02</v>
      </c>
    </row>
    <row r="5073" spans="2:9" x14ac:dyDescent="0.25">
      <c r="B5073" t="s">
        <v>669</v>
      </c>
      <c r="C5073" s="22" t="s">
        <v>26</v>
      </c>
      <c r="D5073">
        <v>1</v>
      </c>
      <c r="G5073" s="25">
        <f>Table132[[#This Row],[nb win]]/Table132[[#This Row],[nb play]]</f>
        <v>0</v>
      </c>
      <c r="H5073" t="str">
        <f>MID(Table132[[#This Row],[ÉTAT]],VALUE(RIGHT(Table132[[#This Row],[next move]],1))+1+VALUE(LEFT(Table132[[#This Row],[next move]],1))*3,1)</f>
        <v>V</v>
      </c>
      <c r="I5073" t="str">
        <f>Table132[[#This Row],[ÉTAT]]&amp;Table132[[#This Row],[next move]]</f>
        <v>EVVMEMVVV01</v>
      </c>
    </row>
    <row r="5074" spans="2:9" x14ac:dyDescent="0.25">
      <c r="B5074" t="s">
        <v>669</v>
      </c>
      <c r="C5074" s="22" t="s">
        <v>20</v>
      </c>
      <c r="D5074">
        <v>2</v>
      </c>
      <c r="E5074">
        <v>1</v>
      </c>
      <c r="G5074" s="25">
        <f>Table132[[#This Row],[nb win]]/Table132[[#This Row],[nb play]]</f>
        <v>0.5</v>
      </c>
      <c r="H5074" t="str">
        <f>MID(Table132[[#This Row],[ÉTAT]],VALUE(RIGHT(Table132[[#This Row],[next move]],1))+1+VALUE(LEFT(Table132[[#This Row],[next move]],1))*3,1)</f>
        <v>V</v>
      </c>
      <c r="I5074" t="str">
        <f>Table132[[#This Row],[ÉTAT]]&amp;Table132[[#This Row],[next move]]</f>
        <v>EVVMEMVVV02</v>
      </c>
    </row>
    <row r="5075" spans="2:9" x14ac:dyDescent="0.25">
      <c r="B5075" t="s">
        <v>669</v>
      </c>
      <c r="C5075" s="22" t="s">
        <v>35</v>
      </c>
      <c r="D5075">
        <v>4</v>
      </c>
      <c r="G5075" s="30">
        <f>Table132[[#This Row],[nb win]]/Table132[[#This Row],[nb play]]</f>
        <v>0</v>
      </c>
      <c r="H5075" t="str">
        <f>MID(Table132[[#This Row],[ÉTAT]],VALUE(RIGHT(Table132[[#This Row],[next move]],1))+1+VALUE(LEFT(Table132[[#This Row],[next move]],1))*3,1)</f>
        <v>V</v>
      </c>
      <c r="I5075" t="str">
        <f>Table132[[#This Row],[ÉTAT]]&amp;Table132[[#This Row],[next move]]</f>
        <v>EVVMEMVVV20</v>
      </c>
    </row>
    <row r="5076" spans="2:9" x14ac:dyDescent="0.25">
      <c r="B5076" t="s">
        <v>669</v>
      </c>
      <c r="C5076" s="22" t="s">
        <v>22</v>
      </c>
      <c r="D5076">
        <v>1</v>
      </c>
      <c r="G5076" s="25">
        <f>Table132[[#This Row],[nb win]]/Table132[[#This Row],[nb play]]</f>
        <v>0</v>
      </c>
      <c r="H5076" t="str">
        <f>MID(Table132[[#This Row],[ÉTAT]],VALUE(RIGHT(Table132[[#This Row],[next move]],1))+1+VALUE(LEFT(Table132[[#This Row],[next move]],1))*3,1)</f>
        <v>V</v>
      </c>
      <c r="I5076" t="str">
        <f>Table132[[#This Row],[ÉTAT]]&amp;Table132[[#This Row],[next move]]</f>
        <v>EVVMEMVVV21</v>
      </c>
    </row>
    <row r="5077" spans="2:9" x14ac:dyDescent="0.25">
      <c r="B5077" t="s">
        <v>669</v>
      </c>
      <c r="C5077" s="22" t="s">
        <v>31</v>
      </c>
      <c r="D5077">
        <v>2</v>
      </c>
      <c r="E5077">
        <v>1</v>
      </c>
      <c r="G5077" s="25">
        <f>Table132[[#This Row],[nb win]]/Table132[[#This Row],[nb play]]</f>
        <v>0.5</v>
      </c>
      <c r="H5077" t="str">
        <f>MID(Table132[[#This Row],[ÉTAT]],VALUE(RIGHT(Table132[[#This Row],[next move]],1))+1+VALUE(LEFT(Table132[[#This Row],[next move]],1))*3,1)</f>
        <v>V</v>
      </c>
      <c r="I5077" t="str">
        <f>Table132[[#This Row],[ÉTAT]]&amp;Table132[[#This Row],[next move]]</f>
        <v>EVVMEMVVV22</v>
      </c>
    </row>
    <row r="5078" spans="2:9" x14ac:dyDescent="0.25">
      <c r="B5078" t="s">
        <v>2393</v>
      </c>
      <c r="C5078" s="22" t="s">
        <v>26</v>
      </c>
      <c r="D5078">
        <v>1</v>
      </c>
      <c r="G5078" s="25">
        <f>Table132[[#This Row],[nb win]]/Table132[[#This Row],[nb play]]</f>
        <v>0</v>
      </c>
      <c r="H5078" t="str">
        <f>MID(Table132[[#This Row],[ÉTAT]],VALUE(RIGHT(Table132[[#This Row],[next move]],1))+1+VALUE(LEFT(Table132[[#This Row],[next move]],1))*3,1)</f>
        <v>V</v>
      </c>
      <c r="I5078" t="str">
        <f>Table132[[#This Row],[ÉTAT]]&amp;Table132[[#This Row],[next move]]</f>
        <v>EVVMEMVEV01</v>
      </c>
    </row>
    <row r="5079" spans="2:9" x14ac:dyDescent="0.25">
      <c r="B5079" t="s">
        <v>2393</v>
      </c>
      <c r="C5079" s="22" t="s">
        <v>20</v>
      </c>
      <c r="D5079">
        <v>1</v>
      </c>
      <c r="G5079" s="30">
        <f>Table132[[#This Row],[nb win]]/Table132[[#This Row],[nb play]]</f>
        <v>0</v>
      </c>
      <c r="H5079" t="str">
        <f>MID(Table132[[#This Row],[ÉTAT]],VALUE(RIGHT(Table132[[#This Row],[next move]],1))+1+VALUE(LEFT(Table132[[#This Row],[next move]],1))*3,1)</f>
        <v>V</v>
      </c>
      <c r="I5079" t="str">
        <f>Table132[[#This Row],[ÉTAT]]&amp;Table132[[#This Row],[next move]]</f>
        <v>EVVMEMVEV02</v>
      </c>
    </row>
    <row r="5080" spans="2:9" x14ac:dyDescent="0.25">
      <c r="B5080" t="s">
        <v>2393</v>
      </c>
      <c r="C5080" s="22" t="s">
        <v>35</v>
      </c>
      <c r="D5080">
        <v>3</v>
      </c>
      <c r="G5080" s="30">
        <f>Table132[[#This Row],[nb win]]/Table132[[#This Row],[nb play]]</f>
        <v>0</v>
      </c>
      <c r="H5080" t="str">
        <f>MID(Table132[[#This Row],[ÉTAT]],VALUE(RIGHT(Table132[[#This Row],[next move]],1))+1+VALUE(LEFT(Table132[[#This Row],[next move]],1))*3,1)</f>
        <v>V</v>
      </c>
      <c r="I5080" t="str">
        <f>Table132[[#This Row],[ÉTAT]]&amp;Table132[[#This Row],[next move]]</f>
        <v>EVVMEMVEV20</v>
      </c>
    </row>
    <row r="5081" spans="2:9" x14ac:dyDescent="0.25">
      <c r="B5081" t="s">
        <v>2393</v>
      </c>
      <c r="C5081" s="22" t="s">
        <v>31</v>
      </c>
      <c r="D5081">
        <v>3</v>
      </c>
      <c r="G5081" s="30">
        <f>Table132[[#This Row],[nb win]]/Table132[[#This Row],[nb play]]</f>
        <v>0</v>
      </c>
      <c r="H5081" t="str">
        <f>MID(Table132[[#This Row],[ÉTAT]],VALUE(RIGHT(Table132[[#This Row],[next move]],1))+1+VALUE(LEFT(Table132[[#This Row],[next move]],1))*3,1)</f>
        <v>V</v>
      </c>
      <c r="I5081" t="str">
        <f>Table132[[#This Row],[ÉTAT]]&amp;Table132[[#This Row],[next move]]</f>
        <v>EVVMEMVEV22</v>
      </c>
    </row>
    <row r="5082" spans="2:9" x14ac:dyDescent="0.25">
      <c r="B5082" t="s">
        <v>3047</v>
      </c>
      <c r="C5082" s="22" t="s">
        <v>20</v>
      </c>
      <c r="D5082">
        <v>1</v>
      </c>
      <c r="G5082" s="25">
        <f>Table132[[#This Row],[nb win]]/Table132[[#This Row],[nb play]]</f>
        <v>0</v>
      </c>
      <c r="H5082" t="str">
        <f>MID(Table132[[#This Row],[ÉTAT]],VALUE(RIGHT(Table132[[#This Row],[next move]],1))+1+VALUE(LEFT(Table132[[#This Row],[next move]],1))*3,1)</f>
        <v>V</v>
      </c>
      <c r="I5082" t="str">
        <f>Table132[[#This Row],[ÉTAT]]&amp;Table132[[#This Row],[next move]]</f>
        <v>EVVMEMMEV02</v>
      </c>
    </row>
    <row r="5083" spans="2:9" x14ac:dyDescent="0.25">
      <c r="B5083" t="s">
        <v>2702</v>
      </c>
      <c r="C5083" s="22" t="s">
        <v>26</v>
      </c>
      <c r="D5083">
        <v>1</v>
      </c>
      <c r="G5083" s="30">
        <f>Table132[[#This Row],[nb win]]/Table132[[#This Row],[nb play]]</f>
        <v>0</v>
      </c>
      <c r="H5083" t="str">
        <f>MID(Table132[[#This Row],[ÉTAT]],VALUE(RIGHT(Table132[[#This Row],[next move]],1))+1+VALUE(LEFT(Table132[[#This Row],[next move]],1))*3,1)</f>
        <v>V</v>
      </c>
      <c r="I5083" t="str">
        <f>Table132[[#This Row],[ÉTAT]]&amp;Table132[[#This Row],[next move]]</f>
        <v>EVVMEMEVV01</v>
      </c>
    </row>
    <row r="5084" spans="2:9" x14ac:dyDescent="0.25">
      <c r="B5084" t="s">
        <v>2702</v>
      </c>
      <c r="C5084" s="22" t="s">
        <v>20</v>
      </c>
      <c r="D5084">
        <v>1</v>
      </c>
      <c r="G5084" s="25">
        <f>Table132[[#This Row],[nb win]]/Table132[[#This Row],[nb play]]</f>
        <v>0</v>
      </c>
      <c r="H5084" t="str">
        <f>MID(Table132[[#This Row],[ÉTAT]],VALUE(RIGHT(Table132[[#This Row],[next move]],1))+1+VALUE(LEFT(Table132[[#This Row],[next move]],1))*3,1)</f>
        <v>V</v>
      </c>
      <c r="I5084" t="str">
        <f>Table132[[#This Row],[ÉTAT]]&amp;Table132[[#This Row],[next move]]</f>
        <v>EVVMEMEVV02</v>
      </c>
    </row>
    <row r="5085" spans="2:9" x14ac:dyDescent="0.25">
      <c r="B5085" t="s">
        <v>2702</v>
      </c>
      <c r="C5085" s="22" t="s">
        <v>31</v>
      </c>
      <c r="D5085">
        <v>1</v>
      </c>
      <c r="G5085" s="30">
        <f>Table132[[#This Row],[nb win]]/Table132[[#This Row],[nb play]]</f>
        <v>0</v>
      </c>
      <c r="H5085" t="str">
        <f>MID(Table132[[#This Row],[ÉTAT]],VALUE(RIGHT(Table132[[#This Row],[next move]],1))+1+VALUE(LEFT(Table132[[#This Row],[next move]],1))*3,1)</f>
        <v>V</v>
      </c>
      <c r="I5085" t="str">
        <f>Table132[[#This Row],[ÉTAT]]&amp;Table132[[#This Row],[next move]]</f>
        <v>EVVMEMEVV22</v>
      </c>
    </row>
    <row r="5086" spans="2:9" x14ac:dyDescent="0.25">
      <c r="B5086" t="s">
        <v>671</v>
      </c>
      <c r="C5086" s="22" t="s">
        <v>20</v>
      </c>
      <c r="D5086">
        <v>1</v>
      </c>
      <c r="E5086">
        <v>1</v>
      </c>
      <c r="G5086" s="25">
        <f>Table132[[#This Row],[nb win]]/Table132[[#This Row],[nb play]]</f>
        <v>1</v>
      </c>
      <c r="H5086" t="str">
        <f>MID(Table132[[#This Row],[ÉTAT]],VALUE(RIGHT(Table132[[#This Row],[next move]],1))+1+VALUE(LEFT(Table132[[#This Row],[next move]],1))*3,1)</f>
        <v>V</v>
      </c>
      <c r="I5086" t="str">
        <f>Table132[[#This Row],[ÉTAT]]&amp;Table132[[#This Row],[next move]]</f>
        <v>EVVMEMEVM02</v>
      </c>
    </row>
    <row r="5087" spans="2:9" x14ac:dyDescent="0.25">
      <c r="B5087" t="s">
        <v>1193</v>
      </c>
      <c r="C5087" s="22" t="s">
        <v>26</v>
      </c>
      <c r="D5087">
        <v>1</v>
      </c>
      <c r="G5087" s="25">
        <f>Table132[[#This Row],[nb win]]/Table132[[#This Row],[nb play]]</f>
        <v>0</v>
      </c>
      <c r="H5087" t="str">
        <f>MID(Table132[[#This Row],[ÉTAT]],VALUE(RIGHT(Table132[[#This Row],[next move]],1))+1+VALUE(LEFT(Table132[[#This Row],[next move]],1))*3,1)</f>
        <v>V</v>
      </c>
      <c r="I5087" t="str">
        <f>Table132[[#This Row],[ÉTAT]]&amp;Table132[[#This Row],[next move]]</f>
        <v>EVVMEMEMV01</v>
      </c>
    </row>
    <row r="5088" spans="2:9" x14ac:dyDescent="0.25">
      <c r="B5088" t="s">
        <v>1193</v>
      </c>
      <c r="C5088" s="22" t="s">
        <v>20</v>
      </c>
      <c r="D5088">
        <v>1</v>
      </c>
      <c r="G5088" s="25">
        <f>Table132[[#This Row],[nb win]]/Table132[[#This Row],[nb play]]</f>
        <v>0</v>
      </c>
      <c r="H5088" t="str">
        <f>MID(Table132[[#This Row],[ÉTAT]],VALUE(RIGHT(Table132[[#This Row],[next move]],1))+1+VALUE(LEFT(Table132[[#This Row],[next move]],1))*3,1)</f>
        <v>V</v>
      </c>
      <c r="I5088" t="str">
        <f>Table132[[#This Row],[ÉTAT]]&amp;Table132[[#This Row],[next move]]</f>
        <v>EVVMEMEMV02</v>
      </c>
    </row>
    <row r="5089" spans="2:9" x14ac:dyDescent="0.25">
      <c r="B5089" t="s">
        <v>2157</v>
      </c>
      <c r="C5089" s="22" t="s">
        <v>26</v>
      </c>
      <c r="D5089">
        <v>1</v>
      </c>
      <c r="G5089" s="25">
        <f>Table132[[#This Row],[nb win]]/Table132[[#This Row],[nb play]]</f>
        <v>0</v>
      </c>
      <c r="H5089" t="str">
        <f>MID(Table132[[#This Row],[ÉTAT]],VALUE(RIGHT(Table132[[#This Row],[next move]],1))+1+VALUE(LEFT(Table132[[#This Row],[next move]],1))*3,1)</f>
        <v>V</v>
      </c>
      <c r="I5089" t="str">
        <f>Table132[[#This Row],[ÉTAT]]&amp;Table132[[#This Row],[next move]]</f>
        <v>EVVMEMEEM01</v>
      </c>
    </row>
    <row r="5090" spans="2:9" x14ac:dyDescent="0.25">
      <c r="B5090" t="s">
        <v>2103</v>
      </c>
      <c r="C5090" s="22" t="s">
        <v>20</v>
      </c>
      <c r="D5090">
        <v>1</v>
      </c>
      <c r="G5090" s="25">
        <f>Table132[[#This Row],[nb win]]/Table132[[#This Row],[nb play]]</f>
        <v>0</v>
      </c>
      <c r="H5090" t="str">
        <f>MID(Table132[[#This Row],[ÉTAT]],VALUE(RIGHT(Table132[[#This Row],[next move]],1))+1+VALUE(LEFT(Table132[[#This Row],[next move]],1))*3,1)</f>
        <v>V</v>
      </c>
      <c r="I5090" t="str">
        <f>Table132[[#This Row],[ÉTAT]]&amp;Table132[[#This Row],[next move]]</f>
        <v>EVVMEEVVM02</v>
      </c>
    </row>
    <row r="5091" spans="2:9" x14ac:dyDescent="0.25">
      <c r="B5091" t="s">
        <v>2103</v>
      </c>
      <c r="C5091" s="22" t="s">
        <v>35</v>
      </c>
      <c r="D5091">
        <v>2</v>
      </c>
      <c r="E5091">
        <v>2</v>
      </c>
      <c r="G5091" s="31">
        <f>Table132[[#This Row],[nb win]]/Table132[[#This Row],[nb play]]</f>
        <v>1</v>
      </c>
      <c r="H5091" t="str">
        <f>MID(Table132[[#This Row],[ÉTAT]],VALUE(RIGHT(Table132[[#This Row],[next move]],1))+1+VALUE(LEFT(Table132[[#This Row],[next move]],1))*3,1)</f>
        <v>V</v>
      </c>
      <c r="I5091" t="str">
        <f>Table132[[#This Row],[ÉTAT]]&amp;Table132[[#This Row],[next move]]</f>
        <v>EVVMEEVVM20</v>
      </c>
    </row>
    <row r="5092" spans="2:9" x14ac:dyDescent="0.25">
      <c r="B5092" t="s">
        <v>3017</v>
      </c>
      <c r="C5092" s="22" t="s">
        <v>26</v>
      </c>
      <c r="D5092">
        <v>1</v>
      </c>
      <c r="E5092">
        <v>1</v>
      </c>
      <c r="G5092" s="25">
        <f>Table132[[#This Row],[nb win]]/Table132[[#This Row],[nb play]]</f>
        <v>1</v>
      </c>
      <c r="H5092" t="str">
        <f>MID(Table132[[#This Row],[ÉTAT]],VALUE(RIGHT(Table132[[#This Row],[next move]],1))+1+VALUE(LEFT(Table132[[#This Row],[next move]],1))*3,1)</f>
        <v>V</v>
      </c>
      <c r="I5092" t="str">
        <f>Table132[[#This Row],[ÉTAT]]&amp;Table132[[#This Row],[next move]]</f>
        <v>EVVMEEVMM01</v>
      </c>
    </row>
    <row r="5093" spans="2:9" x14ac:dyDescent="0.25">
      <c r="B5093" t="s">
        <v>3214</v>
      </c>
      <c r="C5093" s="22" t="s">
        <v>22</v>
      </c>
      <c r="D5093">
        <v>1</v>
      </c>
      <c r="E5093">
        <v>1</v>
      </c>
      <c r="G5093" s="31">
        <f>Table132[[#This Row],[nb win]]/Table132[[#This Row],[nb play]]</f>
        <v>1</v>
      </c>
      <c r="H5093" t="str">
        <f>MID(Table132[[#This Row],[ÉTAT]],VALUE(RIGHT(Table132[[#This Row],[next move]],1))+1+VALUE(LEFT(Table132[[#This Row],[next move]],1))*3,1)</f>
        <v>V</v>
      </c>
      <c r="I5093" t="str">
        <f>Table132[[#This Row],[ÉTAT]]&amp;Table132[[#This Row],[next move]]</f>
        <v>EVVMEEMVM21</v>
      </c>
    </row>
    <row r="5094" spans="2:9" x14ac:dyDescent="0.25">
      <c r="B5094" t="s">
        <v>1011</v>
      </c>
      <c r="C5094" s="22" t="s">
        <v>20</v>
      </c>
      <c r="D5094">
        <v>1</v>
      </c>
      <c r="G5094" s="25">
        <f>Table132[[#This Row],[nb win]]/Table132[[#This Row],[nb play]]</f>
        <v>0</v>
      </c>
      <c r="H5094" t="str">
        <f>MID(Table132[[#This Row],[ÉTAT]],VALUE(RIGHT(Table132[[#This Row],[next move]],1))+1+VALUE(LEFT(Table132[[#This Row],[next move]],1))*3,1)</f>
        <v>V</v>
      </c>
      <c r="I5094" t="str">
        <f>Table132[[#This Row],[ÉTAT]]&amp;Table132[[#This Row],[next move]]</f>
        <v>EVVMEEMEM02</v>
      </c>
    </row>
    <row r="5095" spans="2:9" x14ac:dyDescent="0.25">
      <c r="B5095" t="s">
        <v>193</v>
      </c>
      <c r="C5095" s="22" t="s">
        <v>26</v>
      </c>
      <c r="D5095">
        <v>2</v>
      </c>
      <c r="G5095" s="30">
        <f>Table132[[#This Row],[nb win]]/Table132[[#This Row],[nb play]]</f>
        <v>0</v>
      </c>
      <c r="H5095" t="str">
        <f>MID(Table132[[#This Row],[ÉTAT]],VALUE(RIGHT(Table132[[#This Row],[next move]],1))+1+VALUE(LEFT(Table132[[#This Row],[next move]],1))*3,1)</f>
        <v>V</v>
      </c>
      <c r="I5095" t="str">
        <f>Table132[[#This Row],[ÉTAT]]&amp;Table132[[#This Row],[next move]]</f>
        <v>EVVEVVVVM01</v>
      </c>
    </row>
    <row r="5096" spans="2:9" x14ac:dyDescent="0.25">
      <c r="B5096" t="s">
        <v>193</v>
      </c>
      <c r="C5096" s="22" t="s">
        <v>20</v>
      </c>
      <c r="D5096">
        <v>2</v>
      </c>
      <c r="G5096" s="25">
        <f>Table132[[#This Row],[nb win]]/Table132[[#This Row],[nb play]]</f>
        <v>0</v>
      </c>
      <c r="H5096" t="str">
        <f>MID(Table132[[#This Row],[ÉTAT]],VALUE(RIGHT(Table132[[#This Row],[next move]],1))+1+VALUE(LEFT(Table132[[#This Row],[next move]],1))*3,1)</f>
        <v>V</v>
      </c>
      <c r="I5096" t="str">
        <f>Table132[[#This Row],[ÉTAT]]&amp;Table132[[#This Row],[next move]]</f>
        <v>EVVEVVVVM02</v>
      </c>
    </row>
    <row r="5097" spans="2:9" x14ac:dyDescent="0.25">
      <c r="B5097" t="s">
        <v>193</v>
      </c>
      <c r="C5097" s="22" t="s">
        <v>29</v>
      </c>
      <c r="D5097">
        <v>5</v>
      </c>
      <c r="E5097">
        <v>2</v>
      </c>
      <c r="G5097" s="30">
        <f>Table132[[#This Row],[nb win]]/Table132[[#This Row],[nb play]]</f>
        <v>0.4</v>
      </c>
      <c r="H5097" t="str">
        <f>MID(Table132[[#This Row],[ÉTAT]],VALUE(RIGHT(Table132[[#This Row],[next move]],1))+1+VALUE(LEFT(Table132[[#This Row],[next move]],1))*3,1)</f>
        <v>V</v>
      </c>
      <c r="I5097" t="str">
        <f>Table132[[#This Row],[ÉTAT]]&amp;Table132[[#This Row],[next move]]</f>
        <v>EVVEVVVVM11</v>
      </c>
    </row>
    <row r="5098" spans="2:9" x14ac:dyDescent="0.25">
      <c r="B5098" t="s">
        <v>193</v>
      </c>
      <c r="C5098" s="22" t="s">
        <v>28</v>
      </c>
      <c r="D5098">
        <v>5</v>
      </c>
      <c r="G5098" s="30">
        <f>Table132[[#This Row],[nb win]]/Table132[[#This Row],[nb play]]</f>
        <v>0</v>
      </c>
      <c r="H5098" t="str">
        <f>MID(Table132[[#This Row],[ÉTAT]],VALUE(RIGHT(Table132[[#This Row],[next move]],1))+1+VALUE(LEFT(Table132[[#This Row],[next move]],1))*3,1)</f>
        <v>V</v>
      </c>
      <c r="I5098" t="str">
        <f>Table132[[#This Row],[ÉTAT]]&amp;Table132[[#This Row],[next move]]</f>
        <v>EVVEVVVVM12</v>
      </c>
    </row>
    <row r="5099" spans="2:9" x14ac:dyDescent="0.25">
      <c r="B5099" t="s">
        <v>193</v>
      </c>
      <c r="C5099" s="22" t="s">
        <v>35</v>
      </c>
      <c r="D5099">
        <v>5</v>
      </c>
      <c r="E5099">
        <v>3</v>
      </c>
      <c r="G5099" s="31">
        <f>Table132[[#This Row],[nb win]]/Table132[[#This Row],[nb play]]</f>
        <v>0.6</v>
      </c>
      <c r="H5099" t="str">
        <f>MID(Table132[[#This Row],[ÉTAT]],VALUE(RIGHT(Table132[[#This Row],[next move]],1))+1+VALUE(LEFT(Table132[[#This Row],[next move]],1))*3,1)</f>
        <v>V</v>
      </c>
      <c r="I5099" t="str">
        <f>Table132[[#This Row],[ÉTAT]]&amp;Table132[[#This Row],[next move]]</f>
        <v>EVVEVVVVM20</v>
      </c>
    </row>
    <row r="5100" spans="2:9" x14ac:dyDescent="0.25">
      <c r="B5100" t="s">
        <v>193</v>
      </c>
      <c r="C5100" s="22" t="s">
        <v>22</v>
      </c>
      <c r="D5100">
        <v>1</v>
      </c>
      <c r="G5100" s="25">
        <f>Table132[[#This Row],[nb win]]/Table132[[#This Row],[nb play]]</f>
        <v>0</v>
      </c>
      <c r="H5100" t="str">
        <f>MID(Table132[[#This Row],[ÉTAT]],VALUE(RIGHT(Table132[[#This Row],[next move]],1))+1+VALUE(LEFT(Table132[[#This Row],[next move]],1))*3,1)</f>
        <v>V</v>
      </c>
      <c r="I5100" t="str">
        <f>Table132[[#This Row],[ÉTAT]]&amp;Table132[[#This Row],[next move]]</f>
        <v>EVVEVVVVM21</v>
      </c>
    </row>
    <row r="5101" spans="2:9" x14ac:dyDescent="0.25">
      <c r="B5101" t="s">
        <v>1799</v>
      </c>
      <c r="C5101" s="22" t="s">
        <v>28</v>
      </c>
      <c r="D5101">
        <v>3</v>
      </c>
      <c r="E5101">
        <v>1</v>
      </c>
      <c r="G5101" s="30">
        <f>Table132[[#This Row],[nb win]]/Table132[[#This Row],[nb play]]</f>
        <v>0.33333333333333331</v>
      </c>
      <c r="H5101" t="str">
        <f>MID(Table132[[#This Row],[ÉTAT]],VALUE(RIGHT(Table132[[#This Row],[next move]],1))+1+VALUE(LEFT(Table132[[#This Row],[next move]],1))*3,1)</f>
        <v>V</v>
      </c>
      <c r="I5101" t="str">
        <f>Table132[[#This Row],[ÉTAT]]&amp;Table132[[#This Row],[next move]]</f>
        <v>EVVEVVVMV12</v>
      </c>
    </row>
    <row r="5102" spans="2:9" x14ac:dyDescent="0.25">
      <c r="B5102" t="s">
        <v>1799</v>
      </c>
      <c r="C5102" s="22" t="s">
        <v>35</v>
      </c>
      <c r="D5102">
        <v>4</v>
      </c>
      <c r="E5102">
        <v>4</v>
      </c>
      <c r="G5102" s="31">
        <f>Table132[[#This Row],[nb win]]/Table132[[#This Row],[nb play]]</f>
        <v>1</v>
      </c>
      <c r="H5102" t="str">
        <f>MID(Table132[[#This Row],[ÉTAT]],VALUE(RIGHT(Table132[[#This Row],[next move]],1))+1+VALUE(LEFT(Table132[[#This Row],[next move]],1))*3,1)</f>
        <v>V</v>
      </c>
      <c r="I5102" t="str">
        <f>Table132[[#This Row],[ÉTAT]]&amp;Table132[[#This Row],[next move]]</f>
        <v>EVVEVVVMV20</v>
      </c>
    </row>
    <row r="5103" spans="2:9" x14ac:dyDescent="0.25">
      <c r="B5103" t="s">
        <v>1799</v>
      </c>
      <c r="C5103" s="22" t="s">
        <v>31</v>
      </c>
      <c r="D5103">
        <v>5</v>
      </c>
      <c r="E5103">
        <v>3</v>
      </c>
      <c r="G5103" s="30">
        <f>Table132[[#This Row],[nb win]]/Table132[[#This Row],[nb play]]</f>
        <v>0.6</v>
      </c>
      <c r="H5103" t="str">
        <f>MID(Table132[[#This Row],[ÉTAT]],VALUE(RIGHT(Table132[[#This Row],[next move]],1))+1+VALUE(LEFT(Table132[[#This Row],[next move]],1))*3,1)</f>
        <v>V</v>
      </c>
      <c r="I5103" t="str">
        <f>Table132[[#This Row],[ÉTAT]]&amp;Table132[[#This Row],[next move]]</f>
        <v>EVVEVVVMV22</v>
      </c>
    </row>
    <row r="5104" spans="2:9" x14ac:dyDescent="0.25">
      <c r="B5104" t="s">
        <v>362</v>
      </c>
      <c r="C5104" s="22" t="s">
        <v>35</v>
      </c>
      <c r="D5104">
        <v>12</v>
      </c>
      <c r="E5104">
        <v>12</v>
      </c>
      <c r="G5104" s="31">
        <f>Table132[[#This Row],[nb win]]/Table132[[#This Row],[nb play]]</f>
        <v>1</v>
      </c>
      <c r="H5104" t="str">
        <f>MID(Table132[[#This Row],[ÉTAT]],VALUE(RIGHT(Table132[[#This Row],[next move]],1))+1+VALUE(LEFT(Table132[[#This Row],[next move]],1))*3,1)</f>
        <v>V</v>
      </c>
      <c r="I5104" t="str">
        <f>Table132[[#This Row],[ÉTAT]]&amp;Table132[[#This Row],[next move]]</f>
        <v>EVVEVVVMM20</v>
      </c>
    </row>
    <row r="5105" spans="2:9" x14ac:dyDescent="0.25">
      <c r="B5105" t="s">
        <v>584</v>
      </c>
      <c r="C5105" s="22" t="s">
        <v>29</v>
      </c>
      <c r="D5105">
        <v>9</v>
      </c>
      <c r="E5105">
        <v>8</v>
      </c>
      <c r="G5105" s="31">
        <f>Table132[[#This Row],[nb win]]/Table132[[#This Row],[nb play]]</f>
        <v>0.88888888888888884</v>
      </c>
      <c r="H5105" t="str">
        <f>MID(Table132[[#This Row],[ÉTAT]],VALUE(RIGHT(Table132[[#This Row],[next move]],1))+1+VALUE(LEFT(Table132[[#This Row],[next move]],1))*3,1)</f>
        <v>V</v>
      </c>
      <c r="I5105" t="str">
        <f>Table132[[#This Row],[ÉTAT]]&amp;Table132[[#This Row],[next move]]</f>
        <v>EVVEVVMVV11</v>
      </c>
    </row>
    <row r="5106" spans="2:9" x14ac:dyDescent="0.25">
      <c r="B5106" t="s">
        <v>584</v>
      </c>
      <c r="C5106" s="22" t="s">
        <v>28</v>
      </c>
      <c r="D5106">
        <v>1</v>
      </c>
      <c r="E5106">
        <v>1</v>
      </c>
      <c r="G5106" s="25">
        <f>Table132[[#This Row],[nb win]]/Table132[[#This Row],[nb play]]</f>
        <v>1</v>
      </c>
      <c r="H5106" t="str">
        <f>MID(Table132[[#This Row],[ÉTAT]],VALUE(RIGHT(Table132[[#This Row],[next move]],1))+1+VALUE(LEFT(Table132[[#This Row],[next move]],1))*3,1)</f>
        <v>V</v>
      </c>
      <c r="I5106" t="str">
        <f>Table132[[#This Row],[ÉTAT]]&amp;Table132[[#This Row],[next move]]</f>
        <v>EVVEVVMVV12</v>
      </c>
    </row>
    <row r="5107" spans="2:9" x14ac:dyDescent="0.25">
      <c r="B5107" t="s">
        <v>584</v>
      </c>
      <c r="C5107" s="22" t="s">
        <v>22</v>
      </c>
      <c r="D5107">
        <v>5</v>
      </c>
      <c r="E5107">
        <v>3</v>
      </c>
      <c r="G5107" s="31">
        <f>Table132[[#This Row],[nb win]]/Table132[[#This Row],[nb play]]</f>
        <v>0.6</v>
      </c>
      <c r="H5107" t="str">
        <f>MID(Table132[[#This Row],[ÉTAT]],VALUE(RIGHT(Table132[[#This Row],[next move]],1))+1+VALUE(LEFT(Table132[[#This Row],[next move]],1))*3,1)</f>
        <v>V</v>
      </c>
      <c r="I5107" t="str">
        <f>Table132[[#This Row],[ÉTAT]]&amp;Table132[[#This Row],[next move]]</f>
        <v>EVVEVVMVV21</v>
      </c>
    </row>
    <row r="5108" spans="2:9" x14ac:dyDescent="0.25">
      <c r="B5108" t="s">
        <v>2866</v>
      </c>
      <c r="C5108" s="22" t="s">
        <v>20</v>
      </c>
      <c r="D5108">
        <v>3</v>
      </c>
      <c r="E5108">
        <v>3</v>
      </c>
      <c r="G5108" s="31">
        <f>Table132[[#This Row],[nb win]]/Table132[[#This Row],[nb play]]</f>
        <v>1</v>
      </c>
      <c r="H5108" t="str">
        <f>MID(Table132[[#This Row],[ÉTAT]],VALUE(RIGHT(Table132[[#This Row],[next move]],1))+1+VALUE(LEFT(Table132[[#This Row],[next move]],1))*3,1)</f>
        <v>V</v>
      </c>
      <c r="I5108" t="str">
        <f>Table132[[#This Row],[ÉTAT]]&amp;Table132[[#This Row],[next move]]</f>
        <v>EVVEVVMVM02</v>
      </c>
    </row>
    <row r="5109" spans="2:9" x14ac:dyDescent="0.25">
      <c r="B5109" t="s">
        <v>605</v>
      </c>
      <c r="C5109" s="22" t="s">
        <v>31</v>
      </c>
      <c r="D5109">
        <v>5</v>
      </c>
      <c r="E5109">
        <v>5</v>
      </c>
      <c r="G5109" s="25">
        <f>Table132[[#This Row],[nb win]]/Table132[[#This Row],[nb play]]</f>
        <v>1</v>
      </c>
      <c r="H5109" t="str">
        <f>MID(Table132[[#This Row],[ÉTAT]],VALUE(RIGHT(Table132[[#This Row],[next move]],1))+1+VALUE(LEFT(Table132[[#This Row],[next move]],1))*3,1)</f>
        <v>V</v>
      </c>
      <c r="I5109" t="str">
        <f>Table132[[#This Row],[ÉTAT]]&amp;Table132[[#This Row],[next move]]</f>
        <v>EVVEVVMMV22</v>
      </c>
    </row>
    <row r="5110" spans="2:9" x14ac:dyDescent="0.25">
      <c r="B5110" t="s">
        <v>3325</v>
      </c>
      <c r="C5110" s="22" t="s">
        <v>29</v>
      </c>
      <c r="D5110">
        <v>1</v>
      </c>
      <c r="E5110">
        <v>1</v>
      </c>
      <c r="G5110" s="31">
        <f>Table132[[#This Row],[nb win]]/Table132[[#This Row],[nb play]]</f>
        <v>1</v>
      </c>
      <c r="H5110" t="str">
        <f>MID(Table132[[#This Row],[ÉTAT]],VALUE(RIGHT(Table132[[#This Row],[next move]],1))+1+VALUE(LEFT(Table132[[#This Row],[next move]],1))*3,1)</f>
        <v>V</v>
      </c>
      <c r="I5110" t="str">
        <f>Table132[[#This Row],[ÉTAT]]&amp;Table132[[#This Row],[next move]]</f>
        <v>EVVEVVMME11</v>
      </c>
    </row>
    <row r="5111" spans="2:9" x14ac:dyDescent="0.25">
      <c r="B5111" t="s">
        <v>3358</v>
      </c>
      <c r="C5111" s="22" t="s">
        <v>28</v>
      </c>
      <c r="D5111">
        <v>2</v>
      </c>
      <c r="E5111">
        <v>1</v>
      </c>
      <c r="G5111" s="30">
        <f>Table132[[#This Row],[nb win]]/Table132[[#This Row],[nb play]]</f>
        <v>0.5</v>
      </c>
      <c r="H5111" t="str">
        <f>MID(Table132[[#This Row],[ÉTAT]],VALUE(RIGHT(Table132[[#This Row],[next move]],1))+1+VALUE(LEFT(Table132[[#This Row],[next move]],1))*3,1)</f>
        <v>V</v>
      </c>
      <c r="I5111" t="str">
        <f>Table132[[#This Row],[ÉTAT]]&amp;Table132[[#This Row],[next move]]</f>
        <v>EVVEVVMEM12</v>
      </c>
    </row>
    <row r="5112" spans="2:9" x14ac:dyDescent="0.25">
      <c r="B5112" t="s">
        <v>56</v>
      </c>
      <c r="C5112" s="22" t="s">
        <v>26</v>
      </c>
      <c r="D5112">
        <v>5</v>
      </c>
      <c r="E5112">
        <v>1</v>
      </c>
      <c r="G5112" s="25">
        <f>Table132[[#This Row],[nb win]]/Table132[[#This Row],[nb play]]</f>
        <v>0.2</v>
      </c>
      <c r="H5112" t="str">
        <f>MID(Table132[[#This Row],[ÉTAT]],VALUE(RIGHT(Table132[[#This Row],[next move]],1))+1+VALUE(LEFT(Table132[[#This Row],[next move]],1))*3,1)</f>
        <v>V</v>
      </c>
      <c r="I5112" t="str">
        <f>Table132[[#This Row],[ÉTAT]]&amp;Table132[[#This Row],[next move]]</f>
        <v>EVVEVMVVV01</v>
      </c>
    </row>
    <row r="5113" spans="2:9" x14ac:dyDescent="0.25">
      <c r="B5113" t="s">
        <v>56</v>
      </c>
      <c r="C5113" s="22" t="s">
        <v>20</v>
      </c>
      <c r="D5113">
        <v>2</v>
      </c>
      <c r="G5113" s="25">
        <f>Table132[[#This Row],[nb win]]/Table132[[#This Row],[nb play]]</f>
        <v>0</v>
      </c>
      <c r="H5113" t="str">
        <f>MID(Table132[[#This Row],[ÉTAT]],VALUE(RIGHT(Table132[[#This Row],[next move]],1))+1+VALUE(LEFT(Table132[[#This Row],[next move]],1))*3,1)</f>
        <v>V</v>
      </c>
      <c r="I5113" t="str">
        <f>Table132[[#This Row],[ÉTAT]]&amp;Table132[[#This Row],[next move]]</f>
        <v>EVVEVMVVV02</v>
      </c>
    </row>
    <row r="5114" spans="2:9" x14ac:dyDescent="0.25">
      <c r="B5114" t="s">
        <v>56</v>
      </c>
      <c r="C5114" s="22" t="s">
        <v>29</v>
      </c>
      <c r="D5114">
        <v>4</v>
      </c>
      <c r="E5114">
        <v>1</v>
      </c>
      <c r="G5114" s="30">
        <f>Table132[[#This Row],[nb win]]/Table132[[#This Row],[nb play]]</f>
        <v>0.25</v>
      </c>
      <c r="H5114" t="str">
        <f>MID(Table132[[#This Row],[ÉTAT]],VALUE(RIGHT(Table132[[#This Row],[next move]],1))+1+VALUE(LEFT(Table132[[#This Row],[next move]],1))*3,1)</f>
        <v>V</v>
      </c>
      <c r="I5114" t="str">
        <f>Table132[[#This Row],[ÉTAT]]&amp;Table132[[#This Row],[next move]]</f>
        <v>EVVEVMVVV11</v>
      </c>
    </row>
    <row r="5115" spans="2:9" x14ac:dyDescent="0.25">
      <c r="B5115" t="s">
        <v>56</v>
      </c>
      <c r="C5115" s="22" t="s">
        <v>35</v>
      </c>
      <c r="D5115">
        <v>4</v>
      </c>
      <c r="E5115">
        <v>2</v>
      </c>
      <c r="G5115" s="31">
        <f>Table132[[#This Row],[nb win]]/Table132[[#This Row],[nb play]]</f>
        <v>0.5</v>
      </c>
      <c r="H5115" t="str">
        <f>MID(Table132[[#This Row],[ÉTAT]],VALUE(RIGHT(Table132[[#This Row],[next move]],1))+1+VALUE(LEFT(Table132[[#This Row],[next move]],1))*3,1)</f>
        <v>V</v>
      </c>
      <c r="I5115" t="str">
        <f>Table132[[#This Row],[ÉTAT]]&amp;Table132[[#This Row],[next move]]</f>
        <v>EVVEVMVVV20</v>
      </c>
    </row>
    <row r="5116" spans="2:9" x14ac:dyDescent="0.25">
      <c r="B5116" t="s">
        <v>56</v>
      </c>
      <c r="C5116" s="22" t="s">
        <v>22</v>
      </c>
      <c r="D5116">
        <v>5</v>
      </c>
      <c r="E5116">
        <v>1</v>
      </c>
      <c r="G5116" s="30">
        <f>Table132[[#This Row],[nb win]]/Table132[[#This Row],[nb play]]</f>
        <v>0.2</v>
      </c>
      <c r="H5116" t="str">
        <f>MID(Table132[[#This Row],[ÉTAT]],VALUE(RIGHT(Table132[[#This Row],[next move]],1))+1+VALUE(LEFT(Table132[[#This Row],[next move]],1))*3,1)</f>
        <v>V</v>
      </c>
      <c r="I5116" t="str">
        <f>Table132[[#This Row],[ÉTAT]]&amp;Table132[[#This Row],[next move]]</f>
        <v>EVVEVMVVV21</v>
      </c>
    </row>
    <row r="5117" spans="2:9" x14ac:dyDescent="0.25">
      <c r="B5117" t="s">
        <v>56</v>
      </c>
      <c r="C5117" s="22" t="s">
        <v>31</v>
      </c>
      <c r="D5117">
        <v>3</v>
      </c>
      <c r="G5117" s="30">
        <f>Table132[[#This Row],[nb win]]/Table132[[#This Row],[nb play]]</f>
        <v>0</v>
      </c>
      <c r="H5117" t="str">
        <f>MID(Table132[[#This Row],[ÉTAT]],VALUE(RIGHT(Table132[[#This Row],[next move]],1))+1+VALUE(LEFT(Table132[[#This Row],[next move]],1))*3,1)</f>
        <v>V</v>
      </c>
      <c r="I5117" t="str">
        <f>Table132[[#This Row],[ÉTAT]]&amp;Table132[[#This Row],[next move]]</f>
        <v>EVVEVMVVV22</v>
      </c>
    </row>
    <row r="5118" spans="2:9" x14ac:dyDescent="0.25">
      <c r="B5118" t="s">
        <v>1541</v>
      </c>
      <c r="C5118" s="22" t="s">
        <v>35</v>
      </c>
      <c r="D5118">
        <v>2</v>
      </c>
      <c r="E5118">
        <v>2</v>
      </c>
      <c r="G5118" s="31">
        <f>Table132[[#This Row],[nb win]]/Table132[[#This Row],[nb play]]</f>
        <v>1</v>
      </c>
      <c r="H5118" t="str">
        <f>MID(Table132[[#This Row],[ÉTAT]],VALUE(RIGHT(Table132[[#This Row],[next move]],1))+1+VALUE(LEFT(Table132[[#This Row],[next move]],1))*3,1)</f>
        <v>V</v>
      </c>
      <c r="I5118" t="str">
        <f>Table132[[#This Row],[ÉTAT]]&amp;Table132[[#This Row],[next move]]</f>
        <v>EVVEVMVMV20</v>
      </c>
    </row>
    <row r="5119" spans="2:9" x14ac:dyDescent="0.25">
      <c r="B5119" t="s">
        <v>1236</v>
      </c>
      <c r="C5119" s="22" t="s">
        <v>22</v>
      </c>
      <c r="D5119">
        <v>6</v>
      </c>
      <c r="E5119">
        <v>6</v>
      </c>
      <c r="G5119" s="31">
        <f>Table132[[#This Row],[nb win]]/Table132[[#This Row],[nb play]]</f>
        <v>1</v>
      </c>
      <c r="H5119" t="str">
        <f>MID(Table132[[#This Row],[ÉTAT]],VALUE(RIGHT(Table132[[#This Row],[next move]],1))+1+VALUE(LEFT(Table132[[#This Row],[next move]],1))*3,1)</f>
        <v>V</v>
      </c>
      <c r="I5119" t="str">
        <f>Table132[[#This Row],[ÉTAT]]&amp;Table132[[#This Row],[next move]]</f>
        <v>EVVEVMMVV21</v>
      </c>
    </row>
    <row r="5120" spans="2:9" x14ac:dyDescent="0.25">
      <c r="B5120" t="s">
        <v>3300</v>
      </c>
      <c r="C5120" s="22" t="s">
        <v>20</v>
      </c>
      <c r="D5120">
        <v>1</v>
      </c>
      <c r="G5120" s="30">
        <f>Table132[[#This Row],[nb win]]/Table132[[#This Row],[nb play]]</f>
        <v>0</v>
      </c>
      <c r="H5120" t="str">
        <f>MID(Table132[[#This Row],[ÉTAT]],VALUE(RIGHT(Table132[[#This Row],[next move]],1))+1+VALUE(LEFT(Table132[[#This Row],[next move]],1))*3,1)</f>
        <v>V</v>
      </c>
      <c r="I5120" t="str">
        <f>Table132[[#This Row],[ÉTAT]]&amp;Table132[[#This Row],[next move]]</f>
        <v>EVVEVMMVE02</v>
      </c>
    </row>
    <row r="5121" spans="2:9" x14ac:dyDescent="0.25">
      <c r="B5121" t="s">
        <v>831</v>
      </c>
      <c r="C5121" s="22" t="s">
        <v>26</v>
      </c>
      <c r="D5121">
        <v>2</v>
      </c>
      <c r="G5121" s="30">
        <f>Table132[[#This Row],[nb win]]/Table132[[#This Row],[nb play]]</f>
        <v>0</v>
      </c>
      <c r="H5121" t="str">
        <f>MID(Table132[[#This Row],[ÉTAT]],VALUE(RIGHT(Table132[[#This Row],[next move]],1))+1+VALUE(LEFT(Table132[[#This Row],[next move]],1))*3,1)</f>
        <v>V</v>
      </c>
      <c r="I5121" t="str">
        <f>Table132[[#This Row],[ÉTAT]]&amp;Table132[[#This Row],[next move]]</f>
        <v>EVVEVMMME01</v>
      </c>
    </row>
    <row r="5122" spans="2:9" x14ac:dyDescent="0.25">
      <c r="B5122" t="s">
        <v>831</v>
      </c>
      <c r="C5122" s="22" t="s">
        <v>29</v>
      </c>
      <c r="D5122">
        <v>3</v>
      </c>
      <c r="E5122">
        <v>3</v>
      </c>
      <c r="G5122" s="31">
        <f>Table132[[#This Row],[nb win]]/Table132[[#This Row],[nb play]]</f>
        <v>1</v>
      </c>
      <c r="H5122" t="str">
        <f>MID(Table132[[#This Row],[ÉTAT]],VALUE(RIGHT(Table132[[#This Row],[next move]],1))+1+VALUE(LEFT(Table132[[#This Row],[next move]],1))*3,1)</f>
        <v>V</v>
      </c>
      <c r="I5122" t="str">
        <f>Table132[[#This Row],[ÉTAT]]&amp;Table132[[#This Row],[next move]]</f>
        <v>EVVEVMMME11</v>
      </c>
    </row>
    <row r="5123" spans="2:9" x14ac:dyDescent="0.25">
      <c r="B5123" t="s">
        <v>819</v>
      </c>
      <c r="C5123" s="22" t="s">
        <v>20</v>
      </c>
      <c r="D5123">
        <v>3</v>
      </c>
      <c r="E5123">
        <v>3</v>
      </c>
      <c r="G5123" s="31">
        <f>Table132[[#This Row],[nb win]]/Table132[[#This Row],[nb play]]</f>
        <v>1</v>
      </c>
      <c r="H5123" t="str">
        <f>MID(Table132[[#This Row],[ÉTAT]],VALUE(RIGHT(Table132[[#This Row],[next move]],1))+1+VALUE(LEFT(Table132[[#This Row],[next move]],1))*3,1)</f>
        <v>V</v>
      </c>
      <c r="I5123" t="str">
        <f>Table132[[#This Row],[ÉTAT]]&amp;Table132[[#This Row],[next move]]</f>
        <v>EVVEVMMEV02</v>
      </c>
    </row>
    <row r="5124" spans="2:9" x14ac:dyDescent="0.25">
      <c r="B5124" t="s">
        <v>765</v>
      </c>
      <c r="C5124" s="22" t="s">
        <v>26</v>
      </c>
      <c r="D5124">
        <v>4</v>
      </c>
      <c r="G5124" s="25">
        <f>Table132[[#This Row],[nb win]]/Table132[[#This Row],[nb play]]</f>
        <v>0</v>
      </c>
      <c r="H5124" t="str">
        <f>MID(Table132[[#This Row],[ÉTAT]],VALUE(RIGHT(Table132[[#This Row],[next move]],1))+1+VALUE(LEFT(Table132[[#This Row],[next move]],1))*3,1)</f>
        <v>V</v>
      </c>
      <c r="I5124" t="str">
        <f>Table132[[#This Row],[ÉTAT]]&amp;Table132[[#This Row],[next move]]</f>
        <v>EVVEVEVMM01</v>
      </c>
    </row>
    <row r="5125" spans="2:9" x14ac:dyDescent="0.25">
      <c r="B5125" t="s">
        <v>765</v>
      </c>
      <c r="C5125" s="22" t="s">
        <v>20</v>
      </c>
      <c r="D5125">
        <v>2</v>
      </c>
      <c r="E5125">
        <v>1</v>
      </c>
      <c r="G5125" s="30">
        <f>Table132[[#This Row],[nb win]]/Table132[[#This Row],[nb play]]</f>
        <v>0.5</v>
      </c>
      <c r="H5125" t="str">
        <f>MID(Table132[[#This Row],[ÉTAT]],VALUE(RIGHT(Table132[[#This Row],[next move]],1))+1+VALUE(LEFT(Table132[[#This Row],[next move]],1))*3,1)</f>
        <v>V</v>
      </c>
      <c r="I5125" t="str">
        <f>Table132[[#This Row],[ÉTAT]]&amp;Table132[[#This Row],[next move]]</f>
        <v>EVVEVEVMM02</v>
      </c>
    </row>
    <row r="5126" spans="2:9" x14ac:dyDescent="0.25">
      <c r="B5126" t="s">
        <v>765</v>
      </c>
      <c r="C5126" s="22" t="s">
        <v>29</v>
      </c>
      <c r="D5126">
        <v>2</v>
      </c>
      <c r="E5126">
        <v>1</v>
      </c>
      <c r="G5126" s="31">
        <f>Table132[[#This Row],[nb win]]/Table132[[#This Row],[nb play]]</f>
        <v>0.5</v>
      </c>
      <c r="H5126" t="str">
        <f>MID(Table132[[#This Row],[ÉTAT]],VALUE(RIGHT(Table132[[#This Row],[next move]],1))+1+VALUE(LEFT(Table132[[#This Row],[next move]],1))*3,1)</f>
        <v>V</v>
      </c>
      <c r="I5126" t="str">
        <f>Table132[[#This Row],[ÉTAT]]&amp;Table132[[#This Row],[next move]]</f>
        <v>EVVEVEVMM11</v>
      </c>
    </row>
    <row r="5127" spans="2:9" x14ac:dyDescent="0.25">
      <c r="B5127" t="s">
        <v>765</v>
      </c>
      <c r="C5127" s="22" t="s">
        <v>35</v>
      </c>
      <c r="D5127">
        <v>1</v>
      </c>
      <c r="E5127">
        <v>1</v>
      </c>
      <c r="G5127" s="31">
        <f>Table132[[#This Row],[nb win]]/Table132[[#This Row],[nb play]]</f>
        <v>1</v>
      </c>
      <c r="H5127" t="str">
        <f>MID(Table132[[#This Row],[ÉTAT]],VALUE(RIGHT(Table132[[#This Row],[next move]],1))+1+VALUE(LEFT(Table132[[#This Row],[next move]],1))*3,1)</f>
        <v>V</v>
      </c>
      <c r="I5127" t="str">
        <f>Table132[[#This Row],[ÉTAT]]&amp;Table132[[#This Row],[next move]]</f>
        <v>EVVEVEVMM20</v>
      </c>
    </row>
    <row r="5128" spans="2:9" x14ac:dyDescent="0.25">
      <c r="B5128" t="s">
        <v>1972</v>
      </c>
      <c r="C5128" s="22" t="s">
        <v>20</v>
      </c>
      <c r="D5128">
        <v>2</v>
      </c>
      <c r="G5128" s="30">
        <f>Table132[[#This Row],[nb win]]/Table132[[#This Row],[nb play]]</f>
        <v>0</v>
      </c>
      <c r="H5128" t="str">
        <f>MID(Table132[[#This Row],[ÉTAT]],VALUE(RIGHT(Table132[[#This Row],[next move]],1))+1+VALUE(LEFT(Table132[[#This Row],[next move]],1))*3,1)</f>
        <v>V</v>
      </c>
      <c r="I5128" t="str">
        <f>Table132[[#This Row],[ÉTAT]]&amp;Table132[[#This Row],[next move]]</f>
        <v>EVVEVEMVM02</v>
      </c>
    </row>
    <row r="5129" spans="2:9" x14ac:dyDescent="0.25">
      <c r="B5129" t="s">
        <v>1972</v>
      </c>
      <c r="C5129" s="22" t="s">
        <v>22</v>
      </c>
      <c r="D5129">
        <v>2</v>
      </c>
      <c r="E5129">
        <v>2</v>
      </c>
      <c r="G5129" s="31">
        <f>Table132[[#This Row],[nb win]]/Table132[[#This Row],[nb play]]</f>
        <v>1</v>
      </c>
      <c r="H5129" t="str">
        <f>MID(Table132[[#This Row],[ÉTAT]],VALUE(RIGHT(Table132[[#This Row],[next move]],1))+1+VALUE(LEFT(Table132[[#This Row],[next move]],1))*3,1)</f>
        <v>V</v>
      </c>
      <c r="I5129" t="str">
        <f>Table132[[#This Row],[ÉTAT]]&amp;Table132[[#This Row],[next move]]</f>
        <v>EVVEVEMVM21</v>
      </c>
    </row>
    <row r="5130" spans="2:9" x14ac:dyDescent="0.25">
      <c r="B5130" t="s">
        <v>3349</v>
      </c>
      <c r="C5130" s="22" t="s">
        <v>26</v>
      </c>
      <c r="D5130">
        <v>1</v>
      </c>
      <c r="G5130" s="30">
        <f>Table132[[#This Row],[nb win]]/Table132[[#This Row],[nb play]]</f>
        <v>0</v>
      </c>
      <c r="H5130" t="str">
        <f>MID(Table132[[#This Row],[ÉTAT]],VALUE(RIGHT(Table132[[#This Row],[next move]],1))+1+VALUE(LEFT(Table132[[#This Row],[next move]],1))*3,1)</f>
        <v>V</v>
      </c>
      <c r="I5130" t="str">
        <f>Table132[[#This Row],[ÉTAT]]&amp;Table132[[#This Row],[next move]]</f>
        <v>EVVEVEMMV01</v>
      </c>
    </row>
    <row r="5131" spans="2:9" x14ac:dyDescent="0.25">
      <c r="B5131" t="s">
        <v>3349</v>
      </c>
      <c r="C5131" s="22" t="s">
        <v>31</v>
      </c>
      <c r="D5131">
        <v>1</v>
      </c>
      <c r="E5131">
        <v>1</v>
      </c>
      <c r="G5131" s="31">
        <f>Table132[[#This Row],[nb win]]/Table132[[#This Row],[nb play]]</f>
        <v>1</v>
      </c>
      <c r="H5131" t="str">
        <f>MID(Table132[[#This Row],[ÉTAT]],VALUE(RIGHT(Table132[[#This Row],[next move]],1))+1+VALUE(LEFT(Table132[[#This Row],[next move]],1))*3,1)</f>
        <v>V</v>
      </c>
      <c r="I5131" t="str">
        <f>Table132[[#This Row],[ÉTAT]]&amp;Table132[[#This Row],[next move]]</f>
        <v>EVVEVEMMV22</v>
      </c>
    </row>
    <row r="5132" spans="2:9" x14ac:dyDescent="0.25">
      <c r="B5132" t="s">
        <v>126</v>
      </c>
      <c r="C5132" s="22" t="s">
        <v>26</v>
      </c>
      <c r="D5132">
        <v>6</v>
      </c>
      <c r="E5132">
        <v>4</v>
      </c>
      <c r="G5132" s="30">
        <f>Table132[[#This Row],[nb win]]/Table132[[#This Row],[nb play]]</f>
        <v>0.66666666666666663</v>
      </c>
      <c r="H5132" t="str">
        <f>MID(Table132[[#This Row],[ÉTAT]],VALUE(RIGHT(Table132[[#This Row],[next move]],1))+1+VALUE(LEFT(Table132[[#This Row],[next move]],1))*3,1)</f>
        <v>V</v>
      </c>
      <c r="I5132" t="str">
        <f>Table132[[#This Row],[ÉTAT]]&amp;Table132[[#This Row],[next move]]</f>
        <v>EVVEMVVVV01</v>
      </c>
    </row>
    <row r="5133" spans="2:9" x14ac:dyDescent="0.25">
      <c r="B5133" t="s">
        <v>126</v>
      </c>
      <c r="C5133" s="22" t="s">
        <v>20</v>
      </c>
      <c r="D5133">
        <v>2</v>
      </c>
      <c r="G5133" s="25">
        <f>Table132[[#This Row],[nb win]]/Table132[[#This Row],[nb play]]</f>
        <v>0</v>
      </c>
      <c r="H5133" t="str">
        <f>MID(Table132[[#This Row],[ÉTAT]],VALUE(RIGHT(Table132[[#This Row],[next move]],1))+1+VALUE(LEFT(Table132[[#This Row],[next move]],1))*3,1)</f>
        <v>V</v>
      </c>
      <c r="I5133" t="str">
        <f>Table132[[#This Row],[ÉTAT]]&amp;Table132[[#This Row],[next move]]</f>
        <v>EVVEMVVVV02</v>
      </c>
    </row>
    <row r="5134" spans="2:9" x14ac:dyDescent="0.25">
      <c r="B5134" t="s">
        <v>126</v>
      </c>
      <c r="C5134" s="22" t="s">
        <v>35</v>
      </c>
      <c r="D5134">
        <v>6</v>
      </c>
      <c r="E5134">
        <v>6</v>
      </c>
      <c r="G5134" s="31">
        <f>Table132[[#This Row],[nb win]]/Table132[[#This Row],[nb play]]</f>
        <v>1</v>
      </c>
      <c r="H5134" t="str">
        <f>MID(Table132[[#This Row],[ÉTAT]],VALUE(RIGHT(Table132[[#This Row],[next move]],1))+1+VALUE(LEFT(Table132[[#This Row],[next move]],1))*3,1)</f>
        <v>V</v>
      </c>
      <c r="I5134" t="str">
        <f>Table132[[#This Row],[ÉTAT]]&amp;Table132[[#This Row],[next move]]</f>
        <v>EVVEMVVVV20</v>
      </c>
    </row>
    <row r="5135" spans="2:9" x14ac:dyDescent="0.25">
      <c r="B5135" t="s">
        <v>126</v>
      </c>
      <c r="C5135" s="22" t="s">
        <v>22</v>
      </c>
      <c r="D5135">
        <v>5</v>
      </c>
      <c r="G5135" s="30">
        <f>Table132[[#This Row],[nb win]]/Table132[[#This Row],[nb play]]</f>
        <v>0</v>
      </c>
      <c r="H5135" t="str">
        <f>MID(Table132[[#This Row],[ÉTAT]],VALUE(RIGHT(Table132[[#This Row],[next move]],1))+1+VALUE(LEFT(Table132[[#This Row],[next move]],1))*3,1)</f>
        <v>V</v>
      </c>
      <c r="I5135" t="str">
        <f>Table132[[#This Row],[ÉTAT]]&amp;Table132[[#This Row],[next move]]</f>
        <v>EVVEMVVVV21</v>
      </c>
    </row>
    <row r="5136" spans="2:9" x14ac:dyDescent="0.25">
      <c r="B5136" t="s">
        <v>292</v>
      </c>
      <c r="C5136" s="22" t="s">
        <v>26</v>
      </c>
      <c r="D5136">
        <v>2</v>
      </c>
      <c r="E5136">
        <v>1</v>
      </c>
      <c r="G5136" s="30">
        <f>Table132[[#This Row],[nb win]]/Table132[[#This Row],[nb play]]</f>
        <v>0.5</v>
      </c>
      <c r="H5136" t="str">
        <f>MID(Table132[[#This Row],[ÉTAT]],VALUE(RIGHT(Table132[[#This Row],[next move]],1))+1+VALUE(LEFT(Table132[[#This Row],[next move]],1))*3,1)</f>
        <v>V</v>
      </c>
      <c r="I5136" t="str">
        <f>Table132[[#This Row],[ÉTAT]]&amp;Table132[[#This Row],[next move]]</f>
        <v>EVVEMVVVM01</v>
      </c>
    </row>
    <row r="5137" spans="2:9" x14ac:dyDescent="0.25">
      <c r="B5137" t="s">
        <v>292</v>
      </c>
      <c r="C5137" s="22" t="s">
        <v>20</v>
      </c>
      <c r="D5137">
        <v>2</v>
      </c>
      <c r="E5137">
        <v>1</v>
      </c>
      <c r="G5137" s="25">
        <f>Table132[[#This Row],[nb win]]/Table132[[#This Row],[nb play]]</f>
        <v>0.5</v>
      </c>
      <c r="H5137" t="str">
        <f>MID(Table132[[#This Row],[ÉTAT]],VALUE(RIGHT(Table132[[#This Row],[next move]],1))+1+VALUE(LEFT(Table132[[#This Row],[next move]],1))*3,1)</f>
        <v>V</v>
      </c>
      <c r="I5137" t="str">
        <f>Table132[[#This Row],[ÉTAT]]&amp;Table132[[#This Row],[next move]]</f>
        <v>EVVEMVVVM02</v>
      </c>
    </row>
    <row r="5138" spans="2:9" x14ac:dyDescent="0.25">
      <c r="B5138" t="s">
        <v>292</v>
      </c>
      <c r="C5138" s="22" t="s">
        <v>28</v>
      </c>
      <c r="D5138">
        <v>4</v>
      </c>
      <c r="G5138" s="30">
        <f>Table132[[#This Row],[nb win]]/Table132[[#This Row],[nb play]]</f>
        <v>0</v>
      </c>
      <c r="H5138" t="str">
        <f>MID(Table132[[#This Row],[ÉTAT]],VALUE(RIGHT(Table132[[#This Row],[next move]],1))+1+VALUE(LEFT(Table132[[#This Row],[next move]],1))*3,1)</f>
        <v>V</v>
      </c>
      <c r="I5138" t="str">
        <f>Table132[[#This Row],[ÉTAT]]&amp;Table132[[#This Row],[next move]]</f>
        <v>EVVEMVVVM12</v>
      </c>
    </row>
    <row r="5139" spans="2:9" x14ac:dyDescent="0.25">
      <c r="B5139" t="s">
        <v>292</v>
      </c>
      <c r="C5139" s="22" t="s">
        <v>35</v>
      </c>
      <c r="D5139">
        <v>3</v>
      </c>
      <c r="E5139">
        <v>2</v>
      </c>
      <c r="G5139" s="25">
        <f>Table132[[#This Row],[nb win]]/Table132[[#This Row],[nb play]]</f>
        <v>0.66666666666666663</v>
      </c>
      <c r="H5139" t="str">
        <f>MID(Table132[[#This Row],[ÉTAT]],VALUE(RIGHT(Table132[[#This Row],[next move]],1))+1+VALUE(LEFT(Table132[[#This Row],[next move]],1))*3,1)</f>
        <v>V</v>
      </c>
      <c r="I5139" t="str">
        <f>Table132[[#This Row],[ÉTAT]]&amp;Table132[[#This Row],[next move]]</f>
        <v>EVVEMVVVM20</v>
      </c>
    </row>
    <row r="5140" spans="2:9" x14ac:dyDescent="0.25">
      <c r="B5140" t="s">
        <v>292</v>
      </c>
      <c r="C5140" s="22" t="s">
        <v>22</v>
      </c>
      <c r="D5140">
        <v>1</v>
      </c>
      <c r="G5140" s="25">
        <f>Table132[[#This Row],[nb win]]/Table132[[#This Row],[nb play]]</f>
        <v>0</v>
      </c>
      <c r="H5140" t="str">
        <f>MID(Table132[[#This Row],[ÉTAT]],VALUE(RIGHT(Table132[[#This Row],[next move]],1))+1+VALUE(LEFT(Table132[[#This Row],[next move]],1))*3,1)</f>
        <v>V</v>
      </c>
      <c r="I5140" t="str">
        <f>Table132[[#This Row],[ÉTAT]]&amp;Table132[[#This Row],[next move]]</f>
        <v>EVVEMVVVM21</v>
      </c>
    </row>
    <row r="5141" spans="2:9" x14ac:dyDescent="0.25">
      <c r="B5141" t="s">
        <v>1316</v>
      </c>
      <c r="C5141" s="22" t="s">
        <v>26</v>
      </c>
      <c r="D5141">
        <v>1</v>
      </c>
      <c r="E5141">
        <v>1</v>
      </c>
      <c r="G5141" s="25">
        <f>Table132[[#This Row],[nb win]]/Table132[[#This Row],[nb play]]</f>
        <v>1</v>
      </c>
      <c r="H5141" t="str">
        <f>MID(Table132[[#This Row],[ÉTAT]],VALUE(RIGHT(Table132[[#This Row],[next move]],1))+1+VALUE(LEFT(Table132[[#This Row],[next move]],1))*3,1)</f>
        <v>V</v>
      </c>
      <c r="I5141" t="str">
        <f>Table132[[#This Row],[ÉTAT]]&amp;Table132[[#This Row],[next move]]</f>
        <v>EVVEMVVMV01</v>
      </c>
    </row>
    <row r="5142" spans="2:9" x14ac:dyDescent="0.25">
      <c r="B5142" t="s">
        <v>1316</v>
      </c>
      <c r="C5142" s="22" t="s">
        <v>20</v>
      </c>
      <c r="D5142">
        <v>3</v>
      </c>
      <c r="G5142" s="30">
        <f>Table132[[#This Row],[nb win]]/Table132[[#This Row],[nb play]]</f>
        <v>0</v>
      </c>
      <c r="H5142" t="str">
        <f>MID(Table132[[#This Row],[ÉTAT]],VALUE(RIGHT(Table132[[#This Row],[next move]],1))+1+VALUE(LEFT(Table132[[#This Row],[next move]],1))*3,1)</f>
        <v>V</v>
      </c>
      <c r="I5142" t="str">
        <f>Table132[[#This Row],[ÉTAT]]&amp;Table132[[#This Row],[next move]]</f>
        <v>EVVEMVVMV02</v>
      </c>
    </row>
    <row r="5143" spans="2:9" x14ac:dyDescent="0.25">
      <c r="B5143" t="s">
        <v>1316</v>
      </c>
      <c r="C5143" s="22" t="s">
        <v>28</v>
      </c>
      <c r="D5143">
        <v>2</v>
      </c>
      <c r="G5143" s="30">
        <f>Table132[[#This Row],[nb win]]/Table132[[#This Row],[nb play]]</f>
        <v>0</v>
      </c>
      <c r="H5143" t="str">
        <f>MID(Table132[[#This Row],[ÉTAT]],VALUE(RIGHT(Table132[[#This Row],[next move]],1))+1+VALUE(LEFT(Table132[[#This Row],[next move]],1))*3,1)</f>
        <v>V</v>
      </c>
      <c r="I5143" t="str">
        <f>Table132[[#This Row],[ÉTAT]]&amp;Table132[[#This Row],[next move]]</f>
        <v>EVVEMVVMV12</v>
      </c>
    </row>
    <row r="5144" spans="2:9" x14ac:dyDescent="0.25">
      <c r="B5144" t="s">
        <v>1316</v>
      </c>
      <c r="C5144" s="22" t="s">
        <v>31</v>
      </c>
      <c r="D5144">
        <v>3</v>
      </c>
      <c r="E5144">
        <v>2</v>
      </c>
      <c r="G5144" s="25">
        <f>Table132[[#This Row],[nb win]]/Table132[[#This Row],[nb play]]</f>
        <v>0.66666666666666663</v>
      </c>
      <c r="H5144" t="str">
        <f>MID(Table132[[#This Row],[ÉTAT]],VALUE(RIGHT(Table132[[#This Row],[next move]],1))+1+VALUE(LEFT(Table132[[#This Row],[next move]],1))*3,1)</f>
        <v>V</v>
      </c>
      <c r="I5144" t="str">
        <f>Table132[[#This Row],[ÉTAT]]&amp;Table132[[#This Row],[next move]]</f>
        <v>EVVEMVVMV22</v>
      </c>
    </row>
    <row r="5145" spans="2:9" x14ac:dyDescent="0.25">
      <c r="B5145" t="s">
        <v>2387</v>
      </c>
      <c r="C5145" s="22" t="s">
        <v>20</v>
      </c>
      <c r="D5145">
        <v>1</v>
      </c>
      <c r="E5145">
        <v>1</v>
      </c>
      <c r="G5145" s="25">
        <f>Table132[[#This Row],[nb win]]/Table132[[#This Row],[nb play]]</f>
        <v>1</v>
      </c>
      <c r="H5145" t="str">
        <f>MID(Table132[[#This Row],[ÉTAT]],VALUE(RIGHT(Table132[[#This Row],[next move]],1))+1+VALUE(LEFT(Table132[[#This Row],[next move]],1))*3,1)</f>
        <v>V</v>
      </c>
      <c r="I5145" t="str">
        <f>Table132[[#This Row],[ÉTAT]]&amp;Table132[[#This Row],[next move]]</f>
        <v>EVVEMVVEM02</v>
      </c>
    </row>
    <row r="5146" spans="2:9" x14ac:dyDescent="0.25">
      <c r="B5146" t="s">
        <v>1360</v>
      </c>
      <c r="C5146" s="22" t="s">
        <v>20</v>
      </c>
      <c r="D5146">
        <v>8</v>
      </c>
      <c r="E5146">
        <v>8</v>
      </c>
      <c r="G5146" s="31">
        <f>Table132[[#This Row],[nb win]]/Table132[[#This Row],[nb play]]</f>
        <v>1</v>
      </c>
      <c r="H5146" t="str">
        <f>MID(Table132[[#This Row],[ÉTAT]],VALUE(RIGHT(Table132[[#This Row],[next move]],1))+1+VALUE(LEFT(Table132[[#This Row],[next move]],1))*3,1)</f>
        <v>V</v>
      </c>
      <c r="I5146" t="str">
        <f>Table132[[#This Row],[ÉTAT]]&amp;Table132[[#This Row],[next move]]</f>
        <v>EVVEMVMVV02</v>
      </c>
    </row>
    <row r="5147" spans="2:9" x14ac:dyDescent="0.25">
      <c r="B5147" t="s">
        <v>211</v>
      </c>
      <c r="C5147" s="22" t="s">
        <v>20</v>
      </c>
      <c r="D5147">
        <v>2</v>
      </c>
      <c r="E5147">
        <v>2</v>
      </c>
      <c r="G5147" s="31">
        <f>Table132[[#This Row],[nb win]]/Table132[[#This Row],[nb play]]</f>
        <v>1</v>
      </c>
      <c r="H5147" t="str">
        <f>MID(Table132[[#This Row],[ÉTAT]],VALUE(RIGHT(Table132[[#This Row],[next move]],1))+1+VALUE(LEFT(Table132[[#This Row],[next move]],1))*3,1)</f>
        <v>V</v>
      </c>
      <c r="I5147" t="str">
        <f>Table132[[#This Row],[ÉTAT]]&amp;Table132[[#This Row],[next move]]</f>
        <v>EVVEMVMVE02</v>
      </c>
    </row>
    <row r="5148" spans="2:9" x14ac:dyDescent="0.25">
      <c r="B5148" t="s">
        <v>1781</v>
      </c>
      <c r="C5148" s="22" t="s">
        <v>28</v>
      </c>
      <c r="D5148">
        <v>3</v>
      </c>
      <c r="E5148">
        <v>3</v>
      </c>
      <c r="G5148" s="31">
        <f>Table132[[#This Row],[nb win]]/Table132[[#This Row],[nb play]]</f>
        <v>1</v>
      </c>
      <c r="H5148" t="str">
        <f>MID(Table132[[#This Row],[ÉTAT]],VALUE(RIGHT(Table132[[#This Row],[next move]],1))+1+VALUE(LEFT(Table132[[#This Row],[next move]],1))*3,1)</f>
        <v>V</v>
      </c>
      <c r="I5148" t="str">
        <f>Table132[[#This Row],[ÉTAT]]&amp;Table132[[#This Row],[next move]]</f>
        <v>EVVEMVMME12</v>
      </c>
    </row>
    <row r="5149" spans="2:9" x14ac:dyDescent="0.25">
      <c r="B5149" t="s">
        <v>192</v>
      </c>
      <c r="C5149" s="22" t="s">
        <v>20</v>
      </c>
      <c r="D5149">
        <v>5</v>
      </c>
      <c r="E5149">
        <v>5</v>
      </c>
      <c r="G5149" s="31">
        <f>Table132[[#This Row],[nb win]]/Table132[[#This Row],[nb play]]</f>
        <v>1</v>
      </c>
      <c r="H5149" t="str">
        <f>MID(Table132[[#This Row],[ÉTAT]],VALUE(RIGHT(Table132[[#This Row],[next move]],1))+1+VALUE(LEFT(Table132[[#This Row],[next move]],1))*3,1)</f>
        <v>V</v>
      </c>
      <c r="I5149" t="str">
        <f>Table132[[#This Row],[ÉTAT]]&amp;Table132[[#This Row],[next move]]</f>
        <v>EVVEMVMEV02</v>
      </c>
    </row>
    <row r="5150" spans="2:9" x14ac:dyDescent="0.25">
      <c r="B5150" t="s">
        <v>225</v>
      </c>
      <c r="C5150" s="22" t="s">
        <v>26</v>
      </c>
      <c r="D5150">
        <v>2</v>
      </c>
      <c r="G5150" s="30">
        <f>Table132[[#This Row],[nb win]]/Table132[[#This Row],[nb play]]</f>
        <v>0</v>
      </c>
      <c r="H5150" t="str">
        <f>MID(Table132[[#This Row],[ÉTAT]],VALUE(RIGHT(Table132[[#This Row],[next move]],1))+1+VALUE(LEFT(Table132[[#This Row],[next move]],1))*3,1)</f>
        <v>V</v>
      </c>
      <c r="I5150" t="str">
        <f>Table132[[#This Row],[ÉTAT]]&amp;Table132[[#This Row],[next move]]</f>
        <v>EVVEMMVVV01</v>
      </c>
    </row>
    <row r="5151" spans="2:9" x14ac:dyDescent="0.25">
      <c r="B5151" t="s">
        <v>225</v>
      </c>
      <c r="C5151" s="22" t="s">
        <v>20</v>
      </c>
      <c r="D5151">
        <v>1</v>
      </c>
      <c r="E5151">
        <v>1</v>
      </c>
      <c r="G5151" s="25">
        <f>Table132[[#This Row],[nb win]]/Table132[[#This Row],[nb play]]</f>
        <v>1</v>
      </c>
      <c r="H5151" t="str">
        <f>MID(Table132[[#This Row],[ÉTAT]],VALUE(RIGHT(Table132[[#This Row],[next move]],1))+1+VALUE(LEFT(Table132[[#This Row],[next move]],1))*3,1)</f>
        <v>V</v>
      </c>
      <c r="I5151" t="str">
        <f>Table132[[#This Row],[ÉTAT]]&amp;Table132[[#This Row],[next move]]</f>
        <v>EVVEMMVVV02</v>
      </c>
    </row>
    <row r="5152" spans="2:9" x14ac:dyDescent="0.25">
      <c r="B5152" t="s">
        <v>225</v>
      </c>
      <c r="C5152" s="22" t="s">
        <v>22</v>
      </c>
      <c r="D5152">
        <v>3</v>
      </c>
      <c r="E5152">
        <v>1</v>
      </c>
      <c r="G5152" s="30">
        <f>Table132[[#This Row],[nb win]]/Table132[[#This Row],[nb play]]</f>
        <v>0.33333333333333331</v>
      </c>
      <c r="H5152" t="str">
        <f>MID(Table132[[#This Row],[ÉTAT]],VALUE(RIGHT(Table132[[#This Row],[next move]],1))+1+VALUE(LEFT(Table132[[#This Row],[next move]],1))*3,1)</f>
        <v>V</v>
      </c>
      <c r="I5152" t="str">
        <f>Table132[[#This Row],[ÉTAT]]&amp;Table132[[#This Row],[next move]]</f>
        <v>EVVEMMVVV21</v>
      </c>
    </row>
    <row r="5153" spans="2:9" x14ac:dyDescent="0.25">
      <c r="B5153" t="s">
        <v>225</v>
      </c>
      <c r="C5153" s="22" t="s">
        <v>31</v>
      </c>
      <c r="D5153">
        <v>2</v>
      </c>
      <c r="G5153" s="30">
        <f>Table132[[#This Row],[nb win]]/Table132[[#This Row],[nb play]]</f>
        <v>0</v>
      </c>
      <c r="H5153" t="str">
        <f>MID(Table132[[#This Row],[ÉTAT]],VALUE(RIGHT(Table132[[#This Row],[next move]],1))+1+VALUE(LEFT(Table132[[#This Row],[next move]],1))*3,1)</f>
        <v>V</v>
      </c>
      <c r="I5153" t="str">
        <f>Table132[[#This Row],[ÉTAT]]&amp;Table132[[#This Row],[next move]]</f>
        <v>EVVEMMVVV22</v>
      </c>
    </row>
    <row r="5154" spans="2:9" x14ac:dyDescent="0.25">
      <c r="B5154" t="s">
        <v>1597</v>
      </c>
      <c r="C5154" s="22" t="s">
        <v>26</v>
      </c>
      <c r="D5154">
        <v>2</v>
      </c>
      <c r="G5154" s="30">
        <f>Table132[[#This Row],[nb win]]/Table132[[#This Row],[nb play]]</f>
        <v>0</v>
      </c>
      <c r="H5154" t="str">
        <f>MID(Table132[[#This Row],[ÉTAT]],VALUE(RIGHT(Table132[[#This Row],[next move]],1))+1+VALUE(LEFT(Table132[[#This Row],[next move]],1))*3,1)</f>
        <v>V</v>
      </c>
      <c r="I5154" t="str">
        <f>Table132[[#This Row],[ÉTAT]]&amp;Table132[[#This Row],[next move]]</f>
        <v>EVVEMMVVE01</v>
      </c>
    </row>
    <row r="5155" spans="2:9" x14ac:dyDescent="0.25">
      <c r="B5155" t="s">
        <v>1597</v>
      </c>
      <c r="C5155" s="22" t="s">
        <v>35</v>
      </c>
      <c r="D5155">
        <v>3</v>
      </c>
      <c r="E5155">
        <v>3</v>
      </c>
      <c r="G5155" s="31">
        <f>Table132[[#This Row],[nb win]]/Table132[[#This Row],[nb play]]</f>
        <v>1</v>
      </c>
      <c r="H5155" t="str">
        <f>MID(Table132[[#This Row],[ÉTAT]],VALUE(RIGHT(Table132[[#This Row],[next move]],1))+1+VALUE(LEFT(Table132[[#This Row],[next move]],1))*3,1)</f>
        <v>V</v>
      </c>
      <c r="I5155" t="str">
        <f>Table132[[#This Row],[ÉTAT]]&amp;Table132[[#This Row],[next move]]</f>
        <v>EVVEMMVVE20</v>
      </c>
    </row>
    <row r="5156" spans="2:9" x14ac:dyDescent="0.25">
      <c r="B5156" t="s">
        <v>1597</v>
      </c>
      <c r="C5156" s="22" t="s">
        <v>22</v>
      </c>
      <c r="D5156">
        <v>1</v>
      </c>
      <c r="G5156" s="25">
        <f>Table132[[#This Row],[nb win]]/Table132[[#This Row],[nb play]]</f>
        <v>0</v>
      </c>
      <c r="H5156" t="str">
        <f>MID(Table132[[#This Row],[ÉTAT]],VALUE(RIGHT(Table132[[#This Row],[next move]],1))+1+VALUE(LEFT(Table132[[#This Row],[next move]],1))*3,1)</f>
        <v>V</v>
      </c>
      <c r="I5156" t="str">
        <f>Table132[[#This Row],[ÉTAT]]&amp;Table132[[#This Row],[next move]]</f>
        <v>EVVEMMVVE21</v>
      </c>
    </row>
    <row r="5157" spans="2:9" x14ac:dyDescent="0.25">
      <c r="B5157" t="s">
        <v>176</v>
      </c>
      <c r="C5157" s="22" t="s">
        <v>26</v>
      </c>
      <c r="D5157">
        <v>2</v>
      </c>
      <c r="E5157">
        <v>2</v>
      </c>
      <c r="G5157" s="31">
        <f>Table132[[#This Row],[nb win]]/Table132[[#This Row],[nb play]]</f>
        <v>1</v>
      </c>
      <c r="H5157" t="str">
        <f>MID(Table132[[#This Row],[ÉTAT]],VALUE(RIGHT(Table132[[#This Row],[next move]],1))+1+VALUE(LEFT(Table132[[#This Row],[next move]],1))*3,1)</f>
        <v>V</v>
      </c>
      <c r="I5157" t="str">
        <f>Table132[[#This Row],[ÉTAT]]&amp;Table132[[#This Row],[next move]]</f>
        <v>EVVEMMVME01</v>
      </c>
    </row>
    <row r="5158" spans="2:9" x14ac:dyDescent="0.25">
      <c r="B5158" t="s">
        <v>176</v>
      </c>
      <c r="C5158" s="22" t="s">
        <v>35</v>
      </c>
      <c r="D5158">
        <v>1</v>
      </c>
      <c r="E5158">
        <v>1</v>
      </c>
      <c r="G5158" s="25">
        <f>Table132[[#This Row],[nb win]]/Table132[[#This Row],[nb play]]</f>
        <v>1</v>
      </c>
      <c r="H5158" t="str">
        <f>MID(Table132[[#This Row],[ÉTAT]],VALUE(RIGHT(Table132[[#This Row],[next move]],1))+1+VALUE(LEFT(Table132[[#This Row],[next move]],1))*3,1)</f>
        <v>V</v>
      </c>
      <c r="I5158" t="str">
        <f>Table132[[#This Row],[ÉTAT]]&amp;Table132[[#This Row],[next move]]</f>
        <v>EVVEMMVME20</v>
      </c>
    </row>
    <row r="5159" spans="2:9" x14ac:dyDescent="0.25">
      <c r="B5159" t="s">
        <v>3038</v>
      </c>
      <c r="C5159" s="22" t="s">
        <v>26</v>
      </c>
      <c r="D5159">
        <v>2</v>
      </c>
      <c r="G5159" s="30">
        <f>Table132[[#This Row],[nb win]]/Table132[[#This Row],[nb play]]</f>
        <v>0</v>
      </c>
      <c r="H5159" t="str">
        <f>MID(Table132[[#This Row],[ÉTAT]],VALUE(RIGHT(Table132[[#This Row],[next move]],1))+1+VALUE(LEFT(Table132[[#This Row],[next move]],1))*3,1)</f>
        <v>V</v>
      </c>
      <c r="I5159" t="str">
        <f>Table132[[#This Row],[ÉTAT]]&amp;Table132[[#This Row],[next move]]</f>
        <v>EVVEMMVEV01</v>
      </c>
    </row>
    <row r="5160" spans="2:9" x14ac:dyDescent="0.25">
      <c r="B5160" t="s">
        <v>3038</v>
      </c>
      <c r="C5160" s="22" t="s">
        <v>35</v>
      </c>
      <c r="D5160">
        <v>1</v>
      </c>
      <c r="E5160">
        <v>1</v>
      </c>
      <c r="G5160" s="31">
        <f>Table132[[#This Row],[nb win]]/Table132[[#This Row],[nb play]]</f>
        <v>1</v>
      </c>
      <c r="H5160" t="str">
        <f>MID(Table132[[#This Row],[ÉTAT]],VALUE(RIGHT(Table132[[#This Row],[next move]],1))+1+VALUE(LEFT(Table132[[#This Row],[next move]],1))*3,1)</f>
        <v>V</v>
      </c>
      <c r="I5160" t="str">
        <f>Table132[[#This Row],[ÉTAT]]&amp;Table132[[#This Row],[next move]]</f>
        <v>EVVEMMVEV20</v>
      </c>
    </row>
    <row r="5161" spans="2:9" x14ac:dyDescent="0.25">
      <c r="B5161" t="s">
        <v>1291</v>
      </c>
      <c r="C5161" s="22" t="s">
        <v>26</v>
      </c>
      <c r="D5161">
        <v>1</v>
      </c>
      <c r="G5161" s="25">
        <f>Table132[[#This Row],[nb win]]/Table132[[#This Row],[nb play]]</f>
        <v>0</v>
      </c>
      <c r="H5161" t="str">
        <f>MID(Table132[[#This Row],[ÉTAT]],VALUE(RIGHT(Table132[[#This Row],[next move]],1))+1+VALUE(LEFT(Table132[[#This Row],[next move]],1))*3,1)</f>
        <v>V</v>
      </c>
      <c r="I5161" t="str">
        <f>Table132[[#This Row],[ÉTAT]]&amp;Table132[[#This Row],[next move]]</f>
        <v>EVVEMMVEM01</v>
      </c>
    </row>
    <row r="5162" spans="2:9" x14ac:dyDescent="0.25">
      <c r="B5162" t="s">
        <v>1630</v>
      </c>
      <c r="C5162" s="22" t="s">
        <v>22</v>
      </c>
      <c r="D5162">
        <v>1</v>
      </c>
      <c r="E5162">
        <v>1</v>
      </c>
      <c r="G5162" s="25">
        <f>Table132[[#This Row],[nb win]]/Table132[[#This Row],[nb play]]</f>
        <v>1</v>
      </c>
      <c r="H5162" t="str">
        <f>MID(Table132[[#This Row],[ÉTAT]],VALUE(RIGHT(Table132[[#This Row],[next move]],1))+1+VALUE(LEFT(Table132[[#This Row],[next move]],1))*3,1)</f>
        <v>V</v>
      </c>
      <c r="I5162" t="str">
        <f>Table132[[#This Row],[ÉTAT]]&amp;Table132[[#This Row],[next move]]</f>
        <v>EVVEMMMVE21</v>
      </c>
    </row>
    <row r="5163" spans="2:9" x14ac:dyDescent="0.25">
      <c r="B5163" t="s">
        <v>1072</v>
      </c>
      <c r="C5163" s="22" t="s">
        <v>26</v>
      </c>
      <c r="D5163">
        <v>1</v>
      </c>
      <c r="E5163">
        <v>1</v>
      </c>
      <c r="G5163" s="25">
        <f>Table132[[#This Row],[nb win]]/Table132[[#This Row],[nb play]]</f>
        <v>1</v>
      </c>
      <c r="H5163" t="str">
        <f>MID(Table132[[#This Row],[ÉTAT]],VALUE(RIGHT(Table132[[#This Row],[next move]],1))+1+VALUE(LEFT(Table132[[#This Row],[next move]],1))*3,1)</f>
        <v>V</v>
      </c>
      <c r="I5163" t="str">
        <f>Table132[[#This Row],[ÉTAT]]&amp;Table132[[#This Row],[next move]]</f>
        <v>EVVEMMMEV01</v>
      </c>
    </row>
    <row r="5164" spans="2:9" x14ac:dyDescent="0.25">
      <c r="B5164" t="s">
        <v>2059</v>
      </c>
      <c r="C5164" s="22" t="s">
        <v>20</v>
      </c>
      <c r="D5164">
        <v>4</v>
      </c>
      <c r="E5164">
        <v>4</v>
      </c>
      <c r="G5164" s="31">
        <f>Table132[[#This Row],[nb win]]/Table132[[#This Row],[nb play]]</f>
        <v>1</v>
      </c>
      <c r="H5164" t="str">
        <f>MID(Table132[[#This Row],[ÉTAT]],VALUE(RIGHT(Table132[[#This Row],[next move]],1))+1+VALUE(LEFT(Table132[[#This Row],[next move]],1))*3,1)</f>
        <v>V</v>
      </c>
      <c r="I5164" t="str">
        <f>Table132[[#This Row],[ÉTAT]]&amp;Table132[[#This Row],[next move]]</f>
        <v>EVVEMMMEE02</v>
      </c>
    </row>
    <row r="5165" spans="2:9" x14ac:dyDescent="0.25">
      <c r="B5165" t="s">
        <v>703</v>
      </c>
      <c r="C5165" s="22" t="s">
        <v>20</v>
      </c>
      <c r="D5165">
        <v>3</v>
      </c>
      <c r="G5165" s="25">
        <f>Table132[[#This Row],[nb win]]/Table132[[#This Row],[nb play]]</f>
        <v>0</v>
      </c>
      <c r="H5165" t="str">
        <f>MID(Table132[[#This Row],[ÉTAT]],VALUE(RIGHT(Table132[[#This Row],[next move]],1))+1+VALUE(LEFT(Table132[[#This Row],[next move]],1))*3,1)</f>
        <v>V</v>
      </c>
      <c r="I5165" t="str">
        <f>Table132[[#This Row],[ÉTAT]]&amp;Table132[[#This Row],[next move]]</f>
        <v>EVVEMEVVM02</v>
      </c>
    </row>
    <row r="5166" spans="2:9" x14ac:dyDescent="0.25">
      <c r="B5166" t="s">
        <v>703</v>
      </c>
      <c r="C5166" s="22" t="s">
        <v>35</v>
      </c>
      <c r="D5166">
        <v>2</v>
      </c>
      <c r="E5166">
        <v>2</v>
      </c>
      <c r="G5166" s="25">
        <f>Table132[[#This Row],[nb win]]/Table132[[#This Row],[nb play]]</f>
        <v>1</v>
      </c>
      <c r="H5166" t="str">
        <f>MID(Table132[[#This Row],[ÉTAT]],VALUE(RIGHT(Table132[[#This Row],[next move]],1))+1+VALUE(LEFT(Table132[[#This Row],[next move]],1))*3,1)</f>
        <v>V</v>
      </c>
      <c r="I5166" t="str">
        <f>Table132[[#This Row],[ÉTAT]]&amp;Table132[[#This Row],[next move]]</f>
        <v>EVVEMEVVM20</v>
      </c>
    </row>
    <row r="5167" spans="2:9" x14ac:dyDescent="0.25">
      <c r="B5167" t="s">
        <v>703</v>
      </c>
      <c r="C5167" s="22" t="s">
        <v>22</v>
      </c>
      <c r="D5167">
        <v>1</v>
      </c>
      <c r="G5167" s="25">
        <f>Table132[[#This Row],[nb win]]/Table132[[#This Row],[nb play]]</f>
        <v>0</v>
      </c>
      <c r="H5167" t="str">
        <f>MID(Table132[[#This Row],[ÉTAT]],VALUE(RIGHT(Table132[[#This Row],[next move]],1))+1+VALUE(LEFT(Table132[[#This Row],[next move]],1))*3,1)</f>
        <v>V</v>
      </c>
      <c r="I5167" t="str">
        <f>Table132[[#This Row],[ÉTAT]]&amp;Table132[[#This Row],[next move]]</f>
        <v>EVVEMEVVM21</v>
      </c>
    </row>
    <row r="5168" spans="2:9" x14ac:dyDescent="0.25">
      <c r="B5168" t="s">
        <v>2843</v>
      </c>
      <c r="C5168" s="22" t="s">
        <v>35</v>
      </c>
      <c r="D5168">
        <v>1</v>
      </c>
      <c r="E5168">
        <v>1</v>
      </c>
      <c r="G5168" s="31">
        <f>Table132[[#This Row],[nb win]]/Table132[[#This Row],[nb play]]</f>
        <v>1</v>
      </c>
      <c r="H5168" t="str">
        <f>MID(Table132[[#This Row],[ÉTAT]],VALUE(RIGHT(Table132[[#This Row],[next move]],1))+1+VALUE(LEFT(Table132[[#This Row],[next move]],1))*3,1)</f>
        <v>V</v>
      </c>
      <c r="I5168" t="str">
        <f>Table132[[#This Row],[ÉTAT]]&amp;Table132[[#This Row],[next move]]</f>
        <v>EVVEMEVMV20</v>
      </c>
    </row>
    <row r="5169" spans="2:9" x14ac:dyDescent="0.25">
      <c r="B5169" t="s">
        <v>2843</v>
      </c>
      <c r="C5169" s="22" t="s">
        <v>31</v>
      </c>
      <c r="D5169">
        <v>3</v>
      </c>
      <c r="E5169">
        <v>2</v>
      </c>
      <c r="G5169" s="30">
        <f>Table132[[#This Row],[nb win]]/Table132[[#This Row],[nb play]]</f>
        <v>0.66666666666666663</v>
      </c>
      <c r="H5169" t="str">
        <f>MID(Table132[[#This Row],[ÉTAT]],VALUE(RIGHT(Table132[[#This Row],[next move]],1))+1+VALUE(LEFT(Table132[[#This Row],[next move]],1))*3,1)</f>
        <v>V</v>
      </c>
      <c r="I5169" t="str">
        <f>Table132[[#This Row],[ÉTAT]]&amp;Table132[[#This Row],[next move]]</f>
        <v>EVVEMEVMV22</v>
      </c>
    </row>
    <row r="5170" spans="2:9" x14ac:dyDescent="0.25">
      <c r="B5170" t="s">
        <v>1775</v>
      </c>
      <c r="C5170" s="22" t="s">
        <v>35</v>
      </c>
      <c r="D5170">
        <v>3</v>
      </c>
      <c r="E5170">
        <v>3</v>
      </c>
      <c r="G5170" s="31">
        <f>Table132[[#This Row],[nb win]]/Table132[[#This Row],[nb play]]</f>
        <v>1</v>
      </c>
      <c r="H5170" t="str">
        <f>MID(Table132[[#This Row],[ÉTAT]],VALUE(RIGHT(Table132[[#This Row],[next move]],1))+1+VALUE(LEFT(Table132[[#This Row],[next move]],1))*3,1)</f>
        <v>V</v>
      </c>
      <c r="I5170" t="str">
        <f>Table132[[#This Row],[ÉTAT]]&amp;Table132[[#This Row],[next move]]</f>
        <v>EVVEMEVMM20</v>
      </c>
    </row>
    <row r="5171" spans="2:9" x14ac:dyDescent="0.25">
      <c r="B5171" t="s">
        <v>244</v>
      </c>
      <c r="C5171" s="22" t="s">
        <v>22</v>
      </c>
      <c r="D5171">
        <v>6</v>
      </c>
      <c r="E5171">
        <v>6</v>
      </c>
      <c r="G5171" s="31">
        <f>Table132[[#This Row],[nb win]]/Table132[[#This Row],[nb play]]</f>
        <v>1</v>
      </c>
      <c r="H5171" t="str">
        <f>MID(Table132[[#This Row],[ÉTAT]],VALUE(RIGHT(Table132[[#This Row],[next move]],1))+1+VALUE(LEFT(Table132[[#This Row],[next move]],1))*3,1)</f>
        <v>V</v>
      </c>
      <c r="I5171" t="str">
        <f>Table132[[#This Row],[ÉTAT]]&amp;Table132[[#This Row],[next move]]</f>
        <v>EVVEMEMVV21</v>
      </c>
    </row>
    <row r="5172" spans="2:9" x14ac:dyDescent="0.25">
      <c r="B5172" t="s">
        <v>1569</v>
      </c>
      <c r="C5172" s="22" t="s">
        <v>22</v>
      </c>
      <c r="D5172">
        <v>3</v>
      </c>
      <c r="E5172">
        <v>3</v>
      </c>
      <c r="G5172" s="25">
        <f>Table132[[#This Row],[nb win]]/Table132[[#This Row],[nb play]]</f>
        <v>1</v>
      </c>
      <c r="H5172" t="str">
        <f>MID(Table132[[#This Row],[ÉTAT]],VALUE(RIGHT(Table132[[#This Row],[next move]],1))+1+VALUE(LEFT(Table132[[#This Row],[next move]],1))*3,1)</f>
        <v>V</v>
      </c>
      <c r="I5172" t="str">
        <f>Table132[[#This Row],[ÉTAT]]&amp;Table132[[#This Row],[next move]]</f>
        <v>EVVEMEMVM21</v>
      </c>
    </row>
    <row r="5173" spans="2:9" x14ac:dyDescent="0.25">
      <c r="B5173" t="s">
        <v>1833</v>
      </c>
      <c r="C5173" s="22" t="s">
        <v>26</v>
      </c>
      <c r="D5173">
        <v>5</v>
      </c>
      <c r="E5173">
        <v>5</v>
      </c>
      <c r="G5173" s="31">
        <f>Table132[[#This Row],[nb win]]/Table132[[#This Row],[nb play]]</f>
        <v>1</v>
      </c>
      <c r="H5173" t="str">
        <f>MID(Table132[[#This Row],[ÉTAT]],VALUE(RIGHT(Table132[[#This Row],[next move]],1))+1+VALUE(LEFT(Table132[[#This Row],[next move]],1))*3,1)</f>
        <v>V</v>
      </c>
      <c r="I5173" t="str">
        <f>Table132[[#This Row],[ÉTAT]]&amp;Table132[[#This Row],[next move]]</f>
        <v>EVVEMEMME01</v>
      </c>
    </row>
    <row r="5174" spans="2:9" x14ac:dyDescent="0.25">
      <c r="B5174" t="s">
        <v>3167</v>
      </c>
      <c r="C5174" s="22" t="s">
        <v>20</v>
      </c>
      <c r="D5174">
        <v>1</v>
      </c>
      <c r="E5174">
        <v>1</v>
      </c>
      <c r="G5174" s="31">
        <f>Table132[[#This Row],[nb win]]/Table132[[#This Row],[nb play]]</f>
        <v>1</v>
      </c>
      <c r="H5174" t="str">
        <f>MID(Table132[[#This Row],[ÉTAT]],VALUE(RIGHT(Table132[[#This Row],[next move]],1))+1+VALUE(LEFT(Table132[[#This Row],[next move]],1))*3,1)</f>
        <v>V</v>
      </c>
      <c r="I5174" t="str">
        <f>Table132[[#This Row],[ÉTAT]]&amp;Table132[[#This Row],[next move]]</f>
        <v>EVVEMEMEM02</v>
      </c>
    </row>
    <row r="5175" spans="2:9" x14ac:dyDescent="0.25">
      <c r="B5175" t="s">
        <v>3245</v>
      </c>
      <c r="C5175" s="22" t="s">
        <v>28</v>
      </c>
      <c r="D5175">
        <v>1</v>
      </c>
      <c r="G5175" s="30">
        <f>Table132[[#This Row],[nb win]]/Table132[[#This Row],[nb play]]</f>
        <v>0</v>
      </c>
      <c r="H5175" t="str">
        <f>MID(Table132[[#This Row],[ÉTAT]],VALUE(RIGHT(Table132[[#This Row],[next move]],1))+1+VALUE(LEFT(Table132[[#This Row],[next move]],1))*3,1)</f>
        <v>V</v>
      </c>
      <c r="I5175" t="str">
        <f>Table132[[#This Row],[ÉTAT]]&amp;Table132[[#This Row],[next move]]</f>
        <v>EVVEEVVMM12</v>
      </c>
    </row>
    <row r="5176" spans="2:9" x14ac:dyDescent="0.25">
      <c r="B5176" t="s">
        <v>418</v>
      </c>
      <c r="C5176" s="22" t="s">
        <v>20</v>
      </c>
      <c r="D5176">
        <v>1</v>
      </c>
      <c r="E5176">
        <v>1</v>
      </c>
      <c r="G5176" s="25">
        <f>Table132[[#This Row],[nb win]]/Table132[[#This Row],[nb play]]</f>
        <v>1</v>
      </c>
      <c r="H5176" t="str">
        <f>MID(Table132[[#This Row],[ÉTAT]],VALUE(RIGHT(Table132[[#This Row],[next move]],1))+1+VALUE(LEFT(Table132[[#This Row],[next move]],1))*3,1)</f>
        <v>V</v>
      </c>
      <c r="I5176" t="str">
        <f>Table132[[#This Row],[ÉTAT]]&amp;Table132[[#This Row],[next move]]</f>
        <v>EVVEEVMVM02</v>
      </c>
    </row>
    <row r="5177" spans="2:9" x14ac:dyDescent="0.25">
      <c r="B5177" t="s">
        <v>2515</v>
      </c>
      <c r="C5177" s="22" t="s">
        <v>26</v>
      </c>
      <c r="D5177">
        <v>1</v>
      </c>
      <c r="G5177" s="25">
        <f>Table132[[#This Row],[nb win]]/Table132[[#This Row],[nb play]]</f>
        <v>0</v>
      </c>
      <c r="H5177" t="str">
        <f>MID(Table132[[#This Row],[ÉTAT]],VALUE(RIGHT(Table132[[#This Row],[next move]],1))+1+VALUE(LEFT(Table132[[#This Row],[next move]],1))*3,1)</f>
        <v>V</v>
      </c>
      <c r="I5177" t="str">
        <f>Table132[[#This Row],[ÉTAT]]&amp;Table132[[#This Row],[next move]]</f>
        <v>EVVEEVMMV01</v>
      </c>
    </row>
    <row r="5178" spans="2:9" x14ac:dyDescent="0.25">
      <c r="B5178" t="s">
        <v>2515</v>
      </c>
      <c r="C5178" s="22" t="s">
        <v>28</v>
      </c>
      <c r="D5178">
        <v>1</v>
      </c>
      <c r="E5178">
        <v>1</v>
      </c>
      <c r="G5178" s="25">
        <f>Table132[[#This Row],[nb win]]/Table132[[#This Row],[nb play]]</f>
        <v>1</v>
      </c>
      <c r="H5178" t="str">
        <f>MID(Table132[[#This Row],[ÉTAT]],VALUE(RIGHT(Table132[[#This Row],[next move]],1))+1+VALUE(LEFT(Table132[[#This Row],[next move]],1))*3,1)</f>
        <v>V</v>
      </c>
      <c r="I5178" t="str">
        <f>Table132[[#This Row],[ÉTAT]]&amp;Table132[[#This Row],[next move]]</f>
        <v>EVVEEVMMV12</v>
      </c>
    </row>
    <row r="5179" spans="2:9" x14ac:dyDescent="0.25">
      <c r="B5179" t="s">
        <v>3418</v>
      </c>
      <c r="C5179" s="22" t="s">
        <v>26</v>
      </c>
      <c r="D5179">
        <v>1</v>
      </c>
      <c r="G5179" s="30">
        <f>Table132[[#This Row],[nb win]]/Table132[[#This Row],[nb play]]</f>
        <v>0</v>
      </c>
      <c r="H5179" t="str">
        <f>MID(Table132[[#This Row],[ÉTAT]],VALUE(RIGHT(Table132[[#This Row],[next move]],1))+1+VALUE(LEFT(Table132[[#This Row],[next move]],1))*3,1)</f>
        <v>V</v>
      </c>
      <c r="I5179" t="str">
        <f>Table132[[#This Row],[ÉTAT]]&amp;Table132[[#This Row],[next move]]</f>
        <v>EVVEEMVVM01</v>
      </c>
    </row>
    <row r="5180" spans="2:9" x14ac:dyDescent="0.25">
      <c r="B5180" t="s">
        <v>783</v>
      </c>
      <c r="C5180" s="22" t="s">
        <v>31</v>
      </c>
      <c r="D5180">
        <v>3</v>
      </c>
      <c r="E5180">
        <v>2</v>
      </c>
      <c r="G5180" s="30">
        <f>Table132[[#This Row],[nb win]]/Table132[[#This Row],[nb play]]</f>
        <v>0.66666666666666663</v>
      </c>
      <c r="H5180" t="str">
        <f>MID(Table132[[#This Row],[ÉTAT]],VALUE(RIGHT(Table132[[#This Row],[next move]],1))+1+VALUE(LEFT(Table132[[#This Row],[next move]],1))*3,1)</f>
        <v>V</v>
      </c>
      <c r="I5180" t="str">
        <f>Table132[[#This Row],[ÉTAT]]&amp;Table132[[#This Row],[next move]]</f>
        <v>EVVEEMVMV22</v>
      </c>
    </row>
    <row r="5181" spans="2:9" x14ac:dyDescent="0.25">
      <c r="B5181" t="s">
        <v>1234</v>
      </c>
      <c r="C5181" s="22" t="s">
        <v>26</v>
      </c>
      <c r="D5181">
        <v>1</v>
      </c>
      <c r="G5181" s="25">
        <f>Table132[[#This Row],[nb win]]/Table132[[#This Row],[nb play]]</f>
        <v>0</v>
      </c>
      <c r="H5181" t="str">
        <f>MID(Table132[[#This Row],[ÉTAT]],VALUE(RIGHT(Table132[[#This Row],[next move]],1))+1+VALUE(LEFT(Table132[[#This Row],[next move]],1))*3,1)</f>
        <v>V</v>
      </c>
      <c r="I5181" t="str">
        <f>Table132[[#This Row],[ÉTAT]]&amp;Table132[[#This Row],[next move]]</f>
        <v>EVVEEMVMM01</v>
      </c>
    </row>
    <row r="5182" spans="2:9" x14ac:dyDescent="0.25">
      <c r="B5182" t="s">
        <v>1234</v>
      </c>
      <c r="C5182" s="22" t="s">
        <v>20</v>
      </c>
      <c r="D5182">
        <v>1</v>
      </c>
      <c r="E5182">
        <v>1</v>
      </c>
      <c r="G5182" s="31">
        <f>Table132[[#This Row],[nb win]]/Table132[[#This Row],[nb play]]</f>
        <v>1</v>
      </c>
      <c r="H5182" t="str">
        <f>MID(Table132[[#This Row],[ÉTAT]],VALUE(RIGHT(Table132[[#This Row],[next move]],1))+1+VALUE(LEFT(Table132[[#This Row],[next move]],1))*3,1)</f>
        <v>V</v>
      </c>
      <c r="I5182" t="str">
        <f>Table132[[#This Row],[ÉTAT]]&amp;Table132[[#This Row],[next move]]</f>
        <v>EVVEEMVMM02</v>
      </c>
    </row>
    <row r="5183" spans="2:9" x14ac:dyDescent="0.25">
      <c r="B5183" t="s">
        <v>1620</v>
      </c>
      <c r="C5183" s="22" t="s">
        <v>26</v>
      </c>
      <c r="D5183">
        <v>1</v>
      </c>
      <c r="G5183" s="25">
        <f>Table132[[#This Row],[nb win]]/Table132[[#This Row],[nb play]]</f>
        <v>0</v>
      </c>
      <c r="H5183" t="str">
        <f>MID(Table132[[#This Row],[ÉTAT]],VALUE(RIGHT(Table132[[#This Row],[next move]],1))+1+VALUE(LEFT(Table132[[#This Row],[next move]],1))*3,1)</f>
        <v>V</v>
      </c>
      <c r="I5183" t="str">
        <f>Table132[[#This Row],[ÉTAT]]&amp;Table132[[#This Row],[next move]]</f>
        <v>EVVEEMMVV01</v>
      </c>
    </row>
    <row r="5184" spans="2:9" x14ac:dyDescent="0.25">
      <c r="B5184" t="s">
        <v>1620</v>
      </c>
      <c r="C5184" s="22" t="s">
        <v>22</v>
      </c>
      <c r="D5184">
        <v>1</v>
      </c>
      <c r="G5184" s="25">
        <f>Table132[[#This Row],[nb win]]/Table132[[#This Row],[nb play]]</f>
        <v>0</v>
      </c>
      <c r="H5184" t="str">
        <f>MID(Table132[[#This Row],[ÉTAT]],VALUE(RIGHT(Table132[[#This Row],[next move]],1))+1+VALUE(LEFT(Table132[[#This Row],[next move]],1))*3,1)</f>
        <v>V</v>
      </c>
      <c r="I5184" t="str">
        <f>Table132[[#This Row],[ÉTAT]]&amp;Table132[[#This Row],[next move]]</f>
        <v>EVVEEMMVV21</v>
      </c>
    </row>
    <row r="5185" spans="2:9" x14ac:dyDescent="0.25">
      <c r="B5185" t="s">
        <v>1620</v>
      </c>
      <c r="C5185" s="22" t="s">
        <v>31</v>
      </c>
      <c r="D5185">
        <v>2</v>
      </c>
      <c r="E5185">
        <v>2</v>
      </c>
      <c r="G5185" s="25">
        <f>Table132[[#This Row],[nb win]]/Table132[[#This Row],[nb play]]</f>
        <v>1</v>
      </c>
      <c r="H5185" t="str">
        <f>MID(Table132[[#This Row],[ÉTAT]],VALUE(RIGHT(Table132[[#This Row],[next move]],1))+1+VALUE(LEFT(Table132[[#This Row],[next move]],1))*3,1)</f>
        <v>V</v>
      </c>
      <c r="I5185" t="str">
        <f>Table132[[#This Row],[ÉTAT]]&amp;Table132[[#This Row],[next move]]</f>
        <v>EVVEEMMVV22</v>
      </c>
    </row>
    <row r="5186" spans="2:9" x14ac:dyDescent="0.25">
      <c r="B5186" t="s">
        <v>2567</v>
      </c>
      <c r="C5186" s="22" t="s">
        <v>20</v>
      </c>
      <c r="D5186">
        <v>4</v>
      </c>
      <c r="E5186">
        <v>4</v>
      </c>
      <c r="G5186" s="31">
        <f>Table132[[#This Row],[nb win]]/Table132[[#This Row],[nb play]]</f>
        <v>1</v>
      </c>
      <c r="H5186" t="str">
        <f>MID(Table132[[#This Row],[ÉTAT]],VALUE(RIGHT(Table132[[#This Row],[next move]],1))+1+VALUE(LEFT(Table132[[#This Row],[next move]],1))*3,1)</f>
        <v>V</v>
      </c>
      <c r="I5186" t="str">
        <f>Table132[[#This Row],[ÉTAT]]&amp;Table132[[#This Row],[next move]]</f>
        <v>EVVEEMMVM02</v>
      </c>
    </row>
    <row r="5187" spans="2:9" x14ac:dyDescent="0.25">
      <c r="B5187" t="s">
        <v>1542</v>
      </c>
      <c r="C5187" s="22" t="s">
        <v>31</v>
      </c>
      <c r="D5187">
        <v>1</v>
      </c>
      <c r="E5187">
        <v>1</v>
      </c>
      <c r="G5187" s="25">
        <f>Table132[[#This Row],[nb win]]/Table132[[#This Row],[nb play]]</f>
        <v>1</v>
      </c>
      <c r="H5187" t="str">
        <f>MID(Table132[[#This Row],[ÉTAT]],VALUE(RIGHT(Table132[[#This Row],[next move]],1))+1+VALUE(LEFT(Table132[[#This Row],[next move]],1))*3,1)</f>
        <v>V</v>
      </c>
      <c r="I5187" t="str">
        <f>Table132[[#This Row],[ÉTAT]]&amp;Table132[[#This Row],[next move]]</f>
        <v>EVVEEMMMV22</v>
      </c>
    </row>
    <row r="5188" spans="2:9" x14ac:dyDescent="0.25">
      <c r="B5188" t="s">
        <v>2150</v>
      </c>
      <c r="C5188" s="22" t="s">
        <v>20</v>
      </c>
      <c r="D5188">
        <v>2</v>
      </c>
      <c r="E5188">
        <v>2</v>
      </c>
      <c r="G5188" s="31">
        <f>Table132[[#This Row],[nb win]]/Table132[[#This Row],[nb play]]</f>
        <v>1</v>
      </c>
      <c r="H5188" t="str">
        <f>MID(Table132[[#This Row],[ÉTAT]],VALUE(RIGHT(Table132[[#This Row],[next move]],1))+1+VALUE(LEFT(Table132[[#This Row],[next move]],1))*3,1)</f>
        <v>V</v>
      </c>
      <c r="I5188" t="str">
        <f>Table132[[#This Row],[ÉTAT]]&amp;Table132[[#This Row],[next move]]</f>
        <v>EVVEEMMEM02</v>
      </c>
    </row>
    <row r="5189" spans="2:9" x14ac:dyDescent="0.25">
      <c r="B5189" t="s">
        <v>323</v>
      </c>
      <c r="C5189" s="22" t="s">
        <v>26</v>
      </c>
      <c r="D5189">
        <v>2</v>
      </c>
      <c r="E5189">
        <v>1</v>
      </c>
      <c r="G5189" s="31">
        <f>Table132[[#This Row],[nb win]]/Table132[[#This Row],[nb play]]</f>
        <v>0.5</v>
      </c>
      <c r="H5189" t="str">
        <f>MID(Table132[[#This Row],[ÉTAT]],VALUE(RIGHT(Table132[[#This Row],[next move]],1))+1+VALUE(LEFT(Table132[[#This Row],[next move]],1))*3,1)</f>
        <v>V</v>
      </c>
      <c r="I5189" t="str">
        <f>Table132[[#This Row],[ÉTAT]]&amp;Table132[[#This Row],[next move]]</f>
        <v>EVMVVVVVV01</v>
      </c>
    </row>
    <row r="5190" spans="2:9" x14ac:dyDescent="0.25">
      <c r="B5190" t="s">
        <v>323</v>
      </c>
      <c r="C5190" s="22" t="s">
        <v>30</v>
      </c>
      <c r="D5190">
        <v>6</v>
      </c>
      <c r="E5190">
        <v>5</v>
      </c>
      <c r="G5190" s="31">
        <f>Table132[[#This Row],[nb win]]/Table132[[#This Row],[nb play]]</f>
        <v>0.83333333333333337</v>
      </c>
      <c r="H5190" t="str">
        <f>MID(Table132[[#This Row],[ÉTAT]],VALUE(RIGHT(Table132[[#This Row],[next move]],1))+1+VALUE(LEFT(Table132[[#This Row],[next move]],1))*3,1)</f>
        <v>V</v>
      </c>
      <c r="I5190" t="str">
        <f>Table132[[#This Row],[ÉTAT]]&amp;Table132[[#This Row],[next move]]</f>
        <v>EVMVVVVVV10</v>
      </c>
    </row>
    <row r="5191" spans="2:9" x14ac:dyDescent="0.25">
      <c r="B5191" t="s">
        <v>323</v>
      </c>
      <c r="C5191" s="22" t="s">
        <v>29</v>
      </c>
      <c r="D5191">
        <v>6</v>
      </c>
      <c r="E5191">
        <v>4</v>
      </c>
      <c r="G5191" s="31">
        <f>Table132[[#This Row],[nb win]]/Table132[[#This Row],[nb play]]</f>
        <v>0.66666666666666663</v>
      </c>
      <c r="H5191" t="str">
        <f>MID(Table132[[#This Row],[ÉTAT]],VALUE(RIGHT(Table132[[#This Row],[next move]],1))+1+VALUE(LEFT(Table132[[#This Row],[next move]],1))*3,1)</f>
        <v>V</v>
      </c>
      <c r="I5191" t="str">
        <f>Table132[[#This Row],[ÉTAT]]&amp;Table132[[#This Row],[next move]]</f>
        <v>EVMVVVVVV11</v>
      </c>
    </row>
    <row r="5192" spans="2:9" x14ac:dyDescent="0.25">
      <c r="B5192" t="s">
        <v>323</v>
      </c>
      <c r="C5192" s="22" t="s">
        <v>28</v>
      </c>
      <c r="D5192">
        <v>8</v>
      </c>
      <c r="E5192">
        <v>5</v>
      </c>
      <c r="G5192" s="30">
        <f>Table132[[#This Row],[nb win]]/Table132[[#This Row],[nb play]]</f>
        <v>0.625</v>
      </c>
      <c r="H5192" t="str">
        <f>MID(Table132[[#This Row],[ÉTAT]],VALUE(RIGHT(Table132[[#This Row],[next move]],1))+1+VALUE(LEFT(Table132[[#This Row],[next move]],1))*3,1)</f>
        <v>V</v>
      </c>
      <c r="I5192" t="str">
        <f>Table132[[#This Row],[ÉTAT]]&amp;Table132[[#This Row],[next move]]</f>
        <v>EVMVVVVVV12</v>
      </c>
    </row>
    <row r="5193" spans="2:9" x14ac:dyDescent="0.25">
      <c r="B5193" t="s">
        <v>323</v>
      </c>
      <c r="C5193" s="22" t="s">
        <v>35</v>
      </c>
      <c r="D5193">
        <v>8</v>
      </c>
      <c r="E5193">
        <v>4</v>
      </c>
      <c r="G5193" s="30">
        <f>Table132[[#This Row],[nb win]]/Table132[[#This Row],[nb play]]</f>
        <v>0.5</v>
      </c>
      <c r="H5193" t="str">
        <f>MID(Table132[[#This Row],[ÉTAT]],VALUE(RIGHT(Table132[[#This Row],[next move]],1))+1+VALUE(LEFT(Table132[[#This Row],[next move]],1))*3,1)</f>
        <v>V</v>
      </c>
      <c r="I5193" t="str">
        <f>Table132[[#This Row],[ÉTAT]]&amp;Table132[[#This Row],[next move]]</f>
        <v>EVMVVVVVV20</v>
      </c>
    </row>
    <row r="5194" spans="2:9" x14ac:dyDescent="0.25">
      <c r="B5194" t="s">
        <v>323</v>
      </c>
      <c r="C5194" s="22" t="s">
        <v>22</v>
      </c>
      <c r="D5194">
        <v>6</v>
      </c>
      <c r="E5194">
        <v>4</v>
      </c>
      <c r="G5194" s="30">
        <f>Table132[[#This Row],[nb win]]/Table132[[#This Row],[nb play]]</f>
        <v>0.66666666666666663</v>
      </c>
      <c r="H5194" t="str">
        <f>MID(Table132[[#This Row],[ÉTAT]],VALUE(RIGHT(Table132[[#This Row],[next move]],1))+1+VALUE(LEFT(Table132[[#This Row],[next move]],1))*3,1)</f>
        <v>V</v>
      </c>
      <c r="I5194" t="str">
        <f>Table132[[#This Row],[ÉTAT]]&amp;Table132[[#This Row],[next move]]</f>
        <v>EVMVVVVVV21</v>
      </c>
    </row>
    <row r="5195" spans="2:9" x14ac:dyDescent="0.25">
      <c r="B5195" t="s">
        <v>323</v>
      </c>
      <c r="C5195" s="22" t="s">
        <v>31</v>
      </c>
      <c r="D5195">
        <v>5</v>
      </c>
      <c r="E5195">
        <v>3</v>
      </c>
      <c r="G5195" s="31">
        <f>Table132[[#This Row],[nb win]]/Table132[[#This Row],[nb play]]</f>
        <v>0.6</v>
      </c>
      <c r="H5195" t="str">
        <f>MID(Table132[[#This Row],[ÉTAT]],VALUE(RIGHT(Table132[[#This Row],[next move]],1))+1+VALUE(LEFT(Table132[[#This Row],[next move]],1))*3,1)</f>
        <v>V</v>
      </c>
      <c r="I5195" t="str">
        <f>Table132[[#This Row],[ÉTAT]]&amp;Table132[[#This Row],[next move]]</f>
        <v>EVMVVVVVV22</v>
      </c>
    </row>
    <row r="5196" spans="2:9" x14ac:dyDescent="0.25">
      <c r="B5196" t="s">
        <v>2882</v>
      </c>
      <c r="C5196" s="22" t="s">
        <v>26</v>
      </c>
      <c r="D5196">
        <v>2</v>
      </c>
      <c r="E5196">
        <v>1</v>
      </c>
      <c r="G5196" s="31">
        <f>Table132[[#This Row],[nb win]]/Table132[[#This Row],[nb play]]</f>
        <v>0.5</v>
      </c>
      <c r="H5196" t="str">
        <f>MID(Table132[[#This Row],[ÉTAT]],VALUE(RIGHT(Table132[[#This Row],[next move]],1))+1+VALUE(LEFT(Table132[[#This Row],[next move]],1))*3,1)</f>
        <v>V</v>
      </c>
      <c r="I5196" t="str">
        <f>Table132[[#This Row],[ÉTAT]]&amp;Table132[[#This Row],[next move]]</f>
        <v>EVMVVVVVE01</v>
      </c>
    </row>
    <row r="5197" spans="2:9" x14ac:dyDescent="0.25">
      <c r="B5197" t="s">
        <v>2882</v>
      </c>
      <c r="C5197" s="22" t="s">
        <v>30</v>
      </c>
      <c r="D5197">
        <v>3</v>
      </c>
      <c r="E5197">
        <v>1</v>
      </c>
      <c r="G5197" s="30">
        <f>Table132[[#This Row],[nb win]]/Table132[[#This Row],[nb play]]</f>
        <v>0.33333333333333331</v>
      </c>
      <c r="H5197" t="str">
        <f>MID(Table132[[#This Row],[ÉTAT]],VALUE(RIGHT(Table132[[#This Row],[next move]],1))+1+VALUE(LEFT(Table132[[#This Row],[next move]],1))*3,1)</f>
        <v>V</v>
      </c>
      <c r="I5197" t="str">
        <f>Table132[[#This Row],[ÉTAT]]&amp;Table132[[#This Row],[next move]]</f>
        <v>EVMVVVVVE10</v>
      </c>
    </row>
    <row r="5198" spans="2:9" x14ac:dyDescent="0.25">
      <c r="B5198" t="s">
        <v>2882</v>
      </c>
      <c r="C5198" s="22" t="s">
        <v>29</v>
      </c>
      <c r="D5198">
        <v>3</v>
      </c>
      <c r="E5198">
        <v>1</v>
      </c>
      <c r="G5198" s="31">
        <f>Table132[[#This Row],[nb win]]/Table132[[#This Row],[nb play]]</f>
        <v>0.33333333333333331</v>
      </c>
      <c r="H5198" t="str">
        <f>MID(Table132[[#This Row],[ÉTAT]],VALUE(RIGHT(Table132[[#This Row],[next move]],1))+1+VALUE(LEFT(Table132[[#This Row],[next move]],1))*3,1)</f>
        <v>V</v>
      </c>
      <c r="I5198" t="str">
        <f>Table132[[#This Row],[ÉTAT]]&amp;Table132[[#This Row],[next move]]</f>
        <v>EVMVVVVVE11</v>
      </c>
    </row>
    <row r="5199" spans="2:9" x14ac:dyDescent="0.25">
      <c r="B5199" t="s">
        <v>2882</v>
      </c>
      <c r="C5199" s="22" t="s">
        <v>28</v>
      </c>
      <c r="D5199">
        <v>3</v>
      </c>
      <c r="E5199">
        <v>1</v>
      </c>
      <c r="G5199" s="30">
        <f>Table132[[#This Row],[nb win]]/Table132[[#This Row],[nb play]]</f>
        <v>0.33333333333333331</v>
      </c>
      <c r="H5199" t="str">
        <f>MID(Table132[[#This Row],[ÉTAT]],VALUE(RIGHT(Table132[[#This Row],[next move]],1))+1+VALUE(LEFT(Table132[[#This Row],[next move]],1))*3,1)</f>
        <v>V</v>
      </c>
      <c r="I5199" t="str">
        <f>Table132[[#This Row],[ÉTAT]]&amp;Table132[[#This Row],[next move]]</f>
        <v>EVMVVVVVE12</v>
      </c>
    </row>
    <row r="5200" spans="2:9" x14ac:dyDescent="0.25">
      <c r="B5200" t="s">
        <v>2882</v>
      </c>
      <c r="C5200" s="22" t="s">
        <v>35</v>
      </c>
      <c r="D5200">
        <v>2</v>
      </c>
      <c r="E5200">
        <v>1</v>
      </c>
      <c r="G5200" s="31">
        <f>Table132[[#This Row],[nb win]]/Table132[[#This Row],[nb play]]</f>
        <v>0.5</v>
      </c>
      <c r="H5200" t="str">
        <f>MID(Table132[[#This Row],[ÉTAT]],VALUE(RIGHT(Table132[[#This Row],[next move]],1))+1+VALUE(LEFT(Table132[[#This Row],[next move]],1))*3,1)</f>
        <v>V</v>
      </c>
      <c r="I5200" t="str">
        <f>Table132[[#This Row],[ÉTAT]]&amp;Table132[[#This Row],[next move]]</f>
        <v>EVMVVVVVE20</v>
      </c>
    </row>
    <row r="5201" spans="2:9" x14ac:dyDescent="0.25">
      <c r="B5201" t="s">
        <v>2882</v>
      </c>
      <c r="C5201" s="22" t="s">
        <v>22</v>
      </c>
      <c r="D5201">
        <v>2</v>
      </c>
      <c r="G5201" s="30">
        <f>Table132[[#This Row],[nb win]]/Table132[[#This Row],[nb play]]</f>
        <v>0</v>
      </c>
      <c r="H5201" t="str">
        <f>MID(Table132[[#This Row],[ÉTAT]],VALUE(RIGHT(Table132[[#This Row],[next move]],1))+1+VALUE(LEFT(Table132[[#This Row],[next move]],1))*3,1)</f>
        <v>V</v>
      </c>
      <c r="I5201" t="str">
        <f>Table132[[#This Row],[ÉTAT]]&amp;Table132[[#This Row],[next move]]</f>
        <v>EVMVVVVVE21</v>
      </c>
    </row>
    <row r="5202" spans="2:9" x14ac:dyDescent="0.25">
      <c r="B5202" t="s">
        <v>2032</v>
      </c>
      <c r="C5202" s="22" t="s">
        <v>29</v>
      </c>
      <c r="D5202">
        <v>4</v>
      </c>
      <c r="E5202">
        <v>4</v>
      </c>
      <c r="G5202" s="31">
        <f>Table132[[#This Row],[nb win]]/Table132[[#This Row],[nb play]]</f>
        <v>1</v>
      </c>
      <c r="H5202" t="str">
        <f>MID(Table132[[#This Row],[ÉTAT]],VALUE(RIGHT(Table132[[#This Row],[next move]],1))+1+VALUE(LEFT(Table132[[#This Row],[next move]],1))*3,1)</f>
        <v>V</v>
      </c>
      <c r="I5202" t="str">
        <f>Table132[[#This Row],[ÉTAT]]&amp;Table132[[#This Row],[next move]]</f>
        <v>EVMVVVVME11</v>
      </c>
    </row>
    <row r="5203" spans="2:9" x14ac:dyDescent="0.25">
      <c r="B5203" t="s">
        <v>2683</v>
      </c>
      <c r="C5203" s="22" t="s">
        <v>31</v>
      </c>
      <c r="D5203">
        <v>2</v>
      </c>
      <c r="E5203">
        <v>2</v>
      </c>
      <c r="G5203" s="31">
        <f>Table132[[#This Row],[nb win]]/Table132[[#This Row],[nb play]]</f>
        <v>1</v>
      </c>
      <c r="H5203" t="str">
        <f>MID(Table132[[#This Row],[ÉTAT]],VALUE(RIGHT(Table132[[#This Row],[next move]],1))+1+VALUE(LEFT(Table132[[#This Row],[next move]],1))*3,1)</f>
        <v>V</v>
      </c>
      <c r="I5203" t="str">
        <f>Table132[[#This Row],[ÉTAT]]&amp;Table132[[#This Row],[next move]]</f>
        <v>EVMVVVVEV22</v>
      </c>
    </row>
    <row r="5204" spans="2:9" x14ac:dyDescent="0.25">
      <c r="B5204" t="s">
        <v>1983</v>
      </c>
      <c r="C5204" s="22" t="s">
        <v>28</v>
      </c>
      <c r="D5204">
        <v>5</v>
      </c>
      <c r="E5204">
        <v>5</v>
      </c>
      <c r="G5204" s="31">
        <f>Table132[[#This Row],[nb win]]/Table132[[#This Row],[nb play]]</f>
        <v>1</v>
      </c>
      <c r="H5204" t="str">
        <f>MID(Table132[[#This Row],[ÉTAT]],VALUE(RIGHT(Table132[[#This Row],[next move]],1))+1+VALUE(LEFT(Table132[[#This Row],[next move]],1))*3,1)</f>
        <v>V</v>
      </c>
      <c r="I5204" t="str">
        <f>Table132[[#This Row],[ÉTAT]]&amp;Table132[[#This Row],[next move]]</f>
        <v>EVMVVVVEM12</v>
      </c>
    </row>
    <row r="5205" spans="2:9" x14ac:dyDescent="0.25">
      <c r="B5205" t="s">
        <v>1089</v>
      </c>
      <c r="C5205" s="22" t="s">
        <v>26</v>
      </c>
      <c r="D5205">
        <v>4</v>
      </c>
      <c r="G5205" s="30">
        <f>Table132[[#This Row],[nb win]]/Table132[[#This Row],[nb play]]</f>
        <v>0</v>
      </c>
      <c r="H5205" t="str">
        <f>MID(Table132[[#This Row],[ÉTAT]],VALUE(RIGHT(Table132[[#This Row],[next move]],1))+1+VALUE(LEFT(Table132[[#This Row],[next move]],1))*3,1)</f>
        <v>V</v>
      </c>
      <c r="I5205" t="str">
        <f>Table132[[#This Row],[ÉTAT]]&amp;Table132[[#This Row],[next move]]</f>
        <v>EVMVVVMVE01</v>
      </c>
    </row>
    <row r="5206" spans="2:9" x14ac:dyDescent="0.25">
      <c r="B5206" t="s">
        <v>1089</v>
      </c>
      <c r="C5206" s="22" t="s">
        <v>30</v>
      </c>
      <c r="D5206">
        <v>2</v>
      </c>
      <c r="E5206">
        <v>1</v>
      </c>
      <c r="G5206" s="30">
        <f>Table132[[#This Row],[nb win]]/Table132[[#This Row],[nb play]]</f>
        <v>0.5</v>
      </c>
      <c r="H5206" t="str">
        <f>MID(Table132[[#This Row],[ÉTAT]],VALUE(RIGHT(Table132[[#This Row],[next move]],1))+1+VALUE(LEFT(Table132[[#This Row],[next move]],1))*3,1)</f>
        <v>V</v>
      </c>
      <c r="I5206" t="str">
        <f>Table132[[#This Row],[ÉTAT]]&amp;Table132[[#This Row],[next move]]</f>
        <v>EVMVVVMVE10</v>
      </c>
    </row>
    <row r="5207" spans="2:9" x14ac:dyDescent="0.25">
      <c r="B5207" t="s">
        <v>1089</v>
      </c>
      <c r="C5207" s="22" t="s">
        <v>22</v>
      </c>
      <c r="D5207">
        <v>11</v>
      </c>
      <c r="E5207">
        <v>6</v>
      </c>
      <c r="G5207" s="30">
        <f>Table132[[#This Row],[nb win]]/Table132[[#This Row],[nb play]]</f>
        <v>0.54545454545454541</v>
      </c>
      <c r="H5207" t="str">
        <f>MID(Table132[[#This Row],[ÉTAT]],VALUE(RIGHT(Table132[[#This Row],[next move]],1))+1+VALUE(LEFT(Table132[[#This Row],[next move]],1))*3,1)</f>
        <v>V</v>
      </c>
      <c r="I5207" t="str">
        <f>Table132[[#This Row],[ÉTAT]]&amp;Table132[[#This Row],[next move]]</f>
        <v>EVMVVVMVE21</v>
      </c>
    </row>
    <row r="5208" spans="2:9" x14ac:dyDescent="0.25">
      <c r="B5208" t="s">
        <v>3154</v>
      </c>
      <c r="C5208" s="22" t="s">
        <v>30</v>
      </c>
      <c r="D5208">
        <v>1</v>
      </c>
      <c r="G5208" s="30">
        <f>Table132[[#This Row],[nb win]]/Table132[[#This Row],[nb play]]</f>
        <v>0</v>
      </c>
      <c r="H5208" t="str">
        <f>MID(Table132[[#This Row],[ÉTAT]],VALUE(RIGHT(Table132[[#This Row],[next move]],1))+1+VALUE(LEFT(Table132[[#This Row],[next move]],1))*3,1)</f>
        <v>V</v>
      </c>
      <c r="I5208" t="str">
        <f>Table132[[#This Row],[ÉTAT]]&amp;Table132[[#This Row],[next move]]</f>
        <v>EVMVVVMEE10</v>
      </c>
    </row>
    <row r="5209" spans="2:9" x14ac:dyDescent="0.25">
      <c r="B5209" t="s">
        <v>3154</v>
      </c>
      <c r="C5209" s="22" t="s">
        <v>29</v>
      </c>
      <c r="D5209">
        <v>1</v>
      </c>
      <c r="E5209">
        <v>1</v>
      </c>
      <c r="G5209" s="31">
        <f>Table132[[#This Row],[nb win]]/Table132[[#This Row],[nb play]]</f>
        <v>1</v>
      </c>
      <c r="H5209" t="str">
        <f>MID(Table132[[#This Row],[ÉTAT]],VALUE(RIGHT(Table132[[#This Row],[next move]],1))+1+VALUE(LEFT(Table132[[#This Row],[next move]],1))*3,1)</f>
        <v>V</v>
      </c>
      <c r="I5209" t="str">
        <f>Table132[[#This Row],[ÉTAT]]&amp;Table132[[#This Row],[next move]]</f>
        <v>EVMVVVMEE11</v>
      </c>
    </row>
    <row r="5210" spans="2:9" x14ac:dyDescent="0.25">
      <c r="B5210" t="s">
        <v>3154</v>
      </c>
      <c r="C5210" s="22" t="s">
        <v>28</v>
      </c>
      <c r="D5210">
        <v>1</v>
      </c>
      <c r="G5210" s="30">
        <f>Table132[[#This Row],[nb win]]/Table132[[#This Row],[nb play]]</f>
        <v>0</v>
      </c>
      <c r="H5210" t="str">
        <f>MID(Table132[[#This Row],[ÉTAT]],VALUE(RIGHT(Table132[[#This Row],[next move]],1))+1+VALUE(LEFT(Table132[[#This Row],[next move]],1))*3,1)</f>
        <v>V</v>
      </c>
      <c r="I5210" t="str">
        <f>Table132[[#This Row],[ÉTAT]]&amp;Table132[[#This Row],[next move]]</f>
        <v>EVMVVVMEE12</v>
      </c>
    </row>
    <row r="5211" spans="2:9" x14ac:dyDescent="0.25">
      <c r="B5211" t="s">
        <v>578</v>
      </c>
      <c r="C5211" s="22" t="s">
        <v>30</v>
      </c>
      <c r="D5211">
        <v>1</v>
      </c>
      <c r="G5211" s="30">
        <f>Table132[[#This Row],[nb win]]/Table132[[#This Row],[nb play]]</f>
        <v>0</v>
      </c>
      <c r="H5211" t="str">
        <f>MID(Table132[[#This Row],[ÉTAT]],VALUE(RIGHT(Table132[[#This Row],[next move]],1))+1+VALUE(LEFT(Table132[[#This Row],[next move]],1))*3,1)</f>
        <v>V</v>
      </c>
      <c r="I5211" t="str">
        <f>Table132[[#This Row],[ÉTAT]]&amp;Table132[[#This Row],[next move]]</f>
        <v>EVMVVVEVV10</v>
      </c>
    </row>
    <row r="5212" spans="2:9" x14ac:dyDescent="0.25">
      <c r="B5212" t="s">
        <v>578</v>
      </c>
      <c r="C5212" s="22" t="s">
        <v>29</v>
      </c>
      <c r="D5212">
        <v>1</v>
      </c>
      <c r="G5212" s="30">
        <f>Table132[[#This Row],[nb win]]/Table132[[#This Row],[nb play]]</f>
        <v>0</v>
      </c>
      <c r="H5212" t="str">
        <f>MID(Table132[[#This Row],[ÉTAT]],VALUE(RIGHT(Table132[[#This Row],[next move]],1))+1+VALUE(LEFT(Table132[[#This Row],[next move]],1))*3,1)</f>
        <v>V</v>
      </c>
      <c r="I5212" t="str">
        <f>Table132[[#This Row],[ÉTAT]]&amp;Table132[[#This Row],[next move]]</f>
        <v>EVMVVVEVV11</v>
      </c>
    </row>
    <row r="5213" spans="2:9" x14ac:dyDescent="0.25">
      <c r="B5213" t="s">
        <v>578</v>
      </c>
      <c r="C5213" s="22" t="s">
        <v>28</v>
      </c>
      <c r="D5213">
        <v>1</v>
      </c>
      <c r="G5213" s="25">
        <f>Table132[[#This Row],[nb win]]/Table132[[#This Row],[nb play]]</f>
        <v>0</v>
      </c>
      <c r="H5213" t="str">
        <f>MID(Table132[[#This Row],[ÉTAT]],VALUE(RIGHT(Table132[[#This Row],[next move]],1))+1+VALUE(LEFT(Table132[[#This Row],[next move]],1))*3,1)</f>
        <v>V</v>
      </c>
      <c r="I5213" t="str">
        <f>Table132[[#This Row],[ÉTAT]]&amp;Table132[[#This Row],[next move]]</f>
        <v>EVMVVVEVV12</v>
      </c>
    </row>
    <row r="5214" spans="2:9" x14ac:dyDescent="0.25">
      <c r="B5214" t="s">
        <v>578</v>
      </c>
      <c r="C5214" s="22" t="s">
        <v>22</v>
      </c>
      <c r="D5214">
        <v>1</v>
      </c>
      <c r="G5214" s="25">
        <f>Table132[[#This Row],[nb win]]/Table132[[#This Row],[nb play]]</f>
        <v>0</v>
      </c>
      <c r="H5214" t="str">
        <f>MID(Table132[[#This Row],[ÉTAT]],VALUE(RIGHT(Table132[[#This Row],[next move]],1))+1+VALUE(LEFT(Table132[[#This Row],[next move]],1))*3,1)</f>
        <v>V</v>
      </c>
      <c r="I5214" t="str">
        <f>Table132[[#This Row],[ÉTAT]]&amp;Table132[[#This Row],[next move]]</f>
        <v>EVMVVVEVV21</v>
      </c>
    </row>
    <row r="5215" spans="2:9" x14ac:dyDescent="0.25">
      <c r="B5215" t="s">
        <v>578</v>
      </c>
      <c r="C5215" s="22" t="s">
        <v>31</v>
      </c>
      <c r="D5215">
        <v>1</v>
      </c>
      <c r="G5215" s="25">
        <f>Table132[[#This Row],[nb win]]/Table132[[#This Row],[nb play]]</f>
        <v>0</v>
      </c>
      <c r="H5215" t="str">
        <f>MID(Table132[[#This Row],[ÉTAT]],VALUE(RIGHT(Table132[[#This Row],[next move]],1))+1+VALUE(LEFT(Table132[[#This Row],[next move]],1))*3,1)</f>
        <v>V</v>
      </c>
      <c r="I5215" t="str">
        <f>Table132[[#This Row],[ÉTAT]]&amp;Table132[[#This Row],[next move]]</f>
        <v>EVMVVVEVV22</v>
      </c>
    </row>
    <row r="5216" spans="2:9" x14ac:dyDescent="0.25">
      <c r="B5216" t="s">
        <v>1854</v>
      </c>
      <c r="C5216" s="22" t="s">
        <v>30</v>
      </c>
      <c r="D5216">
        <v>2</v>
      </c>
      <c r="E5216">
        <v>2</v>
      </c>
      <c r="G5216" s="31">
        <f>Table132[[#This Row],[nb win]]/Table132[[#This Row],[nb play]]</f>
        <v>1</v>
      </c>
      <c r="H5216" t="str">
        <f>MID(Table132[[#This Row],[ÉTAT]],VALUE(RIGHT(Table132[[#This Row],[next move]],1))+1+VALUE(LEFT(Table132[[#This Row],[next move]],1))*3,1)</f>
        <v>V</v>
      </c>
      <c r="I5216" t="str">
        <f>Table132[[#This Row],[ÉTAT]]&amp;Table132[[#This Row],[next move]]</f>
        <v>EVMVVVEVM10</v>
      </c>
    </row>
    <row r="5217" spans="2:9" x14ac:dyDescent="0.25">
      <c r="B5217" t="s">
        <v>2008</v>
      </c>
      <c r="C5217" s="22" t="s">
        <v>28</v>
      </c>
      <c r="D5217">
        <v>2</v>
      </c>
      <c r="E5217">
        <v>1</v>
      </c>
      <c r="G5217" s="30">
        <f>Table132[[#This Row],[nb win]]/Table132[[#This Row],[nb play]]</f>
        <v>0.5</v>
      </c>
      <c r="H5217" t="str">
        <f>MID(Table132[[#This Row],[ÉTAT]],VALUE(RIGHT(Table132[[#This Row],[next move]],1))+1+VALUE(LEFT(Table132[[#This Row],[next move]],1))*3,1)</f>
        <v>V</v>
      </c>
      <c r="I5217" t="str">
        <f>Table132[[#This Row],[ÉTAT]]&amp;Table132[[#This Row],[next move]]</f>
        <v>EVMVVVEMV12</v>
      </c>
    </row>
    <row r="5218" spans="2:9" x14ac:dyDescent="0.25">
      <c r="B5218" t="s">
        <v>3484</v>
      </c>
      <c r="C5218" s="22" t="s">
        <v>26</v>
      </c>
      <c r="D5218">
        <v>1</v>
      </c>
      <c r="E5218">
        <v>1</v>
      </c>
      <c r="G5218" s="31">
        <f>Table132[[#This Row],[nb win]]/Table132[[#This Row],[nb play]]</f>
        <v>1</v>
      </c>
      <c r="H5218" t="str">
        <f>MID(Table132[[#This Row],[ÉTAT]],VALUE(RIGHT(Table132[[#This Row],[next move]],1))+1+VALUE(LEFT(Table132[[#This Row],[next move]],1))*3,1)</f>
        <v>V</v>
      </c>
      <c r="I5218" t="str">
        <f>Table132[[#This Row],[ÉTAT]]&amp;Table132[[#This Row],[next move]]</f>
        <v>EVMVVVEME01</v>
      </c>
    </row>
    <row r="5219" spans="2:9" x14ac:dyDescent="0.25">
      <c r="B5219" t="s">
        <v>3236</v>
      </c>
      <c r="C5219" s="22" t="s">
        <v>26</v>
      </c>
      <c r="D5219">
        <v>1</v>
      </c>
      <c r="G5219" s="30">
        <f>Table132[[#This Row],[nb win]]/Table132[[#This Row],[nb play]]</f>
        <v>0</v>
      </c>
      <c r="H5219" t="str">
        <f>MID(Table132[[#This Row],[ÉTAT]],VALUE(RIGHT(Table132[[#This Row],[next move]],1))+1+VALUE(LEFT(Table132[[#This Row],[next move]],1))*3,1)</f>
        <v>V</v>
      </c>
      <c r="I5219" t="str">
        <f>Table132[[#This Row],[ÉTAT]]&amp;Table132[[#This Row],[next move]]</f>
        <v>EVMVVMVVE01</v>
      </c>
    </row>
    <row r="5220" spans="2:9" x14ac:dyDescent="0.25">
      <c r="B5220" t="s">
        <v>1375</v>
      </c>
      <c r="C5220" s="22" t="s">
        <v>26</v>
      </c>
      <c r="D5220">
        <v>5</v>
      </c>
      <c r="E5220">
        <v>3</v>
      </c>
      <c r="G5220" s="31">
        <f>Table132[[#This Row],[nb win]]/Table132[[#This Row],[nb play]]</f>
        <v>0.6</v>
      </c>
      <c r="H5220" t="str">
        <f>MID(Table132[[#This Row],[ÉTAT]],VALUE(RIGHT(Table132[[#This Row],[next move]],1))+1+VALUE(LEFT(Table132[[#This Row],[next move]],1))*3,1)</f>
        <v>V</v>
      </c>
      <c r="I5220" t="str">
        <f>Table132[[#This Row],[ÉTAT]]&amp;Table132[[#This Row],[next move]]</f>
        <v>EVMVVMVEV01</v>
      </c>
    </row>
    <row r="5221" spans="2:9" x14ac:dyDescent="0.25">
      <c r="B5221" t="s">
        <v>1375</v>
      </c>
      <c r="C5221" s="22" t="s">
        <v>35</v>
      </c>
      <c r="D5221">
        <v>1</v>
      </c>
      <c r="E5221">
        <v>1</v>
      </c>
      <c r="G5221" s="25">
        <f>Table132[[#This Row],[nb win]]/Table132[[#This Row],[nb play]]</f>
        <v>1</v>
      </c>
      <c r="H5221" t="str">
        <f>MID(Table132[[#This Row],[ÉTAT]],VALUE(RIGHT(Table132[[#This Row],[next move]],1))+1+VALUE(LEFT(Table132[[#This Row],[next move]],1))*3,1)</f>
        <v>V</v>
      </c>
      <c r="I5221" t="str">
        <f>Table132[[#This Row],[ÉTAT]]&amp;Table132[[#This Row],[next move]]</f>
        <v>EVMVVMVEV20</v>
      </c>
    </row>
    <row r="5222" spans="2:9" x14ac:dyDescent="0.25">
      <c r="B5222" t="s">
        <v>3181</v>
      </c>
      <c r="C5222" s="22" t="s">
        <v>30</v>
      </c>
      <c r="D5222">
        <v>1</v>
      </c>
      <c r="G5222" s="30">
        <f>Table132[[#This Row],[nb win]]/Table132[[#This Row],[nb play]]</f>
        <v>0</v>
      </c>
      <c r="H5222" t="str">
        <f>MID(Table132[[#This Row],[ÉTAT]],VALUE(RIGHT(Table132[[#This Row],[next move]],1))+1+VALUE(LEFT(Table132[[#This Row],[next move]],1))*3,1)</f>
        <v>V</v>
      </c>
      <c r="I5222" t="str">
        <f>Table132[[#This Row],[ÉTAT]]&amp;Table132[[#This Row],[next move]]</f>
        <v>EVMVVMVEE10</v>
      </c>
    </row>
    <row r="5223" spans="2:9" x14ac:dyDescent="0.25">
      <c r="B5223" t="s">
        <v>3181</v>
      </c>
      <c r="C5223" s="22" t="s">
        <v>29</v>
      </c>
      <c r="D5223">
        <v>1</v>
      </c>
      <c r="G5223" s="30">
        <f>Table132[[#This Row],[nb win]]/Table132[[#This Row],[nb play]]</f>
        <v>0</v>
      </c>
      <c r="H5223" t="str">
        <f>MID(Table132[[#This Row],[ÉTAT]],VALUE(RIGHT(Table132[[#This Row],[next move]],1))+1+VALUE(LEFT(Table132[[#This Row],[next move]],1))*3,1)</f>
        <v>V</v>
      </c>
      <c r="I5223" t="str">
        <f>Table132[[#This Row],[ÉTAT]]&amp;Table132[[#This Row],[next move]]</f>
        <v>EVMVVMVEE11</v>
      </c>
    </row>
    <row r="5224" spans="2:9" x14ac:dyDescent="0.25">
      <c r="B5224" t="s">
        <v>2623</v>
      </c>
      <c r="C5224" s="22" t="s">
        <v>26</v>
      </c>
      <c r="D5224">
        <v>1</v>
      </c>
      <c r="G5224" s="30">
        <f>Table132[[#This Row],[nb win]]/Table132[[#This Row],[nb play]]</f>
        <v>0</v>
      </c>
      <c r="H5224" t="str">
        <f>MID(Table132[[#This Row],[ÉTAT]],VALUE(RIGHT(Table132[[#This Row],[next move]],1))+1+VALUE(LEFT(Table132[[#This Row],[next move]],1))*3,1)</f>
        <v>V</v>
      </c>
      <c r="I5224" t="str">
        <f>Table132[[#This Row],[ÉTAT]]&amp;Table132[[#This Row],[next move]]</f>
        <v>EVMVVMEVV01</v>
      </c>
    </row>
    <row r="5225" spans="2:9" x14ac:dyDescent="0.25">
      <c r="B5225" t="s">
        <v>2623</v>
      </c>
      <c r="C5225" s="22" t="s">
        <v>30</v>
      </c>
      <c r="D5225">
        <v>3</v>
      </c>
      <c r="E5225">
        <v>2</v>
      </c>
      <c r="G5225" s="25">
        <f>Table132[[#This Row],[nb win]]/Table132[[#This Row],[nb play]]</f>
        <v>0.66666666666666663</v>
      </c>
      <c r="H5225" t="str">
        <f>MID(Table132[[#This Row],[ÉTAT]],VALUE(RIGHT(Table132[[#This Row],[next move]],1))+1+VALUE(LEFT(Table132[[#This Row],[next move]],1))*3,1)</f>
        <v>V</v>
      </c>
      <c r="I5225" t="str">
        <f>Table132[[#This Row],[ÉTAT]]&amp;Table132[[#This Row],[next move]]</f>
        <v>EVMVVMEVV10</v>
      </c>
    </row>
    <row r="5226" spans="2:9" x14ac:dyDescent="0.25">
      <c r="B5226" t="s">
        <v>2623</v>
      </c>
      <c r="C5226" s="22" t="s">
        <v>29</v>
      </c>
      <c r="D5226">
        <v>1</v>
      </c>
      <c r="G5226" s="30">
        <f>Table132[[#This Row],[nb win]]/Table132[[#This Row],[nb play]]</f>
        <v>0</v>
      </c>
      <c r="H5226" t="str">
        <f>MID(Table132[[#This Row],[ÉTAT]],VALUE(RIGHT(Table132[[#This Row],[next move]],1))+1+VALUE(LEFT(Table132[[#This Row],[next move]],1))*3,1)</f>
        <v>V</v>
      </c>
      <c r="I5226" t="str">
        <f>Table132[[#This Row],[ÉTAT]]&amp;Table132[[#This Row],[next move]]</f>
        <v>EVMVVMEVV11</v>
      </c>
    </row>
    <row r="5227" spans="2:9" x14ac:dyDescent="0.25">
      <c r="B5227" t="s">
        <v>2623</v>
      </c>
      <c r="C5227" s="22" t="s">
        <v>22</v>
      </c>
      <c r="D5227">
        <v>1</v>
      </c>
      <c r="G5227" s="30">
        <f>Table132[[#This Row],[nb win]]/Table132[[#This Row],[nb play]]</f>
        <v>0</v>
      </c>
      <c r="H5227" t="str">
        <f>MID(Table132[[#This Row],[ÉTAT]],VALUE(RIGHT(Table132[[#This Row],[next move]],1))+1+VALUE(LEFT(Table132[[#This Row],[next move]],1))*3,1)</f>
        <v>V</v>
      </c>
      <c r="I5227" t="str">
        <f>Table132[[#This Row],[ÉTAT]]&amp;Table132[[#This Row],[next move]]</f>
        <v>EVMVVMEVV21</v>
      </c>
    </row>
    <row r="5228" spans="2:9" x14ac:dyDescent="0.25">
      <c r="B5228" t="s">
        <v>2834</v>
      </c>
      <c r="C5228" s="22" t="s">
        <v>30</v>
      </c>
      <c r="D5228">
        <v>1</v>
      </c>
      <c r="E5228">
        <v>1</v>
      </c>
      <c r="G5228" s="31">
        <f>Table132[[#This Row],[nb win]]/Table132[[#This Row],[nb play]]</f>
        <v>1</v>
      </c>
      <c r="H5228" t="str">
        <f>MID(Table132[[#This Row],[ÉTAT]],VALUE(RIGHT(Table132[[#This Row],[next move]],1))+1+VALUE(LEFT(Table132[[#This Row],[next move]],1))*3,1)</f>
        <v>V</v>
      </c>
      <c r="I5228" t="str">
        <f>Table132[[#This Row],[ÉTAT]]&amp;Table132[[#This Row],[next move]]</f>
        <v>EVMVVMEVE10</v>
      </c>
    </row>
    <row r="5229" spans="2:9" x14ac:dyDescent="0.25">
      <c r="B5229" t="s">
        <v>2834</v>
      </c>
      <c r="C5229" s="22" t="s">
        <v>29</v>
      </c>
      <c r="D5229">
        <v>1</v>
      </c>
      <c r="G5229" s="25">
        <f>Table132[[#This Row],[nb win]]/Table132[[#This Row],[nb play]]</f>
        <v>0</v>
      </c>
      <c r="H5229" t="str">
        <f>MID(Table132[[#This Row],[ÉTAT]],VALUE(RIGHT(Table132[[#This Row],[next move]],1))+1+VALUE(LEFT(Table132[[#This Row],[next move]],1))*3,1)</f>
        <v>V</v>
      </c>
      <c r="I5229" t="str">
        <f>Table132[[#This Row],[ÉTAT]]&amp;Table132[[#This Row],[next move]]</f>
        <v>EVMVVMEVE11</v>
      </c>
    </row>
    <row r="5230" spans="2:9" x14ac:dyDescent="0.25">
      <c r="B5230" t="s">
        <v>2834</v>
      </c>
      <c r="C5230" s="22" t="s">
        <v>22</v>
      </c>
      <c r="D5230">
        <v>1</v>
      </c>
      <c r="G5230" s="25">
        <f>Table132[[#This Row],[nb win]]/Table132[[#This Row],[nb play]]</f>
        <v>0</v>
      </c>
      <c r="H5230" t="str">
        <f>MID(Table132[[#This Row],[ÉTAT]],VALUE(RIGHT(Table132[[#This Row],[next move]],1))+1+VALUE(LEFT(Table132[[#This Row],[next move]],1))*3,1)</f>
        <v>V</v>
      </c>
      <c r="I5230" t="str">
        <f>Table132[[#This Row],[ÉTAT]]&amp;Table132[[#This Row],[next move]]</f>
        <v>EVMVVMEVE21</v>
      </c>
    </row>
    <row r="5231" spans="2:9" x14ac:dyDescent="0.25">
      <c r="B5231" t="s">
        <v>844</v>
      </c>
      <c r="C5231" s="22" t="s">
        <v>26</v>
      </c>
      <c r="D5231">
        <v>2</v>
      </c>
      <c r="G5231" s="30">
        <f>Table132[[#This Row],[nb win]]/Table132[[#This Row],[nb play]]</f>
        <v>0</v>
      </c>
      <c r="H5231" t="str">
        <f>MID(Table132[[#This Row],[ÉTAT]],VALUE(RIGHT(Table132[[#This Row],[next move]],1))+1+VALUE(LEFT(Table132[[#This Row],[next move]],1))*3,1)</f>
        <v>V</v>
      </c>
      <c r="I5231" t="str">
        <f>Table132[[#This Row],[ÉTAT]]&amp;Table132[[#This Row],[next move]]</f>
        <v>EVMVVMEME01</v>
      </c>
    </row>
    <row r="5232" spans="2:9" x14ac:dyDescent="0.25">
      <c r="B5232" t="s">
        <v>844</v>
      </c>
      <c r="C5232" s="22" t="s">
        <v>30</v>
      </c>
      <c r="D5232">
        <v>3</v>
      </c>
      <c r="G5232" s="30">
        <f>Table132[[#This Row],[nb win]]/Table132[[#This Row],[nb play]]</f>
        <v>0</v>
      </c>
      <c r="H5232" t="str">
        <f>MID(Table132[[#This Row],[ÉTAT]],VALUE(RIGHT(Table132[[#This Row],[next move]],1))+1+VALUE(LEFT(Table132[[#This Row],[next move]],1))*3,1)</f>
        <v>V</v>
      </c>
      <c r="I5232" t="str">
        <f>Table132[[#This Row],[ÉTAT]]&amp;Table132[[#This Row],[next move]]</f>
        <v>EVMVVMEME10</v>
      </c>
    </row>
    <row r="5233" spans="2:9" x14ac:dyDescent="0.25">
      <c r="B5233" t="s">
        <v>844</v>
      </c>
      <c r="C5233" s="22" t="s">
        <v>29</v>
      </c>
      <c r="D5233">
        <v>5</v>
      </c>
      <c r="G5233" s="30">
        <f>Table132[[#This Row],[nb win]]/Table132[[#This Row],[nb play]]</f>
        <v>0</v>
      </c>
      <c r="H5233" t="str">
        <f>MID(Table132[[#This Row],[ÉTAT]],VALUE(RIGHT(Table132[[#This Row],[next move]],1))+1+VALUE(LEFT(Table132[[#This Row],[next move]],1))*3,1)</f>
        <v>V</v>
      </c>
      <c r="I5233" t="str">
        <f>Table132[[#This Row],[ÉTAT]]&amp;Table132[[#This Row],[next move]]</f>
        <v>EVMVVMEME11</v>
      </c>
    </row>
    <row r="5234" spans="2:9" x14ac:dyDescent="0.25">
      <c r="B5234" t="s">
        <v>623</v>
      </c>
      <c r="C5234" s="22" t="s">
        <v>30</v>
      </c>
      <c r="D5234">
        <v>1</v>
      </c>
      <c r="E5234">
        <v>1</v>
      </c>
      <c r="G5234" s="25">
        <f>Table132[[#This Row],[nb win]]/Table132[[#This Row],[nb play]]</f>
        <v>1</v>
      </c>
      <c r="H5234" t="str">
        <f>MID(Table132[[#This Row],[ÉTAT]],VALUE(RIGHT(Table132[[#This Row],[next move]],1))+1+VALUE(LEFT(Table132[[#This Row],[next move]],1))*3,1)</f>
        <v>V</v>
      </c>
      <c r="I5234" t="str">
        <f>Table132[[#This Row],[ÉTAT]]&amp;Table132[[#This Row],[next move]]</f>
        <v>EVMVVMEEV10</v>
      </c>
    </row>
    <row r="5235" spans="2:9" x14ac:dyDescent="0.25">
      <c r="B5235" t="s">
        <v>623</v>
      </c>
      <c r="C5235" s="22" t="s">
        <v>29</v>
      </c>
      <c r="D5235">
        <v>2</v>
      </c>
      <c r="E5235">
        <v>1</v>
      </c>
      <c r="G5235" s="25">
        <f>Table132[[#This Row],[nb win]]/Table132[[#This Row],[nb play]]</f>
        <v>0.5</v>
      </c>
      <c r="H5235" t="str">
        <f>MID(Table132[[#This Row],[ÉTAT]],VALUE(RIGHT(Table132[[#This Row],[next move]],1))+1+VALUE(LEFT(Table132[[#This Row],[next move]],1))*3,1)</f>
        <v>V</v>
      </c>
      <c r="I5235" t="str">
        <f>Table132[[#This Row],[ÉTAT]]&amp;Table132[[#This Row],[next move]]</f>
        <v>EVMVVMEEV11</v>
      </c>
    </row>
    <row r="5236" spans="2:9" x14ac:dyDescent="0.25">
      <c r="B5236" t="s">
        <v>122</v>
      </c>
      <c r="C5236" s="22" t="s">
        <v>26</v>
      </c>
      <c r="D5236">
        <v>7</v>
      </c>
      <c r="G5236" s="30">
        <f>Table132[[#This Row],[nb win]]/Table132[[#This Row],[nb play]]</f>
        <v>0</v>
      </c>
      <c r="H5236" t="str">
        <f>MID(Table132[[#This Row],[ÉTAT]],VALUE(RIGHT(Table132[[#This Row],[next move]],1))+1+VALUE(LEFT(Table132[[#This Row],[next move]],1))*3,1)</f>
        <v>V</v>
      </c>
      <c r="I5236" t="str">
        <f>Table132[[#This Row],[ÉTAT]]&amp;Table132[[#This Row],[next move]]</f>
        <v>EVMVVEVVV01</v>
      </c>
    </row>
    <row r="5237" spans="2:9" x14ac:dyDescent="0.25">
      <c r="B5237" t="s">
        <v>122</v>
      </c>
      <c r="C5237" s="22" t="s">
        <v>30</v>
      </c>
      <c r="D5237">
        <v>3</v>
      </c>
      <c r="E5237">
        <v>2</v>
      </c>
      <c r="G5237" s="25">
        <f>Table132[[#This Row],[nb win]]/Table132[[#This Row],[nb play]]</f>
        <v>0.66666666666666663</v>
      </c>
      <c r="H5237" t="str">
        <f>MID(Table132[[#This Row],[ÉTAT]],VALUE(RIGHT(Table132[[#This Row],[next move]],1))+1+VALUE(LEFT(Table132[[#This Row],[next move]],1))*3,1)</f>
        <v>V</v>
      </c>
      <c r="I5237" t="str">
        <f>Table132[[#This Row],[ÉTAT]]&amp;Table132[[#This Row],[next move]]</f>
        <v>EVMVVEVVV10</v>
      </c>
    </row>
    <row r="5238" spans="2:9" x14ac:dyDescent="0.25">
      <c r="B5238" t="s">
        <v>122</v>
      </c>
      <c r="C5238" s="22" t="s">
        <v>29</v>
      </c>
      <c r="D5238">
        <v>6</v>
      </c>
      <c r="E5238">
        <v>5</v>
      </c>
      <c r="G5238" s="31">
        <f>Table132[[#This Row],[nb win]]/Table132[[#This Row],[nb play]]</f>
        <v>0.83333333333333337</v>
      </c>
      <c r="H5238" t="str">
        <f>MID(Table132[[#This Row],[ÉTAT]],VALUE(RIGHT(Table132[[#This Row],[next move]],1))+1+VALUE(LEFT(Table132[[#This Row],[next move]],1))*3,1)</f>
        <v>V</v>
      </c>
      <c r="I5238" t="str">
        <f>Table132[[#This Row],[ÉTAT]]&amp;Table132[[#This Row],[next move]]</f>
        <v>EVMVVEVVV11</v>
      </c>
    </row>
    <row r="5239" spans="2:9" x14ac:dyDescent="0.25">
      <c r="B5239" t="s">
        <v>122</v>
      </c>
      <c r="C5239" s="22" t="s">
        <v>35</v>
      </c>
      <c r="D5239">
        <v>2</v>
      </c>
      <c r="E5239">
        <v>1</v>
      </c>
      <c r="G5239" s="25">
        <f>Table132[[#This Row],[nb win]]/Table132[[#This Row],[nb play]]</f>
        <v>0.5</v>
      </c>
      <c r="H5239" t="str">
        <f>MID(Table132[[#This Row],[ÉTAT]],VALUE(RIGHT(Table132[[#This Row],[next move]],1))+1+VALUE(LEFT(Table132[[#This Row],[next move]],1))*3,1)</f>
        <v>V</v>
      </c>
      <c r="I5239" t="str">
        <f>Table132[[#This Row],[ÉTAT]]&amp;Table132[[#This Row],[next move]]</f>
        <v>EVMVVEVVV20</v>
      </c>
    </row>
    <row r="5240" spans="2:9" x14ac:dyDescent="0.25">
      <c r="B5240" t="s">
        <v>122</v>
      </c>
      <c r="C5240" s="22" t="s">
        <v>22</v>
      </c>
      <c r="D5240">
        <v>3</v>
      </c>
      <c r="G5240" s="30">
        <f>Table132[[#This Row],[nb win]]/Table132[[#This Row],[nb play]]</f>
        <v>0</v>
      </c>
      <c r="H5240" t="str">
        <f>MID(Table132[[#This Row],[ÉTAT]],VALUE(RIGHT(Table132[[#This Row],[next move]],1))+1+VALUE(LEFT(Table132[[#This Row],[next move]],1))*3,1)</f>
        <v>V</v>
      </c>
      <c r="I5240" t="str">
        <f>Table132[[#This Row],[ÉTAT]]&amp;Table132[[#This Row],[next move]]</f>
        <v>EVMVVEVVV21</v>
      </c>
    </row>
    <row r="5241" spans="2:9" x14ac:dyDescent="0.25">
      <c r="B5241" t="s">
        <v>122</v>
      </c>
      <c r="C5241" s="22" t="s">
        <v>31</v>
      </c>
      <c r="D5241">
        <v>3</v>
      </c>
      <c r="E5241">
        <v>2</v>
      </c>
      <c r="G5241" s="25">
        <f>Table132[[#This Row],[nb win]]/Table132[[#This Row],[nb play]]</f>
        <v>0.66666666666666663</v>
      </c>
      <c r="H5241" t="str">
        <f>MID(Table132[[#This Row],[ÉTAT]],VALUE(RIGHT(Table132[[#This Row],[next move]],1))+1+VALUE(LEFT(Table132[[#This Row],[next move]],1))*3,1)</f>
        <v>V</v>
      </c>
      <c r="I5241" t="str">
        <f>Table132[[#This Row],[ÉTAT]]&amp;Table132[[#This Row],[next move]]</f>
        <v>EVMVVEVVV22</v>
      </c>
    </row>
    <row r="5242" spans="2:9" x14ac:dyDescent="0.25">
      <c r="B5242" t="s">
        <v>2513</v>
      </c>
      <c r="C5242" s="22" t="s">
        <v>26</v>
      </c>
      <c r="D5242">
        <v>1</v>
      </c>
      <c r="G5242" s="25">
        <f>Table132[[#This Row],[nb win]]/Table132[[#This Row],[nb play]]</f>
        <v>0</v>
      </c>
      <c r="H5242" t="str">
        <f>MID(Table132[[#This Row],[ÉTAT]],VALUE(RIGHT(Table132[[#This Row],[next move]],1))+1+VALUE(LEFT(Table132[[#This Row],[next move]],1))*3,1)</f>
        <v>V</v>
      </c>
      <c r="I5242" t="str">
        <f>Table132[[#This Row],[ÉTAT]]&amp;Table132[[#This Row],[next move]]</f>
        <v>EVMVVEVVM01</v>
      </c>
    </row>
    <row r="5243" spans="2:9" x14ac:dyDescent="0.25">
      <c r="B5243" t="s">
        <v>2513</v>
      </c>
      <c r="C5243" s="22" t="s">
        <v>29</v>
      </c>
      <c r="D5243">
        <v>1</v>
      </c>
      <c r="E5243">
        <v>1</v>
      </c>
      <c r="G5243" s="31">
        <f>Table132[[#This Row],[nb win]]/Table132[[#This Row],[nb play]]</f>
        <v>1</v>
      </c>
      <c r="H5243" t="str">
        <f>MID(Table132[[#This Row],[ÉTAT]],VALUE(RIGHT(Table132[[#This Row],[next move]],1))+1+VALUE(LEFT(Table132[[#This Row],[next move]],1))*3,1)</f>
        <v>V</v>
      </c>
      <c r="I5243" t="str">
        <f>Table132[[#This Row],[ÉTAT]]&amp;Table132[[#This Row],[next move]]</f>
        <v>EVMVVEVVM11</v>
      </c>
    </row>
    <row r="5244" spans="2:9" x14ac:dyDescent="0.25">
      <c r="B5244" t="s">
        <v>359</v>
      </c>
      <c r="C5244" s="22" t="s">
        <v>26</v>
      </c>
      <c r="D5244">
        <v>5</v>
      </c>
      <c r="E5244">
        <v>4</v>
      </c>
      <c r="G5244" s="31">
        <f>Table132[[#This Row],[nb win]]/Table132[[#This Row],[nb play]]</f>
        <v>0.8</v>
      </c>
      <c r="H5244" t="str">
        <f>MID(Table132[[#This Row],[ÉTAT]],VALUE(RIGHT(Table132[[#This Row],[next move]],1))+1+VALUE(LEFT(Table132[[#This Row],[next move]],1))*3,1)</f>
        <v>V</v>
      </c>
      <c r="I5244" t="str">
        <f>Table132[[#This Row],[ÉTAT]]&amp;Table132[[#This Row],[next move]]</f>
        <v>EVMVVEVMV01</v>
      </c>
    </row>
    <row r="5245" spans="2:9" x14ac:dyDescent="0.25">
      <c r="B5245" t="s">
        <v>359</v>
      </c>
      <c r="C5245" s="22" t="s">
        <v>29</v>
      </c>
      <c r="D5245">
        <v>4</v>
      </c>
      <c r="E5245">
        <v>4</v>
      </c>
      <c r="G5245" s="31">
        <f>Table132[[#This Row],[nb win]]/Table132[[#This Row],[nb play]]</f>
        <v>1</v>
      </c>
      <c r="H5245" t="str">
        <f>MID(Table132[[#This Row],[ÉTAT]],VALUE(RIGHT(Table132[[#This Row],[next move]],1))+1+VALUE(LEFT(Table132[[#This Row],[next move]],1))*3,1)</f>
        <v>V</v>
      </c>
      <c r="I5245" t="str">
        <f>Table132[[#This Row],[ÉTAT]]&amp;Table132[[#This Row],[next move]]</f>
        <v>EVMVVEVMV11</v>
      </c>
    </row>
    <row r="5246" spans="2:9" x14ac:dyDescent="0.25">
      <c r="B5246" t="s">
        <v>2187</v>
      </c>
      <c r="C5246" s="22" t="s">
        <v>26</v>
      </c>
      <c r="D5246">
        <v>1</v>
      </c>
      <c r="G5246" s="25">
        <f>Table132[[#This Row],[nb win]]/Table132[[#This Row],[nb play]]</f>
        <v>0</v>
      </c>
      <c r="H5246" t="str">
        <f>MID(Table132[[#This Row],[ÉTAT]],VALUE(RIGHT(Table132[[#This Row],[next move]],1))+1+VALUE(LEFT(Table132[[#This Row],[next move]],1))*3,1)</f>
        <v>V</v>
      </c>
      <c r="I5246" t="str">
        <f>Table132[[#This Row],[ÉTAT]]&amp;Table132[[#This Row],[next move]]</f>
        <v>EVMVVEVME01</v>
      </c>
    </row>
    <row r="5247" spans="2:9" x14ac:dyDescent="0.25">
      <c r="B5247" t="s">
        <v>2187</v>
      </c>
      <c r="C5247" s="22" t="s">
        <v>35</v>
      </c>
      <c r="D5247">
        <v>1</v>
      </c>
      <c r="G5247" s="30">
        <f>Table132[[#This Row],[nb win]]/Table132[[#This Row],[nb play]]</f>
        <v>0</v>
      </c>
      <c r="H5247" t="str">
        <f>MID(Table132[[#This Row],[ÉTAT]],VALUE(RIGHT(Table132[[#This Row],[next move]],1))+1+VALUE(LEFT(Table132[[#This Row],[next move]],1))*3,1)</f>
        <v>V</v>
      </c>
      <c r="I5247" t="str">
        <f>Table132[[#This Row],[ÉTAT]]&amp;Table132[[#This Row],[next move]]</f>
        <v>EVMVVEVME20</v>
      </c>
    </row>
    <row r="5248" spans="2:9" x14ac:dyDescent="0.25">
      <c r="B5248" t="s">
        <v>2001</v>
      </c>
      <c r="C5248" s="22" t="s">
        <v>26</v>
      </c>
      <c r="D5248">
        <v>3</v>
      </c>
      <c r="G5248" s="30">
        <f>Table132[[#This Row],[nb win]]/Table132[[#This Row],[nb play]]</f>
        <v>0</v>
      </c>
      <c r="H5248" t="str">
        <f>MID(Table132[[#This Row],[ÉTAT]],VALUE(RIGHT(Table132[[#This Row],[next move]],1))+1+VALUE(LEFT(Table132[[#This Row],[next move]],1))*3,1)</f>
        <v>V</v>
      </c>
      <c r="I5248" t="str">
        <f>Table132[[#This Row],[ÉTAT]]&amp;Table132[[#This Row],[next move]]</f>
        <v>EVMVVEVEM01</v>
      </c>
    </row>
    <row r="5249" spans="2:9" x14ac:dyDescent="0.25">
      <c r="B5249" t="s">
        <v>2001</v>
      </c>
      <c r="C5249" s="22" t="s">
        <v>29</v>
      </c>
      <c r="D5249">
        <v>1</v>
      </c>
      <c r="E5249">
        <v>1</v>
      </c>
      <c r="G5249" s="25">
        <f>Table132[[#This Row],[nb win]]/Table132[[#This Row],[nb play]]</f>
        <v>1</v>
      </c>
      <c r="H5249" t="str">
        <f>MID(Table132[[#This Row],[ÉTAT]],VALUE(RIGHT(Table132[[#This Row],[next move]],1))+1+VALUE(LEFT(Table132[[#This Row],[next move]],1))*3,1)</f>
        <v>V</v>
      </c>
      <c r="I5249" t="str">
        <f>Table132[[#This Row],[ÉTAT]]&amp;Table132[[#This Row],[next move]]</f>
        <v>EVMVVEVEM11</v>
      </c>
    </row>
    <row r="5250" spans="2:9" x14ac:dyDescent="0.25">
      <c r="B5250" t="s">
        <v>2001</v>
      </c>
      <c r="C5250" s="22" t="s">
        <v>35</v>
      </c>
      <c r="D5250">
        <v>2</v>
      </c>
      <c r="G5250" s="30">
        <f>Table132[[#This Row],[nb win]]/Table132[[#This Row],[nb play]]</f>
        <v>0</v>
      </c>
      <c r="H5250" t="str">
        <f>MID(Table132[[#This Row],[ÉTAT]],VALUE(RIGHT(Table132[[#This Row],[next move]],1))+1+VALUE(LEFT(Table132[[#This Row],[next move]],1))*3,1)</f>
        <v>V</v>
      </c>
      <c r="I5250" t="str">
        <f>Table132[[#This Row],[ÉTAT]]&amp;Table132[[#This Row],[next move]]</f>
        <v>EVMVVEVEM20</v>
      </c>
    </row>
    <row r="5251" spans="2:9" x14ac:dyDescent="0.25">
      <c r="B5251" t="s">
        <v>2706</v>
      </c>
      <c r="C5251" s="22" t="s">
        <v>26</v>
      </c>
      <c r="D5251">
        <v>1</v>
      </c>
      <c r="E5251">
        <v>1</v>
      </c>
      <c r="G5251" s="25">
        <f>Table132[[#This Row],[nb win]]/Table132[[#This Row],[nb play]]</f>
        <v>1</v>
      </c>
      <c r="H5251" t="str">
        <f>MID(Table132[[#This Row],[ÉTAT]],VALUE(RIGHT(Table132[[#This Row],[next move]],1))+1+VALUE(LEFT(Table132[[#This Row],[next move]],1))*3,1)</f>
        <v>V</v>
      </c>
      <c r="I5251" t="str">
        <f>Table132[[#This Row],[ÉTAT]]&amp;Table132[[#This Row],[next move]]</f>
        <v>EVMVVEMVE01</v>
      </c>
    </row>
    <row r="5252" spans="2:9" x14ac:dyDescent="0.25">
      <c r="B5252" t="s">
        <v>1499</v>
      </c>
      <c r="C5252" s="22" t="s">
        <v>26</v>
      </c>
      <c r="D5252">
        <v>3</v>
      </c>
      <c r="G5252" s="30">
        <f>Table132[[#This Row],[nb win]]/Table132[[#This Row],[nb play]]</f>
        <v>0</v>
      </c>
      <c r="H5252" t="str">
        <f>MID(Table132[[#This Row],[ÉTAT]],VALUE(RIGHT(Table132[[#This Row],[next move]],1))+1+VALUE(LEFT(Table132[[#This Row],[next move]],1))*3,1)</f>
        <v>V</v>
      </c>
      <c r="I5252" t="str">
        <f>Table132[[#This Row],[ÉTAT]]&amp;Table132[[#This Row],[next move]]</f>
        <v>EVMVVEMME01</v>
      </c>
    </row>
    <row r="5253" spans="2:9" x14ac:dyDescent="0.25">
      <c r="B5253" t="s">
        <v>1499</v>
      </c>
      <c r="C5253" s="22" t="s">
        <v>30</v>
      </c>
      <c r="D5253">
        <v>1</v>
      </c>
      <c r="G5253" s="25">
        <f>Table132[[#This Row],[nb win]]/Table132[[#This Row],[nb play]]</f>
        <v>0</v>
      </c>
      <c r="H5253" t="str">
        <f>MID(Table132[[#This Row],[ÉTAT]],VALUE(RIGHT(Table132[[#This Row],[next move]],1))+1+VALUE(LEFT(Table132[[#This Row],[next move]],1))*3,1)</f>
        <v>V</v>
      </c>
      <c r="I5253" t="str">
        <f>Table132[[#This Row],[ÉTAT]]&amp;Table132[[#This Row],[next move]]</f>
        <v>EVMVVEMME10</v>
      </c>
    </row>
    <row r="5254" spans="2:9" x14ac:dyDescent="0.25">
      <c r="B5254" t="s">
        <v>1499</v>
      </c>
      <c r="C5254" s="22" t="s">
        <v>29</v>
      </c>
      <c r="D5254">
        <v>3</v>
      </c>
      <c r="E5254">
        <v>3</v>
      </c>
      <c r="G5254" s="25">
        <f>Table132[[#This Row],[nb win]]/Table132[[#This Row],[nb play]]</f>
        <v>1</v>
      </c>
      <c r="H5254" t="str">
        <f>MID(Table132[[#This Row],[ÉTAT]],VALUE(RIGHT(Table132[[#This Row],[next move]],1))+1+VALUE(LEFT(Table132[[#This Row],[next move]],1))*3,1)</f>
        <v>V</v>
      </c>
      <c r="I5254" t="str">
        <f>Table132[[#This Row],[ÉTAT]]&amp;Table132[[#This Row],[next move]]</f>
        <v>EVMVVEMME11</v>
      </c>
    </row>
    <row r="5255" spans="2:9" x14ac:dyDescent="0.25">
      <c r="B5255" t="s">
        <v>955</v>
      </c>
      <c r="C5255" s="22" t="s">
        <v>26</v>
      </c>
      <c r="D5255">
        <v>2</v>
      </c>
      <c r="E5255">
        <v>1</v>
      </c>
      <c r="G5255" s="25">
        <f>Table132[[#This Row],[nb win]]/Table132[[#This Row],[nb play]]</f>
        <v>0.5</v>
      </c>
      <c r="H5255" t="str">
        <f>MID(Table132[[#This Row],[ÉTAT]],VALUE(RIGHT(Table132[[#This Row],[next move]],1))+1+VALUE(LEFT(Table132[[#This Row],[next move]],1))*3,1)</f>
        <v>V</v>
      </c>
      <c r="I5255" t="str">
        <f>Table132[[#This Row],[ÉTAT]]&amp;Table132[[#This Row],[next move]]</f>
        <v>EVMVVEMEV01</v>
      </c>
    </row>
    <row r="5256" spans="2:9" x14ac:dyDescent="0.25">
      <c r="B5256" t="s">
        <v>955</v>
      </c>
      <c r="C5256" s="22" t="s">
        <v>31</v>
      </c>
      <c r="D5256">
        <v>1</v>
      </c>
      <c r="G5256" s="25">
        <f>Table132[[#This Row],[nb win]]/Table132[[#This Row],[nb play]]</f>
        <v>0</v>
      </c>
      <c r="H5256" t="str">
        <f>MID(Table132[[#This Row],[ÉTAT]],VALUE(RIGHT(Table132[[#This Row],[next move]],1))+1+VALUE(LEFT(Table132[[#This Row],[next move]],1))*3,1)</f>
        <v>V</v>
      </c>
      <c r="I5256" t="str">
        <f>Table132[[#This Row],[ÉTAT]]&amp;Table132[[#This Row],[next move]]</f>
        <v>EVMVVEMEV22</v>
      </c>
    </row>
    <row r="5257" spans="2:9" x14ac:dyDescent="0.25">
      <c r="B5257" t="s">
        <v>959</v>
      </c>
      <c r="C5257" s="22" t="s">
        <v>29</v>
      </c>
      <c r="D5257">
        <v>1</v>
      </c>
      <c r="G5257" s="25">
        <f>Table132[[#This Row],[nb win]]/Table132[[#This Row],[nb play]]</f>
        <v>0</v>
      </c>
      <c r="H5257" t="str">
        <f>MID(Table132[[#This Row],[ÉTAT]],VALUE(RIGHT(Table132[[#This Row],[next move]],1))+1+VALUE(LEFT(Table132[[#This Row],[next move]],1))*3,1)</f>
        <v>V</v>
      </c>
      <c r="I5257" t="str">
        <f>Table132[[#This Row],[ÉTAT]]&amp;Table132[[#This Row],[next move]]</f>
        <v>EVMVVEEVM11</v>
      </c>
    </row>
    <row r="5258" spans="2:9" x14ac:dyDescent="0.25">
      <c r="B5258" t="s">
        <v>2717</v>
      </c>
      <c r="C5258" s="22" t="s">
        <v>26</v>
      </c>
      <c r="D5258">
        <v>1</v>
      </c>
      <c r="G5258" s="30">
        <f>Table132[[#This Row],[nb win]]/Table132[[#This Row],[nb play]]</f>
        <v>0</v>
      </c>
      <c r="H5258" t="str">
        <f>MID(Table132[[#This Row],[ÉTAT]],VALUE(RIGHT(Table132[[#This Row],[next move]],1))+1+VALUE(LEFT(Table132[[#This Row],[next move]],1))*3,1)</f>
        <v>V</v>
      </c>
      <c r="I5258" t="str">
        <f>Table132[[#This Row],[ÉTAT]]&amp;Table132[[#This Row],[next move]]</f>
        <v>EVMVVEEMV01</v>
      </c>
    </row>
    <row r="5259" spans="2:9" x14ac:dyDescent="0.25">
      <c r="B5259" t="s">
        <v>2717</v>
      </c>
      <c r="C5259" s="22" t="s">
        <v>29</v>
      </c>
      <c r="D5259">
        <v>1</v>
      </c>
      <c r="G5259" s="30">
        <f>Table132[[#This Row],[nb win]]/Table132[[#This Row],[nb play]]</f>
        <v>0</v>
      </c>
      <c r="H5259" t="str">
        <f>MID(Table132[[#This Row],[ÉTAT]],VALUE(RIGHT(Table132[[#This Row],[next move]],1))+1+VALUE(LEFT(Table132[[#This Row],[next move]],1))*3,1)</f>
        <v>V</v>
      </c>
      <c r="I5259" t="str">
        <f>Table132[[#This Row],[ÉTAT]]&amp;Table132[[#This Row],[next move]]</f>
        <v>EVMVVEEMV11</v>
      </c>
    </row>
    <row r="5260" spans="2:9" x14ac:dyDescent="0.25">
      <c r="B5260" t="s">
        <v>2717</v>
      </c>
      <c r="C5260" s="22" t="s">
        <v>31</v>
      </c>
      <c r="D5260">
        <v>1</v>
      </c>
      <c r="G5260" s="25">
        <f>Table132[[#This Row],[nb win]]/Table132[[#This Row],[nb play]]</f>
        <v>0</v>
      </c>
      <c r="H5260" t="str">
        <f>MID(Table132[[#This Row],[ÉTAT]],VALUE(RIGHT(Table132[[#This Row],[next move]],1))+1+VALUE(LEFT(Table132[[#This Row],[next move]],1))*3,1)</f>
        <v>V</v>
      </c>
      <c r="I5260" t="str">
        <f>Table132[[#This Row],[ÉTAT]]&amp;Table132[[#This Row],[next move]]</f>
        <v>EVMVVEEMV22</v>
      </c>
    </row>
    <row r="5261" spans="2:9" x14ac:dyDescent="0.25">
      <c r="B5261" t="s">
        <v>684</v>
      </c>
      <c r="C5261" s="22" t="s">
        <v>26</v>
      </c>
      <c r="D5261">
        <v>1</v>
      </c>
      <c r="G5261" s="25">
        <f>Table132[[#This Row],[nb win]]/Table132[[#This Row],[nb play]]</f>
        <v>0</v>
      </c>
      <c r="H5261" t="str">
        <f>MID(Table132[[#This Row],[ÉTAT]],VALUE(RIGHT(Table132[[#This Row],[next move]],1))+1+VALUE(LEFT(Table132[[#This Row],[next move]],1))*3,1)</f>
        <v>V</v>
      </c>
      <c r="I5261" t="str">
        <f>Table132[[#This Row],[ÉTAT]]&amp;Table132[[#This Row],[next move]]</f>
        <v>EVMVVEEMM01</v>
      </c>
    </row>
    <row r="5262" spans="2:9" x14ac:dyDescent="0.25">
      <c r="B5262" t="s">
        <v>684</v>
      </c>
      <c r="C5262" s="22" t="s">
        <v>29</v>
      </c>
      <c r="D5262">
        <v>1</v>
      </c>
      <c r="G5262" s="25">
        <f>Table132[[#This Row],[nb win]]/Table132[[#This Row],[nb play]]</f>
        <v>0</v>
      </c>
      <c r="H5262" t="str">
        <f>MID(Table132[[#This Row],[ÉTAT]],VALUE(RIGHT(Table132[[#This Row],[next move]],1))+1+VALUE(LEFT(Table132[[#This Row],[next move]],1))*3,1)</f>
        <v>V</v>
      </c>
      <c r="I5262" t="str">
        <f>Table132[[#This Row],[ÉTAT]]&amp;Table132[[#This Row],[next move]]</f>
        <v>EVMVVEEMM11</v>
      </c>
    </row>
    <row r="5263" spans="2:9" x14ac:dyDescent="0.25">
      <c r="B5263" t="s">
        <v>526</v>
      </c>
      <c r="C5263" s="22" t="s">
        <v>22</v>
      </c>
      <c r="D5263">
        <v>3</v>
      </c>
      <c r="E5263">
        <v>3</v>
      </c>
      <c r="G5263" s="31">
        <f>Table132[[#This Row],[nb win]]/Table132[[#This Row],[nb play]]</f>
        <v>1</v>
      </c>
      <c r="H5263" t="str">
        <f>MID(Table132[[#This Row],[ÉTAT]],VALUE(RIGHT(Table132[[#This Row],[next move]],1))+1+VALUE(LEFT(Table132[[#This Row],[next move]],1))*3,1)</f>
        <v>V</v>
      </c>
      <c r="I5263" t="str">
        <f>Table132[[#This Row],[ÉTAT]]&amp;Table132[[#This Row],[next move]]</f>
        <v>EVMVMVVVE21</v>
      </c>
    </row>
    <row r="5264" spans="2:9" x14ac:dyDescent="0.25">
      <c r="B5264" t="s">
        <v>399</v>
      </c>
      <c r="C5264" s="22" t="s">
        <v>26</v>
      </c>
      <c r="D5264">
        <v>1</v>
      </c>
      <c r="G5264" s="25">
        <f>Table132[[#This Row],[nb win]]/Table132[[#This Row],[nb play]]</f>
        <v>0</v>
      </c>
      <c r="H5264" t="str">
        <f>MID(Table132[[#This Row],[ÉTAT]],VALUE(RIGHT(Table132[[#This Row],[next move]],1))+1+VALUE(LEFT(Table132[[#This Row],[next move]],1))*3,1)</f>
        <v>V</v>
      </c>
      <c r="I5264" t="str">
        <f>Table132[[#This Row],[ÉTAT]]&amp;Table132[[#This Row],[next move]]</f>
        <v>EVMVMVVEV01</v>
      </c>
    </row>
    <row r="5265" spans="2:9" x14ac:dyDescent="0.25">
      <c r="B5265" t="s">
        <v>399</v>
      </c>
      <c r="C5265" s="22" t="s">
        <v>30</v>
      </c>
      <c r="D5265">
        <v>2</v>
      </c>
      <c r="E5265">
        <v>2</v>
      </c>
      <c r="G5265" s="31">
        <f>Table132[[#This Row],[nb win]]/Table132[[#This Row],[nb play]]</f>
        <v>1</v>
      </c>
      <c r="H5265" t="str">
        <f>MID(Table132[[#This Row],[ÉTAT]],VALUE(RIGHT(Table132[[#This Row],[next move]],1))+1+VALUE(LEFT(Table132[[#This Row],[next move]],1))*3,1)</f>
        <v>V</v>
      </c>
      <c r="I5265" t="str">
        <f>Table132[[#This Row],[ÉTAT]]&amp;Table132[[#This Row],[next move]]</f>
        <v>EVMVMVVEV10</v>
      </c>
    </row>
    <row r="5266" spans="2:9" x14ac:dyDescent="0.25">
      <c r="B5266" t="s">
        <v>399</v>
      </c>
      <c r="C5266" s="22" t="s">
        <v>28</v>
      </c>
      <c r="D5266">
        <v>2</v>
      </c>
      <c r="E5266">
        <v>1</v>
      </c>
      <c r="G5266" s="31">
        <f>Table132[[#This Row],[nb win]]/Table132[[#This Row],[nb play]]</f>
        <v>0.5</v>
      </c>
      <c r="H5266" t="str">
        <f>MID(Table132[[#This Row],[ÉTAT]],VALUE(RIGHT(Table132[[#This Row],[next move]],1))+1+VALUE(LEFT(Table132[[#This Row],[next move]],1))*3,1)</f>
        <v>V</v>
      </c>
      <c r="I5266" t="str">
        <f>Table132[[#This Row],[ÉTAT]]&amp;Table132[[#This Row],[next move]]</f>
        <v>EVMVMVVEV12</v>
      </c>
    </row>
    <row r="5267" spans="2:9" x14ac:dyDescent="0.25">
      <c r="B5267" t="s">
        <v>399</v>
      </c>
      <c r="C5267" s="22" t="s">
        <v>31</v>
      </c>
      <c r="D5267">
        <v>3</v>
      </c>
      <c r="E5267">
        <v>2</v>
      </c>
      <c r="G5267" s="25">
        <f>Table132[[#This Row],[nb win]]/Table132[[#This Row],[nb play]]</f>
        <v>0.66666666666666663</v>
      </c>
      <c r="H5267" t="str">
        <f>MID(Table132[[#This Row],[ÉTAT]],VALUE(RIGHT(Table132[[#This Row],[next move]],1))+1+VALUE(LEFT(Table132[[#This Row],[next move]],1))*3,1)</f>
        <v>V</v>
      </c>
      <c r="I5267" t="str">
        <f>Table132[[#This Row],[ÉTAT]]&amp;Table132[[#This Row],[next move]]</f>
        <v>EVMVMVVEV22</v>
      </c>
    </row>
    <row r="5268" spans="2:9" x14ac:dyDescent="0.25">
      <c r="B5268" t="s">
        <v>219</v>
      </c>
      <c r="C5268" s="22" t="s">
        <v>30</v>
      </c>
      <c r="D5268">
        <v>5</v>
      </c>
      <c r="E5268">
        <v>4</v>
      </c>
      <c r="G5268" s="31">
        <f>Table132[[#This Row],[nb win]]/Table132[[#This Row],[nb play]]</f>
        <v>0.8</v>
      </c>
      <c r="H5268" t="str">
        <f>MID(Table132[[#This Row],[ÉTAT]],VALUE(RIGHT(Table132[[#This Row],[next move]],1))+1+VALUE(LEFT(Table132[[#This Row],[next move]],1))*3,1)</f>
        <v>V</v>
      </c>
      <c r="I5268" t="str">
        <f>Table132[[#This Row],[ÉTAT]]&amp;Table132[[#This Row],[next move]]</f>
        <v>EVMVMVVEE10</v>
      </c>
    </row>
    <row r="5269" spans="2:9" x14ac:dyDescent="0.25">
      <c r="B5269" t="s">
        <v>219</v>
      </c>
      <c r="C5269" s="22" t="s">
        <v>28</v>
      </c>
      <c r="D5269">
        <v>2</v>
      </c>
      <c r="E5269">
        <v>2</v>
      </c>
      <c r="G5269" s="31">
        <f>Table132[[#This Row],[nb win]]/Table132[[#This Row],[nb play]]</f>
        <v>1</v>
      </c>
      <c r="H5269" t="str">
        <f>MID(Table132[[#This Row],[ÉTAT]],VALUE(RIGHT(Table132[[#This Row],[next move]],1))+1+VALUE(LEFT(Table132[[#This Row],[next move]],1))*3,1)</f>
        <v>V</v>
      </c>
      <c r="I5269" t="str">
        <f>Table132[[#This Row],[ÉTAT]]&amp;Table132[[#This Row],[next move]]</f>
        <v>EVMVMVVEE12</v>
      </c>
    </row>
    <row r="5270" spans="2:9" x14ac:dyDescent="0.25">
      <c r="B5270" t="s">
        <v>1929</v>
      </c>
      <c r="C5270" s="22" t="s">
        <v>26</v>
      </c>
      <c r="D5270">
        <v>1</v>
      </c>
      <c r="G5270" s="30">
        <f>Table132[[#This Row],[nb win]]/Table132[[#This Row],[nb play]]</f>
        <v>0</v>
      </c>
      <c r="H5270" t="str">
        <f>MID(Table132[[#This Row],[ÉTAT]],VALUE(RIGHT(Table132[[#This Row],[next move]],1))+1+VALUE(LEFT(Table132[[#This Row],[next move]],1))*3,1)</f>
        <v>V</v>
      </c>
      <c r="I5270" t="str">
        <f>Table132[[#This Row],[ÉTAT]]&amp;Table132[[#This Row],[next move]]</f>
        <v>EVMVMVEVV01</v>
      </c>
    </row>
    <row r="5271" spans="2:9" x14ac:dyDescent="0.25">
      <c r="B5271" t="s">
        <v>1929</v>
      </c>
      <c r="C5271" s="22" t="s">
        <v>30</v>
      </c>
      <c r="D5271">
        <v>1</v>
      </c>
      <c r="G5271" s="25">
        <f>Table132[[#This Row],[nb win]]/Table132[[#This Row],[nb play]]</f>
        <v>0</v>
      </c>
      <c r="H5271" t="str">
        <f>MID(Table132[[#This Row],[ÉTAT]],VALUE(RIGHT(Table132[[#This Row],[next move]],1))+1+VALUE(LEFT(Table132[[#This Row],[next move]],1))*3,1)</f>
        <v>V</v>
      </c>
      <c r="I5271" t="str">
        <f>Table132[[#This Row],[ÉTAT]]&amp;Table132[[#This Row],[next move]]</f>
        <v>EVMVMVEVV10</v>
      </c>
    </row>
    <row r="5272" spans="2:9" x14ac:dyDescent="0.25">
      <c r="B5272" t="s">
        <v>1929</v>
      </c>
      <c r="C5272" s="22" t="s">
        <v>28</v>
      </c>
      <c r="D5272">
        <v>3</v>
      </c>
      <c r="E5272">
        <v>2</v>
      </c>
      <c r="G5272" s="30">
        <f>Table132[[#This Row],[nb win]]/Table132[[#This Row],[nb play]]</f>
        <v>0.66666666666666663</v>
      </c>
      <c r="H5272" t="str">
        <f>MID(Table132[[#This Row],[ÉTAT]],VALUE(RIGHT(Table132[[#This Row],[next move]],1))+1+VALUE(LEFT(Table132[[#This Row],[next move]],1))*3,1)</f>
        <v>V</v>
      </c>
      <c r="I5272" t="str">
        <f>Table132[[#This Row],[ÉTAT]]&amp;Table132[[#This Row],[next move]]</f>
        <v>EVMVMVEVV12</v>
      </c>
    </row>
    <row r="5273" spans="2:9" x14ac:dyDescent="0.25">
      <c r="B5273" t="s">
        <v>1299</v>
      </c>
      <c r="C5273" s="22" t="s">
        <v>26</v>
      </c>
      <c r="D5273">
        <v>1</v>
      </c>
      <c r="G5273" s="25">
        <f>Table132[[#This Row],[nb win]]/Table132[[#This Row],[nb play]]</f>
        <v>0</v>
      </c>
      <c r="H5273" t="str">
        <f>MID(Table132[[#This Row],[ÉTAT]],VALUE(RIGHT(Table132[[#This Row],[next move]],1))+1+VALUE(LEFT(Table132[[#This Row],[next move]],1))*3,1)</f>
        <v>V</v>
      </c>
      <c r="I5273" t="str">
        <f>Table132[[#This Row],[ÉTAT]]&amp;Table132[[#This Row],[next move]]</f>
        <v>EVMVMVEVE01</v>
      </c>
    </row>
    <row r="5274" spans="2:9" x14ac:dyDescent="0.25">
      <c r="B5274" t="s">
        <v>1299</v>
      </c>
      <c r="C5274" s="22" t="s">
        <v>30</v>
      </c>
      <c r="D5274">
        <v>1</v>
      </c>
      <c r="G5274" s="30">
        <f>Table132[[#This Row],[nb win]]/Table132[[#This Row],[nb play]]</f>
        <v>0</v>
      </c>
      <c r="H5274" t="str">
        <f>MID(Table132[[#This Row],[ÉTAT]],VALUE(RIGHT(Table132[[#This Row],[next move]],1))+1+VALUE(LEFT(Table132[[#This Row],[next move]],1))*3,1)</f>
        <v>V</v>
      </c>
      <c r="I5274" t="str">
        <f>Table132[[#This Row],[ÉTAT]]&amp;Table132[[#This Row],[next move]]</f>
        <v>EVMVMVEVE10</v>
      </c>
    </row>
    <row r="5275" spans="2:9" x14ac:dyDescent="0.25">
      <c r="B5275" t="s">
        <v>1299</v>
      </c>
      <c r="C5275" s="22" t="s">
        <v>28</v>
      </c>
      <c r="D5275">
        <v>1</v>
      </c>
      <c r="G5275" s="30">
        <f>Table132[[#This Row],[nb win]]/Table132[[#This Row],[nb play]]</f>
        <v>0</v>
      </c>
      <c r="H5275" t="str">
        <f>MID(Table132[[#This Row],[ÉTAT]],VALUE(RIGHT(Table132[[#This Row],[next move]],1))+1+VALUE(LEFT(Table132[[#This Row],[next move]],1))*3,1)</f>
        <v>V</v>
      </c>
      <c r="I5275" t="str">
        <f>Table132[[#This Row],[ÉTAT]]&amp;Table132[[#This Row],[next move]]</f>
        <v>EVMVMVEVE12</v>
      </c>
    </row>
    <row r="5276" spans="2:9" x14ac:dyDescent="0.25">
      <c r="B5276" t="s">
        <v>1299</v>
      </c>
      <c r="C5276" s="22" t="s">
        <v>22</v>
      </c>
      <c r="D5276">
        <v>2</v>
      </c>
      <c r="G5276" s="30">
        <f>Table132[[#This Row],[nb win]]/Table132[[#This Row],[nb play]]</f>
        <v>0</v>
      </c>
      <c r="H5276" t="str">
        <f>MID(Table132[[#This Row],[ÉTAT]],VALUE(RIGHT(Table132[[#This Row],[next move]],1))+1+VALUE(LEFT(Table132[[#This Row],[next move]],1))*3,1)</f>
        <v>V</v>
      </c>
      <c r="I5276" t="str">
        <f>Table132[[#This Row],[ÉTAT]]&amp;Table132[[#This Row],[next move]]</f>
        <v>EVMVMVEVE21</v>
      </c>
    </row>
    <row r="5277" spans="2:9" x14ac:dyDescent="0.25">
      <c r="B5277" t="s">
        <v>548</v>
      </c>
      <c r="C5277" s="22" t="s">
        <v>26</v>
      </c>
      <c r="D5277">
        <v>4</v>
      </c>
      <c r="E5277">
        <v>4</v>
      </c>
      <c r="G5277" s="31">
        <f>Table132[[#This Row],[nb win]]/Table132[[#This Row],[nb play]]</f>
        <v>1</v>
      </c>
      <c r="H5277" t="str">
        <f>MID(Table132[[#This Row],[ÉTAT]],VALUE(RIGHT(Table132[[#This Row],[next move]],1))+1+VALUE(LEFT(Table132[[#This Row],[next move]],1))*3,1)</f>
        <v>V</v>
      </c>
      <c r="I5277" t="str">
        <f>Table132[[#This Row],[ÉTAT]]&amp;Table132[[#This Row],[next move]]</f>
        <v>EVMVMVEME01</v>
      </c>
    </row>
    <row r="5278" spans="2:9" x14ac:dyDescent="0.25">
      <c r="B5278" t="s">
        <v>2401</v>
      </c>
      <c r="C5278" s="22" t="s">
        <v>26</v>
      </c>
      <c r="D5278">
        <v>1</v>
      </c>
      <c r="G5278" s="30">
        <f>Table132[[#This Row],[nb win]]/Table132[[#This Row],[nb play]]</f>
        <v>0</v>
      </c>
      <c r="H5278" t="str">
        <f>MID(Table132[[#This Row],[ÉTAT]],VALUE(RIGHT(Table132[[#This Row],[next move]],1))+1+VALUE(LEFT(Table132[[#This Row],[next move]],1))*3,1)</f>
        <v>V</v>
      </c>
      <c r="I5278" t="str">
        <f>Table132[[#This Row],[ÉTAT]]&amp;Table132[[#This Row],[next move]]</f>
        <v>EVMVMVEEV01</v>
      </c>
    </row>
    <row r="5279" spans="2:9" x14ac:dyDescent="0.25">
      <c r="B5279" t="s">
        <v>1916</v>
      </c>
      <c r="C5279" s="22" t="s">
        <v>28</v>
      </c>
      <c r="D5279">
        <v>2</v>
      </c>
      <c r="E5279">
        <v>2</v>
      </c>
      <c r="G5279" s="25">
        <f>Table132[[#This Row],[nb win]]/Table132[[#This Row],[nb play]]</f>
        <v>1</v>
      </c>
      <c r="H5279" t="str">
        <f>MID(Table132[[#This Row],[ÉTAT]],VALUE(RIGHT(Table132[[#This Row],[next move]],1))+1+VALUE(LEFT(Table132[[#This Row],[next move]],1))*3,1)</f>
        <v>V</v>
      </c>
      <c r="I5279" t="str">
        <f>Table132[[#This Row],[ÉTAT]]&amp;Table132[[#This Row],[next move]]</f>
        <v>EVMVMVEEM12</v>
      </c>
    </row>
    <row r="5280" spans="2:9" x14ac:dyDescent="0.25">
      <c r="B5280" t="s">
        <v>3428</v>
      </c>
      <c r="C5280" s="22" t="s">
        <v>26</v>
      </c>
      <c r="D5280">
        <v>2</v>
      </c>
      <c r="E5280">
        <v>1</v>
      </c>
      <c r="G5280" s="30">
        <f>Table132[[#This Row],[nb win]]/Table132[[#This Row],[nb play]]</f>
        <v>0.5</v>
      </c>
      <c r="H5280" t="str">
        <f>MID(Table132[[#This Row],[ÉTAT]],VALUE(RIGHT(Table132[[#This Row],[next move]],1))+1+VALUE(LEFT(Table132[[#This Row],[next move]],1))*3,1)</f>
        <v>V</v>
      </c>
      <c r="I5280" t="str">
        <f>Table132[[#This Row],[ÉTAT]]&amp;Table132[[#This Row],[next move]]</f>
        <v>EVMVMMVEE01</v>
      </c>
    </row>
    <row r="5281" spans="2:9" x14ac:dyDescent="0.25">
      <c r="B5281" t="s">
        <v>2659</v>
      </c>
      <c r="C5281" s="22" t="s">
        <v>26</v>
      </c>
      <c r="D5281">
        <v>1</v>
      </c>
      <c r="G5281" s="25">
        <f>Table132[[#This Row],[nb win]]/Table132[[#This Row],[nb play]]</f>
        <v>0</v>
      </c>
      <c r="H5281" t="str">
        <f>MID(Table132[[#This Row],[ÉTAT]],VALUE(RIGHT(Table132[[#This Row],[next move]],1))+1+VALUE(LEFT(Table132[[#This Row],[next move]],1))*3,1)</f>
        <v>V</v>
      </c>
      <c r="I5281" t="str">
        <f>Table132[[#This Row],[ÉTAT]]&amp;Table132[[#This Row],[next move]]</f>
        <v>EVMVMMEEV01</v>
      </c>
    </row>
    <row r="5282" spans="2:9" x14ac:dyDescent="0.25">
      <c r="B5282" t="s">
        <v>2659</v>
      </c>
      <c r="C5282" s="22" t="s">
        <v>31</v>
      </c>
      <c r="D5282">
        <v>2</v>
      </c>
      <c r="E5282">
        <v>2</v>
      </c>
      <c r="G5282" s="31">
        <f>Table132[[#This Row],[nb win]]/Table132[[#This Row],[nb play]]</f>
        <v>1</v>
      </c>
      <c r="H5282" t="str">
        <f>MID(Table132[[#This Row],[ÉTAT]],VALUE(RIGHT(Table132[[#This Row],[next move]],1))+1+VALUE(LEFT(Table132[[#This Row],[next move]],1))*3,1)</f>
        <v>V</v>
      </c>
      <c r="I5282" t="str">
        <f>Table132[[#This Row],[ÉTAT]]&amp;Table132[[#This Row],[next move]]</f>
        <v>EVMVMMEEV22</v>
      </c>
    </row>
    <row r="5283" spans="2:9" x14ac:dyDescent="0.25">
      <c r="B5283" t="s">
        <v>567</v>
      </c>
      <c r="C5283" s="22" t="s">
        <v>26</v>
      </c>
      <c r="D5283">
        <v>8</v>
      </c>
      <c r="E5283">
        <v>7</v>
      </c>
      <c r="G5283" s="31">
        <f>Table132[[#This Row],[nb win]]/Table132[[#This Row],[nb play]]</f>
        <v>0.875</v>
      </c>
      <c r="H5283" t="str">
        <f>MID(Table132[[#This Row],[ÉTAT]],VALUE(RIGHT(Table132[[#This Row],[next move]],1))+1+VALUE(LEFT(Table132[[#This Row],[next move]],1))*3,1)</f>
        <v>V</v>
      </c>
      <c r="I5283" t="str">
        <f>Table132[[#This Row],[ÉTAT]]&amp;Table132[[#This Row],[next move]]</f>
        <v>EVMVMEVVV01</v>
      </c>
    </row>
    <row r="5284" spans="2:9" x14ac:dyDescent="0.25">
      <c r="B5284" t="s">
        <v>567</v>
      </c>
      <c r="C5284" s="22" t="s">
        <v>22</v>
      </c>
      <c r="D5284">
        <v>4</v>
      </c>
      <c r="E5284">
        <v>4</v>
      </c>
      <c r="G5284" s="31">
        <f>Table132[[#This Row],[nb win]]/Table132[[#This Row],[nb play]]</f>
        <v>1</v>
      </c>
      <c r="H5284" t="str">
        <f>MID(Table132[[#This Row],[ÉTAT]],VALUE(RIGHT(Table132[[#This Row],[next move]],1))+1+VALUE(LEFT(Table132[[#This Row],[next move]],1))*3,1)</f>
        <v>V</v>
      </c>
      <c r="I5284" t="str">
        <f>Table132[[#This Row],[ÉTAT]]&amp;Table132[[#This Row],[next move]]</f>
        <v>EVMVMEVVV21</v>
      </c>
    </row>
    <row r="5285" spans="2:9" x14ac:dyDescent="0.25">
      <c r="B5285" t="s">
        <v>3227</v>
      </c>
      <c r="C5285" s="22" t="s">
        <v>30</v>
      </c>
      <c r="D5285">
        <v>1</v>
      </c>
      <c r="G5285" s="30">
        <f>Table132[[#This Row],[nb win]]/Table132[[#This Row],[nb play]]</f>
        <v>0</v>
      </c>
      <c r="H5285" t="str">
        <f>MID(Table132[[#This Row],[ÉTAT]],VALUE(RIGHT(Table132[[#This Row],[next move]],1))+1+VALUE(LEFT(Table132[[#This Row],[next move]],1))*3,1)</f>
        <v>V</v>
      </c>
      <c r="I5285" t="str">
        <f>Table132[[#This Row],[ÉTAT]]&amp;Table132[[#This Row],[next move]]</f>
        <v>EVMVMEVVE10</v>
      </c>
    </row>
    <row r="5286" spans="2:9" x14ac:dyDescent="0.25">
      <c r="B5286" t="s">
        <v>3227</v>
      </c>
      <c r="C5286" s="22" t="s">
        <v>35</v>
      </c>
      <c r="D5286">
        <v>2</v>
      </c>
      <c r="E5286">
        <v>2</v>
      </c>
      <c r="G5286" s="31">
        <f>Table132[[#This Row],[nb win]]/Table132[[#This Row],[nb play]]</f>
        <v>1</v>
      </c>
      <c r="H5286" t="str">
        <f>MID(Table132[[#This Row],[ÉTAT]],VALUE(RIGHT(Table132[[#This Row],[next move]],1))+1+VALUE(LEFT(Table132[[#This Row],[next move]],1))*3,1)</f>
        <v>V</v>
      </c>
      <c r="I5286" t="str">
        <f>Table132[[#This Row],[ÉTAT]]&amp;Table132[[#This Row],[next move]]</f>
        <v>EVMVMEVVE20</v>
      </c>
    </row>
    <row r="5287" spans="2:9" x14ac:dyDescent="0.25">
      <c r="B5287" t="s">
        <v>2361</v>
      </c>
      <c r="C5287" s="22" t="s">
        <v>30</v>
      </c>
      <c r="D5287">
        <v>2</v>
      </c>
      <c r="E5287">
        <v>2</v>
      </c>
      <c r="G5287" s="25">
        <f>Table132[[#This Row],[nb win]]/Table132[[#This Row],[nb play]]</f>
        <v>1</v>
      </c>
      <c r="H5287" t="str">
        <f>MID(Table132[[#This Row],[ÉTAT]],VALUE(RIGHT(Table132[[#This Row],[next move]],1))+1+VALUE(LEFT(Table132[[#This Row],[next move]],1))*3,1)</f>
        <v>V</v>
      </c>
      <c r="I5287" t="str">
        <f>Table132[[#This Row],[ÉTAT]]&amp;Table132[[#This Row],[next move]]</f>
        <v>EVMVMEVME10</v>
      </c>
    </row>
    <row r="5288" spans="2:9" x14ac:dyDescent="0.25">
      <c r="B5288" t="s">
        <v>3063</v>
      </c>
      <c r="C5288" s="22" t="s">
        <v>30</v>
      </c>
      <c r="D5288">
        <v>2</v>
      </c>
      <c r="E5288">
        <v>1</v>
      </c>
      <c r="G5288" s="30">
        <f>Table132[[#This Row],[nb win]]/Table132[[#This Row],[nb play]]</f>
        <v>0.5</v>
      </c>
      <c r="H5288" t="str">
        <f>MID(Table132[[#This Row],[ÉTAT]],VALUE(RIGHT(Table132[[#This Row],[next move]],1))+1+VALUE(LEFT(Table132[[#This Row],[next move]],1))*3,1)</f>
        <v>V</v>
      </c>
      <c r="I5288" t="str">
        <f>Table132[[#This Row],[ÉTAT]]&amp;Table132[[#This Row],[next move]]</f>
        <v>EVMVMEVEV10</v>
      </c>
    </row>
    <row r="5289" spans="2:9" x14ac:dyDescent="0.25">
      <c r="B5289" t="s">
        <v>3063</v>
      </c>
      <c r="C5289" s="22" t="s">
        <v>35</v>
      </c>
      <c r="D5289">
        <v>1</v>
      </c>
      <c r="E5289">
        <v>1</v>
      </c>
      <c r="G5289" s="31">
        <f>Table132[[#This Row],[nb win]]/Table132[[#This Row],[nb play]]</f>
        <v>1</v>
      </c>
      <c r="H5289" t="str">
        <f>MID(Table132[[#This Row],[ÉTAT]],VALUE(RIGHT(Table132[[#This Row],[next move]],1))+1+VALUE(LEFT(Table132[[#This Row],[next move]],1))*3,1)</f>
        <v>V</v>
      </c>
      <c r="I5289" t="str">
        <f>Table132[[#This Row],[ÉTAT]]&amp;Table132[[#This Row],[next move]]</f>
        <v>EVMVMEVEV20</v>
      </c>
    </row>
    <row r="5290" spans="2:9" x14ac:dyDescent="0.25">
      <c r="B5290" t="s">
        <v>2383</v>
      </c>
      <c r="C5290" s="22" t="s">
        <v>30</v>
      </c>
      <c r="D5290">
        <v>1</v>
      </c>
      <c r="E5290">
        <v>1</v>
      </c>
      <c r="G5290" s="25">
        <f>Table132[[#This Row],[nb win]]/Table132[[#This Row],[nb play]]</f>
        <v>1</v>
      </c>
      <c r="H5290" t="str">
        <f>MID(Table132[[#This Row],[ÉTAT]],VALUE(RIGHT(Table132[[#This Row],[next move]],1))+1+VALUE(LEFT(Table132[[#This Row],[next move]],1))*3,1)</f>
        <v>V</v>
      </c>
      <c r="I5290" t="str">
        <f>Table132[[#This Row],[ÉTAT]]&amp;Table132[[#This Row],[next move]]</f>
        <v>EVMVMEVEM10</v>
      </c>
    </row>
    <row r="5291" spans="2:9" x14ac:dyDescent="0.25">
      <c r="B5291" t="s">
        <v>476</v>
      </c>
      <c r="C5291" s="22" t="s">
        <v>26</v>
      </c>
      <c r="D5291">
        <v>1</v>
      </c>
      <c r="G5291" s="25">
        <f>Table132[[#This Row],[nb win]]/Table132[[#This Row],[nb play]]</f>
        <v>0</v>
      </c>
      <c r="H5291" t="str">
        <f>MID(Table132[[#This Row],[ÉTAT]],VALUE(RIGHT(Table132[[#This Row],[next move]],1))+1+VALUE(LEFT(Table132[[#This Row],[next move]],1))*3,1)</f>
        <v>V</v>
      </c>
      <c r="I5291" t="str">
        <f>Table132[[#This Row],[ÉTAT]]&amp;Table132[[#This Row],[next move]]</f>
        <v>EVMVMEEVV01</v>
      </c>
    </row>
    <row r="5292" spans="2:9" x14ac:dyDescent="0.25">
      <c r="B5292" t="s">
        <v>476</v>
      </c>
      <c r="C5292" s="22" t="s">
        <v>22</v>
      </c>
      <c r="D5292">
        <v>1</v>
      </c>
      <c r="G5292" s="25">
        <f>Table132[[#This Row],[nb win]]/Table132[[#This Row],[nb play]]</f>
        <v>0</v>
      </c>
      <c r="H5292" t="str">
        <f>MID(Table132[[#This Row],[ÉTAT]],VALUE(RIGHT(Table132[[#This Row],[next move]],1))+1+VALUE(LEFT(Table132[[#This Row],[next move]],1))*3,1)</f>
        <v>V</v>
      </c>
      <c r="I5292" t="str">
        <f>Table132[[#This Row],[ÉTAT]]&amp;Table132[[#This Row],[next move]]</f>
        <v>EVMVMEEVV21</v>
      </c>
    </row>
    <row r="5293" spans="2:9" x14ac:dyDescent="0.25">
      <c r="B5293" t="s">
        <v>3100</v>
      </c>
      <c r="C5293" s="22" t="s">
        <v>26</v>
      </c>
      <c r="D5293">
        <v>3</v>
      </c>
      <c r="E5293">
        <v>3</v>
      </c>
      <c r="G5293" s="31">
        <f>Table132[[#This Row],[nb win]]/Table132[[#This Row],[nb play]]</f>
        <v>1</v>
      </c>
      <c r="H5293" t="str">
        <f>MID(Table132[[#This Row],[ÉTAT]],VALUE(RIGHT(Table132[[#This Row],[next move]],1))+1+VALUE(LEFT(Table132[[#This Row],[next move]],1))*3,1)</f>
        <v>V</v>
      </c>
      <c r="I5293" t="str">
        <f>Table132[[#This Row],[ÉTAT]]&amp;Table132[[#This Row],[next move]]</f>
        <v>EVMVMEEMV01</v>
      </c>
    </row>
    <row r="5294" spans="2:9" x14ac:dyDescent="0.25">
      <c r="B5294" t="s">
        <v>2323</v>
      </c>
      <c r="C5294" s="22" t="s">
        <v>26</v>
      </c>
      <c r="D5294">
        <v>1</v>
      </c>
      <c r="G5294" s="25">
        <f>Table132[[#This Row],[nb win]]/Table132[[#This Row],[nb play]]</f>
        <v>0</v>
      </c>
      <c r="H5294" t="str">
        <f>MID(Table132[[#This Row],[ÉTAT]],VALUE(RIGHT(Table132[[#This Row],[next move]],1))+1+VALUE(LEFT(Table132[[#This Row],[next move]],1))*3,1)</f>
        <v>V</v>
      </c>
      <c r="I5294" t="str">
        <f>Table132[[#This Row],[ÉTAT]]&amp;Table132[[#This Row],[next move]]</f>
        <v>EVMVMEEEM01</v>
      </c>
    </row>
    <row r="5295" spans="2:9" x14ac:dyDescent="0.25">
      <c r="B5295" t="s">
        <v>214</v>
      </c>
      <c r="C5295" s="22" t="s">
        <v>26</v>
      </c>
      <c r="D5295">
        <v>3</v>
      </c>
      <c r="G5295" s="30">
        <f>Table132[[#This Row],[nb win]]/Table132[[#This Row],[nb play]]</f>
        <v>0</v>
      </c>
      <c r="H5295" t="str">
        <f>MID(Table132[[#This Row],[ÉTAT]],VALUE(RIGHT(Table132[[#This Row],[next move]],1))+1+VALUE(LEFT(Table132[[#This Row],[next move]],1))*3,1)</f>
        <v>V</v>
      </c>
      <c r="I5295" t="str">
        <f>Table132[[#This Row],[ÉTAT]]&amp;Table132[[#This Row],[next move]]</f>
        <v>EVMVEVVVV01</v>
      </c>
    </row>
    <row r="5296" spans="2:9" x14ac:dyDescent="0.25">
      <c r="B5296" t="s">
        <v>214</v>
      </c>
      <c r="C5296" s="22" t="s">
        <v>30</v>
      </c>
      <c r="D5296">
        <v>1</v>
      </c>
      <c r="G5296" s="25">
        <f>Table132[[#This Row],[nb win]]/Table132[[#This Row],[nb play]]</f>
        <v>0</v>
      </c>
      <c r="H5296" t="str">
        <f>MID(Table132[[#This Row],[ÉTAT]],VALUE(RIGHT(Table132[[#This Row],[next move]],1))+1+VALUE(LEFT(Table132[[#This Row],[next move]],1))*3,1)</f>
        <v>V</v>
      </c>
      <c r="I5296" t="str">
        <f>Table132[[#This Row],[ÉTAT]]&amp;Table132[[#This Row],[next move]]</f>
        <v>EVMVEVVVV10</v>
      </c>
    </row>
    <row r="5297" spans="2:9" x14ac:dyDescent="0.25">
      <c r="B5297" t="s">
        <v>214</v>
      </c>
      <c r="C5297" s="22" t="s">
        <v>28</v>
      </c>
      <c r="D5297">
        <v>4</v>
      </c>
      <c r="G5297" s="30">
        <f>Table132[[#This Row],[nb win]]/Table132[[#This Row],[nb play]]</f>
        <v>0</v>
      </c>
      <c r="H5297" t="str">
        <f>MID(Table132[[#This Row],[ÉTAT]],VALUE(RIGHT(Table132[[#This Row],[next move]],1))+1+VALUE(LEFT(Table132[[#This Row],[next move]],1))*3,1)</f>
        <v>V</v>
      </c>
      <c r="I5297" t="str">
        <f>Table132[[#This Row],[ÉTAT]]&amp;Table132[[#This Row],[next move]]</f>
        <v>EVMVEVVVV12</v>
      </c>
    </row>
    <row r="5298" spans="2:9" x14ac:dyDescent="0.25">
      <c r="B5298" t="s">
        <v>214</v>
      </c>
      <c r="C5298" s="22" t="s">
        <v>35</v>
      </c>
      <c r="D5298">
        <v>3</v>
      </c>
      <c r="G5298" s="30">
        <f>Table132[[#This Row],[nb win]]/Table132[[#This Row],[nb play]]</f>
        <v>0</v>
      </c>
      <c r="H5298" t="str">
        <f>MID(Table132[[#This Row],[ÉTAT]],VALUE(RIGHT(Table132[[#This Row],[next move]],1))+1+VALUE(LEFT(Table132[[#This Row],[next move]],1))*3,1)</f>
        <v>V</v>
      </c>
      <c r="I5298" t="str">
        <f>Table132[[#This Row],[ÉTAT]]&amp;Table132[[#This Row],[next move]]</f>
        <v>EVMVEVVVV20</v>
      </c>
    </row>
    <row r="5299" spans="2:9" x14ac:dyDescent="0.25">
      <c r="B5299" t="s">
        <v>214</v>
      </c>
      <c r="C5299" s="22" t="s">
        <v>22</v>
      </c>
      <c r="D5299">
        <v>8</v>
      </c>
      <c r="G5299" s="30">
        <f>Table132[[#This Row],[nb win]]/Table132[[#This Row],[nb play]]</f>
        <v>0</v>
      </c>
      <c r="H5299" t="str">
        <f>MID(Table132[[#This Row],[ÉTAT]],VALUE(RIGHT(Table132[[#This Row],[next move]],1))+1+VALUE(LEFT(Table132[[#This Row],[next move]],1))*3,1)</f>
        <v>V</v>
      </c>
      <c r="I5299" t="str">
        <f>Table132[[#This Row],[ÉTAT]]&amp;Table132[[#This Row],[next move]]</f>
        <v>EVMVEVVVV21</v>
      </c>
    </row>
    <row r="5300" spans="2:9" x14ac:dyDescent="0.25">
      <c r="B5300" t="s">
        <v>214</v>
      </c>
      <c r="C5300" s="22" t="s">
        <v>31</v>
      </c>
      <c r="D5300">
        <v>6</v>
      </c>
      <c r="E5300">
        <v>4</v>
      </c>
      <c r="G5300" s="30">
        <f>Table132[[#This Row],[nb win]]/Table132[[#This Row],[nb play]]</f>
        <v>0.66666666666666663</v>
      </c>
      <c r="H5300" t="str">
        <f>MID(Table132[[#This Row],[ÉTAT]],VALUE(RIGHT(Table132[[#This Row],[next move]],1))+1+VALUE(LEFT(Table132[[#This Row],[next move]],1))*3,1)</f>
        <v>V</v>
      </c>
      <c r="I5300" t="str">
        <f>Table132[[#This Row],[ÉTAT]]&amp;Table132[[#This Row],[next move]]</f>
        <v>EVMVEVVVV22</v>
      </c>
    </row>
    <row r="5301" spans="2:9" x14ac:dyDescent="0.25">
      <c r="B5301" t="s">
        <v>808</v>
      </c>
      <c r="C5301" s="22" t="s">
        <v>28</v>
      </c>
      <c r="D5301">
        <v>5</v>
      </c>
      <c r="E5301">
        <v>5</v>
      </c>
      <c r="G5301" s="31">
        <f>Table132[[#This Row],[nb win]]/Table132[[#This Row],[nb play]]</f>
        <v>1</v>
      </c>
      <c r="H5301" t="str">
        <f>MID(Table132[[#This Row],[ÉTAT]],VALUE(RIGHT(Table132[[#This Row],[next move]],1))+1+VALUE(LEFT(Table132[[#This Row],[next move]],1))*3,1)</f>
        <v>V</v>
      </c>
      <c r="I5301" t="str">
        <f>Table132[[#This Row],[ÉTAT]]&amp;Table132[[#This Row],[next move]]</f>
        <v>EVMVEVVVM12</v>
      </c>
    </row>
    <row r="5302" spans="2:9" x14ac:dyDescent="0.25">
      <c r="B5302" t="s">
        <v>2859</v>
      </c>
      <c r="C5302" s="22" t="s">
        <v>28</v>
      </c>
      <c r="D5302">
        <v>2</v>
      </c>
      <c r="E5302">
        <v>1</v>
      </c>
      <c r="G5302" s="30">
        <f>Table132[[#This Row],[nb win]]/Table132[[#This Row],[nb play]]</f>
        <v>0.5</v>
      </c>
      <c r="H5302" t="str">
        <f>MID(Table132[[#This Row],[ÉTAT]],VALUE(RIGHT(Table132[[#This Row],[next move]],1))+1+VALUE(LEFT(Table132[[#This Row],[next move]],1))*3,1)</f>
        <v>V</v>
      </c>
      <c r="I5302" t="str">
        <f>Table132[[#This Row],[ÉTAT]]&amp;Table132[[#This Row],[next move]]</f>
        <v>EVMVEVVMV12</v>
      </c>
    </row>
    <row r="5303" spans="2:9" x14ac:dyDescent="0.25">
      <c r="B5303" t="s">
        <v>886</v>
      </c>
      <c r="C5303" s="22" t="s">
        <v>28</v>
      </c>
      <c r="D5303">
        <v>1</v>
      </c>
      <c r="E5303">
        <v>1</v>
      </c>
      <c r="G5303" s="25">
        <f>Table132[[#This Row],[nb win]]/Table132[[#This Row],[nb play]]</f>
        <v>1</v>
      </c>
      <c r="H5303" t="str">
        <f>MID(Table132[[#This Row],[ÉTAT]],VALUE(RIGHT(Table132[[#This Row],[next move]],1))+1+VALUE(LEFT(Table132[[#This Row],[next move]],1))*3,1)</f>
        <v>V</v>
      </c>
      <c r="I5303" t="str">
        <f>Table132[[#This Row],[ÉTAT]]&amp;Table132[[#This Row],[next move]]</f>
        <v>EVMVEVVEM12</v>
      </c>
    </row>
    <row r="5304" spans="2:9" x14ac:dyDescent="0.25">
      <c r="B5304" t="s">
        <v>1318</v>
      </c>
      <c r="C5304" s="22" t="s">
        <v>26</v>
      </c>
      <c r="D5304">
        <v>1</v>
      </c>
      <c r="G5304" s="25">
        <f>Table132[[#This Row],[nb win]]/Table132[[#This Row],[nb play]]</f>
        <v>0</v>
      </c>
      <c r="H5304" t="str">
        <f>MID(Table132[[#This Row],[ÉTAT]],VALUE(RIGHT(Table132[[#This Row],[next move]],1))+1+VALUE(LEFT(Table132[[#This Row],[next move]],1))*3,1)</f>
        <v>V</v>
      </c>
      <c r="I5304" t="str">
        <f>Table132[[#This Row],[ÉTAT]]&amp;Table132[[#This Row],[next move]]</f>
        <v>EVMVEVMVV01</v>
      </c>
    </row>
    <row r="5305" spans="2:9" x14ac:dyDescent="0.25">
      <c r="B5305" t="s">
        <v>1318</v>
      </c>
      <c r="C5305" s="22" t="s">
        <v>28</v>
      </c>
      <c r="D5305">
        <v>3</v>
      </c>
      <c r="G5305" s="30">
        <f>Table132[[#This Row],[nb win]]/Table132[[#This Row],[nb play]]</f>
        <v>0</v>
      </c>
      <c r="H5305" t="str">
        <f>MID(Table132[[#This Row],[ÉTAT]],VALUE(RIGHT(Table132[[#This Row],[next move]],1))+1+VALUE(LEFT(Table132[[#This Row],[next move]],1))*3,1)</f>
        <v>V</v>
      </c>
      <c r="I5305" t="str">
        <f>Table132[[#This Row],[ÉTAT]]&amp;Table132[[#This Row],[next move]]</f>
        <v>EVMVEVMVV12</v>
      </c>
    </row>
    <row r="5306" spans="2:9" x14ac:dyDescent="0.25">
      <c r="B5306" t="s">
        <v>1318</v>
      </c>
      <c r="C5306" s="22" t="s">
        <v>22</v>
      </c>
      <c r="D5306">
        <v>3</v>
      </c>
      <c r="E5306">
        <v>1</v>
      </c>
      <c r="G5306" s="30">
        <f>Table132[[#This Row],[nb win]]/Table132[[#This Row],[nb play]]</f>
        <v>0.33333333333333331</v>
      </c>
      <c r="H5306" t="str">
        <f>MID(Table132[[#This Row],[ÉTAT]],VALUE(RIGHT(Table132[[#This Row],[next move]],1))+1+VALUE(LEFT(Table132[[#This Row],[next move]],1))*3,1)</f>
        <v>V</v>
      </c>
      <c r="I5306" t="str">
        <f>Table132[[#This Row],[ÉTAT]]&amp;Table132[[#This Row],[next move]]</f>
        <v>EVMVEVMVV21</v>
      </c>
    </row>
    <row r="5307" spans="2:9" x14ac:dyDescent="0.25">
      <c r="B5307" t="s">
        <v>1318</v>
      </c>
      <c r="C5307" s="22" t="s">
        <v>31</v>
      </c>
      <c r="D5307">
        <v>3</v>
      </c>
      <c r="E5307">
        <v>2</v>
      </c>
      <c r="G5307" s="31">
        <f>Table132[[#This Row],[nb win]]/Table132[[#This Row],[nb play]]</f>
        <v>0.66666666666666663</v>
      </c>
      <c r="H5307" t="str">
        <f>MID(Table132[[#This Row],[ÉTAT]],VALUE(RIGHT(Table132[[#This Row],[next move]],1))+1+VALUE(LEFT(Table132[[#This Row],[next move]],1))*3,1)</f>
        <v>V</v>
      </c>
      <c r="I5307" t="str">
        <f>Table132[[#This Row],[ÉTAT]]&amp;Table132[[#This Row],[next move]]</f>
        <v>EVMVEVMVV22</v>
      </c>
    </row>
    <row r="5308" spans="2:9" x14ac:dyDescent="0.25">
      <c r="B5308" t="s">
        <v>1464</v>
      </c>
      <c r="C5308" s="22" t="s">
        <v>28</v>
      </c>
      <c r="D5308">
        <v>1</v>
      </c>
      <c r="G5308" s="25">
        <f>Table132[[#This Row],[nb win]]/Table132[[#This Row],[nb play]]</f>
        <v>0</v>
      </c>
      <c r="H5308" t="str">
        <f>MID(Table132[[#This Row],[ÉTAT]],VALUE(RIGHT(Table132[[#This Row],[next move]],1))+1+VALUE(LEFT(Table132[[#This Row],[next move]],1))*3,1)</f>
        <v>V</v>
      </c>
      <c r="I5308" t="str">
        <f>Table132[[#This Row],[ÉTAT]]&amp;Table132[[#This Row],[next move]]</f>
        <v>EVMVEVMEV12</v>
      </c>
    </row>
    <row r="5309" spans="2:9" x14ac:dyDescent="0.25">
      <c r="B5309" t="s">
        <v>1464</v>
      </c>
      <c r="C5309" s="22" t="s">
        <v>31</v>
      </c>
      <c r="D5309">
        <v>1</v>
      </c>
      <c r="E5309">
        <v>1</v>
      </c>
      <c r="G5309" s="25">
        <f>Table132[[#This Row],[nb win]]/Table132[[#This Row],[nb play]]</f>
        <v>1</v>
      </c>
      <c r="H5309" t="str">
        <f>MID(Table132[[#This Row],[ÉTAT]],VALUE(RIGHT(Table132[[#This Row],[next move]],1))+1+VALUE(LEFT(Table132[[#This Row],[next move]],1))*3,1)</f>
        <v>V</v>
      </c>
      <c r="I5309" t="str">
        <f>Table132[[#This Row],[ÉTAT]]&amp;Table132[[#This Row],[next move]]</f>
        <v>EVMVEVMEV22</v>
      </c>
    </row>
    <row r="5310" spans="2:9" x14ac:dyDescent="0.25">
      <c r="B5310" t="s">
        <v>2728</v>
      </c>
      <c r="C5310" s="22" t="s">
        <v>30</v>
      </c>
      <c r="D5310">
        <v>1</v>
      </c>
      <c r="G5310" s="25">
        <f>Table132[[#This Row],[nb win]]/Table132[[#This Row],[nb play]]</f>
        <v>0</v>
      </c>
      <c r="H5310" t="str">
        <f>MID(Table132[[#This Row],[ÉTAT]],VALUE(RIGHT(Table132[[#This Row],[next move]],1))+1+VALUE(LEFT(Table132[[#This Row],[next move]],1))*3,1)</f>
        <v>V</v>
      </c>
      <c r="I5310" t="str">
        <f>Table132[[#This Row],[ÉTAT]]&amp;Table132[[#This Row],[next move]]</f>
        <v>EVMVEVMEM10</v>
      </c>
    </row>
    <row r="5311" spans="2:9" x14ac:dyDescent="0.25">
      <c r="B5311" t="s">
        <v>500</v>
      </c>
      <c r="C5311" s="22" t="s">
        <v>28</v>
      </c>
      <c r="D5311">
        <v>5</v>
      </c>
      <c r="E5311">
        <v>5</v>
      </c>
      <c r="G5311" s="31">
        <f>Table132[[#This Row],[nb win]]/Table132[[#This Row],[nb play]]</f>
        <v>1</v>
      </c>
      <c r="H5311" t="str">
        <f>MID(Table132[[#This Row],[ÉTAT]],VALUE(RIGHT(Table132[[#This Row],[next move]],1))+1+VALUE(LEFT(Table132[[#This Row],[next move]],1))*3,1)</f>
        <v>V</v>
      </c>
      <c r="I5311" t="str">
        <f>Table132[[#This Row],[ÉTAT]]&amp;Table132[[#This Row],[next move]]</f>
        <v>EVMVEVEVM12</v>
      </c>
    </row>
    <row r="5312" spans="2:9" x14ac:dyDescent="0.25">
      <c r="B5312" t="s">
        <v>3150</v>
      </c>
      <c r="C5312" s="22" t="s">
        <v>30</v>
      </c>
      <c r="D5312">
        <v>1</v>
      </c>
      <c r="E5312">
        <v>1</v>
      </c>
      <c r="G5312" s="31">
        <f>Table132[[#This Row],[nb win]]/Table132[[#This Row],[nb play]]</f>
        <v>1</v>
      </c>
      <c r="H5312" t="str">
        <f>MID(Table132[[#This Row],[ÉTAT]],VALUE(RIGHT(Table132[[#This Row],[next move]],1))+1+VALUE(LEFT(Table132[[#This Row],[next move]],1))*3,1)</f>
        <v>V</v>
      </c>
      <c r="I5312" t="str">
        <f>Table132[[#This Row],[ÉTAT]]&amp;Table132[[#This Row],[next move]]</f>
        <v>EVMVEMVVV10</v>
      </c>
    </row>
    <row r="5313" spans="2:9" x14ac:dyDescent="0.25">
      <c r="B5313" t="s">
        <v>1636</v>
      </c>
      <c r="C5313" s="22" t="s">
        <v>31</v>
      </c>
      <c r="D5313">
        <v>4</v>
      </c>
      <c r="E5313">
        <v>4</v>
      </c>
      <c r="G5313" s="31">
        <f>Table132[[#This Row],[nb win]]/Table132[[#This Row],[nb play]]</f>
        <v>1</v>
      </c>
      <c r="H5313" t="str">
        <f>MID(Table132[[#This Row],[ÉTAT]],VALUE(RIGHT(Table132[[#This Row],[next move]],1))+1+VALUE(LEFT(Table132[[#This Row],[next move]],1))*3,1)</f>
        <v>V</v>
      </c>
      <c r="I5313" t="str">
        <f>Table132[[#This Row],[ÉTAT]]&amp;Table132[[#This Row],[next move]]</f>
        <v>EVMVEMVEV22</v>
      </c>
    </row>
    <row r="5314" spans="2:9" x14ac:dyDescent="0.25">
      <c r="B5314" t="s">
        <v>3313</v>
      </c>
      <c r="C5314" s="22" t="s">
        <v>30</v>
      </c>
      <c r="D5314">
        <v>1</v>
      </c>
      <c r="G5314" s="30">
        <f>Table132[[#This Row],[nb win]]/Table132[[#This Row],[nb play]]</f>
        <v>0</v>
      </c>
      <c r="H5314" t="str">
        <f>MID(Table132[[#This Row],[ÉTAT]],VALUE(RIGHT(Table132[[#This Row],[next move]],1))+1+VALUE(LEFT(Table132[[#This Row],[next move]],1))*3,1)</f>
        <v>V</v>
      </c>
      <c r="I5314" t="str">
        <f>Table132[[#This Row],[ÉTAT]]&amp;Table132[[#This Row],[next move]]</f>
        <v>EVMVEMMEV10</v>
      </c>
    </row>
    <row r="5315" spans="2:9" x14ac:dyDescent="0.25">
      <c r="B5315" t="s">
        <v>2010</v>
      </c>
      <c r="C5315" s="22" t="s">
        <v>30</v>
      </c>
      <c r="D5315">
        <v>2</v>
      </c>
      <c r="E5315">
        <v>1</v>
      </c>
      <c r="G5315" s="30">
        <f>Table132[[#This Row],[nb win]]/Table132[[#This Row],[nb play]]</f>
        <v>0.5</v>
      </c>
      <c r="H5315" t="str">
        <f>MID(Table132[[#This Row],[ÉTAT]],VALUE(RIGHT(Table132[[#This Row],[next move]],1))+1+VALUE(LEFT(Table132[[#This Row],[next move]],1))*3,1)</f>
        <v>V</v>
      </c>
      <c r="I5315" t="str">
        <f>Table132[[#This Row],[ÉTAT]]&amp;Table132[[#This Row],[next move]]</f>
        <v>EVMVEMEMV10</v>
      </c>
    </row>
    <row r="5316" spans="2:9" x14ac:dyDescent="0.25">
      <c r="B5316" t="s">
        <v>493</v>
      </c>
      <c r="C5316" s="22" t="s">
        <v>35</v>
      </c>
      <c r="D5316">
        <v>1</v>
      </c>
      <c r="G5316" s="25">
        <f>Table132[[#This Row],[nb win]]/Table132[[#This Row],[nb play]]</f>
        <v>0</v>
      </c>
      <c r="H5316" t="str">
        <f>MID(Table132[[#This Row],[ÉTAT]],VALUE(RIGHT(Table132[[#This Row],[next move]],1))+1+VALUE(LEFT(Table132[[#This Row],[next move]],1))*3,1)</f>
        <v>V</v>
      </c>
      <c r="I5316" t="str">
        <f>Table132[[#This Row],[ÉTAT]]&amp;Table132[[#This Row],[next move]]</f>
        <v>EVMVEEVVM20</v>
      </c>
    </row>
    <row r="5317" spans="2:9" x14ac:dyDescent="0.25">
      <c r="B5317" t="s">
        <v>493</v>
      </c>
      <c r="C5317" s="22" t="s">
        <v>22</v>
      </c>
      <c r="D5317">
        <v>1</v>
      </c>
      <c r="G5317" s="25">
        <f>Table132[[#This Row],[nb win]]/Table132[[#This Row],[nb play]]</f>
        <v>0</v>
      </c>
      <c r="H5317" t="str">
        <f>MID(Table132[[#This Row],[ÉTAT]],VALUE(RIGHT(Table132[[#This Row],[next move]],1))+1+VALUE(LEFT(Table132[[#This Row],[next move]],1))*3,1)</f>
        <v>V</v>
      </c>
      <c r="I5317" t="str">
        <f>Table132[[#This Row],[ÉTAT]]&amp;Table132[[#This Row],[next move]]</f>
        <v>EVMVEEVVM21</v>
      </c>
    </row>
    <row r="5318" spans="2:9" x14ac:dyDescent="0.25">
      <c r="B5318" t="s">
        <v>1187</v>
      </c>
      <c r="C5318" s="22" t="s">
        <v>26</v>
      </c>
      <c r="D5318">
        <v>4</v>
      </c>
      <c r="G5318" s="30">
        <f>Table132[[#This Row],[nb win]]/Table132[[#This Row],[nb play]]</f>
        <v>0</v>
      </c>
      <c r="H5318" t="str">
        <f>MID(Table132[[#This Row],[ÉTAT]],VALUE(RIGHT(Table132[[#This Row],[next move]],1))+1+VALUE(LEFT(Table132[[#This Row],[next move]],1))*3,1)</f>
        <v>V</v>
      </c>
      <c r="I5318" t="str">
        <f>Table132[[#This Row],[ÉTAT]]&amp;Table132[[#This Row],[next move]]</f>
        <v>EVMVEEVMV01</v>
      </c>
    </row>
    <row r="5319" spans="2:9" x14ac:dyDescent="0.25">
      <c r="B5319" t="s">
        <v>1187</v>
      </c>
      <c r="C5319" s="22" t="s">
        <v>30</v>
      </c>
      <c r="D5319">
        <v>2</v>
      </c>
      <c r="G5319" s="30">
        <f>Table132[[#This Row],[nb win]]/Table132[[#This Row],[nb play]]</f>
        <v>0</v>
      </c>
      <c r="H5319" t="str">
        <f>MID(Table132[[#This Row],[ÉTAT]],VALUE(RIGHT(Table132[[#This Row],[next move]],1))+1+VALUE(LEFT(Table132[[#This Row],[next move]],1))*3,1)</f>
        <v>V</v>
      </c>
      <c r="I5319" t="str">
        <f>Table132[[#This Row],[ÉTAT]]&amp;Table132[[#This Row],[next move]]</f>
        <v>EVMVEEVMV10</v>
      </c>
    </row>
    <row r="5320" spans="2:9" x14ac:dyDescent="0.25">
      <c r="B5320" t="s">
        <v>1187</v>
      </c>
      <c r="C5320" s="22" t="s">
        <v>35</v>
      </c>
      <c r="D5320">
        <v>5</v>
      </c>
      <c r="G5320" s="30">
        <f>Table132[[#This Row],[nb win]]/Table132[[#This Row],[nb play]]</f>
        <v>0</v>
      </c>
      <c r="H5320" t="str">
        <f>MID(Table132[[#This Row],[ÉTAT]],VALUE(RIGHT(Table132[[#This Row],[next move]],1))+1+VALUE(LEFT(Table132[[#This Row],[next move]],1))*3,1)</f>
        <v>V</v>
      </c>
      <c r="I5320" t="str">
        <f>Table132[[#This Row],[ÉTAT]]&amp;Table132[[#This Row],[next move]]</f>
        <v>EVMVEEVMV20</v>
      </c>
    </row>
    <row r="5321" spans="2:9" x14ac:dyDescent="0.25">
      <c r="B5321" t="s">
        <v>1187</v>
      </c>
      <c r="C5321" s="22" t="s">
        <v>31</v>
      </c>
      <c r="D5321">
        <v>2</v>
      </c>
      <c r="G5321" s="25">
        <f>Table132[[#This Row],[nb win]]/Table132[[#This Row],[nb play]]</f>
        <v>0</v>
      </c>
      <c r="H5321" t="str">
        <f>MID(Table132[[#This Row],[ÉTAT]],VALUE(RIGHT(Table132[[#This Row],[next move]],1))+1+VALUE(LEFT(Table132[[#This Row],[next move]],1))*3,1)</f>
        <v>V</v>
      </c>
      <c r="I5321" t="str">
        <f>Table132[[#This Row],[ÉTAT]]&amp;Table132[[#This Row],[next move]]</f>
        <v>EVMVEEVMV22</v>
      </c>
    </row>
    <row r="5322" spans="2:9" x14ac:dyDescent="0.25">
      <c r="B5322" t="s">
        <v>3488</v>
      </c>
      <c r="C5322" s="22" t="s">
        <v>26</v>
      </c>
      <c r="D5322">
        <v>1</v>
      </c>
      <c r="G5322" s="30">
        <f>Table132[[#This Row],[nb win]]/Table132[[#This Row],[nb play]]</f>
        <v>0</v>
      </c>
      <c r="H5322" t="str">
        <f>MID(Table132[[#This Row],[ÉTAT]],VALUE(RIGHT(Table132[[#This Row],[next move]],1))+1+VALUE(LEFT(Table132[[#This Row],[next move]],1))*3,1)</f>
        <v>V</v>
      </c>
      <c r="I5322" t="str">
        <f>Table132[[#This Row],[ÉTAT]]&amp;Table132[[#This Row],[next move]]</f>
        <v>EVMVEEMVM01</v>
      </c>
    </row>
    <row r="5323" spans="2:9" x14ac:dyDescent="0.25">
      <c r="B5323" t="s">
        <v>1211</v>
      </c>
      <c r="C5323" s="22" t="s">
        <v>26</v>
      </c>
      <c r="D5323">
        <v>5</v>
      </c>
      <c r="G5323" s="30">
        <f>Table132[[#This Row],[nb win]]/Table132[[#This Row],[nb play]]</f>
        <v>0</v>
      </c>
      <c r="H5323" t="str">
        <f>MID(Table132[[#This Row],[ÉTAT]],VALUE(RIGHT(Table132[[#This Row],[next move]],1))+1+VALUE(LEFT(Table132[[#This Row],[next move]],1))*3,1)</f>
        <v>V</v>
      </c>
      <c r="I5323" t="str">
        <f>Table132[[#This Row],[ÉTAT]]&amp;Table132[[#This Row],[next move]]</f>
        <v>EVMVEEMEM01</v>
      </c>
    </row>
    <row r="5324" spans="2:9" x14ac:dyDescent="0.25">
      <c r="B5324" t="s">
        <v>1211</v>
      </c>
      <c r="C5324" s="22" t="s">
        <v>30</v>
      </c>
      <c r="D5324">
        <v>1</v>
      </c>
      <c r="G5324" s="25">
        <f>Table132[[#This Row],[nb win]]/Table132[[#This Row],[nb play]]</f>
        <v>0</v>
      </c>
      <c r="H5324" t="str">
        <f>MID(Table132[[#This Row],[ÉTAT]],VALUE(RIGHT(Table132[[#This Row],[next move]],1))+1+VALUE(LEFT(Table132[[#This Row],[next move]],1))*3,1)</f>
        <v>V</v>
      </c>
      <c r="I5324" t="str">
        <f>Table132[[#This Row],[ÉTAT]]&amp;Table132[[#This Row],[next move]]</f>
        <v>EVMVEEMEM10</v>
      </c>
    </row>
    <row r="5325" spans="2:9" x14ac:dyDescent="0.25">
      <c r="B5325" t="s">
        <v>1782</v>
      </c>
      <c r="C5325" s="22" t="s">
        <v>26</v>
      </c>
      <c r="D5325">
        <v>3</v>
      </c>
      <c r="G5325" s="25">
        <f>Table132[[#This Row],[nb win]]/Table132[[#This Row],[nb play]]</f>
        <v>0</v>
      </c>
      <c r="H5325" t="str">
        <f>MID(Table132[[#This Row],[ÉTAT]],VALUE(RIGHT(Table132[[#This Row],[next move]],1))+1+VALUE(LEFT(Table132[[#This Row],[next move]],1))*3,1)</f>
        <v>V</v>
      </c>
      <c r="I5325" t="str">
        <f>Table132[[#This Row],[ÉTAT]]&amp;Table132[[#This Row],[next move]]</f>
        <v>EVMMVVVVE01</v>
      </c>
    </row>
    <row r="5326" spans="2:9" x14ac:dyDescent="0.25">
      <c r="B5326" t="s">
        <v>1782</v>
      </c>
      <c r="C5326" s="22" t="s">
        <v>29</v>
      </c>
      <c r="D5326">
        <v>1</v>
      </c>
      <c r="E5326">
        <v>1</v>
      </c>
      <c r="G5326" s="31">
        <f>Table132[[#This Row],[nb win]]/Table132[[#This Row],[nb play]]</f>
        <v>1</v>
      </c>
      <c r="H5326" t="str">
        <f>MID(Table132[[#This Row],[ÉTAT]],VALUE(RIGHT(Table132[[#This Row],[next move]],1))+1+VALUE(LEFT(Table132[[#This Row],[next move]],1))*3,1)</f>
        <v>V</v>
      </c>
      <c r="I5326" t="str">
        <f>Table132[[#This Row],[ÉTAT]]&amp;Table132[[#This Row],[next move]]</f>
        <v>EVMMVVVVE11</v>
      </c>
    </row>
    <row r="5327" spans="2:9" x14ac:dyDescent="0.25">
      <c r="B5327" t="s">
        <v>1782</v>
      </c>
      <c r="C5327" s="22" t="s">
        <v>28</v>
      </c>
      <c r="D5327">
        <v>2</v>
      </c>
      <c r="E5327">
        <v>1</v>
      </c>
      <c r="G5327" s="30">
        <f>Table132[[#This Row],[nb win]]/Table132[[#This Row],[nb play]]</f>
        <v>0.5</v>
      </c>
      <c r="H5327" t="str">
        <f>MID(Table132[[#This Row],[ÉTAT]],VALUE(RIGHT(Table132[[#This Row],[next move]],1))+1+VALUE(LEFT(Table132[[#This Row],[next move]],1))*3,1)</f>
        <v>V</v>
      </c>
      <c r="I5327" t="str">
        <f>Table132[[#This Row],[ÉTAT]]&amp;Table132[[#This Row],[next move]]</f>
        <v>EVMMVVVVE12</v>
      </c>
    </row>
    <row r="5328" spans="2:9" x14ac:dyDescent="0.25">
      <c r="B5328" t="s">
        <v>1782</v>
      </c>
      <c r="C5328" s="22" t="s">
        <v>35</v>
      </c>
      <c r="D5328">
        <v>1</v>
      </c>
      <c r="G5328" s="25">
        <f>Table132[[#This Row],[nb win]]/Table132[[#This Row],[nb play]]</f>
        <v>0</v>
      </c>
      <c r="H5328" t="str">
        <f>MID(Table132[[#This Row],[ÉTAT]],VALUE(RIGHT(Table132[[#This Row],[next move]],1))+1+VALUE(LEFT(Table132[[#This Row],[next move]],1))*3,1)</f>
        <v>V</v>
      </c>
      <c r="I5328" t="str">
        <f>Table132[[#This Row],[ÉTAT]]&amp;Table132[[#This Row],[next move]]</f>
        <v>EVMMVVVVE20</v>
      </c>
    </row>
    <row r="5329" spans="2:9" x14ac:dyDescent="0.25">
      <c r="B5329" t="s">
        <v>1782</v>
      </c>
      <c r="C5329" s="22" t="s">
        <v>22</v>
      </c>
      <c r="D5329">
        <v>2</v>
      </c>
      <c r="G5329" s="30">
        <f>Table132[[#This Row],[nb win]]/Table132[[#This Row],[nb play]]</f>
        <v>0</v>
      </c>
      <c r="H5329" t="str">
        <f>MID(Table132[[#This Row],[ÉTAT]],VALUE(RIGHT(Table132[[#This Row],[next move]],1))+1+VALUE(LEFT(Table132[[#This Row],[next move]],1))*3,1)</f>
        <v>V</v>
      </c>
      <c r="I5329" t="str">
        <f>Table132[[#This Row],[ÉTAT]]&amp;Table132[[#This Row],[next move]]</f>
        <v>EVMMVVVVE21</v>
      </c>
    </row>
    <row r="5330" spans="2:9" x14ac:dyDescent="0.25">
      <c r="B5330" t="s">
        <v>1756</v>
      </c>
      <c r="C5330" s="22" t="s">
        <v>29</v>
      </c>
      <c r="D5330">
        <v>1</v>
      </c>
      <c r="G5330" s="25">
        <f>Table132[[#This Row],[nb win]]/Table132[[#This Row],[nb play]]</f>
        <v>0</v>
      </c>
      <c r="H5330" t="str">
        <f>MID(Table132[[#This Row],[ÉTAT]],VALUE(RIGHT(Table132[[#This Row],[next move]],1))+1+VALUE(LEFT(Table132[[#This Row],[next move]],1))*3,1)</f>
        <v>V</v>
      </c>
      <c r="I5330" t="str">
        <f>Table132[[#This Row],[ÉTAT]]&amp;Table132[[#This Row],[next move]]</f>
        <v>EVMMVVVEV11</v>
      </c>
    </row>
    <row r="5331" spans="2:9" x14ac:dyDescent="0.25">
      <c r="B5331" t="s">
        <v>1756</v>
      </c>
      <c r="C5331" s="22" t="s">
        <v>28</v>
      </c>
      <c r="D5331">
        <v>2</v>
      </c>
      <c r="E5331">
        <v>2</v>
      </c>
      <c r="G5331" s="25">
        <f>Table132[[#This Row],[nb win]]/Table132[[#This Row],[nb play]]</f>
        <v>1</v>
      </c>
      <c r="H5331" t="str">
        <f>MID(Table132[[#This Row],[ÉTAT]],VALUE(RIGHT(Table132[[#This Row],[next move]],1))+1+VALUE(LEFT(Table132[[#This Row],[next move]],1))*3,1)</f>
        <v>V</v>
      </c>
      <c r="I5331" t="str">
        <f>Table132[[#This Row],[ÉTAT]]&amp;Table132[[#This Row],[next move]]</f>
        <v>EVMMVVVEV12</v>
      </c>
    </row>
    <row r="5332" spans="2:9" x14ac:dyDescent="0.25">
      <c r="B5332" t="s">
        <v>257</v>
      </c>
      <c r="C5332" s="22" t="s">
        <v>26</v>
      </c>
      <c r="D5332">
        <v>1</v>
      </c>
      <c r="G5332" s="25">
        <f>Table132[[#This Row],[nb win]]/Table132[[#This Row],[nb play]]</f>
        <v>0</v>
      </c>
      <c r="H5332" t="str">
        <f>MID(Table132[[#This Row],[ÉTAT]],VALUE(RIGHT(Table132[[#This Row],[next move]],1))+1+VALUE(LEFT(Table132[[#This Row],[next move]],1))*3,1)</f>
        <v>V</v>
      </c>
      <c r="I5332" t="str">
        <f>Table132[[#This Row],[ÉTAT]]&amp;Table132[[#This Row],[next move]]</f>
        <v>EVMMVVVEE01</v>
      </c>
    </row>
    <row r="5333" spans="2:9" x14ac:dyDescent="0.25">
      <c r="B5333" t="s">
        <v>257</v>
      </c>
      <c r="C5333" s="22" t="s">
        <v>29</v>
      </c>
      <c r="D5333">
        <v>1</v>
      </c>
      <c r="G5333" s="30">
        <f>Table132[[#This Row],[nb win]]/Table132[[#This Row],[nb play]]</f>
        <v>0</v>
      </c>
      <c r="H5333" t="str">
        <f>MID(Table132[[#This Row],[ÉTAT]],VALUE(RIGHT(Table132[[#This Row],[next move]],1))+1+VALUE(LEFT(Table132[[#This Row],[next move]],1))*3,1)</f>
        <v>V</v>
      </c>
      <c r="I5333" t="str">
        <f>Table132[[#This Row],[ÉTAT]]&amp;Table132[[#This Row],[next move]]</f>
        <v>EVMMVVVEE11</v>
      </c>
    </row>
    <row r="5334" spans="2:9" x14ac:dyDescent="0.25">
      <c r="B5334" t="s">
        <v>257</v>
      </c>
      <c r="C5334" s="22" t="s">
        <v>28</v>
      </c>
      <c r="D5334">
        <v>1</v>
      </c>
      <c r="G5334" s="25">
        <f>Table132[[#This Row],[nb win]]/Table132[[#This Row],[nb play]]</f>
        <v>0</v>
      </c>
      <c r="H5334" t="str">
        <f>MID(Table132[[#This Row],[ÉTAT]],VALUE(RIGHT(Table132[[#This Row],[next move]],1))+1+VALUE(LEFT(Table132[[#This Row],[next move]],1))*3,1)</f>
        <v>V</v>
      </c>
      <c r="I5334" t="str">
        <f>Table132[[#This Row],[ÉTAT]]&amp;Table132[[#This Row],[next move]]</f>
        <v>EVMMVVVEE12</v>
      </c>
    </row>
    <row r="5335" spans="2:9" x14ac:dyDescent="0.25">
      <c r="B5335" t="s">
        <v>1839</v>
      </c>
      <c r="C5335" s="22" t="s">
        <v>29</v>
      </c>
      <c r="D5335">
        <v>1</v>
      </c>
      <c r="E5335">
        <v>1</v>
      </c>
      <c r="G5335" s="25">
        <f>Table132[[#This Row],[nb win]]/Table132[[#This Row],[nb play]]</f>
        <v>1</v>
      </c>
      <c r="H5335" t="str">
        <f>MID(Table132[[#This Row],[ÉTAT]],VALUE(RIGHT(Table132[[#This Row],[next move]],1))+1+VALUE(LEFT(Table132[[#This Row],[next move]],1))*3,1)</f>
        <v>V</v>
      </c>
      <c r="I5335" t="str">
        <f>Table132[[#This Row],[ÉTAT]]&amp;Table132[[#This Row],[next move]]</f>
        <v>EVMMVVMEE11</v>
      </c>
    </row>
    <row r="5336" spans="2:9" x14ac:dyDescent="0.25">
      <c r="B5336" t="s">
        <v>2245</v>
      </c>
      <c r="C5336" s="22" t="s">
        <v>26</v>
      </c>
      <c r="D5336">
        <v>1</v>
      </c>
      <c r="G5336" s="25">
        <f>Table132[[#This Row],[nb win]]/Table132[[#This Row],[nb play]]</f>
        <v>0</v>
      </c>
      <c r="H5336" t="str">
        <f>MID(Table132[[#This Row],[ÉTAT]],VALUE(RIGHT(Table132[[#This Row],[next move]],1))+1+VALUE(LEFT(Table132[[#This Row],[next move]],1))*3,1)</f>
        <v>V</v>
      </c>
      <c r="I5336" t="str">
        <f>Table132[[#This Row],[ÉTAT]]&amp;Table132[[#This Row],[next move]]</f>
        <v>EVMMVVEVV01</v>
      </c>
    </row>
    <row r="5337" spans="2:9" x14ac:dyDescent="0.25">
      <c r="B5337" t="s">
        <v>2245</v>
      </c>
      <c r="C5337" s="22" t="s">
        <v>29</v>
      </c>
      <c r="D5337">
        <v>1</v>
      </c>
      <c r="E5337">
        <v>1</v>
      </c>
      <c r="G5337" s="31">
        <f>Table132[[#This Row],[nb win]]/Table132[[#This Row],[nb play]]</f>
        <v>1</v>
      </c>
      <c r="H5337" t="str">
        <f>MID(Table132[[#This Row],[ÉTAT]],VALUE(RIGHT(Table132[[#This Row],[next move]],1))+1+VALUE(LEFT(Table132[[#This Row],[next move]],1))*3,1)</f>
        <v>V</v>
      </c>
      <c r="I5337" t="str">
        <f>Table132[[#This Row],[ÉTAT]]&amp;Table132[[#This Row],[next move]]</f>
        <v>EVMMVVEVV11</v>
      </c>
    </row>
    <row r="5338" spans="2:9" x14ac:dyDescent="0.25">
      <c r="B5338" t="s">
        <v>2245</v>
      </c>
      <c r="C5338" s="22" t="s">
        <v>22</v>
      </c>
      <c r="D5338">
        <v>2</v>
      </c>
      <c r="E5338">
        <v>1</v>
      </c>
      <c r="G5338" s="25">
        <f>Table132[[#This Row],[nb win]]/Table132[[#This Row],[nb play]]</f>
        <v>0.5</v>
      </c>
      <c r="H5338" t="str">
        <f>MID(Table132[[#This Row],[ÉTAT]],VALUE(RIGHT(Table132[[#This Row],[next move]],1))+1+VALUE(LEFT(Table132[[#This Row],[next move]],1))*3,1)</f>
        <v>V</v>
      </c>
      <c r="I5338" t="str">
        <f>Table132[[#This Row],[ÉTAT]]&amp;Table132[[#This Row],[next move]]</f>
        <v>EVMMVVEVV21</v>
      </c>
    </row>
    <row r="5339" spans="2:9" x14ac:dyDescent="0.25">
      <c r="B5339" t="s">
        <v>2247</v>
      </c>
      <c r="C5339" s="22" t="s">
        <v>29</v>
      </c>
      <c r="D5339">
        <v>1</v>
      </c>
      <c r="E5339">
        <v>1</v>
      </c>
      <c r="G5339" s="25">
        <f>Table132[[#This Row],[nb win]]/Table132[[#This Row],[nb play]]</f>
        <v>1</v>
      </c>
      <c r="H5339" t="str">
        <f>MID(Table132[[#This Row],[ÉTAT]],VALUE(RIGHT(Table132[[#This Row],[next move]],1))+1+VALUE(LEFT(Table132[[#This Row],[next move]],1))*3,1)</f>
        <v>V</v>
      </c>
      <c r="I5339" t="str">
        <f>Table132[[#This Row],[ÉTAT]]&amp;Table132[[#This Row],[next move]]</f>
        <v>EVMMVVEME11</v>
      </c>
    </row>
    <row r="5340" spans="2:9" x14ac:dyDescent="0.25">
      <c r="B5340" t="s">
        <v>2197</v>
      </c>
      <c r="C5340" s="22" t="s">
        <v>29</v>
      </c>
      <c r="D5340">
        <v>1</v>
      </c>
      <c r="G5340" s="25">
        <f>Table132[[#This Row],[nb win]]/Table132[[#This Row],[nb play]]</f>
        <v>0</v>
      </c>
      <c r="H5340" t="str">
        <f>MID(Table132[[#This Row],[ÉTAT]],VALUE(RIGHT(Table132[[#This Row],[next move]],1))+1+VALUE(LEFT(Table132[[#This Row],[next move]],1))*3,1)</f>
        <v>V</v>
      </c>
      <c r="I5340" t="str">
        <f>Table132[[#This Row],[ÉTAT]]&amp;Table132[[#This Row],[next move]]</f>
        <v>EVMMVVEEV11</v>
      </c>
    </row>
    <row r="5341" spans="2:9" x14ac:dyDescent="0.25">
      <c r="B5341" t="s">
        <v>2197</v>
      </c>
      <c r="C5341" s="22" t="s">
        <v>31</v>
      </c>
      <c r="D5341">
        <v>2</v>
      </c>
      <c r="E5341">
        <v>2</v>
      </c>
      <c r="G5341" s="31">
        <f>Table132[[#This Row],[nb win]]/Table132[[#This Row],[nb play]]</f>
        <v>1</v>
      </c>
      <c r="H5341" t="str">
        <f>MID(Table132[[#This Row],[ÉTAT]],VALUE(RIGHT(Table132[[#This Row],[next move]],1))+1+VALUE(LEFT(Table132[[#This Row],[next move]],1))*3,1)</f>
        <v>V</v>
      </c>
      <c r="I5341" t="str">
        <f>Table132[[#This Row],[ÉTAT]]&amp;Table132[[#This Row],[next move]]</f>
        <v>EVMMVVEEV22</v>
      </c>
    </row>
    <row r="5342" spans="2:9" x14ac:dyDescent="0.25">
      <c r="B5342" t="s">
        <v>3149</v>
      </c>
      <c r="C5342" s="22" t="s">
        <v>28</v>
      </c>
      <c r="D5342">
        <v>1</v>
      </c>
      <c r="E5342">
        <v>1</v>
      </c>
      <c r="G5342" s="31">
        <f>Table132[[#This Row],[nb win]]/Table132[[#This Row],[nb play]]</f>
        <v>1</v>
      </c>
      <c r="H5342" t="str">
        <f>MID(Table132[[#This Row],[ÉTAT]],VALUE(RIGHT(Table132[[#This Row],[next move]],1))+1+VALUE(LEFT(Table132[[#This Row],[next move]],1))*3,1)</f>
        <v>V</v>
      </c>
      <c r="I5342" t="str">
        <f>Table132[[#This Row],[ÉTAT]]&amp;Table132[[#This Row],[next move]]</f>
        <v>EVMMVVEEM12</v>
      </c>
    </row>
    <row r="5343" spans="2:9" x14ac:dyDescent="0.25">
      <c r="B5343" t="s">
        <v>2316</v>
      </c>
      <c r="C5343" s="22" t="s">
        <v>29</v>
      </c>
      <c r="D5343">
        <v>4</v>
      </c>
      <c r="E5343">
        <v>4</v>
      </c>
      <c r="G5343" s="31">
        <f>Table132[[#This Row],[nb win]]/Table132[[#This Row],[nb play]]</f>
        <v>1</v>
      </c>
      <c r="H5343" t="str">
        <f>MID(Table132[[#This Row],[ÉTAT]],VALUE(RIGHT(Table132[[#This Row],[next move]],1))+1+VALUE(LEFT(Table132[[#This Row],[next move]],1))*3,1)</f>
        <v>V</v>
      </c>
      <c r="I5343" t="str">
        <f>Table132[[#This Row],[ÉTAT]]&amp;Table132[[#This Row],[next move]]</f>
        <v>EVMMVMVEE11</v>
      </c>
    </row>
    <row r="5344" spans="2:9" x14ac:dyDescent="0.25">
      <c r="B5344" t="s">
        <v>3046</v>
      </c>
      <c r="C5344" s="22" t="s">
        <v>22</v>
      </c>
      <c r="D5344">
        <v>1</v>
      </c>
      <c r="G5344" s="25">
        <f>Table132[[#This Row],[nb win]]/Table132[[#This Row],[nb play]]</f>
        <v>0</v>
      </c>
      <c r="H5344" t="str">
        <f>MID(Table132[[#This Row],[ÉTAT]],VALUE(RIGHT(Table132[[#This Row],[next move]],1))+1+VALUE(LEFT(Table132[[#This Row],[next move]],1))*3,1)</f>
        <v>V</v>
      </c>
      <c r="I5344" t="str">
        <f>Table132[[#This Row],[ÉTAT]]&amp;Table132[[#This Row],[next move]]</f>
        <v>EVMMVMEVE21</v>
      </c>
    </row>
    <row r="5345" spans="2:9" x14ac:dyDescent="0.25">
      <c r="B5345" t="s">
        <v>1737</v>
      </c>
      <c r="C5345" s="22" t="s">
        <v>22</v>
      </c>
      <c r="D5345">
        <v>1</v>
      </c>
      <c r="E5345">
        <v>1</v>
      </c>
      <c r="G5345" s="25">
        <f>Table132[[#This Row],[nb win]]/Table132[[#This Row],[nb play]]</f>
        <v>1</v>
      </c>
      <c r="H5345" t="str">
        <f>MID(Table132[[#This Row],[ÉTAT]],VALUE(RIGHT(Table132[[#This Row],[next move]],1))+1+VALUE(LEFT(Table132[[#This Row],[next move]],1))*3,1)</f>
        <v>V</v>
      </c>
      <c r="I5345" t="str">
        <f>Table132[[#This Row],[ÉTAT]]&amp;Table132[[#This Row],[next move]]</f>
        <v>EVMMVEVVV21</v>
      </c>
    </row>
    <row r="5346" spans="2:9" x14ac:dyDescent="0.25">
      <c r="B5346" t="s">
        <v>2884</v>
      </c>
      <c r="C5346" s="22" t="s">
        <v>26</v>
      </c>
      <c r="D5346">
        <v>1</v>
      </c>
      <c r="G5346" s="25">
        <f>Table132[[#This Row],[nb win]]/Table132[[#This Row],[nb play]]</f>
        <v>0</v>
      </c>
      <c r="H5346" t="str">
        <f>MID(Table132[[#This Row],[ÉTAT]],VALUE(RIGHT(Table132[[#This Row],[next move]],1))+1+VALUE(LEFT(Table132[[#This Row],[next move]],1))*3,1)</f>
        <v>V</v>
      </c>
      <c r="I5346" t="str">
        <f>Table132[[#This Row],[ÉTAT]]&amp;Table132[[#This Row],[next move]]</f>
        <v>EVMMVEVVE01</v>
      </c>
    </row>
    <row r="5347" spans="2:9" x14ac:dyDescent="0.25">
      <c r="B5347" t="s">
        <v>2884</v>
      </c>
      <c r="C5347" s="22" t="s">
        <v>29</v>
      </c>
      <c r="D5347">
        <v>1</v>
      </c>
      <c r="E5347">
        <v>1</v>
      </c>
      <c r="G5347" s="31">
        <f>Table132[[#This Row],[nb win]]/Table132[[#This Row],[nb play]]</f>
        <v>1</v>
      </c>
      <c r="H5347" t="str">
        <f>MID(Table132[[#This Row],[ÉTAT]],VALUE(RIGHT(Table132[[#This Row],[next move]],1))+1+VALUE(LEFT(Table132[[#This Row],[next move]],1))*3,1)</f>
        <v>V</v>
      </c>
      <c r="I5347" t="str">
        <f>Table132[[#This Row],[ÉTAT]]&amp;Table132[[#This Row],[next move]]</f>
        <v>EVMMVEVVE11</v>
      </c>
    </row>
    <row r="5348" spans="2:9" x14ac:dyDescent="0.25">
      <c r="B5348" t="s">
        <v>1739</v>
      </c>
      <c r="C5348" s="22" t="s">
        <v>29</v>
      </c>
      <c r="D5348">
        <v>1</v>
      </c>
      <c r="E5348">
        <v>1</v>
      </c>
      <c r="G5348" s="25">
        <f>Table132[[#This Row],[nb win]]/Table132[[#This Row],[nb play]]</f>
        <v>1</v>
      </c>
      <c r="H5348" t="str">
        <f>MID(Table132[[#This Row],[ÉTAT]],VALUE(RIGHT(Table132[[#This Row],[next move]],1))+1+VALUE(LEFT(Table132[[#This Row],[next move]],1))*3,1)</f>
        <v>V</v>
      </c>
      <c r="I5348" t="str">
        <f>Table132[[#This Row],[ÉTAT]]&amp;Table132[[#This Row],[next move]]</f>
        <v>EVMMVEVME11</v>
      </c>
    </row>
    <row r="5349" spans="2:9" x14ac:dyDescent="0.25">
      <c r="B5349" t="s">
        <v>3049</v>
      </c>
      <c r="C5349" s="22" t="s">
        <v>26</v>
      </c>
      <c r="D5349">
        <v>1</v>
      </c>
      <c r="G5349" s="30">
        <f>Table132[[#This Row],[nb win]]/Table132[[#This Row],[nb play]]</f>
        <v>0</v>
      </c>
      <c r="H5349" t="str">
        <f>MID(Table132[[#This Row],[ÉTAT]],VALUE(RIGHT(Table132[[#This Row],[next move]],1))+1+VALUE(LEFT(Table132[[#This Row],[next move]],1))*3,1)</f>
        <v>V</v>
      </c>
      <c r="I5349" t="str">
        <f>Table132[[#This Row],[ÉTAT]]&amp;Table132[[#This Row],[next move]]</f>
        <v>EVMMVEVEV01</v>
      </c>
    </row>
    <row r="5350" spans="2:9" x14ac:dyDescent="0.25">
      <c r="B5350" t="s">
        <v>3049</v>
      </c>
      <c r="C5350" s="22" t="s">
        <v>35</v>
      </c>
      <c r="D5350">
        <v>1</v>
      </c>
      <c r="G5350" s="25">
        <f>Table132[[#This Row],[nb win]]/Table132[[#This Row],[nb play]]</f>
        <v>0</v>
      </c>
      <c r="H5350" t="str">
        <f>MID(Table132[[#This Row],[ÉTAT]],VALUE(RIGHT(Table132[[#This Row],[next move]],1))+1+VALUE(LEFT(Table132[[#This Row],[next move]],1))*3,1)</f>
        <v>V</v>
      </c>
      <c r="I5350" t="str">
        <f>Table132[[#This Row],[ÉTAT]]&amp;Table132[[#This Row],[next move]]</f>
        <v>EVMMVEVEV20</v>
      </c>
    </row>
    <row r="5351" spans="2:9" x14ac:dyDescent="0.25">
      <c r="B5351" t="s">
        <v>1768</v>
      </c>
      <c r="C5351" s="22" t="s">
        <v>26</v>
      </c>
      <c r="D5351">
        <v>2</v>
      </c>
      <c r="E5351">
        <v>1</v>
      </c>
      <c r="G5351" s="30">
        <f>Table132[[#This Row],[nb win]]/Table132[[#This Row],[nb play]]</f>
        <v>0.5</v>
      </c>
      <c r="H5351" t="str">
        <f>MID(Table132[[#This Row],[ÉTAT]],VALUE(RIGHT(Table132[[#This Row],[next move]],1))+1+VALUE(LEFT(Table132[[#This Row],[next move]],1))*3,1)</f>
        <v>V</v>
      </c>
      <c r="I5351" t="str">
        <f>Table132[[#This Row],[ÉTAT]]&amp;Table132[[#This Row],[next move]]</f>
        <v>EVMMVEMVE01</v>
      </c>
    </row>
    <row r="5352" spans="2:9" x14ac:dyDescent="0.25">
      <c r="B5352" t="s">
        <v>1768</v>
      </c>
      <c r="C5352" s="22" t="s">
        <v>22</v>
      </c>
      <c r="D5352">
        <v>3</v>
      </c>
      <c r="E5352">
        <v>2</v>
      </c>
      <c r="G5352" s="31">
        <f>Table132[[#This Row],[nb win]]/Table132[[#This Row],[nb play]]</f>
        <v>0.66666666666666663</v>
      </c>
      <c r="H5352" t="str">
        <f>MID(Table132[[#This Row],[ÉTAT]],VALUE(RIGHT(Table132[[#This Row],[next move]],1))+1+VALUE(LEFT(Table132[[#This Row],[next move]],1))*3,1)</f>
        <v>V</v>
      </c>
      <c r="I5352" t="str">
        <f>Table132[[#This Row],[ÉTAT]]&amp;Table132[[#This Row],[next move]]</f>
        <v>EVMMVEMVE21</v>
      </c>
    </row>
    <row r="5353" spans="2:9" x14ac:dyDescent="0.25">
      <c r="B5353" t="s">
        <v>2328</v>
      </c>
      <c r="C5353" s="22" t="s">
        <v>31</v>
      </c>
      <c r="D5353">
        <v>1</v>
      </c>
      <c r="E5353">
        <v>1</v>
      </c>
      <c r="G5353" s="25">
        <f>Table132[[#This Row],[nb win]]/Table132[[#This Row],[nb play]]</f>
        <v>1</v>
      </c>
      <c r="H5353" t="str">
        <f>MID(Table132[[#This Row],[ÉTAT]],VALUE(RIGHT(Table132[[#This Row],[next move]],1))+1+VALUE(LEFT(Table132[[#This Row],[next move]],1))*3,1)</f>
        <v>V</v>
      </c>
      <c r="I5353" t="str">
        <f>Table132[[#This Row],[ÉTAT]]&amp;Table132[[#This Row],[next move]]</f>
        <v>EVMMVEMEV22</v>
      </c>
    </row>
    <row r="5354" spans="2:9" x14ac:dyDescent="0.25">
      <c r="B5354" t="s">
        <v>2403</v>
      </c>
      <c r="C5354" s="22" t="s">
        <v>26</v>
      </c>
      <c r="D5354">
        <v>1</v>
      </c>
      <c r="G5354" s="25">
        <f>Table132[[#This Row],[nb win]]/Table132[[#This Row],[nb play]]</f>
        <v>0</v>
      </c>
      <c r="H5354" t="str">
        <f>MID(Table132[[#This Row],[ÉTAT]],VALUE(RIGHT(Table132[[#This Row],[next move]],1))+1+VALUE(LEFT(Table132[[#This Row],[next move]],1))*3,1)</f>
        <v>V</v>
      </c>
      <c r="I5354" t="str">
        <f>Table132[[#This Row],[ÉTAT]]&amp;Table132[[#This Row],[next move]]</f>
        <v>EVMMVEMEE01</v>
      </c>
    </row>
    <row r="5355" spans="2:9" x14ac:dyDescent="0.25">
      <c r="B5355" t="s">
        <v>1589</v>
      </c>
      <c r="C5355" s="22" t="s">
        <v>22</v>
      </c>
      <c r="D5355">
        <v>1</v>
      </c>
      <c r="G5355" s="25">
        <f>Table132[[#This Row],[nb win]]/Table132[[#This Row],[nb play]]</f>
        <v>0</v>
      </c>
      <c r="H5355" t="str">
        <f>MID(Table132[[#This Row],[ÉTAT]],VALUE(RIGHT(Table132[[#This Row],[next move]],1))+1+VALUE(LEFT(Table132[[#This Row],[next move]],1))*3,1)</f>
        <v>V</v>
      </c>
      <c r="I5355" t="str">
        <f>Table132[[#This Row],[ÉTAT]]&amp;Table132[[#This Row],[next move]]</f>
        <v>EVMMVEEVV21</v>
      </c>
    </row>
    <row r="5356" spans="2:9" x14ac:dyDescent="0.25">
      <c r="B5356" t="s">
        <v>1591</v>
      </c>
      <c r="C5356" s="22" t="s">
        <v>26</v>
      </c>
      <c r="D5356">
        <v>1</v>
      </c>
      <c r="G5356" s="25">
        <f>Table132[[#This Row],[nb win]]/Table132[[#This Row],[nb play]]</f>
        <v>0</v>
      </c>
      <c r="H5356" t="str">
        <f>MID(Table132[[#This Row],[ÉTAT]],VALUE(RIGHT(Table132[[#This Row],[next move]],1))+1+VALUE(LEFT(Table132[[#This Row],[next move]],1))*3,1)</f>
        <v>V</v>
      </c>
      <c r="I5356" t="str">
        <f>Table132[[#This Row],[ÉTAT]]&amp;Table132[[#This Row],[next move]]</f>
        <v>EVMMVEEME01</v>
      </c>
    </row>
    <row r="5357" spans="2:9" x14ac:dyDescent="0.25">
      <c r="B5357" t="s">
        <v>1758</v>
      </c>
      <c r="C5357" s="22" t="s">
        <v>26</v>
      </c>
      <c r="D5357">
        <v>1</v>
      </c>
      <c r="G5357" s="25">
        <f>Table132[[#This Row],[nb win]]/Table132[[#This Row],[nb play]]</f>
        <v>0</v>
      </c>
      <c r="H5357" t="str">
        <f>MID(Table132[[#This Row],[ÉTAT]],VALUE(RIGHT(Table132[[#This Row],[next move]],1))+1+VALUE(LEFT(Table132[[#This Row],[next move]],1))*3,1)</f>
        <v>V</v>
      </c>
      <c r="I5357" t="str">
        <f>Table132[[#This Row],[ÉTAT]]&amp;Table132[[#This Row],[next move]]</f>
        <v>EVMMMVVEE01</v>
      </c>
    </row>
    <row r="5358" spans="2:9" x14ac:dyDescent="0.25">
      <c r="B5358" t="s">
        <v>1758</v>
      </c>
      <c r="C5358" s="22" t="s">
        <v>28</v>
      </c>
      <c r="D5358">
        <v>2</v>
      </c>
      <c r="E5358">
        <v>2</v>
      </c>
      <c r="G5358" s="31">
        <f>Table132[[#This Row],[nb win]]/Table132[[#This Row],[nb play]]</f>
        <v>1</v>
      </c>
      <c r="H5358" t="str">
        <f>MID(Table132[[#This Row],[ÉTAT]],VALUE(RIGHT(Table132[[#This Row],[next move]],1))+1+VALUE(LEFT(Table132[[#This Row],[next move]],1))*3,1)</f>
        <v>V</v>
      </c>
      <c r="I5358" t="str">
        <f>Table132[[#This Row],[ÉTAT]]&amp;Table132[[#This Row],[next move]]</f>
        <v>EVMMMVVEE12</v>
      </c>
    </row>
    <row r="5359" spans="2:9" x14ac:dyDescent="0.25">
      <c r="B5359" t="s">
        <v>1931</v>
      </c>
      <c r="C5359" s="22" t="s">
        <v>26</v>
      </c>
      <c r="D5359">
        <v>1</v>
      </c>
      <c r="G5359" s="25">
        <f>Table132[[#This Row],[nb win]]/Table132[[#This Row],[nb play]]</f>
        <v>0</v>
      </c>
      <c r="H5359" t="str">
        <f>MID(Table132[[#This Row],[ÉTAT]],VALUE(RIGHT(Table132[[#This Row],[next move]],1))+1+VALUE(LEFT(Table132[[#This Row],[next move]],1))*3,1)</f>
        <v>V</v>
      </c>
      <c r="I5359" t="str">
        <f>Table132[[#This Row],[ÉTAT]]&amp;Table132[[#This Row],[next move]]</f>
        <v>EVMMMVEVE01</v>
      </c>
    </row>
    <row r="5360" spans="2:9" x14ac:dyDescent="0.25">
      <c r="B5360" t="s">
        <v>1931</v>
      </c>
      <c r="C5360" s="22" t="s">
        <v>22</v>
      </c>
      <c r="D5360">
        <v>1</v>
      </c>
      <c r="E5360">
        <v>1</v>
      </c>
      <c r="G5360" s="31">
        <f>Table132[[#This Row],[nb win]]/Table132[[#This Row],[nb play]]</f>
        <v>1</v>
      </c>
      <c r="H5360" t="str">
        <f>MID(Table132[[#This Row],[ÉTAT]],VALUE(RIGHT(Table132[[#This Row],[next move]],1))+1+VALUE(LEFT(Table132[[#This Row],[next move]],1))*3,1)</f>
        <v>V</v>
      </c>
      <c r="I5360" t="str">
        <f>Table132[[#This Row],[ÉTAT]]&amp;Table132[[#This Row],[next move]]</f>
        <v>EVMMMVEVE21</v>
      </c>
    </row>
    <row r="5361" spans="2:9" x14ac:dyDescent="0.25">
      <c r="B5361" t="s">
        <v>3163</v>
      </c>
      <c r="C5361" s="22" t="s">
        <v>26</v>
      </c>
      <c r="D5361">
        <v>1</v>
      </c>
      <c r="G5361" s="30">
        <f>Table132[[#This Row],[nb win]]/Table132[[#This Row],[nb play]]</f>
        <v>0</v>
      </c>
      <c r="H5361" t="str">
        <f>MID(Table132[[#This Row],[ÉTAT]],VALUE(RIGHT(Table132[[#This Row],[next move]],1))+1+VALUE(LEFT(Table132[[#This Row],[next move]],1))*3,1)</f>
        <v>V</v>
      </c>
      <c r="I5361" t="str">
        <f>Table132[[#This Row],[ÉTAT]]&amp;Table132[[#This Row],[next move]]</f>
        <v>EVMMMVEEV01</v>
      </c>
    </row>
    <row r="5362" spans="2:9" x14ac:dyDescent="0.25">
      <c r="B5362" t="s">
        <v>2667</v>
      </c>
      <c r="C5362" s="22" t="s">
        <v>26</v>
      </c>
      <c r="D5362">
        <v>3</v>
      </c>
      <c r="E5362">
        <v>3</v>
      </c>
      <c r="G5362" s="31">
        <f>Table132[[#This Row],[nb win]]/Table132[[#This Row],[nb play]]</f>
        <v>1</v>
      </c>
      <c r="H5362" t="str">
        <f>MID(Table132[[#This Row],[ÉTAT]],VALUE(RIGHT(Table132[[#This Row],[next move]],1))+1+VALUE(LEFT(Table132[[#This Row],[next move]],1))*3,1)</f>
        <v>V</v>
      </c>
      <c r="I5362" t="str">
        <f>Table132[[#This Row],[ÉTAT]]&amp;Table132[[#This Row],[next move]]</f>
        <v>EVMMMEVVE01</v>
      </c>
    </row>
    <row r="5363" spans="2:9" x14ac:dyDescent="0.25">
      <c r="B5363" t="s">
        <v>2669</v>
      </c>
      <c r="C5363" s="22" t="s">
        <v>35</v>
      </c>
      <c r="D5363">
        <v>4</v>
      </c>
      <c r="E5363">
        <v>4</v>
      </c>
      <c r="G5363" s="25">
        <f>Table132[[#This Row],[nb win]]/Table132[[#This Row],[nb play]]</f>
        <v>1</v>
      </c>
      <c r="H5363" t="str">
        <f>MID(Table132[[#This Row],[ÉTAT]],VALUE(RIGHT(Table132[[#This Row],[next move]],1))+1+VALUE(LEFT(Table132[[#This Row],[next move]],1))*3,1)</f>
        <v>V</v>
      </c>
      <c r="I5363" t="str">
        <f>Table132[[#This Row],[ÉTAT]]&amp;Table132[[#This Row],[next move]]</f>
        <v>EVMMMEVEV20</v>
      </c>
    </row>
    <row r="5364" spans="2:9" x14ac:dyDescent="0.25">
      <c r="B5364" t="s">
        <v>3255</v>
      </c>
      <c r="C5364" s="22" t="s">
        <v>26</v>
      </c>
      <c r="D5364">
        <v>1</v>
      </c>
      <c r="G5364" s="30">
        <f>Table132[[#This Row],[nb win]]/Table132[[#This Row],[nb play]]</f>
        <v>0</v>
      </c>
      <c r="H5364" t="str">
        <f>MID(Table132[[#This Row],[ÉTAT]],VALUE(RIGHT(Table132[[#This Row],[next move]],1))+1+VALUE(LEFT(Table132[[#This Row],[next move]],1))*3,1)</f>
        <v>V</v>
      </c>
      <c r="I5364" t="str">
        <f>Table132[[#This Row],[ÉTAT]]&amp;Table132[[#This Row],[next move]]</f>
        <v>EVMMMEVEE01</v>
      </c>
    </row>
    <row r="5365" spans="2:9" x14ac:dyDescent="0.25">
      <c r="B5365" t="s">
        <v>2666</v>
      </c>
      <c r="C5365" s="22" t="s">
        <v>26</v>
      </c>
      <c r="D5365">
        <v>1</v>
      </c>
      <c r="E5365">
        <v>1</v>
      </c>
      <c r="G5365" s="25">
        <f>Table132[[#This Row],[nb win]]/Table132[[#This Row],[nb play]]</f>
        <v>1</v>
      </c>
      <c r="H5365" t="str">
        <f>MID(Table132[[#This Row],[ÉTAT]],VALUE(RIGHT(Table132[[#This Row],[next move]],1))+1+VALUE(LEFT(Table132[[#This Row],[next move]],1))*3,1)</f>
        <v>V</v>
      </c>
      <c r="I5365" t="str">
        <f>Table132[[#This Row],[ÉTAT]]&amp;Table132[[#This Row],[next move]]</f>
        <v>EVMMMEEVV01</v>
      </c>
    </row>
    <row r="5366" spans="2:9" x14ac:dyDescent="0.25">
      <c r="B5366" t="s">
        <v>3061</v>
      </c>
      <c r="C5366" s="22" t="s">
        <v>26</v>
      </c>
      <c r="D5366">
        <v>1</v>
      </c>
      <c r="G5366" s="30">
        <f>Table132[[#This Row],[nb win]]/Table132[[#This Row],[nb play]]</f>
        <v>0</v>
      </c>
      <c r="H5366" t="str">
        <f>MID(Table132[[#This Row],[ÉTAT]],VALUE(RIGHT(Table132[[#This Row],[next move]],1))+1+VALUE(LEFT(Table132[[#This Row],[next move]],1))*3,1)</f>
        <v>V</v>
      </c>
      <c r="I5366" t="str">
        <f>Table132[[#This Row],[ÉTAT]]&amp;Table132[[#This Row],[next move]]</f>
        <v>EVMMMEEVE01</v>
      </c>
    </row>
    <row r="5367" spans="2:9" x14ac:dyDescent="0.25">
      <c r="B5367" t="s">
        <v>2362</v>
      </c>
      <c r="C5367" s="22" t="s">
        <v>26</v>
      </c>
      <c r="D5367">
        <v>4</v>
      </c>
      <c r="E5367">
        <v>4</v>
      </c>
      <c r="G5367" s="31">
        <f>Table132[[#This Row],[nb win]]/Table132[[#This Row],[nb play]]</f>
        <v>1</v>
      </c>
      <c r="H5367" t="str">
        <f>MID(Table132[[#This Row],[ÉTAT]],VALUE(RIGHT(Table132[[#This Row],[next move]],1))+1+VALUE(LEFT(Table132[[#This Row],[next move]],1))*3,1)</f>
        <v>V</v>
      </c>
      <c r="I5367" t="str">
        <f>Table132[[#This Row],[ÉTAT]]&amp;Table132[[#This Row],[next move]]</f>
        <v>EVMMMEEME01</v>
      </c>
    </row>
    <row r="5368" spans="2:9" x14ac:dyDescent="0.25">
      <c r="B5368" t="s">
        <v>2199</v>
      </c>
      <c r="C5368" s="22" t="s">
        <v>26</v>
      </c>
      <c r="D5368">
        <v>1</v>
      </c>
      <c r="G5368" s="25">
        <f>Table132[[#This Row],[nb win]]/Table132[[#This Row],[nb play]]</f>
        <v>0</v>
      </c>
      <c r="H5368" t="str">
        <f>MID(Table132[[#This Row],[ÉTAT]],VALUE(RIGHT(Table132[[#This Row],[next move]],1))+1+VALUE(LEFT(Table132[[#This Row],[next move]],1))*3,1)</f>
        <v>V</v>
      </c>
      <c r="I5368" t="str">
        <f>Table132[[#This Row],[ÉTAT]]&amp;Table132[[#This Row],[next move]]</f>
        <v>EVMMMEEEV01</v>
      </c>
    </row>
    <row r="5369" spans="2:9" x14ac:dyDescent="0.25">
      <c r="B5369" t="s">
        <v>2660</v>
      </c>
      <c r="C5369" s="22" t="s">
        <v>31</v>
      </c>
      <c r="D5369">
        <v>4</v>
      </c>
      <c r="E5369">
        <v>4</v>
      </c>
      <c r="G5369" s="31">
        <f>Table132[[#This Row],[nb win]]/Table132[[#This Row],[nb play]]</f>
        <v>1</v>
      </c>
      <c r="H5369" t="str">
        <f>MID(Table132[[#This Row],[ÉTAT]],VALUE(RIGHT(Table132[[#This Row],[next move]],1))+1+VALUE(LEFT(Table132[[#This Row],[next move]],1))*3,1)</f>
        <v>V</v>
      </c>
      <c r="I5369" t="str">
        <f>Table132[[#This Row],[ÉTAT]]&amp;Table132[[#This Row],[next move]]</f>
        <v>EVMMEVVVV22</v>
      </c>
    </row>
    <row r="5370" spans="2:9" x14ac:dyDescent="0.25">
      <c r="B5370" t="s">
        <v>1177</v>
      </c>
      <c r="C5370" s="22" t="s">
        <v>31</v>
      </c>
      <c r="D5370">
        <v>1</v>
      </c>
      <c r="E5370">
        <v>1</v>
      </c>
      <c r="G5370" s="25">
        <f>Table132[[#This Row],[nb win]]/Table132[[#This Row],[nb play]]</f>
        <v>1</v>
      </c>
      <c r="H5370" t="str">
        <f>MID(Table132[[#This Row],[ÉTAT]],VALUE(RIGHT(Table132[[#This Row],[next move]],1))+1+VALUE(LEFT(Table132[[#This Row],[next move]],1))*3,1)</f>
        <v>V</v>
      </c>
      <c r="I5370" t="str">
        <f>Table132[[#This Row],[ÉTAT]]&amp;Table132[[#This Row],[next move]]</f>
        <v>EVMMEVVEV22</v>
      </c>
    </row>
    <row r="5371" spans="2:9" x14ac:dyDescent="0.25">
      <c r="B5371" t="s">
        <v>2662</v>
      </c>
      <c r="C5371" s="22" t="s">
        <v>26</v>
      </c>
      <c r="D5371">
        <v>1</v>
      </c>
      <c r="E5371">
        <v>1</v>
      </c>
      <c r="G5371" s="25">
        <f>Table132[[#This Row],[nb win]]/Table132[[#This Row],[nb play]]</f>
        <v>1</v>
      </c>
      <c r="H5371" t="str">
        <f>MID(Table132[[#This Row],[ÉTAT]],VALUE(RIGHT(Table132[[#This Row],[next move]],1))+1+VALUE(LEFT(Table132[[#This Row],[next move]],1))*3,1)</f>
        <v>V</v>
      </c>
      <c r="I5371" t="str">
        <f>Table132[[#This Row],[ÉTAT]]&amp;Table132[[#This Row],[next move]]</f>
        <v>EVMMEVVEM01</v>
      </c>
    </row>
    <row r="5372" spans="2:9" x14ac:dyDescent="0.25">
      <c r="B5372" t="s">
        <v>2738</v>
      </c>
      <c r="C5372" s="22" t="s">
        <v>26</v>
      </c>
      <c r="D5372">
        <v>1</v>
      </c>
      <c r="G5372" s="30">
        <f>Table132[[#This Row],[nb win]]/Table132[[#This Row],[nb play]]</f>
        <v>0</v>
      </c>
      <c r="H5372" t="str">
        <f>MID(Table132[[#This Row],[ÉTAT]],VALUE(RIGHT(Table132[[#This Row],[next move]],1))+1+VALUE(LEFT(Table132[[#This Row],[next move]],1))*3,1)</f>
        <v>V</v>
      </c>
      <c r="I5372" t="str">
        <f>Table132[[#This Row],[ÉTAT]]&amp;Table132[[#This Row],[next move]]</f>
        <v>EVMMEVMEV01</v>
      </c>
    </row>
    <row r="5373" spans="2:9" x14ac:dyDescent="0.25">
      <c r="B5373" t="s">
        <v>2738</v>
      </c>
      <c r="C5373" s="22" t="s">
        <v>28</v>
      </c>
      <c r="D5373">
        <v>1</v>
      </c>
      <c r="G5373" s="25">
        <f>Table132[[#This Row],[nb win]]/Table132[[#This Row],[nb play]]</f>
        <v>0</v>
      </c>
      <c r="H5373" t="str">
        <f>MID(Table132[[#This Row],[ÉTAT]],VALUE(RIGHT(Table132[[#This Row],[next move]],1))+1+VALUE(LEFT(Table132[[#This Row],[next move]],1))*3,1)</f>
        <v>V</v>
      </c>
      <c r="I5373" t="str">
        <f>Table132[[#This Row],[ÉTAT]]&amp;Table132[[#This Row],[next move]]</f>
        <v>EVMMEVMEV12</v>
      </c>
    </row>
    <row r="5374" spans="2:9" x14ac:dyDescent="0.25">
      <c r="B5374" t="s">
        <v>2237</v>
      </c>
      <c r="C5374" s="22" t="s">
        <v>26</v>
      </c>
      <c r="D5374">
        <v>1</v>
      </c>
      <c r="G5374" s="25">
        <f>Table132[[#This Row],[nb win]]/Table132[[#This Row],[nb play]]</f>
        <v>0</v>
      </c>
      <c r="H5374" t="str">
        <f>MID(Table132[[#This Row],[ÉTAT]],VALUE(RIGHT(Table132[[#This Row],[next move]],1))+1+VALUE(LEFT(Table132[[#This Row],[next move]],1))*3,1)</f>
        <v>V</v>
      </c>
      <c r="I5374" t="str">
        <f>Table132[[#This Row],[ÉTAT]]&amp;Table132[[#This Row],[next move]]</f>
        <v>EVMMEVEVV01</v>
      </c>
    </row>
    <row r="5375" spans="2:9" x14ac:dyDescent="0.25">
      <c r="B5375" t="s">
        <v>2237</v>
      </c>
      <c r="C5375" s="22" t="s">
        <v>28</v>
      </c>
      <c r="D5375">
        <v>1</v>
      </c>
      <c r="G5375" s="30">
        <f>Table132[[#This Row],[nb win]]/Table132[[#This Row],[nb play]]</f>
        <v>0</v>
      </c>
      <c r="H5375" t="str">
        <f>MID(Table132[[#This Row],[ÉTAT]],VALUE(RIGHT(Table132[[#This Row],[next move]],1))+1+VALUE(LEFT(Table132[[#This Row],[next move]],1))*3,1)</f>
        <v>V</v>
      </c>
      <c r="I5375" t="str">
        <f>Table132[[#This Row],[ÉTAT]]&amp;Table132[[#This Row],[next move]]</f>
        <v>EVMMEVEVV12</v>
      </c>
    </row>
    <row r="5376" spans="2:9" x14ac:dyDescent="0.25">
      <c r="B5376" t="s">
        <v>1856</v>
      </c>
      <c r="C5376" s="22" t="s">
        <v>28</v>
      </c>
      <c r="D5376">
        <v>4</v>
      </c>
      <c r="E5376">
        <v>4</v>
      </c>
      <c r="G5376" s="31">
        <f>Table132[[#This Row],[nb win]]/Table132[[#This Row],[nb play]]</f>
        <v>1</v>
      </c>
      <c r="H5376" t="str">
        <f>MID(Table132[[#This Row],[ÉTAT]],VALUE(RIGHT(Table132[[#This Row],[next move]],1))+1+VALUE(LEFT(Table132[[#This Row],[next move]],1))*3,1)</f>
        <v>V</v>
      </c>
      <c r="I5376" t="str">
        <f>Table132[[#This Row],[ÉTAT]]&amp;Table132[[#This Row],[next move]]</f>
        <v>EVMMEVEVM12</v>
      </c>
    </row>
    <row r="5377" spans="2:9" x14ac:dyDescent="0.25">
      <c r="B5377" t="s">
        <v>2835</v>
      </c>
      <c r="C5377" s="22" t="s">
        <v>26</v>
      </c>
      <c r="D5377">
        <v>1</v>
      </c>
      <c r="G5377" s="25">
        <f>Table132[[#This Row],[nb win]]/Table132[[#This Row],[nb play]]</f>
        <v>0</v>
      </c>
      <c r="H5377" t="str">
        <f>MID(Table132[[#This Row],[ÉTAT]],VALUE(RIGHT(Table132[[#This Row],[next move]],1))+1+VALUE(LEFT(Table132[[#This Row],[next move]],1))*3,1)</f>
        <v>V</v>
      </c>
      <c r="I5377" t="str">
        <f>Table132[[#This Row],[ÉTAT]]&amp;Table132[[#This Row],[next move]]</f>
        <v>EVMMEVEMV01</v>
      </c>
    </row>
    <row r="5378" spans="2:9" x14ac:dyDescent="0.25">
      <c r="B5378" t="s">
        <v>2835</v>
      </c>
      <c r="C5378" s="22" t="s">
        <v>28</v>
      </c>
      <c r="D5378">
        <v>1</v>
      </c>
      <c r="G5378" s="30">
        <f>Table132[[#This Row],[nb win]]/Table132[[#This Row],[nb play]]</f>
        <v>0</v>
      </c>
      <c r="H5378" t="str">
        <f>MID(Table132[[#This Row],[ÉTAT]],VALUE(RIGHT(Table132[[#This Row],[next move]],1))+1+VALUE(LEFT(Table132[[#This Row],[next move]],1))*3,1)</f>
        <v>V</v>
      </c>
      <c r="I5378" t="str">
        <f>Table132[[#This Row],[ÉTAT]]&amp;Table132[[#This Row],[next move]]</f>
        <v>EVMMEVEMV12</v>
      </c>
    </row>
    <row r="5379" spans="2:9" x14ac:dyDescent="0.25">
      <c r="B5379" t="s">
        <v>307</v>
      </c>
      <c r="C5379" s="22" t="s">
        <v>28</v>
      </c>
      <c r="D5379">
        <v>3</v>
      </c>
      <c r="E5379">
        <v>3</v>
      </c>
      <c r="G5379" s="31">
        <f>Table132[[#This Row],[nb win]]/Table132[[#This Row],[nb play]]</f>
        <v>1</v>
      </c>
      <c r="H5379" t="str">
        <f>MID(Table132[[#This Row],[ÉTAT]],VALUE(RIGHT(Table132[[#This Row],[next move]],1))+1+VALUE(LEFT(Table132[[#This Row],[next move]],1))*3,1)</f>
        <v>V</v>
      </c>
      <c r="I5379" t="str">
        <f>Table132[[#This Row],[ÉTAT]]&amp;Table132[[#This Row],[next move]]</f>
        <v>EVMMEVEEM12</v>
      </c>
    </row>
    <row r="5380" spans="2:9" x14ac:dyDescent="0.25">
      <c r="B5380" t="s">
        <v>2330</v>
      </c>
      <c r="C5380" s="22" t="s">
        <v>31</v>
      </c>
      <c r="D5380">
        <v>3</v>
      </c>
      <c r="E5380">
        <v>3</v>
      </c>
      <c r="G5380" s="31">
        <f>Table132[[#This Row],[nb win]]/Table132[[#This Row],[nb play]]</f>
        <v>1</v>
      </c>
      <c r="H5380" t="str">
        <f>MID(Table132[[#This Row],[ÉTAT]],VALUE(RIGHT(Table132[[#This Row],[next move]],1))+1+VALUE(LEFT(Table132[[#This Row],[next move]],1))*3,1)</f>
        <v>V</v>
      </c>
      <c r="I5380" t="str">
        <f>Table132[[#This Row],[ÉTAT]]&amp;Table132[[#This Row],[next move]]</f>
        <v>EVMMEMVEV22</v>
      </c>
    </row>
    <row r="5381" spans="2:9" x14ac:dyDescent="0.25">
      <c r="B5381" t="s">
        <v>661</v>
      </c>
      <c r="C5381" s="22" t="s">
        <v>31</v>
      </c>
      <c r="D5381">
        <v>4</v>
      </c>
      <c r="E5381">
        <v>4</v>
      </c>
      <c r="G5381" s="31">
        <f>Table132[[#This Row],[nb win]]/Table132[[#This Row],[nb play]]</f>
        <v>1</v>
      </c>
      <c r="H5381" t="str">
        <f>MID(Table132[[#This Row],[ÉTAT]],VALUE(RIGHT(Table132[[#This Row],[next move]],1))+1+VALUE(LEFT(Table132[[#This Row],[next move]],1))*3,1)</f>
        <v>V</v>
      </c>
      <c r="I5381" t="str">
        <f>Table132[[#This Row],[ÉTAT]]&amp;Table132[[#This Row],[next move]]</f>
        <v>EVMMEMEVV22</v>
      </c>
    </row>
    <row r="5382" spans="2:9" x14ac:dyDescent="0.25">
      <c r="B5382" t="s">
        <v>481</v>
      </c>
      <c r="C5382" s="22" t="s">
        <v>26</v>
      </c>
      <c r="D5382">
        <v>1</v>
      </c>
      <c r="G5382" s="25">
        <f>Table132[[#This Row],[nb win]]/Table132[[#This Row],[nb play]]</f>
        <v>0</v>
      </c>
      <c r="H5382" t="str">
        <f>MID(Table132[[#This Row],[ÉTAT]],VALUE(RIGHT(Table132[[#This Row],[next move]],1))+1+VALUE(LEFT(Table132[[#This Row],[next move]],1))*3,1)</f>
        <v>V</v>
      </c>
      <c r="I5382" t="str">
        <f>Table132[[#This Row],[ÉTAT]]&amp;Table132[[#This Row],[next move]]</f>
        <v>EVMMEEVVV01</v>
      </c>
    </row>
    <row r="5383" spans="2:9" x14ac:dyDescent="0.25">
      <c r="B5383" t="s">
        <v>481</v>
      </c>
      <c r="C5383" s="22" t="s">
        <v>35</v>
      </c>
      <c r="D5383">
        <v>1</v>
      </c>
      <c r="G5383" s="25">
        <f>Table132[[#This Row],[nb win]]/Table132[[#This Row],[nb play]]</f>
        <v>0</v>
      </c>
      <c r="H5383" t="str">
        <f>MID(Table132[[#This Row],[ÉTAT]],VALUE(RIGHT(Table132[[#This Row],[next move]],1))+1+VALUE(LEFT(Table132[[#This Row],[next move]],1))*3,1)</f>
        <v>V</v>
      </c>
      <c r="I5383" t="str">
        <f>Table132[[#This Row],[ÉTAT]]&amp;Table132[[#This Row],[next move]]</f>
        <v>EVMMEEVVV20</v>
      </c>
    </row>
    <row r="5384" spans="2:9" x14ac:dyDescent="0.25">
      <c r="B5384" t="s">
        <v>481</v>
      </c>
      <c r="C5384" s="22" t="s">
        <v>22</v>
      </c>
      <c r="D5384">
        <v>1</v>
      </c>
      <c r="G5384" s="25">
        <f>Table132[[#This Row],[nb win]]/Table132[[#This Row],[nb play]]</f>
        <v>0</v>
      </c>
      <c r="H5384" t="str">
        <f>MID(Table132[[#This Row],[ÉTAT]],VALUE(RIGHT(Table132[[#This Row],[next move]],1))+1+VALUE(LEFT(Table132[[#This Row],[next move]],1))*3,1)</f>
        <v>V</v>
      </c>
      <c r="I5384" t="str">
        <f>Table132[[#This Row],[ÉTAT]]&amp;Table132[[#This Row],[next move]]</f>
        <v>EVMMEEVVV21</v>
      </c>
    </row>
    <row r="5385" spans="2:9" x14ac:dyDescent="0.25">
      <c r="B5385" t="s">
        <v>2286</v>
      </c>
      <c r="C5385" s="22" t="s">
        <v>22</v>
      </c>
      <c r="D5385">
        <v>1</v>
      </c>
      <c r="E5385">
        <v>1</v>
      </c>
      <c r="G5385" s="31">
        <f>Table132[[#This Row],[nb win]]/Table132[[#This Row],[nb play]]</f>
        <v>1</v>
      </c>
      <c r="H5385" t="str">
        <f>MID(Table132[[#This Row],[ÉTAT]],VALUE(RIGHT(Table132[[#This Row],[next move]],1))+1+VALUE(LEFT(Table132[[#This Row],[next move]],1))*3,1)</f>
        <v>V</v>
      </c>
      <c r="I5385" t="str">
        <f>Table132[[#This Row],[ÉTAT]]&amp;Table132[[#This Row],[next move]]</f>
        <v>EVMMEEVVM21</v>
      </c>
    </row>
    <row r="5386" spans="2:9" x14ac:dyDescent="0.25">
      <c r="B5386" t="s">
        <v>2105</v>
      </c>
      <c r="C5386" s="22" t="s">
        <v>35</v>
      </c>
      <c r="D5386">
        <v>1</v>
      </c>
      <c r="G5386" s="25">
        <f>Table132[[#This Row],[nb win]]/Table132[[#This Row],[nb play]]</f>
        <v>0</v>
      </c>
      <c r="H5386" t="str">
        <f>MID(Table132[[#This Row],[ÉTAT]],VALUE(RIGHT(Table132[[#This Row],[next move]],1))+1+VALUE(LEFT(Table132[[#This Row],[next move]],1))*3,1)</f>
        <v>V</v>
      </c>
      <c r="I5386" t="str">
        <f>Table132[[#This Row],[ÉTAT]]&amp;Table132[[#This Row],[next move]]</f>
        <v>EVMMEEVEM20</v>
      </c>
    </row>
    <row r="5387" spans="2:9" x14ac:dyDescent="0.25">
      <c r="B5387" t="s">
        <v>2735</v>
      </c>
      <c r="C5387" s="22" t="s">
        <v>31</v>
      </c>
      <c r="D5387">
        <v>1</v>
      </c>
      <c r="E5387">
        <v>1</v>
      </c>
      <c r="G5387" s="25">
        <f>Table132[[#This Row],[nb win]]/Table132[[#This Row],[nb play]]</f>
        <v>1</v>
      </c>
      <c r="H5387" t="str">
        <f>MID(Table132[[#This Row],[ÉTAT]],VALUE(RIGHT(Table132[[#This Row],[next move]],1))+1+VALUE(LEFT(Table132[[#This Row],[next move]],1))*3,1)</f>
        <v>V</v>
      </c>
      <c r="I5387" t="str">
        <f>Table132[[#This Row],[ÉTAT]]&amp;Table132[[#This Row],[next move]]</f>
        <v>EVMMEEMVV22</v>
      </c>
    </row>
    <row r="5388" spans="2:9" x14ac:dyDescent="0.25">
      <c r="B5388" t="s">
        <v>290</v>
      </c>
      <c r="C5388" s="22" t="s">
        <v>26</v>
      </c>
      <c r="D5388">
        <v>1</v>
      </c>
      <c r="G5388" s="25">
        <f>Table132[[#This Row],[nb win]]/Table132[[#This Row],[nb play]]</f>
        <v>0</v>
      </c>
      <c r="H5388" t="str">
        <f>MID(Table132[[#This Row],[ÉTAT]],VALUE(RIGHT(Table132[[#This Row],[next move]],1))+1+VALUE(LEFT(Table132[[#This Row],[next move]],1))*3,1)</f>
        <v>V</v>
      </c>
      <c r="I5388" t="str">
        <f>Table132[[#This Row],[ÉTAT]]&amp;Table132[[#This Row],[next move]]</f>
        <v>EVMMEEMEV01</v>
      </c>
    </row>
    <row r="5389" spans="2:9" x14ac:dyDescent="0.25">
      <c r="B5389" t="s">
        <v>290</v>
      </c>
      <c r="C5389" s="22" t="s">
        <v>31</v>
      </c>
      <c r="D5389">
        <v>1</v>
      </c>
      <c r="G5389" s="25">
        <f>Table132[[#This Row],[nb win]]/Table132[[#This Row],[nb play]]</f>
        <v>0</v>
      </c>
      <c r="H5389" t="str">
        <f>MID(Table132[[#This Row],[ÉTAT]],VALUE(RIGHT(Table132[[#This Row],[next move]],1))+1+VALUE(LEFT(Table132[[#This Row],[next move]],1))*3,1)</f>
        <v>V</v>
      </c>
      <c r="I5389" t="str">
        <f>Table132[[#This Row],[ÉTAT]]&amp;Table132[[#This Row],[next move]]</f>
        <v>EVMMEEMEV22</v>
      </c>
    </row>
    <row r="5390" spans="2:9" x14ac:dyDescent="0.25">
      <c r="B5390" t="s">
        <v>927</v>
      </c>
      <c r="C5390" s="22" t="s">
        <v>26</v>
      </c>
      <c r="D5390">
        <v>2</v>
      </c>
      <c r="G5390" s="30">
        <f>Table132[[#This Row],[nb win]]/Table132[[#This Row],[nb play]]</f>
        <v>0</v>
      </c>
      <c r="H5390" t="str">
        <f>MID(Table132[[#This Row],[ÉTAT]],VALUE(RIGHT(Table132[[#This Row],[next move]],1))+1+VALUE(LEFT(Table132[[#This Row],[next move]],1))*3,1)</f>
        <v>V</v>
      </c>
      <c r="I5390" t="str">
        <f>Table132[[#This Row],[ÉTAT]]&amp;Table132[[#This Row],[next move]]</f>
        <v>EVMEVVVVV01</v>
      </c>
    </row>
    <row r="5391" spans="2:9" x14ac:dyDescent="0.25">
      <c r="B5391" t="s">
        <v>927</v>
      </c>
      <c r="C5391" s="22" t="s">
        <v>29</v>
      </c>
      <c r="D5391">
        <v>2</v>
      </c>
      <c r="G5391" s="30">
        <f>Table132[[#This Row],[nb win]]/Table132[[#This Row],[nb play]]</f>
        <v>0</v>
      </c>
      <c r="H5391" t="str">
        <f>MID(Table132[[#This Row],[ÉTAT]],VALUE(RIGHT(Table132[[#This Row],[next move]],1))+1+VALUE(LEFT(Table132[[#This Row],[next move]],1))*3,1)</f>
        <v>V</v>
      </c>
      <c r="I5391" t="str">
        <f>Table132[[#This Row],[ÉTAT]]&amp;Table132[[#This Row],[next move]]</f>
        <v>EVMEVVVVV11</v>
      </c>
    </row>
    <row r="5392" spans="2:9" x14ac:dyDescent="0.25">
      <c r="B5392" t="s">
        <v>927</v>
      </c>
      <c r="C5392" s="22" t="s">
        <v>28</v>
      </c>
      <c r="D5392">
        <v>4</v>
      </c>
      <c r="E5392">
        <v>2</v>
      </c>
      <c r="G5392" s="30">
        <f>Table132[[#This Row],[nb win]]/Table132[[#This Row],[nb play]]</f>
        <v>0.5</v>
      </c>
      <c r="H5392" t="str">
        <f>MID(Table132[[#This Row],[ÉTAT]],VALUE(RIGHT(Table132[[#This Row],[next move]],1))+1+VALUE(LEFT(Table132[[#This Row],[next move]],1))*3,1)</f>
        <v>V</v>
      </c>
      <c r="I5392" t="str">
        <f>Table132[[#This Row],[ÉTAT]]&amp;Table132[[#This Row],[next move]]</f>
        <v>EVMEVVVVV12</v>
      </c>
    </row>
    <row r="5393" spans="2:9" x14ac:dyDescent="0.25">
      <c r="B5393" t="s">
        <v>927</v>
      </c>
      <c r="C5393" s="22" t="s">
        <v>35</v>
      </c>
      <c r="D5393">
        <v>2</v>
      </c>
      <c r="G5393" s="30">
        <f>Table132[[#This Row],[nb win]]/Table132[[#This Row],[nb play]]</f>
        <v>0</v>
      </c>
      <c r="H5393" t="str">
        <f>MID(Table132[[#This Row],[ÉTAT]],VALUE(RIGHT(Table132[[#This Row],[next move]],1))+1+VALUE(LEFT(Table132[[#This Row],[next move]],1))*3,1)</f>
        <v>V</v>
      </c>
      <c r="I5393" t="str">
        <f>Table132[[#This Row],[ÉTAT]]&amp;Table132[[#This Row],[next move]]</f>
        <v>EVMEVVVVV20</v>
      </c>
    </row>
    <row r="5394" spans="2:9" x14ac:dyDescent="0.25">
      <c r="B5394" t="s">
        <v>927</v>
      </c>
      <c r="C5394" s="22" t="s">
        <v>22</v>
      </c>
      <c r="D5394">
        <v>2</v>
      </c>
      <c r="G5394" s="30">
        <f>Table132[[#This Row],[nb win]]/Table132[[#This Row],[nb play]]</f>
        <v>0</v>
      </c>
      <c r="H5394" t="str">
        <f>MID(Table132[[#This Row],[ÉTAT]],VALUE(RIGHT(Table132[[#This Row],[next move]],1))+1+VALUE(LEFT(Table132[[#This Row],[next move]],1))*3,1)</f>
        <v>V</v>
      </c>
      <c r="I5394" t="str">
        <f>Table132[[#This Row],[ÉTAT]]&amp;Table132[[#This Row],[next move]]</f>
        <v>EVMEVVVVV21</v>
      </c>
    </row>
    <row r="5395" spans="2:9" x14ac:dyDescent="0.25">
      <c r="B5395" t="s">
        <v>927</v>
      </c>
      <c r="C5395" s="22" t="s">
        <v>31</v>
      </c>
      <c r="D5395">
        <v>2</v>
      </c>
      <c r="G5395" s="30">
        <f>Table132[[#This Row],[nb win]]/Table132[[#This Row],[nb play]]</f>
        <v>0</v>
      </c>
      <c r="H5395" t="str">
        <f>MID(Table132[[#This Row],[ÉTAT]],VALUE(RIGHT(Table132[[#This Row],[next move]],1))+1+VALUE(LEFT(Table132[[#This Row],[next move]],1))*3,1)</f>
        <v>V</v>
      </c>
      <c r="I5395" t="str">
        <f>Table132[[#This Row],[ÉTAT]]&amp;Table132[[#This Row],[next move]]</f>
        <v>EVMEVVVVV22</v>
      </c>
    </row>
    <row r="5396" spans="2:9" x14ac:dyDescent="0.25">
      <c r="B5396" t="s">
        <v>1935</v>
      </c>
      <c r="C5396" s="22" t="s">
        <v>29</v>
      </c>
      <c r="D5396">
        <v>1</v>
      </c>
      <c r="G5396" s="25">
        <f>Table132[[#This Row],[nb win]]/Table132[[#This Row],[nb play]]</f>
        <v>0</v>
      </c>
      <c r="H5396" t="str">
        <f>MID(Table132[[#This Row],[ÉTAT]],VALUE(RIGHT(Table132[[#This Row],[next move]],1))+1+VALUE(LEFT(Table132[[#This Row],[next move]],1))*3,1)</f>
        <v>V</v>
      </c>
      <c r="I5396" t="str">
        <f>Table132[[#This Row],[ÉTAT]]&amp;Table132[[#This Row],[next move]]</f>
        <v>EVMEVVVVM11</v>
      </c>
    </row>
    <row r="5397" spans="2:9" x14ac:dyDescent="0.25">
      <c r="B5397" t="s">
        <v>1935</v>
      </c>
      <c r="C5397" s="22" t="s">
        <v>35</v>
      </c>
      <c r="D5397">
        <v>2</v>
      </c>
      <c r="E5397">
        <v>2</v>
      </c>
      <c r="G5397" s="31">
        <f>Table132[[#This Row],[nb win]]/Table132[[#This Row],[nb play]]</f>
        <v>1</v>
      </c>
      <c r="H5397" t="str">
        <f>MID(Table132[[#This Row],[ÉTAT]],VALUE(RIGHT(Table132[[#This Row],[next move]],1))+1+VALUE(LEFT(Table132[[#This Row],[next move]],1))*3,1)</f>
        <v>V</v>
      </c>
      <c r="I5397" t="str">
        <f>Table132[[#This Row],[ÉTAT]]&amp;Table132[[#This Row],[next move]]</f>
        <v>EVMEVVVVM20</v>
      </c>
    </row>
    <row r="5398" spans="2:9" x14ac:dyDescent="0.25">
      <c r="B5398" t="s">
        <v>2134</v>
      </c>
      <c r="C5398" s="22" t="s">
        <v>26</v>
      </c>
      <c r="D5398">
        <v>1</v>
      </c>
      <c r="G5398" s="25">
        <f>Table132[[#This Row],[nb win]]/Table132[[#This Row],[nb play]]</f>
        <v>0</v>
      </c>
      <c r="H5398" t="str">
        <f>MID(Table132[[#This Row],[ÉTAT]],VALUE(RIGHT(Table132[[#This Row],[next move]],1))+1+VALUE(LEFT(Table132[[#This Row],[next move]],1))*3,1)</f>
        <v>V</v>
      </c>
      <c r="I5398" t="str">
        <f>Table132[[#This Row],[ÉTAT]]&amp;Table132[[#This Row],[next move]]</f>
        <v>EVMEVVVMV01</v>
      </c>
    </row>
    <row r="5399" spans="2:9" x14ac:dyDescent="0.25">
      <c r="B5399" t="s">
        <v>2134</v>
      </c>
      <c r="C5399" s="22" t="s">
        <v>29</v>
      </c>
      <c r="D5399">
        <v>1</v>
      </c>
      <c r="G5399" s="25">
        <f>Table132[[#This Row],[nb win]]/Table132[[#This Row],[nb play]]</f>
        <v>0</v>
      </c>
      <c r="H5399" t="str">
        <f>MID(Table132[[#This Row],[ÉTAT]],VALUE(RIGHT(Table132[[#This Row],[next move]],1))+1+VALUE(LEFT(Table132[[#This Row],[next move]],1))*3,1)</f>
        <v>V</v>
      </c>
      <c r="I5399" t="str">
        <f>Table132[[#This Row],[ÉTAT]]&amp;Table132[[#This Row],[next move]]</f>
        <v>EVMEVVVMV11</v>
      </c>
    </row>
    <row r="5400" spans="2:9" x14ac:dyDescent="0.25">
      <c r="B5400" t="s">
        <v>2134</v>
      </c>
      <c r="C5400" s="22" t="s">
        <v>35</v>
      </c>
      <c r="D5400">
        <v>2</v>
      </c>
      <c r="E5400">
        <v>2</v>
      </c>
      <c r="G5400" s="31">
        <f>Table132[[#This Row],[nb win]]/Table132[[#This Row],[nb play]]</f>
        <v>1</v>
      </c>
      <c r="H5400" t="str">
        <f>MID(Table132[[#This Row],[ÉTAT]],VALUE(RIGHT(Table132[[#This Row],[next move]],1))+1+VALUE(LEFT(Table132[[#This Row],[next move]],1))*3,1)</f>
        <v>V</v>
      </c>
      <c r="I5400" t="str">
        <f>Table132[[#This Row],[ÉTAT]]&amp;Table132[[#This Row],[next move]]</f>
        <v>EVMEVVVMV20</v>
      </c>
    </row>
    <row r="5401" spans="2:9" x14ac:dyDescent="0.25">
      <c r="B5401" t="s">
        <v>3090</v>
      </c>
      <c r="C5401" s="22" t="s">
        <v>29</v>
      </c>
      <c r="D5401">
        <v>1</v>
      </c>
      <c r="G5401" s="30">
        <f>Table132[[#This Row],[nb win]]/Table132[[#This Row],[nb play]]</f>
        <v>0</v>
      </c>
      <c r="H5401" t="str">
        <f>MID(Table132[[#This Row],[ÉTAT]],VALUE(RIGHT(Table132[[#This Row],[next move]],1))+1+VALUE(LEFT(Table132[[#This Row],[next move]],1))*3,1)</f>
        <v>V</v>
      </c>
      <c r="I5401" t="str">
        <f>Table132[[#This Row],[ÉTAT]]&amp;Table132[[#This Row],[next move]]</f>
        <v>EVMEVVVME11</v>
      </c>
    </row>
    <row r="5402" spans="2:9" x14ac:dyDescent="0.25">
      <c r="B5402" t="s">
        <v>3514</v>
      </c>
      <c r="C5402" s="22" t="s">
        <v>29</v>
      </c>
      <c r="D5402">
        <v>1</v>
      </c>
      <c r="E5402">
        <v>1</v>
      </c>
      <c r="G5402" s="31">
        <f>Table132[[#This Row],[nb win]]/Table132[[#This Row],[nb play]]</f>
        <v>1</v>
      </c>
      <c r="H5402" t="str">
        <f>MID(Table132[[#This Row],[ÉTAT]],VALUE(RIGHT(Table132[[#This Row],[next move]],1))+1+VALUE(LEFT(Table132[[#This Row],[next move]],1))*3,1)</f>
        <v>V</v>
      </c>
      <c r="I5402" t="str">
        <f>Table132[[#This Row],[ÉTAT]]&amp;Table132[[#This Row],[next move]]</f>
        <v>EVMEVVMVV11</v>
      </c>
    </row>
    <row r="5403" spans="2:9" x14ac:dyDescent="0.25">
      <c r="B5403" t="s">
        <v>1222</v>
      </c>
      <c r="C5403" s="22" t="s">
        <v>29</v>
      </c>
      <c r="D5403">
        <v>4</v>
      </c>
      <c r="E5403">
        <v>4</v>
      </c>
      <c r="G5403" s="31">
        <f>Table132[[#This Row],[nb win]]/Table132[[#This Row],[nb play]]</f>
        <v>1</v>
      </c>
      <c r="H5403" t="str">
        <f>MID(Table132[[#This Row],[ÉTAT]],VALUE(RIGHT(Table132[[#This Row],[next move]],1))+1+VALUE(LEFT(Table132[[#This Row],[next move]],1))*3,1)</f>
        <v>V</v>
      </c>
      <c r="I5403" t="str">
        <f>Table132[[#This Row],[ÉTAT]]&amp;Table132[[#This Row],[next move]]</f>
        <v>EVMEVVMME11</v>
      </c>
    </row>
    <row r="5404" spans="2:9" x14ac:dyDescent="0.25">
      <c r="B5404" t="s">
        <v>1092</v>
      </c>
      <c r="C5404" s="22" t="s">
        <v>26</v>
      </c>
      <c r="D5404">
        <v>2</v>
      </c>
      <c r="G5404" s="30">
        <f>Table132[[#This Row],[nb win]]/Table132[[#This Row],[nb play]]</f>
        <v>0</v>
      </c>
      <c r="H5404" t="str">
        <f>MID(Table132[[#This Row],[ÉTAT]],VALUE(RIGHT(Table132[[#This Row],[next move]],1))+1+VALUE(LEFT(Table132[[#This Row],[next move]],1))*3,1)</f>
        <v>V</v>
      </c>
      <c r="I5404" t="str">
        <f>Table132[[#This Row],[ÉTAT]]&amp;Table132[[#This Row],[next move]]</f>
        <v>EVMEVVMEV01</v>
      </c>
    </row>
    <row r="5405" spans="2:9" x14ac:dyDescent="0.25">
      <c r="B5405" t="s">
        <v>1092</v>
      </c>
      <c r="C5405" s="22" t="s">
        <v>28</v>
      </c>
      <c r="D5405">
        <v>1</v>
      </c>
      <c r="E5405">
        <v>1</v>
      </c>
      <c r="G5405" s="31">
        <f>Table132[[#This Row],[nb win]]/Table132[[#This Row],[nb play]]</f>
        <v>1</v>
      </c>
      <c r="H5405" t="str">
        <f>MID(Table132[[#This Row],[ÉTAT]],VALUE(RIGHT(Table132[[#This Row],[next move]],1))+1+VALUE(LEFT(Table132[[#This Row],[next move]],1))*3,1)</f>
        <v>V</v>
      </c>
      <c r="I5405" t="str">
        <f>Table132[[#This Row],[ÉTAT]]&amp;Table132[[#This Row],[next move]]</f>
        <v>EVMEVVMEV12</v>
      </c>
    </row>
    <row r="5406" spans="2:9" x14ac:dyDescent="0.25">
      <c r="B5406" t="s">
        <v>913</v>
      </c>
      <c r="C5406" s="22" t="s">
        <v>26</v>
      </c>
      <c r="D5406">
        <v>5</v>
      </c>
      <c r="E5406">
        <v>5</v>
      </c>
      <c r="G5406" s="31">
        <f>Table132[[#This Row],[nb win]]/Table132[[#This Row],[nb play]]</f>
        <v>1</v>
      </c>
      <c r="H5406" t="str">
        <f>MID(Table132[[#This Row],[ÉTAT]],VALUE(RIGHT(Table132[[#This Row],[next move]],1))+1+VALUE(LEFT(Table132[[#This Row],[next move]],1))*3,1)</f>
        <v>V</v>
      </c>
      <c r="I5406" t="str">
        <f>Table132[[#This Row],[ÉTAT]]&amp;Table132[[#This Row],[next move]]</f>
        <v>EVMEVVMEM01</v>
      </c>
    </row>
    <row r="5407" spans="2:9" x14ac:dyDescent="0.25">
      <c r="B5407" t="s">
        <v>1616</v>
      </c>
      <c r="C5407" s="22" t="s">
        <v>26</v>
      </c>
      <c r="D5407">
        <v>1</v>
      </c>
      <c r="G5407" s="25">
        <f>Table132[[#This Row],[nb win]]/Table132[[#This Row],[nb play]]</f>
        <v>0</v>
      </c>
      <c r="H5407" t="str">
        <f>MID(Table132[[#This Row],[ÉTAT]],VALUE(RIGHT(Table132[[#This Row],[next move]],1))+1+VALUE(LEFT(Table132[[#This Row],[next move]],1))*3,1)</f>
        <v>V</v>
      </c>
      <c r="I5407" t="str">
        <f>Table132[[#This Row],[ÉTAT]]&amp;Table132[[#This Row],[next move]]</f>
        <v>EVMEVMVVV01</v>
      </c>
    </row>
    <row r="5408" spans="2:9" x14ac:dyDescent="0.25">
      <c r="B5408" t="s">
        <v>1616</v>
      </c>
      <c r="C5408" s="22" t="s">
        <v>29</v>
      </c>
      <c r="D5408">
        <v>2</v>
      </c>
      <c r="E5408">
        <v>2</v>
      </c>
      <c r="G5408" s="31">
        <f>Table132[[#This Row],[nb win]]/Table132[[#This Row],[nb play]]</f>
        <v>1</v>
      </c>
      <c r="H5408" t="str">
        <f>MID(Table132[[#This Row],[ÉTAT]],VALUE(RIGHT(Table132[[#This Row],[next move]],1))+1+VALUE(LEFT(Table132[[#This Row],[next move]],1))*3,1)</f>
        <v>V</v>
      </c>
      <c r="I5408" t="str">
        <f>Table132[[#This Row],[ÉTAT]]&amp;Table132[[#This Row],[next move]]</f>
        <v>EVMEVMVVV11</v>
      </c>
    </row>
    <row r="5409" spans="2:9" x14ac:dyDescent="0.25">
      <c r="B5409" t="s">
        <v>1616</v>
      </c>
      <c r="C5409" s="22" t="s">
        <v>35</v>
      </c>
      <c r="D5409">
        <v>2</v>
      </c>
      <c r="E5409">
        <v>1</v>
      </c>
      <c r="G5409" s="25">
        <f>Table132[[#This Row],[nb win]]/Table132[[#This Row],[nb play]]</f>
        <v>0.5</v>
      </c>
      <c r="H5409" t="str">
        <f>MID(Table132[[#This Row],[ÉTAT]],VALUE(RIGHT(Table132[[#This Row],[next move]],1))+1+VALUE(LEFT(Table132[[#This Row],[next move]],1))*3,1)</f>
        <v>V</v>
      </c>
      <c r="I5409" t="str">
        <f>Table132[[#This Row],[ÉTAT]]&amp;Table132[[#This Row],[next move]]</f>
        <v>EVMEVMVVV20</v>
      </c>
    </row>
    <row r="5410" spans="2:9" x14ac:dyDescent="0.25">
      <c r="B5410" t="s">
        <v>3419</v>
      </c>
      <c r="C5410" s="22" t="s">
        <v>26</v>
      </c>
      <c r="D5410">
        <v>1</v>
      </c>
      <c r="G5410" s="30">
        <f>Table132[[#This Row],[nb win]]/Table132[[#This Row],[nb play]]</f>
        <v>0</v>
      </c>
      <c r="H5410" t="str">
        <f>MID(Table132[[#This Row],[ÉTAT]],VALUE(RIGHT(Table132[[#This Row],[next move]],1))+1+VALUE(LEFT(Table132[[#This Row],[next move]],1))*3,1)</f>
        <v>V</v>
      </c>
      <c r="I5410" t="str">
        <f>Table132[[#This Row],[ÉTAT]]&amp;Table132[[#This Row],[next move]]</f>
        <v>EVMEVMVVE01</v>
      </c>
    </row>
    <row r="5411" spans="2:9" x14ac:dyDescent="0.25">
      <c r="B5411" t="s">
        <v>3419</v>
      </c>
      <c r="C5411" s="22" t="s">
        <v>29</v>
      </c>
      <c r="D5411">
        <v>1</v>
      </c>
      <c r="G5411" s="30">
        <f>Table132[[#This Row],[nb win]]/Table132[[#This Row],[nb play]]</f>
        <v>0</v>
      </c>
      <c r="H5411" t="str">
        <f>MID(Table132[[#This Row],[ÉTAT]],VALUE(RIGHT(Table132[[#This Row],[next move]],1))+1+VALUE(LEFT(Table132[[#This Row],[next move]],1))*3,1)</f>
        <v>V</v>
      </c>
      <c r="I5411" t="str">
        <f>Table132[[#This Row],[ÉTAT]]&amp;Table132[[#This Row],[next move]]</f>
        <v>EVMEVMVVE11</v>
      </c>
    </row>
    <row r="5412" spans="2:9" x14ac:dyDescent="0.25">
      <c r="B5412" t="s">
        <v>73</v>
      </c>
      <c r="C5412" s="22" t="s">
        <v>29</v>
      </c>
      <c r="D5412">
        <v>1</v>
      </c>
      <c r="E5412">
        <v>1</v>
      </c>
      <c r="G5412" s="31">
        <f>Table132[[#This Row],[nb win]]/Table132[[#This Row],[nb play]]</f>
        <v>1</v>
      </c>
      <c r="H5412" t="str">
        <f>MID(Table132[[#This Row],[ÉTAT]],VALUE(RIGHT(Table132[[#This Row],[next move]],1))+1+VALUE(LEFT(Table132[[#This Row],[next move]],1))*3,1)</f>
        <v>V</v>
      </c>
      <c r="I5412" t="str">
        <f>Table132[[#This Row],[ÉTAT]]&amp;Table132[[#This Row],[next move]]</f>
        <v>EVMEVMMVE11</v>
      </c>
    </row>
    <row r="5413" spans="2:9" x14ac:dyDescent="0.25">
      <c r="B5413" t="s">
        <v>73</v>
      </c>
      <c r="C5413" s="22" t="s">
        <v>22</v>
      </c>
      <c r="D5413">
        <v>3</v>
      </c>
      <c r="E5413">
        <v>1</v>
      </c>
      <c r="G5413" s="30">
        <f>Table132[[#This Row],[nb win]]/Table132[[#This Row],[nb play]]</f>
        <v>0.33333333333333331</v>
      </c>
      <c r="H5413" t="str">
        <f>MID(Table132[[#This Row],[ÉTAT]],VALUE(RIGHT(Table132[[#This Row],[next move]],1))+1+VALUE(LEFT(Table132[[#This Row],[next move]],1))*3,1)</f>
        <v>V</v>
      </c>
      <c r="I5413" t="str">
        <f>Table132[[#This Row],[ÉTAT]]&amp;Table132[[#This Row],[next move]]</f>
        <v>EVMEVMMVE21</v>
      </c>
    </row>
    <row r="5414" spans="2:9" x14ac:dyDescent="0.25">
      <c r="B5414" t="s">
        <v>2681</v>
      </c>
      <c r="C5414" s="22" t="s">
        <v>31</v>
      </c>
      <c r="D5414">
        <v>1</v>
      </c>
      <c r="E5414">
        <v>1</v>
      </c>
      <c r="G5414" s="25">
        <f>Table132[[#This Row],[nb win]]/Table132[[#This Row],[nb play]]</f>
        <v>1</v>
      </c>
      <c r="H5414" t="str">
        <f>MID(Table132[[#This Row],[ÉTAT]],VALUE(RIGHT(Table132[[#This Row],[next move]],1))+1+VALUE(LEFT(Table132[[#This Row],[next move]],1))*3,1)</f>
        <v>V</v>
      </c>
      <c r="I5414" t="str">
        <f>Table132[[#This Row],[ÉTAT]]&amp;Table132[[#This Row],[next move]]</f>
        <v>EVMEVMMEV22</v>
      </c>
    </row>
    <row r="5415" spans="2:9" x14ac:dyDescent="0.25">
      <c r="B5415" t="s">
        <v>3386</v>
      </c>
      <c r="C5415" s="22" t="s">
        <v>29</v>
      </c>
      <c r="D5415">
        <v>1</v>
      </c>
      <c r="E5415">
        <v>1</v>
      </c>
      <c r="G5415" s="31">
        <f>Table132[[#This Row],[nb win]]/Table132[[#This Row],[nb play]]</f>
        <v>1</v>
      </c>
      <c r="H5415" t="str">
        <f>MID(Table132[[#This Row],[ÉTAT]],VALUE(RIGHT(Table132[[#This Row],[next move]],1))+1+VALUE(LEFT(Table132[[#This Row],[next move]],1))*3,1)</f>
        <v>V</v>
      </c>
      <c r="I5415" t="str">
        <f>Table132[[#This Row],[ÉTAT]]&amp;Table132[[#This Row],[next move]]</f>
        <v>EVMEVMMEE11</v>
      </c>
    </row>
    <row r="5416" spans="2:9" x14ac:dyDescent="0.25">
      <c r="B5416" t="s">
        <v>1052</v>
      </c>
      <c r="C5416" s="22" t="s">
        <v>26</v>
      </c>
      <c r="D5416">
        <v>4</v>
      </c>
      <c r="G5416" s="30">
        <f>Table132[[#This Row],[nb win]]/Table132[[#This Row],[nb play]]</f>
        <v>0</v>
      </c>
      <c r="H5416" t="str">
        <f>MID(Table132[[#This Row],[ÉTAT]],VALUE(RIGHT(Table132[[#This Row],[next move]],1))+1+VALUE(LEFT(Table132[[#This Row],[next move]],1))*3,1)</f>
        <v>V</v>
      </c>
      <c r="I5416" t="str">
        <f>Table132[[#This Row],[ÉTAT]]&amp;Table132[[#This Row],[next move]]</f>
        <v>EVMEVEVVM01</v>
      </c>
    </row>
    <row r="5417" spans="2:9" x14ac:dyDescent="0.25">
      <c r="B5417" t="s">
        <v>1052</v>
      </c>
      <c r="C5417" s="22" t="s">
        <v>29</v>
      </c>
      <c r="D5417">
        <v>1</v>
      </c>
      <c r="E5417">
        <v>1</v>
      </c>
      <c r="G5417" s="25">
        <f>Table132[[#This Row],[nb win]]/Table132[[#This Row],[nb play]]</f>
        <v>1</v>
      </c>
      <c r="H5417" t="str">
        <f>MID(Table132[[#This Row],[ÉTAT]],VALUE(RIGHT(Table132[[#This Row],[next move]],1))+1+VALUE(LEFT(Table132[[#This Row],[next move]],1))*3,1)</f>
        <v>V</v>
      </c>
      <c r="I5417" t="str">
        <f>Table132[[#This Row],[ÉTAT]]&amp;Table132[[#This Row],[next move]]</f>
        <v>EVMEVEVVM11</v>
      </c>
    </row>
    <row r="5418" spans="2:9" x14ac:dyDescent="0.25">
      <c r="B5418" t="s">
        <v>1052</v>
      </c>
      <c r="C5418" s="22" t="s">
        <v>35</v>
      </c>
      <c r="D5418">
        <v>2</v>
      </c>
      <c r="G5418" s="25">
        <f>Table132[[#This Row],[nb win]]/Table132[[#This Row],[nb play]]</f>
        <v>0</v>
      </c>
      <c r="H5418" t="str">
        <f>MID(Table132[[#This Row],[ÉTAT]],VALUE(RIGHT(Table132[[#This Row],[next move]],1))+1+VALUE(LEFT(Table132[[#This Row],[next move]],1))*3,1)</f>
        <v>V</v>
      </c>
      <c r="I5418" t="str">
        <f>Table132[[#This Row],[ÉTAT]]&amp;Table132[[#This Row],[next move]]</f>
        <v>EVMEVEVVM20</v>
      </c>
    </row>
    <row r="5419" spans="2:9" x14ac:dyDescent="0.25">
      <c r="B5419" t="s">
        <v>2372</v>
      </c>
      <c r="C5419" s="22" t="s">
        <v>29</v>
      </c>
      <c r="D5419">
        <v>1</v>
      </c>
      <c r="E5419">
        <v>1</v>
      </c>
      <c r="G5419" s="25">
        <f>Table132[[#This Row],[nb win]]/Table132[[#This Row],[nb play]]</f>
        <v>1</v>
      </c>
      <c r="H5419" t="str">
        <f>MID(Table132[[#This Row],[ÉTAT]],VALUE(RIGHT(Table132[[#This Row],[next move]],1))+1+VALUE(LEFT(Table132[[#This Row],[next move]],1))*3,1)</f>
        <v>V</v>
      </c>
      <c r="I5419" t="str">
        <f>Table132[[#This Row],[ÉTAT]]&amp;Table132[[#This Row],[next move]]</f>
        <v>EVMEVEMVV11</v>
      </c>
    </row>
    <row r="5420" spans="2:9" x14ac:dyDescent="0.25">
      <c r="B5420" t="s">
        <v>3180</v>
      </c>
      <c r="C5420" s="22" t="s">
        <v>29</v>
      </c>
      <c r="D5420">
        <v>1</v>
      </c>
      <c r="E5420">
        <v>1</v>
      </c>
      <c r="G5420" s="31">
        <f>Table132[[#This Row],[nb win]]/Table132[[#This Row],[nb play]]</f>
        <v>1</v>
      </c>
      <c r="H5420" t="str">
        <f>MID(Table132[[#This Row],[ÉTAT]],VALUE(RIGHT(Table132[[#This Row],[next move]],1))+1+VALUE(LEFT(Table132[[#This Row],[next move]],1))*3,1)</f>
        <v>V</v>
      </c>
      <c r="I5420" t="str">
        <f>Table132[[#This Row],[ÉTAT]]&amp;Table132[[#This Row],[next move]]</f>
        <v>EVMEVEMVM11</v>
      </c>
    </row>
    <row r="5421" spans="2:9" x14ac:dyDescent="0.25">
      <c r="B5421" t="s">
        <v>3509</v>
      </c>
      <c r="C5421" s="22" t="s">
        <v>26</v>
      </c>
      <c r="D5421">
        <v>1</v>
      </c>
      <c r="G5421" s="30">
        <f>Table132[[#This Row],[nb win]]/Table132[[#This Row],[nb play]]</f>
        <v>0</v>
      </c>
      <c r="H5421" t="str">
        <f>MID(Table132[[#This Row],[ÉTAT]],VALUE(RIGHT(Table132[[#This Row],[next move]],1))+1+VALUE(LEFT(Table132[[#This Row],[next move]],1))*3,1)</f>
        <v>V</v>
      </c>
      <c r="I5421" t="str">
        <f>Table132[[#This Row],[ÉTAT]]&amp;Table132[[#This Row],[next move]]</f>
        <v>EVMEVEMEM01</v>
      </c>
    </row>
    <row r="5422" spans="2:9" x14ac:dyDescent="0.25">
      <c r="B5422" t="s">
        <v>529</v>
      </c>
      <c r="C5422" s="22" t="s">
        <v>26</v>
      </c>
      <c r="D5422">
        <v>4</v>
      </c>
      <c r="G5422" s="30">
        <f>Table132[[#This Row],[nb win]]/Table132[[#This Row],[nb play]]</f>
        <v>0</v>
      </c>
      <c r="H5422" t="str">
        <f>MID(Table132[[#This Row],[ÉTAT]],VALUE(RIGHT(Table132[[#This Row],[next move]],1))+1+VALUE(LEFT(Table132[[#This Row],[next move]],1))*3,1)</f>
        <v>V</v>
      </c>
      <c r="I5422" t="str">
        <f>Table132[[#This Row],[ÉTAT]]&amp;Table132[[#This Row],[next move]]</f>
        <v>EVMEMVVVV01</v>
      </c>
    </row>
    <row r="5423" spans="2:9" x14ac:dyDescent="0.25">
      <c r="B5423" t="s">
        <v>529</v>
      </c>
      <c r="C5423" s="22" t="s">
        <v>28</v>
      </c>
      <c r="D5423">
        <v>4</v>
      </c>
      <c r="E5423">
        <v>3</v>
      </c>
      <c r="G5423" s="31">
        <f>Table132[[#This Row],[nb win]]/Table132[[#This Row],[nb play]]</f>
        <v>0.75</v>
      </c>
      <c r="H5423" t="str">
        <f>MID(Table132[[#This Row],[ÉTAT]],VALUE(RIGHT(Table132[[#This Row],[next move]],1))+1+VALUE(LEFT(Table132[[#This Row],[next move]],1))*3,1)</f>
        <v>V</v>
      </c>
      <c r="I5423" t="str">
        <f>Table132[[#This Row],[ÉTAT]]&amp;Table132[[#This Row],[next move]]</f>
        <v>EVMEMVVVV12</v>
      </c>
    </row>
    <row r="5424" spans="2:9" x14ac:dyDescent="0.25">
      <c r="B5424" t="s">
        <v>529</v>
      </c>
      <c r="C5424" s="22" t="s">
        <v>35</v>
      </c>
      <c r="D5424">
        <v>5</v>
      </c>
      <c r="E5424">
        <v>5</v>
      </c>
      <c r="G5424" s="31">
        <f>Table132[[#This Row],[nb win]]/Table132[[#This Row],[nb play]]</f>
        <v>1</v>
      </c>
      <c r="H5424" t="str">
        <f>MID(Table132[[#This Row],[ÉTAT]],VALUE(RIGHT(Table132[[#This Row],[next move]],1))+1+VALUE(LEFT(Table132[[#This Row],[next move]],1))*3,1)</f>
        <v>V</v>
      </c>
      <c r="I5424" t="str">
        <f>Table132[[#This Row],[ÉTAT]]&amp;Table132[[#This Row],[next move]]</f>
        <v>EVMEMVVVV20</v>
      </c>
    </row>
    <row r="5425" spans="2:9" x14ac:dyDescent="0.25">
      <c r="B5425" t="s">
        <v>529</v>
      </c>
      <c r="C5425" s="22" t="s">
        <v>31</v>
      </c>
      <c r="D5425">
        <v>4</v>
      </c>
      <c r="E5425">
        <v>1</v>
      </c>
      <c r="G5425" s="25">
        <f>Table132[[#This Row],[nb win]]/Table132[[#This Row],[nb play]]</f>
        <v>0.25</v>
      </c>
      <c r="H5425" t="str">
        <f>MID(Table132[[#This Row],[ÉTAT]],VALUE(RIGHT(Table132[[#This Row],[next move]],1))+1+VALUE(LEFT(Table132[[#This Row],[next move]],1))*3,1)</f>
        <v>V</v>
      </c>
      <c r="I5425" t="str">
        <f>Table132[[#This Row],[ÉTAT]]&amp;Table132[[#This Row],[next move]]</f>
        <v>EVMEMVVVV22</v>
      </c>
    </row>
    <row r="5426" spans="2:9" x14ac:dyDescent="0.25">
      <c r="B5426" t="s">
        <v>2876</v>
      </c>
      <c r="C5426" s="22" t="s">
        <v>26</v>
      </c>
      <c r="D5426">
        <v>1</v>
      </c>
      <c r="E5426">
        <v>1</v>
      </c>
      <c r="G5426" s="25">
        <f>Table132[[#This Row],[nb win]]/Table132[[#This Row],[nb play]]</f>
        <v>1</v>
      </c>
      <c r="H5426" t="str">
        <f>MID(Table132[[#This Row],[ÉTAT]],VALUE(RIGHT(Table132[[#This Row],[next move]],1))+1+VALUE(LEFT(Table132[[#This Row],[next move]],1))*3,1)</f>
        <v>V</v>
      </c>
      <c r="I5426" t="str">
        <f>Table132[[#This Row],[ÉTAT]]&amp;Table132[[#This Row],[next move]]</f>
        <v>EVMEMVVME01</v>
      </c>
    </row>
    <row r="5427" spans="2:9" x14ac:dyDescent="0.25">
      <c r="B5427" t="s">
        <v>835</v>
      </c>
      <c r="C5427" s="22" t="s">
        <v>26</v>
      </c>
      <c r="D5427">
        <v>4</v>
      </c>
      <c r="E5427">
        <v>1</v>
      </c>
      <c r="G5427" s="25">
        <f>Table132[[#This Row],[nb win]]/Table132[[#This Row],[nb play]]</f>
        <v>0.25</v>
      </c>
      <c r="H5427" t="str">
        <f>MID(Table132[[#This Row],[ÉTAT]],VALUE(RIGHT(Table132[[#This Row],[next move]],1))+1+VALUE(LEFT(Table132[[#This Row],[next move]],1))*3,1)</f>
        <v>V</v>
      </c>
      <c r="I5427" t="str">
        <f>Table132[[#This Row],[ÉTAT]]&amp;Table132[[#This Row],[next move]]</f>
        <v>EVMEMVVEM01</v>
      </c>
    </row>
    <row r="5428" spans="2:9" x14ac:dyDescent="0.25">
      <c r="B5428" t="s">
        <v>835</v>
      </c>
      <c r="C5428" s="22" t="s">
        <v>28</v>
      </c>
      <c r="D5428">
        <v>3</v>
      </c>
      <c r="E5428">
        <v>3</v>
      </c>
      <c r="G5428" s="31">
        <f>Table132[[#This Row],[nb win]]/Table132[[#This Row],[nb play]]</f>
        <v>1</v>
      </c>
      <c r="H5428" t="str">
        <f>MID(Table132[[#This Row],[ÉTAT]],VALUE(RIGHT(Table132[[#This Row],[next move]],1))+1+VALUE(LEFT(Table132[[#This Row],[next move]],1))*3,1)</f>
        <v>V</v>
      </c>
      <c r="I5428" t="str">
        <f>Table132[[#This Row],[ÉTAT]]&amp;Table132[[#This Row],[next move]]</f>
        <v>EVMEMVVEM12</v>
      </c>
    </row>
    <row r="5429" spans="2:9" x14ac:dyDescent="0.25">
      <c r="B5429" t="s">
        <v>2655</v>
      </c>
      <c r="C5429" s="22" t="s">
        <v>35</v>
      </c>
      <c r="D5429">
        <v>6</v>
      </c>
      <c r="E5429">
        <v>6</v>
      </c>
      <c r="G5429" s="31">
        <f>Table132[[#This Row],[nb win]]/Table132[[#This Row],[nb play]]</f>
        <v>1</v>
      </c>
      <c r="H5429" t="str">
        <f>MID(Table132[[#This Row],[ÉTAT]],VALUE(RIGHT(Table132[[#This Row],[next move]],1))+1+VALUE(LEFT(Table132[[#This Row],[next move]],1))*3,1)</f>
        <v>V</v>
      </c>
      <c r="I5429" t="str">
        <f>Table132[[#This Row],[ÉTAT]]&amp;Table132[[#This Row],[next move]]</f>
        <v>EVMEMMVVE20</v>
      </c>
    </row>
    <row r="5430" spans="2:9" x14ac:dyDescent="0.25">
      <c r="B5430" t="s">
        <v>324</v>
      </c>
      <c r="C5430" s="22" t="s">
        <v>26</v>
      </c>
      <c r="D5430">
        <v>2</v>
      </c>
      <c r="E5430">
        <v>1</v>
      </c>
      <c r="G5430" s="30">
        <f>Table132[[#This Row],[nb win]]/Table132[[#This Row],[nb play]]</f>
        <v>0.5</v>
      </c>
      <c r="H5430" t="str">
        <f>MID(Table132[[#This Row],[ÉTAT]],VALUE(RIGHT(Table132[[#This Row],[next move]],1))+1+VALUE(LEFT(Table132[[#This Row],[next move]],1))*3,1)</f>
        <v>V</v>
      </c>
      <c r="I5430" t="str">
        <f>Table132[[#This Row],[ÉTAT]]&amp;Table132[[#This Row],[next move]]</f>
        <v>EVMEMMVEV01</v>
      </c>
    </row>
    <row r="5431" spans="2:9" x14ac:dyDescent="0.25">
      <c r="B5431" t="s">
        <v>2771</v>
      </c>
      <c r="C5431" s="22" t="s">
        <v>26</v>
      </c>
      <c r="D5431">
        <v>1</v>
      </c>
      <c r="G5431" s="25">
        <f>Table132[[#This Row],[nb win]]/Table132[[#This Row],[nb play]]</f>
        <v>0</v>
      </c>
      <c r="H5431" t="str">
        <f>MID(Table132[[#This Row],[ÉTAT]],VALUE(RIGHT(Table132[[#This Row],[next move]],1))+1+VALUE(LEFT(Table132[[#This Row],[next move]],1))*3,1)</f>
        <v>V</v>
      </c>
      <c r="I5431" t="str">
        <f>Table132[[#This Row],[ÉTAT]]&amp;Table132[[#This Row],[next move]]</f>
        <v>EVMEMEVVV01</v>
      </c>
    </row>
    <row r="5432" spans="2:9" x14ac:dyDescent="0.25">
      <c r="B5432" t="s">
        <v>2771</v>
      </c>
      <c r="C5432" s="22" t="s">
        <v>35</v>
      </c>
      <c r="D5432">
        <v>2</v>
      </c>
      <c r="E5432">
        <v>2</v>
      </c>
      <c r="G5432" s="31">
        <f>Table132[[#This Row],[nb win]]/Table132[[#This Row],[nb play]]</f>
        <v>1</v>
      </c>
      <c r="H5432" t="str">
        <f>MID(Table132[[#This Row],[ÉTAT]],VALUE(RIGHT(Table132[[#This Row],[next move]],1))+1+VALUE(LEFT(Table132[[#This Row],[next move]],1))*3,1)</f>
        <v>V</v>
      </c>
      <c r="I5432" t="str">
        <f>Table132[[#This Row],[ÉTAT]]&amp;Table132[[#This Row],[next move]]</f>
        <v>EVMEMEVVV20</v>
      </c>
    </row>
    <row r="5433" spans="2:9" x14ac:dyDescent="0.25">
      <c r="B5433" t="s">
        <v>2771</v>
      </c>
      <c r="C5433" s="22" t="s">
        <v>31</v>
      </c>
      <c r="D5433">
        <v>1</v>
      </c>
      <c r="G5433" s="25">
        <f>Table132[[#This Row],[nb win]]/Table132[[#This Row],[nb play]]</f>
        <v>0</v>
      </c>
      <c r="H5433" t="str">
        <f>MID(Table132[[#This Row],[ÉTAT]],VALUE(RIGHT(Table132[[#This Row],[next move]],1))+1+VALUE(LEFT(Table132[[#This Row],[next move]],1))*3,1)</f>
        <v>V</v>
      </c>
      <c r="I5433" t="str">
        <f>Table132[[#This Row],[ÉTAT]]&amp;Table132[[#This Row],[next move]]</f>
        <v>EVMEMEVVV22</v>
      </c>
    </row>
    <row r="5434" spans="2:9" x14ac:dyDescent="0.25">
      <c r="B5434" t="s">
        <v>447</v>
      </c>
      <c r="C5434" s="22" t="s">
        <v>35</v>
      </c>
      <c r="D5434">
        <v>1</v>
      </c>
      <c r="E5434">
        <v>1</v>
      </c>
      <c r="G5434" s="31">
        <f>Table132[[#This Row],[nb win]]/Table132[[#This Row],[nb play]]</f>
        <v>1</v>
      </c>
      <c r="H5434" t="str">
        <f>MID(Table132[[#This Row],[ÉTAT]],VALUE(RIGHT(Table132[[#This Row],[next move]],1))+1+VALUE(LEFT(Table132[[#This Row],[next move]],1))*3,1)</f>
        <v>V</v>
      </c>
      <c r="I5434" t="str">
        <f>Table132[[#This Row],[ÉTAT]]&amp;Table132[[#This Row],[next move]]</f>
        <v>EVMEMEVVM20</v>
      </c>
    </row>
    <row r="5435" spans="2:9" x14ac:dyDescent="0.25">
      <c r="B5435" t="s">
        <v>447</v>
      </c>
      <c r="C5435" s="22" t="s">
        <v>22</v>
      </c>
      <c r="D5435">
        <v>1</v>
      </c>
      <c r="G5435" s="25">
        <f>Table132[[#This Row],[nb win]]/Table132[[#This Row],[nb play]]</f>
        <v>0</v>
      </c>
      <c r="H5435" t="str">
        <f>MID(Table132[[#This Row],[ÉTAT]],VALUE(RIGHT(Table132[[#This Row],[next move]],1))+1+VALUE(LEFT(Table132[[#This Row],[next move]],1))*3,1)</f>
        <v>V</v>
      </c>
      <c r="I5435" t="str">
        <f>Table132[[#This Row],[ÉTAT]]&amp;Table132[[#This Row],[next move]]</f>
        <v>EVMEMEVVM21</v>
      </c>
    </row>
    <row r="5436" spans="2:9" x14ac:dyDescent="0.25">
      <c r="B5436" t="s">
        <v>3092</v>
      </c>
      <c r="C5436" s="22" t="s">
        <v>35</v>
      </c>
      <c r="D5436">
        <v>3</v>
      </c>
      <c r="E5436">
        <v>3</v>
      </c>
      <c r="G5436" s="31">
        <f>Table132[[#This Row],[nb win]]/Table132[[#This Row],[nb play]]</f>
        <v>1</v>
      </c>
      <c r="H5436" t="str">
        <f>MID(Table132[[#This Row],[ÉTAT]],VALUE(RIGHT(Table132[[#This Row],[next move]],1))+1+VALUE(LEFT(Table132[[#This Row],[next move]],1))*3,1)</f>
        <v>V</v>
      </c>
      <c r="I5436" t="str">
        <f>Table132[[#This Row],[ÉTAT]]&amp;Table132[[#This Row],[next move]]</f>
        <v>EVMEMEVMV20</v>
      </c>
    </row>
    <row r="5437" spans="2:9" x14ac:dyDescent="0.25">
      <c r="B5437" t="s">
        <v>2863</v>
      </c>
      <c r="C5437" s="22" t="s">
        <v>26</v>
      </c>
      <c r="D5437">
        <v>1</v>
      </c>
      <c r="E5437">
        <v>1</v>
      </c>
      <c r="G5437" s="25">
        <f>Table132[[#This Row],[nb win]]/Table132[[#This Row],[nb play]]</f>
        <v>1</v>
      </c>
      <c r="H5437" t="str">
        <f>MID(Table132[[#This Row],[ÉTAT]],VALUE(RIGHT(Table132[[#This Row],[next move]],1))+1+VALUE(LEFT(Table132[[#This Row],[next move]],1))*3,1)</f>
        <v>V</v>
      </c>
      <c r="I5437" t="str">
        <f>Table132[[#This Row],[ÉTAT]]&amp;Table132[[#This Row],[next move]]</f>
        <v>EVMEMEVME01</v>
      </c>
    </row>
    <row r="5438" spans="2:9" x14ac:dyDescent="0.25">
      <c r="B5438" t="s">
        <v>2389</v>
      </c>
      <c r="C5438" s="22" t="s">
        <v>35</v>
      </c>
      <c r="D5438">
        <v>2</v>
      </c>
      <c r="E5438">
        <v>2</v>
      </c>
      <c r="G5438" s="31">
        <f>Table132[[#This Row],[nb win]]/Table132[[#This Row],[nb play]]</f>
        <v>1</v>
      </c>
      <c r="H5438" t="str">
        <f>MID(Table132[[#This Row],[ÉTAT]],VALUE(RIGHT(Table132[[#This Row],[next move]],1))+1+VALUE(LEFT(Table132[[#This Row],[next move]],1))*3,1)</f>
        <v>V</v>
      </c>
      <c r="I5438" t="str">
        <f>Table132[[#This Row],[ÉTAT]]&amp;Table132[[#This Row],[next move]]</f>
        <v>EVMEMEVEM20</v>
      </c>
    </row>
    <row r="5439" spans="2:9" x14ac:dyDescent="0.25">
      <c r="B5439" t="s">
        <v>1186</v>
      </c>
      <c r="C5439" s="22" t="s">
        <v>28</v>
      </c>
      <c r="D5439">
        <v>3</v>
      </c>
      <c r="E5439">
        <v>3</v>
      </c>
      <c r="G5439" s="31">
        <f>Table132[[#This Row],[nb win]]/Table132[[#This Row],[nb play]]</f>
        <v>1</v>
      </c>
      <c r="H5439" t="str">
        <f>MID(Table132[[#This Row],[ÉTAT]],VALUE(RIGHT(Table132[[#This Row],[next move]],1))+1+VALUE(LEFT(Table132[[#This Row],[next move]],1))*3,1)</f>
        <v>V</v>
      </c>
      <c r="I5439" t="str">
        <f>Table132[[#This Row],[ÉTAT]]&amp;Table132[[#This Row],[next move]]</f>
        <v>EVMEEVVVM12</v>
      </c>
    </row>
    <row r="5440" spans="2:9" x14ac:dyDescent="0.25">
      <c r="B5440" t="s">
        <v>1217</v>
      </c>
      <c r="C5440" s="22" t="s">
        <v>26</v>
      </c>
      <c r="D5440">
        <v>1</v>
      </c>
      <c r="G5440" s="25">
        <f>Table132[[#This Row],[nb win]]/Table132[[#This Row],[nb play]]</f>
        <v>0</v>
      </c>
      <c r="H5440" t="str">
        <f>MID(Table132[[#This Row],[ÉTAT]],VALUE(RIGHT(Table132[[#This Row],[next move]],1))+1+VALUE(LEFT(Table132[[#This Row],[next move]],1))*3,1)</f>
        <v>V</v>
      </c>
      <c r="I5440" t="str">
        <f>Table132[[#This Row],[ÉTAT]]&amp;Table132[[#This Row],[next move]]</f>
        <v>EVMEEVVMM01</v>
      </c>
    </row>
    <row r="5441" spans="2:9" x14ac:dyDescent="0.25">
      <c r="B5441" t="s">
        <v>1217</v>
      </c>
      <c r="C5441" s="22" t="s">
        <v>28</v>
      </c>
      <c r="D5441">
        <v>1</v>
      </c>
      <c r="E5441">
        <v>1</v>
      </c>
      <c r="G5441" s="31">
        <f>Table132[[#This Row],[nb win]]/Table132[[#This Row],[nb play]]</f>
        <v>1</v>
      </c>
      <c r="H5441" t="str">
        <f>MID(Table132[[#This Row],[ÉTAT]],VALUE(RIGHT(Table132[[#This Row],[next move]],1))+1+VALUE(LEFT(Table132[[#This Row],[next move]],1))*3,1)</f>
        <v>V</v>
      </c>
      <c r="I5441" t="str">
        <f>Table132[[#This Row],[ÉTAT]]&amp;Table132[[#This Row],[next move]]</f>
        <v>EVMEEVVMM12</v>
      </c>
    </row>
    <row r="5442" spans="2:9" x14ac:dyDescent="0.25">
      <c r="B5442" t="s">
        <v>1345</v>
      </c>
      <c r="C5442" s="22" t="s">
        <v>26</v>
      </c>
      <c r="D5442">
        <v>1</v>
      </c>
      <c r="G5442" s="25">
        <f>Table132[[#This Row],[nb win]]/Table132[[#This Row],[nb play]]</f>
        <v>0</v>
      </c>
      <c r="H5442" t="str">
        <f>MID(Table132[[#This Row],[ÉTAT]],VALUE(RIGHT(Table132[[#This Row],[next move]],1))+1+VALUE(LEFT(Table132[[#This Row],[next move]],1))*3,1)</f>
        <v>V</v>
      </c>
      <c r="I5442" t="str">
        <f>Table132[[#This Row],[ÉTAT]]&amp;Table132[[#This Row],[next move]]</f>
        <v>EVMEEVMVV01</v>
      </c>
    </row>
    <row r="5443" spans="2:9" x14ac:dyDescent="0.25">
      <c r="B5443" t="s">
        <v>1345</v>
      </c>
      <c r="C5443" s="22" t="s">
        <v>22</v>
      </c>
      <c r="D5443">
        <v>2</v>
      </c>
      <c r="E5443">
        <v>1</v>
      </c>
      <c r="G5443" s="30">
        <f>Table132[[#This Row],[nb win]]/Table132[[#This Row],[nb play]]</f>
        <v>0.5</v>
      </c>
      <c r="H5443" t="str">
        <f>MID(Table132[[#This Row],[ÉTAT]],VALUE(RIGHT(Table132[[#This Row],[next move]],1))+1+VALUE(LEFT(Table132[[#This Row],[next move]],1))*3,1)</f>
        <v>V</v>
      </c>
      <c r="I5443" t="str">
        <f>Table132[[#This Row],[ÉTAT]]&amp;Table132[[#This Row],[next move]]</f>
        <v>EVMEEVMVV21</v>
      </c>
    </row>
    <row r="5444" spans="2:9" x14ac:dyDescent="0.25">
      <c r="B5444" t="s">
        <v>1345</v>
      </c>
      <c r="C5444" s="22" t="s">
        <v>31</v>
      </c>
      <c r="D5444">
        <v>1</v>
      </c>
      <c r="G5444" s="25">
        <f>Table132[[#This Row],[nb win]]/Table132[[#This Row],[nb play]]</f>
        <v>0</v>
      </c>
      <c r="H5444" t="str">
        <f>MID(Table132[[#This Row],[ÉTAT]],VALUE(RIGHT(Table132[[#This Row],[next move]],1))+1+VALUE(LEFT(Table132[[#This Row],[next move]],1))*3,1)</f>
        <v>V</v>
      </c>
      <c r="I5444" t="str">
        <f>Table132[[#This Row],[ÉTAT]]&amp;Table132[[#This Row],[next move]]</f>
        <v>EVMEEVMVV22</v>
      </c>
    </row>
    <row r="5445" spans="2:9" x14ac:dyDescent="0.25">
      <c r="B5445" t="s">
        <v>3260</v>
      </c>
      <c r="C5445" s="22" t="s">
        <v>28</v>
      </c>
      <c r="D5445">
        <v>1</v>
      </c>
      <c r="E5445">
        <v>1</v>
      </c>
      <c r="G5445" s="31">
        <f>Table132[[#This Row],[nb win]]/Table132[[#This Row],[nb play]]</f>
        <v>1</v>
      </c>
      <c r="H5445" t="str">
        <f>MID(Table132[[#This Row],[ÉTAT]],VALUE(RIGHT(Table132[[#This Row],[next move]],1))+1+VALUE(LEFT(Table132[[#This Row],[next move]],1))*3,1)</f>
        <v>V</v>
      </c>
      <c r="I5445" t="str">
        <f>Table132[[#This Row],[ÉTAT]]&amp;Table132[[#This Row],[next move]]</f>
        <v>EVMEEVMVM12</v>
      </c>
    </row>
    <row r="5446" spans="2:9" x14ac:dyDescent="0.25">
      <c r="B5446" t="s">
        <v>780</v>
      </c>
      <c r="C5446" s="22" t="s">
        <v>28</v>
      </c>
      <c r="D5446">
        <v>2</v>
      </c>
      <c r="E5446">
        <v>2</v>
      </c>
      <c r="G5446" s="25">
        <f>Table132[[#This Row],[nb win]]/Table132[[#This Row],[nb play]]</f>
        <v>1</v>
      </c>
      <c r="H5446" t="str">
        <f>MID(Table132[[#This Row],[ÉTAT]],VALUE(RIGHT(Table132[[#This Row],[next move]],1))+1+VALUE(LEFT(Table132[[#This Row],[next move]],1))*3,1)</f>
        <v>V</v>
      </c>
      <c r="I5446" t="str">
        <f>Table132[[#This Row],[ÉTAT]]&amp;Table132[[#This Row],[next move]]</f>
        <v>EVMEEVMEM12</v>
      </c>
    </row>
    <row r="5447" spans="2:9" x14ac:dyDescent="0.25">
      <c r="B5447" t="s">
        <v>2549</v>
      </c>
      <c r="C5447" s="22" t="s">
        <v>26</v>
      </c>
      <c r="D5447">
        <v>1</v>
      </c>
      <c r="G5447" s="25">
        <f>Table132[[#This Row],[nb win]]/Table132[[#This Row],[nb play]]</f>
        <v>0</v>
      </c>
      <c r="H5447" t="str">
        <f>MID(Table132[[#This Row],[ÉTAT]],VALUE(RIGHT(Table132[[#This Row],[next move]],1))+1+VALUE(LEFT(Table132[[#This Row],[next move]],1))*3,1)</f>
        <v>V</v>
      </c>
      <c r="I5447" t="str">
        <f>Table132[[#This Row],[ÉTAT]]&amp;Table132[[#This Row],[next move]]</f>
        <v>EVMEEMVMV01</v>
      </c>
    </row>
    <row r="5448" spans="2:9" x14ac:dyDescent="0.25">
      <c r="B5448" t="s">
        <v>2549</v>
      </c>
      <c r="C5448" s="22" t="s">
        <v>35</v>
      </c>
      <c r="D5448">
        <v>1</v>
      </c>
      <c r="E5448">
        <v>1</v>
      </c>
      <c r="G5448" s="25">
        <f>Table132[[#This Row],[nb win]]/Table132[[#This Row],[nb play]]</f>
        <v>1</v>
      </c>
      <c r="H5448" t="str">
        <f>MID(Table132[[#This Row],[ÉTAT]],VALUE(RIGHT(Table132[[#This Row],[next move]],1))+1+VALUE(LEFT(Table132[[#This Row],[next move]],1))*3,1)</f>
        <v>V</v>
      </c>
      <c r="I5448" t="str">
        <f>Table132[[#This Row],[ÉTAT]]&amp;Table132[[#This Row],[next move]]</f>
        <v>EVMEEMVMV20</v>
      </c>
    </row>
    <row r="5449" spans="2:9" x14ac:dyDescent="0.25">
      <c r="B5449" t="s">
        <v>3431</v>
      </c>
      <c r="C5449" s="22" t="s">
        <v>22</v>
      </c>
      <c r="D5449">
        <v>1</v>
      </c>
      <c r="G5449" s="30">
        <f>Table132[[#This Row],[nb win]]/Table132[[#This Row],[nb play]]</f>
        <v>0</v>
      </c>
      <c r="H5449" t="str">
        <f>MID(Table132[[#This Row],[ÉTAT]],VALUE(RIGHT(Table132[[#This Row],[next move]],1))+1+VALUE(LEFT(Table132[[#This Row],[next move]],1))*3,1)</f>
        <v>V</v>
      </c>
      <c r="I5449" t="str">
        <f>Table132[[#This Row],[ÉTAT]]&amp;Table132[[#This Row],[next move]]</f>
        <v>EVMEEMMVV21</v>
      </c>
    </row>
    <row r="5450" spans="2:9" x14ac:dyDescent="0.25">
      <c r="B5450" t="s">
        <v>2351</v>
      </c>
      <c r="C5450" s="22" t="s">
        <v>26</v>
      </c>
      <c r="D5450">
        <v>1</v>
      </c>
      <c r="G5450" s="25">
        <f>Table132[[#This Row],[nb win]]/Table132[[#This Row],[nb play]]</f>
        <v>0</v>
      </c>
      <c r="H5450" t="str">
        <f>MID(Table132[[#This Row],[ÉTAT]],VALUE(RIGHT(Table132[[#This Row],[next move]],1))+1+VALUE(LEFT(Table132[[#This Row],[next move]],1))*3,1)</f>
        <v>V</v>
      </c>
      <c r="I5450" t="str">
        <f>Table132[[#This Row],[ÉTAT]]&amp;Table132[[#This Row],[next move]]</f>
        <v>EVMEEMMEV01</v>
      </c>
    </row>
    <row r="5451" spans="2:9" x14ac:dyDescent="0.25">
      <c r="B5451" t="s">
        <v>2351</v>
      </c>
      <c r="C5451" s="22" t="s">
        <v>31</v>
      </c>
      <c r="D5451">
        <v>2</v>
      </c>
      <c r="E5451">
        <v>2</v>
      </c>
      <c r="G5451" s="31">
        <f>Table132[[#This Row],[nb win]]/Table132[[#This Row],[nb play]]</f>
        <v>1</v>
      </c>
      <c r="H5451" t="str">
        <f>MID(Table132[[#This Row],[ÉTAT]],VALUE(RIGHT(Table132[[#This Row],[next move]],1))+1+VALUE(LEFT(Table132[[#This Row],[next move]],1))*3,1)</f>
        <v>V</v>
      </c>
      <c r="I5451" t="str">
        <f>Table132[[#This Row],[ÉTAT]]&amp;Table132[[#This Row],[next move]]</f>
        <v>EVMEEMMEV22</v>
      </c>
    </row>
    <row r="5452" spans="2:9" x14ac:dyDescent="0.25">
      <c r="B5452" t="s">
        <v>1882</v>
      </c>
      <c r="C5452" s="22" t="s">
        <v>26</v>
      </c>
      <c r="D5452">
        <v>1</v>
      </c>
      <c r="G5452" s="30">
        <f>Table132[[#This Row],[nb win]]/Table132[[#This Row],[nb play]]</f>
        <v>0</v>
      </c>
      <c r="H5452" t="str">
        <f>MID(Table132[[#This Row],[ÉTAT]],VALUE(RIGHT(Table132[[#This Row],[next move]],1))+1+VALUE(LEFT(Table132[[#This Row],[next move]],1))*3,1)</f>
        <v>V</v>
      </c>
      <c r="I5452" t="str">
        <f>Table132[[#This Row],[ÉTAT]]&amp;Table132[[#This Row],[next move]]</f>
        <v>EVEVVVVVM01</v>
      </c>
    </row>
    <row r="5453" spans="2:9" x14ac:dyDescent="0.25">
      <c r="B5453" t="s">
        <v>1882</v>
      </c>
      <c r="C5453" s="22" t="s">
        <v>30</v>
      </c>
      <c r="D5453">
        <v>6</v>
      </c>
      <c r="G5453" s="30">
        <f>Table132[[#This Row],[nb win]]/Table132[[#This Row],[nb play]]</f>
        <v>0</v>
      </c>
      <c r="H5453" t="str">
        <f>MID(Table132[[#This Row],[ÉTAT]],VALUE(RIGHT(Table132[[#This Row],[next move]],1))+1+VALUE(LEFT(Table132[[#This Row],[next move]],1))*3,1)</f>
        <v>V</v>
      </c>
      <c r="I5453" t="str">
        <f>Table132[[#This Row],[ÉTAT]]&amp;Table132[[#This Row],[next move]]</f>
        <v>EVEVVVVVM10</v>
      </c>
    </row>
    <row r="5454" spans="2:9" x14ac:dyDescent="0.25">
      <c r="B5454" t="s">
        <v>1882</v>
      </c>
      <c r="C5454" s="22" t="s">
        <v>29</v>
      </c>
      <c r="D5454">
        <v>1</v>
      </c>
      <c r="G5454" s="30">
        <f>Table132[[#This Row],[nb win]]/Table132[[#This Row],[nb play]]</f>
        <v>0</v>
      </c>
      <c r="H5454" t="str">
        <f>MID(Table132[[#This Row],[ÉTAT]],VALUE(RIGHT(Table132[[#This Row],[next move]],1))+1+VALUE(LEFT(Table132[[#This Row],[next move]],1))*3,1)</f>
        <v>V</v>
      </c>
      <c r="I5454" t="str">
        <f>Table132[[#This Row],[ÉTAT]]&amp;Table132[[#This Row],[next move]]</f>
        <v>EVEVVVVVM11</v>
      </c>
    </row>
    <row r="5455" spans="2:9" x14ac:dyDescent="0.25">
      <c r="B5455" t="s">
        <v>1882</v>
      </c>
      <c r="C5455" s="22" t="s">
        <v>28</v>
      </c>
      <c r="D5455">
        <v>1</v>
      </c>
      <c r="G5455" s="30">
        <f>Table132[[#This Row],[nb win]]/Table132[[#This Row],[nb play]]</f>
        <v>0</v>
      </c>
      <c r="H5455" t="str">
        <f>MID(Table132[[#This Row],[ÉTAT]],VALUE(RIGHT(Table132[[#This Row],[next move]],1))+1+VALUE(LEFT(Table132[[#This Row],[next move]],1))*3,1)</f>
        <v>V</v>
      </c>
      <c r="I5455" t="str">
        <f>Table132[[#This Row],[ÉTAT]]&amp;Table132[[#This Row],[next move]]</f>
        <v>EVEVVVVVM12</v>
      </c>
    </row>
    <row r="5456" spans="2:9" x14ac:dyDescent="0.25">
      <c r="B5456" t="s">
        <v>1882</v>
      </c>
      <c r="C5456" s="22" t="s">
        <v>35</v>
      </c>
      <c r="D5456">
        <v>4</v>
      </c>
      <c r="E5456">
        <v>3</v>
      </c>
      <c r="G5456" s="30">
        <f>Table132[[#This Row],[nb win]]/Table132[[#This Row],[nb play]]</f>
        <v>0.75</v>
      </c>
      <c r="H5456" t="str">
        <f>MID(Table132[[#This Row],[ÉTAT]],VALUE(RIGHT(Table132[[#This Row],[next move]],1))+1+VALUE(LEFT(Table132[[#This Row],[next move]],1))*3,1)</f>
        <v>V</v>
      </c>
      <c r="I5456" t="str">
        <f>Table132[[#This Row],[ÉTAT]]&amp;Table132[[#This Row],[next move]]</f>
        <v>EVEVVVVVM20</v>
      </c>
    </row>
    <row r="5457" spans="2:9" x14ac:dyDescent="0.25">
      <c r="B5457" t="s">
        <v>1882</v>
      </c>
      <c r="C5457" s="22" t="s">
        <v>22</v>
      </c>
      <c r="D5457">
        <v>2</v>
      </c>
      <c r="G5457" s="25">
        <f>Table132[[#This Row],[nb win]]/Table132[[#This Row],[nb play]]</f>
        <v>0</v>
      </c>
      <c r="H5457" t="str">
        <f>MID(Table132[[#This Row],[ÉTAT]],VALUE(RIGHT(Table132[[#This Row],[next move]],1))+1+VALUE(LEFT(Table132[[#This Row],[next move]],1))*3,1)</f>
        <v>V</v>
      </c>
      <c r="I5457" t="str">
        <f>Table132[[#This Row],[ÉTAT]]&amp;Table132[[#This Row],[next move]]</f>
        <v>EVEVVVVVM21</v>
      </c>
    </row>
    <row r="5458" spans="2:9" x14ac:dyDescent="0.25">
      <c r="B5458" t="s">
        <v>1840</v>
      </c>
      <c r="C5458" s="22" t="s">
        <v>29</v>
      </c>
      <c r="D5458">
        <v>1</v>
      </c>
      <c r="G5458" s="25">
        <f>Table132[[#This Row],[nb win]]/Table132[[#This Row],[nb play]]</f>
        <v>0</v>
      </c>
      <c r="H5458" t="str">
        <f>MID(Table132[[#This Row],[ÉTAT]],VALUE(RIGHT(Table132[[#This Row],[next move]],1))+1+VALUE(LEFT(Table132[[#This Row],[next move]],1))*3,1)</f>
        <v>V</v>
      </c>
      <c r="I5458" t="str">
        <f>Table132[[#This Row],[ÉTAT]]&amp;Table132[[#This Row],[next move]]</f>
        <v>EVEVVVVMV11</v>
      </c>
    </row>
    <row r="5459" spans="2:9" x14ac:dyDescent="0.25">
      <c r="B5459" t="s">
        <v>1840</v>
      </c>
      <c r="C5459" s="22" t="s">
        <v>28</v>
      </c>
      <c r="D5459">
        <v>3</v>
      </c>
      <c r="G5459" s="30">
        <f>Table132[[#This Row],[nb win]]/Table132[[#This Row],[nb play]]</f>
        <v>0</v>
      </c>
      <c r="H5459" t="str">
        <f>MID(Table132[[#This Row],[ÉTAT]],VALUE(RIGHT(Table132[[#This Row],[next move]],1))+1+VALUE(LEFT(Table132[[#This Row],[next move]],1))*3,1)</f>
        <v>V</v>
      </c>
      <c r="I5459" t="str">
        <f>Table132[[#This Row],[ÉTAT]]&amp;Table132[[#This Row],[next move]]</f>
        <v>EVEVVVVMV12</v>
      </c>
    </row>
    <row r="5460" spans="2:9" x14ac:dyDescent="0.25">
      <c r="B5460" t="s">
        <v>1840</v>
      </c>
      <c r="C5460" s="22" t="s">
        <v>35</v>
      </c>
      <c r="D5460">
        <v>2</v>
      </c>
      <c r="E5460">
        <v>1</v>
      </c>
      <c r="G5460" s="30">
        <f>Table132[[#This Row],[nb win]]/Table132[[#This Row],[nb play]]</f>
        <v>0.5</v>
      </c>
      <c r="H5460" t="str">
        <f>MID(Table132[[#This Row],[ÉTAT]],VALUE(RIGHT(Table132[[#This Row],[next move]],1))+1+VALUE(LEFT(Table132[[#This Row],[next move]],1))*3,1)</f>
        <v>V</v>
      </c>
      <c r="I5460" t="str">
        <f>Table132[[#This Row],[ÉTAT]]&amp;Table132[[#This Row],[next move]]</f>
        <v>EVEVVVVMV20</v>
      </c>
    </row>
    <row r="5461" spans="2:9" x14ac:dyDescent="0.25">
      <c r="B5461" t="s">
        <v>1840</v>
      </c>
      <c r="C5461" s="22" t="s">
        <v>31</v>
      </c>
      <c r="D5461">
        <v>2</v>
      </c>
      <c r="G5461" s="30">
        <f>Table132[[#This Row],[nb win]]/Table132[[#This Row],[nb play]]</f>
        <v>0</v>
      </c>
      <c r="H5461" t="str">
        <f>MID(Table132[[#This Row],[ÉTAT]],VALUE(RIGHT(Table132[[#This Row],[next move]],1))+1+VALUE(LEFT(Table132[[#This Row],[next move]],1))*3,1)</f>
        <v>V</v>
      </c>
      <c r="I5461" t="str">
        <f>Table132[[#This Row],[ÉTAT]]&amp;Table132[[#This Row],[next move]]</f>
        <v>EVEVVVVMV22</v>
      </c>
    </row>
    <row r="5462" spans="2:9" x14ac:dyDescent="0.25">
      <c r="B5462" t="s">
        <v>422</v>
      </c>
      <c r="C5462" s="22" t="s">
        <v>29</v>
      </c>
      <c r="D5462">
        <v>3</v>
      </c>
      <c r="G5462" s="30">
        <f>Table132[[#This Row],[nb win]]/Table132[[#This Row],[nb play]]</f>
        <v>0</v>
      </c>
      <c r="H5462" t="str">
        <f>MID(Table132[[#This Row],[ÉTAT]],VALUE(RIGHT(Table132[[#This Row],[next move]],1))+1+VALUE(LEFT(Table132[[#This Row],[next move]],1))*3,1)</f>
        <v>V</v>
      </c>
      <c r="I5462" t="str">
        <f>Table132[[#This Row],[ÉTAT]]&amp;Table132[[#This Row],[next move]]</f>
        <v>EVEVVVVMM11</v>
      </c>
    </row>
    <row r="5463" spans="2:9" x14ac:dyDescent="0.25">
      <c r="B5463" t="s">
        <v>422</v>
      </c>
      <c r="C5463" s="22" t="s">
        <v>35</v>
      </c>
      <c r="D5463">
        <v>4</v>
      </c>
      <c r="E5463">
        <v>4</v>
      </c>
      <c r="G5463" s="31">
        <f>Table132[[#This Row],[nb win]]/Table132[[#This Row],[nb play]]</f>
        <v>1</v>
      </c>
      <c r="H5463" t="str">
        <f>MID(Table132[[#This Row],[ÉTAT]],VALUE(RIGHT(Table132[[#This Row],[next move]],1))+1+VALUE(LEFT(Table132[[#This Row],[next move]],1))*3,1)</f>
        <v>V</v>
      </c>
      <c r="I5463" t="str">
        <f>Table132[[#This Row],[ÉTAT]]&amp;Table132[[#This Row],[next move]]</f>
        <v>EVEVVVVMM20</v>
      </c>
    </row>
    <row r="5464" spans="2:9" x14ac:dyDescent="0.25">
      <c r="B5464" t="s">
        <v>2632</v>
      </c>
      <c r="C5464" s="22" t="s">
        <v>30</v>
      </c>
      <c r="D5464">
        <v>1</v>
      </c>
      <c r="G5464" s="25">
        <f>Table132[[#This Row],[nb win]]/Table132[[#This Row],[nb play]]</f>
        <v>0</v>
      </c>
      <c r="H5464" t="str">
        <f>MID(Table132[[#This Row],[ÉTAT]],VALUE(RIGHT(Table132[[#This Row],[next move]],1))+1+VALUE(LEFT(Table132[[#This Row],[next move]],1))*3,1)</f>
        <v>V</v>
      </c>
      <c r="I5464" t="str">
        <f>Table132[[#This Row],[ÉTAT]]&amp;Table132[[#This Row],[next move]]</f>
        <v>EVEVVVMVV10</v>
      </c>
    </row>
    <row r="5465" spans="2:9" x14ac:dyDescent="0.25">
      <c r="B5465" t="s">
        <v>2632</v>
      </c>
      <c r="C5465" s="22" t="s">
        <v>29</v>
      </c>
      <c r="D5465">
        <v>1</v>
      </c>
      <c r="G5465" s="25">
        <f>Table132[[#This Row],[nb win]]/Table132[[#This Row],[nb play]]</f>
        <v>0</v>
      </c>
      <c r="H5465" t="str">
        <f>MID(Table132[[#This Row],[ÉTAT]],VALUE(RIGHT(Table132[[#This Row],[next move]],1))+1+VALUE(LEFT(Table132[[#This Row],[next move]],1))*3,1)</f>
        <v>V</v>
      </c>
      <c r="I5465" t="str">
        <f>Table132[[#This Row],[ÉTAT]]&amp;Table132[[#This Row],[next move]]</f>
        <v>EVEVVVMVV11</v>
      </c>
    </row>
    <row r="5466" spans="2:9" x14ac:dyDescent="0.25">
      <c r="B5466" t="s">
        <v>2632</v>
      </c>
      <c r="C5466" s="22" t="s">
        <v>28</v>
      </c>
      <c r="D5466">
        <v>1</v>
      </c>
      <c r="G5466" s="25">
        <f>Table132[[#This Row],[nb win]]/Table132[[#This Row],[nb play]]</f>
        <v>0</v>
      </c>
      <c r="H5466" t="str">
        <f>MID(Table132[[#This Row],[ÉTAT]],VALUE(RIGHT(Table132[[#This Row],[next move]],1))+1+VALUE(LEFT(Table132[[#This Row],[next move]],1))*3,1)</f>
        <v>V</v>
      </c>
      <c r="I5466" t="str">
        <f>Table132[[#This Row],[ÉTAT]]&amp;Table132[[#This Row],[next move]]</f>
        <v>EVEVVVMVV12</v>
      </c>
    </row>
    <row r="5467" spans="2:9" x14ac:dyDescent="0.25">
      <c r="B5467" t="s">
        <v>2632</v>
      </c>
      <c r="C5467" s="22" t="s">
        <v>22</v>
      </c>
      <c r="D5467">
        <v>1</v>
      </c>
      <c r="G5467" s="25">
        <f>Table132[[#This Row],[nb win]]/Table132[[#This Row],[nb play]]</f>
        <v>0</v>
      </c>
      <c r="H5467" t="str">
        <f>MID(Table132[[#This Row],[ÉTAT]],VALUE(RIGHT(Table132[[#This Row],[next move]],1))+1+VALUE(LEFT(Table132[[#This Row],[next move]],1))*3,1)</f>
        <v>V</v>
      </c>
      <c r="I5467" t="str">
        <f>Table132[[#This Row],[ÉTAT]]&amp;Table132[[#This Row],[next move]]</f>
        <v>EVEVVVMVV21</v>
      </c>
    </row>
    <row r="5468" spans="2:9" x14ac:dyDescent="0.25">
      <c r="B5468" t="s">
        <v>2632</v>
      </c>
      <c r="C5468" s="22" t="s">
        <v>31</v>
      </c>
      <c r="D5468">
        <v>1</v>
      </c>
      <c r="G5468" s="25">
        <f>Table132[[#This Row],[nb win]]/Table132[[#This Row],[nb play]]</f>
        <v>0</v>
      </c>
      <c r="H5468" t="str">
        <f>MID(Table132[[#This Row],[ÉTAT]],VALUE(RIGHT(Table132[[#This Row],[next move]],1))+1+VALUE(LEFT(Table132[[#This Row],[next move]],1))*3,1)</f>
        <v>V</v>
      </c>
      <c r="I5468" t="str">
        <f>Table132[[#This Row],[ÉTAT]]&amp;Table132[[#This Row],[next move]]</f>
        <v>EVEVVVMVV22</v>
      </c>
    </row>
    <row r="5469" spans="2:9" x14ac:dyDescent="0.25">
      <c r="B5469" t="s">
        <v>254</v>
      </c>
      <c r="C5469" s="22" t="s">
        <v>29</v>
      </c>
      <c r="D5469">
        <v>6</v>
      </c>
      <c r="E5469">
        <v>1</v>
      </c>
      <c r="G5469" s="31">
        <f>Table132[[#This Row],[nb win]]/Table132[[#This Row],[nb play]]</f>
        <v>0.16666666666666666</v>
      </c>
      <c r="H5469" t="str">
        <f>MID(Table132[[#This Row],[ÉTAT]],VALUE(RIGHT(Table132[[#This Row],[next move]],1))+1+VALUE(LEFT(Table132[[#This Row],[next move]],1))*3,1)</f>
        <v>V</v>
      </c>
      <c r="I5469" t="str">
        <f>Table132[[#This Row],[ÉTAT]]&amp;Table132[[#This Row],[next move]]</f>
        <v>EVEVVVMVM11</v>
      </c>
    </row>
    <row r="5470" spans="2:9" x14ac:dyDescent="0.25">
      <c r="B5470" t="s">
        <v>254</v>
      </c>
      <c r="C5470" s="22" t="s">
        <v>22</v>
      </c>
      <c r="D5470">
        <v>3</v>
      </c>
      <c r="E5470">
        <v>3</v>
      </c>
      <c r="G5470" s="31">
        <f>Table132[[#This Row],[nb win]]/Table132[[#This Row],[nb play]]</f>
        <v>1</v>
      </c>
      <c r="H5470" t="str">
        <f>MID(Table132[[#This Row],[ÉTAT]],VALUE(RIGHT(Table132[[#This Row],[next move]],1))+1+VALUE(LEFT(Table132[[#This Row],[next move]],1))*3,1)</f>
        <v>V</v>
      </c>
      <c r="I5470" t="str">
        <f>Table132[[#This Row],[ÉTAT]]&amp;Table132[[#This Row],[next move]]</f>
        <v>EVEVVVMVM21</v>
      </c>
    </row>
    <row r="5471" spans="2:9" x14ac:dyDescent="0.25">
      <c r="B5471" t="s">
        <v>626</v>
      </c>
      <c r="C5471" s="22" t="s">
        <v>26</v>
      </c>
      <c r="D5471">
        <v>4</v>
      </c>
      <c r="E5471">
        <v>3</v>
      </c>
      <c r="G5471" s="31">
        <f>Table132[[#This Row],[nb win]]/Table132[[#This Row],[nb play]]</f>
        <v>0.75</v>
      </c>
      <c r="H5471" t="str">
        <f>MID(Table132[[#This Row],[ÉTAT]],VALUE(RIGHT(Table132[[#This Row],[next move]],1))+1+VALUE(LEFT(Table132[[#This Row],[next move]],1))*3,1)</f>
        <v>V</v>
      </c>
      <c r="I5471" t="str">
        <f>Table132[[#This Row],[ÉTAT]]&amp;Table132[[#This Row],[next move]]</f>
        <v>EVEVVVMMV01</v>
      </c>
    </row>
    <row r="5472" spans="2:9" x14ac:dyDescent="0.25">
      <c r="B5472" t="s">
        <v>626</v>
      </c>
      <c r="C5472" s="22" t="s">
        <v>31</v>
      </c>
      <c r="D5472">
        <v>1</v>
      </c>
      <c r="E5472">
        <v>1</v>
      </c>
      <c r="G5472" s="25">
        <f>Table132[[#This Row],[nb win]]/Table132[[#This Row],[nb play]]</f>
        <v>1</v>
      </c>
      <c r="H5472" t="str">
        <f>MID(Table132[[#This Row],[ÉTAT]],VALUE(RIGHT(Table132[[#This Row],[next move]],1))+1+VALUE(LEFT(Table132[[#This Row],[next move]],1))*3,1)</f>
        <v>V</v>
      </c>
      <c r="I5472" t="str">
        <f>Table132[[#This Row],[ÉTAT]]&amp;Table132[[#This Row],[next move]]</f>
        <v>EVEVVVMMV22</v>
      </c>
    </row>
    <row r="5473" spans="2:9" x14ac:dyDescent="0.25">
      <c r="B5473" t="s">
        <v>1207</v>
      </c>
      <c r="C5473" s="22" t="s">
        <v>26</v>
      </c>
      <c r="D5473">
        <v>2</v>
      </c>
      <c r="E5473">
        <v>1</v>
      </c>
      <c r="G5473" s="25">
        <f>Table132[[#This Row],[nb win]]/Table132[[#This Row],[nb play]]</f>
        <v>0.5</v>
      </c>
      <c r="H5473" t="str">
        <f>MID(Table132[[#This Row],[ÉTAT]],VALUE(RIGHT(Table132[[#This Row],[next move]],1))+1+VALUE(LEFT(Table132[[#This Row],[next move]],1))*3,1)</f>
        <v>V</v>
      </c>
      <c r="I5473" t="str">
        <f>Table132[[#This Row],[ÉTAT]]&amp;Table132[[#This Row],[next move]]</f>
        <v>EVEVVVMME01</v>
      </c>
    </row>
    <row r="5474" spans="2:9" x14ac:dyDescent="0.25">
      <c r="B5474" t="s">
        <v>1207</v>
      </c>
      <c r="C5474" s="22" t="s">
        <v>30</v>
      </c>
      <c r="D5474">
        <v>1</v>
      </c>
      <c r="G5474" s="25">
        <f>Table132[[#This Row],[nb win]]/Table132[[#This Row],[nb play]]</f>
        <v>0</v>
      </c>
      <c r="H5474" t="str">
        <f>MID(Table132[[#This Row],[ÉTAT]],VALUE(RIGHT(Table132[[#This Row],[next move]],1))+1+VALUE(LEFT(Table132[[#This Row],[next move]],1))*3,1)</f>
        <v>V</v>
      </c>
      <c r="I5474" t="str">
        <f>Table132[[#This Row],[ÉTAT]]&amp;Table132[[#This Row],[next move]]</f>
        <v>EVEVVVMME10</v>
      </c>
    </row>
    <row r="5475" spans="2:9" x14ac:dyDescent="0.25">
      <c r="B5475" t="s">
        <v>1207</v>
      </c>
      <c r="C5475" s="22" t="s">
        <v>29</v>
      </c>
      <c r="D5475">
        <v>1</v>
      </c>
      <c r="G5475" s="30">
        <f>Table132[[#This Row],[nb win]]/Table132[[#This Row],[nb play]]</f>
        <v>0</v>
      </c>
      <c r="H5475" t="str">
        <f>MID(Table132[[#This Row],[ÉTAT]],VALUE(RIGHT(Table132[[#This Row],[next move]],1))+1+VALUE(LEFT(Table132[[#This Row],[next move]],1))*3,1)</f>
        <v>V</v>
      </c>
      <c r="I5475" t="str">
        <f>Table132[[#This Row],[ÉTAT]]&amp;Table132[[#This Row],[next move]]</f>
        <v>EVEVVVMME11</v>
      </c>
    </row>
    <row r="5476" spans="2:9" x14ac:dyDescent="0.25">
      <c r="B5476" t="s">
        <v>1207</v>
      </c>
      <c r="C5476" s="22" t="s">
        <v>28</v>
      </c>
      <c r="D5476">
        <v>1</v>
      </c>
      <c r="G5476" s="25">
        <f>Table132[[#This Row],[nb win]]/Table132[[#This Row],[nb play]]</f>
        <v>0</v>
      </c>
      <c r="H5476" t="str">
        <f>MID(Table132[[#This Row],[ÉTAT]],VALUE(RIGHT(Table132[[#This Row],[next move]],1))+1+VALUE(LEFT(Table132[[#This Row],[next move]],1))*3,1)</f>
        <v>V</v>
      </c>
      <c r="I5476" t="str">
        <f>Table132[[#This Row],[ÉTAT]]&amp;Table132[[#This Row],[next move]]</f>
        <v>EVEVVVMME12</v>
      </c>
    </row>
    <row r="5477" spans="2:9" x14ac:dyDescent="0.25">
      <c r="B5477" t="s">
        <v>573</v>
      </c>
      <c r="C5477" s="22" t="s">
        <v>30</v>
      </c>
      <c r="D5477">
        <v>2</v>
      </c>
      <c r="E5477">
        <v>1</v>
      </c>
      <c r="G5477" s="31">
        <f>Table132[[#This Row],[nb win]]/Table132[[#This Row],[nb play]]</f>
        <v>0.5</v>
      </c>
      <c r="H5477" t="str">
        <f>MID(Table132[[#This Row],[ÉTAT]],VALUE(RIGHT(Table132[[#This Row],[next move]],1))+1+VALUE(LEFT(Table132[[#This Row],[next move]],1))*3,1)</f>
        <v>V</v>
      </c>
      <c r="I5477" t="str">
        <f>Table132[[#This Row],[ÉTAT]]&amp;Table132[[#This Row],[next move]]</f>
        <v>EVEVVMVVV10</v>
      </c>
    </row>
    <row r="5478" spans="2:9" x14ac:dyDescent="0.25">
      <c r="B5478" t="s">
        <v>573</v>
      </c>
      <c r="C5478" s="22" t="s">
        <v>29</v>
      </c>
      <c r="D5478">
        <v>1</v>
      </c>
      <c r="G5478" s="25">
        <f>Table132[[#This Row],[nb win]]/Table132[[#This Row],[nb play]]</f>
        <v>0</v>
      </c>
      <c r="H5478" t="str">
        <f>MID(Table132[[#This Row],[ÉTAT]],VALUE(RIGHT(Table132[[#This Row],[next move]],1))+1+VALUE(LEFT(Table132[[#This Row],[next move]],1))*3,1)</f>
        <v>V</v>
      </c>
      <c r="I5478" t="str">
        <f>Table132[[#This Row],[ÉTAT]]&amp;Table132[[#This Row],[next move]]</f>
        <v>EVEVVMVVV11</v>
      </c>
    </row>
    <row r="5479" spans="2:9" x14ac:dyDescent="0.25">
      <c r="B5479" t="s">
        <v>573</v>
      </c>
      <c r="C5479" s="22" t="s">
        <v>35</v>
      </c>
      <c r="D5479">
        <v>2</v>
      </c>
      <c r="E5479">
        <v>1</v>
      </c>
      <c r="G5479" s="25">
        <f>Table132[[#This Row],[nb win]]/Table132[[#This Row],[nb play]]</f>
        <v>0.5</v>
      </c>
      <c r="H5479" t="str">
        <f>MID(Table132[[#This Row],[ÉTAT]],VALUE(RIGHT(Table132[[#This Row],[next move]],1))+1+VALUE(LEFT(Table132[[#This Row],[next move]],1))*3,1)</f>
        <v>V</v>
      </c>
      <c r="I5479" t="str">
        <f>Table132[[#This Row],[ÉTAT]]&amp;Table132[[#This Row],[next move]]</f>
        <v>EVEVVMVVV20</v>
      </c>
    </row>
    <row r="5480" spans="2:9" x14ac:dyDescent="0.25">
      <c r="B5480" t="s">
        <v>573</v>
      </c>
      <c r="C5480" s="22" t="s">
        <v>31</v>
      </c>
      <c r="D5480">
        <v>1</v>
      </c>
      <c r="E5480">
        <v>1</v>
      </c>
      <c r="G5480" s="31">
        <f>Table132[[#This Row],[nb win]]/Table132[[#This Row],[nb play]]</f>
        <v>1</v>
      </c>
      <c r="H5480" t="str">
        <f>MID(Table132[[#This Row],[ÉTAT]],VALUE(RIGHT(Table132[[#This Row],[next move]],1))+1+VALUE(LEFT(Table132[[#This Row],[next move]],1))*3,1)</f>
        <v>V</v>
      </c>
      <c r="I5480" t="str">
        <f>Table132[[#This Row],[ÉTAT]]&amp;Table132[[#This Row],[next move]]</f>
        <v>EVEVVMVVV22</v>
      </c>
    </row>
    <row r="5481" spans="2:9" x14ac:dyDescent="0.25">
      <c r="B5481" t="s">
        <v>759</v>
      </c>
      <c r="C5481" s="22" t="s">
        <v>26</v>
      </c>
      <c r="D5481">
        <v>1</v>
      </c>
      <c r="G5481" s="25">
        <f>Table132[[#This Row],[nb win]]/Table132[[#This Row],[nb play]]</f>
        <v>0</v>
      </c>
      <c r="H5481" t="str">
        <f>MID(Table132[[#This Row],[ÉTAT]],VALUE(RIGHT(Table132[[#This Row],[next move]],1))+1+VALUE(LEFT(Table132[[#This Row],[next move]],1))*3,1)</f>
        <v>V</v>
      </c>
      <c r="I5481" t="str">
        <f>Table132[[#This Row],[ÉTAT]]&amp;Table132[[#This Row],[next move]]</f>
        <v>EVEVVMVVM01</v>
      </c>
    </row>
    <row r="5482" spans="2:9" x14ac:dyDescent="0.25">
      <c r="B5482" t="s">
        <v>759</v>
      </c>
      <c r="C5482" s="22" t="s">
        <v>30</v>
      </c>
      <c r="D5482">
        <v>1</v>
      </c>
      <c r="G5482" s="25">
        <f>Table132[[#This Row],[nb win]]/Table132[[#This Row],[nb play]]</f>
        <v>0</v>
      </c>
      <c r="H5482" t="str">
        <f>MID(Table132[[#This Row],[ÉTAT]],VALUE(RIGHT(Table132[[#This Row],[next move]],1))+1+VALUE(LEFT(Table132[[#This Row],[next move]],1))*3,1)</f>
        <v>V</v>
      </c>
      <c r="I5482" t="str">
        <f>Table132[[#This Row],[ÉTAT]]&amp;Table132[[#This Row],[next move]]</f>
        <v>EVEVVMVVM10</v>
      </c>
    </row>
    <row r="5483" spans="2:9" x14ac:dyDescent="0.25">
      <c r="B5483" t="s">
        <v>759</v>
      </c>
      <c r="C5483" s="22" t="s">
        <v>29</v>
      </c>
      <c r="D5483">
        <v>4</v>
      </c>
      <c r="E5483">
        <v>1</v>
      </c>
      <c r="G5483" s="30">
        <f>Table132[[#This Row],[nb win]]/Table132[[#This Row],[nb play]]</f>
        <v>0.25</v>
      </c>
      <c r="H5483" t="str">
        <f>MID(Table132[[#This Row],[ÉTAT]],VALUE(RIGHT(Table132[[#This Row],[next move]],1))+1+VALUE(LEFT(Table132[[#This Row],[next move]],1))*3,1)</f>
        <v>V</v>
      </c>
      <c r="I5483" t="str">
        <f>Table132[[#This Row],[ÉTAT]]&amp;Table132[[#This Row],[next move]]</f>
        <v>EVEVVMVVM11</v>
      </c>
    </row>
    <row r="5484" spans="2:9" x14ac:dyDescent="0.25">
      <c r="B5484" t="s">
        <v>759</v>
      </c>
      <c r="C5484" s="22" t="s">
        <v>35</v>
      </c>
      <c r="D5484">
        <v>1</v>
      </c>
      <c r="G5484" s="30">
        <f>Table132[[#This Row],[nb win]]/Table132[[#This Row],[nb play]]</f>
        <v>0</v>
      </c>
      <c r="H5484" t="str">
        <f>MID(Table132[[#This Row],[ÉTAT]],VALUE(RIGHT(Table132[[#This Row],[next move]],1))+1+VALUE(LEFT(Table132[[#This Row],[next move]],1))*3,1)</f>
        <v>V</v>
      </c>
      <c r="I5484" t="str">
        <f>Table132[[#This Row],[ÉTAT]]&amp;Table132[[#This Row],[next move]]</f>
        <v>EVEVVMVVM20</v>
      </c>
    </row>
    <row r="5485" spans="2:9" x14ac:dyDescent="0.25">
      <c r="B5485" t="s">
        <v>759</v>
      </c>
      <c r="C5485" s="22" t="s">
        <v>22</v>
      </c>
      <c r="D5485">
        <v>1</v>
      </c>
      <c r="G5485" s="30">
        <f>Table132[[#This Row],[nb win]]/Table132[[#This Row],[nb play]]</f>
        <v>0</v>
      </c>
      <c r="H5485" t="str">
        <f>MID(Table132[[#This Row],[ÉTAT]],VALUE(RIGHT(Table132[[#This Row],[next move]],1))+1+VALUE(LEFT(Table132[[#This Row],[next move]],1))*3,1)</f>
        <v>V</v>
      </c>
      <c r="I5485" t="str">
        <f>Table132[[#This Row],[ÉTAT]]&amp;Table132[[#This Row],[next move]]</f>
        <v>EVEVVMVVM21</v>
      </c>
    </row>
    <row r="5486" spans="2:9" x14ac:dyDescent="0.25">
      <c r="B5486" t="s">
        <v>2107</v>
      </c>
      <c r="C5486" s="22" t="s">
        <v>26</v>
      </c>
      <c r="D5486">
        <v>2</v>
      </c>
      <c r="E5486">
        <v>1</v>
      </c>
      <c r="G5486" s="31">
        <f>Table132[[#This Row],[nb win]]/Table132[[#This Row],[nb play]]</f>
        <v>0.5</v>
      </c>
      <c r="H5486" t="str">
        <f>MID(Table132[[#This Row],[ÉTAT]],VALUE(RIGHT(Table132[[#This Row],[next move]],1))+1+VALUE(LEFT(Table132[[#This Row],[next move]],1))*3,1)</f>
        <v>V</v>
      </c>
      <c r="I5486" t="str">
        <f>Table132[[#This Row],[ÉTAT]]&amp;Table132[[#This Row],[next move]]</f>
        <v>EVEVVMVMV01</v>
      </c>
    </row>
    <row r="5487" spans="2:9" x14ac:dyDescent="0.25">
      <c r="B5487" t="s">
        <v>2107</v>
      </c>
      <c r="C5487" s="22" t="s">
        <v>30</v>
      </c>
      <c r="D5487">
        <v>1</v>
      </c>
      <c r="G5487" s="25">
        <f>Table132[[#This Row],[nb win]]/Table132[[#This Row],[nb play]]</f>
        <v>0</v>
      </c>
      <c r="H5487" t="str">
        <f>MID(Table132[[#This Row],[ÉTAT]],VALUE(RIGHT(Table132[[#This Row],[next move]],1))+1+VALUE(LEFT(Table132[[#This Row],[next move]],1))*3,1)</f>
        <v>V</v>
      </c>
      <c r="I5487" t="str">
        <f>Table132[[#This Row],[ÉTAT]]&amp;Table132[[#This Row],[next move]]</f>
        <v>EVEVVMVMV10</v>
      </c>
    </row>
    <row r="5488" spans="2:9" x14ac:dyDescent="0.25">
      <c r="B5488" t="s">
        <v>2107</v>
      </c>
      <c r="C5488" s="22" t="s">
        <v>29</v>
      </c>
      <c r="D5488">
        <v>2</v>
      </c>
      <c r="G5488" s="30">
        <f>Table132[[#This Row],[nb win]]/Table132[[#This Row],[nb play]]</f>
        <v>0</v>
      </c>
      <c r="H5488" t="str">
        <f>MID(Table132[[#This Row],[ÉTAT]],VALUE(RIGHT(Table132[[#This Row],[next move]],1))+1+VALUE(LEFT(Table132[[#This Row],[next move]],1))*3,1)</f>
        <v>V</v>
      </c>
      <c r="I5488" t="str">
        <f>Table132[[#This Row],[ÉTAT]]&amp;Table132[[#This Row],[next move]]</f>
        <v>EVEVVMVMV11</v>
      </c>
    </row>
    <row r="5489" spans="2:9" x14ac:dyDescent="0.25">
      <c r="B5489" t="s">
        <v>2107</v>
      </c>
      <c r="C5489" s="22" t="s">
        <v>35</v>
      </c>
      <c r="D5489">
        <v>1</v>
      </c>
      <c r="G5489" s="25">
        <f>Table132[[#This Row],[nb win]]/Table132[[#This Row],[nb play]]</f>
        <v>0</v>
      </c>
      <c r="H5489" t="str">
        <f>MID(Table132[[#This Row],[ÉTAT]],VALUE(RIGHT(Table132[[#This Row],[next move]],1))+1+VALUE(LEFT(Table132[[#This Row],[next move]],1))*3,1)</f>
        <v>V</v>
      </c>
      <c r="I5489" t="str">
        <f>Table132[[#This Row],[ÉTAT]]&amp;Table132[[#This Row],[next move]]</f>
        <v>EVEVVMVMV20</v>
      </c>
    </row>
    <row r="5490" spans="2:9" x14ac:dyDescent="0.25">
      <c r="B5490" t="s">
        <v>2107</v>
      </c>
      <c r="C5490" s="22" t="s">
        <v>31</v>
      </c>
      <c r="D5490">
        <v>2</v>
      </c>
      <c r="E5490">
        <v>1</v>
      </c>
      <c r="G5490" s="30">
        <f>Table132[[#This Row],[nb win]]/Table132[[#This Row],[nb play]]</f>
        <v>0.5</v>
      </c>
      <c r="H5490" t="str">
        <f>MID(Table132[[#This Row],[ÉTAT]],VALUE(RIGHT(Table132[[#This Row],[next move]],1))+1+VALUE(LEFT(Table132[[#This Row],[next move]],1))*3,1)</f>
        <v>V</v>
      </c>
      <c r="I5490" t="str">
        <f>Table132[[#This Row],[ÉTAT]]&amp;Table132[[#This Row],[next move]]</f>
        <v>EVEVVMVMV22</v>
      </c>
    </row>
    <row r="5491" spans="2:9" x14ac:dyDescent="0.25">
      <c r="B5491" t="s">
        <v>1842</v>
      </c>
      <c r="C5491" s="22" t="s">
        <v>26</v>
      </c>
      <c r="D5491">
        <v>1</v>
      </c>
      <c r="G5491" s="25">
        <f>Table132[[#This Row],[nb win]]/Table132[[#This Row],[nb play]]</f>
        <v>0</v>
      </c>
      <c r="H5491" t="str">
        <f>MID(Table132[[#This Row],[ÉTAT]],VALUE(RIGHT(Table132[[#This Row],[next move]],1))+1+VALUE(LEFT(Table132[[#This Row],[next move]],1))*3,1)</f>
        <v>V</v>
      </c>
      <c r="I5491" t="str">
        <f>Table132[[#This Row],[ÉTAT]]&amp;Table132[[#This Row],[next move]]</f>
        <v>EVEVVMVME01</v>
      </c>
    </row>
    <row r="5492" spans="2:9" x14ac:dyDescent="0.25">
      <c r="B5492" t="s">
        <v>1842</v>
      </c>
      <c r="C5492" s="22" t="s">
        <v>30</v>
      </c>
      <c r="D5492">
        <v>2</v>
      </c>
      <c r="G5492" s="30">
        <f>Table132[[#This Row],[nb win]]/Table132[[#This Row],[nb play]]</f>
        <v>0</v>
      </c>
      <c r="H5492" t="str">
        <f>MID(Table132[[#This Row],[ÉTAT]],VALUE(RIGHT(Table132[[#This Row],[next move]],1))+1+VALUE(LEFT(Table132[[#This Row],[next move]],1))*3,1)</f>
        <v>V</v>
      </c>
      <c r="I5492" t="str">
        <f>Table132[[#This Row],[ÉTAT]]&amp;Table132[[#This Row],[next move]]</f>
        <v>EVEVVMVME10</v>
      </c>
    </row>
    <row r="5493" spans="2:9" x14ac:dyDescent="0.25">
      <c r="B5493" t="s">
        <v>1842</v>
      </c>
      <c r="C5493" s="22" t="s">
        <v>29</v>
      </c>
      <c r="D5493">
        <v>2</v>
      </c>
      <c r="G5493" s="30">
        <f>Table132[[#This Row],[nb win]]/Table132[[#This Row],[nb play]]</f>
        <v>0</v>
      </c>
      <c r="H5493" t="str">
        <f>MID(Table132[[#This Row],[ÉTAT]],VALUE(RIGHT(Table132[[#This Row],[next move]],1))+1+VALUE(LEFT(Table132[[#This Row],[next move]],1))*3,1)</f>
        <v>V</v>
      </c>
      <c r="I5493" t="str">
        <f>Table132[[#This Row],[ÉTAT]]&amp;Table132[[#This Row],[next move]]</f>
        <v>EVEVVMVME11</v>
      </c>
    </row>
    <row r="5494" spans="2:9" x14ac:dyDescent="0.25">
      <c r="B5494" t="s">
        <v>1842</v>
      </c>
      <c r="C5494" s="22" t="s">
        <v>35</v>
      </c>
      <c r="D5494">
        <v>3</v>
      </c>
      <c r="G5494" s="30">
        <f>Table132[[#This Row],[nb win]]/Table132[[#This Row],[nb play]]</f>
        <v>0</v>
      </c>
      <c r="H5494" t="str">
        <f>MID(Table132[[#This Row],[ÉTAT]],VALUE(RIGHT(Table132[[#This Row],[next move]],1))+1+VALUE(LEFT(Table132[[#This Row],[next move]],1))*3,1)</f>
        <v>V</v>
      </c>
      <c r="I5494" t="str">
        <f>Table132[[#This Row],[ÉTAT]]&amp;Table132[[#This Row],[next move]]</f>
        <v>EVEVVMVME20</v>
      </c>
    </row>
    <row r="5495" spans="2:9" x14ac:dyDescent="0.25">
      <c r="B5495" t="s">
        <v>2932</v>
      </c>
      <c r="C5495" s="22" t="s">
        <v>26</v>
      </c>
      <c r="D5495">
        <v>1</v>
      </c>
      <c r="G5495" s="30">
        <f>Table132[[#This Row],[nb win]]/Table132[[#This Row],[nb play]]</f>
        <v>0</v>
      </c>
      <c r="H5495" t="str">
        <f>MID(Table132[[#This Row],[ÉTAT]],VALUE(RIGHT(Table132[[#This Row],[next move]],1))+1+VALUE(LEFT(Table132[[#This Row],[next move]],1))*3,1)</f>
        <v>V</v>
      </c>
      <c r="I5495" t="str">
        <f>Table132[[#This Row],[ÉTAT]]&amp;Table132[[#This Row],[next move]]</f>
        <v>EVEVVMVEM01</v>
      </c>
    </row>
    <row r="5496" spans="2:9" x14ac:dyDescent="0.25">
      <c r="B5496" t="s">
        <v>2932</v>
      </c>
      <c r="C5496" s="22" t="s">
        <v>30</v>
      </c>
      <c r="D5496">
        <v>1</v>
      </c>
      <c r="G5496" s="25">
        <f>Table132[[#This Row],[nb win]]/Table132[[#This Row],[nb play]]</f>
        <v>0</v>
      </c>
      <c r="H5496" t="str">
        <f>MID(Table132[[#This Row],[ÉTAT]],VALUE(RIGHT(Table132[[#This Row],[next move]],1))+1+VALUE(LEFT(Table132[[#This Row],[next move]],1))*3,1)</f>
        <v>V</v>
      </c>
      <c r="I5496" t="str">
        <f>Table132[[#This Row],[ÉTAT]]&amp;Table132[[#This Row],[next move]]</f>
        <v>EVEVVMVEM10</v>
      </c>
    </row>
    <row r="5497" spans="2:9" x14ac:dyDescent="0.25">
      <c r="B5497" t="s">
        <v>2932</v>
      </c>
      <c r="C5497" s="22" t="s">
        <v>29</v>
      </c>
      <c r="D5497">
        <v>2</v>
      </c>
      <c r="E5497">
        <v>1</v>
      </c>
      <c r="G5497" s="30">
        <f>Table132[[#This Row],[nb win]]/Table132[[#This Row],[nb play]]</f>
        <v>0.5</v>
      </c>
      <c r="H5497" t="str">
        <f>MID(Table132[[#This Row],[ÉTAT]],VALUE(RIGHT(Table132[[#This Row],[next move]],1))+1+VALUE(LEFT(Table132[[#This Row],[next move]],1))*3,1)</f>
        <v>V</v>
      </c>
      <c r="I5497" t="str">
        <f>Table132[[#This Row],[ÉTAT]]&amp;Table132[[#This Row],[next move]]</f>
        <v>EVEVVMVEM11</v>
      </c>
    </row>
    <row r="5498" spans="2:9" x14ac:dyDescent="0.25">
      <c r="B5498" t="s">
        <v>1720</v>
      </c>
      <c r="C5498" s="22" t="s">
        <v>29</v>
      </c>
      <c r="D5498">
        <v>4</v>
      </c>
      <c r="E5498">
        <v>1</v>
      </c>
      <c r="G5498" s="30">
        <f>Table132[[#This Row],[nb win]]/Table132[[#This Row],[nb play]]</f>
        <v>0.25</v>
      </c>
      <c r="H5498" t="str">
        <f>MID(Table132[[#This Row],[ÉTAT]],VALUE(RIGHT(Table132[[#This Row],[next move]],1))+1+VALUE(LEFT(Table132[[#This Row],[next move]],1))*3,1)</f>
        <v>V</v>
      </c>
      <c r="I5498" t="str">
        <f>Table132[[#This Row],[ÉTAT]]&amp;Table132[[#This Row],[next move]]</f>
        <v>EVEVVMMVV11</v>
      </c>
    </row>
    <row r="5499" spans="2:9" x14ac:dyDescent="0.25">
      <c r="B5499" t="s">
        <v>1720</v>
      </c>
      <c r="C5499" s="22" t="s">
        <v>31</v>
      </c>
      <c r="D5499">
        <v>1</v>
      </c>
      <c r="E5499">
        <v>1</v>
      </c>
      <c r="G5499" s="25">
        <f>Table132[[#This Row],[nb win]]/Table132[[#This Row],[nb play]]</f>
        <v>1</v>
      </c>
      <c r="H5499" t="str">
        <f>MID(Table132[[#This Row],[ÉTAT]],VALUE(RIGHT(Table132[[#This Row],[next move]],1))+1+VALUE(LEFT(Table132[[#This Row],[next move]],1))*3,1)</f>
        <v>V</v>
      </c>
      <c r="I5499" t="str">
        <f>Table132[[#This Row],[ÉTAT]]&amp;Table132[[#This Row],[next move]]</f>
        <v>EVEVVMMVV22</v>
      </c>
    </row>
    <row r="5500" spans="2:9" x14ac:dyDescent="0.25">
      <c r="B5500" t="s">
        <v>753</v>
      </c>
      <c r="C5500" s="22" t="s">
        <v>26</v>
      </c>
      <c r="D5500">
        <v>1</v>
      </c>
      <c r="G5500" s="25">
        <f>Table132[[#This Row],[nb win]]/Table132[[#This Row],[nb play]]</f>
        <v>0</v>
      </c>
      <c r="H5500" t="str">
        <f>MID(Table132[[#This Row],[ÉTAT]],VALUE(RIGHT(Table132[[#This Row],[next move]],1))+1+VALUE(LEFT(Table132[[#This Row],[next move]],1))*3,1)</f>
        <v>V</v>
      </c>
      <c r="I5500" t="str">
        <f>Table132[[#This Row],[ÉTAT]]&amp;Table132[[#This Row],[next move]]</f>
        <v>EVEVVMMEV01</v>
      </c>
    </row>
    <row r="5501" spans="2:9" x14ac:dyDescent="0.25">
      <c r="B5501" t="s">
        <v>753</v>
      </c>
      <c r="C5501" s="22" t="s">
        <v>30</v>
      </c>
      <c r="D5501">
        <v>4</v>
      </c>
      <c r="E5501">
        <v>1</v>
      </c>
      <c r="G5501" s="25">
        <f>Table132[[#This Row],[nb win]]/Table132[[#This Row],[nb play]]</f>
        <v>0.25</v>
      </c>
      <c r="H5501" t="str">
        <f>MID(Table132[[#This Row],[ÉTAT]],VALUE(RIGHT(Table132[[#This Row],[next move]],1))+1+VALUE(LEFT(Table132[[#This Row],[next move]],1))*3,1)</f>
        <v>V</v>
      </c>
      <c r="I5501" t="str">
        <f>Table132[[#This Row],[ÉTAT]]&amp;Table132[[#This Row],[next move]]</f>
        <v>EVEVVMMEV10</v>
      </c>
    </row>
    <row r="5502" spans="2:9" x14ac:dyDescent="0.25">
      <c r="B5502" t="s">
        <v>753</v>
      </c>
      <c r="C5502" s="22" t="s">
        <v>29</v>
      </c>
      <c r="D5502">
        <v>1</v>
      </c>
      <c r="G5502" s="25">
        <f>Table132[[#This Row],[nb win]]/Table132[[#This Row],[nb play]]</f>
        <v>0</v>
      </c>
      <c r="H5502" t="str">
        <f>MID(Table132[[#This Row],[ÉTAT]],VALUE(RIGHT(Table132[[#This Row],[next move]],1))+1+VALUE(LEFT(Table132[[#This Row],[next move]],1))*3,1)</f>
        <v>V</v>
      </c>
      <c r="I5502" t="str">
        <f>Table132[[#This Row],[ÉTAT]]&amp;Table132[[#This Row],[next move]]</f>
        <v>EVEVVMMEV11</v>
      </c>
    </row>
    <row r="5503" spans="2:9" x14ac:dyDescent="0.25">
      <c r="B5503" t="s">
        <v>753</v>
      </c>
      <c r="C5503" s="22" t="s">
        <v>31</v>
      </c>
      <c r="D5503">
        <v>1</v>
      </c>
      <c r="G5503" s="25">
        <f>Table132[[#This Row],[nb win]]/Table132[[#This Row],[nb play]]</f>
        <v>0</v>
      </c>
      <c r="H5503" t="str">
        <f>MID(Table132[[#This Row],[ÉTAT]],VALUE(RIGHT(Table132[[#This Row],[next move]],1))+1+VALUE(LEFT(Table132[[#This Row],[next move]],1))*3,1)</f>
        <v>V</v>
      </c>
      <c r="I5503" t="str">
        <f>Table132[[#This Row],[ÉTAT]]&amp;Table132[[#This Row],[next move]]</f>
        <v>EVEVVMMEV22</v>
      </c>
    </row>
    <row r="5504" spans="2:9" x14ac:dyDescent="0.25">
      <c r="B5504" t="s">
        <v>3382</v>
      </c>
      <c r="C5504" s="22" t="s">
        <v>30</v>
      </c>
      <c r="D5504">
        <v>1</v>
      </c>
      <c r="G5504" s="30">
        <f>Table132[[#This Row],[nb win]]/Table132[[#This Row],[nb play]]</f>
        <v>0</v>
      </c>
      <c r="H5504" t="str">
        <f>MID(Table132[[#This Row],[ÉTAT]],VALUE(RIGHT(Table132[[#This Row],[next move]],1))+1+VALUE(LEFT(Table132[[#This Row],[next move]],1))*3,1)</f>
        <v>V</v>
      </c>
      <c r="I5504" t="str">
        <f>Table132[[#This Row],[ÉTAT]]&amp;Table132[[#This Row],[next move]]</f>
        <v>EVEVVMMEM10</v>
      </c>
    </row>
    <row r="5505" spans="2:9" x14ac:dyDescent="0.25">
      <c r="B5505" t="s">
        <v>3382</v>
      </c>
      <c r="C5505" s="22" t="s">
        <v>29</v>
      </c>
      <c r="D5505">
        <v>1</v>
      </c>
      <c r="G5505" s="30">
        <f>Table132[[#This Row],[nb win]]/Table132[[#This Row],[nb play]]</f>
        <v>0</v>
      </c>
      <c r="H5505" t="str">
        <f>MID(Table132[[#This Row],[ÉTAT]],VALUE(RIGHT(Table132[[#This Row],[next move]],1))+1+VALUE(LEFT(Table132[[#This Row],[next move]],1))*3,1)</f>
        <v>V</v>
      </c>
      <c r="I5505" t="str">
        <f>Table132[[#This Row],[ÉTAT]]&amp;Table132[[#This Row],[next move]]</f>
        <v>EVEVVMMEM11</v>
      </c>
    </row>
    <row r="5506" spans="2:9" x14ac:dyDescent="0.25">
      <c r="B5506" t="s">
        <v>2580</v>
      </c>
      <c r="C5506" s="22" t="s">
        <v>26</v>
      </c>
      <c r="D5506">
        <v>2</v>
      </c>
      <c r="G5506" s="30">
        <f>Table132[[#This Row],[nb win]]/Table132[[#This Row],[nb play]]</f>
        <v>0</v>
      </c>
      <c r="H5506" t="str">
        <f>MID(Table132[[#This Row],[ÉTAT]],VALUE(RIGHT(Table132[[#This Row],[next move]],1))+1+VALUE(LEFT(Table132[[#This Row],[next move]],1))*3,1)</f>
        <v>V</v>
      </c>
      <c r="I5506" t="str">
        <f>Table132[[#This Row],[ÉTAT]]&amp;Table132[[#This Row],[next move]]</f>
        <v>EVEVVMEMM01</v>
      </c>
    </row>
    <row r="5507" spans="2:9" x14ac:dyDescent="0.25">
      <c r="B5507" t="s">
        <v>2580</v>
      </c>
      <c r="C5507" s="22" t="s">
        <v>30</v>
      </c>
      <c r="D5507">
        <v>2</v>
      </c>
      <c r="G5507" s="30">
        <f>Table132[[#This Row],[nb win]]/Table132[[#This Row],[nb play]]</f>
        <v>0</v>
      </c>
      <c r="H5507" t="str">
        <f>MID(Table132[[#This Row],[ÉTAT]],VALUE(RIGHT(Table132[[#This Row],[next move]],1))+1+VALUE(LEFT(Table132[[#This Row],[next move]],1))*3,1)</f>
        <v>V</v>
      </c>
      <c r="I5507" t="str">
        <f>Table132[[#This Row],[ÉTAT]]&amp;Table132[[#This Row],[next move]]</f>
        <v>EVEVVMEMM10</v>
      </c>
    </row>
    <row r="5508" spans="2:9" x14ac:dyDescent="0.25">
      <c r="B5508" t="s">
        <v>2580</v>
      </c>
      <c r="C5508" s="22" t="s">
        <v>29</v>
      </c>
      <c r="D5508">
        <v>2</v>
      </c>
      <c r="G5508" s="30">
        <f>Table132[[#This Row],[nb win]]/Table132[[#This Row],[nb play]]</f>
        <v>0</v>
      </c>
      <c r="H5508" t="str">
        <f>MID(Table132[[#This Row],[ÉTAT]],VALUE(RIGHT(Table132[[#This Row],[next move]],1))+1+VALUE(LEFT(Table132[[#This Row],[next move]],1))*3,1)</f>
        <v>V</v>
      </c>
      <c r="I5508" t="str">
        <f>Table132[[#This Row],[ÉTAT]]&amp;Table132[[#This Row],[next move]]</f>
        <v>EVEVVMEMM11</v>
      </c>
    </row>
    <row r="5509" spans="2:9" x14ac:dyDescent="0.25">
      <c r="B5509" t="s">
        <v>2968</v>
      </c>
      <c r="C5509" s="22" t="s">
        <v>29</v>
      </c>
      <c r="D5509">
        <v>2</v>
      </c>
      <c r="E5509">
        <v>1</v>
      </c>
      <c r="G5509" s="30">
        <f>Table132[[#This Row],[nb win]]/Table132[[#This Row],[nb play]]</f>
        <v>0.5</v>
      </c>
      <c r="H5509" t="str">
        <f>MID(Table132[[#This Row],[ÉTAT]],VALUE(RIGHT(Table132[[#This Row],[next move]],1))+1+VALUE(LEFT(Table132[[#This Row],[next move]],1))*3,1)</f>
        <v>V</v>
      </c>
      <c r="I5509" t="str">
        <f>Table132[[#This Row],[ÉTAT]]&amp;Table132[[#This Row],[next move]]</f>
        <v>EVEVVEVMM11</v>
      </c>
    </row>
    <row r="5510" spans="2:9" x14ac:dyDescent="0.25">
      <c r="B5510" t="s">
        <v>2270</v>
      </c>
      <c r="C5510" s="22" t="s">
        <v>22</v>
      </c>
      <c r="D5510">
        <v>3</v>
      </c>
      <c r="E5510">
        <v>3</v>
      </c>
      <c r="G5510" s="31">
        <f>Table132[[#This Row],[nb win]]/Table132[[#This Row],[nb play]]</f>
        <v>1</v>
      </c>
      <c r="H5510" t="str">
        <f>MID(Table132[[#This Row],[ÉTAT]],VALUE(RIGHT(Table132[[#This Row],[next move]],1))+1+VALUE(LEFT(Table132[[#This Row],[next move]],1))*3,1)</f>
        <v>V</v>
      </c>
      <c r="I5510" t="str">
        <f>Table132[[#This Row],[ÉTAT]]&amp;Table132[[#This Row],[next move]]</f>
        <v>EVEVVEMVM21</v>
      </c>
    </row>
    <row r="5511" spans="2:9" x14ac:dyDescent="0.25">
      <c r="B5511" t="s">
        <v>3356</v>
      </c>
      <c r="C5511" s="22" t="s">
        <v>31</v>
      </c>
      <c r="D5511">
        <v>1</v>
      </c>
      <c r="E5511">
        <v>1</v>
      </c>
      <c r="G5511" s="31">
        <f>Table132[[#This Row],[nb win]]/Table132[[#This Row],[nb play]]</f>
        <v>1</v>
      </c>
      <c r="H5511" t="str">
        <f>MID(Table132[[#This Row],[ÉTAT]],VALUE(RIGHT(Table132[[#This Row],[next move]],1))+1+VALUE(LEFT(Table132[[#This Row],[next move]],1))*3,1)</f>
        <v>V</v>
      </c>
      <c r="I5511" t="str">
        <f>Table132[[#This Row],[ÉTAT]]&amp;Table132[[#This Row],[next move]]</f>
        <v>EVEVVEMMV22</v>
      </c>
    </row>
    <row r="5512" spans="2:9" x14ac:dyDescent="0.25">
      <c r="B5512" t="s">
        <v>2426</v>
      </c>
      <c r="C5512" s="22" t="s">
        <v>26</v>
      </c>
      <c r="D5512">
        <v>4</v>
      </c>
      <c r="E5512">
        <v>4</v>
      </c>
      <c r="G5512" s="31">
        <f>Table132[[#This Row],[nb win]]/Table132[[#This Row],[nb play]]</f>
        <v>1</v>
      </c>
      <c r="H5512" t="str">
        <f>MID(Table132[[#This Row],[ÉTAT]],VALUE(RIGHT(Table132[[#This Row],[next move]],1))+1+VALUE(LEFT(Table132[[#This Row],[next move]],1))*3,1)</f>
        <v>V</v>
      </c>
      <c r="I5512" t="str">
        <f>Table132[[#This Row],[ÉTAT]]&amp;Table132[[#This Row],[next move]]</f>
        <v>EVEVMVVVV01</v>
      </c>
    </row>
    <row r="5513" spans="2:9" x14ac:dyDescent="0.25">
      <c r="B5513" t="s">
        <v>2426</v>
      </c>
      <c r="C5513" s="22" t="s">
        <v>28</v>
      </c>
      <c r="D5513">
        <v>2</v>
      </c>
      <c r="E5513">
        <v>1</v>
      </c>
      <c r="G5513" s="25">
        <f>Table132[[#This Row],[nb win]]/Table132[[#This Row],[nb play]]</f>
        <v>0.5</v>
      </c>
      <c r="H5513" t="str">
        <f>MID(Table132[[#This Row],[ÉTAT]],VALUE(RIGHT(Table132[[#This Row],[next move]],1))+1+VALUE(LEFT(Table132[[#This Row],[next move]],1))*3,1)</f>
        <v>V</v>
      </c>
      <c r="I5513" t="str">
        <f>Table132[[#This Row],[ÉTAT]]&amp;Table132[[#This Row],[next move]]</f>
        <v>EVEVMVVVV12</v>
      </c>
    </row>
    <row r="5514" spans="2:9" x14ac:dyDescent="0.25">
      <c r="B5514" t="s">
        <v>2426</v>
      </c>
      <c r="C5514" s="22" t="s">
        <v>35</v>
      </c>
      <c r="D5514">
        <v>2</v>
      </c>
      <c r="G5514" s="30">
        <f>Table132[[#This Row],[nb win]]/Table132[[#This Row],[nb play]]</f>
        <v>0</v>
      </c>
      <c r="H5514" t="str">
        <f>MID(Table132[[#This Row],[ÉTAT]],VALUE(RIGHT(Table132[[#This Row],[next move]],1))+1+VALUE(LEFT(Table132[[#This Row],[next move]],1))*3,1)</f>
        <v>V</v>
      </c>
      <c r="I5514" t="str">
        <f>Table132[[#This Row],[ÉTAT]]&amp;Table132[[#This Row],[next move]]</f>
        <v>EVEVMVVVV20</v>
      </c>
    </row>
    <row r="5515" spans="2:9" x14ac:dyDescent="0.25">
      <c r="B5515" t="s">
        <v>2426</v>
      </c>
      <c r="C5515" s="22" t="s">
        <v>22</v>
      </c>
      <c r="D5515">
        <v>4</v>
      </c>
      <c r="E5515">
        <v>2</v>
      </c>
      <c r="G5515" s="31">
        <f>Table132[[#This Row],[nb win]]/Table132[[#This Row],[nb play]]</f>
        <v>0.5</v>
      </c>
      <c r="H5515" t="str">
        <f>MID(Table132[[#This Row],[ÉTAT]],VALUE(RIGHT(Table132[[#This Row],[next move]],1))+1+VALUE(LEFT(Table132[[#This Row],[next move]],1))*3,1)</f>
        <v>V</v>
      </c>
      <c r="I5515" t="str">
        <f>Table132[[#This Row],[ÉTAT]]&amp;Table132[[#This Row],[next move]]</f>
        <v>EVEVMVVVV21</v>
      </c>
    </row>
    <row r="5516" spans="2:9" x14ac:dyDescent="0.25">
      <c r="B5516" t="s">
        <v>2426</v>
      </c>
      <c r="C5516" s="22" t="s">
        <v>31</v>
      </c>
      <c r="D5516">
        <v>3</v>
      </c>
      <c r="G5516" s="30">
        <f>Table132[[#This Row],[nb win]]/Table132[[#This Row],[nb play]]</f>
        <v>0</v>
      </c>
      <c r="H5516" t="str">
        <f>MID(Table132[[#This Row],[ÉTAT]],VALUE(RIGHT(Table132[[#This Row],[next move]],1))+1+VALUE(LEFT(Table132[[#This Row],[next move]],1))*3,1)</f>
        <v>V</v>
      </c>
      <c r="I5516" t="str">
        <f>Table132[[#This Row],[ÉTAT]]&amp;Table132[[#This Row],[next move]]</f>
        <v>EVEVMVVVV22</v>
      </c>
    </row>
    <row r="5517" spans="2:9" x14ac:dyDescent="0.25">
      <c r="B5517" t="s">
        <v>484</v>
      </c>
      <c r="C5517" s="22" t="s">
        <v>26</v>
      </c>
      <c r="D5517">
        <v>1</v>
      </c>
      <c r="E5517">
        <v>1</v>
      </c>
      <c r="G5517" s="31">
        <f>Table132[[#This Row],[nb win]]/Table132[[#This Row],[nb play]]</f>
        <v>1</v>
      </c>
      <c r="H5517" t="str">
        <f>MID(Table132[[#This Row],[ÉTAT]],VALUE(RIGHT(Table132[[#This Row],[next move]],1))+1+VALUE(LEFT(Table132[[#This Row],[next move]],1))*3,1)</f>
        <v>V</v>
      </c>
      <c r="I5517" t="str">
        <f>Table132[[#This Row],[ÉTAT]]&amp;Table132[[#This Row],[next move]]</f>
        <v>EVEVMVVVM01</v>
      </c>
    </row>
    <row r="5518" spans="2:9" x14ac:dyDescent="0.25">
      <c r="B5518" t="s">
        <v>484</v>
      </c>
      <c r="C5518" s="22" t="s">
        <v>30</v>
      </c>
      <c r="D5518">
        <v>1</v>
      </c>
      <c r="G5518" s="30">
        <f>Table132[[#This Row],[nb win]]/Table132[[#This Row],[nb play]]</f>
        <v>0</v>
      </c>
      <c r="H5518" t="str">
        <f>MID(Table132[[#This Row],[ÉTAT]],VALUE(RIGHT(Table132[[#This Row],[next move]],1))+1+VALUE(LEFT(Table132[[#This Row],[next move]],1))*3,1)</f>
        <v>V</v>
      </c>
      <c r="I5518" t="str">
        <f>Table132[[#This Row],[ÉTAT]]&amp;Table132[[#This Row],[next move]]</f>
        <v>EVEVMVVVM10</v>
      </c>
    </row>
    <row r="5519" spans="2:9" x14ac:dyDescent="0.25">
      <c r="B5519" t="s">
        <v>484</v>
      </c>
      <c r="C5519" s="22" t="s">
        <v>28</v>
      </c>
      <c r="D5519">
        <v>1</v>
      </c>
      <c r="G5519" s="25">
        <f>Table132[[#This Row],[nb win]]/Table132[[#This Row],[nb play]]</f>
        <v>0</v>
      </c>
      <c r="H5519" t="str">
        <f>MID(Table132[[#This Row],[ÉTAT]],VALUE(RIGHT(Table132[[#This Row],[next move]],1))+1+VALUE(LEFT(Table132[[#This Row],[next move]],1))*3,1)</f>
        <v>V</v>
      </c>
      <c r="I5519" t="str">
        <f>Table132[[#This Row],[ÉTAT]]&amp;Table132[[#This Row],[next move]]</f>
        <v>EVEVMVVVM12</v>
      </c>
    </row>
    <row r="5520" spans="2:9" x14ac:dyDescent="0.25">
      <c r="B5520" t="s">
        <v>484</v>
      </c>
      <c r="C5520" s="22" t="s">
        <v>22</v>
      </c>
      <c r="D5520">
        <v>3</v>
      </c>
      <c r="E5520">
        <v>2</v>
      </c>
      <c r="G5520" s="25">
        <f>Table132[[#This Row],[nb win]]/Table132[[#This Row],[nb play]]</f>
        <v>0.66666666666666663</v>
      </c>
      <c r="H5520" t="str">
        <f>MID(Table132[[#This Row],[ÉTAT]],VALUE(RIGHT(Table132[[#This Row],[next move]],1))+1+VALUE(LEFT(Table132[[#This Row],[next move]],1))*3,1)</f>
        <v>V</v>
      </c>
      <c r="I5520" t="str">
        <f>Table132[[#This Row],[ÉTAT]]&amp;Table132[[#This Row],[next move]]</f>
        <v>EVEVMVVVM21</v>
      </c>
    </row>
    <row r="5521" spans="2:9" x14ac:dyDescent="0.25">
      <c r="B5521" t="s">
        <v>1915</v>
      </c>
      <c r="C5521" s="22" t="s">
        <v>26</v>
      </c>
      <c r="D5521">
        <v>2</v>
      </c>
      <c r="E5521">
        <v>2</v>
      </c>
      <c r="G5521" s="31">
        <f>Table132[[#This Row],[nb win]]/Table132[[#This Row],[nb play]]</f>
        <v>1</v>
      </c>
      <c r="H5521" t="str">
        <f>MID(Table132[[#This Row],[ÉTAT]],VALUE(RIGHT(Table132[[#This Row],[next move]],1))+1+VALUE(LEFT(Table132[[#This Row],[next move]],1))*3,1)</f>
        <v>V</v>
      </c>
      <c r="I5521" t="str">
        <f>Table132[[#This Row],[ÉTAT]]&amp;Table132[[#This Row],[next move]]</f>
        <v>EVEVMVVMV01</v>
      </c>
    </row>
    <row r="5522" spans="2:9" x14ac:dyDescent="0.25">
      <c r="B5522" t="s">
        <v>1915</v>
      </c>
      <c r="C5522" s="22" t="s">
        <v>28</v>
      </c>
      <c r="D5522">
        <v>1</v>
      </c>
      <c r="G5522" s="30">
        <f>Table132[[#This Row],[nb win]]/Table132[[#This Row],[nb play]]</f>
        <v>0</v>
      </c>
      <c r="H5522" t="str">
        <f>MID(Table132[[#This Row],[ÉTAT]],VALUE(RIGHT(Table132[[#This Row],[next move]],1))+1+VALUE(LEFT(Table132[[#This Row],[next move]],1))*3,1)</f>
        <v>V</v>
      </c>
      <c r="I5522" t="str">
        <f>Table132[[#This Row],[ÉTAT]]&amp;Table132[[#This Row],[next move]]</f>
        <v>EVEVMVVMV12</v>
      </c>
    </row>
    <row r="5523" spans="2:9" x14ac:dyDescent="0.25">
      <c r="B5523" t="s">
        <v>1915</v>
      </c>
      <c r="C5523" s="22" t="s">
        <v>35</v>
      </c>
      <c r="D5523">
        <v>1</v>
      </c>
      <c r="G5523" s="30">
        <f>Table132[[#This Row],[nb win]]/Table132[[#This Row],[nb play]]</f>
        <v>0</v>
      </c>
      <c r="H5523" t="str">
        <f>MID(Table132[[#This Row],[ÉTAT]],VALUE(RIGHT(Table132[[#This Row],[next move]],1))+1+VALUE(LEFT(Table132[[#This Row],[next move]],1))*3,1)</f>
        <v>V</v>
      </c>
      <c r="I5523" t="str">
        <f>Table132[[#This Row],[ÉTAT]]&amp;Table132[[#This Row],[next move]]</f>
        <v>EVEVMVVMV20</v>
      </c>
    </row>
    <row r="5524" spans="2:9" x14ac:dyDescent="0.25">
      <c r="B5524" t="s">
        <v>1915</v>
      </c>
      <c r="C5524" s="22" t="s">
        <v>31</v>
      </c>
      <c r="D5524">
        <v>2</v>
      </c>
      <c r="G5524" s="30">
        <f>Table132[[#This Row],[nb win]]/Table132[[#This Row],[nb play]]</f>
        <v>0</v>
      </c>
      <c r="H5524" t="str">
        <f>MID(Table132[[#This Row],[ÉTAT]],VALUE(RIGHT(Table132[[#This Row],[next move]],1))+1+VALUE(LEFT(Table132[[#This Row],[next move]],1))*3,1)</f>
        <v>V</v>
      </c>
      <c r="I5524" t="str">
        <f>Table132[[#This Row],[ÉTAT]]&amp;Table132[[#This Row],[next move]]</f>
        <v>EVEVMVVMV22</v>
      </c>
    </row>
    <row r="5525" spans="2:9" x14ac:dyDescent="0.25">
      <c r="B5525" t="s">
        <v>1261</v>
      </c>
      <c r="C5525" s="22" t="s">
        <v>26</v>
      </c>
      <c r="D5525">
        <v>3</v>
      </c>
      <c r="E5525">
        <v>3</v>
      </c>
      <c r="G5525" s="31">
        <f>Table132[[#This Row],[nb win]]/Table132[[#This Row],[nb play]]</f>
        <v>1</v>
      </c>
      <c r="H5525" t="str">
        <f>MID(Table132[[#This Row],[ÉTAT]],VALUE(RIGHT(Table132[[#This Row],[next move]],1))+1+VALUE(LEFT(Table132[[#This Row],[next move]],1))*3,1)</f>
        <v>V</v>
      </c>
      <c r="I5525" t="str">
        <f>Table132[[#This Row],[ÉTAT]]&amp;Table132[[#This Row],[next move]]</f>
        <v>EVEVMVVME01</v>
      </c>
    </row>
    <row r="5526" spans="2:9" x14ac:dyDescent="0.25">
      <c r="B5526" t="s">
        <v>203</v>
      </c>
      <c r="C5526" s="22" t="s">
        <v>26</v>
      </c>
      <c r="D5526">
        <v>3</v>
      </c>
      <c r="E5526">
        <v>3</v>
      </c>
      <c r="G5526" s="25">
        <f>Table132[[#This Row],[nb win]]/Table132[[#This Row],[nb play]]</f>
        <v>1</v>
      </c>
      <c r="H5526" t="str">
        <f>MID(Table132[[#This Row],[ÉTAT]],VALUE(RIGHT(Table132[[#This Row],[next move]],1))+1+VALUE(LEFT(Table132[[#This Row],[next move]],1))*3,1)</f>
        <v>V</v>
      </c>
      <c r="I5526" t="str">
        <f>Table132[[#This Row],[ÉTAT]]&amp;Table132[[#This Row],[next move]]</f>
        <v>EVEVMVMVV01</v>
      </c>
    </row>
    <row r="5527" spans="2:9" x14ac:dyDescent="0.25">
      <c r="B5527" t="s">
        <v>203</v>
      </c>
      <c r="C5527" s="22" t="s">
        <v>30</v>
      </c>
      <c r="D5527">
        <v>3</v>
      </c>
      <c r="G5527" s="25">
        <f>Table132[[#This Row],[nb win]]/Table132[[#This Row],[nb play]]</f>
        <v>0</v>
      </c>
      <c r="H5527" t="str">
        <f>MID(Table132[[#This Row],[ÉTAT]],VALUE(RIGHT(Table132[[#This Row],[next move]],1))+1+VALUE(LEFT(Table132[[#This Row],[next move]],1))*3,1)</f>
        <v>V</v>
      </c>
      <c r="I5527" t="str">
        <f>Table132[[#This Row],[ÉTAT]]&amp;Table132[[#This Row],[next move]]</f>
        <v>EVEVMVMVV10</v>
      </c>
    </row>
    <row r="5528" spans="2:9" x14ac:dyDescent="0.25">
      <c r="B5528" t="s">
        <v>203</v>
      </c>
      <c r="C5528" s="22" t="s">
        <v>28</v>
      </c>
      <c r="D5528">
        <v>3</v>
      </c>
      <c r="G5528" s="30">
        <f>Table132[[#This Row],[nb win]]/Table132[[#This Row],[nb play]]</f>
        <v>0</v>
      </c>
      <c r="H5528" t="str">
        <f>MID(Table132[[#This Row],[ÉTAT]],VALUE(RIGHT(Table132[[#This Row],[next move]],1))+1+VALUE(LEFT(Table132[[#This Row],[next move]],1))*3,1)</f>
        <v>V</v>
      </c>
      <c r="I5528" t="str">
        <f>Table132[[#This Row],[ÉTAT]]&amp;Table132[[#This Row],[next move]]</f>
        <v>EVEVMVMVV12</v>
      </c>
    </row>
    <row r="5529" spans="2:9" x14ac:dyDescent="0.25">
      <c r="B5529" t="s">
        <v>203</v>
      </c>
      <c r="C5529" s="22" t="s">
        <v>22</v>
      </c>
      <c r="D5529">
        <v>5</v>
      </c>
      <c r="E5529">
        <v>1</v>
      </c>
      <c r="G5529" s="30">
        <f>Table132[[#This Row],[nb win]]/Table132[[#This Row],[nb play]]</f>
        <v>0.2</v>
      </c>
      <c r="H5529" t="str">
        <f>MID(Table132[[#This Row],[ÉTAT]],VALUE(RIGHT(Table132[[#This Row],[next move]],1))+1+VALUE(LEFT(Table132[[#This Row],[next move]],1))*3,1)</f>
        <v>V</v>
      </c>
      <c r="I5529" t="str">
        <f>Table132[[#This Row],[ÉTAT]]&amp;Table132[[#This Row],[next move]]</f>
        <v>EVEVMVMVV21</v>
      </c>
    </row>
    <row r="5530" spans="2:9" x14ac:dyDescent="0.25">
      <c r="B5530" t="s">
        <v>203</v>
      </c>
      <c r="C5530" s="22" t="s">
        <v>31</v>
      </c>
      <c r="D5530">
        <v>2</v>
      </c>
      <c r="E5530">
        <v>1</v>
      </c>
      <c r="G5530" s="25">
        <f>Table132[[#This Row],[nb win]]/Table132[[#This Row],[nb play]]</f>
        <v>0.5</v>
      </c>
      <c r="H5530" t="str">
        <f>MID(Table132[[#This Row],[ÉTAT]],VALUE(RIGHT(Table132[[#This Row],[next move]],1))+1+VALUE(LEFT(Table132[[#This Row],[next move]],1))*3,1)</f>
        <v>V</v>
      </c>
      <c r="I5530" t="str">
        <f>Table132[[#This Row],[ÉTAT]]&amp;Table132[[#This Row],[next move]]</f>
        <v>EVEVMVMVV22</v>
      </c>
    </row>
    <row r="5531" spans="2:9" x14ac:dyDescent="0.25">
      <c r="B5531" t="s">
        <v>218</v>
      </c>
      <c r="C5531" s="22" t="s">
        <v>26</v>
      </c>
      <c r="D5531">
        <v>3</v>
      </c>
      <c r="E5531">
        <v>1</v>
      </c>
      <c r="G5531" s="30">
        <f>Table132[[#This Row],[nb win]]/Table132[[#This Row],[nb play]]</f>
        <v>0.33333333333333331</v>
      </c>
      <c r="H5531" t="str">
        <f>MID(Table132[[#This Row],[ÉTAT]],VALUE(RIGHT(Table132[[#This Row],[next move]],1))+1+VALUE(LEFT(Table132[[#This Row],[next move]],1))*3,1)</f>
        <v>V</v>
      </c>
      <c r="I5531" t="str">
        <f>Table132[[#This Row],[ÉTAT]]&amp;Table132[[#This Row],[next move]]</f>
        <v>EVEVMVMVE01</v>
      </c>
    </row>
    <row r="5532" spans="2:9" x14ac:dyDescent="0.25">
      <c r="B5532" t="s">
        <v>218</v>
      </c>
      <c r="C5532" s="22" t="s">
        <v>30</v>
      </c>
      <c r="D5532">
        <v>2</v>
      </c>
      <c r="G5532" s="30">
        <f>Table132[[#This Row],[nb win]]/Table132[[#This Row],[nb play]]</f>
        <v>0</v>
      </c>
      <c r="H5532" t="str">
        <f>MID(Table132[[#This Row],[ÉTAT]],VALUE(RIGHT(Table132[[#This Row],[next move]],1))+1+VALUE(LEFT(Table132[[#This Row],[next move]],1))*3,1)</f>
        <v>V</v>
      </c>
      <c r="I5532" t="str">
        <f>Table132[[#This Row],[ÉTAT]]&amp;Table132[[#This Row],[next move]]</f>
        <v>EVEVMVMVE10</v>
      </c>
    </row>
    <row r="5533" spans="2:9" x14ac:dyDescent="0.25">
      <c r="B5533" t="s">
        <v>218</v>
      </c>
      <c r="C5533" s="22" t="s">
        <v>28</v>
      </c>
      <c r="D5533">
        <v>1</v>
      </c>
      <c r="G5533" s="25">
        <f>Table132[[#This Row],[nb win]]/Table132[[#This Row],[nb play]]</f>
        <v>0</v>
      </c>
      <c r="H5533" t="str">
        <f>MID(Table132[[#This Row],[ÉTAT]],VALUE(RIGHT(Table132[[#This Row],[next move]],1))+1+VALUE(LEFT(Table132[[#This Row],[next move]],1))*3,1)</f>
        <v>V</v>
      </c>
      <c r="I5533" t="str">
        <f>Table132[[#This Row],[ÉTAT]]&amp;Table132[[#This Row],[next move]]</f>
        <v>EVEVMVMVE12</v>
      </c>
    </row>
    <row r="5534" spans="2:9" x14ac:dyDescent="0.25">
      <c r="B5534" t="s">
        <v>218</v>
      </c>
      <c r="C5534" s="22" t="s">
        <v>22</v>
      </c>
      <c r="D5534">
        <v>1</v>
      </c>
      <c r="G5534" s="25">
        <f>Table132[[#This Row],[nb win]]/Table132[[#This Row],[nb play]]</f>
        <v>0</v>
      </c>
      <c r="H5534" t="str">
        <f>MID(Table132[[#This Row],[ÉTAT]],VALUE(RIGHT(Table132[[#This Row],[next move]],1))+1+VALUE(LEFT(Table132[[#This Row],[next move]],1))*3,1)</f>
        <v>V</v>
      </c>
      <c r="I5534" t="str">
        <f>Table132[[#This Row],[ÉTAT]]&amp;Table132[[#This Row],[next move]]</f>
        <v>EVEVMVMVE21</v>
      </c>
    </row>
    <row r="5535" spans="2:9" x14ac:dyDescent="0.25">
      <c r="B5535" t="s">
        <v>180</v>
      </c>
      <c r="C5535" s="22" t="s">
        <v>30</v>
      </c>
      <c r="D5535">
        <v>1</v>
      </c>
      <c r="G5535" s="30">
        <f>Table132[[#This Row],[nb win]]/Table132[[#This Row],[nb play]]</f>
        <v>0</v>
      </c>
      <c r="H5535" t="str">
        <f>MID(Table132[[#This Row],[ÉTAT]],VALUE(RIGHT(Table132[[#This Row],[next move]],1))+1+VALUE(LEFT(Table132[[#This Row],[next move]],1))*3,1)</f>
        <v>V</v>
      </c>
      <c r="I5535" t="str">
        <f>Table132[[#This Row],[ÉTAT]]&amp;Table132[[#This Row],[next move]]</f>
        <v>EVEVMVMME10</v>
      </c>
    </row>
    <row r="5536" spans="2:9" x14ac:dyDescent="0.25">
      <c r="B5536" t="s">
        <v>180</v>
      </c>
      <c r="C5536" s="22" t="s">
        <v>28</v>
      </c>
      <c r="D5536">
        <v>2</v>
      </c>
      <c r="E5536">
        <v>1</v>
      </c>
      <c r="G5536" s="30">
        <f>Table132[[#This Row],[nb win]]/Table132[[#This Row],[nb play]]</f>
        <v>0.5</v>
      </c>
      <c r="H5536" t="str">
        <f>MID(Table132[[#This Row],[ÉTAT]],VALUE(RIGHT(Table132[[#This Row],[next move]],1))+1+VALUE(LEFT(Table132[[#This Row],[next move]],1))*3,1)</f>
        <v>V</v>
      </c>
      <c r="I5536" t="str">
        <f>Table132[[#This Row],[ÉTAT]]&amp;Table132[[#This Row],[next move]]</f>
        <v>EVEVMVMME12</v>
      </c>
    </row>
    <row r="5537" spans="2:9" x14ac:dyDescent="0.25">
      <c r="B5537" t="s">
        <v>1095</v>
      </c>
      <c r="C5537" s="22" t="s">
        <v>30</v>
      </c>
      <c r="D5537">
        <v>1</v>
      </c>
      <c r="G5537" s="25">
        <f>Table132[[#This Row],[nb win]]/Table132[[#This Row],[nb play]]</f>
        <v>0</v>
      </c>
      <c r="H5537" t="str">
        <f>MID(Table132[[#This Row],[ÉTAT]],VALUE(RIGHT(Table132[[#This Row],[next move]],1))+1+VALUE(LEFT(Table132[[#This Row],[next move]],1))*3,1)</f>
        <v>V</v>
      </c>
      <c r="I5537" t="str">
        <f>Table132[[#This Row],[ÉTAT]]&amp;Table132[[#This Row],[next move]]</f>
        <v>EVEVMVMEV10</v>
      </c>
    </row>
    <row r="5538" spans="2:9" x14ac:dyDescent="0.25">
      <c r="B5538" t="s">
        <v>3203</v>
      </c>
      <c r="C5538" s="22" t="s">
        <v>26</v>
      </c>
      <c r="D5538">
        <v>1</v>
      </c>
      <c r="G5538" s="30">
        <f>Table132[[#This Row],[nb win]]/Table132[[#This Row],[nb play]]</f>
        <v>0</v>
      </c>
      <c r="H5538" t="str">
        <f>MID(Table132[[#This Row],[ÉTAT]],VALUE(RIGHT(Table132[[#This Row],[next move]],1))+1+VALUE(LEFT(Table132[[#This Row],[next move]],1))*3,1)</f>
        <v>V</v>
      </c>
      <c r="I5538" t="str">
        <f>Table132[[#This Row],[ÉTAT]]&amp;Table132[[#This Row],[next move]]</f>
        <v>EVEVMVEVM01</v>
      </c>
    </row>
    <row r="5539" spans="2:9" x14ac:dyDescent="0.25">
      <c r="B5539" t="s">
        <v>1020</v>
      </c>
      <c r="C5539" s="22" t="s">
        <v>26</v>
      </c>
      <c r="D5539">
        <v>3</v>
      </c>
      <c r="E5539">
        <v>3</v>
      </c>
      <c r="G5539" s="31">
        <f>Table132[[#This Row],[nb win]]/Table132[[#This Row],[nb play]]</f>
        <v>1</v>
      </c>
      <c r="H5539" t="str">
        <f>MID(Table132[[#This Row],[ÉTAT]],VALUE(RIGHT(Table132[[#This Row],[next move]],1))+1+VALUE(LEFT(Table132[[#This Row],[next move]],1))*3,1)</f>
        <v>V</v>
      </c>
      <c r="I5539" t="str">
        <f>Table132[[#This Row],[ÉTAT]]&amp;Table132[[#This Row],[next move]]</f>
        <v>EVEVMVEMM01</v>
      </c>
    </row>
    <row r="5540" spans="2:9" x14ac:dyDescent="0.25">
      <c r="B5540" t="s">
        <v>1020</v>
      </c>
      <c r="C5540" s="22" t="s">
        <v>28</v>
      </c>
      <c r="D5540">
        <v>1</v>
      </c>
      <c r="G5540" s="25">
        <f>Table132[[#This Row],[nb win]]/Table132[[#This Row],[nb play]]</f>
        <v>0</v>
      </c>
      <c r="H5540" t="str">
        <f>MID(Table132[[#This Row],[ÉTAT]],VALUE(RIGHT(Table132[[#This Row],[next move]],1))+1+VALUE(LEFT(Table132[[#This Row],[next move]],1))*3,1)</f>
        <v>V</v>
      </c>
      <c r="I5540" t="str">
        <f>Table132[[#This Row],[ÉTAT]]&amp;Table132[[#This Row],[next move]]</f>
        <v>EVEVMVEMM12</v>
      </c>
    </row>
    <row r="5541" spans="2:9" x14ac:dyDescent="0.25">
      <c r="B5541" t="s">
        <v>1832</v>
      </c>
      <c r="C5541" s="22" t="s">
        <v>30</v>
      </c>
      <c r="D5541">
        <v>6</v>
      </c>
      <c r="E5541">
        <v>6</v>
      </c>
      <c r="G5541" s="31">
        <f>Table132[[#This Row],[nb win]]/Table132[[#This Row],[nb play]]</f>
        <v>1</v>
      </c>
      <c r="H5541" t="str">
        <f>MID(Table132[[#This Row],[ÉTAT]],VALUE(RIGHT(Table132[[#This Row],[next move]],1))+1+VALUE(LEFT(Table132[[#This Row],[next move]],1))*3,1)</f>
        <v>V</v>
      </c>
      <c r="I5541" t="str">
        <f>Table132[[#This Row],[ÉTAT]]&amp;Table132[[#This Row],[next move]]</f>
        <v>EVEVMMVVV10</v>
      </c>
    </row>
    <row r="5542" spans="2:9" x14ac:dyDescent="0.25">
      <c r="B5542" t="s">
        <v>1832</v>
      </c>
      <c r="C5542" s="22" t="s">
        <v>35</v>
      </c>
      <c r="D5542">
        <v>2</v>
      </c>
      <c r="G5542" s="30">
        <f>Table132[[#This Row],[nb win]]/Table132[[#This Row],[nb play]]</f>
        <v>0</v>
      </c>
      <c r="H5542" t="str">
        <f>MID(Table132[[#This Row],[ÉTAT]],VALUE(RIGHT(Table132[[#This Row],[next move]],1))+1+VALUE(LEFT(Table132[[#This Row],[next move]],1))*3,1)</f>
        <v>V</v>
      </c>
      <c r="I5542" t="str">
        <f>Table132[[#This Row],[ÉTAT]]&amp;Table132[[#This Row],[next move]]</f>
        <v>EVEVMMVVV20</v>
      </c>
    </row>
    <row r="5543" spans="2:9" x14ac:dyDescent="0.25">
      <c r="B5543" t="s">
        <v>1832</v>
      </c>
      <c r="C5543" s="22" t="s">
        <v>22</v>
      </c>
      <c r="D5543">
        <v>2</v>
      </c>
      <c r="G5543" s="30">
        <f>Table132[[#This Row],[nb win]]/Table132[[#This Row],[nb play]]</f>
        <v>0</v>
      </c>
      <c r="H5543" t="str">
        <f>MID(Table132[[#This Row],[ÉTAT]],VALUE(RIGHT(Table132[[#This Row],[next move]],1))+1+VALUE(LEFT(Table132[[#This Row],[next move]],1))*3,1)</f>
        <v>V</v>
      </c>
      <c r="I5543" t="str">
        <f>Table132[[#This Row],[ÉTAT]]&amp;Table132[[#This Row],[next move]]</f>
        <v>EVEVMMVVV21</v>
      </c>
    </row>
    <row r="5544" spans="2:9" x14ac:dyDescent="0.25">
      <c r="B5544" t="s">
        <v>1847</v>
      </c>
      <c r="C5544" s="22" t="s">
        <v>30</v>
      </c>
      <c r="D5544">
        <v>6</v>
      </c>
      <c r="E5544">
        <v>6</v>
      </c>
      <c r="G5544" s="31">
        <f>Table132[[#This Row],[nb win]]/Table132[[#This Row],[nb play]]</f>
        <v>1</v>
      </c>
      <c r="H5544" t="str">
        <f>MID(Table132[[#This Row],[ÉTAT]],VALUE(RIGHT(Table132[[#This Row],[next move]],1))+1+VALUE(LEFT(Table132[[#This Row],[next move]],1))*3,1)</f>
        <v>V</v>
      </c>
      <c r="I5544" t="str">
        <f>Table132[[#This Row],[ÉTAT]]&amp;Table132[[#This Row],[next move]]</f>
        <v>EVEVMMVVE10</v>
      </c>
    </row>
    <row r="5545" spans="2:9" x14ac:dyDescent="0.25">
      <c r="B5545" t="s">
        <v>2651</v>
      </c>
      <c r="C5545" s="22" t="s">
        <v>26</v>
      </c>
      <c r="D5545">
        <v>1</v>
      </c>
      <c r="E5545">
        <v>1</v>
      </c>
      <c r="G5545" s="31">
        <f>Table132[[#This Row],[nb win]]/Table132[[#This Row],[nb play]]</f>
        <v>1</v>
      </c>
      <c r="H5545" t="str">
        <f>MID(Table132[[#This Row],[ÉTAT]],VALUE(RIGHT(Table132[[#This Row],[next move]],1))+1+VALUE(LEFT(Table132[[#This Row],[next move]],1))*3,1)</f>
        <v>V</v>
      </c>
      <c r="I5545" t="str">
        <f>Table132[[#This Row],[ÉTAT]]&amp;Table132[[#This Row],[next move]]</f>
        <v>EVEVMMVEV01</v>
      </c>
    </row>
    <row r="5546" spans="2:9" x14ac:dyDescent="0.25">
      <c r="B5546" t="s">
        <v>2651</v>
      </c>
      <c r="C5546" s="22" t="s">
        <v>31</v>
      </c>
      <c r="D5546">
        <v>2</v>
      </c>
      <c r="E5546">
        <v>1</v>
      </c>
      <c r="G5546" s="30">
        <f>Table132[[#This Row],[nb win]]/Table132[[#This Row],[nb play]]</f>
        <v>0.5</v>
      </c>
      <c r="H5546" t="str">
        <f>MID(Table132[[#This Row],[ÉTAT]],VALUE(RIGHT(Table132[[#This Row],[next move]],1))+1+VALUE(LEFT(Table132[[#This Row],[next move]],1))*3,1)</f>
        <v>V</v>
      </c>
      <c r="I5546" t="str">
        <f>Table132[[#This Row],[ÉTAT]]&amp;Table132[[#This Row],[next move]]</f>
        <v>EVEVMMVEV22</v>
      </c>
    </row>
    <row r="5547" spans="2:9" x14ac:dyDescent="0.25">
      <c r="B5547" t="s">
        <v>3472</v>
      </c>
      <c r="C5547" s="22" t="s">
        <v>35</v>
      </c>
      <c r="D5547">
        <v>1</v>
      </c>
      <c r="G5547" s="30">
        <f>Table132[[#This Row],[nb win]]/Table132[[#This Row],[nb play]]</f>
        <v>0</v>
      </c>
      <c r="H5547" t="str">
        <f>MID(Table132[[#This Row],[ÉTAT]],VALUE(RIGHT(Table132[[#This Row],[next move]],1))+1+VALUE(LEFT(Table132[[#This Row],[next move]],1))*3,1)</f>
        <v>V</v>
      </c>
      <c r="I5547" t="str">
        <f>Table132[[#This Row],[ÉTAT]]&amp;Table132[[#This Row],[next move]]</f>
        <v>EVEVMMVEM20</v>
      </c>
    </row>
    <row r="5548" spans="2:9" x14ac:dyDescent="0.25">
      <c r="B5548" t="s">
        <v>3057</v>
      </c>
      <c r="C5548" s="22" t="s">
        <v>31</v>
      </c>
      <c r="D5548">
        <v>1</v>
      </c>
      <c r="G5548" s="30">
        <f>Table132[[#This Row],[nb win]]/Table132[[#This Row],[nb play]]</f>
        <v>0</v>
      </c>
      <c r="H5548" t="str">
        <f>MID(Table132[[#This Row],[ÉTAT]],VALUE(RIGHT(Table132[[#This Row],[next move]],1))+1+VALUE(LEFT(Table132[[#This Row],[next move]],1))*3,1)</f>
        <v>V</v>
      </c>
      <c r="I5548" t="str">
        <f>Table132[[#This Row],[ÉTAT]]&amp;Table132[[#This Row],[next move]]</f>
        <v>EVEVMMMEV22</v>
      </c>
    </row>
    <row r="5549" spans="2:9" x14ac:dyDescent="0.25">
      <c r="B5549" t="s">
        <v>3055</v>
      </c>
      <c r="C5549" s="22" t="s">
        <v>30</v>
      </c>
      <c r="D5549">
        <v>4</v>
      </c>
      <c r="E5549">
        <v>4</v>
      </c>
      <c r="G5549" s="31">
        <f>Table132[[#This Row],[nb win]]/Table132[[#This Row],[nb play]]</f>
        <v>1</v>
      </c>
      <c r="H5549" t="str">
        <f>MID(Table132[[#This Row],[ÉTAT]],VALUE(RIGHT(Table132[[#This Row],[next move]],1))+1+VALUE(LEFT(Table132[[#This Row],[next move]],1))*3,1)</f>
        <v>V</v>
      </c>
      <c r="I5549" t="str">
        <f>Table132[[#This Row],[ÉTAT]]&amp;Table132[[#This Row],[next move]]</f>
        <v>EVEVMMMEE10</v>
      </c>
    </row>
    <row r="5550" spans="2:9" x14ac:dyDescent="0.25">
      <c r="B5550" t="s">
        <v>266</v>
      </c>
      <c r="C5550" s="22" t="s">
        <v>26</v>
      </c>
      <c r="D5550">
        <v>1</v>
      </c>
      <c r="G5550" s="25">
        <f>Table132[[#This Row],[nb win]]/Table132[[#This Row],[nb play]]</f>
        <v>0</v>
      </c>
      <c r="H5550" t="str">
        <f>MID(Table132[[#This Row],[ÉTAT]],VALUE(RIGHT(Table132[[#This Row],[next move]],1))+1+VALUE(LEFT(Table132[[#This Row],[next move]],1))*3,1)</f>
        <v>V</v>
      </c>
      <c r="I5550" t="str">
        <f>Table132[[#This Row],[ÉTAT]]&amp;Table132[[#This Row],[next move]]</f>
        <v>EVEVMMEVM01</v>
      </c>
    </row>
    <row r="5551" spans="2:9" x14ac:dyDescent="0.25">
      <c r="B5551" t="s">
        <v>266</v>
      </c>
      <c r="C5551" s="22" t="s">
        <v>30</v>
      </c>
      <c r="D5551">
        <v>1</v>
      </c>
      <c r="E5551">
        <v>1</v>
      </c>
      <c r="G5551" s="25">
        <f>Table132[[#This Row],[nb win]]/Table132[[#This Row],[nb play]]</f>
        <v>1</v>
      </c>
      <c r="H5551" t="str">
        <f>MID(Table132[[#This Row],[ÉTAT]],VALUE(RIGHT(Table132[[#This Row],[next move]],1))+1+VALUE(LEFT(Table132[[#This Row],[next move]],1))*3,1)</f>
        <v>V</v>
      </c>
      <c r="I5551" t="str">
        <f>Table132[[#This Row],[ÉTAT]]&amp;Table132[[#This Row],[next move]]</f>
        <v>EVEVMMEVM10</v>
      </c>
    </row>
    <row r="5552" spans="2:9" x14ac:dyDescent="0.25">
      <c r="B5552" t="s">
        <v>266</v>
      </c>
      <c r="C5552" s="22" t="s">
        <v>22</v>
      </c>
      <c r="D5552">
        <v>1</v>
      </c>
      <c r="G5552" s="25">
        <f>Table132[[#This Row],[nb win]]/Table132[[#This Row],[nb play]]</f>
        <v>0</v>
      </c>
      <c r="H5552" t="str">
        <f>MID(Table132[[#This Row],[ÉTAT]],VALUE(RIGHT(Table132[[#This Row],[next move]],1))+1+VALUE(LEFT(Table132[[#This Row],[next move]],1))*3,1)</f>
        <v>V</v>
      </c>
      <c r="I5552" t="str">
        <f>Table132[[#This Row],[ÉTAT]]&amp;Table132[[#This Row],[next move]]</f>
        <v>EVEVMMEVM21</v>
      </c>
    </row>
    <row r="5553" spans="2:9" x14ac:dyDescent="0.25">
      <c r="B5553" t="s">
        <v>528</v>
      </c>
      <c r="C5553" s="22" t="s">
        <v>30</v>
      </c>
      <c r="D5553">
        <v>5</v>
      </c>
      <c r="E5553">
        <v>5</v>
      </c>
      <c r="G5553" s="25">
        <f>Table132[[#This Row],[nb win]]/Table132[[#This Row],[nb play]]</f>
        <v>1</v>
      </c>
      <c r="H5553" t="str">
        <f>MID(Table132[[#This Row],[ÉTAT]],VALUE(RIGHT(Table132[[#This Row],[next move]],1))+1+VALUE(LEFT(Table132[[#This Row],[next move]],1))*3,1)</f>
        <v>V</v>
      </c>
      <c r="I5553" t="str">
        <f>Table132[[#This Row],[ÉTAT]]&amp;Table132[[#This Row],[next move]]</f>
        <v>EVEVMMEMV10</v>
      </c>
    </row>
    <row r="5554" spans="2:9" x14ac:dyDescent="0.25">
      <c r="B5554" t="s">
        <v>1373</v>
      </c>
      <c r="C5554" s="22" t="s">
        <v>30</v>
      </c>
      <c r="D5554">
        <v>4</v>
      </c>
      <c r="E5554">
        <v>4</v>
      </c>
      <c r="G5554" s="31">
        <f>Table132[[#This Row],[nb win]]/Table132[[#This Row],[nb play]]</f>
        <v>1</v>
      </c>
      <c r="H5554" t="str">
        <f>MID(Table132[[#This Row],[ÉTAT]],VALUE(RIGHT(Table132[[#This Row],[next move]],1))+1+VALUE(LEFT(Table132[[#This Row],[next move]],1))*3,1)</f>
        <v>V</v>
      </c>
      <c r="I5554" t="str">
        <f>Table132[[#This Row],[ÉTAT]]&amp;Table132[[#This Row],[next move]]</f>
        <v>EVEVMMEEM10</v>
      </c>
    </row>
    <row r="5555" spans="2:9" x14ac:dyDescent="0.25">
      <c r="B5555" t="s">
        <v>1340</v>
      </c>
      <c r="C5555" s="22" t="s">
        <v>22</v>
      </c>
      <c r="D5555">
        <v>3</v>
      </c>
      <c r="E5555">
        <v>2</v>
      </c>
      <c r="G5555" s="31">
        <f>Table132[[#This Row],[nb win]]/Table132[[#This Row],[nb play]]</f>
        <v>0.66666666666666663</v>
      </c>
      <c r="H5555" t="str">
        <f>MID(Table132[[#This Row],[ÉTAT]],VALUE(RIGHT(Table132[[#This Row],[next move]],1))+1+VALUE(LEFT(Table132[[#This Row],[next move]],1))*3,1)</f>
        <v>V</v>
      </c>
      <c r="I5555" t="str">
        <f>Table132[[#This Row],[ÉTAT]]&amp;Table132[[#This Row],[next move]]</f>
        <v>EVEVMEVVM21</v>
      </c>
    </row>
    <row r="5556" spans="2:9" x14ac:dyDescent="0.25">
      <c r="B5556" t="s">
        <v>2788</v>
      </c>
      <c r="C5556" s="22" t="s">
        <v>26</v>
      </c>
      <c r="D5556">
        <v>2</v>
      </c>
      <c r="E5556">
        <v>2</v>
      </c>
      <c r="G5556" s="31">
        <f>Table132[[#This Row],[nb win]]/Table132[[#This Row],[nb play]]</f>
        <v>1</v>
      </c>
      <c r="H5556" t="str">
        <f>MID(Table132[[#This Row],[ÉTAT]],VALUE(RIGHT(Table132[[#This Row],[next move]],1))+1+VALUE(LEFT(Table132[[#This Row],[next move]],1))*3,1)</f>
        <v>V</v>
      </c>
      <c r="I5556" t="str">
        <f>Table132[[#This Row],[ÉTAT]]&amp;Table132[[#This Row],[next move]]</f>
        <v>EVEVMEVMV01</v>
      </c>
    </row>
    <row r="5557" spans="2:9" x14ac:dyDescent="0.25">
      <c r="B5557" t="s">
        <v>2788</v>
      </c>
      <c r="C5557" s="22" t="s">
        <v>30</v>
      </c>
      <c r="D5557">
        <v>2</v>
      </c>
      <c r="G5557" s="30">
        <f>Table132[[#This Row],[nb win]]/Table132[[#This Row],[nb play]]</f>
        <v>0</v>
      </c>
      <c r="H5557" t="str">
        <f>MID(Table132[[#This Row],[ÉTAT]],VALUE(RIGHT(Table132[[#This Row],[next move]],1))+1+VALUE(LEFT(Table132[[#This Row],[next move]],1))*3,1)</f>
        <v>V</v>
      </c>
      <c r="I5557" t="str">
        <f>Table132[[#This Row],[ÉTAT]]&amp;Table132[[#This Row],[next move]]</f>
        <v>EVEVMEVMV10</v>
      </c>
    </row>
    <row r="5558" spans="2:9" x14ac:dyDescent="0.25">
      <c r="B5558" t="s">
        <v>3082</v>
      </c>
      <c r="C5558" s="22" t="s">
        <v>35</v>
      </c>
      <c r="D5558">
        <v>1</v>
      </c>
      <c r="E5558">
        <v>1</v>
      </c>
      <c r="G5558" s="31">
        <f>Table132[[#This Row],[nb win]]/Table132[[#This Row],[nb play]]</f>
        <v>1</v>
      </c>
      <c r="H5558" t="str">
        <f>MID(Table132[[#This Row],[ÉTAT]],VALUE(RIGHT(Table132[[#This Row],[next move]],1))+1+VALUE(LEFT(Table132[[#This Row],[next move]],1))*3,1)</f>
        <v>V</v>
      </c>
      <c r="I5558" t="str">
        <f>Table132[[#This Row],[ÉTAT]]&amp;Table132[[#This Row],[next move]]</f>
        <v>EVEVMEVMM20</v>
      </c>
    </row>
    <row r="5559" spans="2:9" x14ac:dyDescent="0.25">
      <c r="B5559" t="s">
        <v>3411</v>
      </c>
      <c r="C5559" s="22" t="s">
        <v>30</v>
      </c>
      <c r="D5559">
        <v>1</v>
      </c>
      <c r="G5559" s="30">
        <f>Table132[[#This Row],[nb win]]/Table132[[#This Row],[nb play]]</f>
        <v>0</v>
      </c>
      <c r="H5559" t="str">
        <f>MID(Table132[[#This Row],[ÉTAT]],VALUE(RIGHT(Table132[[#This Row],[next move]],1))+1+VALUE(LEFT(Table132[[#This Row],[next move]],1))*3,1)</f>
        <v>V</v>
      </c>
      <c r="I5559" t="str">
        <f>Table132[[#This Row],[ÉTAT]]&amp;Table132[[#This Row],[next move]]</f>
        <v>EVEVMEMVV10</v>
      </c>
    </row>
    <row r="5560" spans="2:9" x14ac:dyDescent="0.25">
      <c r="B5560" t="s">
        <v>1462</v>
      </c>
      <c r="C5560" s="22" t="s">
        <v>22</v>
      </c>
      <c r="D5560">
        <v>3</v>
      </c>
      <c r="E5560">
        <v>3</v>
      </c>
      <c r="G5560" s="31">
        <f>Table132[[#This Row],[nb win]]/Table132[[#This Row],[nb play]]</f>
        <v>1</v>
      </c>
      <c r="H5560" t="str">
        <f>MID(Table132[[#This Row],[ÉTAT]],VALUE(RIGHT(Table132[[#This Row],[next move]],1))+1+VALUE(LEFT(Table132[[#This Row],[next move]],1))*3,1)</f>
        <v>V</v>
      </c>
      <c r="I5560" t="str">
        <f>Table132[[#This Row],[ÉTAT]]&amp;Table132[[#This Row],[next move]]</f>
        <v>EVEVMEMVM21</v>
      </c>
    </row>
    <row r="5561" spans="2:9" x14ac:dyDescent="0.25">
      <c r="B5561" t="s">
        <v>2413</v>
      </c>
      <c r="C5561" s="22" t="s">
        <v>30</v>
      </c>
      <c r="D5561">
        <v>1</v>
      </c>
      <c r="G5561" s="30">
        <f>Table132[[#This Row],[nb win]]/Table132[[#This Row],[nb play]]</f>
        <v>0</v>
      </c>
      <c r="H5561" t="str">
        <f>MID(Table132[[#This Row],[ÉTAT]],VALUE(RIGHT(Table132[[#This Row],[next move]],1))+1+VALUE(LEFT(Table132[[#This Row],[next move]],1))*3,1)</f>
        <v>V</v>
      </c>
      <c r="I5561" t="str">
        <f>Table132[[#This Row],[ÉTAT]]&amp;Table132[[#This Row],[next move]]</f>
        <v>EVEVMEMEM10</v>
      </c>
    </row>
    <row r="5562" spans="2:9" x14ac:dyDescent="0.25">
      <c r="B5562" t="s">
        <v>1028</v>
      </c>
      <c r="C5562" s="22" t="s">
        <v>26</v>
      </c>
      <c r="D5562">
        <v>6</v>
      </c>
      <c r="E5562">
        <v>6</v>
      </c>
      <c r="G5562" s="31">
        <f>Table132[[#This Row],[nb win]]/Table132[[#This Row],[nb play]]</f>
        <v>1</v>
      </c>
      <c r="H5562" t="str">
        <f>MID(Table132[[#This Row],[ÉTAT]],VALUE(RIGHT(Table132[[#This Row],[next move]],1))+1+VALUE(LEFT(Table132[[#This Row],[next move]],1))*3,1)</f>
        <v>V</v>
      </c>
      <c r="I5562" t="str">
        <f>Table132[[#This Row],[ÉTAT]]&amp;Table132[[#This Row],[next move]]</f>
        <v>EVEVMEEMM01</v>
      </c>
    </row>
    <row r="5563" spans="2:9" x14ac:dyDescent="0.25">
      <c r="B5563" t="s">
        <v>3225</v>
      </c>
      <c r="C5563" s="22" t="s">
        <v>35</v>
      </c>
      <c r="D5563">
        <v>1</v>
      </c>
      <c r="E5563">
        <v>1</v>
      </c>
      <c r="G5563" s="31">
        <f>Table132[[#This Row],[nb win]]/Table132[[#This Row],[nb play]]</f>
        <v>1</v>
      </c>
      <c r="H5563" t="str">
        <f>MID(Table132[[#This Row],[ÉTAT]],VALUE(RIGHT(Table132[[#This Row],[next move]],1))+1+VALUE(LEFT(Table132[[#This Row],[next move]],1))*3,1)</f>
        <v>V</v>
      </c>
      <c r="I5563" t="str">
        <f>Table132[[#This Row],[ÉTAT]]&amp;Table132[[#This Row],[next move]]</f>
        <v>EVEVEVVMM20</v>
      </c>
    </row>
    <row r="5564" spans="2:9" x14ac:dyDescent="0.25">
      <c r="B5564" t="s">
        <v>1333</v>
      </c>
      <c r="C5564" s="22" t="s">
        <v>22</v>
      </c>
      <c r="D5564">
        <v>3</v>
      </c>
      <c r="E5564">
        <v>3</v>
      </c>
      <c r="G5564" s="31">
        <f>Table132[[#This Row],[nb win]]/Table132[[#This Row],[nb play]]</f>
        <v>1</v>
      </c>
      <c r="H5564" t="str">
        <f>MID(Table132[[#This Row],[ÉTAT]],VALUE(RIGHT(Table132[[#This Row],[next move]],1))+1+VALUE(LEFT(Table132[[#This Row],[next move]],1))*3,1)</f>
        <v>V</v>
      </c>
      <c r="I5564" t="str">
        <f>Table132[[#This Row],[ÉTAT]]&amp;Table132[[#This Row],[next move]]</f>
        <v>EVEVEVMVM21</v>
      </c>
    </row>
    <row r="5565" spans="2:9" x14ac:dyDescent="0.25">
      <c r="B5565" t="s">
        <v>1440</v>
      </c>
      <c r="C5565" s="22" t="s">
        <v>30</v>
      </c>
      <c r="D5565">
        <v>1</v>
      </c>
      <c r="G5565" s="25">
        <f>Table132[[#This Row],[nb win]]/Table132[[#This Row],[nb play]]</f>
        <v>0</v>
      </c>
      <c r="H5565" t="str">
        <f>MID(Table132[[#This Row],[ÉTAT]],VALUE(RIGHT(Table132[[#This Row],[next move]],1))+1+VALUE(LEFT(Table132[[#This Row],[next move]],1))*3,1)</f>
        <v>V</v>
      </c>
      <c r="I5565" t="str">
        <f>Table132[[#This Row],[ÉTAT]]&amp;Table132[[#This Row],[next move]]</f>
        <v>EVEVEVMMV10</v>
      </c>
    </row>
    <row r="5566" spans="2:9" x14ac:dyDescent="0.25">
      <c r="B5566" t="s">
        <v>1440</v>
      </c>
      <c r="C5566" s="22" t="s">
        <v>31</v>
      </c>
      <c r="D5566">
        <v>1</v>
      </c>
      <c r="E5566">
        <v>1</v>
      </c>
      <c r="G5566" s="25">
        <f>Table132[[#This Row],[nb win]]/Table132[[#This Row],[nb play]]</f>
        <v>1</v>
      </c>
      <c r="H5566" t="str">
        <f>MID(Table132[[#This Row],[ÉTAT]],VALUE(RIGHT(Table132[[#This Row],[next move]],1))+1+VALUE(LEFT(Table132[[#This Row],[next move]],1))*3,1)</f>
        <v>V</v>
      </c>
      <c r="I5566" t="str">
        <f>Table132[[#This Row],[ÉTAT]]&amp;Table132[[#This Row],[next move]]</f>
        <v>EVEVEVMMV22</v>
      </c>
    </row>
    <row r="5567" spans="2:9" x14ac:dyDescent="0.25">
      <c r="B5567" t="s">
        <v>3275</v>
      </c>
      <c r="C5567" s="22" t="s">
        <v>22</v>
      </c>
      <c r="D5567">
        <v>1</v>
      </c>
      <c r="G5567" s="30">
        <f>Table132[[#This Row],[nb win]]/Table132[[#This Row],[nb play]]</f>
        <v>0</v>
      </c>
      <c r="H5567" t="str">
        <f>MID(Table132[[#This Row],[ÉTAT]],VALUE(RIGHT(Table132[[#This Row],[next move]],1))+1+VALUE(LEFT(Table132[[#This Row],[next move]],1))*3,1)</f>
        <v>V</v>
      </c>
      <c r="I5567" t="str">
        <f>Table132[[#This Row],[ÉTAT]]&amp;Table132[[#This Row],[next move]]</f>
        <v>EVEVEMVVM21</v>
      </c>
    </row>
    <row r="5568" spans="2:9" x14ac:dyDescent="0.25">
      <c r="B5568" t="s">
        <v>1063</v>
      </c>
      <c r="C5568" s="22" t="s">
        <v>26</v>
      </c>
      <c r="D5568">
        <v>2</v>
      </c>
      <c r="G5568" s="30">
        <f>Table132[[#This Row],[nb win]]/Table132[[#This Row],[nb play]]</f>
        <v>0</v>
      </c>
      <c r="H5568" t="str">
        <f>MID(Table132[[#This Row],[ÉTAT]],VALUE(RIGHT(Table132[[#This Row],[next move]],1))+1+VALUE(LEFT(Table132[[#This Row],[next move]],1))*3,1)</f>
        <v>V</v>
      </c>
      <c r="I5568" t="str">
        <f>Table132[[#This Row],[ÉTAT]]&amp;Table132[[#This Row],[next move]]</f>
        <v>EVEVEMVMV01</v>
      </c>
    </row>
    <row r="5569" spans="2:9" x14ac:dyDescent="0.25">
      <c r="B5569" t="s">
        <v>1063</v>
      </c>
      <c r="C5569" s="22" t="s">
        <v>30</v>
      </c>
      <c r="D5569">
        <v>1</v>
      </c>
      <c r="G5569" s="30">
        <f>Table132[[#This Row],[nb win]]/Table132[[#This Row],[nb play]]</f>
        <v>0</v>
      </c>
      <c r="H5569" t="str">
        <f>MID(Table132[[#This Row],[ÉTAT]],VALUE(RIGHT(Table132[[#This Row],[next move]],1))+1+VALUE(LEFT(Table132[[#This Row],[next move]],1))*3,1)</f>
        <v>V</v>
      </c>
      <c r="I5569" t="str">
        <f>Table132[[#This Row],[ÉTAT]]&amp;Table132[[#This Row],[next move]]</f>
        <v>EVEVEMVMV10</v>
      </c>
    </row>
    <row r="5570" spans="2:9" x14ac:dyDescent="0.25">
      <c r="B5570" t="s">
        <v>1063</v>
      </c>
      <c r="C5570" s="22" t="s">
        <v>35</v>
      </c>
      <c r="D5570">
        <v>1</v>
      </c>
      <c r="G5570" s="25">
        <f>Table132[[#This Row],[nb win]]/Table132[[#This Row],[nb play]]</f>
        <v>0</v>
      </c>
      <c r="H5570" t="str">
        <f>MID(Table132[[#This Row],[ÉTAT]],VALUE(RIGHT(Table132[[#This Row],[next move]],1))+1+VALUE(LEFT(Table132[[#This Row],[next move]],1))*3,1)</f>
        <v>V</v>
      </c>
      <c r="I5570" t="str">
        <f>Table132[[#This Row],[ÉTAT]]&amp;Table132[[#This Row],[next move]]</f>
        <v>EVEVEMVMV20</v>
      </c>
    </row>
    <row r="5571" spans="2:9" x14ac:dyDescent="0.25">
      <c r="B5571" t="s">
        <v>1063</v>
      </c>
      <c r="C5571" s="22" t="s">
        <v>31</v>
      </c>
      <c r="D5571">
        <v>1</v>
      </c>
      <c r="G5571" s="25">
        <f>Table132[[#This Row],[nb win]]/Table132[[#This Row],[nb play]]</f>
        <v>0</v>
      </c>
      <c r="H5571" t="str">
        <f>MID(Table132[[#This Row],[ÉTAT]],VALUE(RIGHT(Table132[[#This Row],[next move]],1))+1+VALUE(LEFT(Table132[[#This Row],[next move]],1))*3,1)</f>
        <v>V</v>
      </c>
      <c r="I5571" t="str">
        <f>Table132[[#This Row],[ÉTAT]]&amp;Table132[[#This Row],[next move]]</f>
        <v>EVEVEMVMV22</v>
      </c>
    </row>
    <row r="5572" spans="2:9" x14ac:dyDescent="0.25">
      <c r="B5572" t="s">
        <v>2998</v>
      </c>
      <c r="C5572" s="22" t="s">
        <v>35</v>
      </c>
      <c r="D5572">
        <v>2</v>
      </c>
      <c r="E5572">
        <v>2</v>
      </c>
      <c r="G5572" s="31">
        <f>Table132[[#This Row],[nb win]]/Table132[[#This Row],[nb play]]</f>
        <v>1</v>
      </c>
      <c r="H5572" t="str">
        <f>MID(Table132[[#This Row],[ÉTAT]],VALUE(RIGHT(Table132[[#This Row],[next move]],1))+1+VALUE(LEFT(Table132[[#This Row],[next move]],1))*3,1)</f>
        <v>V</v>
      </c>
      <c r="I5572" t="str">
        <f>Table132[[#This Row],[ÉTAT]]&amp;Table132[[#This Row],[next move]]</f>
        <v>EVEVEMVMM20</v>
      </c>
    </row>
    <row r="5573" spans="2:9" x14ac:dyDescent="0.25">
      <c r="B5573" t="s">
        <v>2808</v>
      </c>
      <c r="C5573" s="22" t="s">
        <v>22</v>
      </c>
      <c r="D5573">
        <v>3</v>
      </c>
      <c r="E5573">
        <v>3</v>
      </c>
      <c r="G5573" s="31">
        <f>Table132[[#This Row],[nb win]]/Table132[[#This Row],[nb play]]</f>
        <v>1</v>
      </c>
      <c r="H5573" t="str">
        <f>MID(Table132[[#This Row],[ÉTAT]],VALUE(RIGHT(Table132[[#This Row],[next move]],1))+1+VALUE(LEFT(Table132[[#This Row],[next move]],1))*3,1)</f>
        <v>V</v>
      </c>
      <c r="I5573" t="str">
        <f>Table132[[#This Row],[ÉTAT]]&amp;Table132[[#This Row],[next move]]</f>
        <v>EVEVEMMVM21</v>
      </c>
    </row>
    <row r="5574" spans="2:9" x14ac:dyDescent="0.25">
      <c r="B5574" t="s">
        <v>2109</v>
      </c>
      <c r="C5574" s="22" t="s">
        <v>26</v>
      </c>
      <c r="D5574">
        <v>1</v>
      </c>
      <c r="E5574">
        <v>1</v>
      </c>
      <c r="G5574" s="31">
        <f>Table132[[#This Row],[nb win]]/Table132[[#This Row],[nb play]]</f>
        <v>1</v>
      </c>
      <c r="H5574" t="str">
        <f>MID(Table132[[#This Row],[ÉTAT]],VALUE(RIGHT(Table132[[#This Row],[next move]],1))+1+VALUE(LEFT(Table132[[#This Row],[next move]],1))*3,1)</f>
        <v>V</v>
      </c>
      <c r="I5574" t="str">
        <f>Table132[[#This Row],[ÉTAT]]&amp;Table132[[#This Row],[next move]]</f>
        <v>EVEVEMMMV01</v>
      </c>
    </row>
    <row r="5575" spans="2:9" x14ac:dyDescent="0.25">
      <c r="B5575" t="s">
        <v>2109</v>
      </c>
      <c r="C5575" s="22" t="s">
        <v>30</v>
      </c>
      <c r="D5575">
        <v>2</v>
      </c>
      <c r="G5575" s="30">
        <f>Table132[[#This Row],[nb win]]/Table132[[#This Row],[nb play]]</f>
        <v>0</v>
      </c>
      <c r="H5575" t="str">
        <f>MID(Table132[[#This Row],[ÉTAT]],VALUE(RIGHT(Table132[[#This Row],[next move]],1))+1+VALUE(LEFT(Table132[[#This Row],[next move]],1))*3,1)</f>
        <v>V</v>
      </c>
      <c r="I5575" t="str">
        <f>Table132[[#This Row],[ÉTAT]]&amp;Table132[[#This Row],[next move]]</f>
        <v>EVEVEMMMV10</v>
      </c>
    </row>
    <row r="5576" spans="2:9" x14ac:dyDescent="0.25">
      <c r="B5576" t="s">
        <v>2284</v>
      </c>
      <c r="C5576" s="22" t="s">
        <v>30</v>
      </c>
      <c r="D5576">
        <v>1</v>
      </c>
      <c r="G5576" s="25">
        <f>Table132[[#This Row],[nb win]]/Table132[[#This Row],[nb play]]</f>
        <v>0</v>
      </c>
      <c r="H5576" t="str">
        <f>MID(Table132[[#This Row],[ÉTAT]],VALUE(RIGHT(Table132[[#This Row],[next move]],1))+1+VALUE(LEFT(Table132[[#This Row],[next move]],1))*3,1)</f>
        <v>V</v>
      </c>
      <c r="I5576" t="str">
        <f>Table132[[#This Row],[ÉTAT]]&amp;Table132[[#This Row],[next move]]</f>
        <v>EVEVEMMEM10</v>
      </c>
    </row>
    <row r="5577" spans="2:9" x14ac:dyDescent="0.25">
      <c r="B5577" t="s">
        <v>336</v>
      </c>
      <c r="C5577" s="22" t="s">
        <v>26</v>
      </c>
      <c r="D5577">
        <v>1</v>
      </c>
      <c r="G5577" s="25">
        <f>Table132[[#This Row],[nb win]]/Table132[[#This Row],[nb play]]</f>
        <v>0</v>
      </c>
      <c r="H5577" t="str">
        <f>MID(Table132[[#This Row],[ÉTAT]],VALUE(RIGHT(Table132[[#This Row],[next move]],1))+1+VALUE(LEFT(Table132[[#This Row],[next move]],1))*3,1)</f>
        <v>V</v>
      </c>
      <c r="I5577" t="str">
        <f>Table132[[#This Row],[ÉTAT]]&amp;Table132[[#This Row],[next move]]</f>
        <v>EVEMVVVVV01</v>
      </c>
    </row>
    <row r="5578" spans="2:9" x14ac:dyDescent="0.25">
      <c r="B5578" t="s">
        <v>336</v>
      </c>
      <c r="C5578" s="22" t="s">
        <v>28</v>
      </c>
      <c r="D5578">
        <v>3</v>
      </c>
      <c r="E5578">
        <v>2</v>
      </c>
      <c r="G5578" s="31">
        <f>Table132[[#This Row],[nb win]]/Table132[[#This Row],[nb play]]</f>
        <v>0.66666666666666663</v>
      </c>
      <c r="H5578" t="str">
        <f>MID(Table132[[#This Row],[ÉTAT]],VALUE(RIGHT(Table132[[#This Row],[next move]],1))+1+VALUE(LEFT(Table132[[#This Row],[next move]],1))*3,1)</f>
        <v>V</v>
      </c>
      <c r="I5578" t="str">
        <f>Table132[[#This Row],[ÉTAT]]&amp;Table132[[#This Row],[next move]]</f>
        <v>EVEMVVVVV12</v>
      </c>
    </row>
    <row r="5579" spans="2:9" x14ac:dyDescent="0.25">
      <c r="B5579" t="s">
        <v>336</v>
      </c>
      <c r="C5579" s="22" t="s">
        <v>35</v>
      </c>
      <c r="D5579">
        <v>1</v>
      </c>
      <c r="G5579" s="30">
        <f>Table132[[#This Row],[nb win]]/Table132[[#This Row],[nb play]]</f>
        <v>0</v>
      </c>
      <c r="H5579" t="str">
        <f>MID(Table132[[#This Row],[ÉTAT]],VALUE(RIGHT(Table132[[#This Row],[next move]],1))+1+VALUE(LEFT(Table132[[#This Row],[next move]],1))*3,1)</f>
        <v>V</v>
      </c>
      <c r="I5579" t="str">
        <f>Table132[[#This Row],[ÉTAT]]&amp;Table132[[#This Row],[next move]]</f>
        <v>EVEMVVVVV20</v>
      </c>
    </row>
    <row r="5580" spans="2:9" x14ac:dyDescent="0.25">
      <c r="B5580" t="s">
        <v>336</v>
      </c>
      <c r="C5580" s="22" t="s">
        <v>22</v>
      </c>
      <c r="D5580">
        <v>1</v>
      </c>
      <c r="G5580" s="25">
        <f>Table132[[#This Row],[nb win]]/Table132[[#This Row],[nb play]]</f>
        <v>0</v>
      </c>
      <c r="H5580" t="str">
        <f>MID(Table132[[#This Row],[ÉTAT]],VALUE(RIGHT(Table132[[#This Row],[next move]],1))+1+VALUE(LEFT(Table132[[#This Row],[next move]],1))*3,1)</f>
        <v>V</v>
      </c>
      <c r="I5580" t="str">
        <f>Table132[[#This Row],[ÉTAT]]&amp;Table132[[#This Row],[next move]]</f>
        <v>EVEMVVVVV21</v>
      </c>
    </row>
    <row r="5581" spans="2:9" x14ac:dyDescent="0.25">
      <c r="B5581" t="s">
        <v>336</v>
      </c>
      <c r="C5581" s="22" t="s">
        <v>31</v>
      </c>
      <c r="D5581">
        <v>1</v>
      </c>
      <c r="G5581" s="25">
        <f>Table132[[#This Row],[nb win]]/Table132[[#This Row],[nb play]]</f>
        <v>0</v>
      </c>
      <c r="H5581" t="str">
        <f>MID(Table132[[#This Row],[ÉTAT]],VALUE(RIGHT(Table132[[#This Row],[next move]],1))+1+VALUE(LEFT(Table132[[#This Row],[next move]],1))*3,1)</f>
        <v>V</v>
      </c>
      <c r="I5581" t="str">
        <f>Table132[[#This Row],[ÉTAT]]&amp;Table132[[#This Row],[next move]]</f>
        <v>EVEMVVVVV22</v>
      </c>
    </row>
    <row r="5582" spans="2:9" x14ac:dyDescent="0.25">
      <c r="B5582" t="s">
        <v>862</v>
      </c>
      <c r="C5582" s="22" t="s">
        <v>26</v>
      </c>
      <c r="D5582">
        <v>3</v>
      </c>
      <c r="E5582">
        <v>2</v>
      </c>
      <c r="G5582" s="25">
        <f>Table132[[#This Row],[nb win]]/Table132[[#This Row],[nb play]]</f>
        <v>0.66666666666666663</v>
      </c>
      <c r="H5582" t="str">
        <f>MID(Table132[[#This Row],[ÉTAT]],VALUE(RIGHT(Table132[[#This Row],[next move]],1))+1+VALUE(LEFT(Table132[[#This Row],[next move]],1))*3,1)</f>
        <v>V</v>
      </c>
      <c r="I5582" t="str">
        <f>Table132[[#This Row],[ÉTAT]]&amp;Table132[[#This Row],[next move]]</f>
        <v>EVEMVVVVM01</v>
      </c>
    </row>
    <row r="5583" spans="2:9" x14ac:dyDescent="0.25">
      <c r="B5583" t="s">
        <v>862</v>
      </c>
      <c r="C5583" s="22" t="s">
        <v>29</v>
      </c>
      <c r="D5583">
        <v>1</v>
      </c>
      <c r="G5583" s="25">
        <f>Table132[[#This Row],[nb win]]/Table132[[#This Row],[nb play]]</f>
        <v>0</v>
      </c>
      <c r="H5583" t="str">
        <f>MID(Table132[[#This Row],[ÉTAT]],VALUE(RIGHT(Table132[[#This Row],[next move]],1))+1+VALUE(LEFT(Table132[[#This Row],[next move]],1))*3,1)</f>
        <v>V</v>
      </c>
      <c r="I5583" t="str">
        <f>Table132[[#This Row],[ÉTAT]]&amp;Table132[[#This Row],[next move]]</f>
        <v>EVEMVVVVM11</v>
      </c>
    </row>
    <row r="5584" spans="2:9" x14ac:dyDescent="0.25">
      <c r="B5584" t="s">
        <v>862</v>
      </c>
      <c r="C5584" s="22" t="s">
        <v>28</v>
      </c>
      <c r="D5584">
        <v>2</v>
      </c>
      <c r="G5584" s="25">
        <f>Table132[[#This Row],[nb win]]/Table132[[#This Row],[nb play]]</f>
        <v>0</v>
      </c>
      <c r="H5584" t="str">
        <f>MID(Table132[[#This Row],[ÉTAT]],VALUE(RIGHT(Table132[[#This Row],[next move]],1))+1+VALUE(LEFT(Table132[[#This Row],[next move]],1))*3,1)</f>
        <v>V</v>
      </c>
      <c r="I5584" t="str">
        <f>Table132[[#This Row],[ÉTAT]]&amp;Table132[[#This Row],[next move]]</f>
        <v>EVEMVVVVM12</v>
      </c>
    </row>
    <row r="5585" spans="2:9" x14ac:dyDescent="0.25">
      <c r="B5585" t="s">
        <v>862</v>
      </c>
      <c r="C5585" s="22" t="s">
        <v>35</v>
      </c>
      <c r="D5585">
        <v>2</v>
      </c>
      <c r="G5585" s="25">
        <f>Table132[[#This Row],[nb win]]/Table132[[#This Row],[nb play]]</f>
        <v>0</v>
      </c>
      <c r="H5585" t="str">
        <f>MID(Table132[[#This Row],[ÉTAT]],VALUE(RIGHT(Table132[[#This Row],[next move]],1))+1+VALUE(LEFT(Table132[[#This Row],[next move]],1))*3,1)</f>
        <v>V</v>
      </c>
      <c r="I5585" t="str">
        <f>Table132[[#This Row],[ÉTAT]]&amp;Table132[[#This Row],[next move]]</f>
        <v>EVEMVVVVM20</v>
      </c>
    </row>
    <row r="5586" spans="2:9" x14ac:dyDescent="0.25">
      <c r="B5586" t="s">
        <v>862</v>
      </c>
      <c r="C5586" s="22" t="s">
        <v>22</v>
      </c>
      <c r="D5586">
        <v>2</v>
      </c>
      <c r="G5586" s="30">
        <f>Table132[[#This Row],[nb win]]/Table132[[#This Row],[nb play]]</f>
        <v>0</v>
      </c>
      <c r="H5586" t="str">
        <f>MID(Table132[[#This Row],[ÉTAT]],VALUE(RIGHT(Table132[[#This Row],[next move]],1))+1+VALUE(LEFT(Table132[[#This Row],[next move]],1))*3,1)</f>
        <v>V</v>
      </c>
      <c r="I5586" t="str">
        <f>Table132[[#This Row],[ÉTAT]]&amp;Table132[[#This Row],[next move]]</f>
        <v>EVEMVVVVM21</v>
      </c>
    </row>
    <row r="5587" spans="2:9" x14ac:dyDescent="0.25">
      <c r="B5587" t="s">
        <v>3229</v>
      </c>
      <c r="C5587" s="22" t="s">
        <v>26</v>
      </c>
      <c r="D5587">
        <v>2</v>
      </c>
      <c r="E5587">
        <v>1</v>
      </c>
      <c r="G5587" s="30">
        <f>Table132[[#This Row],[nb win]]/Table132[[#This Row],[nb play]]</f>
        <v>0.5</v>
      </c>
      <c r="H5587" t="str">
        <f>MID(Table132[[#This Row],[ÉTAT]],VALUE(RIGHT(Table132[[#This Row],[next move]],1))+1+VALUE(LEFT(Table132[[#This Row],[next move]],1))*3,1)</f>
        <v>V</v>
      </c>
      <c r="I5587" t="str">
        <f>Table132[[#This Row],[ÉTAT]]&amp;Table132[[#This Row],[next move]]</f>
        <v>EVEMVVVMV01</v>
      </c>
    </row>
    <row r="5588" spans="2:9" x14ac:dyDescent="0.25">
      <c r="B5588" t="s">
        <v>1435</v>
      </c>
      <c r="C5588" s="22" t="s">
        <v>29</v>
      </c>
      <c r="D5588">
        <v>1</v>
      </c>
      <c r="G5588" s="30">
        <f>Table132[[#This Row],[nb win]]/Table132[[#This Row],[nb play]]</f>
        <v>0</v>
      </c>
      <c r="H5588" t="str">
        <f>MID(Table132[[#This Row],[ÉTAT]],VALUE(RIGHT(Table132[[#This Row],[next move]],1))+1+VALUE(LEFT(Table132[[#This Row],[next move]],1))*3,1)</f>
        <v>V</v>
      </c>
      <c r="I5588" t="str">
        <f>Table132[[#This Row],[ÉTAT]]&amp;Table132[[#This Row],[next move]]</f>
        <v>EVEMVVVME11</v>
      </c>
    </row>
    <row r="5589" spans="2:9" x14ac:dyDescent="0.25">
      <c r="B5589" t="s">
        <v>1435</v>
      </c>
      <c r="C5589" s="22" t="s">
        <v>35</v>
      </c>
      <c r="D5589">
        <v>1</v>
      </c>
      <c r="G5589" s="25">
        <f>Table132[[#This Row],[nb win]]/Table132[[#This Row],[nb play]]</f>
        <v>0</v>
      </c>
      <c r="H5589" t="str">
        <f>MID(Table132[[#This Row],[ÉTAT]],VALUE(RIGHT(Table132[[#This Row],[next move]],1))+1+VALUE(LEFT(Table132[[#This Row],[next move]],1))*3,1)</f>
        <v>V</v>
      </c>
      <c r="I5589" t="str">
        <f>Table132[[#This Row],[ÉTAT]]&amp;Table132[[#This Row],[next move]]</f>
        <v>EVEMVVVME20</v>
      </c>
    </row>
    <row r="5590" spans="2:9" x14ac:dyDescent="0.25">
      <c r="B5590" t="s">
        <v>2477</v>
      </c>
      <c r="C5590" s="22" t="s">
        <v>26</v>
      </c>
      <c r="D5590">
        <v>2</v>
      </c>
      <c r="G5590" s="30">
        <f>Table132[[#This Row],[nb win]]/Table132[[#This Row],[nb play]]</f>
        <v>0</v>
      </c>
      <c r="H5590" t="str">
        <f>MID(Table132[[#This Row],[ÉTAT]],VALUE(RIGHT(Table132[[#This Row],[next move]],1))+1+VALUE(LEFT(Table132[[#This Row],[next move]],1))*3,1)</f>
        <v>V</v>
      </c>
      <c r="I5590" t="str">
        <f>Table132[[#This Row],[ÉTAT]]&amp;Table132[[#This Row],[next move]]</f>
        <v>EVEMVVMVV01</v>
      </c>
    </row>
    <row r="5591" spans="2:9" x14ac:dyDescent="0.25">
      <c r="B5591" t="s">
        <v>2477</v>
      </c>
      <c r="C5591" s="22" t="s">
        <v>29</v>
      </c>
      <c r="D5591">
        <v>1</v>
      </c>
      <c r="G5591" s="25">
        <f>Table132[[#This Row],[nb win]]/Table132[[#This Row],[nb play]]</f>
        <v>0</v>
      </c>
      <c r="H5591" t="str">
        <f>MID(Table132[[#This Row],[ÉTAT]],VALUE(RIGHT(Table132[[#This Row],[next move]],1))+1+VALUE(LEFT(Table132[[#This Row],[next move]],1))*3,1)</f>
        <v>V</v>
      </c>
      <c r="I5591" t="str">
        <f>Table132[[#This Row],[ÉTAT]]&amp;Table132[[#This Row],[next move]]</f>
        <v>EVEMVVMVV11</v>
      </c>
    </row>
    <row r="5592" spans="2:9" x14ac:dyDescent="0.25">
      <c r="B5592" t="s">
        <v>2477</v>
      </c>
      <c r="C5592" s="22" t="s">
        <v>28</v>
      </c>
      <c r="D5592">
        <v>1</v>
      </c>
      <c r="G5592" s="25">
        <f>Table132[[#This Row],[nb win]]/Table132[[#This Row],[nb play]]</f>
        <v>0</v>
      </c>
      <c r="H5592" t="str">
        <f>MID(Table132[[#This Row],[ÉTAT]],VALUE(RIGHT(Table132[[#This Row],[next move]],1))+1+VALUE(LEFT(Table132[[#This Row],[next move]],1))*3,1)</f>
        <v>V</v>
      </c>
      <c r="I5592" t="str">
        <f>Table132[[#This Row],[ÉTAT]]&amp;Table132[[#This Row],[next move]]</f>
        <v>EVEMVVMVV12</v>
      </c>
    </row>
    <row r="5593" spans="2:9" x14ac:dyDescent="0.25">
      <c r="B5593" t="s">
        <v>2477</v>
      </c>
      <c r="C5593" s="22" t="s">
        <v>22</v>
      </c>
      <c r="D5593">
        <v>1</v>
      </c>
      <c r="G5593" s="30">
        <f>Table132[[#This Row],[nb win]]/Table132[[#This Row],[nb play]]</f>
        <v>0</v>
      </c>
      <c r="H5593" t="str">
        <f>MID(Table132[[#This Row],[ÉTAT]],VALUE(RIGHT(Table132[[#This Row],[next move]],1))+1+VALUE(LEFT(Table132[[#This Row],[next move]],1))*3,1)</f>
        <v>V</v>
      </c>
      <c r="I5593" t="str">
        <f>Table132[[#This Row],[ÉTAT]]&amp;Table132[[#This Row],[next move]]</f>
        <v>EVEMVVMVV21</v>
      </c>
    </row>
    <row r="5594" spans="2:9" x14ac:dyDescent="0.25">
      <c r="B5594" t="s">
        <v>2477</v>
      </c>
      <c r="C5594" s="22" t="s">
        <v>31</v>
      </c>
      <c r="D5594">
        <v>1</v>
      </c>
      <c r="G5594" s="25">
        <f>Table132[[#This Row],[nb win]]/Table132[[#This Row],[nb play]]</f>
        <v>0</v>
      </c>
      <c r="H5594" t="str">
        <f>MID(Table132[[#This Row],[ÉTAT]],VALUE(RIGHT(Table132[[#This Row],[next move]],1))+1+VALUE(LEFT(Table132[[#This Row],[next move]],1))*3,1)</f>
        <v>V</v>
      </c>
      <c r="I5594" t="str">
        <f>Table132[[#This Row],[ÉTAT]]&amp;Table132[[#This Row],[next move]]</f>
        <v>EVEMVVMVV22</v>
      </c>
    </row>
    <row r="5595" spans="2:9" x14ac:dyDescent="0.25">
      <c r="B5595" t="s">
        <v>3318</v>
      </c>
      <c r="C5595" s="22" t="s">
        <v>29</v>
      </c>
      <c r="D5595">
        <v>1</v>
      </c>
      <c r="G5595" s="30">
        <f>Table132[[#This Row],[nb win]]/Table132[[#This Row],[nb play]]</f>
        <v>0</v>
      </c>
      <c r="H5595" t="str">
        <f>MID(Table132[[#This Row],[ÉTAT]],VALUE(RIGHT(Table132[[#This Row],[next move]],1))+1+VALUE(LEFT(Table132[[#This Row],[next move]],1))*3,1)</f>
        <v>V</v>
      </c>
      <c r="I5595" t="str">
        <f>Table132[[#This Row],[ÉTAT]]&amp;Table132[[#This Row],[next move]]</f>
        <v>EVEMVVMME11</v>
      </c>
    </row>
    <row r="5596" spans="2:9" x14ac:dyDescent="0.25">
      <c r="B5596" t="s">
        <v>1284</v>
      </c>
      <c r="C5596" s="22" t="s">
        <v>29</v>
      </c>
      <c r="D5596">
        <v>1</v>
      </c>
      <c r="G5596" s="25">
        <f>Table132[[#This Row],[nb win]]/Table132[[#This Row],[nb play]]</f>
        <v>0</v>
      </c>
      <c r="H5596" t="str">
        <f>MID(Table132[[#This Row],[ÉTAT]],VALUE(RIGHT(Table132[[#This Row],[next move]],1))+1+VALUE(LEFT(Table132[[#This Row],[next move]],1))*3,1)</f>
        <v>V</v>
      </c>
      <c r="I5596" t="str">
        <f>Table132[[#This Row],[ÉTAT]]&amp;Table132[[#This Row],[next move]]</f>
        <v>EVEMVVMEV11</v>
      </c>
    </row>
    <row r="5597" spans="2:9" x14ac:dyDescent="0.25">
      <c r="B5597" t="s">
        <v>1284</v>
      </c>
      <c r="C5597" s="22" t="s">
        <v>28</v>
      </c>
      <c r="D5597">
        <v>1</v>
      </c>
      <c r="G5597" s="25">
        <f>Table132[[#This Row],[nb win]]/Table132[[#This Row],[nb play]]</f>
        <v>0</v>
      </c>
      <c r="H5597" t="str">
        <f>MID(Table132[[#This Row],[ÉTAT]],VALUE(RIGHT(Table132[[#This Row],[next move]],1))+1+VALUE(LEFT(Table132[[#This Row],[next move]],1))*3,1)</f>
        <v>V</v>
      </c>
      <c r="I5597" t="str">
        <f>Table132[[#This Row],[ÉTAT]]&amp;Table132[[#This Row],[next move]]</f>
        <v>EVEMVVMEV12</v>
      </c>
    </row>
    <row r="5598" spans="2:9" x14ac:dyDescent="0.25">
      <c r="B5598" t="s">
        <v>1284</v>
      </c>
      <c r="C5598" s="22" t="s">
        <v>31</v>
      </c>
      <c r="D5598">
        <v>1</v>
      </c>
      <c r="G5598" s="25">
        <f>Table132[[#This Row],[nb win]]/Table132[[#This Row],[nb play]]</f>
        <v>0</v>
      </c>
      <c r="H5598" t="str">
        <f>MID(Table132[[#This Row],[ÉTAT]],VALUE(RIGHT(Table132[[#This Row],[next move]],1))+1+VALUE(LEFT(Table132[[#This Row],[next move]],1))*3,1)</f>
        <v>V</v>
      </c>
      <c r="I5598" t="str">
        <f>Table132[[#This Row],[ÉTAT]]&amp;Table132[[#This Row],[next move]]</f>
        <v>EVEMVVMEV22</v>
      </c>
    </row>
    <row r="5599" spans="2:9" x14ac:dyDescent="0.25">
      <c r="B5599" t="s">
        <v>2602</v>
      </c>
      <c r="C5599" s="22" t="s">
        <v>28</v>
      </c>
      <c r="D5599">
        <v>1</v>
      </c>
      <c r="G5599" s="25">
        <f>Table132[[#This Row],[nb win]]/Table132[[#This Row],[nb play]]</f>
        <v>0</v>
      </c>
      <c r="H5599" t="str">
        <f>MID(Table132[[#This Row],[ÉTAT]],VALUE(RIGHT(Table132[[#This Row],[next move]],1))+1+VALUE(LEFT(Table132[[#This Row],[next move]],1))*3,1)</f>
        <v>V</v>
      </c>
      <c r="I5599" t="str">
        <f>Table132[[#This Row],[ÉTAT]]&amp;Table132[[#This Row],[next move]]</f>
        <v>EVEMVVMEM12</v>
      </c>
    </row>
    <row r="5600" spans="2:9" x14ac:dyDescent="0.25">
      <c r="B5600" t="s">
        <v>1504</v>
      </c>
      <c r="C5600" s="22" t="s">
        <v>26</v>
      </c>
      <c r="D5600">
        <v>1</v>
      </c>
      <c r="G5600" s="30">
        <f>Table132[[#This Row],[nb win]]/Table132[[#This Row],[nb play]]</f>
        <v>0</v>
      </c>
      <c r="H5600" t="str">
        <f>MID(Table132[[#This Row],[ÉTAT]],VALUE(RIGHT(Table132[[#This Row],[next move]],1))+1+VALUE(LEFT(Table132[[#This Row],[next move]],1))*3,1)</f>
        <v>V</v>
      </c>
      <c r="I5600" t="str">
        <f>Table132[[#This Row],[ÉTAT]]&amp;Table132[[#This Row],[next move]]</f>
        <v>EVEMVVEMM01</v>
      </c>
    </row>
    <row r="5601" spans="2:9" x14ac:dyDescent="0.25">
      <c r="B5601" t="s">
        <v>1504</v>
      </c>
      <c r="C5601" s="22" t="s">
        <v>29</v>
      </c>
      <c r="D5601">
        <v>1</v>
      </c>
      <c r="G5601" s="25">
        <f>Table132[[#This Row],[nb win]]/Table132[[#This Row],[nb play]]</f>
        <v>0</v>
      </c>
      <c r="H5601" t="str">
        <f>MID(Table132[[#This Row],[ÉTAT]],VALUE(RIGHT(Table132[[#This Row],[next move]],1))+1+VALUE(LEFT(Table132[[#This Row],[next move]],1))*3,1)</f>
        <v>V</v>
      </c>
      <c r="I5601" t="str">
        <f>Table132[[#This Row],[ÉTAT]]&amp;Table132[[#This Row],[next move]]</f>
        <v>EVEMVVEMM11</v>
      </c>
    </row>
    <row r="5602" spans="2:9" x14ac:dyDescent="0.25">
      <c r="B5602" t="s">
        <v>1047</v>
      </c>
      <c r="C5602" s="22" t="s">
        <v>29</v>
      </c>
      <c r="D5602">
        <v>13</v>
      </c>
      <c r="E5602">
        <v>13</v>
      </c>
      <c r="G5602" s="31">
        <f>Table132[[#This Row],[nb win]]/Table132[[#This Row],[nb play]]</f>
        <v>1</v>
      </c>
      <c r="H5602" t="str">
        <f>MID(Table132[[#This Row],[ÉTAT]],VALUE(RIGHT(Table132[[#This Row],[next move]],1))+1+VALUE(LEFT(Table132[[#This Row],[next move]],1))*3,1)</f>
        <v>V</v>
      </c>
      <c r="I5602" t="str">
        <f>Table132[[#This Row],[ÉTAT]]&amp;Table132[[#This Row],[next move]]</f>
        <v>EVEMVMVVV11</v>
      </c>
    </row>
    <row r="5603" spans="2:9" x14ac:dyDescent="0.25">
      <c r="B5603" t="s">
        <v>1748</v>
      </c>
      <c r="C5603" s="22" t="s">
        <v>26</v>
      </c>
      <c r="D5603">
        <v>1</v>
      </c>
      <c r="G5603" s="30">
        <f>Table132[[#This Row],[nb win]]/Table132[[#This Row],[nb play]]</f>
        <v>0</v>
      </c>
      <c r="H5603" t="str">
        <f>MID(Table132[[#This Row],[ÉTAT]],VALUE(RIGHT(Table132[[#This Row],[next move]],1))+1+VALUE(LEFT(Table132[[#This Row],[next move]],1))*3,1)</f>
        <v>V</v>
      </c>
      <c r="I5603" t="str">
        <f>Table132[[#This Row],[ÉTAT]]&amp;Table132[[#This Row],[next move]]</f>
        <v>EVEMVMVVE01</v>
      </c>
    </row>
    <row r="5604" spans="2:9" x14ac:dyDescent="0.25">
      <c r="B5604" t="s">
        <v>1748</v>
      </c>
      <c r="C5604" s="22" t="s">
        <v>29</v>
      </c>
      <c r="D5604">
        <v>1</v>
      </c>
      <c r="E5604">
        <v>1</v>
      </c>
      <c r="G5604" s="31">
        <f>Table132[[#This Row],[nb win]]/Table132[[#This Row],[nb play]]</f>
        <v>1</v>
      </c>
      <c r="H5604" t="str">
        <f>MID(Table132[[#This Row],[ÉTAT]],VALUE(RIGHT(Table132[[#This Row],[next move]],1))+1+VALUE(LEFT(Table132[[#This Row],[next move]],1))*3,1)</f>
        <v>V</v>
      </c>
      <c r="I5604" t="str">
        <f>Table132[[#This Row],[ÉTAT]]&amp;Table132[[#This Row],[next move]]</f>
        <v>EVEMVMVVE11</v>
      </c>
    </row>
    <row r="5605" spans="2:9" x14ac:dyDescent="0.25">
      <c r="B5605" t="s">
        <v>1748</v>
      </c>
      <c r="C5605" s="22" t="s">
        <v>22</v>
      </c>
      <c r="D5605">
        <v>3</v>
      </c>
      <c r="E5605">
        <v>2</v>
      </c>
      <c r="G5605" s="31">
        <f>Table132[[#This Row],[nb win]]/Table132[[#This Row],[nb play]]</f>
        <v>0.66666666666666663</v>
      </c>
      <c r="H5605" t="str">
        <f>MID(Table132[[#This Row],[ÉTAT]],VALUE(RIGHT(Table132[[#This Row],[next move]],1))+1+VALUE(LEFT(Table132[[#This Row],[next move]],1))*3,1)</f>
        <v>V</v>
      </c>
      <c r="I5605" t="str">
        <f>Table132[[#This Row],[ÉTAT]]&amp;Table132[[#This Row],[next move]]</f>
        <v>EVEMVMVVE21</v>
      </c>
    </row>
    <row r="5606" spans="2:9" x14ac:dyDescent="0.25">
      <c r="B5606" t="s">
        <v>1520</v>
      </c>
      <c r="C5606" s="22" t="s">
        <v>29</v>
      </c>
      <c r="D5606">
        <v>1</v>
      </c>
      <c r="E5606">
        <v>1</v>
      </c>
      <c r="G5606" s="25">
        <f>Table132[[#This Row],[nb win]]/Table132[[#This Row],[nb play]]</f>
        <v>1</v>
      </c>
      <c r="H5606" t="str">
        <f>MID(Table132[[#This Row],[ÉTAT]],VALUE(RIGHT(Table132[[#This Row],[next move]],1))+1+VALUE(LEFT(Table132[[#This Row],[next move]],1))*3,1)</f>
        <v>V</v>
      </c>
      <c r="I5606" t="str">
        <f>Table132[[#This Row],[ÉTAT]]&amp;Table132[[#This Row],[next move]]</f>
        <v>EVEMVMVME11</v>
      </c>
    </row>
    <row r="5607" spans="2:9" x14ac:dyDescent="0.25">
      <c r="B5607" t="s">
        <v>1520</v>
      </c>
      <c r="C5607" s="22" t="s">
        <v>35</v>
      </c>
      <c r="D5607">
        <v>1</v>
      </c>
      <c r="G5607" s="25">
        <f>Table132[[#This Row],[nb win]]/Table132[[#This Row],[nb play]]</f>
        <v>0</v>
      </c>
      <c r="H5607" t="str">
        <f>MID(Table132[[#This Row],[ÉTAT]],VALUE(RIGHT(Table132[[#This Row],[next move]],1))+1+VALUE(LEFT(Table132[[#This Row],[next move]],1))*3,1)</f>
        <v>V</v>
      </c>
      <c r="I5607" t="str">
        <f>Table132[[#This Row],[ÉTAT]]&amp;Table132[[#This Row],[next move]]</f>
        <v>EVEMVMVME20</v>
      </c>
    </row>
    <row r="5608" spans="2:9" x14ac:dyDescent="0.25">
      <c r="B5608" t="s">
        <v>2464</v>
      </c>
      <c r="C5608" s="22" t="s">
        <v>31</v>
      </c>
      <c r="D5608">
        <v>2</v>
      </c>
      <c r="E5608">
        <v>1</v>
      </c>
      <c r="G5608" s="30">
        <f>Table132[[#This Row],[nb win]]/Table132[[#This Row],[nb play]]</f>
        <v>0.5</v>
      </c>
      <c r="H5608" t="str">
        <f>MID(Table132[[#This Row],[ÉTAT]],VALUE(RIGHT(Table132[[#This Row],[next move]],1))+1+VALUE(LEFT(Table132[[#This Row],[next move]],1))*3,1)</f>
        <v>V</v>
      </c>
      <c r="I5608" t="str">
        <f>Table132[[#This Row],[ÉTAT]]&amp;Table132[[#This Row],[next move]]</f>
        <v>EVEMVMVEV22</v>
      </c>
    </row>
    <row r="5609" spans="2:9" x14ac:dyDescent="0.25">
      <c r="B5609" t="s">
        <v>2398</v>
      </c>
      <c r="C5609" s="22" t="s">
        <v>29</v>
      </c>
      <c r="D5609">
        <v>1</v>
      </c>
      <c r="E5609">
        <v>1</v>
      </c>
      <c r="G5609" s="25">
        <f>Table132[[#This Row],[nb win]]/Table132[[#This Row],[nb play]]</f>
        <v>1</v>
      </c>
      <c r="H5609" t="str">
        <f>MID(Table132[[#This Row],[ÉTAT]],VALUE(RIGHT(Table132[[#This Row],[next move]],1))+1+VALUE(LEFT(Table132[[#This Row],[next move]],1))*3,1)</f>
        <v>V</v>
      </c>
      <c r="I5609" t="str">
        <f>Table132[[#This Row],[ÉTAT]]&amp;Table132[[#This Row],[next move]]</f>
        <v>EVEMVMVEM11</v>
      </c>
    </row>
    <row r="5610" spans="2:9" x14ac:dyDescent="0.25">
      <c r="B5610" t="s">
        <v>732</v>
      </c>
      <c r="C5610" s="22" t="s">
        <v>26</v>
      </c>
      <c r="D5610">
        <v>2</v>
      </c>
      <c r="E5610">
        <v>1</v>
      </c>
      <c r="G5610" s="25">
        <f>Table132[[#This Row],[nb win]]/Table132[[#This Row],[nb play]]</f>
        <v>0.5</v>
      </c>
      <c r="H5610" t="str">
        <f>MID(Table132[[#This Row],[ÉTAT]],VALUE(RIGHT(Table132[[#This Row],[next move]],1))+1+VALUE(LEFT(Table132[[#This Row],[next move]],1))*3,1)</f>
        <v>V</v>
      </c>
      <c r="I5610" t="str">
        <f>Table132[[#This Row],[ÉTAT]]&amp;Table132[[#This Row],[next move]]</f>
        <v>EVEMVMMVE01</v>
      </c>
    </row>
    <row r="5611" spans="2:9" x14ac:dyDescent="0.25">
      <c r="B5611" t="s">
        <v>732</v>
      </c>
      <c r="C5611" s="22" t="s">
        <v>22</v>
      </c>
      <c r="D5611">
        <v>1</v>
      </c>
      <c r="G5611" s="30">
        <f>Table132[[#This Row],[nb win]]/Table132[[#This Row],[nb play]]</f>
        <v>0</v>
      </c>
      <c r="H5611" t="str">
        <f>MID(Table132[[#This Row],[ÉTAT]],VALUE(RIGHT(Table132[[#This Row],[next move]],1))+1+VALUE(LEFT(Table132[[#This Row],[next move]],1))*3,1)</f>
        <v>V</v>
      </c>
      <c r="I5611" t="str">
        <f>Table132[[#This Row],[ÉTAT]]&amp;Table132[[#This Row],[next move]]</f>
        <v>EVEMVMMVE21</v>
      </c>
    </row>
    <row r="5612" spans="2:9" x14ac:dyDescent="0.25">
      <c r="B5612" t="s">
        <v>3270</v>
      </c>
      <c r="C5612" s="22" t="s">
        <v>29</v>
      </c>
      <c r="D5612">
        <v>1</v>
      </c>
      <c r="E5612">
        <v>1</v>
      </c>
      <c r="G5612" s="31">
        <f>Table132[[#This Row],[nb win]]/Table132[[#This Row],[nb play]]</f>
        <v>1</v>
      </c>
      <c r="H5612" t="str">
        <f>MID(Table132[[#This Row],[ÉTAT]],VALUE(RIGHT(Table132[[#This Row],[next move]],1))+1+VALUE(LEFT(Table132[[#This Row],[next move]],1))*3,1)</f>
        <v>V</v>
      </c>
      <c r="I5612" t="str">
        <f>Table132[[#This Row],[ÉTAT]]&amp;Table132[[#This Row],[next move]]</f>
        <v>EVEMVMMEV11</v>
      </c>
    </row>
    <row r="5613" spans="2:9" x14ac:dyDescent="0.25">
      <c r="B5613" t="s">
        <v>444</v>
      </c>
      <c r="C5613" s="22" t="s">
        <v>29</v>
      </c>
      <c r="D5613">
        <v>2</v>
      </c>
      <c r="E5613">
        <v>2</v>
      </c>
      <c r="G5613" s="25">
        <f>Table132[[#This Row],[nb win]]/Table132[[#This Row],[nb play]]</f>
        <v>1</v>
      </c>
      <c r="H5613" t="str">
        <f>MID(Table132[[#This Row],[ÉTAT]],VALUE(RIGHT(Table132[[#This Row],[next move]],1))+1+VALUE(LEFT(Table132[[#This Row],[next move]],1))*3,1)</f>
        <v>V</v>
      </c>
      <c r="I5613" t="str">
        <f>Table132[[#This Row],[ÉTAT]]&amp;Table132[[#This Row],[next move]]</f>
        <v>EVEMVMMEE11</v>
      </c>
    </row>
    <row r="5614" spans="2:9" x14ac:dyDescent="0.25">
      <c r="B5614" t="s">
        <v>692</v>
      </c>
      <c r="C5614" s="22" t="s">
        <v>29</v>
      </c>
      <c r="D5614">
        <v>11</v>
      </c>
      <c r="E5614">
        <v>11</v>
      </c>
      <c r="G5614" s="31">
        <f>Table132[[#This Row],[nb win]]/Table132[[#This Row],[nb play]]</f>
        <v>1</v>
      </c>
      <c r="H5614" t="str">
        <f>MID(Table132[[#This Row],[ÉTAT]],VALUE(RIGHT(Table132[[#This Row],[next move]],1))+1+VALUE(LEFT(Table132[[#This Row],[next move]],1))*3,1)</f>
        <v>V</v>
      </c>
      <c r="I5614" t="str">
        <f>Table132[[#This Row],[ÉTAT]]&amp;Table132[[#This Row],[next move]]</f>
        <v>EVEMVMEVV11</v>
      </c>
    </row>
    <row r="5615" spans="2:9" x14ac:dyDescent="0.25">
      <c r="B5615" t="s">
        <v>3310</v>
      </c>
      <c r="C5615" s="22" t="s">
        <v>26</v>
      </c>
      <c r="D5615">
        <v>1</v>
      </c>
      <c r="G5615" s="30">
        <f>Table132[[#This Row],[nb win]]/Table132[[#This Row],[nb play]]</f>
        <v>0</v>
      </c>
      <c r="H5615" t="str">
        <f>MID(Table132[[#This Row],[ÉTAT]],VALUE(RIGHT(Table132[[#This Row],[next move]],1))+1+VALUE(LEFT(Table132[[#This Row],[next move]],1))*3,1)</f>
        <v>V</v>
      </c>
      <c r="I5615" t="str">
        <f>Table132[[#This Row],[ÉTAT]]&amp;Table132[[#This Row],[next move]]</f>
        <v>EVEMVMEVM01</v>
      </c>
    </row>
    <row r="5616" spans="2:9" x14ac:dyDescent="0.25">
      <c r="B5616" t="s">
        <v>2189</v>
      </c>
      <c r="C5616" s="22" t="s">
        <v>29</v>
      </c>
      <c r="D5616">
        <v>1</v>
      </c>
      <c r="E5616">
        <v>1</v>
      </c>
      <c r="G5616" s="25">
        <f>Table132[[#This Row],[nb win]]/Table132[[#This Row],[nb play]]</f>
        <v>1</v>
      </c>
      <c r="H5616" t="str">
        <f>MID(Table132[[#This Row],[ÉTAT]],VALUE(RIGHT(Table132[[#This Row],[next move]],1))+1+VALUE(LEFT(Table132[[#This Row],[next move]],1))*3,1)</f>
        <v>V</v>
      </c>
      <c r="I5616" t="str">
        <f>Table132[[#This Row],[ÉTAT]]&amp;Table132[[#This Row],[next move]]</f>
        <v>EVEMVMEMV11</v>
      </c>
    </row>
    <row r="5617" spans="2:9" x14ac:dyDescent="0.25">
      <c r="B5617" t="s">
        <v>1750</v>
      </c>
      <c r="C5617" s="22" t="s">
        <v>29</v>
      </c>
      <c r="D5617">
        <v>3</v>
      </c>
      <c r="E5617">
        <v>3</v>
      </c>
      <c r="G5617" s="31">
        <f>Table132[[#This Row],[nb win]]/Table132[[#This Row],[nb play]]</f>
        <v>1</v>
      </c>
      <c r="H5617" t="str">
        <f>MID(Table132[[#This Row],[ÉTAT]],VALUE(RIGHT(Table132[[#This Row],[next move]],1))+1+VALUE(LEFT(Table132[[#This Row],[next move]],1))*3,1)</f>
        <v>V</v>
      </c>
      <c r="I5617" t="str">
        <f>Table132[[#This Row],[ÉTAT]]&amp;Table132[[#This Row],[next move]]</f>
        <v>EVEMVMEME11</v>
      </c>
    </row>
    <row r="5618" spans="2:9" x14ac:dyDescent="0.25">
      <c r="B5618" t="s">
        <v>2466</v>
      </c>
      <c r="C5618" s="22" t="s">
        <v>29</v>
      </c>
      <c r="D5618">
        <v>1</v>
      </c>
      <c r="E5618">
        <v>1</v>
      </c>
      <c r="G5618" s="25">
        <f>Table132[[#This Row],[nb win]]/Table132[[#This Row],[nb play]]</f>
        <v>1</v>
      </c>
      <c r="H5618" t="str">
        <f>MID(Table132[[#This Row],[ÉTAT]],VALUE(RIGHT(Table132[[#This Row],[next move]],1))+1+VALUE(LEFT(Table132[[#This Row],[next move]],1))*3,1)</f>
        <v>V</v>
      </c>
      <c r="I5618" t="str">
        <f>Table132[[#This Row],[ÉTAT]]&amp;Table132[[#This Row],[next move]]</f>
        <v>EVEMVMEEM11</v>
      </c>
    </row>
    <row r="5619" spans="2:9" x14ac:dyDescent="0.25">
      <c r="B5619" t="s">
        <v>423</v>
      </c>
      <c r="C5619" s="22" t="s">
        <v>35</v>
      </c>
      <c r="D5619">
        <v>1</v>
      </c>
      <c r="G5619" s="25">
        <f>Table132[[#This Row],[nb win]]/Table132[[#This Row],[nb play]]</f>
        <v>0</v>
      </c>
      <c r="H5619" t="str">
        <f>MID(Table132[[#This Row],[ÉTAT]],VALUE(RIGHT(Table132[[#This Row],[next move]],1))+1+VALUE(LEFT(Table132[[#This Row],[next move]],1))*3,1)</f>
        <v>V</v>
      </c>
      <c r="I5619" t="str">
        <f>Table132[[#This Row],[ÉTAT]]&amp;Table132[[#This Row],[next move]]</f>
        <v>EVEMVEVVM20</v>
      </c>
    </row>
    <row r="5620" spans="2:9" x14ac:dyDescent="0.25">
      <c r="B5620" t="s">
        <v>423</v>
      </c>
      <c r="C5620" s="22" t="s">
        <v>22</v>
      </c>
      <c r="D5620">
        <v>1</v>
      </c>
      <c r="G5620" s="25">
        <f>Table132[[#This Row],[nb win]]/Table132[[#This Row],[nb play]]</f>
        <v>0</v>
      </c>
      <c r="H5620" t="str">
        <f>MID(Table132[[#This Row],[ÉTAT]],VALUE(RIGHT(Table132[[#This Row],[next move]],1))+1+VALUE(LEFT(Table132[[#This Row],[next move]],1))*3,1)</f>
        <v>V</v>
      </c>
      <c r="I5620" t="str">
        <f>Table132[[#This Row],[ÉTAT]]&amp;Table132[[#This Row],[next move]]</f>
        <v>EVEMVEVVM21</v>
      </c>
    </row>
    <row r="5621" spans="2:9" x14ac:dyDescent="0.25">
      <c r="B5621" t="s">
        <v>395</v>
      </c>
      <c r="C5621" s="22" t="s">
        <v>26</v>
      </c>
      <c r="D5621">
        <v>3</v>
      </c>
      <c r="G5621" s="30">
        <f>Table132[[#This Row],[nb win]]/Table132[[#This Row],[nb play]]</f>
        <v>0</v>
      </c>
      <c r="H5621" t="str">
        <f>MID(Table132[[#This Row],[ÉTAT]],VALUE(RIGHT(Table132[[#This Row],[next move]],1))+1+VALUE(LEFT(Table132[[#This Row],[next move]],1))*3,1)</f>
        <v>V</v>
      </c>
      <c r="I5621" t="str">
        <f>Table132[[#This Row],[ÉTAT]]&amp;Table132[[#This Row],[next move]]</f>
        <v>EVEMVEVMV01</v>
      </c>
    </row>
    <row r="5622" spans="2:9" x14ac:dyDescent="0.25">
      <c r="B5622" t="s">
        <v>395</v>
      </c>
      <c r="C5622" s="22" t="s">
        <v>29</v>
      </c>
      <c r="D5622">
        <v>1</v>
      </c>
      <c r="G5622" s="25">
        <f>Table132[[#This Row],[nb win]]/Table132[[#This Row],[nb play]]</f>
        <v>0</v>
      </c>
      <c r="H5622" t="str">
        <f>MID(Table132[[#This Row],[ÉTAT]],VALUE(RIGHT(Table132[[#This Row],[next move]],1))+1+VALUE(LEFT(Table132[[#This Row],[next move]],1))*3,1)</f>
        <v>V</v>
      </c>
      <c r="I5622" t="str">
        <f>Table132[[#This Row],[ÉTAT]]&amp;Table132[[#This Row],[next move]]</f>
        <v>EVEMVEVMV11</v>
      </c>
    </row>
    <row r="5623" spans="2:9" x14ac:dyDescent="0.25">
      <c r="B5623" t="s">
        <v>395</v>
      </c>
      <c r="C5623" s="22" t="s">
        <v>35</v>
      </c>
      <c r="D5623">
        <v>3</v>
      </c>
      <c r="G5623" s="30">
        <f>Table132[[#This Row],[nb win]]/Table132[[#This Row],[nb play]]</f>
        <v>0</v>
      </c>
      <c r="H5623" t="str">
        <f>MID(Table132[[#This Row],[ÉTAT]],VALUE(RIGHT(Table132[[#This Row],[next move]],1))+1+VALUE(LEFT(Table132[[#This Row],[next move]],1))*3,1)</f>
        <v>V</v>
      </c>
      <c r="I5623" t="str">
        <f>Table132[[#This Row],[ÉTAT]]&amp;Table132[[#This Row],[next move]]</f>
        <v>EVEMVEVMV20</v>
      </c>
    </row>
    <row r="5624" spans="2:9" x14ac:dyDescent="0.25">
      <c r="B5624" t="s">
        <v>395</v>
      </c>
      <c r="C5624" s="22" t="s">
        <v>31</v>
      </c>
      <c r="D5624">
        <v>1</v>
      </c>
      <c r="E5624">
        <v>1</v>
      </c>
      <c r="G5624" s="25">
        <f>Table132[[#This Row],[nb win]]/Table132[[#This Row],[nb play]]</f>
        <v>1</v>
      </c>
      <c r="H5624" t="str">
        <f>MID(Table132[[#This Row],[ÉTAT]],VALUE(RIGHT(Table132[[#This Row],[next move]],1))+1+VALUE(LEFT(Table132[[#This Row],[next move]],1))*3,1)</f>
        <v>V</v>
      </c>
      <c r="I5624" t="str">
        <f>Table132[[#This Row],[ÉTAT]]&amp;Table132[[#This Row],[next move]]</f>
        <v>EVEMVEVMV22</v>
      </c>
    </row>
    <row r="5625" spans="2:9" x14ac:dyDescent="0.25">
      <c r="B5625" t="s">
        <v>2898</v>
      </c>
      <c r="C5625" s="22" t="s">
        <v>29</v>
      </c>
      <c r="D5625">
        <v>1</v>
      </c>
      <c r="G5625" s="30">
        <f>Table132[[#This Row],[nb win]]/Table132[[#This Row],[nb play]]</f>
        <v>0</v>
      </c>
      <c r="H5625" t="str">
        <f>MID(Table132[[#This Row],[ÉTAT]],VALUE(RIGHT(Table132[[#This Row],[next move]],1))+1+VALUE(LEFT(Table132[[#This Row],[next move]],1))*3,1)</f>
        <v>V</v>
      </c>
      <c r="I5625" t="str">
        <f>Table132[[#This Row],[ÉTAT]]&amp;Table132[[#This Row],[next move]]</f>
        <v>EVEMVEMVV11</v>
      </c>
    </row>
    <row r="5626" spans="2:9" x14ac:dyDescent="0.25">
      <c r="B5626" t="s">
        <v>2898</v>
      </c>
      <c r="C5626" s="22" t="s">
        <v>22</v>
      </c>
      <c r="D5626">
        <v>1</v>
      </c>
      <c r="G5626" s="25">
        <f>Table132[[#This Row],[nb win]]/Table132[[#This Row],[nb play]]</f>
        <v>0</v>
      </c>
      <c r="H5626" t="str">
        <f>MID(Table132[[#This Row],[ÉTAT]],VALUE(RIGHT(Table132[[#This Row],[next move]],1))+1+VALUE(LEFT(Table132[[#This Row],[next move]],1))*3,1)</f>
        <v>V</v>
      </c>
      <c r="I5626" t="str">
        <f>Table132[[#This Row],[ÉTAT]]&amp;Table132[[#This Row],[next move]]</f>
        <v>EVEMVEMVV21</v>
      </c>
    </row>
    <row r="5627" spans="2:9" x14ac:dyDescent="0.25">
      <c r="B5627" t="s">
        <v>983</v>
      </c>
      <c r="C5627" s="22" t="s">
        <v>26</v>
      </c>
      <c r="D5627">
        <v>2</v>
      </c>
      <c r="G5627" s="25">
        <f>Table132[[#This Row],[nb win]]/Table132[[#This Row],[nb play]]</f>
        <v>0</v>
      </c>
      <c r="H5627" t="str">
        <f>MID(Table132[[#This Row],[ÉTAT]],VALUE(RIGHT(Table132[[#This Row],[next move]],1))+1+VALUE(LEFT(Table132[[#This Row],[next move]],1))*3,1)</f>
        <v>V</v>
      </c>
      <c r="I5627" t="str">
        <f>Table132[[#This Row],[ÉTAT]]&amp;Table132[[#This Row],[next move]]</f>
        <v>EVEMVEMMV01</v>
      </c>
    </row>
    <row r="5628" spans="2:9" x14ac:dyDescent="0.25">
      <c r="B5628" t="s">
        <v>983</v>
      </c>
      <c r="C5628" s="22" t="s">
        <v>29</v>
      </c>
      <c r="D5628">
        <v>1</v>
      </c>
      <c r="G5628" s="25">
        <f>Table132[[#This Row],[nb win]]/Table132[[#This Row],[nb play]]</f>
        <v>0</v>
      </c>
      <c r="H5628" t="str">
        <f>MID(Table132[[#This Row],[ÉTAT]],VALUE(RIGHT(Table132[[#This Row],[next move]],1))+1+VALUE(LEFT(Table132[[#This Row],[next move]],1))*3,1)</f>
        <v>V</v>
      </c>
      <c r="I5628" t="str">
        <f>Table132[[#This Row],[ÉTAT]]&amp;Table132[[#This Row],[next move]]</f>
        <v>EVEMVEMMV11</v>
      </c>
    </row>
    <row r="5629" spans="2:9" x14ac:dyDescent="0.25">
      <c r="B5629" t="s">
        <v>983</v>
      </c>
      <c r="C5629" s="22" t="s">
        <v>31</v>
      </c>
      <c r="D5629">
        <v>2</v>
      </c>
      <c r="E5629">
        <v>2</v>
      </c>
      <c r="G5629" s="31">
        <f>Table132[[#This Row],[nb win]]/Table132[[#This Row],[nb play]]</f>
        <v>1</v>
      </c>
      <c r="H5629" t="str">
        <f>MID(Table132[[#This Row],[ÉTAT]],VALUE(RIGHT(Table132[[#This Row],[next move]],1))+1+VALUE(LEFT(Table132[[#This Row],[next move]],1))*3,1)</f>
        <v>V</v>
      </c>
      <c r="I5629" t="str">
        <f>Table132[[#This Row],[ÉTAT]]&amp;Table132[[#This Row],[next move]]</f>
        <v>EVEMVEMMV22</v>
      </c>
    </row>
    <row r="5630" spans="2:9" x14ac:dyDescent="0.25">
      <c r="B5630" t="s">
        <v>366</v>
      </c>
      <c r="C5630" s="22" t="s">
        <v>29</v>
      </c>
      <c r="D5630">
        <v>1</v>
      </c>
      <c r="G5630" s="25">
        <f>Table132[[#This Row],[nb win]]/Table132[[#This Row],[nb play]]</f>
        <v>0</v>
      </c>
      <c r="H5630" t="str">
        <f>MID(Table132[[#This Row],[ÉTAT]],VALUE(RIGHT(Table132[[#This Row],[next move]],1))+1+VALUE(LEFT(Table132[[#This Row],[next move]],1))*3,1)</f>
        <v>V</v>
      </c>
      <c r="I5630" t="str">
        <f>Table132[[#This Row],[ÉTAT]]&amp;Table132[[#This Row],[next move]]</f>
        <v>EVEMVEMEM11</v>
      </c>
    </row>
    <row r="5631" spans="2:9" x14ac:dyDescent="0.25">
      <c r="B5631" t="s">
        <v>596</v>
      </c>
      <c r="C5631" s="22" t="s">
        <v>26</v>
      </c>
      <c r="D5631">
        <v>2</v>
      </c>
      <c r="G5631" s="30">
        <f>Table132[[#This Row],[nb win]]/Table132[[#This Row],[nb play]]</f>
        <v>0</v>
      </c>
      <c r="H5631" t="str">
        <f>MID(Table132[[#This Row],[ÉTAT]],VALUE(RIGHT(Table132[[#This Row],[next move]],1))+1+VALUE(LEFT(Table132[[#This Row],[next move]],1))*3,1)</f>
        <v>V</v>
      </c>
      <c r="I5631" t="str">
        <f>Table132[[#This Row],[ÉTAT]]&amp;Table132[[#This Row],[next move]]</f>
        <v>EVEMVEEMM01</v>
      </c>
    </row>
    <row r="5632" spans="2:9" x14ac:dyDescent="0.25">
      <c r="B5632" t="s">
        <v>596</v>
      </c>
      <c r="C5632" s="22" t="s">
        <v>29</v>
      </c>
      <c r="D5632">
        <v>3</v>
      </c>
      <c r="G5632" s="30">
        <f>Table132[[#This Row],[nb win]]/Table132[[#This Row],[nb play]]</f>
        <v>0</v>
      </c>
      <c r="H5632" t="str">
        <f>MID(Table132[[#This Row],[ÉTAT]],VALUE(RIGHT(Table132[[#This Row],[next move]],1))+1+VALUE(LEFT(Table132[[#This Row],[next move]],1))*3,1)</f>
        <v>V</v>
      </c>
      <c r="I5632" t="str">
        <f>Table132[[#This Row],[ÉTAT]]&amp;Table132[[#This Row],[next move]]</f>
        <v>EVEMVEEMM11</v>
      </c>
    </row>
    <row r="5633" spans="2:9" x14ac:dyDescent="0.25">
      <c r="B5633" t="s">
        <v>1994</v>
      </c>
      <c r="C5633" s="22" t="s">
        <v>26</v>
      </c>
      <c r="D5633">
        <v>1</v>
      </c>
      <c r="G5633" s="25">
        <f>Table132[[#This Row],[nb win]]/Table132[[#This Row],[nb play]]</f>
        <v>0</v>
      </c>
      <c r="H5633" t="str">
        <f>MID(Table132[[#This Row],[ÉTAT]],VALUE(RIGHT(Table132[[#This Row],[next move]],1))+1+VALUE(LEFT(Table132[[#This Row],[next move]],1))*3,1)</f>
        <v>V</v>
      </c>
      <c r="I5633" t="str">
        <f>Table132[[#This Row],[ÉTAT]]&amp;Table132[[#This Row],[next move]]</f>
        <v>EVEMMVVVV01</v>
      </c>
    </row>
    <row r="5634" spans="2:9" x14ac:dyDescent="0.25">
      <c r="B5634" t="s">
        <v>1994</v>
      </c>
      <c r="C5634" s="22" t="s">
        <v>28</v>
      </c>
      <c r="D5634">
        <v>7</v>
      </c>
      <c r="E5634">
        <v>7</v>
      </c>
      <c r="G5634" s="31">
        <f>Table132[[#This Row],[nb win]]/Table132[[#This Row],[nb play]]</f>
        <v>1</v>
      </c>
      <c r="H5634" t="str">
        <f>MID(Table132[[#This Row],[ÉTAT]],VALUE(RIGHT(Table132[[#This Row],[next move]],1))+1+VALUE(LEFT(Table132[[#This Row],[next move]],1))*3,1)</f>
        <v>V</v>
      </c>
      <c r="I5634" t="str">
        <f>Table132[[#This Row],[ÉTAT]]&amp;Table132[[#This Row],[next move]]</f>
        <v>EVEMMVVVV12</v>
      </c>
    </row>
    <row r="5635" spans="2:9" x14ac:dyDescent="0.25">
      <c r="B5635" t="s">
        <v>1994</v>
      </c>
      <c r="C5635" s="22" t="s">
        <v>22</v>
      </c>
      <c r="D5635">
        <v>1</v>
      </c>
      <c r="G5635" s="25">
        <f>Table132[[#This Row],[nb win]]/Table132[[#This Row],[nb play]]</f>
        <v>0</v>
      </c>
      <c r="H5635" t="str">
        <f>MID(Table132[[#This Row],[ÉTAT]],VALUE(RIGHT(Table132[[#This Row],[next move]],1))+1+VALUE(LEFT(Table132[[#This Row],[next move]],1))*3,1)</f>
        <v>V</v>
      </c>
      <c r="I5635" t="str">
        <f>Table132[[#This Row],[ÉTAT]]&amp;Table132[[#This Row],[next move]]</f>
        <v>EVEMMVVVV21</v>
      </c>
    </row>
    <row r="5636" spans="2:9" x14ac:dyDescent="0.25">
      <c r="B5636" t="s">
        <v>1994</v>
      </c>
      <c r="C5636" s="22" t="s">
        <v>31</v>
      </c>
      <c r="D5636">
        <v>1</v>
      </c>
      <c r="G5636" s="25">
        <f>Table132[[#This Row],[nb win]]/Table132[[#This Row],[nb play]]</f>
        <v>0</v>
      </c>
      <c r="H5636" t="str">
        <f>MID(Table132[[#This Row],[ÉTAT]],VALUE(RIGHT(Table132[[#This Row],[next move]],1))+1+VALUE(LEFT(Table132[[#This Row],[next move]],1))*3,1)</f>
        <v>V</v>
      </c>
      <c r="I5636" t="str">
        <f>Table132[[#This Row],[ÉTAT]]&amp;Table132[[#This Row],[next move]]</f>
        <v>EVEMMVVVV22</v>
      </c>
    </row>
    <row r="5637" spans="2:9" x14ac:dyDescent="0.25">
      <c r="B5637" t="s">
        <v>1314</v>
      </c>
      <c r="C5637" s="22" t="s">
        <v>28</v>
      </c>
      <c r="D5637">
        <v>2</v>
      </c>
      <c r="E5637">
        <v>2</v>
      </c>
      <c r="G5637" s="31">
        <f>Table132[[#This Row],[nb win]]/Table132[[#This Row],[nb play]]</f>
        <v>1</v>
      </c>
      <c r="H5637" t="str">
        <f>MID(Table132[[#This Row],[ÉTAT]],VALUE(RIGHT(Table132[[#This Row],[next move]],1))+1+VALUE(LEFT(Table132[[#This Row],[next move]],1))*3,1)</f>
        <v>V</v>
      </c>
      <c r="I5637" t="str">
        <f>Table132[[#This Row],[ÉTAT]]&amp;Table132[[#This Row],[next move]]</f>
        <v>EVEMMVVVE12</v>
      </c>
    </row>
    <row r="5638" spans="2:9" x14ac:dyDescent="0.25">
      <c r="B5638" t="s">
        <v>1314</v>
      </c>
      <c r="C5638" s="22" t="s">
        <v>35</v>
      </c>
      <c r="D5638">
        <v>1</v>
      </c>
      <c r="G5638" s="25">
        <f>Table132[[#This Row],[nb win]]/Table132[[#This Row],[nb play]]</f>
        <v>0</v>
      </c>
      <c r="H5638" t="str">
        <f>MID(Table132[[#This Row],[ÉTAT]],VALUE(RIGHT(Table132[[#This Row],[next move]],1))+1+VALUE(LEFT(Table132[[#This Row],[next move]],1))*3,1)</f>
        <v>V</v>
      </c>
      <c r="I5638" t="str">
        <f>Table132[[#This Row],[ÉTAT]]&amp;Table132[[#This Row],[next move]]</f>
        <v>EVEMMVVVE20</v>
      </c>
    </row>
    <row r="5639" spans="2:9" x14ac:dyDescent="0.25">
      <c r="B5639" t="s">
        <v>1314</v>
      </c>
      <c r="C5639" s="22" t="s">
        <v>22</v>
      </c>
      <c r="D5639">
        <v>2</v>
      </c>
      <c r="G5639" s="30">
        <f>Table132[[#This Row],[nb win]]/Table132[[#This Row],[nb play]]</f>
        <v>0</v>
      </c>
      <c r="H5639" t="str">
        <f>MID(Table132[[#This Row],[ÉTAT]],VALUE(RIGHT(Table132[[#This Row],[next move]],1))+1+VALUE(LEFT(Table132[[#This Row],[next move]],1))*3,1)</f>
        <v>V</v>
      </c>
      <c r="I5639" t="str">
        <f>Table132[[#This Row],[ÉTAT]]&amp;Table132[[#This Row],[next move]]</f>
        <v>EVEMMVVVE21</v>
      </c>
    </row>
    <row r="5640" spans="2:9" x14ac:dyDescent="0.25">
      <c r="B5640" t="s">
        <v>2230</v>
      </c>
      <c r="C5640" s="22" t="s">
        <v>26</v>
      </c>
      <c r="D5640">
        <v>2</v>
      </c>
      <c r="E5640">
        <v>2</v>
      </c>
      <c r="G5640" s="31">
        <f>Table132[[#This Row],[nb win]]/Table132[[#This Row],[nb play]]</f>
        <v>1</v>
      </c>
      <c r="H5640" t="str">
        <f>MID(Table132[[#This Row],[ÉTAT]],VALUE(RIGHT(Table132[[#This Row],[next move]],1))+1+VALUE(LEFT(Table132[[#This Row],[next move]],1))*3,1)</f>
        <v>V</v>
      </c>
      <c r="I5640" t="str">
        <f>Table132[[#This Row],[ÉTAT]]&amp;Table132[[#This Row],[next move]]</f>
        <v>EVEMMVVME01</v>
      </c>
    </row>
    <row r="5641" spans="2:9" x14ac:dyDescent="0.25">
      <c r="B5641" t="s">
        <v>2973</v>
      </c>
      <c r="C5641" s="22" t="s">
        <v>28</v>
      </c>
      <c r="D5641">
        <v>1</v>
      </c>
      <c r="E5641">
        <v>1</v>
      </c>
      <c r="G5641" s="31">
        <f>Table132[[#This Row],[nb win]]/Table132[[#This Row],[nb play]]</f>
        <v>1</v>
      </c>
      <c r="H5641" t="str">
        <f>MID(Table132[[#This Row],[ÉTAT]],VALUE(RIGHT(Table132[[#This Row],[next move]],1))+1+VALUE(LEFT(Table132[[#This Row],[next move]],1))*3,1)</f>
        <v>V</v>
      </c>
      <c r="I5641" t="str">
        <f>Table132[[#This Row],[ÉTAT]]&amp;Table132[[#This Row],[next move]]</f>
        <v>EVEMMVVEV12</v>
      </c>
    </row>
    <row r="5642" spans="2:9" x14ac:dyDescent="0.25">
      <c r="B5642" t="s">
        <v>2973</v>
      </c>
      <c r="C5642" s="22" t="s">
        <v>31</v>
      </c>
      <c r="D5642">
        <v>1</v>
      </c>
      <c r="G5642" s="30">
        <f>Table132[[#This Row],[nb win]]/Table132[[#This Row],[nb play]]</f>
        <v>0</v>
      </c>
      <c r="H5642" t="str">
        <f>MID(Table132[[#This Row],[ÉTAT]],VALUE(RIGHT(Table132[[#This Row],[next move]],1))+1+VALUE(LEFT(Table132[[#This Row],[next move]],1))*3,1)</f>
        <v>V</v>
      </c>
      <c r="I5642" t="str">
        <f>Table132[[#This Row],[ÉTAT]]&amp;Table132[[#This Row],[next move]]</f>
        <v>EVEMMVVEV22</v>
      </c>
    </row>
    <row r="5643" spans="2:9" x14ac:dyDescent="0.25">
      <c r="B5643" t="s">
        <v>2670</v>
      </c>
      <c r="C5643" s="22" t="s">
        <v>28</v>
      </c>
      <c r="D5643">
        <v>1</v>
      </c>
      <c r="E5643">
        <v>1</v>
      </c>
      <c r="G5643" s="31">
        <f>Table132[[#This Row],[nb win]]/Table132[[#This Row],[nb play]]</f>
        <v>1</v>
      </c>
      <c r="H5643" t="str">
        <f>MID(Table132[[#This Row],[ÉTAT]],VALUE(RIGHT(Table132[[#This Row],[next move]],1))+1+VALUE(LEFT(Table132[[#This Row],[next move]],1))*3,1)</f>
        <v>V</v>
      </c>
      <c r="I5643" t="str">
        <f>Table132[[#This Row],[ÉTAT]]&amp;Table132[[#This Row],[next move]]</f>
        <v>EVEMMVVEM12</v>
      </c>
    </row>
    <row r="5644" spans="2:9" x14ac:dyDescent="0.25">
      <c r="B5644" t="s">
        <v>2670</v>
      </c>
      <c r="C5644" s="22" t="s">
        <v>35</v>
      </c>
      <c r="D5644">
        <v>1</v>
      </c>
      <c r="G5644" s="25">
        <f>Table132[[#This Row],[nb win]]/Table132[[#This Row],[nb play]]</f>
        <v>0</v>
      </c>
      <c r="H5644" t="str">
        <f>MID(Table132[[#This Row],[ÉTAT]],VALUE(RIGHT(Table132[[#This Row],[next move]],1))+1+VALUE(LEFT(Table132[[#This Row],[next move]],1))*3,1)</f>
        <v>V</v>
      </c>
      <c r="I5644" t="str">
        <f>Table132[[#This Row],[ÉTAT]]&amp;Table132[[#This Row],[next move]]</f>
        <v>EVEMMVVEM20</v>
      </c>
    </row>
    <row r="5645" spans="2:9" x14ac:dyDescent="0.25">
      <c r="B5645" t="s">
        <v>2311</v>
      </c>
      <c r="C5645" s="22" t="s">
        <v>28</v>
      </c>
      <c r="D5645">
        <v>3</v>
      </c>
      <c r="E5645">
        <v>3</v>
      </c>
      <c r="G5645" s="31">
        <f>Table132[[#This Row],[nb win]]/Table132[[#This Row],[nb play]]</f>
        <v>1</v>
      </c>
      <c r="H5645" t="str">
        <f>MID(Table132[[#This Row],[ÉTAT]],VALUE(RIGHT(Table132[[#This Row],[next move]],1))+1+VALUE(LEFT(Table132[[#This Row],[next move]],1))*3,1)</f>
        <v>V</v>
      </c>
      <c r="I5645" t="str">
        <f>Table132[[#This Row],[ÉTAT]]&amp;Table132[[#This Row],[next move]]</f>
        <v>EVEMMVMEV12</v>
      </c>
    </row>
    <row r="5646" spans="2:9" x14ac:dyDescent="0.25">
      <c r="B5646" t="s">
        <v>2311</v>
      </c>
      <c r="C5646" s="22" t="s">
        <v>31</v>
      </c>
      <c r="D5646">
        <v>2</v>
      </c>
      <c r="G5646" s="30">
        <f>Table132[[#This Row],[nb win]]/Table132[[#This Row],[nb play]]</f>
        <v>0</v>
      </c>
      <c r="H5646" t="str">
        <f>MID(Table132[[#This Row],[ÉTAT]],VALUE(RIGHT(Table132[[#This Row],[next move]],1))+1+VALUE(LEFT(Table132[[#This Row],[next move]],1))*3,1)</f>
        <v>V</v>
      </c>
      <c r="I5646" t="str">
        <f>Table132[[#This Row],[ÉTAT]]&amp;Table132[[#This Row],[next move]]</f>
        <v>EVEMMVMEV22</v>
      </c>
    </row>
    <row r="5647" spans="2:9" x14ac:dyDescent="0.25">
      <c r="B5647" t="s">
        <v>2440</v>
      </c>
      <c r="C5647" s="22" t="s">
        <v>22</v>
      </c>
      <c r="D5647">
        <v>1</v>
      </c>
      <c r="E5647">
        <v>1</v>
      </c>
      <c r="G5647" s="25">
        <f>Table132[[#This Row],[nb win]]/Table132[[#This Row],[nb play]]</f>
        <v>1</v>
      </c>
      <c r="H5647" t="str">
        <f>MID(Table132[[#This Row],[ÉTAT]],VALUE(RIGHT(Table132[[#This Row],[next move]],1))+1+VALUE(LEFT(Table132[[#This Row],[next move]],1))*3,1)</f>
        <v>V</v>
      </c>
      <c r="I5647" t="str">
        <f>Table132[[#This Row],[ÉTAT]]&amp;Table132[[#This Row],[next move]]</f>
        <v>EVEMMVEVV21</v>
      </c>
    </row>
    <row r="5648" spans="2:9" x14ac:dyDescent="0.25">
      <c r="B5648" t="s">
        <v>2234</v>
      </c>
      <c r="C5648" s="22" t="s">
        <v>28</v>
      </c>
      <c r="D5648">
        <v>2</v>
      </c>
      <c r="E5648">
        <v>2</v>
      </c>
      <c r="G5648" s="31">
        <f>Table132[[#This Row],[nb win]]/Table132[[#This Row],[nb play]]</f>
        <v>1</v>
      </c>
      <c r="H5648" t="str">
        <f>MID(Table132[[#This Row],[ÉTAT]],VALUE(RIGHT(Table132[[#This Row],[next move]],1))+1+VALUE(LEFT(Table132[[#This Row],[next move]],1))*3,1)</f>
        <v>V</v>
      </c>
      <c r="I5648" t="str">
        <f>Table132[[#This Row],[ÉTAT]]&amp;Table132[[#This Row],[next move]]</f>
        <v>EVEMMVEVM12</v>
      </c>
    </row>
    <row r="5649" spans="2:9" x14ac:dyDescent="0.25">
      <c r="B5649" t="s">
        <v>2234</v>
      </c>
      <c r="C5649" s="22" t="s">
        <v>22</v>
      </c>
      <c r="D5649">
        <v>1</v>
      </c>
      <c r="G5649" s="25">
        <f>Table132[[#This Row],[nb win]]/Table132[[#This Row],[nb play]]</f>
        <v>0</v>
      </c>
      <c r="H5649" t="str">
        <f>MID(Table132[[#This Row],[ÉTAT]],VALUE(RIGHT(Table132[[#This Row],[next move]],1))+1+VALUE(LEFT(Table132[[#This Row],[next move]],1))*3,1)</f>
        <v>V</v>
      </c>
      <c r="I5649" t="str">
        <f>Table132[[#This Row],[ÉTAT]]&amp;Table132[[#This Row],[next move]]</f>
        <v>EVEMMVEVM21</v>
      </c>
    </row>
    <row r="5650" spans="2:9" x14ac:dyDescent="0.25">
      <c r="B5650" t="s">
        <v>495</v>
      </c>
      <c r="C5650" s="22" t="s">
        <v>28</v>
      </c>
      <c r="D5650">
        <v>2</v>
      </c>
      <c r="E5650">
        <v>2</v>
      </c>
      <c r="G5650" s="25">
        <f>Table132[[#This Row],[nb win]]/Table132[[#This Row],[nb play]]</f>
        <v>1</v>
      </c>
      <c r="H5650" t="str">
        <f>MID(Table132[[#This Row],[ÉTAT]],VALUE(RIGHT(Table132[[#This Row],[next move]],1))+1+VALUE(LEFT(Table132[[#This Row],[next move]],1))*3,1)</f>
        <v>V</v>
      </c>
      <c r="I5650" t="str">
        <f>Table132[[#This Row],[ÉTAT]]&amp;Table132[[#This Row],[next move]]</f>
        <v>EVEMMVEME12</v>
      </c>
    </row>
    <row r="5651" spans="2:9" x14ac:dyDescent="0.25">
      <c r="B5651" t="s">
        <v>1486</v>
      </c>
      <c r="C5651" s="22" t="s">
        <v>28</v>
      </c>
      <c r="D5651">
        <v>3</v>
      </c>
      <c r="E5651">
        <v>3</v>
      </c>
      <c r="G5651" s="25">
        <f>Table132[[#This Row],[nb win]]/Table132[[#This Row],[nb play]]</f>
        <v>1</v>
      </c>
      <c r="H5651" t="str">
        <f>MID(Table132[[#This Row],[ÉTAT]],VALUE(RIGHT(Table132[[#This Row],[next move]],1))+1+VALUE(LEFT(Table132[[#This Row],[next move]],1))*3,1)</f>
        <v>V</v>
      </c>
      <c r="I5651" t="str">
        <f>Table132[[#This Row],[ÉTAT]]&amp;Table132[[#This Row],[next move]]</f>
        <v>EVEMMVEEM12</v>
      </c>
    </row>
    <row r="5652" spans="2:9" x14ac:dyDescent="0.25">
      <c r="B5652" t="s">
        <v>453</v>
      </c>
      <c r="C5652" s="22" t="s">
        <v>35</v>
      </c>
      <c r="D5652">
        <v>1</v>
      </c>
      <c r="G5652" s="25">
        <f>Table132[[#This Row],[nb win]]/Table132[[#This Row],[nb play]]</f>
        <v>0</v>
      </c>
      <c r="H5652" t="str">
        <f>MID(Table132[[#This Row],[ÉTAT]],VALUE(RIGHT(Table132[[#This Row],[next move]],1))+1+VALUE(LEFT(Table132[[#This Row],[next move]],1))*3,1)</f>
        <v>V</v>
      </c>
      <c r="I5652" t="str">
        <f>Table132[[#This Row],[ÉTAT]]&amp;Table132[[#This Row],[next move]]</f>
        <v>EVEMMEVVV20</v>
      </c>
    </row>
    <row r="5653" spans="2:9" x14ac:dyDescent="0.25">
      <c r="B5653" t="s">
        <v>2253</v>
      </c>
      <c r="C5653" s="22" t="s">
        <v>35</v>
      </c>
      <c r="D5653">
        <v>1</v>
      </c>
      <c r="G5653" s="25">
        <f>Table132[[#This Row],[nb win]]/Table132[[#This Row],[nb play]]</f>
        <v>0</v>
      </c>
      <c r="H5653" t="str">
        <f>MID(Table132[[#This Row],[ÉTAT]],VALUE(RIGHT(Table132[[#This Row],[next move]],1))+1+VALUE(LEFT(Table132[[#This Row],[next move]],1))*3,1)</f>
        <v>V</v>
      </c>
      <c r="I5653" t="str">
        <f>Table132[[#This Row],[ÉTAT]]&amp;Table132[[#This Row],[next move]]</f>
        <v>EVEMMEVMV20</v>
      </c>
    </row>
    <row r="5654" spans="2:9" x14ac:dyDescent="0.25">
      <c r="B5654" t="s">
        <v>2650</v>
      </c>
      <c r="C5654" s="22" t="s">
        <v>22</v>
      </c>
      <c r="D5654">
        <v>1</v>
      </c>
      <c r="G5654" s="25">
        <f>Table132[[#This Row],[nb win]]/Table132[[#This Row],[nb play]]</f>
        <v>0</v>
      </c>
      <c r="H5654" t="str">
        <f>MID(Table132[[#This Row],[ÉTAT]],VALUE(RIGHT(Table132[[#This Row],[next move]],1))+1+VALUE(LEFT(Table132[[#This Row],[next move]],1))*3,1)</f>
        <v>V</v>
      </c>
      <c r="I5654" t="str">
        <f>Table132[[#This Row],[ÉTAT]]&amp;Table132[[#This Row],[next move]]</f>
        <v>EVEMMEMVV21</v>
      </c>
    </row>
    <row r="5655" spans="2:9" x14ac:dyDescent="0.25">
      <c r="B5655" t="s">
        <v>2650</v>
      </c>
      <c r="C5655" s="22" t="s">
        <v>31</v>
      </c>
      <c r="D5655">
        <v>1</v>
      </c>
      <c r="G5655" s="25">
        <f>Table132[[#This Row],[nb win]]/Table132[[#This Row],[nb play]]</f>
        <v>0</v>
      </c>
      <c r="H5655" t="str">
        <f>MID(Table132[[#This Row],[ÉTAT]],VALUE(RIGHT(Table132[[#This Row],[next move]],1))+1+VALUE(LEFT(Table132[[#This Row],[next move]],1))*3,1)</f>
        <v>V</v>
      </c>
      <c r="I5655" t="str">
        <f>Table132[[#This Row],[ÉTAT]]&amp;Table132[[#This Row],[next move]]</f>
        <v>EVEMMEMVV22</v>
      </c>
    </row>
    <row r="5656" spans="2:9" x14ac:dyDescent="0.25">
      <c r="B5656" t="s">
        <v>455</v>
      </c>
      <c r="C5656" s="22" t="s">
        <v>26</v>
      </c>
      <c r="D5656">
        <v>2</v>
      </c>
      <c r="G5656" s="30">
        <f>Table132[[#This Row],[nb win]]/Table132[[#This Row],[nb play]]</f>
        <v>0</v>
      </c>
      <c r="H5656" t="str">
        <f>MID(Table132[[#This Row],[ÉTAT]],VALUE(RIGHT(Table132[[#This Row],[next move]],1))+1+VALUE(LEFT(Table132[[#This Row],[next move]],1))*3,1)</f>
        <v>V</v>
      </c>
      <c r="I5656" t="str">
        <f>Table132[[#This Row],[ÉTAT]]&amp;Table132[[#This Row],[next move]]</f>
        <v>EVEMMEMEV01</v>
      </c>
    </row>
    <row r="5657" spans="2:9" x14ac:dyDescent="0.25">
      <c r="B5657" t="s">
        <v>455</v>
      </c>
      <c r="C5657" s="22" t="s">
        <v>31</v>
      </c>
      <c r="D5657">
        <v>1</v>
      </c>
      <c r="G5657" s="25">
        <f>Table132[[#This Row],[nb win]]/Table132[[#This Row],[nb play]]</f>
        <v>0</v>
      </c>
      <c r="H5657" t="str">
        <f>MID(Table132[[#This Row],[ÉTAT]],VALUE(RIGHT(Table132[[#This Row],[next move]],1))+1+VALUE(LEFT(Table132[[#This Row],[next move]],1))*3,1)</f>
        <v>V</v>
      </c>
      <c r="I5657" t="str">
        <f>Table132[[#This Row],[ÉTAT]]&amp;Table132[[#This Row],[next move]]</f>
        <v>EVEMMEMEV22</v>
      </c>
    </row>
    <row r="5658" spans="2:9" x14ac:dyDescent="0.25">
      <c r="B5658" t="s">
        <v>1770</v>
      </c>
      <c r="C5658" s="22" t="s">
        <v>22</v>
      </c>
      <c r="D5658">
        <v>1</v>
      </c>
      <c r="G5658" s="25">
        <f>Table132[[#This Row],[nb win]]/Table132[[#This Row],[nb play]]</f>
        <v>0</v>
      </c>
      <c r="H5658" t="str">
        <f>MID(Table132[[#This Row],[ÉTAT]],VALUE(RIGHT(Table132[[#This Row],[next move]],1))+1+VALUE(LEFT(Table132[[#This Row],[next move]],1))*3,1)</f>
        <v>V</v>
      </c>
      <c r="I5658" t="str">
        <f>Table132[[#This Row],[ÉTAT]]&amp;Table132[[#This Row],[next move]]</f>
        <v>EVEMMEEVM21</v>
      </c>
    </row>
    <row r="5659" spans="2:9" x14ac:dyDescent="0.25">
      <c r="B5659" t="s">
        <v>2076</v>
      </c>
      <c r="C5659" s="22" t="s">
        <v>26</v>
      </c>
      <c r="D5659">
        <v>3</v>
      </c>
      <c r="E5659">
        <v>3</v>
      </c>
      <c r="G5659" s="31">
        <f>Table132[[#This Row],[nb win]]/Table132[[#This Row],[nb play]]</f>
        <v>1</v>
      </c>
      <c r="H5659" t="str">
        <f>MID(Table132[[#This Row],[ÉTAT]],VALUE(RIGHT(Table132[[#This Row],[next move]],1))+1+VALUE(LEFT(Table132[[#This Row],[next move]],1))*3,1)</f>
        <v>V</v>
      </c>
      <c r="I5659" t="str">
        <f>Table132[[#This Row],[ÉTAT]]&amp;Table132[[#This Row],[next move]]</f>
        <v>EVEMMEEMM01</v>
      </c>
    </row>
    <row r="5660" spans="2:9" x14ac:dyDescent="0.25">
      <c r="B5660" t="s">
        <v>235</v>
      </c>
      <c r="C5660" s="22" t="s">
        <v>26</v>
      </c>
      <c r="D5660">
        <v>1</v>
      </c>
      <c r="G5660" s="30">
        <f>Table132[[#This Row],[nb win]]/Table132[[#This Row],[nb play]]</f>
        <v>0</v>
      </c>
      <c r="H5660" t="str">
        <f>MID(Table132[[#This Row],[ÉTAT]],VALUE(RIGHT(Table132[[#This Row],[next move]],1))+1+VALUE(LEFT(Table132[[#This Row],[next move]],1))*3,1)</f>
        <v>V</v>
      </c>
      <c r="I5660" t="str">
        <f>Table132[[#This Row],[ÉTAT]]&amp;Table132[[#This Row],[next move]]</f>
        <v>EVEMEVVVM01</v>
      </c>
    </row>
    <row r="5661" spans="2:9" x14ac:dyDescent="0.25">
      <c r="B5661" t="s">
        <v>235</v>
      </c>
      <c r="C5661" s="22" t="s">
        <v>35</v>
      </c>
      <c r="D5661">
        <v>2</v>
      </c>
      <c r="E5661">
        <v>1</v>
      </c>
      <c r="G5661" s="25">
        <f>Table132[[#This Row],[nb win]]/Table132[[#This Row],[nb play]]</f>
        <v>0.5</v>
      </c>
      <c r="H5661" t="str">
        <f>MID(Table132[[#This Row],[ÉTAT]],VALUE(RIGHT(Table132[[#This Row],[next move]],1))+1+VALUE(LEFT(Table132[[#This Row],[next move]],1))*3,1)</f>
        <v>V</v>
      </c>
      <c r="I5661" t="str">
        <f>Table132[[#This Row],[ÉTAT]]&amp;Table132[[#This Row],[next move]]</f>
        <v>EVEMEVVVM20</v>
      </c>
    </row>
    <row r="5662" spans="2:9" x14ac:dyDescent="0.25">
      <c r="B5662" t="s">
        <v>235</v>
      </c>
      <c r="C5662" s="22" t="s">
        <v>22</v>
      </c>
      <c r="D5662">
        <v>1</v>
      </c>
      <c r="G5662" s="25">
        <f>Table132[[#This Row],[nb win]]/Table132[[#This Row],[nb play]]</f>
        <v>0</v>
      </c>
      <c r="H5662" t="str">
        <f>MID(Table132[[#This Row],[ÉTAT]],VALUE(RIGHT(Table132[[#This Row],[next move]],1))+1+VALUE(LEFT(Table132[[#This Row],[next move]],1))*3,1)</f>
        <v>V</v>
      </c>
      <c r="I5662" t="str">
        <f>Table132[[#This Row],[ÉTAT]]&amp;Table132[[#This Row],[next move]]</f>
        <v>EVEMEVVVM21</v>
      </c>
    </row>
    <row r="5663" spans="2:9" x14ac:dyDescent="0.25">
      <c r="B5663" t="s">
        <v>1202</v>
      </c>
      <c r="C5663" s="22" t="s">
        <v>26</v>
      </c>
      <c r="D5663">
        <v>3</v>
      </c>
      <c r="G5663" s="30">
        <f>Table132[[#This Row],[nb win]]/Table132[[#This Row],[nb play]]</f>
        <v>0</v>
      </c>
      <c r="H5663" t="str">
        <f>MID(Table132[[#This Row],[ÉTAT]],VALUE(RIGHT(Table132[[#This Row],[next move]],1))+1+VALUE(LEFT(Table132[[#This Row],[next move]],1))*3,1)</f>
        <v>V</v>
      </c>
      <c r="I5663" t="str">
        <f>Table132[[#This Row],[ÉTAT]]&amp;Table132[[#This Row],[next move]]</f>
        <v>EVEMEVVMV01</v>
      </c>
    </row>
    <row r="5664" spans="2:9" x14ac:dyDescent="0.25">
      <c r="B5664" t="s">
        <v>1202</v>
      </c>
      <c r="C5664" s="22" t="s">
        <v>28</v>
      </c>
      <c r="D5664">
        <v>2</v>
      </c>
      <c r="G5664" s="30">
        <f>Table132[[#This Row],[nb win]]/Table132[[#This Row],[nb play]]</f>
        <v>0</v>
      </c>
      <c r="H5664" t="str">
        <f>MID(Table132[[#This Row],[ÉTAT]],VALUE(RIGHT(Table132[[#This Row],[next move]],1))+1+VALUE(LEFT(Table132[[#This Row],[next move]],1))*3,1)</f>
        <v>V</v>
      </c>
      <c r="I5664" t="str">
        <f>Table132[[#This Row],[ÉTAT]]&amp;Table132[[#This Row],[next move]]</f>
        <v>EVEMEVVMV12</v>
      </c>
    </row>
    <row r="5665" spans="2:9" x14ac:dyDescent="0.25">
      <c r="B5665" t="s">
        <v>1202</v>
      </c>
      <c r="C5665" s="22" t="s">
        <v>35</v>
      </c>
      <c r="D5665">
        <v>4</v>
      </c>
      <c r="G5665" s="30">
        <f>Table132[[#This Row],[nb win]]/Table132[[#This Row],[nb play]]</f>
        <v>0</v>
      </c>
      <c r="H5665" t="str">
        <f>MID(Table132[[#This Row],[ÉTAT]],VALUE(RIGHT(Table132[[#This Row],[next move]],1))+1+VALUE(LEFT(Table132[[#This Row],[next move]],1))*3,1)</f>
        <v>V</v>
      </c>
      <c r="I5665" t="str">
        <f>Table132[[#This Row],[ÉTAT]]&amp;Table132[[#This Row],[next move]]</f>
        <v>EVEMEVVMV20</v>
      </c>
    </row>
    <row r="5666" spans="2:9" x14ac:dyDescent="0.25">
      <c r="B5666" t="s">
        <v>1202</v>
      </c>
      <c r="C5666" s="22" t="s">
        <v>31</v>
      </c>
      <c r="D5666">
        <v>2</v>
      </c>
      <c r="G5666" s="30">
        <f>Table132[[#This Row],[nb win]]/Table132[[#This Row],[nb play]]</f>
        <v>0</v>
      </c>
      <c r="H5666" t="str">
        <f>MID(Table132[[#This Row],[ÉTAT]],VALUE(RIGHT(Table132[[#This Row],[next move]],1))+1+VALUE(LEFT(Table132[[#This Row],[next move]],1))*3,1)</f>
        <v>V</v>
      </c>
      <c r="I5666" t="str">
        <f>Table132[[#This Row],[ÉTAT]]&amp;Table132[[#This Row],[next move]]</f>
        <v>EVEMEVVMV22</v>
      </c>
    </row>
    <row r="5667" spans="2:9" x14ac:dyDescent="0.25">
      <c r="B5667" t="s">
        <v>3131</v>
      </c>
      <c r="C5667" s="22" t="s">
        <v>26</v>
      </c>
      <c r="D5667">
        <v>1</v>
      </c>
      <c r="G5667" s="30">
        <f>Table132[[#This Row],[nb win]]/Table132[[#This Row],[nb play]]</f>
        <v>0</v>
      </c>
      <c r="H5667" t="str">
        <f>MID(Table132[[#This Row],[ÉTAT]],VALUE(RIGHT(Table132[[#This Row],[next move]],1))+1+VALUE(LEFT(Table132[[#This Row],[next move]],1))*3,1)</f>
        <v>V</v>
      </c>
      <c r="I5667" t="str">
        <f>Table132[[#This Row],[ÉTAT]]&amp;Table132[[#This Row],[next move]]</f>
        <v>EVEMEVVMM01</v>
      </c>
    </row>
    <row r="5668" spans="2:9" x14ac:dyDescent="0.25">
      <c r="B5668" t="s">
        <v>3264</v>
      </c>
      <c r="C5668" s="22" t="s">
        <v>22</v>
      </c>
      <c r="D5668">
        <v>3</v>
      </c>
      <c r="E5668">
        <v>3</v>
      </c>
      <c r="G5668" s="31">
        <f>Table132[[#This Row],[nb win]]/Table132[[#This Row],[nb play]]</f>
        <v>1</v>
      </c>
      <c r="H5668" t="str">
        <f>MID(Table132[[#This Row],[ÉTAT]],VALUE(RIGHT(Table132[[#This Row],[next move]],1))+1+VALUE(LEFT(Table132[[#This Row],[next move]],1))*3,1)</f>
        <v>V</v>
      </c>
      <c r="I5668" t="str">
        <f>Table132[[#This Row],[ÉTAT]]&amp;Table132[[#This Row],[next move]]</f>
        <v>EVEMEVMVM21</v>
      </c>
    </row>
    <row r="5669" spans="2:9" x14ac:dyDescent="0.25">
      <c r="B5669" t="s">
        <v>840</v>
      </c>
      <c r="C5669" s="22" t="s">
        <v>26</v>
      </c>
      <c r="D5669">
        <v>5</v>
      </c>
      <c r="G5669" s="30">
        <f>Table132[[#This Row],[nb win]]/Table132[[#This Row],[nb play]]</f>
        <v>0</v>
      </c>
      <c r="H5669" t="str">
        <f>MID(Table132[[#This Row],[ÉTAT]],VALUE(RIGHT(Table132[[#This Row],[next move]],1))+1+VALUE(LEFT(Table132[[#This Row],[next move]],1))*3,1)</f>
        <v>V</v>
      </c>
      <c r="I5669" t="str">
        <f>Table132[[#This Row],[ÉTAT]]&amp;Table132[[#This Row],[next move]]</f>
        <v>EVEMEMVVV01</v>
      </c>
    </row>
    <row r="5670" spans="2:9" x14ac:dyDescent="0.25">
      <c r="B5670" t="s">
        <v>840</v>
      </c>
      <c r="C5670" s="22" t="s">
        <v>35</v>
      </c>
      <c r="D5670">
        <v>3</v>
      </c>
      <c r="G5670" s="30">
        <f>Table132[[#This Row],[nb win]]/Table132[[#This Row],[nb play]]</f>
        <v>0</v>
      </c>
      <c r="H5670" t="str">
        <f>MID(Table132[[#This Row],[ÉTAT]],VALUE(RIGHT(Table132[[#This Row],[next move]],1))+1+VALUE(LEFT(Table132[[#This Row],[next move]],1))*3,1)</f>
        <v>V</v>
      </c>
      <c r="I5670" t="str">
        <f>Table132[[#This Row],[ÉTAT]]&amp;Table132[[#This Row],[next move]]</f>
        <v>EVEMEMVVV20</v>
      </c>
    </row>
    <row r="5671" spans="2:9" x14ac:dyDescent="0.25">
      <c r="B5671" t="s">
        <v>840</v>
      </c>
      <c r="C5671" s="22" t="s">
        <v>22</v>
      </c>
      <c r="D5671">
        <v>2</v>
      </c>
      <c r="G5671" s="25">
        <f>Table132[[#This Row],[nb win]]/Table132[[#This Row],[nb play]]</f>
        <v>0</v>
      </c>
      <c r="H5671" t="str">
        <f>MID(Table132[[#This Row],[ÉTAT]],VALUE(RIGHT(Table132[[#This Row],[next move]],1))+1+VALUE(LEFT(Table132[[#This Row],[next move]],1))*3,1)</f>
        <v>V</v>
      </c>
      <c r="I5671" t="str">
        <f>Table132[[#This Row],[ÉTAT]]&amp;Table132[[#This Row],[next move]]</f>
        <v>EVEMEMVVV21</v>
      </c>
    </row>
    <row r="5672" spans="2:9" x14ac:dyDescent="0.25">
      <c r="B5672" t="s">
        <v>840</v>
      </c>
      <c r="C5672" s="22" t="s">
        <v>31</v>
      </c>
      <c r="D5672">
        <v>5</v>
      </c>
      <c r="G5672" s="30">
        <f>Table132[[#This Row],[nb win]]/Table132[[#This Row],[nb play]]</f>
        <v>0</v>
      </c>
      <c r="H5672" t="str">
        <f>MID(Table132[[#This Row],[ÉTAT]],VALUE(RIGHT(Table132[[#This Row],[next move]],1))+1+VALUE(LEFT(Table132[[#This Row],[next move]],1))*3,1)</f>
        <v>V</v>
      </c>
      <c r="I5672" t="str">
        <f>Table132[[#This Row],[ÉTAT]]&amp;Table132[[#This Row],[next move]]</f>
        <v>EVEMEMVVV22</v>
      </c>
    </row>
    <row r="5673" spans="2:9" x14ac:dyDescent="0.25">
      <c r="B5673" t="s">
        <v>713</v>
      </c>
      <c r="C5673" s="22" t="s">
        <v>26</v>
      </c>
      <c r="D5673">
        <v>1</v>
      </c>
      <c r="G5673" s="25">
        <f>Table132[[#This Row],[nb win]]/Table132[[#This Row],[nb play]]</f>
        <v>0</v>
      </c>
      <c r="H5673" t="str">
        <f>MID(Table132[[#This Row],[ÉTAT]],VALUE(RIGHT(Table132[[#This Row],[next move]],1))+1+VALUE(LEFT(Table132[[#This Row],[next move]],1))*3,1)</f>
        <v>V</v>
      </c>
      <c r="I5673" t="str">
        <f>Table132[[#This Row],[ÉTAT]]&amp;Table132[[#This Row],[next move]]</f>
        <v>EVEMEMVVM01</v>
      </c>
    </row>
    <row r="5674" spans="2:9" x14ac:dyDescent="0.25">
      <c r="B5674" t="s">
        <v>713</v>
      </c>
      <c r="C5674" s="22" t="s">
        <v>22</v>
      </c>
      <c r="D5674">
        <v>1</v>
      </c>
      <c r="G5674" s="30">
        <f>Table132[[#This Row],[nb win]]/Table132[[#This Row],[nb play]]</f>
        <v>0</v>
      </c>
      <c r="H5674" t="str">
        <f>MID(Table132[[#This Row],[ÉTAT]],VALUE(RIGHT(Table132[[#This Row],[next move]],1))+1+VALUE(LEFT(Table132[[#This Row],[next move]],1))*3,1)</f>
        <v>V</v>
      </c>
      <c r="I5674" t="str">
        <f>Table132[[#This Row],[ÉTAT]]&amp;Table132[[#This Row],[next move]]</f>
        <v>EVEMEMVVM21</v>
      </c>
    </row>
    <row r="5675" spans="2:9" x14ac:dyDescent="0.25">
      <c r="B5675" t="s">
        <v>816</v>
      </c>
      <c r="C5675" s="22" t="s">
        <v>35</v>
      </c>
      <c r="D5675">
        <v>1</v>
      </c>
      <c r="G5675" s="25">
        <f>Table132[[#This Row],[nb win]]/Table132[[#This Row],[nb play]]</f>
        <v>0</v>
      </c>
      <c r="H5675" t="str">
        <f>MID(Table132[[#This Row],[ÉTAT]],VALUE(RIGHT(Table132[[#This Row],[next move]],1))+1+VALUE(LEFT(Table132[[#This Row],[next move]],1))*3,1)</f>
        <v>V</v>
      </c>
      <c r="I5675" t="str">
        <f>Table132[[#This Row],[ÉTAT]]&amp;Table132[[#This Row],[next move]]</f>
        <v>EVEMEMVMV20</v>
      </c>
    </row>
    <row r="5676" spans="2:9" x14ac:dyDescent="0.25">
      <c r="B5676" t="s">
        <v>816</v>
      </c>
      <c r="C5676" s="22" t="s">
        <v>31</v>
      </c>
      <c r="D5676">
        <v>1</v>
      </c>
      <c r="G5676" s="30">
        <f>Table132[[#This Row],[nb win]]/Table132[[#This Row],[nb play]]</f>
        <v>0</v>
      </c>
      <c r="H5676" t="str">
        <f>MID(Table132[[#This Row],[ÉTAT]],VALUE(RIGHT(Table132[[#This Row],[next move]],1))+1+VALUE(LEFT(Table132[[#This Row],[next move]],1))*3,1)</f>
        <v>V</v>
      </c>
      <c r="I5676" t="str">
        <f>Table132[[#This Row],[ÉTAT]]&amp;Table132[[#This Row],[next move]]</f>
        <v>EVEMEMVMV22</v>
      </c>
    </row>
    <row r="5677" spans="2:9" x14ac:dyDescent="0.25">
      <c r="B5677" t="s">
        <v>2933</v>
      </c>
      <c r="C5677" s="22" t="s">
        <v>35</v>
      </c>
      <c r="D5677">
        <v>1</v>
      </c>
      <c r="G5677" s="25">
        <f>Table132[[#This Row],[nb win]]/Table132[[#This Row],[nb play]]</f>
        <v>0</v>
      </c>
      <c r="H5677" t="str">
        <f>MID(Table132[[#This Row],[ÉTAT]],VALUE(RIGHT(Table132[[#This Row],[next move]],1))+1+VALUE(LEFT(Table132[[#This Row],[next move]],1))*3,1)</f>
        <v>V</v>
      </c>
      <c r="I5677" t="str">
        <f>Table132[[#This Row],[ÉTAT]]&amp;Table132[[#This Row],[next move]]</f>
        <v>EVEMEMVEM20</v>
      </c>
    </row>
    <row r="5678" spans="2:9" x14ac:dyDescent="0.25">
      <c r="B5678" t="s">
        <v>1051</v>
      </c>
      <c r="C5678" s="22" t="s">
        <v>26</v>
      </c>
      <c r="D5678">
        <v>2</v>
      </c>
      <c r="G5678" s="30">
        <f>Table132[[#This Row],[nb win]]/Table132[[#This Row],[nb play]]</f>
        <v>0</v>
      </c>
      <c r="H5678" t="str">
        <f>MID(Table132[[#This Row],[ÉTAT]],VALUE(RIGHT(Table132[[#This Row],[next move]],1))+1+VALUE(LEFT(Table132[[#This Row],[next move]],1))*3,1)</f>
        <v>V</v>
      </c>
      <c r="I5678" t="str">
        <f>Table132[[#This Row],[ÉTAT]]&amp;Table132[[#This Row],[next move]]</f>
        <v>EVEMEMMVV01</v>
      </c>
    </row>
    <row r="5679" spans="2:9" x14ac:dyDescent="0.25">
      <c r="B5679" t="s">
        <v>1051</v>
      </c>
      <c r="C5679" s="22" t="s">
        <v>22</v>
      </c>
      <c r="D5679">
        <v>1</v>
      </c>
      <c r="G5679" s="25">
        <f>Table132[[#This Row],[nb win]]/Table132[[#This Row],[nb play]]</f>
        <v>0</v>
      </c>
      <c r="H5679" t="str">
        <f>MID(Table132[[#This Row],[ÉTAT]],VALUE(RIGHT(Table132[[#This Row],[next move]],1))+1+VALUE(LEFT(Table132[[#This Row],[next move]],1))*3,1)</f>
        <v>V</v>
      </c>
      <c r="I5679" t="str">
        <f>Table132[[#This Row],[ÉTAT]]&amp;Table132[[#This Row],[next move]]</f>
        <v>EVEMEMMVV21</v>
      </c>
    </row>
    <row r="5680" spans="2:9" x14ac:dyDescent="0.25">
      <c r="B5680" t="s">
        <v>1051</v>
      </c>
      <c r="C5680" s="22" t="s">
        <v>31</v>
      </c>
      <c r="D5680">
        <v>2</v>
      </c>
      <c r="G5680" s="30">
        <f>Table132[[#This Row],[nb win]]/Table132[[#This Row],[nb play]]</f>
        <v>0</v>
      </c>
      <c r="H5680" t="str">
        <f>MID(Table132[[#This Row],[ÉTAT]],VALUE(RIGHT(Table132[[#This Row],[next move]],1))+1+VALUE(LEFT(Table132[[#This Row],[next move]],1))*3,1)</f>
        <v>V</v>
      </c>
      <c r="I5680" t="str">
        <f>Table132[[#This Row],[ÉTAT]]&amp;Table132[[#This Row],[next move]]</f>
        <v>EVEMEMMVV22</v>
      </c>
    </row>
    <row r="5681" spans="2:9" x14ac:dyDescent="0.25">
      <c r="B5681" t="s">
        <v>425</v>
      </c>
      <c r="C5681" s="22" t="s">
        <v>26</v>
      </c>
      <c r="D5681">
        <v>2</v>
      </c>
      <c r="G5681" s="25">
        <f>Table132[[#This Row],[nb win]]/Table132[[#This Row],[nb play]]</f>
        <v>0</v>
      </c>
      <c r="H5681" t="str">
        <f>MID(Table132[[#This Row],[ÉTAT]],VALUE(RIGHT(Table132[[#This Row],[next move]],1))+1+VALUE(LEFT(Table132[[#This Row],[next move]],1))*3,1)</f>
        <v>V</v>
      </c>
      <c r="I5681" t="str">
        <f>Table132[[#This Row],[ÉTAT]]&amp;Table132[[#This Row],[next move]]</f>
        <v>EVEMEMMEV01</v>
      </c>
    </row>
    <row r="5682" spans="2:9" x14ac:dyDescent="0.25">
      <c r="B5682" t="s">
        <v>425</v>
      </c>
      <c r="C5682" s="22" t="s">
        <v>31</v>
      </c>
      <c r="D5682">
        <v>3</v>
      </c>
      <c r="G5682" s="30">
        <f>Table132[[#This Row],[nb win]]/Table132[[#This Row],[nb play]]</f>
        <v>0</v>
      </c>
      <c r="H5682" t="str">
        <f>MID(Table132[[#This Row],[ÉTAT]],VALUE(RIGHT(Table132[[#This Row],[next move]],1))+1+VALUE(LEFT(Table132[[#This Row],[next move]],1))*3,1)</f>
        <v>V</v>
      </c>
      <c r="I5682" t="str">
        <f>Table132[[#This Row],[ÉTAT]]&amp;Table132[[#This Row],[next move]]</f>
        <v>EVEMEMMEV22</v>
      </c>
    </row>
    <row r="5683" spans="2:9" x14ac:dyDescent="0.25">
      <c r="B5683" t="s">
        <v>1816</v>
      </c>
      <c r="C5683" s="22" t="s">
        <v>35</v>
      </c>
      <c r="D5683">
        <v>2</v>
      </c>
      <c r="E5683">
        <v>2</v>
      </c>
      <c r="G5683" s="25">
        <f>Table132[[#This Row],[nb win]]/Table132[[#This Row],[nb play]]</f>
        <v>1</v>
      </c>
      <c r="H5683" t="str">
        <f>MID(Table132[[#This Row],[ÉTAT]],VALUE(RIGHT(Table132[[#This Row],[next move]],1))+1+VALUE(LEFT(Table132[[#This Row],[next move]],1))*3,1)</f>
        <v>V</v>
      </c>
      <c r="I5683" t="str">
        <f>Table132[[#This Row],[ÉTAT]]&amp;Table132[[#This Row],[next move]]</f>
        <v>EVEMEEVMM20</v>
      </c>
    </row>
    <row r="5684" spans="2:9" x14ac:dyDescent="0.25">
      <c r="B5684" t="s">
        <v>565</v>
      </c>
      <c r="C5684" s="22" t="s">
        <v>22</v>
      </c>
      <c r="D5684">
        <v>3</v>
      </c>
      <c r="E5684">
        <v>3</v>
      </c>
      <c r="G5684" s="25">
        <f>Table132[[#This Row],[nb win]]/Table132[[#This Row],[nb play]]</f>
        <v>1</v>
      </c>
      <c r="H5684" t="str">
        <f>MID(Table132[[#This Row],[ÉTAT]],VALUE(RIGHT(Table132[[#This Row],[next move]],1))+1+VALUE(LEFT(Table132[[#This Row],[next move]],1))*3,1)</f>
        <v>V</v>
      </c>
      <c r="I5684" t="str">
        <f>Table132[[#This Row],[ÉTAT]]&amp;Table132[[#This Row],[next move]]</f>
        <v>EVEMEEMVM21</v>
      </c>
    </row>
    <row r="5685" spans="2:9" x14ac:dyDescent="0.25">
      <c r="B5685" t="s">
        <v>2208</v>
      </c>
      <c r="C5685" s="22" t="s">
        <v>26</v>
      </c>
      <c r="D5685">
        <v>1</v>
      </c>
      <c r="G5685" s="25">
        <f>Table132[[#This Row],[nb win]]/Table132[[#This Row],[nb play]]</f>
        <v>0</v>
      </c>
      <c r="H5685" t="str">
        <f>MID(Table132[[#This Row],[ÉTAT]],VALUE(RIGHT(Table132[[#This Row],[next move]],1))+1+VALUE(LEFT(Table132[[#This Row],[next move]],1))*3,1)</f>
        <v>V</v>
      </c>
      <c r="I5685" t="str">
        <f>Table132[[#This Row],[ÉTAT]]&amp;Table132[[#This Row],[next move]]</f>
        <v>EVEMEEMMV01</v>
      </c>
    </row>
    <row r="5686" spans="2:9" x14ac:dyDescent="0.25">
      <c r="B5686" t="s">
        <v>2208</v>
      </c>
      <c r="C5686" s="22" t="s">
        <v>31</v>
      </c>
      <c r="D5686">
        <v>1</v>
      </c>
      <c r="E5686">
        <v>1</v>
      </c>
      <c r="G5686" s="31">
        <f>Table132[[#This Row],[nb win]]/Table132[[#This Row],[nb play]]</f>
        <v>1</v>
      </c>
      <c r="H5686" t="str">
        <f>MID(Table132[[#This Row],[ÉTAT]],VALUE(RIGHT(Table132[[#This Row],[next move]],1))+1+VALUE(LEFT(Table132[[#This Row],[next move]],1))*3,1)</f>
        <v>V</v>
      </c>
      <c r="I5686" t="str">
        <f>Table132[[#This Row],[ÉTAT]]&amp;Table132[[#This Row],[next move]]</f>
        <v>EVEMEEMMV22</v>
      </c>
    </row>
    <row r="5687" spans="2:9" x14ac:dyDescent="0.25">
      <c r="B5687" t="s">
        <v>2231</v>
      </c>
      <c r="C5687" s="22" t="s">
        <v>26</v>
      </c>
      <c r="D5687">
        <v>1</v>
      </c>
      <c r="G5687" s="25">
        <f>Table132[[#This Row],[nb win]]/Table132[[#This Row],[nb play]]</f>
        <v>0</v>
      </c>
      <c r="H5687" t="str">
        <f>MID(Table132[[#This Row],[ÉTAT]],VALUE(RIGHT(Table132[[#This Row],[next move]],1))+1+VALUE(LEFT(Table132[[#This Row],[next move]],1))*3,1)</f>
        <v>V</v>
      </c>
      <c r="I5687" t="str">
        <f>Table132[[#This Row],[ÉTAT]]&amp;Table132[[#This Row],[next move]]</f>
        <v>EVEEVVVMM01</v>
      </c>
    </row>
    <row r="5688" spans="2:9" x14ac:dyDescent="0.25">
      <c r="B5688" t="s">
        <v>2231</v>
      </c>
      <c r="C5688" s="22" t="s">
        <v>28</v>
      </c>
      <c r="D5688">
        <v>1</v>
      </c>
      <c r="G5688" s="30">
        <f>Table132[[#This Row],[nb win]]/Table132[[#This Row],[nb play]]</f>
        <v>0</v>
      </c>
      <c r="H5688" t="str">
        <f>MID(Table132[[#This Row],[ÉTAT]],VALUE(RIGHT(Table132[[#This Row],[next move]],1))+1+VALUE(LEFT(Table132[[#This Row],[next move]],1))*3,1)</f>
        <v>V</v>
      </c>
      <c r="I5688" t="str">
        <f>Table132[[#This Row],[ÉTAT]]&amp;Table132[[#This Row],[next move]]</f>
        <v>EVEEVVVMM12</v>
      </c>
    </row>
    <row r="5689" spans="2:9" x14ac:dyDescent="0.25">
      <c r="B5689" t="s">
        <v>1725</v>
      </c>
      <c r="C5689" s="22" t="s">
        <v>22</v>
      </c>
      <c r="D5689">
        <v>4</v>
      </c>
      <c r="E5689">
        <v>4</v>
      </c>
      <c r="G5689" s="31">
        <f>Table132[[#This Row],[nb win]]/Table132[[#This Row],[nb play]]</f>
        <v>1</v>
      </c>
      <c r="H5689" t="str">
        <f>MID(Table132[[#This Row],[ÉTAT]],VALUE(RIGHT(Table132[[#This Row],[next move]],1))+1+VALUE(LEFT(Table132[[#This Row],[next move]],1))*3,1)</f>
        <v>V</v>
      </c>
      <c r="I5689" t="str">
        <f>Table132[[#This Row],[ÉTAT]]&amp;Table132[[#This Row],[next move]]</f>
        <v>EVEEVVMVM21</v>
      </c>
    </row>
    <row r="5690" spans="2:9" x14ac:dyDescent="0.25">
      <c r="B5690" t="s">
        <v>1687</v>
      </c>
      <c r="C5690" s="22" t="s">
        <v>26</v>
      </c>
      <c r="D5690">
        <v>6</v>
      </c>
      <c r="E5690">
        <v>6</v>
      </c>
      <c r="G5690" s="31">
        <f>Table132[[#This Row],[nb win]]/Table132[[#This Row],[nb play]]</f>
        <v>1</v>
      </c>
      <c r="H5690" t="str">
        <f>MID(Table132[[#This Row],[ÉTAT]],VALUE(RIGHT(Table132[[#This Row],[next move]],1))+1+VALUE(LEFT(Table132[[#This Row],[next move]],1))*3,1)</f>
        <v>V</v>
      </c>
      <c r="I5690" t="str">
        <f>Table132[[#This Row],[ÉTAT]]&amp;Table132[[#This Row],[next move]]</f>
        <v>EVEEVVMMV01</v>
      </c>
    </row>
    <row r="5691" spans="2:9" x14ac:dyDescent="0.25">
      <c r="B5691" t="s">
        <v>3331</v>
      </c>
      <c r="C5691" s="22" t="s">
        <v>26</v>
      </c>
      <c r="D5691">
        <v>1</v>
      </c>
      <c r="G5691" s="30">
        <f>Table132[[#This Row],[nb win]]/Table132[[#This Row],[nb play]]</f>
        <v>0</v>
      </c>
      <c r="H5691" t="str">
        <f>MID(Table132[[#This Row],[ÉTAT]],VALUE(RIGHT(Table132[[#This Row],[next move]],1))+1+VALUE(LEFT(Table132[[#This Row],[next move]],1))*3,1)</f>
        <v>V</v>
      </c>
      <c r="I5691" t="str">
        <f>Table132[[#This Row],[ÉTAT]]&amp;Table132[[#This Row],[next move]]</f>
        <v>EVEEVMVMM01</v>
      </c>
    </row>
    <row r="5692" spans="2:9" x14ac:dyDescent="0.25">
      <c r="B5692" t="s">
        <v>2437</v>
      </c>
      <c r="C5692" s="22" t="s">
        <v>29</v>
      </c>
      <c r="D5692">
        <v>1</v>
      </c>
      <c r="G5692" s="30">
        <f>Table132[[#This Row],[nb win]]/Table132[[#This Row],[nb play]]</f>
        <v>0</v>
      </c>
      <c r="H5692" t="str">
        <f>MID(Table132[[#This Row],[ÉTAT]],VALUE(RIGHT(Table132[[#This Row],[next move]],1))+1+VALUE(LEFT(Table132[[#This Row],[next move]],1))*3,1)</f>
        <v>V</v>
      </c>
      <c r="I5692" t="str">
        <f>Table132[[#This Row],[ÉTAT]]&amp;Table132[[#This Row],[next move]]</f>
        <v>EVEEVMMVV11</v>
      </c>
    </row>
    <row r="5693" spans="2:9" x14ac:dyDescent="0.25">
      <c r="B5693" t="s">
        <v>2437</v>
      </c>
      <c r="C5693" s="22" t="s">
        <v>22</v>
      </c>
      <c r="D5693">
        <v>1</v>
      </c>
      <c r="G5693" s="25">
        <f>Table132[[#This Row],[nb win]]/Table132[[#This Row],[nb play]]</f>
        <v>0</v>
      </c>
      <c r="H5693" t="str">
        <f>MID(Table132[[#This Row],[ÉTAT]],VALUE(RIGHT(Table132[[#This Row],[next move]],1))+1+VALUE(LEFT(Table132[[#This Row],[next move]],1))*3,1)</f>
        <v>V</v>
      </c>
      <c r="I5693" t="str">
        <f>Table132[[#This Row],[ÉTAT]]&amp;Table132[[#This Row],[next move]]</f>
        <v>EVEEVMMVV21</v>
      </c>
    </row>
    <row r="5694" spans="2:9" x14ac:dyDescent="0.25">
      <c r="B5694" t="s">
        <v>1432</v>
      </c>
      <c r="C5694" s="22" t="s">
        <v>29</v>
      </c>
      <c r="D5694">
        <v>1</v>
      </c>
      <c r="G5694" s="25">
        <f>Table132[[#This Row],[nb win]]/Table132[[#This Row],[nb play]]</f>
        <v>0</v>
      </c>
      <c r="H5694" t="str">
        <f>MID(Table132[[#This Row],[ÉTAT]],VALUE(RIGHT(Table132[[#This Row],[next move]],1))+1+VALUE(LEFT(Table132[[#This Row],[next move]],1))*3,1)</f>
        <v>V</v>
      </c>
      <c r="I5694" t="str">
        <f>Table132[[#This Row],[ÉTAT]]&amp;Table132[[#This Row],[next move]]</f>
        <v>EVEEVMMVM11</v>
      </c>
    </row>
    <row r="5695" spans="2:9" x14ac:dyDescent="0.25">
      <c r="B5695" t="s">
        <v>1432</v>
      </c>
      <c r="C5695" s="22" t="s">
        <v>22</v>
      </c>
      <c r="D5695">
        <v>2</v>
      </c>
      <c r="E5695">
        <v>2</v>
      </c>
      <c r="G5695" s="25">
        <f>Table132[[#This Row],[nb win]]/Table132[[#This Row],[nb play]]</f>
        <v>1</v>
      </c>
      <c r="H5695" t="str">
        <f>MID(Table132[[#This Row],[ÉTAT]],VALUE(RIGHT(Table132[[#This Row],[next move]],1))+1+VALUE(LEFT(Table132[[#This Row],[next move]],1))*3,1)</f>
        <v>V</v>
      </c>
      <c r="I5695" t="str">
        <f>Table132[[#This Row],[ÉTAT]]&amp;Table132[[#This Row],[next move]]</f>
        <v>EVEEVMMVM21</v>
      </c>
    </row>
    <row r="5696" spans="2:9" x14ac:dyDescent="0.25">
      <c r="B5696" t="s">
        <v>2961</v>
      </c>
      <c r="C5696" s="22" t="s">
        <v>31</v>
      </c>
      <c r="D5696">
        <v>3</v>
      </c>
      <c r="E5696">
        <v>3</v>
      </c>
      <c r="G5696" s="31">
        <f>Table132[[#This Row],[nb win]]/Table132[[#This Row],[nb play]]</f>
        <v>1</v>
      </c>
      <c r="H5696" t="str">
        <f>MID(Table132[[#This Row],[ÉTAT]],VALUE(RIGHT(Table132[[#This Row],[next move]],1))+1+VALUE(LEFT(Table132[[#This Row],[next move]],1))*3,1)</f>
        <v>V</v>
      </c>
      <c r="I5696" t="str">
        <f>Table132[[#This Row],[ÉTAT]]&amp;Table132[[#This Row],[next move]]</f>
        <v>EVEEVMMMV22</v>
      </c>
    </row>
    <row r="5697" spans="2:9" x14ac:dyDescent="0.25">
      <c r="B5697" t="s">
        <v>2821</v>
      </c>
      <c r="C5697" s="22" t="s">
        <v>29</v>
      </c>
      <c r="D5697">
        <v>1</v>
      </c>
      <c r="G5697" s="25">
        <f>Table132[[#This Row],[nb win]]/Table132[[#This Row],[nb play]]</f>
        <v>0</v>
      </c>
      <c r="H5697" t="str">
        <f>MID(Table132[[#This Row],[ÉTAT]],VALUE(RIGHT(Table132[[#This Row],[next move]],1))+1+VALUE(LEFT(Table132[[#This Row],[next move]],1))*3,1)</f>
        <v>V</v>
      </c>
      <c r="I5697" t="str">
        <f>Table132[[#This Row],[ÉTAT]]&amp;Table132[[#This Row],[next move]]</f>
        <v>EVEEVMMME11</v>
      </c>
    </row>
    <row r="5698" spans="2:9" x14ac:dyDescent="0.25">
      <c r="B5698" t="s">
        <v>2493</v>
      </c>
      <c r="C5698" s="22" t="s">
        <v>28</v>
      </c>
      <c r="D5698">
        <v>2</v>
      </c>
      <c r="G5698" s="30">
        <f>Table132[[#This Row],[nb win]]/Table132[[#This Row],[nb play]]</f>
        <v>0</v>
      </c>
      <c r="H5698" t="str">
        <f>MID(Table132[[#This Row],[ÉTAT]],VALUE(RIGHT(Table132[[#This Row],[next move]],1))+1+VALUE(LEFT(Table132[[#This Row],[next move]],1))*3,1)</f>
        <v>V</v>
      </c>
      <c r="I5698" t="str">
        <f>Table132[[#This Row],[ÉTAT]]&amp;Table132[[#This Row],[next move]]</f>
        <v>EVEEMVVVM12</v>
      </c>
    </row>
    <row r="5699" spans="2:9" x14ac:dyDescent="0.25">
      <c r="B5699" t="s">
        <v>2493</v>
      </c>
      <c r="C5699" s="22" t="s">
        <v>35</v>
      </c>
      <c r="D5699">
        <v>2</v>
      </c>
      <c r="G5699" s="30">
        <f>Table132[[#This Row],[nb win]]/Table132[[#This Row],[nb play]]</f>
        <v>0</v>
      </c>
      <c r="H5699" t="str">
        <f>MID(Table132[[#This Row],[ÉTAT]],VALUE(RIGHT(Table132[[#This Row],[next move]],1))+1+VALUE(LEFT(Table132[[#This Row],[next move]],1))*3,1)</f>
        <v>V</v>
      </c>
      <c r="I5699" t="str">
        <f>Table132[[#This Row],[ÉTAT]]&amp;Table132[[#This Row],[next move]]</f>
        <v>EVEEMVVVM20</v>
      </c>
    </row>
    <row r="5700" spans="2:9" x14ac:dyDescent="0.25">
      <c r="B5700" t="s">
        <v>1859</v>
      </c>
      <c r="C5700" s="22" t="s">
        <v>26</v>
      </c>
      <c r="D5700">
        <v>2</v>
      </c>
      <c r="E5700">
        <v>2</v>
      </c>
      <c r="G5700" s="31">
        <f>Table132[[#This Row],[nb win]]/Table132[[#This Row],[nb play]]</f>
        <v>1</v>
      </c>
      <c r="H5700" t="str">
        <f>MID(Table132[[#This Row],[ÉTAT]],VALUE(RIGHT(Table132[[#This Row],[next move]],1))+1+VALUE(LEFT(Table132[[#This Row],[next move]],1))*3,1)</f>
        <v>V</v>
      </c>
      <c r="I5700" t="str">
        <f>Table132[[#This Row],[ÉTAT]]&amp;Table132[[#This Row],[next move]]</f>
        <v>EVEEMVVMV01</v>
      </c>
    </row>
    <row r="5701" spans="2:9" x14ac:dyDescent="0.25">
      <c r="B5701" t="s">
        <v>1859</v>
      </c>
      <c r="C5701" s="22" t="s">
        <v>28</v>
      </c>
      <c r="D5701">
        <v>3</v>
      </c>
      <c r="G5701" s="30">
        <f>Table132[[#This Row],[nb win]]/Table132[[#This Row],[nb play]]</f>
        <v>0</v>
      </c>
      <c r="H5701" t="str">
        <f>MID(Table132[[#This Row],[ÉTAT]],VALUE(RIGHT(Table132[[#This Row],[next move]],1))+1+VALUE(LEFT(Table132[[#This Row],[next move]],1))*3,1)</f>
        <v>V</v>
      </c>
      <c r="I5701" t="str">
        <f>Table132[[#This Row],[ÉTAT]]&amp;Table132[[#This Row],[next move]]</f>
        <v>EVEEMVVMV12</v>
      </c>
    </row>
    <row r="5702" spans="2:9" x14ac:dyDescent="0.25">
      <c r="B5702" t="s">
        <v>1859</v>
      </c>
      <c r="C5702" s="22" t="s">
        <v>35</v>
      </c>
      <c r="D5702">
        <v>1</v>
      </c>
      <c r="G5702" s="30">
        <f>Table132[[#This Row],[nb win]]/Table132[[#This Row],[nb play]]</f>
        <v>0</v>
      </c>
      <c r="H5702" t="str">
        <f>MID(Table132[[#This Row],[ÉTAT]],VALUE(RIGHT(Table132[[#This Row],[next move]],1))+1+VALUE(LEFT(Table132[[#This Row],[next move]],1))*3,1)</f>
        <v>V</v>
      </c>
      <c r="I5702" t="str">
        <f>Table132[[#This Row],[ÉTAT]]&amp;Table132[[#This Row],[next move]]</f>
        <v>EVEEMVVMV20</v>
      </c>
    </row>
    <row r="5703" spans="2:9" x14ac:dyDescent="0.25">
      <c r="B5703" t="s">
        <v>1859</v>
      </c>
      <c r="C5703" s="22" t="s">
        <v>31</v>
      </c>
      <c r="D5703">
        <v>3</v>
      </c>
      <c r="E5703">
        <v>2</v>
      </c>
      <c r="G5703" s="31">
        <f>Table132[[#This Row],[nb win]]/Table132[[#This Row],[nb play]]</f>
        <v>0.66666666666666663</v>
      </c>
      <c r="H5703" t="str">
        <f>MID(Table132[[#This Row],[ÉTAT]],VALUE(RIGHT(Table132[[#This Row],[next move]],1))+1+VALUE(LEFT(Table132[[#This Row],[next move]],1))*3,1)</f>
        <v>V</v>
      </c>
      <c r="I5703" t="str">
        <f>Table132[[#This Row],[ÉTAT]]&amp;Table132[[#This Row],[next move]]</f>
        <v>EVEEMVVMV22</v>
      </c>
    </row>
    <row r="5704" spans="2:9" x14ac:dyDescent="0.25">
      <c r="B5704" t="s">
        <v>1182</v>
      </c>
      <c r="C5704" s="22" t="s">
        <v>26</v>
      </c>
      <c r="D5704">
        <v>3</v>
      </c>
      <c r="E5704">
        <v>3</v>
      </c>
      <c r="G5704" s="25">
        <f>Table132[[#This Row],[nb win]]/Table132[[#This Row],[nb play]]</f>
        <v>1</v>
      </c>
      <c r="H5704" t="str">
        <f>MID(Table132[[#This Row],[ÉTAT]],VALUE(RIGHT(Table132[[#This Row],[next move]],1))+1+VALUE(LEFT(Table132[[#This Row],[next move]],1))*3,1)</f>
        <v>V</v>
      </c>
      <c r="I5704" t="str">
        <f>Table132[[#This Row],[ÉTAT]]&amp;Table132[[#This Row],[next move]]</f>
        <v>EVEEMVVMM01</v>
      </c>
    </row>
    <row r="5705" spans="2:9" x14ac:dyDescent="0.25">
      <c r="B5705" t="s">
        <v>1182</v>
      </c>
      <c r="C5705" s="22" t="s">
        <v>28</v>
      </c>
      <c r="D5705">
        <v>3</v>
      </c>
      <c r="G5705" s="30">
        <f>Table132[[#This Row],[nb win]]/Table132[[#This Row],[nb play]]</f>
        <v>0</v>
      </c>
      <c r="H5705" t="str">
        <f>MID(Table132[[#This Row],[ÉTAT]],VALUE(RIGHT(Table132[[#This Row],[next move]],1))+1+VALUE(LEFT(Table132[[#This Row],[next move]],1))*3,1)</f>
        <v>V</v>
      </c>
      <c r="I5705" t="str">
        <f>Table132[[#This Row],[ÉTAT]]&amp;Table132[[#This Row],[next move]]</f>
        <v>EVEEMVVMM12</v>
      </c>
    </row>
    <row r="5706" spans="2:9" x14ac:dyDescent="0.25">
      <c r="B5706" t="s">
        <v>1605</v>
      </c>
      <c r="C5706" s="22" t="s">
        <v>26</v>
      </c>
      <c r="D5706">
        <v>2</v>
      </c>
      <c r="E5706">
        <v>2</v>
      </c>
      <c r="G5706" s="31">
        <f>Table132[[#This Row],[nb win]]/Table132[[#This Row],[nb play]]</f>
        <v>1</v>
      </c>
      <c r="H5706" t="str">
        <f>MID(Table132[[#This Row],[ÉTAT]],VALUE(RIGHT(Table132[[#This Row],[next move]],1))+1+VALUE(LEFT(Table132[[#This Row],[next move]],1))*3,1)</f>
        <v>V</v>
      </c>
      <c r="I5706" t="str">
        <f>Table132[[#This Row],[ÉTAT]]&amp;Table132[[#This Row],[next move]]</f>
        <v>EVEEMVMVV01</v>
      </c>
    </row>
    <row r="5707" spans="2:9" x14ac:dyDescent="0.25">
      <c r="B5707" t="s">
        <v>1605</v>
      </c>
      <c r="C5707" s="22" t="s">
        <v>28</v>
      </c>
      <c r="D5707">
        <v>1</v>
      </c>
      <c r="G5707" s="25">
        <f>Table132[[#This Row],[nb win]]/Table132[[#This Row],[nb play]]</f>
        <v>0</v>
      </c>
      <c r="H5707" t="str">
        <f>MID(Table132[[#This Row],[ÉTAT]],VALUE(RIGHT(Table132[[#This Row],[next move]],1))+1+VALUE(LEFT(Table132[[#This Row],[next move]],1))*3,1)</f>
        <v>V</v>
      </c>
      <c r="I5707" t="str">
        <f>Table132[[#This Row],[ÉTAT]]&amp;Table132[[#This Row],[next move]]</f>
        <v>EVEEMVMVV12</v>
      </c>
    </row>
    <row r="5708" spans="2:9" x14ac:dyDescent="0.25">
      <c r="B5708" t="s">
        <v>1605</v>
      </c>
      <c r="C5708" s="22" t="s">
        <v>22</v>
      </c>
      <c r="D5708">
        <v>2</v>
      </c>
      <c r="G5708" s="30">
        <f>Table132[[#This Row],[nb win]]/Table132[[#This Row],[nb play]]</f>
        <v>0</v>
      </c>
      <c r="H5708" t="str">
        <f>MID(Table132[[#This Row],[ÉTAT]],VALUE(RIGHT(Table132[[#This Row],[next move]],1))+1+VALUE(LEFT(Table132[[#This Row],[next move]],1))*3,1)</f>
        <v>V</v>
      </c>
      <c r="I5708" t="str">
        <f>Table132[[#This Row],[ÉTAT]]&amp;Table132[[#This Row],[next move]]</f>
        <v>EVEEMVMVV21</v>
      </c>
    </row>
    <row r="5709" spans="2:9" x14ac:dyDescent="0.25">
      <c r="B5709" t="s">
        <v>1605</v>
      </c>
      <c r="C5709" s="22" t="s">
        <v>31</v>
      </c>
      <c r="D5709">
        <v>1</v>
      </c>
      <c r="G5709" s="25">
        <f>Table132[[#This Row],[nb win]]/Table132[[#This Row],[nb play]]</f>
        <v>0</v>
      </c>
      <c r="H5709" t="str">
        <f>MID(Table132[[#This Row],[ÉTAT]],VALUE(RIGHT(Table132[[#This Row],[next move]],1))+1+VALUE(LEFT(Table132[[#This Row],[next move]],1))*3,1)</f>
        <v>V</v>
      </c>
      <c r="I5709" t="str">
        <f>Table132[[#This Row],[ÉTAT]]&amp;Table132[[#This Row],[next move]]</f>
        <v>EVEEMVMVV22</v>
      </c>
    </row>
    <row r="5710" spans="2:9" x14ac:dyDescent="0.25">
      <c r="B5710" t="s">
        <v>1241</v>
      </c>
      <c r="C5710" s="22" t="s">
        <v>28</v>
      </c>
      <c r="D5710">
        <v>3</v>
      </c>
      <c r="G5710" s="30">
        <f>Table132[[#This Row],[nb win]]/Table132[[#This Row],[nb play]]</f>
        <v>0</v>
      </c>
      <c r="H5710" t="str">
        <f>MID(Table132[[#This Row],[ÉTAT]],VALUE(RIGHT(Table132[[#This Row],[next move]],1))+1+VALUE(LEFT(Table132[[#This Row],[next move]],1))*3,1)</f>
        <v>V</v>
      </c>
      <c r="I5710" t="str">
        <f>Table132[[#This Row],[ÉTAT]]&amp;Table132[[#This Row],[next move]]</f>
        <v>EVEEMVMVM12</v>
      </c>
    </row>
    <row r="5711" spans="2:9" x14ac:dyDescent="0.25">
      <c r="B5711" t="s">
        <v>1241</v>
      </c>
      <c r="C5711" s="22" t="s">
        <v>22</v>
      </c>
      <c r="D5711">
        <v>2</v>
      </c>
      <c r="E5711">
        <v>2</v>
      </c>
      <c r="G5711" s="31">
        <f>Table132[[#This Row],[nb win]]/Table132[[#This Row],[nb play]]</f>
        <v>1</v>
      </c>
      <c r="H5711" t="str">
        <f>MID(Table132[[#This Row],[ÉTAT]],VALUE(RIGHT(Table132[[#This Row],[next move]],1))+1+VALUE(LEFT(Table132[[#This Row],[next move]],1))*3,1)</f>
        <v>V</v>
      </c>
      <c r="I5711" t="str">
        <f>Table132[[#This Row],[ÉTAT]]&amp;Table132[[#This Row],[next move]]</f>
        <v>EVEEMVMVM21</v>
      </c>
    </row>
    <row r="5712" spans="2:9" x14ac:dyDescent="0.25">
      <c r="B5712" t="s">
        <v>2141</v>
      </c>
      <c r="C5712" s="22" t="s">
        <v>26</v>
      </c>
      <c r="D5712">
        <v>1</v>
      </c>
      <c r="E5712">
        <v>1</v>
      </c>
      <c r="G5712" s="25">
        <f>Table132[[#This Row],[nb win]]/Table132[[#This Row],[nb play]]</f>
        <v>1</v>
      </c>
      <c r="H5712" t="str">
        <f>MID(Table132[[#This Row],[ÉTAT]],VALUE(RIGHT(Table132[[#This Row],[next move]],1))+1+VALUE(LEFT(Table132[[#This Row],[next move]],1))*3,1)</f>
        <v>V</v>
      </c>
      <c r="I5712" t="str">
        <f>Table132[[#This Row],[ÉTAT]]&amp;Table132[[#This Row],[next move]]</f>
        <v>EVEEMVMMV01</v>
      </c>
    </row>
    <row r="5713" spans="2:9" x14ac:dyDescent="0.25">
      <c r="B5713" t="s">
        <v>2141</v>
      </c>
      <c r="C5713" s="22" t="s">
        <v>28</v>
      </c>
      <c r="D5713">
        <v>1</v>
      </c>
      <c r="G5713" s="25">
        <f>Table132[[#This Row],[nb win]]/Table132[[#This Row],[nb play]]</f>
        <v>0</v>
      </c>
      <c r="H5713" t="str">
        <f>MID(Table132[[#This Row],[ÉTAT]],VALUE(RIGHT(Table132[[#This Row],[next move]],1))+1+VALUE(LEFT(Table132[[#This Row],[next move]],1))*3,1)</f>
        <v>V</v>
      </c>
      <c r="I5713" t="str">
        <f>Table132[[#This Row],[ÉTAT]]&amp;Table132[[#This Row],[next move]]</f>
        <v>EVEEMVMMV12</v>
      </c>
    </row>
    <row r="5714" spans="2:9" x14ac:dyDescent="0.25">
      <c r="B5714" t="s">
        <v>3327</v>
      </c>
      <c r="C5714" s="22" t="s">
        <v>26</v>
      </c>
      <c r="D5714">
        <v>1</v>
      </c>
      <c r="E5714">
        <v>1</v>
      </c>
      <c r="G5714" s="31">
        <f>Table132[[#This Row],[nb win]]/Table132[[#This Row],[nb play]]</f>
        <v>1</v>
      </c>
      <c r="H5714" t="str">
        <f>MID(Table132[[#This Row],[ÉTAT]],VALUE(RIGHT(Table132[[#This Row],[next move]],1))+1+VALUE(LEFT(Table132[[#This Row],[next move]],1))*3,1)</f>
        <v>V</v>
      </c>
      <c r="I5714" t="str">
        <f>Table132[[#This Row],[ÉTAT]]&amp;Table132[[#This Row],[next move]]</f>
        <v>EVEEMVMME01</v>
      </c>
    </row>
    <row r="5715" spans="2:9" x14ac:dyDescent="0.25">
      <c r="B5715" t="s">
        <v>2277</v>
      </c>
      <c r="C5715" s="22" t="s">
        <v>28</v>
      </c>
      <c r="D5715">
        <v>1</v>
      </c>
      <c r="G5715" s="25">
        <f>Table132[[#This Row],[nb win]]/Table132[[#This Row],[nb play]]</f>
        <v>0</v>
      </c>
      <c r="H5715" t="str">
        <f>MID(Table132[[#This Row],[ÉTAT]],VALUE(RIGHT(Table132[[#This Row],[next move]],1))+1+VALUE(LEFT(Table132[[#This Row],[next move]],1))*3,1)</f>
        <v>V</v>
      </c>
      <c r="I5715" t="str">
        <f>Table132[[#This Row],[ÉTAT]]&amp;Table132[[#This Row],[next move]]</f>
        <v>EVEEMVMEM12</v>
      </c>
    </row>
    <row r="5716" spans="2:9" x14ac:dyDescent="0.25">
      <c r="B5716" t="s">
        <v>3195</v>
      </c>
      <c r="C5716" s="22" t="s">
        <v>22</v>
      </c>
      <c r="D5716">
        <v>1</v>
      </c>
      <c r="G5716" s="30">
        <f>Table132[[#This Row],[nb win]]/Table132[[#This Row],[nb play]]</f>
        <v>0</v>
      </c>
      <c r="H5716" t="str">
        <f>MID(Table132[[#This Row],[ÉTAT]],VALUE(RIGHT(Table132[[#This Row],[next move]],1))+1+VALUE(LEFT(Table132[[#This Row],[next move]],1))*3,1)</f>
        <v>V</v>
      </c>
      <c r="I5716" t="str">
        <f>Table132[[#This Row],[ÉTAT]]&amp;Table132[[#This Row],[next move]]</f>
        <v>EVEEMMVVM21</v>
      </c>
    </row>
    <row r="5717" spans="2:9" x14ac:dyDescent="0.25">
      <c r="B5717" t="s">
        <v>1722</v>
      </c>
      <c r="C5717" s="22" t="s">
        <v>26</v>
      </c>
      <c r="D5717">
        <v>1</v>
      </c>
      <c r="E5717">
        <v>1</v>
      </c>
      <c r="G5717" s="25">
        <f>Table132[[#This Row],[nb win]]/Table132[[#This Row],[nb play]]</f>
        <v>1</v>
      </c>
      <c r="H5717" t="str">
        <f>MID(Table132[[#This Row],[ÉTAT]],VALUE(RIGHT(Table132[[#This Row],[next move]],1))+1+VALUE(LEFT(Table132[[#This Row],[next move]],1))*3,1)</f>
        <v>V</v>
      </c>
      <c r="I5717" t="str">
        <f>Table132[[#This Row],[ÉTAT]]&amp;Table132[[#This Row],[next move]]</f>
        <v>EVEEMMMVV01</v>
      </c>
    </row>
    <row r="5718" spans="2:9" x14ac:dyDescent="0.25">
      <c r="B5718" t="s">
        <v>3202</v>
      </c>
      <c r="C5718" s="22" t="s">
        <v>22</v>
      </c>
      <c r="D5718">
        <v>1</v>
      </c>
      <c r="G5718" s="30">
        <f>Table132[[#This Row],[nb win]]/Table132[[#This Row],[nb play]]</f>
        <v>0</v>
      </c>
      <c r="H5718" t="str">
        <f>MID(Table132[[#This Row],[ÉTAT]],VALUE(RIGHT(Table132[[#This Row],[next move]],1))+1+VALUE(LEFT(Table132[[#This Row],[next move]],1))*3,1)</f>
        <v>V</v>
      </c>
      <c r="I5718" t="str">
        <f>Table132[[#This Row],[ÉTAT]]&amp;Table132[[#This Row],[next move]]</f>
        <v>EVEEMMMVE21</v>
      </c>
    </row>
    <row r="5719" spans="2:9" x14ac:dyDescent="0.25">
      <c r="B5719" t="s">
        <v>182</v>
      </c>
      <c r="C5719" s="22" t="s">
        <v>26</v>
      </c>
      <c r="D5719">
        <v>5</v>
      </c>
      <c r="E5719">
        <v>5</v>
      </c>
      <c r="G5719" s="31">
        <f>Table132[[#This Row],[nb win]]/Table132[[#This Row],[nb play]]</f>
        <v>1</v>
      </c>
      <c r="H5719" t="str">
        <f>MID(Table132[[#This Row],[ÉTAT]],VALUE(RIGHT(Table132[[#This Row],[next move]],1))+1+VALUE(LEFT(Table132[[#This Row],[next move]],1))*3,1)</f>
        <v>V</v>
      </c>
      <c r="I5719" t="str">
        <f>Table132[[#This Row],[ÉTAT]]&amp;Table132[[#This Row],[next move]]</f>
        <v>EVEEMMMME01</v>
      </c>
    </row>
    <row r="5720" spans="2:9" x14ac:dyDescent="0.25">
      <c r="B5720" t="s">
        <v>1155</v>
      </c>
      <c r="C5720" s="22" t="s">
        <v>31</v>
      </c>
      <c r="D5720">
        <v>1</v>
      </c>
      <c r="G5720" s="25">
        <f>Table132[[#This Row],[nb win]]/Table132[[#This Row],[nb play]]</f>
        <v>0</v>
      </c>
      <c r="H5720" t="str">
        <f>MID(Table132[[#This Row],[ÉTAT]],VALUE(RIGHT(Table132[[#This Row],[next move]],1))+1+VALUE(LEFT(Table132[[#This Row],[next move]],1))*3,1)</f>
        <v>V</v>
      </c>
      <c r="I5720" t="str">
        <f>Table132[[#This Row],[ÉTAT]]&amp;Table132[[#This Row],[next move]]</f>
        <v>EVEEMMMEV22</v>
      </c>
    </row>
    <row r="5721" spans="2:9" x14ac:dyDescent="0.25">
      <c r="B5721" t="s">
        <v>1342</v>
      </c>
      <c r="C5721" s="22" t="s">
        <v>26</v>
      </c>
      <c r="D5721">
        <v>6</v>
      </c>
      <c r="E5721">
        <v>6</v>
      </c>
      <c r="G5721" s="31">
        <f>Table132[[#This Row],[nb win]]/Table132[[#This Row],[nb play]]</f>
        <v>1</v>
      </c>
      <c r="H5721" t="str">
        <f>MID(Table132[[#This Row],[ÉTAT]],VALUE(RIGHT(Table132[[#This Row],[next move]],1))+1+VALUE(LEFT(Table132[[#This Row],[next move]],1))*3,1)</f>
        <v>V</v>
      </c>
      <c r="I5721" t="str">
        <f>Table132[[#This Row],[ÉTAT]]&amp;Table132[[#This Row],[next move]]</f>
        <v>EVEEMEVMM01</v>
      </c>
    </row>
    <row r="5722" spans="2:9" x14ac:dyDescent="0.25">
      <c r="B5722" t="s">
        <v>1553</v>
      </c>
      <c r="C5722" s="22" t="s">
        <v>22</v>
      </c>
      <c r="D5722">
        <v>1</v>
      </c>
      <c r="E5722">
        <v>1</v>
      </c>
      <c r="G5722" s="25">
        <f>Table132[[#This Row],[nb win]]/Table132[[#This Row],[nb play]]</f>
        <v>1</v>
      </c>
      <c r="H5722" t="str">
        <f>MID(Table132[[#This Row],[ÉTAT]],VALUE(RIGHT(Table132[[#This Row],[next move]],1))+1+VALUE(LEFT(Table132[[#This Row],[next move]],1))*3,1)</f>
        <v>V</v>
      </c>
      <c r="I5722" t="str">
        <f>Table132[[#This Row],[ÉTAT]]&amp;Table132[[#This Row],[next move]]</f>
        <v>EVEEMEMVM21</v>
      </c>
    </row>
    <row r="5723" spans="2:9" x14ac:dyDescent="0.25">
      <c r="B5723" t="s">
        <v>251</v>
      </c>
      <c r="C5723" s="22" t="s">
        <v>26</v>
      </c>
      <c r="D5723">
        <v>1</v>
      </c>
      <c r="E5723">
        <v>1</v>
      </c>
      <c r="G5723" s="25">
        <f>Table132[[#This Row],[nb win]]/Table132[[#This Row],[nb play]]</f>
        <v>1</v>
      </c>
      <c r="H5723" t="str">
        <f>MID(Table132[[#This Row],[ÉTAT]],VALUE(RIGHT(Table132[[#This Row],[next move]],1))+1+VALUE(LEFT(Table132[[#This Row],[next move]],1))*3,1)</f>
        <v>V</v>
      </c>
      <c r="I5723" t="str">
        <f>Table132[[#This Row],[ÉTAT]]&amp;Table132[[#This Row],[next move]]</f>
        <v>EVEEMEMMV01</v>
      </c>
    </row>
    <row r="5724" spans="2:9" x14ac:dyDescent="0.25">
      <c r="B5724" t="s">
        <v>2704</v>
      </c>
      <c r="C5724" s="22" t="s">
        <v>35</v>
      </c>
      <c r="D5724">
        <v>1</v>
      </c>
      <c r="E5724">
        <v>1</v>
      </c>
      <c r="G5724" s="25">
        <f>Table132[[#This Row],[nb win]]/Table132[[#This Row],[nb play]]</f>
        <v>1</v>
      </c>
      <c r="H5724" t="str">
        <f>MID(Table132[[#This Row],[ÉTAT]],VALUE(RIGHT(Table132[[#This Row],[next move]],1))+1+VALUE(LEFT(Table132[[#This Row],[next move]],1))*3,1)</f>
        <v>V</v>
      </c>
      <c r="I5724" t="str">
        <f>Table132[[#This Row],[ÉTAT]]&amp;Table132[[#This Row],[next move]]</f>
        <v>EVEEEMVMM20</v>
      </c>
    </row>
    <row r="5725" spans="2:9" x14ac:dyDescent="0.25">
      <c r="B5725" t="s">
        <v>2945</v>
      </c>
      <c r="C5725" s="22" t="s">
        <v>22</v>
      </c>
      <c r="D5725">
        <v>1</v>
      </c>
      <c r="E5725">
        <v>1</v>
      </c>
      <c r="G5725" s="25">
        <f>Table132[[#This Row],[nb win]]/Table132[[#This Row],[nb play]]</f>
        <v>1</v>
      </c>
      <c r="H5725" t="str">
        <f>MID(Table132[[#This Row],[ÉTAT]],VALUE(RIGHT(Table132[[#This Row],[next move]],1))+1+VALUE(LEFT(Table132[[#This Row],[next move]],1))*3,1)</f>
        <v>V</v>
      </c>
      <c r="I5725" t="str">
        <f>Table132[[#This Row],[ÉTAT]]&amp;Table132[[#This Row],[next move]]</f>
        <v>EVEEEMMVM21</v>
      </c>
    </row>
    <row r="5726" spans="2:9" x14ac:dyDescent="0.25">
      <c r="B5726" t="s">
        <v>1245</v>
      </c>
      <c r="C5726" s="22" t="s">
        <v>26</v>
      </c>
      <c r="D5726">
        <v>1</v>
      </c>
      <c r="G5726" s="25">
        <f>Table132[[#This Row],[nb win]]/Table132[[#This Row],[nb play]]</f>
        <v>0</v>
      </c>
      <c r="H5726" t="str">
        <f>MID(Table132[[#This Row],[ÉTAT]],VALUE(RIGHT(Table132[[#This Row],[next move]],1))+1+VALUE(LEFT(Table132[[#This Row],[next move]],1))*3,1)</f>
        <v>V</v>
      </c>
      <c r="I5726" t="str">
        <f>Table132[[#This Row],[ÉTAT]]&amp;Table132[[#This Row],[next move]]</f>
        <v>EVEEEMMMV01</v>
      </c>
    </row>
    <row r="5727" spans="2:9" x14ac:dyDescent="0.25">
      <c r="B5727" t="s">
        <v>1245</v>
      </c>
      <c r="C5727" s="22" t="s">
        <v>31</v>
      </c>
      <c r="D5727">
        <v>1</v>
      </c>
      <c r="E5727">
        <v>1</v>
      </c>
      <c r="G5727" s="25">
        <f>Table132[[#This Row],[nb win]]/Table132[[#This Row],[nb play]]</f>
        <v>1</v>
      </c>
      <c r="H5727" t="str">
        <f>MID(Table132[[#This Row],[ÉTAT]],VALUE(RIGHT(Table132[[#This Row],[next move]],1))+1+VALUE(LEFT(Table132[[#This Row],[next move]],1))*3,1)</f>
        <v>V</v>
      </c>
      <c r="I5727" t="str">
        <f>Table132[[#This Row],[ÉTAT]]&amp;Table132[[#This Row],[next move]]</f>
        <v>EVEEEMMMV22</v>
      </c>
    </row>
    <row r="5728" spans="2:9" x14ac:dyDescent="0.25">
      <c r="B5728" t="s">
        <v>77</v>
      </c>
      <c r="C5728" s="22" t="s">
        <v>20</v>
      </c>
      <c r="D5728">
        <v>5</v>
      </c>
      <c r="E5728">
        <v>1</v>
      </c>
      <c r="G5728" s="30">
        <f>Table132[[#This Row],[nb win]]/Table132[[#This Row],[nb play]]</f>
        <v>0.2</v>
      </c>
      <c r="H5728" t="str">
        <f>MID(Table132[[#This Row],[ÉTAT]],VALUE(RIGHT(Table132[[#This Row],[next move]],1))+1+VALUE(LEFT(Table132[[#This Row],[next move]],1))*3,1)</f>
        <v>V</v>
      </c>
      <c r="I5728" t="str">
        <f>Table132[[#This Row],[ÉTAT]]&amp;Table132[[#This Row],[next move]]</f>
        <v>EMVVVVVVV02</v>
      </c>
    </row>
    <row r="5729" spans="2:9" x14ac:dyDescent="0.25">
      <c r="B5729" t="s">
        <v>77</v>
      </c>
      <c r="C5729" s="22" t="s">
        <v>30</v>
      </c>
      <c r="D5729">
        <v>5</v>
      </c>
      <c r="E5729">
        <v>4</v>
      </c>
      <c r="G5729" s="31">
        <f>Table132[[#This Row],[nb win]]/Table132[[#This Row],[nb play]]</f>
        <v>0.8</v>
      </c>
      <c r="H5729" t="str">
        <f>MID(Table132[[#This Row],[ÉTAT]],VALUE(RIGHT(Table132[[#This Row],[next move]],1))+1+VALUE(LEFT(Table132[[#This Row],[next move]],1))*3,1)</f>
        <v>V</v>
      </c>
      <c r="I5729" t="str">
        <f>Table132[[#This Row],[ÉTAT]]&amp;Table132[[#This Row],[next move]]</f>
        <v>EMVVVVVVV10</v>
      </c>
    </row>
    <row r="5730" spans="2:9" x14ac:dyDescent="0.25">
      <c r="B5730" t="s">
        <v>77</v>
      </c>
      <c r="C5730" s="22" t="s">
        <v>29</v>
      </c>
      <c r="D5730">
        <v>6</v>
      </c>
      <c r="E5730">
        <v>5</v>
      </c>
      <c r="G5730" s="31">
        <f>Table132[[#This Row],[nb win]]/Table132[[#This Row],[nb play]]</f>
        <v>0.83333333333333337</v>
      </c>
      <c r="H5730" t="str">
        <f>MID(Table132[[#This Row],[ÉTAT]],VALUE(RIGHT(Table132[[#This Row],[next move]],1))+1+VALUE(LEFT(Table132[[#This Row],[next move]],1))*3,1)</f>
        <v>V</v>
      </c>
      <c r="I5730" t="str">
        <f>Table132[[#This Row],[ÉTAT]]&amp;Table132[[#This Row],[next move]]</f>
        <v>EMVVVVVVV11</v>
      </c>
    </row>
    <row r="5731" spans="2:9" x14ac:dyDescent="0.25">
      <c r="B5731" t="s">
        <v>77</v>
      </c>
      <c r="C5731" s="22" t="s">
        <v>28</v>
      </c>
      <c r="D5731">
        <v>5</v>
      </c>
      <c r="E5731">
        <v>3</v>
      </c>
      <c r="G5731" s="31">
        <f>Table132[[#This Row],[nb win]]/Table132[[#This Row],[nb play]]</f>
        <v>0.6</v>
      </c>
      <c r="H5731" t="str">
        <f>MID(Table132[[#This Row],[ÉTAT]],VALUE(RIGHT(Table132[[#This Row],[next move]],1))+1+VALUE(LEFT(Table132[[#This Row],[next move]],1))*3,1)</f>
        <v>V</v>
      </c>
      <c r="I5731" t="str">
        <f>Table132[[#This Row],[ÉTAT]]&amp;Table132[[#This Row],[next move]]</f>
        <v>EMVVVVVVV12</v>
      </c>
    </row>
    <row r="5732" spans="2:9" x14ac:dyDescent="0.25">
      <c r="B5732" t="s">
        <v>77</v>
      </c>
      <c r="C5732" s="22" t="s">
        <v>35</v>
      </c>
      <c r="D5732">
        <v>3</v>
      </c>
      <c r="G5732" s="30">
        <f>Table132[[#This Row],[nb win]]/Table132[[#This Row],[nb play]]</f>
        <v>0</v>
      </c>
      <c r="H5732" t="str">
        <f>MID(Table132[[#This Row],[ÉTAT]],VALUE(RIGHT(Table132[[#This Row],[next move]],1))+1+VALUE(LEFT(Table132[[#This Row],[next move]],1))*3,1)</f>
        <v>V</v>
      </c>
      <c r="I5732" t="str">
        <f>Table132[[#This Row],[ÉTAT]]&amp;Table132[[#This Row],[next move]]</f>
        <v>EMVVVVVVV20</v>
      </c>
    </row>
    <row r="5733" spans="2:9" x14ac:dyDescent="0.25">
      <c r="B5733" t="s">
        <v>77</v>
      </c>
      <c r="C5733" s="22" t="s">
        <v>22</v>
      </c>
      <c r="D5733">
        <v>5</v>
      </c>
      <c r="E5733">
        <v>4</v>
      </c>
      <c r="G5733" s="31">
        <f>Table132[[#This Row],[nb win]]/Table132[[#This Row],[nb play]]</f>
        <v>0.8</v>
      </c>
      <c r="H5733" t="str">
        <f>MID(Table132[[#This Row],[ÉTAT]],VALUE(RIGHT(Table132[[#This Row],[next move]],1))+1+VALUE(LEFT(Table132[[#This Row],[next move]],1))*3,1)</f>
        <v>V</v>
      </c>
      <c r="I5733" t="str">
        <f>Table132[[#This Row],[ÉTAT]]&amp;Table132[[#This Row],[next move]]</f>
        <v>EMVVVVVVV21</v>
      </c>
    </row>
    <row r="5734" spans="2:9" x14ac:dyDescent="0.25">
      <c r="B5734" t="s">
        <v>77</v>
      </c>
      <c r="C5734" s="22" t="s">
        <v>31</v>
      </c>
      <c r="D5734">
        <v>5</v>
      </c>
      <c r="E5734">
        <v>3</v>
      </c>
      <c r="G5734" s="31">
        <f>Table132[[#This Row],[nb win]]/Table132[[#This Row],[nb play]]</f>
        <v>0.6</v>
      </c>
      <c r="H5734" t="str">
        <f>MID(Table132[[#This Row],[ÉTAT]],VALUE(RIGHT(Table132[[#This Row],[next move]],1))+1+VALUE(LEFT(Table132[[#This Row],[next move]],1))*3,1)</f>
        <v>V</v>
      </c>
      <c r="I5734" t="str">
        <f>Table132[[#This Row],[ÉTAT]]&amp;Table132[[#This Row],[next move]]</f>
        <v>EMVVVVVVV22</v>
      </c>
    </row>
    <row r="5735" spans="2:9" x14ac:dyDescent="0.25">
      <c r="B5735" t="s">
        <v>431</v>
      </c>
      <c r="C5735" s="22" t="s">
        <v>30</v>
      </c>
      <c r="D5735">
        <v>3</v>
      </c>
      <c r="E5735">
        <v>1</v>
      </c>
      <c r="G5735" s="30">
        <f>Table132[[#This Row],[nb win]]/Table132[[#This Row],[nb play]]</f>
        <v>0.33333333333333331</v>
      </c>
      <c r="H5735" t="str">
        <f>MID(Table132[[#This Row],[ÉTAT]],VALUE(RIGHT(Table132[[#This Row],[next move]],1))+1+VALUE(LEFT(Table132[[#This Row],[next move]],1))*3,1)</f>
        <v>V</v>
      </c>
      <c r="I5735" t="str">
        <f>Table132[[#This Row],[ÉTAT]]&amp;Table132[[#This Row],[next move]]</f>
        <v>EMVVVVVVE10</v>
      </c>
    </row>
    <row r="5736" spans="2:9" x14ac:dyDescent="0.25">
      <c r="B5736" t="s">
        <v>431</v>
      </c>
      <c r="C5736" s="22" t="s">
        <v>29</v>
      </c>
      <c r="D5736">
        <v>2</v>
      </c>
      <c r="E5736">
        <v>2</v>
      </c>
      <c r="G5736" s="31">
        <f>Table132[[#This Row],[nb win]]/Table132[[#This Row],[nb play]]</f>
        <v>1</v>
      </c>
      <c r="H5736" t="str">
        <f>MID(Table132[[#This Row],[ÉTAT]],VALUE(RIGHT(Table132[[#This Row],[next move]],1))+1+VALUE(LEFT(Table132[[#This Row],[next move]],1))*3,1)</f>
        <v>V</v>
      </c>
      <c r="I5736" t="str">
        <f>Table132[[#This Row],[ÉTAT]]&amp;Table132[[#This Row],[next move]]</f>
        <v>EMVVVVVVE11</v>
      </c>
    </row>
    <row r="5737" spans="2:9" x14ac:dyDescent="0.25">
      <c r="B5737" t="s">
        <v>431</v>
      </c>
      <c r="C5737" s="22" t="s">
        <v>28</v>
      </c>
      <c r="D5737">
        <v>7</v>
      </c>
      <c r="E5737">
        <v>1</v>
      </c>
      <c r="G5737" s="30">
        <f>Table132[[#This Row],[nb win]]/Table132[[#This Row],[nb play]]</f>
        <v>0.14285714285714285</v>
      </c>
      <c r="H5737" t="str">
        <f>MID(Table132[[#This Row],[ÉTAT]],VALUE(RIGHT(Table132[[#This Row],[next move]],1))+1+VALUE(LEFT(Table132[[#This Row],[next move]],1))*3,1)</f>
        <v>V</v>
      </c>
      <c r="I5737" t="str">
        <f>Table132[[#This Row],[ÉTAT]]&amp;Table132[[#This Row],[next move]]</f>
        <v>EMVVVVVVE12</v>
      </c>
    </row>
    <row r="5738" spans="2:9" x14ac:dyDescent="0.25">
      <c r="B5738" t="s">
        <v>431</v>
      </c>
      <c r="C5738" s="22" t="s">
        <v>35</v>
      </c>
      <c r="D5738">
        <v>5</v>
      </c>
      <c r="G5738" s="30">
        <f>Table132[[#This Row],[nb win]]/Table132[[#This Row],[nb play]]</f>
        <v>0</v>
      </c>
      <c r="H5738" t="str">
        <f>MID(Table132[[#This Row],[ÉTAT]],VALUE(RIGHT(Table132[[#This Row],[next move]],1))+1+VALUE(LEFT(Table132[[#This Row],[next move]],1))*3,1)</f>
        <v>V</v>
      </c>
      <c r="I5738" t="str">
        <f>Table132[[#This Row],[ÉTAT]]&amp;Table132[[#This Row],[next move]]</f>
        <v>EMVVVVVVE20</v>
      </c>
    </row>
    <row r="5739" spans="2:9" x14ac:dyDescent="0.25">
      <c r="B5739" t="s">
        <v>431</v>
      </c>
      <c r="C5739" s="22" t="s">
        <v>22</v>
      </c>
      <c r="D5739">
        <v>3</v>
      </c>
      <c r="G5739" s="30">
        <f>Table132[[#This Row],[nb win]]/Table132[[#This Row],[nb play]]</f>
        <v>0</v>
      </c>
      <c r="H5739" t="str">
        <f>MID(Table132[[#This Row],[ÉTAT]],VALUE(RIGHT(Table132[[#This Row],[next move]],1))+1+VALUE(LEFT(Table132[[#This Row],[next move]],1))*3,1)</f>
        <v>V</v>
      </c>
      <c r="I5739" t="str">
        <f>Table132[[#This Row],[ÉTAT]]&amp;Table132[[#This Row],[next move]]</f>
        <v>EMVVVVVVE21</v>
      </c>
    </row>
    <row r="5740" spans="2:9" x14ac:dyDescent="0.25">
      <c r="B5740" t="s">
        <v>1415</v>
      </c>
      <c r="C5740" s="22" t="s">
        <v>29</v>
      </c>
      <c r="D5740">
        <v>3</v>
      </c>
      <c r="E5740">
        <v>3</v>
      </c>
      <c r="G5740" s="31">
        <f>Table132[[#This Row],[nb win]]/Table132[[#This Row],[nb play]]</f>
        <v>1</v>
      </c>
      <c r="H5740" t="str">
        <f>MID(Table132[[#This Row],[ÉTAT]],VALUE(RIGHT(Table132[[#This Row],[next move]],1))+1+VALUE(LEFT(Table132[[#This Row],[next move]],1))*3,1)</f>
        <v>V</v>
      </c>
      <c r="I5740" t="str">
        <f>Table132[[#This Row],[ÉTAT]]&amp;Table132[[#This Row],[next move]]</f>
        <v>EMVVVVVME11</v>
      </c>
    </row>
    <row r="5741" spans="2:9" x14ac:dyDescent="0.25">
      <c r="B5741" t="s">
        <v>2373</v>
      </c>
      <c r="C5741" s="22" t="s">
        <v>28</v>
      </c>
      <c r="D5741">
        <v>2</v>
      </c>
      <c r="G5741" s="30">
        <f>Table132[[#This Row],[nb win]]/Table132[[#This Row],[nb play]]</f>
        <v>0</v>
      </c>
      <c r="H5741" t="str">
        <f>MID(Table132[[#This Row],[ÉTAT]],VALUE(RIGHT(Table132[[#This Row],[next move]],1))+1+VALUE(LEFT(Table132[[#This Row],[next move]],1))*3,1)</f>
        <v>V</v>
      </c>
      <c r="I5741" t="str">
        <f>Table132[[#This Row],[ÉTAT]]&amp;Table132[[#This Row],[next move]]</f>
        <v>EMVVVVVEV12</v>
      </c>
    </row>
    <row r="5742" spans="2:9" x14ac:dyDescent="0.25">
      <c r="B5742" t="s">
        <v>2373</v>
      </c>
      <c r="C5742" s="22" t="s">
        <v>35</v>
      </c>
      <c r="D5742">
        <v>2</v>
      </c>
      <c r="E5742">
        <v>2</v>
      </c>
      <c r="G5742" s="31">
        <f>Table132[[#This Row],[nb win]]/Table132[[#This Row],[nb play]]</f>
        <v>1</v>
      </c>
      <c r="H5742" t="str">
        <f>MID(Table132[[#This Row],[ÉTAT]],VALUE(RIGHT(Table132[[#This Row],[next move]],1))+1+VALUE(LEFT(Table132[[#This Row],[next move]],1))*3,1)</f>
        <v>V</v>
      </c>
      <c r="I5742" t="str">
        <f>Table132[[#This Row],[ÉTAT]]&amp;Table132[[#This Row],[next move]]</f>
        <v>EMVVVVVEV20</v>
      </c>
    </row>
    <row r="5743" spans="2:9" x14ac:dyDescent="0.25">
      <c r="B5743" t="s">
        <v>1947</v>
      </c>
      <c r="C5743" s="22" t="s">
        <v>29</v>
      </c>
      <c r="D5743">
        <v>1</v>
      </c>
      <c r="G5743" s="25">
        <f>Table132[[#This Row],[nb win]]/Table132[[#This Row],[nb play]]</f>
        <v>0</v>
      </c>
      <c r="H5743" t="str">
        <f>MID(Table132[[#This Row],[ÉTAT]],VALUE(RIGHT(Table132[[#This Row],[next move]],1))+1+VALUE(LEFT(Table132[[#This Row],[next move]],1))*3,1)</f>
        <v>V</v>
      </c>
      <c r="I5743" t="str">
        <f>Table132[[#This Row],[ÉTAT]]&amp;Table132[[#This Row],[next move]]</f>
        <v>EMVVVVVEM11</v>
      </c>
    </row>
    <row r="5744" spans="2:9" x14ac:dyDescent="0.25">
      <c r="B5744" t="s">
        <v>1947</v>
      </c>
      <c r="C5744" s="22" t="s">
        <v>28</v>
      </c>
      <c r="D5744">
        <v>1</v>
      </c>
      <c r="E5744">
        <v>1</v>
      </c>
      <c r="G5744" s="31">
        <f>Table132[[#This Row],[nb win]]/Table132[[#This Row],[nb play]]</f>
        <v>1</v>
      </c>
      <c r="H5744" t="str">
        <f>MID(Table132[[#This Row],[ÉTAT]],VALUE(RIGHT(Table132[[#This Row],[next move]],1))+1+VALUE(LEFT(Table132[[#This Row],[next move]],1))*3,1)</f>
        <v>V</v>
      </c>
      <c r="I5744" t="str">
        <f>Table132[[#This Row],[ÉTAT]]&amp;Table132[[#This Row],[next move]]</f>
        <v>EMVVVVVEM12</v>
      </c>
    </row>
    <row r="5745" spans="2:9" x14ac:dyDescent="0.25">
      <c r="B5745" t="s">
        <v>2774</v>
      </c>
      <c r="C5745" s="22" t="s">
        <v>30</v>
      </c>
      <c r="D5745">
        <v>1</v>
      </c>
      <c r="G5745" s="30">
        <f>Table132[[#This Row],[nb win]]/Table132[[#This Row],[nb play]]</f>
        <v>0</v>
      </c>
      <c r="H5745" t="str">
        <f>MID(Table132[[#This Row],[ÉTAT]],VALUE(RIGHT(Table132[[#This Row],[next move]],1))+1+VALUE(LEFT(Table132[[#This Row],[next move]],1))*3,1)</f>
        <v>V</v>
      </c>
      <c r="I5745" t="str">
        <f>Table132[[#This Row],[ÉTAT]]&amp;Table132[[#This Row],[next move]]</f>
        <v>EMVVVVMVE10</v>
      </c>
    </row>
    <row r="5746" spans="2:9" x14ac:dyDescent="0.25">
      <c r="B5746" t="s">
        <v>2774</v>
      </c>
      <c r="C5746" s="22" t="s">
        <v>22</v>
      </c>
      <c r="D5746">
        <v>1</v>
      </c>
      <c r="G5746" s="25">
        <f>Table132[[#This Row],[nb win]]/Table132[[#This Row],[nb play]]</f>
        <v>0</v>
      </c>
      <c r="H5746" t="str">
        <f>MID(Table132[[#This Row],[ÉTAT]],VALUE(RIGHT(Table132[[#This Row],[next move]],1))+1+VALUE(LEFT(Table132[[#This Row],[next move]],1))*3,1)</f>
        <v>V</v>
      </c>
      <c r="I5746" t="str">
        <f>Table132[[#This Row],[ÉTAT]]&amp;Table132[[#This Row],[next move]]</f>
        <v>EMVVVVMVE21</v>
      </c>
    </row>
    <row r="5747" spans="2:9" x14ac:dyDescent="0.25">
      <c r="B5747" t="s">
        <v>897</v>
      </c>
      <c r="C5747" s="22" t="s">
        <v>20</v>
      </c>
      <c r="D5747">
        <v>1</v>
      </c>
      <c r="G5747" s="25">
        <f>Table132[[#This Row],[nb win]]/Table132[[#This Row],[nb play]]</f>
        <v>0</v>
      </c>
      <c r="H5747" t="str">
        <f>MID(Table132[[#This Row],[ÉTAT]],VALUE(RIGHT(Table132[[#This Row],[next move]],1))+1+VALUE(LEFT(Table132[[#This Row],[next move]],1))*3,1)</f>
        <v>V</v>
      </c>
      <c r="I5747" t="str">
        <f>Table132[[#This Row],[ÉTAT]]&amp;Table132[[#This Row],[next move]]</f>
        <v>EMVVVVMEV02</v>
      </c>
    </row>
    <row r="5748" spans="2:9" x14ac:dyDescent="0.25">
      <c r="B5748" t="s">
        <v>3340</v>
      </c>
      <c r="C5748" s="22" t="s">
        <v>29</v>
      </c>
      <c r="D5748">
        <v>1</v>
      </c>
      <c r="E5748">
        <v>1</v>
      </c>
      <c r="G5748" s="31">
        <f>Table132[[#This Row],[nb win]]/Table132[[#This Row],[nb play]]</f>
        <v>1</v>
      </c>
      <c r="H5748" t="str">
        <f>MID(Table132[[#This Row],[ÉTAT]],VALUE(RIGHT(Table132[[#This Row],[next move]],1))+1+VALUE(LEFT(Table132[[#This Row],[next move]],1))*3,1)</f>
        <v>V</v>
      </c>
      <c r="I5748" t="str">
        <f>Table132[[#This Row],[ÉTAT]]&amp;Table132[[#This Row],[next move]]</f>
        <v>EMVVVVMEE11</v>
      </c>
    </row>
    <row r="5749" spans="2:9" x14ac:dyDescent="0.25">
      <c r="B5749" t="s">
        <v>2982</v>
      </c>
      <c r="C5749" s="22" t="s">
        <v>30</v>
      </c>
      <c r="D5749">
        <v>1</v>
      </c>
      <c r="G5749" s="30">
        <f>Table132[[#This Row],[nb win]]/Table132[[#This Row],[nb play]]</f>
        <v>0</v>
      </c>
      <c r="H5749" t="str">
        <f>MID(Table132[[#This Row],[ÉTAT]],VALUE(RIGHT(Table132[[#This Row],[next move]],1))+1+VALUE(LEFT(Table132[[#This Row],[next move]],1))*3,1)</f>
        <v>V</v>
      </c>
      <c r="I5749" t="str">
        <f>Table132[[#This Row],[ÉTAT]]&amp;Table132[[#This Row],[next move]]</f>
        <v>EMVVVVEVV10</v>
      </c>
    </row>
    <row r="5750" spans="2:9" x14ac:dyDescent="0.25">
      <c r="B5750" t="s">
        <v>2982</v>
      </c>
      <c r="C5750" s="22" t="s">
        <v>29</v>
      </c>
      <c r="D5750">
        <v>1</v>
      </c>
      <c r="E5750">
        <v>1</v>
      </c>
      <c r="G5750" s="31">
        <f>Table132[[#This Row],[nb win]]/Table132[[#This Row],[nb play]]</f>
        <v>1</v>
      </c>
      <c r="H5750" t="str">
        <f>MID(Table132[[#This Row],[ÉTAT]],VALUE(RIGHT(Table132[[#This Row],[next move]],1))+1+VALUE(LEFT(Table132[[#This Row],[next move]],1))*3,1)</f>
        <v>V</v>
      </c>
      <c r="I5750" t="str">
        <f>Table132[[#This Row],[ÉTAT]]&amp;Table132[[#This Row],[next move]]</f>
        <v>EMVVVVEVV11</v>
      </c>
    </row>
    <row r="5751" spans="2:9" x14ac:dyDescent="0.25">
      <c r="B5751" t="s">
        <v>2982</v>
      </c>
      <c r="C5751" s="22" t="s">
        <v>28</v>
      </c>
      <c r="D5751">
        <v>1</v>
      </c>
      <c r="G5751" s="30">
        <f>Table132[[#This Row],[nb win]]/Table132[[#This Row],[nb play]]</f>
        <v>0</v>
      </c>
      <c r="H5751" t="str">
        <f>MID(Table132[[#This Row],[ÉTAT]],VALUE(RIGHT(Table132[[#This Row],[next move]],1))+1+VALUE(LEFT(Table132[[#This Row],[next move]],1))*3,1)</f>
        <v>V</v>
      </c>
      <c r="I5751" t="str">
        <f>Table132[[#This Row],[ÉTAT]]&amp;Table132[[#This Row],[next move]]</f>
        <v>EMVVVVEVV12</v>
      </c>
    </row>
    <row r="5752" spans="2:9" x14ac:dyDescent="0.25">
      <c r="B5752" t="s">
        <v>2982</v>
      </c>
      <c r="C5752" s="22" t="s">
        <v>22</v>
      </c>
      <c r="D5752">
        <v>1</v>
      </c>
      <c r="G5752" s="30">
        <f>Table132[[#This Row],[nb win]]/Table132[[#This Row],[nb play]]</f>
        <v>0</v>
      </c>
      <c r="H5752" t="str">
        <f>MID(Table132[[#This Row],[ÉTAT]],VALUE(RIGHT(Table132[[#This Row],[next move]],1))+1+VALUE(LEFT(Table132[[#This Row],[next move]],1))*3,1)</f>
        <v>V</v>
      </c>
      <c r="I5752" t="str">
        <f>Table132[[#This Row],[ÉTAT]]&amp;Table132[[#This Row],[next move]]</f>
        <v>EMVVVVEVV21</v>
      </c>
    </row>
    <row r="5753" spans="2:9" x14ac:dyDescent="0.25">
      <c r="B5753" t="s">
        <v>2982</v>
      </c>
      <c r="C5753" s="22" t="s">
        <v>31</v>
      </c>
      <c r="D5753">
        <v>1</v>
      </c>
      <c r="G5753" s="25">
        <f>Table132[[#This Row],[nb win]]/Table132[[#This Row],[nb play]]</f>
        <v>0</v>
      </c>
      <c r="H5753" t="str">
        <f>MID(Table132[[#This Row],[ÉTAT]],VALUE(RIGHT(Table132[[#This Row],[next move]],1))+1+VALUE(LEFT(Table132[[#This Row],[next move]],1))*3,1)</f>
        <v>V</v>
      </c>
      <c r="I5753" t="str">
        <f>Table132[[#This Row],[ÉTAT]]&amp;Table132[[#This Row],[next move]]</f>
        <v>EMVVVVEVV22</v>
      </c>
    </row>
    <row r="5754" spans="2:9" x14ac:dyDescent="0.25">
      <c r="B5754" t="s">
        <v>1702</v>
      </c>
      <c r="C5754" s="22" t="s">
        <v>29</v>
      </c>
      <c r="D5754">
        <v>2</v>
      </c>
      <c r="E5754">
        <v>1</v>
      </c>
      <c r="G5754" s="25">
        <f>Table132[[#This Row],[nb win]]/Table132[[#This Row],[nb play]]</f>
        <v>0.5</v>
      </c>
      <c r="H5754" t="str">
        <f>MID(Table132[[#This Row],[ÉTAT]],VALUE(RIGHT(Table132[[#This Row],[next move]],1))+1+VALUE(LEFT(Table132[[#This Row],[next move]],1))*3,1)</f>
        <v>V</v>
      </c>
      <c r="I5754" t="str">
        <f>Table132[[#This Row],[ÉTAT]]&amp;Table132[[#This Row],[next move]]</f>
        <v>EMVVVVEVM11</v>
      </c>
    </row>
    <row r="5755" spans="2:9" x14ac:dyDescent="0.25">
      <c r="B5755" t="s">
        <v>1702</v>
      </c>
      <c r="C5755" s="22" t="s">
        <v>28</v>
      </c>
      <c r="D5755">
        <v>2</v>
      </c>
      <c r="E5755">
        <v>1</v>
      </c>
      <c r="G5755" s="30">
        <f>Table132[[#This Row],[nb win]]/Table132[[#This Row],[nb play]]</f>
        <v>0.5</v>
      </c>
      <c r="H5755" t="str">
        <f>MID(Table132[[#This Row],[ÉTAT]],VALUE(RIGHT(Table132[[#This Row],[next move]],1))+1+VALUE(LEFT(Table132[[#This Row],[next move]],1))*3,1)</f>
        <v>V</v>
      </c>
      <c r="I5755" t="str">
        <f>Table132[[#This Row],[ÉTAT]]&amp;Table132[[#This Row],[next move]]</f>
        <v>EMVVVVEVM12</v>
      </c>
    </row>
    <row r="5756" spans="2:9" x14ac:dyDescent="0.25">
      <c r="B5756" t="s">
        <v>1702</v>
      </c>
      <c r="C5756" s="22" t="s">
        <v>22</v>
      </c>
      <c r="D5756">
        <v>1</v>
      </c>
      <c r="G5756" s="30">
        <f>Table132[[#This Row],[nb win]]/Table132[[#This Row],[nb play]]</f>
        <v>0</v>
      </c>
      <c r="H5756" t="str">
        <f>MID(Table132[[#This Row],[ÉTAT]],VALUE(RIGHT(Table132[[#This Row],[next move]],1))+1+VALUE(LEFT(Table132[[#This Row],[next move]],1))*3,1)</f>
        <v>V</v>
      </c>
      <c r="I5756" t="str">
        <f>Table132[[#This Row],[ÉTAT]]&amp;Table132[[#This Row],[next move]]</f>
        <v>EMVVVVEVM21</v>
      </c>
    </row>
    <row r="5757" spans="2:9" x14ac:dyDescent="0.25">
      <c r="B5757" t="s">
        <v>2570</v>
      </c>
      <c r="C5757" s="22" t="s">
        <v>29</v>
      </c>
      <c r="D5757">
        <v>4</v>
      </c>
      <c r="E5757">
        <v>4</v>
      </c>
      <c r="G5757" s="31">
        <f>Table132[[#This Row],[nb win]]/Table132[[#This Row],[nb play]]</f>
        <v>1</v>
      </c>
      <c r="H5757" t="str">
        <f>MID(Table132[[#This Row],[ÉTAT]],VALUE(RIGHT(Table132[[#This Row],[next move]],1))+1+VALUE(LEFT(Table132[[#This Row],[next move]],1))*3,1)</f>
        <v>V</v>
      </c>
      <c r="I5757" t="str">
        <f>Table132[[#This Row],[ÉTAT]]&amp;Table132[[#This Row],[next move]]</f>
        <v>EMVVVVEMV11</v>
      </c>
    </row>
    <row r="5758" spans="2:9" x14ac:dyDescent="0.25">
      <c r="B5758" t="s">
        <v>2949</v>
      </c>
      <c r="C5758" s="22" t="s">
        <v>30</v>
      </c>
      <c r="D5758">
        <v>1</v>
      </c>
      <c r="G5758" s="25">
        <f>Table132[[#This Row],[nb win]]/Table132[[#This Row],[nb play]]</f>
        <v>0</v>
      </c>
      <c r="H5758" t="str">
        <f>MID(Table132[[#This Row],[ÉTAT]],VALUE(RIGHT(Table132[[#This Row],[next move]],1))+1+VALUE(LEFT(Table132[[#This Row],[next move]],1))*3,1)</f>
        <v>V</v>
      </c>
      <c r="I5758" t="str">
        <f>Table132[[#This Row],[ÉTAT]]&amp;Table132[[#This Row],[next move]]</f>
        <v>EMVVVMVVE10</v>
      </c>
    </row>
    <row r="5759" spans="2:9" x14ac:dyDescent="0.25">
      <c r="B5759" t="s">
        <v>2949</v>
      </c>
      <c r="C5759" s="22" t="s">
        <v>29</v>
      </c>
      <c r="D5759">
        <v>1</v>
      </c>
      <c r="E5759">
        <v>1</v>
      </c>
      <c r="G5759" s="31">
        <f>Table132[[#This Row],[nb win]]/Table132[[#This Row],[nb play]]</f>
        <v>1</v>
      </c>
      <c r="H5759" t="str">
        <f>MID(Table132[[#This Row],[ÉTAT]],VALUE(RIGHT(Table132[[#This Row],[next move]],1))+1+VALUE(LEFT(Table132[[#This Row],[next move]],1))*3,1)</f>
        <v>V</v>
      </c>
      <c r="I5759" t="str">
        <f>Table132[[#This Row],[ÉTAT]]&amp;Table132[[#This Row],[next move]]</f>
        <v>EMVVVMVVE11</v>
      </c>
    </row>
    <row r="5760" spans="2:9" x14ac:dyDescent="0.25">
      <c r="B5760" t="s">
        <v>2949</v>
      </c>
      <c r="C5760" s="22" t="s">
        <v>35</v>
      </c>
      <c r="D5760">
        <v>1</v>
      </c>
      <c r="G5760" s="30">
        <f>Table132[[#This Row],[nb win]]/Table132[[#This Row],[nb play]]</f>
        <v>0</v>
      </c>
      <c r="H5760" t="str">
        <f>MID(Table132[[#This Row],[ÉTAT]],VALUE(RIGHT(Table132[[#This Row],[next move]],1))+1+VALUE(LEFT(Table132[[#This Row],[next move]],1))*3,1)</f>
        <v>V</v>
      </c>
      <c r="I5760" t="str">
        <f>Table132[[#This Row],[ÉTAT]]&amp;Table132[[#This Row],[next move]]</f>
        <v>EMVVVMVVE20</v>
      </c>
    </row>
    <row r="5761" spans="2:9" x14ac:dyDescent="0.25">
      <c r="B5761" t="s">
        <v>2949</v>
      </c>
      <c r="C5761" s="22" t="s">
        <v>22</v>
      </c>
      <c r="D5761">
        <v>2</v>
      </c>
      <c r="G5761" s="30">
        <f>Table132[[#This Row],[nb win]]/Table132[[#This Row],[nb play]]</f>
        <v>0</v>
      </c>
      <c r="H5761" t="str">
        <f>MID(Table132[[#This Row],[ÉTAT]],VALUE(RIGHT(Table132[[#This Row],[next move]],1))+1+VALUE(LEFT(Table132[[#This Row],[next move]],1))*3,1)</f>
        <v>V</v>
      </c>
      <c r="I5761" t="str">
        <f>Table132[[#This Row],[ÉTAT]]&amp;Table132[[#This Row],[next move]]</f>
        <v>EMVVVMVVE21</v>
      </c>
    </row>
    <row r="5762" spans="2:9" x14ac:dyDescent="0.25">
      <c r="B5762" t="s">
        <v>2500</v>
      </c>
      <c r="C5762" s="22" t="s">
        <v>31</v>
      </c>
      <c r="D5762">
        <v>2</v>
      </c>
      <c r="E5762">
        <v>2</v>
      </c>
      <c r="G5762" s="31">
        <f>Table132[[#This Row],[nb win]]/Table132[[#This Row],[nb play]]</f>
        <v>1</v>
      </c>
      <c r="H5762" t="str">
        <f>MID(Table132[[#This Row],[ÉTAT]],VALUE(RIGHT(Table132[[#This Row],[next move]],1))+1+VALUE(LEFT(Table132[[#This Row],[next move]],1))*3,1)</f>
        <v>V</v>
      </c>
      <c r="I5762" t="str">
        <f>Table132[[#This Row],[ÉTAT]]&amp;Table132[[#This Row],[next move]]</f>
        <v>EMVVVMVEV22</v>
      </c>
    </row>
    <row r="5763" spans="2:9" x14ac:dyDescent="0.25">
      <c r="B5763" t="s">
        <v>1903</v>
      </c>
      <c r="C5763" s="22" t="s">
        <v>20</v>
      </c>
      <c r="D5763">
        <v>1</v>
      </c>
      <c r="G5763" s="25">
        <f>Table132[[#This Row],[nb win]]/Table132[[#This Row],[nb play]]</f>
        <v>0</v>
      </c>
      <c r="H5763" t="str">
        <f>MID(Table132[[#This Row],[ÉTAT]],VALUE(RIGHT(Table132[[#This Row],[next move]],1))+1+VALUE(LEFT(Table132[[#This Row],[next move]],1))*3,1)</f>
        <v>V</v>
      </c>
      <c r="I5763" t="str">
        <f>Table132[[#This Row],[ÉTAT]]&amp;Table132[[#This Row],[next move]]</f>
        <v>EMVVVMVEE02</v>
      </c>
    </row>
    <row r="5764" spans="2:9" x14ac:dyDescent="0.25">
      <c r="B5764" t="s">
        <v>1903</v>
      </c>
      <c r="C5764" s="22" t="s">
        <v>30</v>
      </c>
      <c r="D5764">
        <v>2</v>
      </c>
      <c r="G5764" s="30">
        <f>Table132[[#This Row],[nb win]]/Table132[[#This Row],[nb play]]</f>
        <v>0</v>
      </c>
      <c r="H5764" t="str">
        <f>MID(Table132[[#This Row],[ÉTAT]],VALUE(RIGHT(Table132[[#This Row],[next move]],1))+1+VALUE(LEFT(Table132[[#This Row],[next move]],1))*3,1)</f>
        <v>V</v>
      </c>
      <c r="I5764" t="str">
        <f>Table132[[#This Row],[ÉTAT]]&amp;Table132[[#This Row],[next move]]</f>
        <v>EMVVVMVEE10</v>
      </c>
    </row>
    <row r="5765" spans="2:9" x14ac:dyDescent="0.25">
      <c r="B5765" t="s">
        <v>1903</v>
      </c>
      <c r="C5765" s="22" t="s">
        <v>29</v>
      </c>
      <c r="D5765">
        <v>3</v>
      </c>
      <c r="E5765">
        <v>2</v>
      </c>
      <c r="G5765" s="31">
        <f>Table132[[#This Row],[nb win]]/Table132[[#This Row],[nb play]]</f>
        <v>0.66666666666666663</v>
      </c>
      <c r="H5765" t="str">
        <f>MID(Table132[[#This Row],[ÉTAT]],VALUE(RIGHT(Table132[[#This Row],[next move]],1))+1+VALUE(LEFT(Table132[[#This Row],[next move]],1))*3,1)</f>
        <v>V</v>
      </c>
      <c r="I5765" t="str">
        <f>Table132[[#This Row],[ÉTAT]]&amp;Table132[[#This Row],[next move]]</f>
        <v>EMVVVMVEE11</v>
      </c>
    </row>
    <row r="5766" spans="2:9" x14ac:dyDescent="0.25">
      <c r="B5766" t="s">
        <v>1903</v>
      </c>
      <c r="C5766" s="22" t="s">
        <v>35</v>
      </c>
      <c r="D5766">
        <v>1</v>
      </c>
      <c r="G5766" s="25">
        <f>Table132[[#This Row],[nb win]]/Table132[[#This Row],[nb play]]</f>
        <v>0</v>
      </c>
      <c r="H5766" t="str">
        <f>MID(Table132[[#This Row],[ÉTAT]],VALUE(RIGHT(Table132[[#This Row],[next move]],1))+1+VALUE(LEFT(Table132[[#This Row],[next move]],1))*3,1)</f>
        <v>V</v>
      </c>
      <c r="I5766" t="str">
        <f>Table132[[#This Row],[ÉTAT]]&amp;Table132[[#This Row],[next move]]</f>
        <v>EMVVVMVEE20</v>
      </c>
    </row>
    <row r="5767" spans="2:9" x14ac:dyDescent="0.25">
      <c r="B5767" t="s">
        <v>2737</v>
      </c>
      <c r="C5767" s="22" t="s">
        <v>20</v>
      </c>
      <c r="D5767">
        <v>3</v>
      </c>
      <c r="E5767">
        <v>1</v>
      </c>
      <c r="G5767" s="30">
        <f>Table132[[#This Row],[nb win]]/Table132[[#This Row],[nb play]]</f>
        <v>0.33333333333333331</v>
      </c>
      <c r="H5767" t="str">
        <f>MID(Table132[[#This Row],[ÉTAT]],VALUE(RIGHT(Table132[[#This Row],[next move]],1))+1+VALUE(LEFT(Table132[[#This Row],[next move]],1))*3,1)</f>
        <v>V</v>
      </c>
      <c r="I5767" t="str">
        <f>Table132[[#This Row],[ÉTAT]]&amp;Table132[[#This Row],[next move]]</f>
        <v>EMVVVMEVV02</v>
      </c>
    </row>
    <row r="5768" spans="2:9" x14ac:dyDescent="0.25">
      <c r="B5768" t="s">
        <v>2737</v>
      </c>
      <c r="C5768" s="22" t="s">
        <v>30</v>
      </c>
      <c r="D5768">
        <v>2</v>
      </c>
      <c r="E5768">
        <v>1</v>
      </c>
      <c r="G5768" s="30">
        <f>Table132[[#This Row],[nb win]]/Table132[[#This Row],[nb play]]</f>
        <v>0.5</v>
      </c>
      <c r="H5768" t="str">
        <f>MID(Table132[[#This Row],[ÉTAT]],VALUE(RIGHT(Table132[[#This Row],[next move]],1))+1+VALUE(LEFT(Table132[[#This Row],[next move]],1))*3,1)</f>
        <v>V</v>
      </c>
      <c r="I5768" t="str">
        <f>Table132[[#This Row],[ÉTAT]]&amp;Table132[[#This Row],[next move]]</f>
        <v>EMVVVMEVV10</v>
      </c>
    </row>
    <row r="5769" spans="2:9" x14ac:dyDescent="0.25">
      <c r="B5769" t="s">
        <v>2737</v>
      </c>
      <c r="C5769" s="22" t="s">
        <v>31</v>
      </c>
      <c r="D5769">
        <v>1</v>
      </c>
      <c r="G5769" s="25">
        <f>Table132[[#This Row],[nb win]]/Table132[[#This Row],[nb play]]</f>
        <v>0</v>
      </c>
      <c r="H5769" t="str">
        <f>MID(Table132[[#This Row],[ÉTAT]],VALUE(RIGHT(Table132[[#This Row],[next move]],1))+1+VALUE(LEFT(Table132[[#This Row],[next move]],1))*3,1)</f>
        <v>V</v>
      </c>
      <c r="I5769" t="str">
        <f>Table132[[#This Row],[ÉTAT]]&amp;Table132[[#This Row],[next move]]</f>
        <v>EMVVVMEVV22</v>
      </c>
    </row>
    <row r="5770" spans="2:9" x14ac:dyDescent="0.25">
      <c r="B5770" t="s">
        <v>3146</v>
      </c>
      <c r="C5770" s="22" t="s">
        <v>20</v>
      </c>
      <c r="D5770">
        <v>1</v>
      </c>
      <c r="G5770" s="30">
        <f>Table132[[#This Row],[nb win]]/Table132[[#This Row],[nb play]]</f>
        <v>0</v>
      </c>
      <c r="H5770" t="str">
        <f>MID(Table132[[#This Row],[ÉTAT]],VALUE(RIGHT(Table132[[#This Row],[next move]],1))+1+VALUE(LEFT(Table132[[#This Row],[next move]],1))*3,1)</f>
        <v>V</v>
      </c>
      <c r="I5770" t="str">
        <f>Table132[[#This Row],[ÉTAT]]&amp;Table132[[#This Row],[next move]]</f>
        <v>EMVVVMEVE02</v>
      </c>
    </row>
    <row r="5771" spans="2:9" x14ac:dyDescent="0.25">
      <c r="B5771" t="s">
        <v>3146</v>
      </c>
      <c r="C5771" s="22" t="s">
        <v>30</v>
      </c>
      <c r="D5771">
        <v>3</v>
      </c>
      <c r="G5771" s="30">
        <f>Table132[[#This Row],[nb win]]/Table132[[#This Row],[nb play]]</f>
        <v>0</v>
      </c>
      <c r="H5771" t="str">
        <f>MID(Table132[[#This Row],[ÉTAT]],VALUE(RIGHT(Table132[[#This Row],[next move]],1))+1+VALUE(LEFT(Table132[[#This Row],[next move]],1))*3,1)</f>
        <v>V</v>
      </c>
      <c r="I5771" t="str">
        <f>Table132[[#This Row],[ÉTAT]]&amp;Table132[[#This Row],[next move]]</f>
        <v>EMVVVMEVE10</v>
      </c>
    </row>
    <row r="5772" spans="2:9" x14ac:dyDescent="0.25">
      <c r="B5772" t="s">
        <v>3146</v>
      </c>
      <c r="C5772" s="22" t="s">
        <v>29</v>
      </c>
      <c r="D5772">
        <v>2</v>
      </c>
      <c r="G5772" s="30">
        <f>Table132[[#This Row],[nb win]]/Table132[[#This Row],[nb play]]</f>
        <v>0</v>
      </c>
      <c r="H5772" t="str">
        <f>MID(Table132[[#This Row],[ÉTAT]],VALUE(RIGHT(Table132[[#This Row],[next move]],1))+1+VALUE(LEFT(Table132[[#This Row],[next move]],1))*3,1)</f>
        <v>V</v>
      </c>
      <c r="I5772" t="str">
        <f>Table132[[#This Row],[ÉTAT]]&amp;Table132[[#This Row],[next move]]</f>
        <v>EMVVVMEVE11</v>
      </c>
    </row>
    <row r="5773" spans="2:9" x14ac:dyDescent="0.25">
      <c r="B5773" t="s">
        <v>3146</v>
      </c>
      <c r="C5773" s="22" t="s">
        <v>22</v>
      </c>
      <c r="D5773">
        <v>1</v>
      </c>
      <c r="G5773" s="30">
        <f>Table132[[#This Row],[nb win]]/Table132[[#This Row],[nb play]]</f>
        <v>0</v>
      </c>
      <c r="H5773" t="str">
        <f>MID(Table132[[#This Row],[ÉTAT]],VALUE(RIGHT(Table132[[#This Row],[next move]],1))+1+VALUE(LEFT(Table132[[#This Row],[next move]],1))*3,1)</f>
        <v>V</v>
      </c>
      <c r="I5773" t="str">
        <f>Table132[[#This Row],[ÉTAT]]&amp;Table132[[#This Row],[next move]]</f>
        <v>EMVVVMEVE21</v>
      </c>
    </row>
    <row r="5774" spans="2:9" x14ac:dyDescent="0.25">
      <c r="B5774" t="s">
        <v>2573</v>
      </c>
      <c r="C5774" s="22" t="s">
        <v>30</v>
      </c>
      <c r="D5774">
        <v>1</v>
      </c>
      <c r="G5774" s="25">
        <f>Table132[[#This Row],[nb win]]/Table132[[#This Row],[nb play]]</f>
        <v>0</v>
      </c>
      <c r="H5774" t="str">
        <f>MID(Table132[[#This Row],[ÉTAT]],VALUE(RIGHT(Table132[[#This Row],[next move]],1))+1+VALUE(LEFT(Table132[[#This Row],[next move]],1))*3,1)</f>
        <v>V</v>
      </c>
      <c r="I5774" t="str">
        <f>Table132[[#This Row],[ÉTAT]]&amp;Table132[[#This Row],[next move]]</f>
        <v>EMVVVMEME10</v>
      </c>
    </row>
    <row r="5775" spans="2:9" x14ac:dyDescent="0.25">
      <c r="B5775" t="s">
        <v>2672</v>
      </c>
      <c r="C5775" s="22" t="s">
        <v>20</v>
      </c>
      <c r="D5775">
        <v>1</v>
      </c>
      <c r="G5775" s="30">
        <f>Table132[[#This Row],[nb win]]/Table132[[#This Row],[nb play]]</f>
        <v>0</v>
      </c>
      <c r="H5775" t="str">
        <f>MID(Table132[[#This Row],[ÉTAT]],VALUE(RIGHT(Table132[[#This Row],[next move]],1))+1+VALUE(LEFT(Table132[[#This Row],[next move]],1))*3,1)</f>
        <v>V</v>
      </c>
      <c r="I5775" t="str">
        <f>Table132[[#This Row],[ÉTAT]]&amp;Table132[[#This Row],[next move]]</f>
        <v>EMVVVMEEV02</v>
      </c>
    </row>
    <row r="5776" spans="2:9" x14ac:dyDescent="0.25">
      <c r="B5776" t="s">
        <v>2672</v>
      </c>
      <c r="C5776" s="22" t="s">
        <v>30</v>
      </c>
      <c r="D5776">
        <v>1</v>
      </c>
      <c r="G5776" s="25">
        <f>Table132[[#This Row],[nb win]]/Table132[[#This Row],[nb play]]</f>
        <v>0</v>
      </c>
      <c r="H5776" t="str">
        <f>MID(Table132[[#This Row],[ÉTAT]],VALUE(RIGHT(Table132[[#This Row],[next move]],1))+1+VALUE(LEFT(Table132[[#This Row],[next move]],1))*3,1)</f>
        <v>V</v>
      </c>
      <c r="I5776" t="str">
        <f>Table132[[#This Row],[ÉTAT]]&amp;Table132[[#This Row],[next move]]</f>
        <v>EMVVVMEEV10</v>
      </c>
    </row>
    <row r="5777" spans="2:9" x14ac:dyDescent="0.25">
      <c r="B5777" t="s">
        <v>2672</v>
      </c>
      <c r="C5777" s="22" t="s">
        <v>31</v>
      </c>
      <c r="D5777">
        <v>1</v>
      </c>
      <c r="G5777" s="30">
        <f>Table132[[#This Row],[nb win]]/Table132[[#This Row],[nb play]]</f>
        <v>0</v>
      </c>
      <c r="H5777" t="str">
        <f>MID(Table132[[#This Row],[ÉTAT]],VALUE(RIGHT(Table132[[#This Row],[next move]],1))+1+VALUE(LEFT(Table132[[#This Row],[next move]],1))*3,1)</f>
        <v>V</v>
      </c>
      <c r="I5777" t="str">
        <f>Table132[[#This Row],[ÉTAT]]&amp;Table132[[#This Row],[next move]]</f>
        <v>EMVVVMEEV22</v>
      </c>
    </row>
    <row r="5778" spans="2:9" x14ac:dyDescent="0.25">
      <c r="B5778" t="s">
        <v>3347</v>
      </c>
      <c r="C5778" s="22" t="s">
        <v>20</v>
      </c>
      <c r="D5778">
        <v>1</v>
      </c>
      <c r="E5778">
        <v>1</v>
      </c>
      <c r="G5778" s="31">
        <f>Table132[[#This Row],[nb win]]/Table132[[#This Row],[nb play]]</f>
        <v>1</v>
      </c>
      <c r="H5778" t="str">
        <f>MID(Table132[[#This Row],[ÉTAT]],VALUE(RIGHT(Table132[[#This Row],[next move]],1))+1+VALUE(LEFT(Table132[[#This Row],[next move]],1))*3,1)</f>
        <v>V</v>
      </c>
      <c r="I5778" t="str">
        <f>Table132[[#This Row],[ÉTAT]]&amp;Table132[[#This Row],[next move]]</f>
        <v>EMVVVMEEM02</v>
      </c>
    </row>
    <row r="5779" spans="2:9" x14ac:dyDescent="0.25">
      <c r="B5779" t="s">
        <v>2618</v>
      </c>
      <c r="C5779" s="22" t="s">
        <v>20</v>
      </c>
      <c r="D5779">
        <v>3</v>
      </c>
      <c r="G5779" s="30">
        <f>Table132[[#This Row],[nb win]]/Table132[[#This Row],[nb play]]</f>
        <v>0</v>
      </c>
      <c r="H5779" t="str">
        <f>MID(Table132[[#This Row],[ÉTAT]],VALUE(RIGHT(Table132[[#This Row],[next move]],1))+1+VALUE(LEFT(Table132[[#This Row],[next move]],1))*3,1)</f>
        <v>V</v>
      </c>
      <c r="I5779" t="str">
        <f>Table132[[#This Row],[ÉTAT]]&amp;Table132[[#This Row],[next move]]</f>
        <v>EMVVVEVVV02</v>
      </c>
    </row>
    <row r="5780" spans="2:9" x14ac:dyDescent="0.25">
      <c r="B5780" t="s">
        <v>2618</v>
      </c>
      <c r="C5780" s="22" t="s">
        <v>35</v>
      </c>
      <c r="D5780">
        <v>3</v>
      </c>
      <c r="E5780">
        <v>2</v>
      </c>
      <c r="G5780" s="30">
        <f>Table132[[#This Row],[nb win]]/Table132[[#This Row],[nb play]]</f>
        <v>0.66666666666666663</v>
      </c>
      <c r="H5780" t="str">
        <f>MID(Table132[[#This Row],[ÉTAT]],VALUE(RIGHT(Table132[[#This Row],[next move]],1))+1+VALUE(LEFT(Table132[[#This Row],[next move]],1))*3,1)</f>
        <v>V</v>
      </c>
      <c r="I5780" t="str">
        <f>Table132[[#This Row],[ÉTAT]]&amp;Table132[[#This Row],[next move]]</f>
        <v>EMVVVEVVV20</v>
      </c>
    </row>
    <row r="5781" spans="2:9" x14ac:dyDescent="0.25">
      <c r="B5781" t="s">
        <v>1266</v>
      </c>
      <c r="C5781" s="22" t="s">
        <v>30</v>
      </c>
      <c r="D5781">
        <v>1</v>
      </c>
      <c r="E5781">
        <v>1</v>
      </c>
      <c r="G5781" s="25">
        <f>Table132[[#This Row],[nb win]]/Table132[[#This Row],[nb play]]</f>
        <v>1</v>
      </c>
      <c r="H5781" t="str">
        <f>MID(Table132[[#This Row],[ÉTAT]],VALUE(RIGHT(Table132[[#This Row],[next move]],1))+1+VALUE(LEFT(Table132[[#This Row],[next move]],1))*3,1)</f>
        <v>V</v>
      </c>
      <c r="I5781" t="str">
        <f>Table132[[#This Row],[ÉTAT]]&amp;Table132[[#This Row],[next move]]</f>
        <v>EMVVVEVVM10</v>
      </c>
    </row>
    <row r="5782" spans="2:9" x14ac:dyDescent="0.25">
      <c r="B5782" t="s">
        <v>2522</v>
      </c>
      <c r="C5782" s="22" t="s">
        <v>20</v>
      </c>
      <c r="D5782">
        <v>2</v>
      </c>
      <c r="E5782">
        <v>1</v>
      </c>
      <c r="G5782" s="25">
        <f>Table132[[#This Row],[nb win]]/Table132[[#This Row],[nb play]]</f>
        <v>0.5</v>
      </c>
      <c r="H5782" t="str">
        <f>MID(Table132[[#This Row],[ÉTAT]],VALUE(RIGHT(Table132[[#This Row],[next move]],1))+1+VALUE(LEFT(Table132[[#This Row],[next move]],1))*3,1)</f>
        <v>V</v>
      </c>
      <c r="I5782" t="str">
        <f>Table132[[#This Row],[ÉTAT]]&amp;Table132[[#This Row],[next move]]</f>
        <v>EMVVVEVMV02</v>
      </c>
    </row>
    <row r="5783" spans="2:9" x14ac:dyDescent="0.25">
      <c r="B5783" t="s">
        <v>2522</v>
      </c>
      <c r="C5783" s="22" t="s">
        <v>35</v>
      </c>
      <c r="D5783">
        <v>1</v>
      </c>
      <c r="G5783" s="25">
        <f>Table132[[#This Row],[nb win]]/Table132[[#This Row],[nb play]]</f>
        <v>0</v>
      </c>
      <c r="H5783" t="str">
        <f>MID(Table132[[#This Row],[ÉTAT]],VALUE(RIGHT(Table132[[#This Row],[next move]],1))+1+VALUE(LEFT(Table132[[#This Row],[next move]],1))*3,1)</f>
        <v>V</v>
      </c>
      <c r="I5783" t="str">
        <f>Table132[[#This Row],[ÉTAT]]&amp;Table132[[#This Row],[next move]]</f>
        <v>EMVVVEVMV20</v>
      </c>
    </row>
    <row r="5784" spans="2:9" x14ac:dyDescent="0.25">
      <c r="B5784" t="s">
        <v>2522</v>
      </c>
      <c r="C5784" s="22" t="s">
        <v>31</v>
      </c>
      <c r="D5784">
        <v>3</v>
      </c>
      <c r="E5784">
        <v>3</v>
      </c>
      <c r="G5784" s="31">
        <f>Table132[[#This Row],[nb win]]/Table132[[#This Row],[nb play]]</f>
        <v>1</v>
      </c>
      <c r="H5784" t="str">
        <f>MID(Table132[[#This Row],[ÉTAT]],VALUE(RIGHT(Table132[[#This Row],[next move]],1))+1+VALUE(LEFT(Table132[[#This Row],[next move]],1))*3,1)</f>
        <v>V</v>
      </c>
      <c r="I5784" t="str">
        <f>Table132[[#This Row],[ÉTAT]]&amp;Table132[[#This Row],[next move]]</f>
        <v>EMVVVEVMV22</v>
      </c>
    </row>
    <row r="5785" spans="2:9" x14ac:dyDescent="0.25">
      <c r="B5785" t="s">
        <v>2743</v>
      </c>
      <c r="C5785" s="22" t="s">
        <v>29</v>
      </c>
      <c r="D5785">
        <v>1</v>
      </c>
      <c r="E5785">
        <v>1</v>
      </c>
      <c r="G5785" s="25">
        <f>Table132[[#This Row],[nb win]]/Table132[[#This Row],[nb play]]</f>
        <v>1</v>
      </c>
      <c r="H5785" t="str">
        <f>MID(Table132[[#This Row],[ÉTAT]],VALUE(RIGHT(Table132[[#This Row],[next move]],1))+1+VALUE(LEFT(Table132[[#This Row],[next move]],1))*3,1)</f>
        <v>V</v>
      </c>
      <c r="I5785" t="str">
        <f>Table132[[#This Row],[ÉTAT]]&amp;Table132[[#This Row],[next move]]</f>
        <v>EMVVVEVME11</v>
      </c>
    </row>
    <row r="5786" spans="2:9" x14ac:dyDescent="0.25">
      <c r="B5786" t="s">
        <v>920</v>
      </c>
      <c r="C5786" s="22" t="s">
        <v>20</v>
      </c>
      <c r="D5786">
        <v>1</v>
      </c>
      <c r="G5786" s="25">
        <f>Table132[[#This Row],[nb win]]/Table132[[#This Row],[nb play]]</f>
        <v>0</v>
      </c>
      <c r="H5786" t="str">
        <f>MID(Table132[[#This Row],[ÉTAT]],VALUE(RIGHT(Table132[[#This Row],[next move]],1))+1+VALUE(LEFT(Table132[[#This Row],[next move]],1))*3,1)</f>
        <v>V</v>
      </c>
      <c r="I5786" t="str">
        <f>Table132[[#This Row],[ÉTAT]]&amp;Table132[[#This Row],[next move]]</f>
        <v>EMVVVEVEM02</v>
      </c>
    </row>
    <row r="5787" spans="2:9" x14ac:dyDescent="0.25">
      <c r="B5787" t="s">
        <v>920</v>
      </c>
      <c r="C5787" s="22" t="s">
        <v>29</v>
      </c>
      <c r="D5787">
        <v>1</v>
      </c>
      <c r="G5787" s="25">
        <f>Table132[[#This Row],[nb win]]/Table132[[#This Row],[nb play]]</f>
        <v>0</v>
      </c>
      <c r="H5787" t="str">
        <f>MID(Table132[[#This Row],[ÉTAT]],VALUE(RIGHT(Table132[[#This Row],[next move]],1))+1+VALUE(LEFT(Table132[[#This Row],[next move]],1))*3,1)</f>
        <v>V</v>
      </c>
      <c r="I5787" t="str">
        <f>Table132[[#This Row],[ÉTAT]]&amp;Table132[[#This Row],[next move]]</f>
        <v>EMVVVEVEM11</v>
      </c>
    </row>
    <row r="5788" spans="2:9" x14ac:dyDescent="0.25">
      <c r="B5788" t="s">
        <v>3351</v>
      </c>
      <c r="C5788" s="22" t="s">
        <v>20</v>
      </c>
      <c r="D5788">
        <v>1</v>
      </c>
      <c r="G5788" s="30">
        <f>Table132[[#This Row],[nb win]]/Table132[[#This Row],[nb play]]</f>
        <v>0</v>
      </c>
      <c r="H5788" t="str">
        <f>MID(Table132[[#This Row],[ÉTAT]],VALUE(RIGHT(Table132[[#This Row],[next move]],1))+1+VALUE(LEFT(Table132[[#This Row],[next move]],1))*3,1)</f>
        <v>V</v>
      </c>
      <c r="I5788" t="str">
        <f>Table132[[#This Row],[ÉTAT]]&amp;Table132[[#This Row],[next move]]</f>
        <v>EMVVVEMVV02</v>
      </c>
    </row>
    <row r="5789" spans="2:9" x14ac:dyDescent="0.25">
      <c r="B5789" t="s">
        <v>3351</v>
      </c>
      <c r="C5789" s="22" t="s">
        <v>30</v>
      </c>
      <c r="D5789">
        <v>1</v>
      </c>
      <c r="G5789" s="30">
        <f>Table132[[#This Row],[nb win]]/Table132[[#This Row],[nb play]]</f>
        <v>0</v>
      </c>
      <c r="H5789" t="str">
        <f>MID(Table132[[#This Row],[ÉTAT]],VALUE(RIGHT(Table132[[#This Row],[next move]],1))+1+VALUE(LEFT(Table132[[#This Row],[next move]],1))*3,1)</f>
        <v>V</v>
      </c>
      <c r="I5789" t="str">
        <f>Table132[[#This Row],[ÉTAT]]&amp;Table132[[#This Row],[next move]]</f>
        <v>EMVVVEMVV10</v>
      </c>
    </row>
    <row r="5790" spans="2:9" x14ac:dyDescent="0.25">
      <c r="B5790" t="s">
        <v>3351</v>
      </c>
      <c r="C5790" s="22" t="s">
        <v>31</v>
      </c>
      <c r="D5790">
        <v>1</v>
      </c>
      <c r="E5790">
        <v>1</v>
      </c>
      <c r="G5790" s="31">
        <f>Table132[[#This Row],[nb win]]/Table132[[#This Row],[nb play]]</f>
        <v>1</v>
      </c>
      <c r="H5790" t="str">
        <f>MID(Table132[[#This Row],[ÉTAT]],VALUE(RIGHT(Table132[[#This Row],[next move]],1))+1+VALUE(LEFT(Table132[[#This Row],[next move]],1))*3,1)</f>
        <v>V</v>
      </c>
      <c r="I5790" t="str">
        <f>Table132[[#This Row],[ÉTAT]]&amp;Table132[[#This Row],[next move]]</f>
        <v>EMVVVEMVV22</v>
      </c>
    </row>
    <row r="5791" spans="2:9" x14ac:dyDescent="0.25">
      <c r="B5791" t="s">
        <v>1977</v>
      </c>
      <c r="C5791" s="22" t="s">
        <v>20</v>
      </c>
      <c r="D5791">
        <v>1</v>
      </c>
      <c r="G5791" s="25">
        <f>Table132[[#This Row],[nb win]]/Table132[[#This Row],[nb play]]</f>
        <v>0</v>
      </c>
      <c r="H5791" t="str">
        <f>MID(Table132[[#This Row],[ÉTAT]],VALUE(RIGHT(Table132[[#This Row],[next move]],1))+1+VALUE(LEFT(Table132[[#This Row],[next move]],1))*3,1)</f>
        <v>V</v>
      </c>
      <c r="I5791" t="str">
        <f>Table132[[#This Row],[ÉTAT]]&amp;Table132[[#This Row],[next move]]</f>
        <v>EMVVVEMME02</v>
      </c>
    </row>
    <row r="5792" spans="2:9" x14ac:dyDescent="0.25">
      <c r="B5792" t="s">
        <v>1977</v>
      </c>
      <c r="C5792" s="22" t="s">
        <v>30</v>
      </c>
      <c r="D5792">
        <v>1</v>
      </c>
      <c r="G5792" s="25">
        <f>Table132[[#This Row],[nb win]]/Table132[[#This Row],[nb play]]</f>
        <v>0</v>
      </c>
      <c r="H5792" t="str">
        <f>MID(Table132[[#This Row],[ÉTAT]],VALUE(RIGHT(Table132[[#This Row],[next move]],1))+1+VALUE(LEFT(Table132[[#This Row],[next move]],1))*3,1)</f>
        <v>V</v>
      </c>
      <c r="I5792" t="str">
        <f>Table132[[#This Row],[ÉTAT]]&amp;Table132[[#This Row],[next move]]</f>
        <v>EMVVVEMME10</v>
      </c>
    </row>
    <row r="5793" spans="2:9" x14ac:dyDescent="0.25">
      <c r="B5793" t="s">
        <v>2416</v>
      </c>
      <c r="C5793" s="22" t="s">
        <v>29</v>
      </c>
      <c r="D5793">
        <v>1</v>
      </c>
      <c r="E5793">
        <v>1</v>
      </c>
      <c r="G5793" s="25">
        <f>Table132[[#This Row],[nb win]]/Table132[[#This Row],[nb play]]</f>
        <v>1</v>
      </c>
      <c r="H5793" t="str">
        <f>MID(Table132[[#This Row],[ÉTAT]],VALUE(RIGHT(Table132[[#This Row],[next move]],1))+1+VALUE(LEFT(Table132[[#This Row],[next move]],1))*3,1)</f>
        <v>V</v>
      </c>
      <c r="I5793" t="str">
        <f>Table132[[#This Row],[ÉTAT]]&amp;Table132[[#This Row],[next move]]</f>
        <v>EMVVVEMEM11</v>
      </c>
    </row>
    <row r="5794" spans="2:9" x14ac:dyDescent="0.25">
      <c r="B5794" t="s">
        <v>876</v>
      </c>
      <c r="C5794" s="22" t="s">
        <v>20</v>
      </c>
      <c r="D5794">
        <v>1</v>
      </c>
      <c r="G5794" s="25">
        <f>Table132[[#This Row],[nb win]]/Table132[[#This Row],[nb play]]</f>
        <v>0</v>
      </c>
      <c r="H5794" t="str">
        <f>MID(Table132[[#This Row],[ÉTAT]],VALUE(RIGHT(Table132[[#This Row],[next move]],1))+1+VALUE(LEFT(Table132[[#This Row],[next move]],1))*3,1)</f>
        <v>V</v>
      </c>
      <c r="I5794" t="str">
        <f>Table132[[#This Row],[ÉTAT]]&amp;Table132[[#This Row],[next move]]</f>
        <v>EMVVVEEVM02</v>
      </c>
    </row>
    <row r="5795" spans="2:9" x14ac:dyDescent="0.25">
      <c r="B5795" t="s">
        <v>876</v>
      </c>
      <c r="C5795" s="22" t="s">
        <v>30</v>
      </c>
      <c r="D5795">
        <v>1</v>
      </c>
      <c r="G5795" s="25">
        <f>Table132[[#This Row],[nb win]]/Table132[[#This Row],[nb play]]</f>
        <v>0</v>
      </c>
      <c r="H5795" t="str">
        <f>MID(Table132[[#This Row],[ÉTAT]],VALUE(RIGHT(Table132[[#This Row],[next move]],1))+1+VALUE(LEFT(Table132[[#This Row],[next move]],1))*3,1)</f>
        <v>V</v>
      </c>
      <c r="I5795" t="str">
        <f>Table132[[#This Row],[ÉTAT]]&amp;Table132[[#This Row],[next move]]</f>
        <v>EMVVVEEVM10</v>
      </c>
    </row>
    <row r="5796" spans="2:9" x14ac:dyDescent="0.25">
      <c r="B5796" t="s">
        <v>2792</v>
      </c>
      <c r="C5796" s="22" t="s">
        <v>30</v>
      </c>
      <c r="D5796">
        <v>2</v>
      </c>
      <c r="E5796">
        <v>1</v>
      </c>
      <c r="G5796" s="30">
        <f>Table132[[#This Row],[nb win]]/Table132[[#This Row],[nb play]]</f>
        <v>0.5</v>
      </c>
      <c r="H5796" t="str">
        <f>MID(Table132[[#This Row],[ÉTAT]],VALUE(RIGHT(Table132[[#This Row],[next move]],1))+1+VALUE(LEFT(Table132[[#This Row],[next move]],1))*3,1)</f>
        <v>V</v>
      </c>
      <c r="I5796" t="str">
        <f>Table132[[#This Row],[ÉTAT]]&amp;Table132[[#This Row],[next move]]</f>
        <v>EMVVVEEMV10</v>
      </c>
    </row>
    <row r="5797" spans="2:9" x14ac:dyDescent="0.25">
      <c r="B5797" t="s">
        <v>2140</v>
      </c>
      <c r="C5797" s="22" t="s">
        <v>29</v>
      </c>
      <c r="D5797">
        <v>1</v>
      </c>
      <c r="E5797">
        <v>1</v>
      </c>
      <c r="G5797" s="25">
        <f>Table132[[#This Row],[nb win]]/Table132[[#This Row],[nb play]]</f>
        <v>1</v>
      </c>
      <c r="H5797" t="str">
        <f>MID(Table132[[#This Row],[ÉTAT]],VALUE(RIGHT(Table132[[#This Row],[next move]],1))+1+VALUE(LEFT(Table132[[#This Row],[next move]],1))*3,1)</f>
        <v>V</v>
      </c>
      <c r="I5797" t="str">
        <f>Table132[[#This Row],[ÉTAT]]&amp;Table132[[#This Row],[next move]]</f>
        <v>EMVVVEEMM11</v>
      </c>
    </row>
    <row r="5798" spans="2:9" x14ac:dyDescent="0.25">
      <c r="B5798" t="s">
        <v>3006</v>
      </c>
      <c r="C5798" s="22" t="s">
        <v>22</v>
      </c>
      <c r="D5798">
        <v>3</v>
      </c>
      <c r="E5798">
        <v>3</v>
      </c>
      <c r="G5798" s="31">
        <f>Table132[[#This Row],[nb win]]/Table132[[#This Row],[nb play]]</f>
        <v>1</v>
      </c>
      <c r="H5798" t="str">
        <f>MID(Table132[[#This Row],[ÉTAT]],VALUE(RIGHT(Table132[[#This Row],[next move]],1))+1+VALUE(LEFT(Table132[[#This Row],[next move]],1))*3,1)</f>
        <v>V</v>
      </c>
      <c r="I5798" t="str">
        <f>Table132[[#This Row],[ÉTAT]]&amp;Table132[[#This Row],[next move]]</f>
        <v>EMVVMVVVE21</v>
      </c>
    </row>
    <row r="5799" spans="2:9" x14ac:dyDescent="0.25">
      <c r="B5799" t="s">
        <v>215</v>
      </c>
      <c r="C5799" s="22" t="s">
        <v>35</v>
      </c>
      <c r="D5799">
        <v>5</v>
      </c>
      <c r="E5799">
        <v>5</v>
      </c>
      <c r="G5799" s="31">
        <f>Table132[[#This Row],[nb win]]/Table132[[#This Row],[nb play]]</f>
        <v>1</v>
      </c>
      <c r="H5799" t="str">
        <f>MID(Table132[[#This Row],[ÉTAT]],VALUE(RIGHT(Table132[[#This Row],[next move]],1))+1+VALUE(LEFT(Table132[[#This Row],[next move]],1))*3,1)</f>
        <v>V</v>
      </c>
      <c r="I5799" t="str">
        <f>Table132[[#This Row],[ÉTAT]]&amp;Table132[[#This Row],[next move]]</f>
        <v>EMVVMVVEV20</v>
      </c>
    </row>
    <row r="5800" spans="2:9" x14ac:dyDescent="0.25">
      <c r="B5800" t="s">
        <v>1987</v>
      </c>
      <c r="C5800" s="22" t="s">
        <v>20</v>
      </c>
      <c r="D5800">
        <v>1</v>
      </c>
      <c r="G5800" s="25">
        <f>Table132[[#This Row],[nb win]]/Table132[[#This Row],[nb play]]</f>
        <v>0</v>
      </c>
      <c r="H5800" t="str">
        <f>MID(Table132[[#This Row],[ÉTAT]],VALUE(RIGHT(Table132[[#This Row],[next move]],1))+1+VALUE(LEFT(Table132[[#This Row],[next move]],1))*3,1)</f>
        <v>V</v>
      </c>
      <c r="I5800" t="str">
        <f>Table132[[#This Row],[ÉTAT]]&amp;Table132[[#This Row],[next move]]</f>
        <v>EMVVMVVEE02</v>
      </c>
    </row>
    <row r="5801" spans="2:9" x14ac:dyDescent="0.25">
      <c r="B5801" t="s">
        <v>498</v>
      </c>
      <c r="C5801" s="22" t="s">
        <v>30</v>
      </c>
      <c r="D5801">
        <v>1</v>
      </c>
      <c r="E5801">
        <v>1</v>
      </c>
      <c r="G5801" s="25">
        <f>Table132[[#This Row],[nb win]]/Table132[[#This Row],[nb play]]</f>
        <v>1</v>
      </c>
      <c r="H5801" t="str">
        <f>MID(Table132[[#This Row],[ÉTAT]],VALUE(RIGHT(Table132[[#This Row],[next move]],1))+1+VALUE(LEFT(Table132[[#This Row],[next move]],1))*3,1)</f>
        <v>V</v>
      </c>
      <c r="I5801" t="str">
        <f>Table132[[#This Row],[ÉTAT]]&amp;Table132[[#This Row],[next move]]</f>
        <v>EMVVMVMEE10</v>
      </c>
    </row>
    <row r="5802" spans="2:9" x14ac:dyDescent="0.25">
      <c r="B5802" t="s">
        <v>3103</v>
      </c>
      <c r="C5802" s="22" t="s">
        <v>22</v>
      </c>
      <c r="D5802">
        <v>2</v>
      </c>
      <c r="E5802">
        <v>2</v>
      </c>
      <c r="G5802" s="31">
        <f>Table132[[#This Row],[nb win]]/Table132[[#This Row],[nb play]]</f>
        <v>1</v>
      </c>
      <c r="H5802" t="str">
        <f>MID(Table132[[#This Row],[ÉTAT]],VALUE(RIGHT(Table132[[#This Row],[next move]],1))+1+VALUE(LEFT(Table132[[#This Row],[next move]],1))*3,1)</f>
        <v>V</v>
      </c>
      <c r="I5802" t="str">
        <f>Table132[[#This Row],[ÉTAT]]&amp;Table132[[#This Row],[next move]]</f>
        <v>EMVVMVEVV21</v>
      </c>
    </row>
    <row r="5803" spans="2:9" x14ac:dyDescent="0.25">
      <c r="B5803" t="s">
        <v>1954</v>
      </c>
      <c r="C5803" s="22" t="s">
        <v>22</v>
      </c>
      <c r="D5803">
        <v>4</v>
      </c>
      <c r="E5803">
        <v>4</v>
      </c>
      <c r="G5803" s="31">
        <f>Table132[[#This Row],[nb win]]/Table132[[#This Row],[nb play]]</f>
        <v>1</v>
      </c>
      <c r="H5803" t="str">
        <f>MID(Table132[[#This Row],[ÉTAT]],VALUE(RIGHT(Table132[[#This Row],[next move]],1))+1+VALUE(LEFT(Table132[[#This Row],[next move]],1))*3,1)</f>
        <v>V</v>
      </c>
      <c r="I5803" t="str">
        <f>Table132[[#This Row],[ÉTAT]]&amp;Table132[[#This Row],[next move]]</f>
        <v>EMVVMVEVE21</v>
      </c>
    </row>
    <row r="5804" spans="2:9" x14ac:dyDescent="0.25">
      <c r="B5804" t="s">
        <v>1123</v>
      </c>
      <c r="C5804" s="22" t="s">
        <v>28</v>
      </c>
      <c r="D5804">
        <v>2</v>
      </c>
      <c r="E5804">
        <v>1</v>
      </c>
      <c r="G5804" s="25">
        <f>Table132[[#This Row],[nb win]]/Table132[[#This Row],[nb play]]</f>
        <v>0.5</v>
      </c>
      <c r="H5804" t="str">
        <f>MID(Table132[[#This Row],[ÉTAT]],VALUE(RIGHT(Table132[[#This Row],[next move]],1))+1+VALUE(LEFT(Table132[[#This Row],[next move]],1))*3,1)</f>
        <v>V</v>
      </c>
      <c r="I5804" t="str">
        <f>Table132[[#This Row],[ÉTAT]]&amp;Table132[[#This Row],[next move]]</f>
        <v>EMVVMVEEM12</v>
      </c>
    </row>
    <row r="5805" spans="2:9" x14ac:dyDescent="0.25">
      <c r="B5805" t="s">
        <v>995</v>
      </c>
      <c r="C5805" s="22" t="s">
        <v>20</v>
      </c>
      <c r="D5805">
        <v>2</v>
      </c>
      <c r="E5805">
        <v>1</v>
      </c>
      <c r="G5805" s="25">
        <f>Table132[[#This Row],[nb win]]/Table132[[#This Row],[nb play]]</f>
        <v>0.5</v>
      </c>
      <c r="H5805" t="str">
        <f>MID(Table132[[#This Row],[ÉTAT]],VALUE(RIGHT(Table132[[#This Row],[next move]],1))+1+VALUE(LEFT(Table132[[#This Row],[next move]],1))*3,1)</f>
        <v>V</v>
      </c>
      <c r="I5805" t="str">
        <f>Table132[[#This Row],[ÉTAT]]&amp;Table132[[#This Row],[next move]]</f>
        <v>EMVVMMVEE02</v>
      </c>
    </row>
    <row r="5806" spans="2:9" x14ac:dyDescent="0.25">
      <c r="B5806" t="s">
        <v>995</v>
      </c>
      <c r="C5806" s="22" t="s">
        <v>35</v>
      </c>
      <c r="D5806">
        <v>1</v>
      </c>
      <c r="E5806">
        <v>1</v>
      </c>
      <c r="G5806" s="31">
        <f>Table132[[#This Row],[nb win]]/Table132[[#This Row],[nb play]]</f>
        <v>1</v>
      </c>
      <c r="H5806" t="str">
        <f>MID(Table132[[#This Row],[ÉTAT]],VALUE(RIGHT(Table132[[#This Row],[next move]],1))+1+VALUE(LEFT(Table132[[#This Row],[next move]],1))*3,1)</f>
        <v>V</v>
      </c>
      <c r="I5806" t="str">
        <f>Table132[[#This Row],[ÉTAT]]&amp;Table132[[#This Row],[next move]]</f>
        <v>EMVVMMVEE20</v>
      </c>
    </row>
    <row r="5807" spans="2:9" x14ac:dyDescent="0.25">
      <c r="B5807" t="s">
        <v>2425</v>
      </c>
      <c r="C5807" s="22" t="s">
        <v>30</v>
      </c>
      <c r="D5807">
        <v>2</v>
      </c>
      <c r="E5807">
        <v>2</v>
      </c>
      <c r="G5807" s="31">
        <f>Table132[[#This Row],[nb win]]/Table132[[#This Row],[nb play]]</f>
        <v>1</v>
      </c>
      <c r="H5807" t="str">
        <f>MID(Table132[[#This Row],[ÉTAT]],VALUE(RIGHT(Table132[[#This Row],[next move]],1))+1+VALUE(LEFT(Table132[[#This Row],[next move]],1))*3,1)</f>
        <v>V</v>
      </c>
      <c r="I5807" t="str">
        <f>Table132[[#This Row],[ÉTAT]]&amp;Table132[[#This Row],[next move]]</f>
        <v>EMVVMMEVE10</v>
      </c>
    </row>
    <row r="5808" spans="2:9" x14ac:dyDescent="0.25">
      <c r="B5808" t="s">
        <v>2874</v>
      </c>
      <c r="C5808" s="22" t="s">
        <v>31</v>
      </c>
      <c r="D5808">
        <v>1</v>
      </c>
      <c r="G5808" s="25">
        <f>Table132[[#This Row],[nb win]]/Table132[[#This Row],[nb play]]</f>
        <v>0</v>
      </c>
      <c r="H5808" t="str">
        <f>MID(Table132[[#This Row],[ÉTAT]],VALUE(RIGHT(Table132[[#This Row],[next move]],1))+1+VALUE(LEFT(Table132[[#This Row],[next move]],1))*3,1)</f>
        <v>V</v>
      </c>
      <c r="I5808" t="str">
        <f>Table132[[#This Row],[ÉTAT]]&amp;Table132[[#This Row],[next move]]</f>
        <v>EMVVMMEEV22</v>
      </c>
    </row>
    <row r="5809" spans="2:9" x14ac:dyDescent="0.25">
      <c r="B5809" t="s">
        <v>2588</v>
      </c>
      <c r="C5809" s="22" t="s">
        <v>20</v>
      </c>
      <c r="D5809">
        <v>3</v>
      </c>
      <c r="E5809">
        <v>3</v>
      </c>
      <c r="G5809" s="31">
        <f>Table132[[#This Row],[nb win]]/Table132[[#This Row],[nb play]]</f>
        <v>1</v>
      </c>
      <c r="H5809" t="str">
        <f>MID(Table132[[#This Row],[ÉTAT]],VALUE(RIGHT(Table132[[#This Row],[next move]],1))+1+VALUE(LEFT(Table132[[#This Row],[next move]],1))*3,1)</f>
        <v>V</v>
      </c>
      <c r="I5809" t="str">
        <f>Table132[[#This Row],[ÉTAT]]&amp;Table132[[#This Row],[next move]]</f>
        <v>EMVVMEVVV02</v>
      </c>
    </row>
    <row r="5810" spans="2:9" x14ac:dyDescent="0.25">
      <c r="B5810" t="s">
        <v>3045</v>
      </c>
      <c r="C5810" s="22" t="s">
        <v>22</v>
      </c>
      <c r="D5810">
        <v>1</v>
      </c>
      <c r="E5810">
        <v>1</v>
      </c>
      <c r="G5810" s="25">
        <f>Table132[[#This Row],[nb win]]/Table132[[#This Row],[nb play]]</f>
        <v>1</v>
      </c>
      <c r="H5810" t="str">
        <f>MID(Table132[[#This Row],[ÉTAT]],VALUE(RIGHT(Table132[[#This Row],[next move]],1))+1+VALUE(LEFT(Table132[[#This Row],[next move]],1))*3,1)</f>
        <v>V</v>
      </c>
      <c r="I5810" t="str">
        <f>Table132[[#This Row],[ÉTAT]]&amp;Table132[[#This Row],[next move]]</f>
        <v>EMVVMEVVE21</v>
      </c>
    </row>
    <row r="5811" spans="2:9" x14ac:dyDescent="0.25">
      <c r="B5811" t="s">
        <v>3029</v>
      </c>
      <c r="C5811" s="22" t="s">
        <v>35</v>
      </c>
      <c r="D5811">
        <v>2</v>
      </c>
      <c r="E5811">
        <v>2</v>
      </c>
      <c r="G5811" s="31">
        <f>Table132[[#This Row],[nb win]]/Table132[[#This Row],[nb play]]</f>
        <v>1</v>
      </c>
      <c r="H5811" t="str">
        <f>MID(Table132[[#This Row],[ÉTAT]],VALUE(RIGHT(Table132[[#This Row],[next move]],1))+1+VALUE(LEFT(Table132[[#This Row],[next move]],1))*3,1)</f>
        <v>V</v>
      </c>
      <c r="I5811" t="str">
        <f>Table132[[#This Row],[ÉTAT]]&amp;Table132[[#This Row],[next move]]</f>
        <v>EMVVMEVEV20</v>
      </c>
    </row>
    <row r="5812" spans="2:9" x14ac:dyDescent="0.25">
      <c r="B5812" t="s">
        <v>1651</v>
      </c>
      <c r="C5812" s="22" t="s">
        <v>20</v>
      </c>
      <c r="D5812">
        <v>1</v>
      </c>
      <c r="E5812">
        <v>1</v>
      </c>
      <c r="G5812" s="25">
        <f>Table132[[#This Row],[nb win]]/Table132[[#This Row],[nb play]]</f>
        <v>1</v>
      </c>
      <c r="H5812" t="str">
        <f>MID(Table132[[#This Row],[ÉTAT]],VALUE(RIGHT(Table132[[#This Row],[next move]],1))+1+VALUE(LEFT(Table132[[#This Row],[next move]],1))*3,1)</f>
        <v>V</v>
      </c>
      <c r="I5812" t="str">
        <f>Table132[[#This Row],[ÉTAT]]&amp;Table132[[#This Row],[next move]]</f>
        <v>EMVVMEMVE02</v>
      </c>
    </row>
    <row r="5813" spans="2:9" x14ac:dyDescent="0.25">
      <c r="B5813" t="s">
        <v>2147</v>
      </c>
      <c r="C5813" s="22" t="s">
        <v>20</v>
      </c>
      <c r="D5813">
        <v>2</v>
      </c>
      <c r="E5813">
        <v>2</v>
      </c>
      <c r="G5813" s="31">
        <f>Table132[[#This Row],[nb win]]/Table132[[#This Row],[nb play]]</f>
        <v>1</v>
      </c>
      <c r="H5813" t="str">
        <f>MID(Table132[[#This Row],[ÉTAT]],VALUE(RIGHT(Table132[[#This Row],[next move]],1))+1+VALUE(LEFT(Table132[[#This Row],[next move]],1))*3,1)</f>
        <v>V</v>
      </c>
      <c r="I5813" t="str">
        <f>Table132[[#This Row],[ÉTAT]]&amp;Table132[[#This Row],[next move]]</f>
        <v>EMVVMEMEV02</v>
      </c>
    </row>
    <row r="5814" spans="2:9" x14ac:dyDescent="0.25">
      <c r="B5814" t="s">
        <v>3341</v>
      </c>
      <c r="C5814" s="22" t="s">
        <v>20</v>
      </c>
      <c r="D5814">
        <v>3</v>
      </c>
      <c r="E5814">
        <v>3</v>
      </c>
      <c r="G5814" s="31">
        <f>Table132[[#This Row],[nb win]]/Table132[[#This Row],[nb play]]</f>
        <v>1</v>
      </c>
      <c r="H5814" t="str">
        <f>MID(Table132[[#This Row],[ÉTAT]],VALUE(RIGHT(Table132[[#This Row],[next move]],1))+1+VALUE(LEFT(Table132[[#This Row],[next move]],1))*3,1)</f>
        <v>V</v>
      </c>
      <c r="I5814" t="str">
        <f>Table132[[#This Row],[ÉTAT]]&amp;Table132[[#This Row],[next move]]</f>
        <v>EMVVMEMEE02</v>
      </c>
    </row>
    <row r="5815" spans="2:9" x14ac:dyDescent="0.25">
      <c r="B5815" t="s">
        <v>2089</v>
      </c>
      <c r="C5815" s="22" t="s">
        <v>20</v>
      </c>
      <c r="D5815">
        <v>1</v>
      </c>
      <c r="G5815" s="25">
        <f>Table132[[#This Row],[nb win]]/Table132[[#This Row],[nb play]]</f>
        <v>0</v>
      </c>
      <c r="H5815" t="str">
        <f>MID(Table132[[#This Row],[ÉTAT]],VALUE(RIGHT(Table132[[#This Row],[next move]],1))+1+VALUE(LEFT(Table132[[#This Row],[next move]],1))*3,1)</f>
        <v>V</v>
      </c>
      <c r="I5815" t="str">
        <f>Table132[[#This Row],[ÉTAT]]&amp;Table132[[#This Row],[next move]]</f>
        <v>EMVVMEEVM02</v>
      </c>
    </row>
    <row r="5816" spans="2:9" x14ac:dyDescent="0.25">
      <c r="B5816" t="s">
        <v>2089</v>
      </c>
      <c r="C5816" s="22" t="s">
        <v>22</v>
      </c>
      <c r="D5816">
        <v>1</v>
      </c>
      <c r="E5816">
        <v>1</v>
      </c>
      <c r="G5816" s="25">
        <f>Table132[[#This Row],[nb win]]/Table132[[#This Row],[nb play]]</f>
        <v>1</v>
      </c>
      <c r="H5816" t="str">
        <f>MID(Table132[[#This Row],[ÉTAT]],VALUE(RIGHT(Table132[[#This Row],[next move]],1))+1+VALUE(LEFT(Table132[[#This Row],[next move]],1))*3,1)</f>
        <v>V</v>
      </c>
      <c r="I5816" t="str">
        <f>Table132[[#This Row],[ÉTAT]]&amp;Table132[[#This Row],[next move]]</f>
        <v>EMVVMEEVM21</v>
      </c>
    </row>
    <row r="5817" spans="2:9" x14ac:dyDescent="0.25">
      <c r="B5817" t="s">
        <v>791</v>
      </c>
      <c r="C5817" s="22" t="s">
        <v>20</v>
      </c>
      <c r="D5817">
        <v>1</v>
      </c>
      <c r="G5817" s="25">
        <f>Table132[[#This Row],[nb win]]/Table132[[#This Row],[nb play]]</f>
        <v>0</v>
      </c>
      <c r="H5817" t="str">
        <f>MID(Table132[[#This Row],[ÉTAT]],VALUE(RIGHT(Table132[[#This Row],[next move]],1))+1+VALUE(LEFT(Table132[[#This Row],[next move]],1))*3,1)</f>
        <v>V</v>
      </c>
      <c r="I5817" t="str">
        <f>Table132[[#This Row],[ÉTAT]]&amp;Table132[[#This Row],[next move]]</f>
        <v>EMVVMEEEM02</v>
      </c>
    </row>
    <row r="5818" spans="2:9" x14ac:dyDescent="0.25">
      <c r="B5818" t="s">
        <v>1938</v>
      </c>
      <c r="C5818" s="22" t="s">
        <v>20</v>
      </c>
      <c r="D5818">
        <v>5</v>
      </c>
      <c r="E5818">
        <v>1</v>
      </c>
      <c r="G5818" s="30">
        <f>Table132[[#This Row],[nb win]]/Table132[[#This Row],[nb play]]</f>
        <v>0.2</v>
      </c>
      <c r="H5818" t="str">
        <f>MID(Table132[[#This Row],[ÉTAT]],VALUE(RIGHT(Table132[[#This Row],[next move]],1))+1+VALUE(LEFT(Table132[[#This Row],[next move]],1))*3,1)</f>
        <v>V</v>
      </c>
      <c r="I5818" t="str">
        <f>Table132[[#This Row],[ÉTAT]]&amp;Table132[[#This Row],[next move]]</f>
        <v>EMVVEVVVV02</v>
      </c>
    </row>
    <row r="5819" spans="2:9" x14ac:dyDescent="0.25">
      <c r="B5819" t="s">
        <v>1938</v>
      </c>
      <c r="C5819" s="22" t="s">
        <v>30</v>
      </c>
      <c r="D5819">
        <v>3</v>
      </c>
      <c r="G5819" s="30">
        <f>Table132[[#This Row],[nb win]]/Table132[[#This Row],[nb play]]</f>
        <v>0</v>
      </c>
      <c r="H5819" t="str">
        <f>MID(Table132[[#This Row],[ÉTAT]],VALUE(RIGHT(Table132[[#This Row],[next move]],1))+1+VALUE(LEFT(Table132[[#This Row],[next move]],1))*3,1)</f>
        <v>V</v>
      </c>
      <c r="I5819" t="str">
        <f>Table132[[#This Row],[ÉTAT]]&amp;Table132[[#This Row],[next move]]</f>
        <v>EMVVEVVVV10</v>
      </c>
    </row>
    <row r="5820" spans="2:9" x14ac:dyDescent="0.25">
      <c r="B5820" t="s">
        <v>1938</v>
      </c>
      <c r="C5820" s="22" t="s">
        <v>28</v>
      </c>
      <c r="D5820">
        <v>3</v>
      </c>
      <c r="G5820" s="30">
        <f>Table132[[#This Row],[nb win]]/Table132[[#This Row],[nb play]]</f>
        <v>0</v>
      </c>
      <c r="H5820" t="str">
        <f>MID(Table132[[#This Row],[ÉTAT]],VALUE(RIGHT(Table132[[#This Row],[next move]],1))+1+VALUE(LEFT(Table132[[#This Row],[next move]],1))*3,1)</f>
        <v>V</v>
      </c>
      <c r="I5820" t="str">
        <f>Table132[[#This Row],[ÉTAT]]&amp;Table132[[#This Row],[next move]]</f>
        <v>EMVVEVVVV12</v>
      </c>
    </row>
    <row r="5821" spans="2:9" x14ac:dyDescent="0.25">
      <c r="B5821" t="s">
        <v>1938</v>
      </c>
      <c r="C5821" s="22" t="s">
        <v>35</v>
      </c>
      <c r="D5821">
        <v>2</v>
      </c>
      <c r="G5821" s="30">
        <f>Table132[[#This Row],[nb win]]/Table132[[#This Row],[nb play]]</f>
        <v>0</v>
      </c>
      <c r="H5821" t="str">
        <f>MID(Table132[[#This Row],[ÉTAT]],VALUE(RIGHT(Table132[[#This Row],[next move]],1))+1+VALUE(LEFT(Table132[[#This Row],[next move]],1))*3,1)</f>
        <v>V</v>
      </c>
      <c r="I5821" t="str">
        <f>Table132[[#This Row],[ÉTAT]]&amp;Table132[[#This Row],[next move]]</f>
        <v>EMVVEVVVV20</v>
      </c>
    </row>
    <row r="5822" spans="2:9" x14ac:dyDescent="0.25">
      <c r="B5822" t="s">
        <v>1938</v>
      </c>
      <c r="C5822" s="22" t="s">
        <v>22</v>
      </c>
      <c r="D5822">
        <v>4</v>
      </c>
      <c r="G5822" s="30">
        <f>Table132[[#This Row],[nb win]]/Table132[[#This Row],[nb play]]</f>
        <v>0</v>
      </c>
      <c r="H5822" t="str">
        <f>MID(Table132[[#This Row],[ÉTAT]],VALUE(RIGHT(Table132[[#This Row],[next move]],1))+1+VALUE(LEFT(Table132[[#This Row],[next move]],1))*3,1)</f>
        <v>V</v>
      </c>
      <c r="I5822" t="str">
        <f>Table132[[#This Row],[ÉTAT]]&amp;Table132[[#This Row],[next move]]</f>
        <v>EMVVEVVVV21</v>
      </c>
    </row>
    <row r="5823" spans="2:9" x14ac:dyDescent="0.25">
      <c r="B5823" t="s">
        <v>1938</v>
      </c>
      <c r="C5823" s="22" t="s">
        <v>31</v>
      </c>
      <c r="D5823">
        <v>2</v>
      </c>
      <c r="G5823" s="30">
        <f>Table132[[#This Row],[nb win]]/Table132[[#This Row],[nb play]]</f>
        <v>0</v>
      </c>
      <c r="H5823" t="str">
        <f>MID(Table132[[#This Row],[ÉTAT]],VALUE(RIGHT(Table132[[#This Row],[next move]],1))+1+VALUE(LEFT(Table132[[#This Row],[next move]],1))*3,1)</f>
        <v>V</v>
      </c>
      <c r="I5823" t="str">
        <f>Table132[[#This Row],[ÉTAT]]&amp;Table132[[#This Row],[next move]]</f>
        <v>EMVVEVVVV22</v>
      </c>
    </row>
    <row r="5824" spans="2:9" x14ac:dyDescent="0.25">
      <c r="B5824" t="s">
        <v>3107</v>
      </c>
      <c r="C5824" s="22" t="s">
        <v>35</v>
      </c>
      <c r="D5824">
        <v>1</v>
      </c>
      <c r="E5824">
        <v>1</v>
      </c>
      <c r="G5824" s="31">
        <f>Table132[[#This Row],[nb win]]/Table132[[#This Row],[nb play]]</f>
        <v>1</v>
      </c>
      <c r="H5824" t="str">
        <f>MID(Table132[[#This Row],[ÉTAT]],VALUE(RIGHT(Table132[[#This Row],[next move]],1))+1+VALUE(LEFT(Table132[[#This Row],[next move]],1))*3,1)</f>
        <v>V</v>
      </c>
      <c r="I5824" t="str">
        <f>Table132[[#This Row],[ÉTAT]]&amp;Table132[[#This Row],[next move]]</f>
        <v>EMVVEVVVM20</v>
      </c>
    </row>
    <row r="5825" spans="2:9" x14ac:dyDescent="0.25">
      <c r="B5825" t="s">
        <v>2184</v>
      </c>
      <c r="C5825" s="22" t="s">
        <v>35</v>
      </c>
      <c r="D5825">
        <v>2</v>
      </c>
      <c r="E5825">
        <v>2</v>
      </c>
      <c r="G5825" s="31">
        <f>Table132[[#This Row],[nb win]]/Table132[[#This Row],[nb play]]</f>
        <v>1</v>
      </c>
      <c r="H5825" t="str">
        <f>MID(Table132[[#This Row],[ÉTAT]],VALUE(RIGHT(Table132[[#This Row],[next move]],1))+1+VALUE(LEFT(Table132[[#This Row],[next move]],1))*3,1)</f>
        <v>V</v>
      </c>
      <c r="I5825" t="str">
        <f>Table132[[#This Row],[ÉTAT]]&amp;Table132[[#This Row],[next move]]</f>
        <v>EMVVEVVMV20</v>
      </c>
    </row>
    <row r="5826" spans="2:9" x14ac:dyDescent="0.25">
      <c r="B5826" t="s">
        <v>2184</v>
      </c>
      <c r="C5826" s="22" t="s">
        <v>31</v>
      </c>
      <c r="D5826">
        <v>3</v>
      </c>
      <c r="E5826">
        <v>1</v>
      </c>
      <c r="G5826" s="30">
        <f>Table132[[#This Row],[nb win]]/Table132[[#This Row],[nb play]]</f>
        <v>0.33333333333333331</v>
      </c>
      <c r="H5826" t="str">
        <f>MID(Table132[[#This Row],[ÉTAT]],VALUE(RIGHT(Table132[[#This Row],[next move]],1))+1+VALUE(LEFT(Table132[[#This Row],[next move]],1))*3,1)</f>
        <v>V</v>
      </c>
      <c r="I5826" t="str">
        <f>Table132[[#This Row],[ÉTAT]]&amp;Table132[[#This Row],[next move]]</f>
        <v>EMVVEVVMV22</v>
      </c>
    </row>
    <row r="5827" spans="2:9" x14ac:dyDescent="0.25">
      <c r="B5827" t="s">
        <v>1992</v>
      </c>
      <c r="C5827" s="22" t="s">
        <v>20</v>
      </c>
      <c r="D5827">
        <v>2</v>
      </c>
      <c r="G5827" s="30">
        <f>Table132[[#This Row],[nb win]]/Table132[[#This Row],[nb play]]</f>
        <v>0</v>
      </c>
      <c r="H5827" t="str">
        <f>MID(Table132[[#This Row],[ÉTAT]],VALUE(RIGHT(Table132[[#This Row],[next move]],1))+1+VALUE(LEFT(Table132[[#This Row],[next move]],1))*3,1)</f>
        <v>V</v>
      </c>
      <c r="I5827" t="str">
        <f>Table132[[#This Row],[ÉTAT]]&amp;Table132[[#This Row],[next move]]</f>
        <v>EMVVEVMVV02</v>
      </c>
    </row>
    <row r="5828" spans="2:9" x14ac:dyDescent="0.25">
      <c r="B5828" t="s">
        <v>1992</v>
      </c>
      <c r="C5828" s="22" t="s">
        <v>30</v>
      </c>
      <c r="D5828">
        <v>2</v>
      </c>
      <c r="G5828" s="30">
        <f>Table132[[#This Row],[nb win]]/Table132[[#This Row],[nb play]]</f>
        <v>0</v>
      </c>
      <c r="H5828" t="str">
        <f>MID(Table132[[#This Row],[ÉTAT]],VALUE(RIGHT(Table132[[#This Row],[next move]],1))+1+VALUE(LEFT(Table132[[#This Row],[next move]],1))*3,1)</f>
        <v>V</v>
      </c>
      <c r="I5828" t="str">
        <f>Table132[[#This Row],[ÉTAT]]&amp;Table132[[#This Row],[next move]]</f>
        <v>EMVVEVMVV10</v>
      </c>
    </row>
    <row r="5829" spans="2:9" x14ac:dyDescent="0.25">
      <c r="B5829" t="s">
        <v>1992</v>
      </c>
      <c r="C5829" s="22" t="s">
        <v>28</v>
      </c>
      <c r="D5829">
        <v>3</v>
      </c>
      <c r="G5829" s="30">
        <f>Table132[[#This Row],[nb win]]/Table132[[#This Row],[nb play]]</f>
        <v>0</v>
      </c>
      <c r="H5829" t="str">
        <f>MID(Table132[[#This Row],[ÉTAT]],VALUE(RIGHT(Table132[[#This Row],[next move]],1))+1+VALUE(LEFT(Table132[[#This Row],[next move]],1))*3,1)</f>
        <v>V</v>
      </c>
      <c r="I5829" t="str">
        <f>Table132[[#This Row],[ÉTAT]]&amp;Table132[[#This Row],[next move]]</f>
        <v>EMVVEVMVV12</v>
      </c>
    </row>
    <row r="5830" spans="2:9" x14ac:dyDescent="0.25">
      <c r="B5830" t="s">
        <v>1992</v>
      </c>
      <c r="C5830" s="22" t="s">
        <v>22</v>
      </c>
      <c r="D5830">
        <v>1</v>
      </c>
      <c r="G5830" s="25">
        <f>Table132[[#This Row],[nb win]]/Table132[[#This Row],[nb play]]</f>
        <v>0</v>
      </c>
      <c r="H5830" t="str">
        <f>MID(Table132[[#This Row],[ÉTAT]],VALUE(RIGHT(Table132[[#This Row],[next move]],1))+1+VALUE(LEFT(Table132[[#This Row],[next move]],1))*3,1)</f>
        <v>V</v>
      </c>
      <c r="I5830" t="str">
        <f>Table132[[#This Row],[ÉTAT]]&amp;Table132[[#This Row],[next move]]</f>
        <v>EMVVEVMVV21</v>
      </c>
    </row>
    <row r="5831" spans="2:9" x14ac:dyDescent="0.25">
      <c r="B5831" t="s">
        <v>1992</v>
      </c>
      <c r="C5831" s="22" t="s">
        <v>31</v>
      </c>
      <c r="D5831">
        <v>3</v>
      </c>
      <c r="E5831">
        <v>3</v>
      </c>
      <c r="G5831" s="31">
        <f>Table132[[#This Row],[nb win]]/Table132[[#This Row],[nb play]]</f>
        <v>1</v>
      </c>
      <c r="H5831" t="str">
        <f>MID(Table132[[#This Row],[ÉTAT]],VALUE(RIGHT(Table132[[#This Row],[next move]],1))+1+VALUE(LEFT(Table132[[#This Row],[next move]],1))*3,1)</f>
        <v>V</v>
      </c>
      <c r="I5831" t="str">
        <f>Table132[[#This Row],[ÉTAT]]&amp;Table132[[#This Row],[next move]]</f>
        <v>EMVVEVMVV22</v>
      </c>
    </row>
    <row r="5832" spans="2:9" x14ac:dyDescent="0.25">
      <c r="B5832" t="s">
        <v>2720</v>
      </c>
      <c r="C5832" s="22" t="s">
        <v>20</v>
      </c>
      <c r="D5832">
        <v>1</v>
      </c>
      <c r="E5832">
        <v>1</v>
      </c>
      <c r="G5832" s="31">
        <f>Table132[[#This Row],[nb win]]/Table132[[#This Row],[nb play]]</f>
        <v>1</v>
      </c>
      <c r="H5832" t="str">
        <f>MID(Table132[[#This Row],[ÉTAT]],VALUE(RIGHT(Table132[[#This Row],[next move]],1))+1+VALUE(LEFT(Table132[[#This Row],[next move]],1))*3,1)</f>
        <v>V</v>
      </c>
      <c r="I5832" t="str">
        <f>Table132[[#This Row],[ÉTAT]]&amp;Table132[[#This Row],[next move]]</f>
        <v>EMVVEVMEM02</v>
      </c>
    </row>
    <row r="5833" spans="2:9" x14ac:dyDescent="0.25">
      <c r="B5833" t="s">
        <v>1247</v>
      </c>
      <c r="C5833" s="22" t="s">
        <v>30</v>
      </c>
      <c r="D5833">
        <v>1</v>
      </c>
      <c r="G5833" s="25">
        <f>Table132[[#This Row],[nb win]]/Table132[[#This Row],[nb play]]</f>
        <v>0</v>
      </c>
      <c r="H5833" t="str">
        <f>MID(Table132[[#This Row],[ÉTAT]],VALUE(RIGHT(Table132[[#This Row],[next move]],1))+1+VALUE(LEFT(Table132[[#This Row],[next move]],1))*3,1)</f>
        <v>V</v>
      </c>
      <c r="I5833" t="str">
        <f>Table132[[#This Row],[ÉTAT]]&amp;Table132[[#This Row],[next move]]</f>
        <v>EMVVEVEMM10</v>
      </c>
    </row>
    <row r="5834" spans="2:9" x14ac:dyDescent="0.25">
      <c r="B5834" t="s">
        <v>1247</v>
      </c>
      <c r="C5834" s="22" t="s">
        <v>28</v>
      </c>
      <c r="D5834">
        <v>2</v>
      </c>
      <c r="G5834" s="30">
        <f>Table132[[#This Row],[nb win]]/Table132[[#This Row],[nb play]]</f>
        <v>0</v>
      </c>
      <c r="H5834" t="str">
        <f>MID(Table132[[#This Row],[ÉTAT]],VALUE(RIGHT(Table132[[#This Row],[next move]],1))+1+VALUE(LEFT(Table132[[#This Row],[next move]],1))*3,1)</f>
        <v>V</v>
      </c>
      <c r="I5834" t="str">
        <f>Table132[[#This Row],[ÉTAT]]&amp;Table132[[#This Row],[next move]]</f>
        <v>EMVVEVEMM12</v>
      </c>
    </row>
    <row r="5835" spans="2:9" x14ac:dyDescent="0.25">
      <c r="B5835" t="s">
        <v>686</v>
      </c>
      <c r="C5835" s="22" t="s">
        <v>20</v>
      </c>
      <c r="D5835">
        <v>2</v>
      </c>
      <c r="E5835">
        <v>2</v>
      </c>
      <c r="G5835" s="31">
        <f>Table132[[#This Row],[nb win]]/Table132[[#This Row],[nb play]]</f>
        <v>1</v>
      </c>
      <c r="H5835" t="str">
        <f>MID(Table132[[#This Row],[ÉTAT]],VALUE(RIGHT(Table132[[#This Row],[next move]],1))+1+VALUE(LEFT(Table132[[#This Row],[next move]],1))*3,1)</f>
        <v>V</v>
      </c>
      <c r="I5835" t="str">
        <f>Table132[[#This Row],[ÉTAT]]&amp;Table132[[#This Row],[next move]]</f>
        <v>EMVVEMVVV02</v>
      </c>
    </row>
    <row r="5836" spans="2:9" x14ac:dyDescent="0.25">
      <c r="B5836" t="s">
        <v>686</v>
      </c>
      <c r="C5836" s="22" t="s">
        <v>30</v>
      </c>
      <c r="D5836">
        <v>3</v>
      </c>
      <c r="E5836">
        <v>1</v>
      </c>
      <c r="G5836" s="30">
        <f>Table132[[#This Row],[nb win]]/Table132[[#This Row],[nb play]]</f>
        <v>0.33333333333333331</v>
      </c>
      <c r="H5836" t="str">
        <f>MID(Table132[[#This Row],[ÉTAT]],VALUE(RIGHT(Table132[[#This Row],[next move]],1))+1+VALUE(LEFT(Table132[[#This Row],[next move]],1))*3,1)</f>
        <v>V</v>
      </c>
      <c r="I5836" t="str">
        <f>Table132[[#This Row],[ÉTAT]]&amp;Table132[[#This Row],[next move]]</f>
        <v>EMVVEMVVV10</v>
      </c>
    </row>
    <row r="5837" spans="2:9" x14ac:dyDescent="0.25">
      <c r="B5837" t="s">
        <v>1791</v>
      </c>
      <c r="C5837" s="22" t="s">
        <v>31</v>
      </c>
      <c r="D5837">
        <v>1</v>
      </c>
      <c r="E5837">
        <v>1</v>
      </c>
      <c r="G5837" s="25">
        <f>Table132[[#This Row],[nb win]]/Table132[[#This Row],[nb play]]</f>
        <v>1</v>
      </c>
      <c r="H5837" t="str">
        <f>MID(Table132[[#This Row],[ÉTAT]],VALUE(RIGHT(Table132[[#This Row],[next move]],1))+1+VALUE(LEFT(Table132[[#This Row],[next move]],1))*3,1)</f>
        <v>V</v>
      </c>
      <c r="I5837" t="str">
        <f>Table132[[#This Row],[ÉTAT]]&amp;Table132[[#This Row],[next move]]</f>
        <v>EMVVEMMEV22</v>
      </c>
    </row>
    <row r="5838" spans="2:9" x14ac:dyDescent="0.25">
      <c r="B5838" t="s">
        <v>930</v>
      </c>
      <c r="C5838" s="22" t="s">
        <v>20</v>
      </c>
      <c r="D5838">
        <v>2</v>
      </c>
      <c r="E5838">
        <v>2</v>
      </c>
      <c r="G5838" s="25">
        <f>Table132[[#This Row],[nb win]]/Table132[[#This Row],[nb play]]</f>
        <v>1</v>
      </c>
      <c r="H5838" t="str">
        <f>MID(Table132[[#This Row],[ÉTAT]],VALUE(RIGHT(Table132[[#This Row],[next move]],1))+1+VALUE(LEFT(Table132[[#This Row],[next move]],1))*3,1)</f>
        <v>V</v>
      </c>
      <c r="I5838" t="str">
        <f>Table132[[#This Row],[ÉTAT]]&amp;Table132[[#This Row],[next move]]</f>
        <v>EMVVEMEVM02</v>
      </c>
    </row>
    <row r="5839" spans="2:9" x14ac:dyDescent="0.25">
      <c r="B5839" t="s">
        <v>930</v>
      </c>
      <c r="C5839" s="22" t="s">
        <v>30</v>
      </c>
      <c r="D5839">
        <v>1</v>
      </c>
      <c r="G5839" s="25">
        <f>Table132[[#This Row],[nb win]]/Table132[[#This Row],[nb play]]</f>
        <v>0</v>
      </c>
      <c r="H5839" t="str">
        <f>MID(Table132[[#This Row],[ÉTAT]],VALUE(RIGHT(Table132[[#This Row],[next move]],1))+1+VALUE(LEFT(Table132[[#This Row],[next move]],1))*3,1)</f>
        <v>V</v>
      </c>
      <c r="I5839" t="str">
        <f>Table132[[#This Row],[ÉTAT]]&amp;Table132[[#This Row],[next move]]</f>
        <v>EMVVEMEVM10</v>
      </c>
    </row>
    <row r="5840" spans="2:9" x14ac:dyDescent="0.25">
      <c r="B5840" t="s">
        <v>930</v>
      </c>
      <c r="C5840" s="22" t="s">
        <v>22</v>
      </c>
      <c r="D5840">
        <v>2</v>
      </c>
      <c r="G5840" s="30">
        <f>Table132[[#This Row],[nb win]]/Table132[[#This Row],[nb play]]</f>
        <v>0</v>
      </c>
      <c r="H5840" t="str">
        <f>MID(Table132[[#This Row],[ÉTAT]],VALUE(RIGHT(Table132[[#This Row],[next move]],1))+1+VALUE(LEFT(Table132[[#This Row],[next move]],1))*3,1)</f>
        <v>V</v>
      </c>
      <c r="I5840" t="str">
        <f>Table132[[#This Row],[ÉTAT]]&amp;Table132[[#This Row],[next move]]</f>
        <v>EMVVEMEVM21</v>
      </c>
    </row>
    <row r="5841" spans="2:9" x14ac:dyDescent="0.25">
      <c r="B5841" t="s">
        <v>2755</v>
      </c>
      <c r="C5841" s="22" t="s">
        <v>20</v>
      </c>
      <c r="D5841">
        <v>1</v>
      </c>
      <c r="E5841">
        <v>1</v>
      </c>
      <c r="G5841" s="25">
        <f>Table132[[#This Row],[nb win]]/Table132[[#This Row],[nb play]]</f>
        <v>1</v>
      </c>
      <c r="H5841" t="str">
        <f>MID(Table132[[#This Row],[ÉTAT]],VALUE(RIGHT(Table132[[#This Row],[next move]],1))+1+VALUE(LEFT(Table132[[#This Row],[next move]],1))*3,1)</f>
        <v>V</v>
      </c>
      <c r="I5841" t="str">
        <f>Table132[[#This Row],[ÉTAT]]&amp;Table132[[#This Row],[next move]]</f>
        <v>EMVVEMEEM02</v>
      </c>
    </row>
    <row r="5842" spans="2:9" x14ac:dyDescent="0.25">
      <c r="B5842" t="s">
        <v>1913</v>
      </c>
      <c r="C5842" s="22" t="s">
        <v>20</v>
      </c>
      <c r="D5842">
        <v>1</v>
      </c>
      <c r="G5842" s="25">
        <f>Table132[[#This Row],[nb win]]/Table132[[#This Row],[nb play]]</f>
        <v>0</v>
      </c>
      <c r="H5842" t="str">
        <f>MID(Table132[[#This Row],[ÉTAT]],VALUE(RIGHT(Table132[[#This Row],[next move]],1))+1+VALUE(LEFT(Table132[[#This Row],[next move]],1))*3,1)</f>
        <v>V</v>
      </c>
      <c r="I5842" t="str">
        <f>Table132[[#This Row],[ÉTAT]]&amp;Table132[[#This Row],[next move]]</f>
        <v>EMVVEEVMM02</v>
      </c>
    </row>
    <row r="5843" spans="2:9" x14ac:dyDescent="0.25">
      <c r="B5843" t="s">
        <v>1913</v>
      </c>
      <c r="C5843" s="22" t="s">
        <v>35</v>
      </c>
      <c r="D5843">
        <v>1</v>
      </c>
      <c r="E5843">
        <v>1</v>
      </c>
      <c r="G5843" s="25">
        <f>Table132[[#This Row],[nb win]]/Table132[[#This Row],[nb play]]</f>
        <v>1</v>
      </c>
      <c r="H5843" t="str">
        <f>MID(Table132[[#This Row],[ÉTAT]],VALUE(RIGHT(Table132[[#This Row],[next move]],1))+1+VALUE(LEFT(Table132[[#This Row],[next move]],1))*3,1)</f>
        <v>V</v>
      </c>
      <c r="I5843" t="str">
        <f>Table132[[#This Row],[ÉTAT]]&amp;Table132[[#This Row],[next move]]</f>
        <v>EMVVEEVMM20</v>
      </c>
    </row>
    <row r="5844" spans="2:9" x14ac:dyDescent="0.25">
      <c r="B5844" t="s">
        <v>3454</v>
      </c>
      <c r="C5844" s="22" t="s">
        <v>20</v>
      </c>
      <c r="D5844">
        <v>1</v>
      </c>
      <c r="G5844" s="30">
        <f>Table132[[#This Row],[nb win]]/Table132[[#This Row],[nb play]]</f>
        <v>0</v>
      </c>
      <c r="H5844" t="str">
        <f>MID(Table132[[#This Row],[ÉTAT]],VALUE(RIGHT(Table132[[#This Row],[next move]],1))+1+VALUE(LEFT(Table132[[#This Row],[next move]],1))*3,1)</f>
        <v>V</v>
      </c>
      <c r="I5844" t="str">
        <f>Table132[[#This Row],[ÉTAT]]&amp;Table132[[#This Row],[next move]]</f>
        <v>EMVVEEMVV02</v>
      </c>
    </row>
    <row r="5845" spans="2:9" x14ac:dyDescent="0.25">
      <c r="B5845" t="s">
        <v>2785</v>
      </c>
      <c r="C5845" s="22" t="s">
        <v>22</v>
      </c>
      <c r="D5845">
        <v>2</v>
      </c>
      <c r="E5845">
        <v>2</v>
      </c>
      <c r="G5845" s="25">
        <f>Table132[[#This Row],[nb win]]/Table132[[#This Row],[nb play]]</f>
        <v>1</v>
      </c>
      <c r="H5845" t="str">
        <f>MID(Table132[[#This Row],[ÉTAT]],VALUE(RIGHT(Table132[[#This Row],[next move]],1))+1+VALUE(LEFT(Table132[[#This Row],[next move]],1))*3,1)</f>
        <v>V</v>
      </c>
      <c r="I5845" t="str">
        <f>Table132[[#This Row],[ÉTAT]]&amp;Table132[[#This Row],[next move]]</f>
        <v>EMVVEEMVM21</v>
      </c>
    </row>
    <row r="5846" spans="2:9" x14ac:dyDescent="0.25">
      <c r="B5846" t="s">
        <v>2830</v>
      </c>
      <c r="C5846" s="22" t="s">
        <v>20</v>
      </c>
      <c r="D5846">
        <v>1</v>
      </c>
      <c r="G5846" s="25">
        <f>Table132[[#This Row],[nb win]]/Table132[[#This Row],[nb play]]</f>
        <v>0</v>
      </c>
      <c r="H5846" t="str">
        <f>MID(Table132[[#This Row],[ÉTAT]],VALUE(RIGHT(Table132[[#This Row],[next move]],1))+1+VALUE(LEFT(Table132[[#This Row],[next move]],1))*3,1)</f>
        <v>V</v>
      </c>
      <c r="I5846" t="str">
        <f>Table132[[#This Row],[ÉTAT]]&amp;Table132[[#This Row],[next move]]</f>
        <v>EMVVEEMMV02</v>
      </c>
    </row>
    <row r="5847" spans="2:9" x14ac:dyDescent="0.25">
      <c r="B5847" t="s">
        <v>2830</v>
      </c>
      <c r="C5847" s="22" t="s">
        <v>31</v>
      </c>
      <c r="D5847">
        <v>1</v>
      </c>
      <c r="E5847">
        <v>1</v>
      </c>
      <c r="G5847" s="25">
        <f>Table132[[#This Row],[nb win]]/Table132[[#This Row],[nb play]]</f>
        <v>1</v>
      </c>
      <c r="H5847" t="str">
        <f>MID(Table132[[#This Row],[ÉTAT]],VALUE(RIGHT(Table132[[#This Row],[next move]],1))+1+VALUE(LEFT(Table132[[#This Row],[next move]],1))*3,1)</f>
        <v>V</v>
      </c>
      <c r="I5847" t="str">
        <f>Table132[[#This Row],[ÉTAT]]&amp;Table132[[#This Row],[next move]]</f>
        <v>EMVVEEMMV22</v>
      </c>
    </row>
    <row r="5848" spans="2:9" x14ac:dyDescent="0.25">
      <c r="B5848" t="s">
        <v>487</v>
      </c>
      <c r="C5848" s="22" t="s">
        <v>20</v>
      </c>
      <c r="D5848">
        <v>1</v>
      </c>
      <c r="G5848" s="25">
        <f>Table132[[#This Row],[nb win]]/Table132[[#This Row],[nb play]]</f>
        <v>0</v>
      </c>
      <c r="H5848" t="str">
        <f>MID(Table132[[#This Row],[ÉTAT]],VALUE(RIGHT(Table132[[#This Row],[next move]],1))+1+VALUE(LEFT(Table132[[#This Row],[next move]],1))*3,1)</f>
        <v>V</v>
      </c>
      <c r="I5848" t="str">
        <f>Table132[[#This Row],[ÉTAT]]&amp;Table132[[#This Row],[next move]]</f>
        <v>EMVVEEMEM02</v>
      </c>
    </row>
    <row r="5849" spans="2:9" x14ac:dyDescent="0.25">
      <c r="B5849" t="s">
        <v>2777</v>
      </c>
      <c r="C5849" s="22" t="s">
        <v>35</v>
      </c>
      <c r="D5849">
        <v>2</v>
      </c>
      <c r="E5849">
        <v>1</v>
      </c>
      <c r="G5849" s="30">
        <f>Table132[[#This Row],[nb win]]/Table132[[#This Row],[nb play]]</f>
        <v>0.5</v>
      </c>
      <c r="H5849" t="str">
        <f>MID(Table132[[#This Row],[ÉTAT]],VALUE(RIGHT(Table132[[#This Row],[next move]],1))+1+VALUE(LEFT(Table132[[#This Row],[next move]],1))*3,1)</f>
        <v>V</v>
      </c>
      <c r="I5849" t="str">
        <f>Table132[[#This Row],[ÉTAT]]&amp;Table132[[#This Row],[next move]]</f>
        <v>EMVMVVVVE20</v>
      </c>
    </row>
    <row r="5850" spans="2:9" x14ac:dyDescent="0.25">
      <c r="B5850" t="s">
        <v>725</v>
      </c>
      <c r="C5850" s="22" t="s">
        <v>28</v>
      </c>
      <c r="D5850">
        <v>1</v>
      </c>
      <c r="E5850">
        <v>1</v>
      </c>
      <c r="G5850" s="25">
        <f>Table132[[#This Row],[nb win]]/Table132[[#This Row],[nb play]]</f>
        <v>1</v>
      </c>
      <c r="H5850" t="str">
        <f>MID(Table132[[#This Row],[ÉTAT]],VALUE(RIGHT(Table132[[#This Row],[next move]],1))+1+VALUE(LEFT(Table132[[#This Row],[next move]],1))*3,1)</f>
        <v>V</v>
      </c>
      <c r="I5850" t="str">
        <f>Table132[[#This Row],[ÉTAT]]&amp;Table132[[#This Row],[next move]]</f>
        <v>EMVMVVVEV12</v>
      </c>
    </row>
    <row r="5851" spans="2:9" x14ac:dyDescent="0.25">
      <c r="B5851" t="s">
        <v>3445</v>
      </c>
      <c r="C5851" s="22" t="s">
        <v>20</v>
      </c>
      <c r="D5851">
        <v>1</v>
      </c>
      <c r="G5851" s="30">
        <f>Table132[[#This Row],[nb win]]/Table132[[#This Row],[nb play]]</f>
        <v>0</v>
      </c>
      <c r="H5851" t="str">
        <f>MID(Table132[[#This Row],[ÉTAT]],VALUE(RIGHT(Table132[[#This Row],[next move]],1))+1+VALUE(LEFT(Table132[[#This Row],[next move]],1))*3,1)</f>
        <v>V</v>
      </c>
      <c r="I5851" t="str">
        <f>Table132[[#This Row],[ÉTAT]]&amp;Table132[[#This Row],[next move]]</f>
        <v>EMVMVVVEE02</v>
      </c>
    </row>
    <row r="5852" spans="2:9" x14ac:dyDescent="0.25">
      <c r="B5852" t="s">
        <v>3445</v>
      </c>
      <c r="C5852" s="22" t="s">
        <v>28</v>
      </c>
      <c r="D5852">
        <v>1</v>
      </c>
      <c r="G5852" s="30">
        <f>Table132[[#This Row],[nb win]]/Table132[[#This Row],[nb play]]</f>
        <v>0</v>
      </c>
      <c r="H5852" t="str">
        <f>MID(Table132[[#This Row],[ÉTAT]],VALUE(RIGHT(Table132[[#This Row],[next move]],1))+1+VALUE(LEFT(Table132[[#This Row],[next move]],1))*3,1)</f>
        <v>V</v>
      </c>
      <c r="I5852" t="str">
        <f>Table132[[#This Row],[ÉTAT]]&amp;Table132[[#This Row],[next move]]</f>
        <v>EMVMVVVEE12</v>
      </c>
    </row>
    <row r="5853" spans="2:9" x14ac:dyDescent="0.25">
      <c r="B5853" t="s">
        <v>3445</v>
      </c>
      <c r="C5853" s="22" t="s">
        <v>35</v>
      </c>
      <c r="D5853">
        <v>1</v>
      </c>
      <c r="G5853" s="30">
        <f>Table132[[#This Row],[nb win]]/Table132[[#This Row],[nb play]]</f>
        <v>0</v>
      </c>
      <c r="H5853" t="str">
        <f>MID(Table132[[#This Row],[ÉTAT]],VALUE(RIGHT(Table132[[#This Row],[next move]],1))+1+VALUE(LEFT(Table132[[#This Row],[next move]],1))*3,1)</f>
        <v>V</v>
      </c>
      <c r="I5853" t="str">
        <f>Table132[[#This Row],[ÉTAT]]&amp;Table132[[#This Row],[next move]]</f>
        <v>EMVMVVVEE20</v>
      </c>
    </row>
    <row r="5854" spans="2:9" x14ac:dyDescent="0.25">
      <c r="B5854" t="s">
        <v>2779</v>
      </c>
      <c r="C5854" s="22" t="s">
        <v>29</v>
      </c>
      <c r="D5854">
        <v>1</v>
      </c>
      <c r="E5854">
        <v>1</v>
      </c>
      <c r="G5854" s="25">
        <f>Table132[[#This Row],[nb win]]/Table132[[#This Row],[nb play]]</f>
        <v>1</v>
      </c>
      <c r="H5854" t="str">
        <f>MID(Table132[[#This Row],[ÉTAT]],VALUE(RIGHT(Table132[[#This Row],[next move]],1))+1+VALUE(LEFT(Table132[[#This Row],[next move]],1))*3,1)</f>
        <v>V</v>
      </c>
      <c r="I5854" t="str">
        <f>Table132[[#This Row],[ÉTAT]]&amp;Table132[[#This Row],[next move]]</f>
        <v>EMVMVVMEE11</v>
      </c>
    </row>
    <row r="5855" spans="2:9" x14ac:dyDescent="0.25">
      <c r="B5855" t="s">
        <v>1013</v>
      </c>
      <c r="C5855" s="22" t="s">
        <v>29</v>
      </c>
      <c r="D5855">
        <v>2</v>
      </c>
      <c r="E5855">
        <v>2</v>
      </c>
      <c r="G5855" s="31">
        <f>Table132[[#This Row],[nb win]]/Table132[[#This Row],[nb play]]</f>
        <v>1</v>
      </c>
      <c r="H5855" t="str">
        <f>MID(Table132[[#This Row],[ÉTAT]],VALUE(RIGHT(Table132[[#This Row],[next move]],1))+1+VALUE(LEFT(Table132[[#This Row],[next move]],1))*3,1)</f>
        <v>V</v>
      </c>
      <c r="I5855" t="str">
        <f>Table132[[#This Row],[ÉTAT]]&amp;Table132[[#This Row],[next move]]</f>
        <v>EMVMVVEVV11</v>
      </c>
    </row>
    <row r="5856" spans="2:9" x14ac:dyDescent="0.25">
      <c r="B5856" t="s">
        <v>1951</v>
      </c>
      <c r="C5856" s="22" t="s">
        <v>20</v>
      </c>
      <c r="D5856">
        <v>1</v>
      </c>
      <c r="G5856" s="25">
        <f>Table132[[#This Row],[nb win]]/Table132[[#This Row],[nb play]]</f>
        <v>0</v>
      </c>
      <c r="H5856" t="str">
        <f>MID(Table132[[#This Row],[ÉTAT]],VALUE(RIGHT(Table132[[#This Row],[next move]],1))+1+VALUE(LEFT(Table132[[#This Row],[next move]],1))*3,1)</f>
        <v>V</v>
      </c>
      <c r="I5856" t="str">
        <f>Table132[[#This Row],[ÉTAT]]&amp;Table132[[#This Row],[next move]]</f>
        <v>EMVMVVEVE02</v>
      </c>
    </row>
    <row r="5857" spans="2:9" x14ac:dyDescent="0.25">
      <c r="B5857" t="s">
        <v>1951</v>
      </c>
      <c r="C5857" s="22" t="s">
        <v>29</v>
      </c>
      <c r="D5857">
        <v>1</v>
      </c>
      <c r="E5857">
        <v>1</v>
      </c>
      <c r="G5857" s="25">
        <f>Table132[[#This Row],[nb win]]/Table132[[#This Row],[nb play]]</f>
        <v>1</v>
      </c>
      <c r="H5857" t="str">
        <f>MID(Table132[[#This Row],[ÉTAT]],VALUE(RIGHT(Table132[[#This Row],[next move]],1))+1+VALUE(LEFT(Table132[[#This Row],[next move]],1))*3,1)</f>
        <v>V</v>
      </c>
      <c r="I5857" t="str">
        <f>Table132[[#This Row],[ÉTAT]]&amp;Table132[[#This Row],[next move]]</f>
        <v>EMVMVVEVE11</v>
      </c>
    </row>
    <row r="5858" spans="2:9" x14ac:dyDescent="0.25">
      <c r="B5858" t="s">
        <v>1951</v>
      </c>
      <c r="C5858" s="22" t="s">
        <v>28</v>
      </c>
      <c r="D5858">
        <v>1</v>
      </c>
      <c r="G5858" s="25">
        <f>Table132[[#This Row],[nb win]]/Table132[[#This Row],[nb play]]</f>
        <v>0</v>
      </c>
      <c r="H5858" t="str">
        <f>MID(Table132[[#This Row],[ÉTAT]],VALUE(RIGHT(Table132[[#This Row],[next move]],1))+1+VALUE(LEFT(Table132[[#This Row],[next move]],1))*3,1)</f>
        <v>V</v>
      </c>
      <c r="I5858" t="str">
        <f>Table132[[#This Row],[ÉTAT]]&amp;Table132[[#This Row],[next move]]</f>
        <v>EMVMVVEVE12</v>
      </c>
    </row>
    <row r="5859" spans="2:9" x14ac:dyDescent="0.25">
      <c r="B5859" t="s">
        <v>1959</v>
      </c>
      <c r="C5859" s="22" t="s">
        <v>20</v>
      </c>
      <c r="D5859">
        <v>1</v>
      </c>
      <c r="G5859" s="25">
        <f>Table132[[#This Row],[nb win]]/Table132[[#This Row],[nb play]]</f>
        <v>0</v>
      </c>
      <c r="H5859" t="str">
        <f>MID(Table132[[#This Row],[ÉTAT]],VALUE(RIGHT(Table132[[#This Row],[next move]],1))+1+VALUE(LEFT(Table132[[#This Row],[next move]],1))*3,1)</f>
        <v>V</v>
      </c>
      <c r="I5859" t="str">
        <f>Table132[[#This Row],[ÉTAT]]&amp;Table132[[#This Row],[next move]]</f>
        <v>EMVMVVEME02</v>
      </c>
    </row>
    <row r="5860" spans="2:9" x14ac:dyDescent="0.25">
      <c r="B5860" t="s">
        <v>1959</v>
      </c>
      <c r="C5860" s="22" t="s">
        <v>29</v>
      </c>
      <c r="D5860">
        <v>1</v>
      </c>
      <c r="E5860">
        <v>1</v>
      </c>
      <c r="G5860" s="25">
        <f>Table132[[#This Row],[nb win]]/Table132[[#This Row],[nb play]]</f>
        <v>1</v>
      </c>
      <c r="H5860" t="str">
        <f>MID(Table132[[#This Row],[ÉTAT]],VALUE(RIGHT(Table132[[#This Row],[next move]],1))+1+VALUE(LEFT(Table132[[#This Row],[next move]],1))*3,1)</f>
        <v>V</v>
      </c>
      <c r="I5860" t="str">
        <f>Table132[[#This Row],[ÉTAT]]&amp;Table132[[#This Row],[next move]]</f>
        <v>EMVMVVEME11</v>
      </c>
    </row>
    <row r="5861" spans="2:9" x14ac:dyDescent="0.25">
      <c r="B5861" t="s">
        <v>1959</v>
      </c>
      <c r="C5861" s="22" t="s">
        <v>28</v>
      </c>
      <c r="D5861">
        <v>1</v>
      </c>
      <c r="G5861" s="25">
        <f>Table132[[#This Row],[nb win]]/Table132[[#This Row],[nb play]]</f>
        <v>0</v>
      </c>
      <c r="H5861" t="str">
        <f>MID(Table132[[#This Row],[ÉTAT]],VALUE(RIGHT(Table132[[#This Row],[next move]],1))+1+VALUE(LEFT(Table132[[#This Row],[next move]],1))*3,1)</f>
        <v>V</v>
      </c>
      <c r="I5861" t="str">
        <f>Table132[[#This Row],[ÉTAT]]&amp;Table132[[#This Row],[next move]]</f>
        <v>EMVMVVEME12</v>
      </c>
    </row>
    <row r="5862" spans="2:9" x14ac:dyDescent="0.25">
      <c r="B5862" t="s">
        <v>1006</v>
      </c>
      <c r="C5862" s="22" t="s">
        <v>29</v>
      </c>
      <c r="D5862">
        <v>1</v>
      </c>
      <c r="E5862">
        <v>1</v>
      </c>
      <c r="G5862" s="25">
        <f>Table132[[#This Row],[nb win]]/Table132[[#This Row],[nb play]]</f>
        <v>1</v>
      </c>
      <c r="H5862" t="str">
        <f>MID(Table132[[#This Row],[ÉTAT]],VALUE(RIGHT(Table132[[#This Row],[next move]],1))+1+VALUE(LEFT(Table132[[#This Row],[next move]],1))*3,1)</f>
        <v>V</v>
      </c>
      <c r="I5862" t="str">
        <f>Table132[[#This Row],[ÉTAT]]&amp;Table132[[#This Row],[next move]]</f>
        <v>EMVMVMVEE11</v>
      </c>
    </row>
    <row r="5863" spans="2:9" x14ac:dyDescent="0.25">
      <c r="B5863" t="s">
        <v>131</v>
      </c>
      <c r="C5863" s="22" t="s">
        <v>29</v>
      </c>
      <c r="D5863">
        <v>2</v>
      </c>
      <c r="E5863">
        <v>2</v>
      </c>
      <c r="G5863" s="31">
        <f>Table132[[#This Row],[nb win]]/Table132[[#This Row],[nb play]]</f>
        <v>1</v>
      </c>
      <c r="H5863" t="str">
        <f>MID(Table132[[#This Row],[ÉTAT]],VALUE(RIGHT(Table132[[#This Row],[next move]],1))+1+VALUE(LEFT(Table132[[#This Row],[next move]],1))*3,1)</f>
        <v>V</v>
      </c>
      <c r="I5863" t="str">
        <f>Table132[[#This Row],[ÉTAT]]&amp;Table132[[#This Row],[next move]]</f>
        <v>EMVMVMEEV11</v>
      </c>
    </row>
    <row r="5864" spans="2:9" x14ac:dyDescent="0.25">
      <c r="B5864" t="s">
        <v>3104</v>
      </c>
      <c r="C5864" s="22" t="s">
        <v>29</v>
      </c>
      <c r="D5864">
        <v>1</v>
      </c>
      <c r="G5864" s="30">
        <f>Table132[[#This Row],[nb win]]/Table132[[#This Row],[nb play]]</f>
        <v>0</v>
      </c>
      <c r="H5864" t="str">
        <f>MID(Table132[[#This Row],[ÉTAT]],VALUE(RIGHT(Table132[[#This Row],[next move]],1))+1+VALUE(LEFT(Table132[[#This Row],[next move]],1))*3,1)</f>
        <v>V</v>
      </c>
      <c r="I5864" t="str">
        <f>Table132[[#This Row],[ÉTAT]]&amp;Table132[[#This Row],[next move]]</f>
        <v>EMVMVEMVE11</v>
      </c>
    </row>
    <row r="5865" spans="2:9" x14ac:dyDescent="0.25">
      <c r="B5865" t="s">
        <v>3104</v>
      </c>
      <c r="C5865" s="22" t="s">
        <v>22</v>
      </c>
      <c r="D5865">
        <v>1</v>
      </c>
      <c r="G5865" s="30">
        <f>Table132[[#This Row],[nb win]]/Table132[[#This Row],[nb play]]</f>
        <v>0</v>
      </c>
      <c r="H5865" t="str">
        <f>MID(Table132[[#This Row],[ÉTAT]],VALUE(RIGHT(Table132[[#This Row],[next move]],1))+1+VALUE(LEFT(Table132[[#This Row],[next move]],1))*3,1)</f>
        <v>V</v>
      </c>
      <c r="I5865" t="str">
        <f>Table132[[#This Row],[ÉTAT]]&amp;Table132[[#This Row],[next move]]</f>
        <v>EMVMVEMVE21</v>
      </c>
    </row>
    <row r="5866" spans="2:9" x14ac:dyDescent="0.25">
      <c r="B5866" t="s">
        <v>2204</v>
      </c>
      <c r="C5866" s="22" t="s">
        <v>29</v>
      </c>
      <c r="D5866">
        <v>1</v>
      </c>
      <c r="G5866" s="25">
        <f>Table132[[#This Row],[nb win]]/Table132[[#This Row],[nb play]]</f>
        <v>0</v>
      </c>
      <c r="H5866" t="str">
        <f>MID(Table132[[#This Row],[ÉTAT]],VALUE(RIGHT(Table132[[#This Row],[next move]],1))+1+VALUE(LEFT(Table132[[#This Row],[next move]],1))*3,1)</f>
        <v>V</v>
      </c>
      <c r="I5866" t="str">
        <f>Table132[[#This Row],[ÉTAT]]&amp;Table132[[#This Row],[next move]]</f>
        <v>EMVMVEEVV11</v>
      </c>
    </row>
    <row r="5867" spans="2:9" x14ac:dyDescent="0.25">
      <c r="B5867" t="s">
        <v>2204</v>
      </c>
      <c r="C5867" s="22" t="s">
        <v>22</v>
      </c>
      <c r="D5867">
        <v>1</v>
      </c>
      <c r="E5867">
        <v>1</v>
      </c>
      <c r="G5867" s="25">
        <f>Table132[[#This Row],[nb win]]/Table132[[#This Row],[nb play]]</f>
        <v>1</v>
      </c>
      <c r="H5867" t="str">
        <f>MID(Table132[[#This Row],[ÉTAT]],VALUE(RIGHT(Table132[[#This Row],[next move]],1))+1+VALUE(LEFT(Table132[[#This Row],[next move]],1))*3,1)</f>
        <v>V</v>
      </c>
      <c r="I5867" t="str">
        <f>Table132[[#This Row],[ÉTAT]]&amp;Table132[[#This Row],[next move]]</f>
        <v>EMVMVEEVV21</v>
      </c>
    </row>
    <row r="5868" spans="2:9" x14ac:dyDescent="0.25">
      <c r="B5868" t="s">
        <v>2953</v>
      </c>
      <c r="C5868" s="22" t="s">
        <v>31</v>
      </c>
      <c r="D5868">
        <v>1</v>
      </c>
      <c r="E5868">
        <v>1</v>
      </c>
      <c r="G5868" s="25">
        <f>Table132[[#This Row],[nb win]]/Table132[[#This Row],[nb play]]</f>
        <v>1</v>
      </c>
      <c r="H5868" t="str">
        <f>MID(Table132[[#This Row],[ÉTAT]],VALUE(RIGHT(Table132[[#This Row],[next move]],1))+1+VALUE(LEFT(Table132[[#This Row],[next move]],1))*3,1)</f>
        <v>V</v>
      </c>
      <c r="I5868" t="str">
        <f>Table132[[#This Row],[ÉTAT]]&amp;Table132[[#This Row],[next move]]</f>
        <v>EMVMVEEMV22</v>
      </c>
    </row>
    <row r="5869" spans="2:9" x14ac:dyDescent="0.25">
      <c r="B5869" t="s">
        <v>2794</v>
      </c>
      <c r="C5869" s="22" t="s">
        <v>29</v>
      </c>
      <c r="D5869">
        <v>1</v>
      </c>
      <c r="E5869">
        <v>1</v>
      </c>
      <c r="G5869" s="25">
        <f>Table132[[#This Row],[nb win]]/Table132[[#This Row],[nb play]]</f>
        <v>1</v>
      </c>
      <c r="H5869" t="str">
        <f>MID(Table132[[#This Row],[ÉTAT]],VALUE(RIGHT(Table132[[#This Row],[next move]],1))+1+VALUE(LEFT(Table132[[#This Row],[next move]],1))*3,1)</f>
        <v>V</v>
      </c>
      <c r="I5869" t="str">
        <f>Table132[[#This Row],[ÉTAT]]&amp;Table132[[#This Row],[next move]]</f>
        <v>EMVMVEEME11</v>
      </c>
    </row>
    <row r="5870" spans="2:9" x14ac:dyDescent="0.25">
      <c r="B5870" t="s">
        <v>2642</v>
      </c>
      <c r="C5870" s="22" t="s">
        <v>20</v>
      </c>
      <c r="D5870">
        <v>1</v>
      </c>
      <c r="G5870" s="25">
        <f>Table132[[#This Row],[nb win]]/Table132[[#This Row],[nb play]]</f>
        <v>0</v>
      </c>
      <c r="H5870" t="str">
        <f>MID(Table132[[#This Row],[ÉTAT]],VALUE(RIGHT(Table132[[#This Row],[next move]],1))+1+VALUE(LEFT(Table132[[#This Row],[next move]],1))*3,1)</f>
        <v>V</v>
      </c>
      <c r="I5870" t="str">
        <f>Table132[[#This Row],[ÉTAT]]&amp;Table132[[#This Row],[next move]]</f>
        <v>EMVMMVVEE02</v>
      </c>
    </row>
    <row r="5871" spans="2:9" x14ac:dyDescent="0.25">
      <c r="B5871" t="s">
        <v>2554</v>
      </c>
      <c r="C5871" s="22" t="s">
        <v>22</v>
      </c>
      <c r="D5871">
        <v>3</v>
      </c>
      <c r="E5871">
        <v>3</v>
      </c>
      <c r="G5871" s="31">
        <f>Table132[[#This Row],[nb win]]/Table132[[#This Row],[nb play]]</f>
        <v>1</v>
      </c>
      <c r="H5871" t="str">
        <f>MID(Table132[[#This Row],[ÉTAT]],VALUE(RIGHT(Table132[[#This Row],[next move]],1))+1+VALUE(LEFT(Table132[[#This Row],[next move]],1))*3,1)</f>
        <v>V</v>
      </c>
      <c r="I5871" t="str">
        <f>Table132[[#This Row],[ÉTAT]]&amp;Table132[[#This Row],[next move]]</f>
        <v>EMVMMVEVE21</v>
      </c>
    </row>
    <row r="5872" spans="2:9" x14ac:dyDescent="0.25">
      <c r="B5872" t="s">
        <v>1262</v>
      </c>
      <c r="C5872" s="22" t="s">
        <v>28</v>
      </c>
      <c r="D5872">
        <v>5</v>
      </c>
      <c r="E5872">
        <v>5</v>
      </c>
      <c r="G5872" s="31">
        <f>Table132[[#This Row],[nb win]]/Table132[[#This Row],[nb play]]</f>
        <v>1</v>
      </c>
      <c r="H5872" t="str">
        <f>MID(Table132[[#This Row],[ÉTAT]],VALUE(RIGHT(Table132[[#This Row],[next move]],1))+1+VALUE(LEFT(Table132[[#This Row],[next move]],1))*3,1)</f>
        <v>V</v>
      </c>
      <c r="I5872" t="str">
        <f>Table132[[#This Row],[ÉTAT]]&amp;Table132[[#This Row],[next move]]</f>
        <v>EMVMMVEEV12</v>
      </c>
    </row>
    <row r="5873" spans="2:9" x14ac:dyDescent="0.25">
      <c r="B5873" t="s">
        <v>2649</v>
      </c>
      <c r="C5873" s="22" t="s">
        <v>35</v>
      </c>
      <c r="D5873">
        <v>1</v>
      </c>
      <c r="G5873" s="25">
        <f>Table132[[#This Row],[nb win]]/Table132[[#This Row],[nb play]]</f>
        <v>0</v>
      </c>
      <c r="H5873" t="str">
        <f>MID(Table132[[#This Row],[ÉTAT]],VALUE(RIGHT(Table132[[#This Row],[next move]],1))+1+VALUE(LEFT(Table132[[#This Row],[next move]],1))*3,1)</f>
        <v>V</v>
      </c>
      <c r="I5873" t="str">
        <f>Table132[[#This Row],[ÉTAT]]&amp;Table132[[#This Row],[next move]]</f>
        <v>EMVMMEVVE20</v>
      </c>
    </row>
    <row r="5874" spans="2:9" x14ac:dyDescent="0.25">
      <c r="B5874" t="s">
        <v>2381</v>
      </c>
      <c r="C5874" s="22" t="s">
        <v>20</v>
      </c>
      <c r="D5874">
        <v>1</v>
      </c>
      <c r="G5874" s="30">
        <f>Table132[[#This Row],[nb win]]/Table132[[#This Row],[nb play]]</f>
        <v>0</v>
      </c>
      <c r="H5874" t="str">
        <f>MID(Table132[[#This Row],[ÉTAT]],VALUE(RIGHT(Table132[[#This Row],[next move]],1))+1+VALUE(LEFT(Table132[[#This Row],[next move]],1))*3,1)</f>
        <v>V</v>
      </c>
      <c r="I5874" t="str">
        <f>Table132[[#This Row],[ÉTAT]]&amp;Table132[[#This Row],[next move]]</f>
        <v>EMVMMEVEE02</v>
      </c>
    </row>
    <row r="5875" spans="2:9" x14ac:dyDescent="0.25">
      <c r="B5875" t="s">
        <v>2381</v>
      </c>
      <c r="C5875" s="22" t="s">
        <v>35</v>
      </c>
      <c r="D5875">
        <v>4</v>
      </c>
      <c r="G5875" s="30">
        <f>Table132[[#This Row],[nb win]]/Table132[[#This Row],[nb play]]</f>
        <v>0</v>
      </c>
      <c r="H5875" t="str">
        <f>MID(Table132[[#This Row],[ÉTAT]],VALUE(RIGHT(Table132[[#This Row],[next move]],1))+1+VALUE(LEFT(Table132[[#This Row],[next move]],1))*3,1)</f>
        <v>V</v>
      </c>
      <c r="I5875" t="str">
        <f>Table132[[#This Row],[ÉTAT]]&amp;Table132[[#This Row],[next move]]</f>
        <v>EMVMMEVEE20</v>
      </c>
    </row>
    <row r="5876" spans="2:9" x14ac:dyDescent="0.25">
      <c r="B5876" t="s">
        <v>163</v>
      </c>
      <c r="C5876" s="22" t="s">
        <v>20</v>
      </c>
      <c r="D5876">
        <v>4</v>
      </c>
      <c r="E5876">
        <v>4</v>
      </c>
      <c r="G5876" s="25">
        <f>Table132[[#This Row],[nb win]]/Table132[[#This Row],[nb play]]</f>
        <v>1</v>
      </c>
      <c r="H5876" t="str">
        <f>MID(Table132[[#This Row],[ÉTAT]],VALUE(RIGHT(Table132[[#This Row],[next move]],1))+1+VALUE(LEFT(Table132[[#This Row],[next move]],1))*3,1)</f>
        <v>V</v>
      </c>
      <c r="I5876" t="str">
        <f>Table132[[#This Row],[ÉTAT]]&amp;Table132[[#This Row],[next move]]</f>
        <v>EMVMMEMEE02</v>
      </c>
    </row>
    <row r="5877" spans="2:9" x14ac:dyDescent="0.25">
      <c r="B5877" t="s">
        <v>1015</v>
      </c>
      <c r="C5877" s="22" t="s">
        <v>22</v>
      </c>
      <c r="D5877">
        <v>3</v>
      </c>
      <c r="E5877">
        <v>3</v>
      </c>
      <c r="G5877" s="31">
        <f>Table132[[#This Row],[nb win]]/Table132[[#This Row],[nb play]]</f>
        <v>1</v>
      </c>
      <c r="H5877" t="str">
        <f>MID(Table132[[#This Row],[ÉTAT]],VALUE(RIGHT(Table132[[#This Row],[next move]],1))+1+VALUE(LEFT(Table132[[#This Row],[next move]],1))*3,1)</f>
        <v>V</v>
      </c>
      <c r="I5877" t="str">
        <f>Table132[[#This Row],[ÉTAT]]&amp;Table132[[#This Row],[next move]]</f>
        <v>EMVMMEEVV21</v>
      </c>
    </row>
    <row r="5878" spans="2:9" x14ac:dyDescent="0.25">
      <c r="B5878" t="s">
        <v>2206</v>
      </c>
      <c r="C5878" s="22" t="s">
        <v>20</v>
      </c>
      <c r="D5878">
        <v>1</v>
      </c>
      <c r="G5878" s="25">
        <f>Table132[[#This Row],[nb win]]/Table132[[#This Row],[nb play]]</f>
        <v>0</v>
      </c>
      <c r="H5878" t="str">
        <f>MID(Table132[[#This Row],[ÉTAT]],VALUE(RIGHT(Table132[[#This Row],[next move]],1))+1+VALUE(LEFT(Table132[[#This Row],[next move]],1))*3,1)</f>
        <v>V</v>
      </c>
      <c r="I5878" t="str">
        <f>Table132[[#This Row],[ÉTAT]]&amp;Table132[[#This Row],[next move]]</f>
        <v>EMVMMEEEV02</v>
      </c>
    </row>
    <row r="5879" spans="2:9" x14ac:dyDescent="0.25">
      <c r="B5879" t="s">
        <v>1779</v>
      </c>
      <c r="C5879" s="22" t="s">
        <v>20</v>
      </c>
      <c r="D5879">
        <v>1</v>
      </c>
      <c r="G5879" s="25">
        <f>Table132[[#This Row],[nb win]]/Table132[[#This Row],[nb play]]</f>
        <v>0</v>
      </c>
      <c r="H5879" t="str">
        <f>MID(Table132[[#This Row],[ÉTAT]],VALUE(RIGHT(Table132[[#This Row],[next move]],1))+1+VALUE(LEFT(Table132[[#This Row],[next move]],1))*3,1)</f>
        <v>V</v>
      </c>
      <c r="I5879" t="str">
        <f>Table132[[#This Row],[ÉTAT]]&amp;Table132[[#This Row],[next move]]</f>
        <v>EMVMEVVVV02</v>
      </c>
    </row>
    <row r="5880" spans="2:9" x14ac:dyDescent="0.25">
      <c r="B5880" t="s">
        <v>1779</v>
      </c>
      <c r="C5880" s="22" t="s">
        <v>35</v>
      </c>
      <c r="D5880">
        <v>1</v>
      </c>
      <c r="G5880" s="25">
        <f>Table132[[#This Row],[nb win]]/Table132[[#This Row],[nb play]]</f>
        <v>0</v>
      </c>
      <c r="H5880" t="str">
        <f>MID(Table132[[#This Row],[ÉTAT]],VALUE(RIGHT(Table132[[#This Row],[next move]],1))+1+VALUE(LEFT(Table132[[#This Row],[next move]],1))*3,1)</f>
        <v>V</v>
      </c>
      <c r="I5880" t="str">
        <f>Table132[[#This Row],[ÉTAT]]&amp;Table132[[#This Row],[next move]]</f>
        <v>EMVMEVVVV20</v>
      </c>
    </row>
    <row r="5881" spans="2:9" x14ac:dyDescent="0.25">
      <c r="B5881" t="s">
        <v>1779</v>
      </c>
      <c r="C5881" s="22" t="s">
        <v>22</v>
      </c>
      <c r="D5881">
        <v>1</v>
      </c>
      <c r="G5881" s="30">
        <f>Table132[[#This Row],[nb win]]/Table132[[#This Row],[nb play]]</f>
        <v>0</v>
      </c>
      <c r="H5881" t="str">
        <f>MID(Table132[[#This Row],[ÉTAT]],VALUE(RIGHT(Table132[[#This Row],[next move]],1))+1+VALUE(LEFT(Table132[[#This Row],[next move]],1))*3,1)</f>
        <v>V</v>
      </c>
      <c r="I5881" t="str">
        <f>Table132[[#This Row],[ÉTAT]]&amp;Table132[[#This Row],[next move]]</f>
        <v>EMVMEVVVV21</v>
      </c>
    </row>
    <row r="5882" spans="2:9" x14ac:dyDescent="0.25">
      <c r="B5882" t="s">
        <v>1779</v>
      </c>
      <c r="C5882" s="22" t="s">
        <v>31</v>
      </c>
      <c r="D5882">
        <v>2</v>
      </c>
      <c r="E5882">
        <v>1</v>
      </c>
      <c r="G5882" s="30">
        <f>Table132[[#This Row],[nb win]]/Table132[[#This Row],[nb play]]</f>
        <v>0.5</v>
      </c>
      <c r="H5882" t="str">
        <f>MID(Table132[[#This Row],[ÉTAT]],VALUE(RIGHT(Table132[[#This Row],[next move]],1))+1+VALUE(LEFT(Table132[[#This Row],[next move]],1))*3,1)</f>
        <v>V</v>
      </c>
      <c r="I5882" t="str">
        <f>Table132[[#This Row],[ÉTAT]]&amp;Table132[[#This Row],[next move]]</f>
        <v>EMVMEVVVV22</v>
      </c>
    </row>
    <row r="5883" spans="2:9" x14ac:dyDescent="0.25">
      <c r="B5883" t="s">
        <v>1679</v>
      </c>
      <c r="C5883" s="22" t="s">
        <v>20</v>
      </c>
      <c r="D5883">
        <v>1</v>
      </c>
      <c r="G5883" s="25">
        <f>Table132[[#This Row],[nb win]]/Table132[[#This Row],[nb play]]</f>
        <v>0</v>
      </c>
      <c r="H5883" t="str">
        <f>MID(Table132[[#This Row],[ÉTAT]],VALUE(RIGHT(Table132[[#This Row],[next move]],1))+1+VALUE(LEFT(Table132[[#This Row],[next move]],1))*3,1)</f>
        <v>V</v>
      </c>
      <c r="I5883" t="str">
        <f>Table132[[#This Row],[ÉTAT]]&amp;Table132[[#This Row],[next move]]</f>
        <v>EMVMEVEMV02</v>
      </c>
    </row>
    <row r="5884" spans="2:9" x14ac:dyDescent="0.25">
      <c r="B5884" t="s">
        <v>1679</v>
      </c>
      <c r="C5884" s="22" t="s">
        <v>28</v>
      </c>
      <c r="D5884">
        <v>1</v>
      </c>
      <c r="G5884" s="30">
        <f>Table132[[#This Row],[nb win]]/Table132[[#This Row],[nb play]]</f>
        <v>0</v>
      </c>
      <c r="H5884" t="str">
        <f>MID(Table132[[#This Row],[ÉTAT]],VALUE(RIGHT(Table132[[#This Row],[next move]],1))+1+VALUE(LEFT(Table132[[#This Row],[next move]],1))*3,1)</f>
        <v>V</v>
      </c>
      <c r="I5884" t="str">
        <f>Table132[[#This Row],[ÉTAT]]&amp;Table132[[#This Row],[next move]]</f>
        <v>EMVMEVEMV12</v>
      </c>
    </row>
    <row r="5885" spans="2:9" x14ac:dyDescent="0.25">
      <c r="B5885" t="s">
        <v>61</v>
      </c>
      <c r="C5885" s="22" t="s">
        <v>31</v>
      </c>
      <c r="D5885">
        <v>1</v>
      </c>
      <c r="E5885">
        <v>1</v>
      </c>
      <c r="G5885" s="25">
        <f>Table132[[#This Row],[nb win]]/Table132[[#This Row],[nb play]]</f>
        <v>1</v>
      </c>
      <c r="H5885" t="str">
        <f>MID(Table132[[#This Row],[ÉTAT]],VALUE(RIGHT(Table132[[#This Row],[next move]],1))+1+VALUE(LEFT(Table132[[#This Row],[next move]],1))*3,1)</f>
        <v>V</v>
      </c>
      <c r="I5885" t="str">
        <f>Table132[[#This Row],[ÉTAT]]&amp;Table132[[#This Row],[next move]]</f>
        <v>EMVMEMVEV22</v>
      </c>
    </row>
    <row r="5886" spans="2:9" x14ac:dyDescent="0.25">
      <c r="B5886" t="s">
        <v>1631</v>
      </c>
      <c r="C5886" s="22" t="s">
        <v>20</v>
      </c>
      <c r="D5886">
        <v>1</v>
      </c>
      <c r="G5886" s="25">
        <f>Table132[[#This Row],[nb win]]/Table132[[#This Row],[nb play]]</f>
        <v>0</v>
      </c>
      <c r="H5886" t="str">
        <f>MID(Table132[[#This Row],[ÉTAT]],VALUE(RIGHT(Table132[[#This Row],[next move]],1))+1+VALUE(LEFT(Table132[[#This Row],[next move]],1))*3,1)</f>
        <v>V</v>
      </c>
      <c r="I5886" t="str">
        <f>Table132[[#This Row],[ÉTAT]]&amp;Table132[[#This Row],[next move]]</f>
        <v>EMVMEMEVV02</v>
      </c>
    </row>
    <row r="5887" spans="2:9" x14ac:dyDescent="0.25">
      <c r="B5887" t="s">
        <v>1631</v>
      </c>
      <c r="C5887" s="22" t="s">
        <v>22</v>
      </c>
      <c r="D5887">
        <v>1</v>
      </c>
      <c r="G5887" s="30">
        <f>Table132[[#This Row],[nb win]]/Table132[[#This Row],[nb play]]</f>
        <v>0</v>
      </c>
      <c r="H5887" t="str">
        <f>MID(Table132[[#This Row],[ÉTAT]],VALUE(RIGHT(Table132[[#This Row],[next move]],1))+1+VALUE(LEFT(Table132[[#This Row],[next move]],1))*3,1)</f>
        <v>V</v>
      </c>
      <c r="I5887" t="str">
        <f>Table132[[#This Row],[ÉTAT]]&amp;Table132[[#This Row],[next move]]</f>
        <v>EMVMEMEVV21</v>
      </c>
    </row>
    <row r="5888" spans="2:9" x14ac:dyDescent="0.25">
      <c r="B5888" t="s">
        <v>1631</v>
      </c>
      <c r="C5888" s="22" t="s">
        <v>31</v>
      </c>
      <c r="D5888">
        <v>1</v>
      </c>
      <c r="G5888" s="25">
        <f>Table132[[#This Row],[nb win]]/Table132[[#This Row],[nb play]]</f>
        <v>0</v>
      </c>
      <c r="H5888" t="str">
        <f>MID(Table132[[#This Row],[ÉTAT]],VALUE(RIGHT(Table132[[#This Row],[next move]],1))+1+VALUE(LEFT(Table132[[#This Row],[next move]],1))*3,1)</f>
        <v>V</v>
      </c>
      <c r="I5888" t="str">
        <f>Table132[[#This Row],[ÉTAT]]&amp;Table132[[#This Row],[next move]]</f>
        <v>EMVMEMEVV22</v>
      </c>
    </row>
    <row r="5889" spans="2:9" x14ac:dyDescent="0.25">
      <c r="B5889" t="s">
        <v>2673</v>
      </c>
      <c r="C5889" s="22" t="s">
        <v>31</v>
      </c>
      <c r="D5889">
        <v>1</v>
      </c>
      <c r="G5889" s="25">
        <f>Table132[[#This Row],[nb win]]/Table132[[#This Row],[nb play]]</f>
        <v>0</v>
      </c>
      <c r="H5889" t="str">
        <f>MID(Table132[[#This Row],[ÉTAT]],VALUE(RIGHT(Table132[[#This Row],[next move]],1))+1+VALUE(LEFT(Table132[[#This Row],[next move]],1))*3,1)</f>
        <v>V</v>
      </c>
      <c r="I5889" t="str">
        <f>Table132[[#This Row],[ÉTAT]]&amp;Table132[[#This Row],[next move]]</f>
        <v>EMVMEMEEV22</v>
      </c>
    </row>
    <row r="5890" spans="2:9" x14ac:dyDescent="0.25">
      <c r="B5890" t="s">
        <v>63</v>
      </c>
      <c r="C5890" s="22" t="s">
        <v>20</v>
      </c>
      <c r="D5890">
        <v>2</v>
      </c>
      <c r="E5890">
        <v>2</v>
      </c>
      <c r="G5890" s="25">
        <f>Table132[[#This Row],[nb win]]/Table132[[#This Row],[nb play]]</f>
        <v>1</v>
      </c>
      <c r="H5890" t="str">
        <f>MID(Table132[[#This Row],[ÉTAT]],VALUE(RIGHT(Table132[[#This Row],[next move]],1))+1+VALUE(LEFT(Table132[[#This Row],[next move]],1))*3,1)</f>
        <v>V</v>
      </c>
      <c r="I5890" t="str">
        <f>Table132[[#This Row],[ÉTAT]]&amp;Table132[[#This Row],[next move]]</f>
        <v>EMVMEMEEM02</v>
      </c>
    </row>
    <row r="5891" spans="2:9" x14ac:dyDescent="0.25">
      <c r="B5891" t="s">
        <v>2853</v>
      </c>
      <c r="C5891" s="22" t="s">
        <v>35</v>
      </c>
      <c r="D5891">
        <v>1</v>
      </c>
      <c r="E5891">
        <v>1</v>
      </c>
      <c r="G5891" s="31">
        <f>Table132[[#This Row],[nb win]]/Table132[[#This Row],[nb play]]</f>
        <v>1</v>
      </c>
      <c r="H5891" t="str">
        <f>MID(Table132[[#This Row],[ÉTAT]],VALUE(RIGHT(Table132[[#This Row],[next move]],1))+1+VALUE(LEFT(Table132[[#This Row],[next move]],1))*3,1)</f>
        <v>V</v>
      </c>
      <c r="I5891" t="str">
        <f>Table132[[#This Row],[ÉTAT]]&amp;Table132[[#This Row],[next move]]</f>
        <v>EMVMEEVVM20</v>
      </c>
    </row>
    <row r="5892" spans="2:9" x14ac:dyDescent="0.25">
      <c r="B5892" t="s">
        <v>3370</v>
      </c>
      <c r="C5892" s="22" t="s">
        <v>35</v>
      </c>
      <c r="D5892">
        <v>1</v>
      </c>
      <c r="G5892" s="30">
        <f>Table132[[#This Row],[nb win]]/Table132[[#This Row],[nb play]]</f>
        <v>0</v>
      </c>
      <c r="H5892" t="str">
        <f>MID(Table132[[#This Row],[ÉTAT]],VALUE(RIGHT(Table132[[#This Row],[next move]],1))+1+VALUE(LEFT(Table132[[#This Row],[next move]],1))*3,1)</f>
        <v>V</v>
      </c>
      <c r="I5892" t="str">
        <f>Table132[[#This Row],[ÉTAT]]&amp;Table132[[#This Row],[next move]]</f>
        <v>EMVMEEVMV20</v>
      </c>
    </row>
    <row r="5893" spans="2:9" x14ac:dyDescent="0.25">
      <c r="B5893" t="s">
        <v>3353</v>
      </c>
      <c r="C5893" s="22" t="s">
        <v>20</v>
      </c>
      <c r="D5893">
        <v>1</v>
      </c>
      <c r="G5893" s="30">
        <f>Table132[[#This Row],[nb win]]/Table132[[#This Row],[nb play]]</f>
        <v>0</v>
      </c>
      <c r="H5893" t="str">
        <f>MID(Table132[[#This Row],[ÉTAT]],VALUE(RIGHT(Table132[[#This Row],[next move]],1))+1+VALUE(LEFT(Table132[[#This Row],[next move]],1))*3,1)</f>
        <v>V</v>
      </c>
      <c r="I5893" t="str">
        <f>Table132[[#This Row],[ÉTAT]]&amp;Table132[[#This Row],[next move]]</f>
        <v>EMVMEEMVV02</v>
      </c>
    </row>
    <row r="5894" spans="2:9" x14ac:dyDescent="0.25">
      <c r="B5894" t="s">
        <v>2611</v>
      </c>
      <c r="C5894" s="22" t="s">
        <v>20</v>
      </c>
      <c r="D5894">
        <v>1</v>
      </c>
      <c r="G5894" s="30">
        <f>Table132[[#This Row],[nb win]]/Table132[[#This Row],[nb play]]</f>
        <v>0</v>
      </c>
      <c r="H5894" t="str">
        <f>MID(Table132[[#This Row],[ÉTAT]],VALUE(RIGHT(Table132[[#This Row],[next move]],1))+1+VALUE(LEFT(Table132[[#This Row],[next move]],1))*3,1)</f>
        <v>V</v>
      </c>
      <c r="I5894" t="str">
        <f>Table132[[#This Row],[ÉTAT]]&amp;Table132[[#This Row],[next move]]</f>
        <v>EMVMEEMEV02</v>
      </c>
    </row>
    <row r="5895" spans="2:9" x14ac:dyDescent="0.25">
      <c r="B5895" t="s">
        <v>1795</v>
      </c>
      <c r="C5895" s="22" t="s">
        <v>20</v>
      </c>
      <c r="D5895">
        <v>1</v>
      </c>
      <c r="G5895" s="25">
        <f>Table132[[#This Row],[nb win]]/Table132[[#This Row],[nb play]]</f>
        <v>0</v>
      </c>
      <c r="H5895" t="str">
        <f>MID(Table132[[#This Row],[ÉTAT]],VALUE(RIGHT(Table132[[#This Row],[next move]],1))+1+VALUE(LEFT(Table132[[#This Row],[next move]],1))*3,1)</f>
        <v>V</v>
      </c>
      <c r="I5895" t="str">
        <f>Table132[[#This Row],[ÉTAT]]&amp;Table132[[#This Row],[next move]]</f>
        <v>EMVMEEEMV02</v>
      </c>
    </row>
    <row r="5896" spans="2:9" x14ac:dyDescent="0.25">
      <c r="B5896" t="s">
        <v>1795</v>
      </c>
      <c r="C5896" s="22" t="s">
        <v>31</v>
      </c>
      <c r="D5896">
        <v>3</v>
      </c>
      <c r="G5896" s="30">
        <f>Table132[[#This Row],[nb win]]/Table132[[#This Row],[nb play]]</f>
        <v>0</v>
      </c>
      <c r="H5896" t="str">
        <f>MID(Table132[[#This Row],[ÉTAT]],VALUE(RIGHT(Table132[[#This Row],[next move]],1))+1+VALUE(LEFT(Table132[[#This Row],[next move]],1))*3,1)</f>
        <v>V</v>
      </c>
      <c r="I5896" t="str">
        <f>Table132[[#This Row],[ÉTAT]]&amp;Table132[[#This Row],[next move]]</f>
        <v>EMVMEEEMV22</v>
      </c>
    </row>
    <row r="5897" spans="2:9" x14ac:dyDescent="0.25">
      <c r="B5897" t="s">
        <v>587</v>
      </c>
      <c r="C5897" s="22" t="s">
        <v>20</v>
      </c>
      <c r="D5897">
        <v>3</v>
      </c>
      <c r="E5897">
        <v>1</v>
      </c>
      <c r="G5897" s="25">
        <f>Table132[[#This Row],[nb win]]/Table132[[#This Row],[nb play]]</f>
        <v>0.33333333333333331</v>
      </c>
      <c r="H5897" t="str">
        <f>MID(Table132[[#This Row],[ÉTAT]],VALUE(RIGHT(Table132[[#This Row],[next move]],1))+1+VALUE(LEFT(Table132[[#This Row],[next move]],1))*3,1)</f>
        <v>V</v>
      </c>
      <c r="I5897" t="str">
        <f>Table132[[#This Row],[ÉTAT]]&amp;Table132[[#This Row],[next move]]</f>
        <v>EMVEVVVVV02</v>
      </c>
    </row>
    <row r="5898" spans="2:9" x14ac:dyDescent="0.25">
      <c r="B5898" t="s">
        <v>587</v>
      </c>
      <c r="C5898" s="22" t="s">
        <v>29</v>
      </c>
      <c r="D5898">
        <v>4</v>
      </c>
      <c r="E5898">
        <v>1</v>
      </c>
      <c r="G5898" s="30">
        <f>Table132[[#This Row],[nb win]]/Table132[[#This Row],[nb play]]</f>
        <v>0.25</v>
      </c>
      <c r="H5898" t="str">
        <f>MID(Table132[[#This Row],[ÉTAT]],VALUE(RIGHT(Table132[[#This Row],[next move]],1))+1+VALUE(LEFT(Table132[[#This Row],[next move]],1))*3,1)</f>
        <v>V</v>
      </c>
      <c r="I5898" t="str">
        <f>Table132[[#This Row],[ÉTAT]]&amp;Table132[[#This Row],[next move]]</f>
        <v>EMVEVVVVV11</v>
      </c>
    </row>
    <row r="5899" spans="2:9" x14ac:dyDescent="0.25">
      <c r="B5899" t="s">
        <v>587</v>
      </c>
      <c r="C5899" s="22" t="s">
        <v>28</v>
      </c>
      <c r="D5899">
        <v>3</v>
      </c>
      <c r="G5899" s="25">
        <f>Table132[[#This Row],[nb win]]/Table132[[#This Row],[nb play]]</f>
        <v>0</v>
      </c>
      <c r="H5899" t="str">
        <f>MID(Table132[[#This Row],[ÉTAT]],VALUE(RIGHT(Table132[[#This Row],[next move]],1))+1+VALUE(LEFT(Table132[[#This Row],[next move]],1))*3,1)</f>
        <v>V</v>
      </c>
      <c r="I5899" t="str">
        <f>Table132[[#This Row],[ÉTAT]]&amp;Table132[[#This Row],[next move]]</f>
        <v>EMVEVVVVV12</v>
      </c>
    </row>
    <row r="5900" spans="2:9" x14ac:dyDescent="0.25">
      <c r="B5900" t="s">
        <v>587</v>
      </c>
      <c r="C5900" s="22" t="s">
        <v>35</v>
      </c>
      <c r="D5900">
        <v>2</v>
      </c>
      <c r="G5900" s="30">
        <f>Table132[[#This Row],[nb win]]/Table132[[#This Row],[nb play]]</f>
        <v>0</v>
      </c>
      <c r="H5900" t="str">
        <f>MID(Table132[[#This Row],[ÉTAT]],VALUE(RIGHT(Table132[[#This Row],[next move]],1))+1+VALUE(LEFT(Table132[[#This Row],[next move]],1))*3,1)</f>
        <v>V</v>
      </c>
      <c r="I5900" t="str">
        <f>Table132[[#This Row],[ÉTAT]]&amp;Table132[[#This Row],[next move]]</f>
        <v>EMVEVVVVV20</v>
      </c>
    </row>
    <row r="5901" spans="2:9" x14ac:dyDescent="0.25">
      <c r="B5901" t="s">
        <v>587</v>
      </c>
      <c r="C5901" s="22" t="s">
        <v>22</v>
      </c>
      <c r="D5901">
        <v>3</v>
      </c>
      <c r="E5901">
        <v>1</v>
      </c>
      <c r="G5901" s="30">
        <f>Table132[[#This Row],[nb win]]/Table132[[#This Row],[nb play]]</f>
        <v>0.33333333333333331</v>
      </c>
      <c r="H5901" t="str">
        <f>MID(Table132[[#This Row],[ÉTAT]],VALUE(RIGHT(Table132[[#This Row],[next move]],1))+1+VALUE(LEFT(Table132[[#This Row],[next move]],1))*3,1)</f>
        <v>V</v>
      </c>
      <c r="I5901" t="str">
        <f>Table132[[#This Row],[ÉTAT]]&amp;Table132[[#This Row],[next move]]</f>
        <v>EMVEVVVVV21</v>
      </c>
    </row>
    <row r="5902" spans="2:9" x14ac:dyDescent="0.25">
      <c r="B5902" t="s">
        <v>587</v>
      </c>
      <c r="C5902" s="22" t="s">
        <v>31</v>
      </c>
      <c r="D5902">
        <v>7</v>
      </c>
      <c r="E5902">
        <v>2</v>
      </c>
      <c r="G5902" s="30">
        <f>Table132[[#This Row],[nb win]]/Table132[[#This Row],[nb play]]</f>
        <v>0.2857142857142857</v>
      </c>
      <c r="H5902" t="str">
        <f>MID(Table132[[#This Row],[ÉTAT]],VALUE(RIGHT(Table132[[#This Row],[next move]],1))+1+VALUE(LEFT(Table132[[#This Row],[next move]],1))*3,1)</f>
        <v>V</v>
      </c>
      <c r="I5902" t="str">
        <f>Table132[[#This Row],[ÉTAT]]&amp;Table132[[#This Row],[next move]]</f>
        <v>EMVEVVVVV22</v>
      </c>
    </row>
    <row r="5903" spans="2:9" x14ac:dyDescent="0.25">
      <c r="B5903" t="s">
        <v>461</v>
      </c>
      <c r="C5903" s="22" t="s">
        <v>20</v>
      </c>
      <c r="D5903">
        <v>4</v>
      </c>
      <c r="E5903">
        <v>3</v>
      </c>
      <c r="G5903" s="31">
        <f>Table132[[#This Row],[nb win]]/Table132[[#This Row],[nb play]]</f>
        <v>0.75</v>
      </c>
      <c r="H5903" t="str">
        <f>MID(Table132[[#This Row],[ÉTAT]],VALUE(RIGHT(Table132[[#This Row],[next move]],1))+1+VALUE(LEFT(Table132[[#This Row],[next move]],1))*3,1)</f>
        <v>V</v>
      </c>
      <c r="I5903" t="str">
        <f>Table132[[#This Row],[ÉTAT]]&amp;Table132[[#This Row],[next move]]</f>
        <v>EMVEVVVVM02</v>
      </c>
    </row>
    <row r="5904" spans="2:9" x14ac:dyDescent="0.25">
      <c r="B5904" t="s">
        <v>461</v>
      </c>
      <c r="C5904" s="22" t="s">
        <v>28</v>
      </c>
      <c r="D5904">
        <v>5</v>
      </c>
      <c r="G5904" s="30">
        <f>Table132[[#This Row],[nb win]]/Table132[[#This Row],[nb play]]</f>
        <v>0</v>
      </c>
      <c r="H5904" t="str">
        <f>MID(Table132[[#This Row],[ÉTAT]],VALUE(RIGHT(Table132[[#This Row],[next move]],1))+1+VALUE(LEFT(Table132[[#This Row],[next move]],1))*3,1)</f>
        <v>V</v>
      </c>
      <c r="I5904" t="str">
        <f>Table132[[#This Row],[ÉTAT]]&amp;Table132[[#This Row],[next move]]</f>
        <v>EMVEVVVVM12</v>
      </c>
    </row>
    <row r="5905" spans="2:9" x14ac:dyDescent="0.25">
      <c r="B5905" t="s">
        <v>461</v>
      </c>
      <c r="C5905" s="22" t="s">
        <v>35</v>
      </c>
      <c r="D5905">
        <v>2</v>
      </c>
      <c r="E5905">
        <v>2</v>
      </c>
      <c r="G5905" s="25">
        <f>Table132[[#This Row],[nb win]]/Table132[[#This Row],[nb play]]</f>
        <v>1</v>
      </c>
      <c r="H5905" t="str">
        <f>MID(Table132[[#This Row],[ÉTAT]],VALUE(RIGHT(Table132[[#This Row],[next move]],1))+1+VALUE(LEFT(Table132[[#This Row],[next move]],1))*3,1)</f>
        <v>V</v>
      </c>
      <c r="I5905" t="str">
        <f>Table132[[#This Row],[ÉTAT]]&amp;Table132[[#This Row],[next move]]</f>
        <v>EMVEVVVVM20</v>
      </c>
    </row>
    <row r="5906" spans="2:9" x14ac:dyDescent="0.25">
      <c r="B5906" t="s">
        <v>1862</v>
      </c>
      <c r="C5906" s="22" t="s">
        <v>20</v>
      </c>
      <c r="D5906">
        <v>2</v>
      </c>
      <c r="G5906" s="30">
        <f>Table132[[#This Row],[nb win]]/Table132[[#This Row],[nb play]]</f>
        <v>0</v>
      </c>
      <c r="H5906" t="str">
        <f>MID(Table132[[#This Row],[ÉTAT]],VALUE(RIGHT(Table132[[#This Row],[next move]],1))+1+VALUE(LEFT(Table132[[#This Row],[next move]],1))*3,1)</f>
        <v>V</v>
      </c>
      <c r="I5906" t="str">
        <f>Table132[[#This Row],[ÉTAT]]&amp;Table132[[#This Row],[next move]]</f>
        <v>EMVEVVVMV02</v>
      </c>
    </row>
    <row r="5907" spans="2:9" x14ac:dyDescent="0.25">
      <c r="B5907" t="s">
        <v>1862</v>
      </c>
      <c r="C5907" s="22" t="s">
        <v>29</v>
      </c>
      <c r="D5907">
        <v>1</v>
      </c>
      <c r="E5907">
        <v>1</v>
      </c>
      <c r="G5907" s="25">
        <f>Table132[[#This Row],[nb win]]/Table132[[#This Row],[nb play]]</f>
        <v>1</v>
      </c>
      <c r="H5907" t="str">
        <f>MID(Table132[[#This Row],[ÉTAT]],VALUE(RIGHT(Table132[[#This Row],[next move]],1))+1+VALUE(LEFT(Table132[[#This Row],[next move]],1))*3,1)</f>
        <v>V</v>
      </c>
      <c r="I5907" t="str">
        <f>Table132[[#This Row],[ÉTAT]]&amp;Table132[[#This Row],[next move]]</f>
        <v>EMVEVVVMV11</v>
      </c>
    </row>
    <row r="5908" spans="2:9" x14ac:dyDescent="0.25">
      <c r="B5908" t="s">
        <v>2495</v>
      </c>
      <c r="C5908" s="22" t="s">
        <v>20</v>
      </c>
      <c r="D5908">
        <v>3</v>
      </c>
      <c r="E5908">
        <v>2</v>
      </c>
      <c r="G5908" s="25">
        <f>Table132[[#This Row],[nb win]]/Table132[[#This Row],[nb play]]</f>
        <v>0.66666666666666663</v>
      </c>
      <c r="H5908" t="str">
        <f>MID(Table132[[#This Row],[ÉTAT]],VALUE(RIGHT(Table132[[#This Row],[next move]],1))+1+VALUE(LEFT(Table132[[#This Row],[next move]],1))*3,1)</f>
        <v>V</v>
      </c>
      <c r="I5908" t="str">
        <f>Table132[[#This Row],[ÉTAT]]&amp;Table132[[#This Row],[next move]]</f>
        <v>EMVEVVMVV02</v>
      </c>
    </row>
    <row r="5909" spans="2:9" x14ac:dyDescent="0.25">
      <c r="B5909" t="s">
        <v>2495</v>
      </c>
      <c r="C5909" s="22" t="s">
        <v>28</v>
      </c>
      <c r="D5909">
        <v>2</v>
      </c>
      <c r="E5909">
        <v>2</v>
      </c>
      <c r="G5909" s="31">
        <f>Table132[[#This Row],[nb win]]/Table132[[#This Row],[nb play]]</f>
        <v>1</v>
      </c>
      <c r="H5909" t="str">
        <f>MID(Table132[[#This Row],[ÉTAT]],VALUE(RIGHT(Table132[[#This Row],[next move]],1))+1+VALUE(LEFT(Table132[[#This Row],[next move]],1))*3,1)</f>
        <v>V</v>
      </c>
      <c r="I5909" t="str">
        <f>Table132[[#This Row],[ÉTAT]]&amp;Table132[[#This Row],[next move]]</f>
        <v>EMVEVVMVV12</v>
      </c>
    </row>
    <row r="5910" spans="2:9" x14ac:dyDescent="0.25">
      <c r="B5910" t="s">
        <v>2341</v>
      </c>
      <c r="C5910" s="22" t="s">
        <v>20</v>
      </c>
      <c r="D5910">
        <v>2</v>
      </c>
      <c r="E5910">
        <v>1</v>
      </c>
      <c r="G5910" s="25">
        <f>Table132[[#This Row],[nb win]]/Table132[[#This Row],[nb play]]</f>
        <v>0.5</v>
      </c>
      <c r="H5910" t="str">
        <f>MID(Table132[[#This Row],[ÉTAT]],VALUE(RIGHT(Table132[[#This Row],[next move]],1))+1+VALUE(LEFT(Table132[[#This Row],[next move]],1))*3,1)</f>
        <v>V</v>
      </c>
      <c r="I5910" t="str">
        <f>Table132[[#This Row],[ÉTAT]]&amp;Table132[[#This Row],[next move]]</f>
        <v>EMVEVVMVE02</v>
      </c>
    </row>
    <row r="5911" spans="2:9" x14ac:dyDescent="0.25">
      <c r="B5911" t="s">
        <v>2341</v>
      </c>
      <c r="C5911" s="22" t="s">
        <v>22</v>
      </c>
      <c r="D5911">
        <v>1</v>
      </c>
      <c r="G5911" s="30">
        <f>Table132[[#This Row],[nb win]]/Table132[[#This Row],[nb play]]</f>
        <v>0</v>
      </c>
      <c r="H5911" t="str">
        <f>MID(Table132[[#This Row],[ÉTAT]],VALUE(RIGHT(Table132[[#This Row],[next move]],1))+1+VALUE(LEFT(Table132[[#This Row],[next move]],1))*3,1)</f>
        <v>V</v>
      </c>
      <c r="I5911" t="str">
        <f>Table132[[#This Row],[ÉTAT]]&amp;Table132[[#This Row],[next move]]</f>
        <v>EMVEVVMVE21</v>
      </c>
    </row>
    <row r="5912" spans="2:9" x14ac:dyDescent="0.25">
      <c r="B5912" t="s">
        <v>943</v>
      </c>
      <c r="C5912" s="22" t="s">
        <v>20</v>
      </c>
      <c r="D5912">
        <v>1</v>
      </c>
      <c r="G5912" s="25">
        <f>Table132[[#This Row],[nb win]]/Table132[[#This Row],[nb play]]</f>
        <v>0</v>
      </c>
      <c r="H5912" t="str">
        <f>MID(Table132[[#This Row],[ÉTAT]],VALUE(RIGHT(Table132[[#This Row],[next move]],1))+1+VALUE(LEFT(Table132[[#This Row],[next move]],1))*3,1)</f>
        <v>V</v>
      </c>
      <c r="I5912" t="str">
        <f>Table132[[#This Row],[ÉTAT]]&amp;Table132[[#This Row],[next move]]</f>
        <v>EMVEVVMEV02</v>
      </c>
    </row>
    <row r="5913" spans="2:9" x14ac:dyDescent="0.25">
      <c r="B5913" t="s">
        <v>943</v>
      </c>
      <c r="C5913" s="22" t="s">
        <v>29</v>
      </c>
      <c r="D5913">
        <v>1</v>
      </c>
      <c r="E5913">
        <v>1</v>
      </c>
      <c r="G5913" s="25">
        <f>Table132[[#This Row],[nb win]]/Table132[[#This Row],[nb play]]</f>
        <v>1</v>
      </c>
      <c r="H5913" t="str">
        <f>MID(Table132[[#This Row],[ÉTAT]],VALUE(RIGHT(Table132[[#This Row],[next move]],1))+1+VALUE(LEFT(Table132[[#This Row],[next move]],1))*3,1)</f>
        <v>V</v>
      </c>
      <c r="I5913" t="str">
        <f>Table132[[#This Row],[ÉTAT]]&amp;Table132[[#This Row],[next move]]</f>
        <v>EMVEVVMEV11</v>
      </c>
    </row>
    <row r="5914" spans="2:9" x14ac:dyDescent="0.25">
      <c r="B5914" t="s">
        <v>3267</v>
      </c>
      <c r="C5914" s="22" t="s">
        <v>29</v>
      </c>
      <c r="D5914">
        <v>1</v>
      </c>
      <c r="E5914">
        <v>1</v>
      </c>
      <c r="G5914" s="31">
        <f>Table132[[#This Row],[nb win]]/Table132[[#This Row],[nb play]]</f>
        <v>1</v>
      </c>
      <c r="H5914" t="str">
        <f>MID(Table132[[#This Row],[ÉTAT]],VALUE(RIGHT(Table132[[#This Row],[next move]],1))+1+VALUE(LEFT(Table132[[#This Row],[next move]],1))*3,1)</f>
        <v>V</v>
      </c>
      <c r="I5914" t="str">
        <f>Table132[[#This Row],[ÉTAT]]&amp;Table132[[#This Row],[next move]]</f>
        <v>EMVEVVMEM11</v>
      </c>
    </row>
    <row r="5915" spans="2:9" x14ac:dyDescent="0.25">
      <c r="B5915" t="s">
        <v>3073</v>
      </c>
      <c r="C5915" s="22" t="s">
        <v>20</v>
      </c>
      <c r="D5915">
        <v>1</v>
      </c>
      <c r="G5915" s="30">
        <f>Table132[[#This Row],[nb win]]/Table132[[#This Row],[nb play]]</f>
        <v>0</v>
      </c>
      <c r="H5915" t="str">
        <f>MID(Table132[[#This Row],[ÉTAT]],VALUE(RIGHT(Table132[[#This Row],[next move]],1))+1+VALUE(LEFT(Table132[[#This Row],[next move]],1))*3,1)</f>
        <v>V</v>
      </c>
      <c r="I5915" t="str">
        <f>Table132[[#This Row],[ÉTAT]]&amp;Table132[[#This Row],[next move]]</f>
        <v>EMVEVMVVV02</v>
      </c>
    </row>
    <row r="5916" spans="2:9" x14ac:dyDescent="0.25">
      <c r="B5916" t="s">
        <v>3073</v>
      </c>
      <c r="C5916" s="22" t="s">
        <v>29</v>
      </c>
      <c r="D5916">
        <v>1</v>
      </c>
      <c r="G5916" s="30">
        <f>Table132[[#This Row],[nb win]]/Table132[[#This Row],[nb play]]</f>
        <v>0</v>
      </c>
      <c r="H5916" t="str">
        <f>MID(Table132[[#This Row],[ÉTAT]],VALUE(RIGHT(Table132[[#This Row],[next move]],1))+1+VALUE(LEFT(Table132[[#This Row],[next move]],1))*3,1)</f>
        <v>V</v>
      </c>
      <c r="I5916" t="str">
        <f>Table132[[#This Row],[ÉTAT]]&amp;Table132[[#This Row],[next move]]</f>
        <v>EMVEVMVVV11</v>
      </c>
    </row>
    <row r="5917" spans="2:9" x14ac:dyDescent="0.25">
      <c r="B5917" t="s">
        <v>3073</v>
      </c>
      <c r="C5917" s="22" t="s">
        <v>22</v>
      </c>
      <c r="D5917">
        <v>2</v>
      </c>
      <c r="E5917">
        <v>1</v>
      </c>
      <c r="G5917" s="30">
        <f>Table132[[#This Row],[nb win]]/Table132[[#This Row],[nb play]]</f>
        <v>0.5</v>
      </c>
      <c r="H5917" t="str">
        <f>MID(Table132[[#This Row],[ÉTAT]],VALUE(RIGHT(Table132[[#This Row],[next move]],1))+1+VALUE(LEFT(Table132[[#This Row],[next move]],1))*3,1)</f>
        <v>V</v>
      </c>
      <c r="I5917" t="str">
        <f>Table132[[#This Row],[ÉTAT]]&amp;Table132[[#This Row],[next move]]</f>
        <v>EMVEVMVVV21</v>
      </c>
    </row>
    <row r="5918" spans="2:9" x14ac:dyDescent="0.25">
      <c r="B5918" t="s">
        <v>3073</v>
      </c>
      <c r="C5918" s="22" t="s">
        <v>31</v>
      </c>
      <c r="D5918">
        <v>1</v>
      </c>
      <c r="G5918" s="30">
        <f>Table132[[#This Row],[nb win]]/Table132[[#This Row],[nb play]]</f>
        <v>0</v>
      </c>
      <c r="H5918" t="str">
        <f>MID(Table132[[#This Row],[ÉTAT]],VALUE(RIGHT(Table132[[#This Row],[next move]],1))+1+VALUE(LEFT(Table132[[#This Row],[next move]],1))*3,1)</f>
        <v>V</v>
      </c>
      <c r="I5918" t="str">
        <f>Table132[[#This Row],[ÉTAT]]&amp;Table132[[#This Row],[next move]]</f>
        <v>EMVEVMVVV22</v>
      </c>
    </row>
    <row r="5919" spans="2:9" x14ac:dyDescent="0.25">
      <c r="B5919" t="s">
        <v>3458</v>
      </c>
      <c r="C5919" s="22" t="s">
        <v>22</v>
      </c>
      <c r="D5919">
        <v>1</v>
      </c>
      <c r="E5919">
        <v>1</v>
      </c>
      <c r="G5919" s="31">
        <f>Table132[[#This Row],[nb win]]/Table132[[#This Row],[nb play]]</f>
        <v>1</v>
      </c>
      <c r="H5919" t="str">
        <f>MID(Table132[[#This Row],[ÉTAT]],VALUE(RIGHT(Table132[[#This Row],[next move]],1))+1+VALUE(LEFT(Table132[[#This Row],[next move]],1))*3,1)</f>
        <v>V</v>
      </c>
      <c r="I5919" t="str">
        <f>Table132[[#This Row],[ÉTAT]]&amp;Table132[[#This Row],[next move]]</f>
        <v>EMVEVMVVE21</v>
      </c>
    </row>
    <row r="5920" spans="2:9" x14ac:dyDescent="0.25">
      <c r="B5920" t="s">
        <v>3478</v>
      </c>
      <c r="C5920" s="22" t="s">
        <v>29</v>
      </c>
      <c r="D5920">
        <v>1</v>
      </c>
      <c r="E5920">
        <v>1</v>
      </c>
      <c r="G5920" s="31">
        <f>Table132[[#This Row],[nb win]]/Table132[[#This Row],[nb play]]</f>
        <v>1</v>
      </c>
      <c r="H5920" t="str">
        <f>MID(Table132[[#This Row],[ÉTAT]],VALUE(RIGHT(Table132[[#This Row],[next move]],1))+1+VALUE(LEFT(Table132[[#This Row],[next move]],1))*3,1)</f>
        <v>V</v>
      </c>
      <c r="I5920" t="str">
        <f>Table132[[#This Row],[ÉTAT]]&amp;Table132[[#This Row],[next move]]</f>
        <v>EMVEVMVME11</v>
      </c>
    </row>
    <row r="5921" spans="2:9" x14ac:dyDescent="0.25">
      <c r="B5921" t="s">
        <v>2420</v>
      </c>
      <c r="C5921" s="22" t="s">
        <v>20</v>
      </c>
      <c r="D5921">
        <v>1</v>
      </c>
      <c r="G5921" s="25">
        <f>Table132[[#This Row],[nb win]]/Table132[[#This Row],[nb play]]</f>
        <v>0</v>
      </c>
      <c r="H5921" t="str">
        <f>MID(Table132[[#This Row],[ÉTAT]],VALUE(RIGHT(Table132[[#This Row],[next move]],1))+1+VALUE(LEFT(Table132[[#This Row],[next move]],1))*3,1)</f>
        <v>V</v>
      </c>
      <c r="I5921" t="str">
        <f>Table132[[#This Row],[ÉTAT]]&amp;Table132[[#This Row],[next move]]</f>
        <v>EMVEVMVEV02</v>
      </c>
    </row>
    <row r="5922" spans="2:9" x14ac:dyDescent="0.25">
      <c r="B5922" t="s">
        <v>2420</v>
      </c>
      <c r="C5922" s="22" t="s">
        <v>29</v>
      </c>
      <c r="D5922">
        <v>1</v>
      </c>
      <c r="G5922" s="25">
        <f>Table132[[#This Row],[nb win]]/Table132[[#This Row],[nb play]]</f>
        <v>0</v>
      </c>
      <c r="H5922" t="str">
        <f>MID(Table132[[#This Row],[ÉTAT]],VALUE(RIGHT(Table132[[#This Row],[next move]],1))+1+VALUE(LEFT(Table132[[#This Row],[next move]],1))*3,1)</f>
        <v>V</v>
      </c>
      <c r="I5922" t="str">
        <f>Table132[[#This Row],[ÉTAT]]&amp;Table132[[#This Row],[next move]]</f>
        <v>EMVEVMVEV11</v>
      </c>
    </row>
    <row r="5923" spans="2:9" x14ac:dyDescent="0.25">
      <c r="B5923" t="s">
        <v>3152</v>
      </c>
      <c r="C5923" s="22" t="s">
        <v>35</v>
      </c>
      <c r="D5923">
        <v>1</v>
      </c>
      <c r="E5923">
        <v>1</v>
      </c>
      <c r="G5923" s="31">
        <f>Table132[[#This Row],[nb win]]/Table132[[#This Row],[nb play]]</f>
        <v>1</v>
      </c>
      <c r="H5923" t="str">
        <f>MID(Table132[[#This Row],[ÉTAT]],VALUE(RIGHT(Table132[[#This Row],[next move]],1))+1+VALUE(LEFT(Table132[[#This Row],[next move]],1))*3,1)</f>
        <v>V</v>
      </c>
      <c r="I5923" t="str">
        <f>Table132[[#This Row],[ÉTAT]]&amp;Table132[[#This Row],[next move]]</f>
        <v>EMVEVMVEM20</v>
      </c>
    </row>
    <row r="5924" spans="2:9" x14ac:dyDescent="0.25">
      <c r="B5924" t="s">
        <v>1146</v>
      </c>
      <c r="C5924" s="22" t="s">
        <v>29</v>
      </c>
      <c r="D5924">
        <v>1</v>
      </c>
      <c r="E5924">
        <v>1</v>
      </c>
      <c r="G5924" s="25">
        <f>Table132[[#This Row],[nb win]]/Table132[[#This Row],[nb play]]</f>
        <v>1</v>
      </c>
      <c r="H5924" t="str">
        <f>MID(Table132[[#This Row],[ÉTAT]],VALUE(RIGHT(Table132[[#This Row],[next move]],1))+1+VALUE(LEFT(Table132[[#This Row],[next move]],1))*3,1)</f>
        <v>V</v>
      </c>
      <c r="I5924" t="str">
        <f>Table132[[#This Row],[ÉTAT]]&amp;Table132[[#This Row],[next move]]</f>
        <v>EMVEVMMVE11</v>
      </c>
    </row>
    <row r="5925" spans="2:9" x14ac:dyDescent="0.25">
      <c r="B5925" t="s">
        <v>2918</v>
      </c>
      <c r="C5925" s="22" t="s">
        <v>20</v>
      </c>
      <c r="D5925">
        <v>2</v>
      </c>
      <c r="E5925">
        <v>2</v>
      </c>
      <c r="G5925" s="31">
        <f>Table132[[#This Row],[nb win]]/Table132[[#This Row],[nb play]]</f>
        <v>1</v>
      </c>
      <c r="H5925" t="str">
        <f>MID(Table132[[#This Row],[ÉTAT]],VALUE(RIGHT(Table132[[#This Row],[next move]],1))+1+VALUE(LEFT(Table132[[#This Row],[next move]],1))*3,1)</f>
        <v>V</v>
      </c>
      <c r="I5925" t="str">
        <f>Table132[[#This Row],[ÉTAT]]&amp;Table132[[#This Row],[next move]]</f>
        <v>EMVEVMMEV02</v>
      </c>
    </row>
    <row r="5926" spans="2:9" x14ac:dyDescent="0.25">
      <c r="B5926" t="s">
        <v>2974</v>
      </c>
      <c r="C5926" s="22" t="s">
        <v>20</v>
      </c>
      <c r="D5926">
        <v>1</v>
      </c>
      <c r="G5926" s="25">
        <f>Table132[[#This Row],[nb win]]/Table132[[#This Row],[nb play]]</f>
        <v>0</v>
      </c>
      <c r="H5926" t="str">
        <f>MID(Table132[[#This Row],[ÉTAT]],VALUE(RIGHT(Table132[[#This Row],[next move]],1))+1+VALUE(LEFT(Table132[[#This Row],[next move]],1))*3,1)</f>
        <v>V</v>
      </c>
      <c r="I5926" t="str">
        <f>Table132[[#This Row],[ÉTAT]]&amp;Table132[[#This Row],[next move]]</f>
        <v>EMVEVMMEE02</v>
      </c>
    </row>
    <row r="5927" spans="2:9" x14ac:dyDescent="0.25">
      <c r="B5927" t="s">
        <v>2800</v>
      </c>
      <c r="C5927" s="22" t="s">
        <v>20</v>
      </c>
      <c r="D5927">
        <v>1</v>
      </c>
      <c r="G5927" s="25">
        <f>Table132[[#This Row],[nb win]]/Table132[[#This Row],[nb play]]</f>
        <v>0</v>
      </c>
      <c r="H5927" t="str">
        <f>MID(Table132[[#This Row],[ÉTAT]],VALUE(RIGHT(Table132[[#This Row],[next move]],1))+1+VALUE(LEFT(Table132[[#This Row],[next move]],1))*3,1)</f>
        <v>V</v>
      </c>
      <c r="I5927" t="str">
        <f>Table132[[#This Row],[ÉTAT]]&amp;Table132[[#This Row],[next move]]</f>
        <v>EMVEVEVMV02</v>
      </c>
    </row>
    <row r="5928" spans="2:9" x14ac:dyDescent="0.25">
      <c r="B5928" t="s">
        <v>2800</v>
      </c>
      <c r="C5928" s="22" t="s">
        <v>29</v>
      </c>
      <c r="D5928">
        <v>1</v>
      </c>
      <c r="E5928">
        <v>1</v>
      </c>
      <c r="G5928" s="31">
        <f>Table132[[#This Row],[nb win]]/Table132[[#This Row],[nb play]]</f>
        <v>1</v>
      </c>
      <c r="H5928" t="str">
        <f>MID(Table132[[#This Row],[ÉTAT]],VALUE(RIGHT(Table132[[#This Row],[next move]],1))+1+VALUE(LEFT(Table132[[#This Row],[next move]],1))*3,1)</f>
        <v>V</v>
      </c>
      <c r="I5928" t="str">
        <f>Table132[[#This Row],[ÉTAT]]&amp;Table132[[#This Row],[next move]]</f>
        <v>EMVEVEVMV11</v>
      </c>
    </row>
    <row r="5929" spans="2:9" x14ac:dyDescent="0.25">
      <c r="B5929" t="s">
        <v>2800</v>
      </c>
      <c r="C5929" s="22" t="s">
        <v>35</v>
      </c>
      <c r="D5929">
        <v>1</v>
      </c>
      <c r="G5929" s="30">
        <f>Table132[[#This Row],[nb win]]/Table132[[#This Row],[nb play]]</f>
        <v>0</v>
      </c>
      <c r="H5929" t="str">
        <f>MID(Table132[[#This Row],[ÉTAT]],VALUE(RIGHT(Table132[[#This Row],[next move]],1))+1+VALUE(LEFT(Table132[[#This Row],[next move]],1))*3,1)</f>
        <v>V</v>
      </c>
      <c r="I5929" t="str">
        <f>Table132[[#This Row],[ÉTAT]]&amp;Table132[[#This Row],[next move]]</f>
        <v>EMVEVEVMV20</v>
      </c>
    </row>
    <row r="5930" spans="2:9" x14ac:dyDescent="0.25">
      <c r="B5930" t="s">
        <v>2800</v>
      </c>
      <c r="C5930" s="22" t="s">
        <v>31</v>
      </c>
      <c r="D5930">
        <v>1</v>
      </c>
      <c r="G5930" s="30">
        <f>Table132[[#This Row],[nb win]]/Table132[[#This Row],[nb play]]</f>
        <v>0</v>
      </c>
      <c r="H5930" t="str">
        <f>MID(Table132[[#This Row],[ÉTAT]],VALUE(RIGHT(Table132[[#This Row],[next move]],1))+1+VALUE(LEFT(Table132[[#This Row],[next move]],1))*3,1)</f>
        <v>V</v>
      </c>
      <c r="I5930" t="str">
        <f>Table132[[#This Row],[ÉTAT]]&amp;Table132[[#This Row],[next move]]</f>
        <v>EMVEVEVMV22</v>
      </c>
    </row>
    <row r="5931" spans="2:9" x14ac:dyDescent="0.25">
      <c r="B5931" t="s">
        <v>656</v>
      </c>
      <c r="C5931" s="22" t="s">
        <v>35</v>
      </c>
      <c r="D5931">
        <v>6</v>
      </c>
      <c r="E5931">
        <v>6</v>
      </c>
      <c r="G5931" s="31">
        <f>Table132[[#This Row],[nb win]]/Table132[[#This Row],[nb play]]</f>
        <v>1</v>
      </c>
      <c r="H5931" t="str">
        <f>MID(Table132[[#This Row],[ÉTAT]],VALUE(RIGHT(Table132[[#This Row],[next move]],1))+1+VALUE(LEFT(Table132[[#This Row],[next move]],1))*3,1)</f>
        <v>V</v>
      </c>
      <c r="I5931" t="str">
        <f>Table132[[#This Row],[ÉTAT]]&amp;Table132[[#This Row],[next move]]</f>
        <v>EMVEVEVMM20</v>
      </c>
    </row>
    <row r="5932" spans="2:9" x14ac:dyDescent="0.25">
      <c r="B5932" t="s">
        <v>1204</v>
      </c>
      <c r="C5932" s="22" t="s">
        <v>20</v>
      </c>
      <c r="D5932">
        <v>3</v>
      </c>
      <c r="E5932">
        <v>2</v>
      </c>
      <c r="G5932" s="31">
        <f>Table132[[#This Row],[nb win]]/Table132[[#This Row],[nb play]]</f>
        <v>0.66666666666666663</v>
      </c>
      <c r="H5932" t="str">
        <f>MID(Table132[[#This Row],[ÉTAT]],VALUE(RIGHT(Table132[[#This Row],[next move]],1))+1+VALUE(LEFT(Table132[[#This Row],[next move]],1))*3,1)</f>
        <v>V</v>
      </c>
      <c r="I5932" t="str">
        <f>Table132[[#This Row],[ÉTAT]]&amp;Table132[[#This Row],[next move]]</f>
        <v>EMVEVEMVV02</v>
      </c>
    </row>
    <row r="5933" spans="2:9" x14ac:dyDescent="0.25">
      <c r="B5933" t="s">
        <v>1204</v>
      </c>
      <c r="C5933" s="22" t="s">
        <v>29</v>
      </c>
      <c r="D5933">
        <v>1</v>
      </c>
      <c r="E5933">
        <v>1</v>
      </c>
      <c r="G5933" s="31">
        <f>Table132[[#This Row],[nb win]]/Table132[[#This Row],[nb play]]</f>
        <v>1</v>
      </c>
      <c r="H5933" t="str">
        <f>MID(Table132[[#This Row],[ÉTAT]],VALUE(RIGHT(Table132[[#This Row],[next move]],1))+1+VALUE(LEFT(Table132[[#This Row],[next move]],1))*3,1)</f>
        <v>V</v>
      </c>
      <c r="I5933" t="str">
        <f>Table132[[#This Row],[ÉTAT]]&amp;Table132[[#This Row],[next move]]</f>
        <v>EMVEVEMVV11</v>
      </c>
    </row>
    <row r="5934" spans="2:9" x14ac:dyDescent="0.25">
      <c r="B5934" t="s">
        <v>1204</v>
      </c>
      <c r="C5934" s="22" t="s">
        <v>22</v>
      </c>
      <c r="D5934">
        <v>1</v>
      </c>
      <c r="G5934" s="25">
        <f>Table132[[#This Row],[nb win]]/Table132[[#This Row],[nb play]]</f>
        <v>0</v>
      </c>
      <c r="H5934" t="str">
        <f>MID(Table132[[#This Row],[ÉTAT]],VALUE(RIGHT(Table132[[#This Row],[next move]],1))+1+VALUE(LEFT(Table132[[#This Row],[next move]],1))*3,1)</f>
        <v>V</v>
      </c>
      <c r="I5934" t="str">
        <f>Table132[[#This Row],[ÉTAT]]&amp;Table132[[#This Row],[next move]]</f>
        <v>EMVEVEMVV21</v>
      </c>
    </row>
    <row r="5935" spans="2:9" x14ac:dyDescent="0.25">
      <c r="B5935" t="s">
        <v>3506</v>
      </c>
      <c r="C5935" s="22" t="s">
        <v>22</v>
      </c>
      <c r="D5935">
        <v>1</v>
      </c>
      <c r="E5935">
        <v>1</v>
      </c>
      <c r="G5935" s="31">
        <f>Table132[[#This Row],[nb win]]/Table132[[#This Row],[nb play]]</f>
        <v>1</v>
      </c>
      <c r="H5935" t="str">
        <f>MID(Table132[[#This Row],[ÉTAT]],VALUE(RIGHT(Table132[[#This Row],[next move]],1))+1+VALUE(LEFT(Table132[[#This Row],[next move]],1))*3,1)</f>
        <v>V</v>
      </c>
      <c r="I5935" t="str">
        <f>Table132[[#This Row],[ÉTAT]]&amp;Table132[[#This Row],[next move]]</f>
        <v>EMVEVEMVM21</v>
      </c>
    </row>
    <row r="5936" spans="2:9" x14ac:dyDescent="0.25">
      <c r="B5936" t="s">
        <v>1240</v>
      </c>
      <c r="C5936" s="22" t="s">
        <v>29</v>
      </c>
      <c r="D5936">
        <v>2</v>
      </c>
      <c r="E5936">
        <v>2</v>
      </c>
      <c r="G5936" s="25">
        <f>Table132[[#This Row],[nb win]]/Table132[[#This Row],[nb play]]</f>
        <v>1</v>
      </c>
      <c r="H5936" t="str">
        <f>MID(Table132[[#This Row],[ÉTAT]],VALUE(RIGHT(Table132[[#This Row],[next move]],1))+1+VALUE(LEFT(Table132[[#This Row],[next move]],1))*3,1)</f>
        <v>V</v>
      </c>
      <c r="I5936" t="str">
        <f>Table132[[#This Row],[ÉTAT]]&amp;Table132[[#This Row],[next move]]</f>
        <v>EMVEVEMMV11</v>
      </c>
    </row>
    <row r="5937" spans="2:9" x14ac:dyDescent="0.25">
      <c r="B5937" t="s">
        <v>1646</v>
      </c>
      <c r="C5937" s="22" t="s">
        <v>20</v>
      </c>
      <c r="D5937">
        <v>1</v>
      </c>
      <c r="G5937" s="25">
        <f>Table132[[#This Row],[nb win]]/Table132[[#This Row],[nb play]]</f>
        <v>0</v>
      </c>
      <c r="H5937" t="str">
        <f>MID(Table132[[#This Row],[ÉTAT]],VALUE(RIGHT(Table132[[#This Row],[next move]],1))+1+VALUE(LEFT(Table132[[#This Row],[next move]],1))*3,1)</f>
        <v>V</v>
      </c>
      <c r="I5937" t="str">
        <f>Table132[[#This Row],[ÉTAT]]&amp;Table132[[#This Row],[next move]]</f>
        <v>EMVEMVVVV02</v>
      </c>
    </row>
    <row r="5938" spans="2:9" x14ac:dyDescent="0.25">
      <c r="B5938" t="s">
        <v>1646</v>
      </c>
      <c r="C5938" s="22" t="s">
        <v>28</v>
      </c>
      <c r="D5938">
        <v>2</v>
      </c>
      <c r="G5938" s="30">
        <f>Table132[[#This Row],[nb win]]/Table132[[#This Row],[nb play]]</f>
        <v>0</v>
      </c>
      <c r="H5938" t="str">
        <f>MID(Table132[[#This Row],[ÉTAT]],VALUE(RIGHT(Table132[[#This Row],[next move]],1))+1+VALUE(LEFT(Table132[[#This Row],[next move]],1))*3,1)</f>
        <v>V</v>
      </c>
      <c r="I5938" t="str">
        <f>Table132[[#This Row],[ÉTAT]]&amp;Table132[[#This Row],[next move]]</f>
        <v>EMVEMVVVV12</v>
      </c>
    </row>
    <row r="5939" spans="2:9" x14ac:dyDescent="0.25">
      <c r="B5939" t="s">
        <v>1646</v>
      </c>
      <c r="C5939" s="22" t="s">
        <v>35</v>
      </c>
      <c r="D5939">
        <v>7</v>
      </c>
      <c r="E5939">
        <v>7</v>
      </c>
      <c r="G5939" s="31">
        <f>Table132[[#This Row],[nb win]]/Table132[[#This Row],[nb play]]</f>
        <v>1</v>
      </c>
      <c r="H5939" t="str">
        <f>MID(Table132[[#This Row],[ÉTAT]],VALUE(RIGHT(Table132[[#This Row],[next move]],1))+1+VALUE(LEFT(Table132[[#This Row],[next move]],1))*3,1)</f>
        <v>V</v>
      </c>
      <c r="I5939" t="str">
        <f>Table132[[#This Row],[ÉTAT]]&amp;Table132[[#This Row],[next move]]</f>
        <v>EMVEMVVVV20</v>
      </c>
    </row>
    <row r="5940" spans="2:9" x14ac:dyDescent="0.25">
      <c r="B5940" t="s">
        <v>240</v>
      </c>
      <c r="C5940" s="22" t="s">
        <v>35</v>
      </c>
      <c r="D5940">
        <v>5</v>
      </c>
      <c r="E5940">
        <v>5</v>
      </c>
      <c r="G5940" s="31">
        <f>Table132[[#This Row],[nb win]]/Table132[[#This Row],[nb play]]</f>
        <v>1</v>
      </c>
      <c r="H5940" t="str">
        <f>MID(Table132[[#This Row],[ÉTAT]],VALUE(RIGHT(Table132[[#This Row],[next move]],1))+1+VALUE(LEFT(Table132[[#This Row],[next move]],1))*3,1)</f>
        <v>V</v>
      </c>
      <c r="I5940" t="str">
        <f>Table132[[#This Row],[ÉTAT]]&amp;Table132[[#This Row],[next move]]</f>
        <v>EMVEMVVVE20</v>
      </c>
    </row>
    <row r="5941" spans="2:9" x14ac:dyDescent="0.25">
      <c r="B5941" t="s">
        <v>3136</v>
      </c>
      <c r="C5941" s="22" t="s">
        <v>20</v>
      </c>
      <c r="D5941">
        <v>1</v>
      </c>
      <c r="E5941">
        <v>1</v>
      </c>
      <c r="G5941" s="31">
        <f>Table132[[#This Row],[nb win]]/Table132[[#This Row],[nb play]]</f>
        <v>1</v>
      </c>
      <c r="H5941" t="str">
        <f>MID(Table132[[#This Row],[ÉTAT]],VALUE(RIGHT(Table132[[#This Row],[next move]],1))+1+VALUE(LEFT(Table132[[#This Row],[next move]],1))*3,1)</f>
        <v>V</v>
      </c>
      <c r="I5941" t="str">
        <f>Table132[[#This Row],[ÉTAT]]&amp;Table132[[#This Row],[next move]]</f>
        <v>EMVEMVVEM02</v>
      </c>
    </row>
    <row r="5942" spans="2:9" x14ac:dyDescent="0.25">
      <c r="B5942" t="s">
        <v>1967</v>
      </c>
      <c r="C5942" s="22" t="s">
        <v>20</v>
      </c>
      <c r="D5942">
        <v>3</v>
      </c>
      <c r="E5942">
        <v>3</v>
      </c>
      <c r="G5942" s="31">
        <f>Table132[[#This Row],[nb win]]/Table132[[#This Row],[nb play]]</f>
        <v>1</v>
      </c>
      <c r="H5942" t="str">
        <f>MID(Table132[[#This Row],[ÉTAT]],VALUE(RIGHT(Table132[[#This Row],[next move]],1))+1+VALUE(LEFT(Table132[[#This Row],[next move]],1))*3,1)</f>
        <v>V</v>
      </c>
      <c r="I5942" t="str">
        <f>Table132[[#This Row],[ÉTAT]]&amp;Table132[[#This Row],[next move]]</f>
        <v>EMVEMVMEV02</v>
      </c>
    </row>
    <row r="5943" spans="2:9" x14ac:dyDescent="0.25">
      <c r="B5943" t="s">
        <v>245</v>
      </c>
      <c r="C5943" s="22" t="s">
        <v>20</v>
      </c>
      <c r="D5943">
        <v>2</v>
      </c>
      <c r="E5943">
        <v>2</v>
      </c>
      <c r="G5943" s="25">
        <f>Table132[[#This Row],[nb win]]/Table132[[#This Row],[nb play]]</f>
        <v>1</v>
      </c>
      <c r="H5943" t="str">
        <f>MID(Table132[[#This Row],[ÉTAT]],VALUE(RIGHT(Table132[[#This Row],[next move]],1))+1+VALUE(LEFT(Table132[[#This Row],[next move]],1))*3,1)</f>
        <v>V</v>
      </c>
      <c r="I5943" t="str">
        <f>Table132[[#This Row],[ÉTAT]]&amp;Table132[[#This Row],[next move]]</f>
        <v>EMVEMVMEE02</v>
      </c>
    </row>
    <row r="5944" spans="2:9" x14ac:dyDescent="0.25">
      <c r="B5944" t="s">
        <v>1474</v>
      </c>
      <c r="C5944" s="22" t="s">
        <v>22</v>
      </c>
      <c r="D5944">
        <v>2</v>
      </c>
      <c r="E5944">
        <v>2</v>
      </c>
      <c r="G5944" s="31">
        <f>Table132[[#This Row],[nb win]]/Table132[[#This Row],[nb play]]</f>
        <v>1</v>
      </c>
      <c r="H5944" t="str">
        <f>MID(Table132[[#This Row],[ÉTAT]],VALUE(RIGHT(Table132[[#This Row],[next move]],1))+1+VALUE(LEFT(Table132[[#This Row],[next move]],1))*3,1)</f>
        <v>V</v>
      </c>
      <c r="I5944" t="str">
        <f>Table132[[#This Row],[ÉTAT]]&amp;Table132[[#This Row],[next move]]</f>
        <v>EMVEMMVVE21</v>
      </c>
    </row>
    <row r="5945" spans="2:9" x14ac:dyDescent="0.25">
      <c r="B5945" t="s">
        <v>150</v>
      </c>
      <c r="C5945" s="22" t="s">
        <v>20</v>
      </c>
      <c r="D5945">
        <v>4</v>
      </c>
      <c r="E5945">
        <v>4</v>
      </c>
      <c r="G5945" s="31">
        <f>Table132[[#This Row],[nb win]]/Table132[[#This Row],[nb play]]</f>
        <v>1</v>
      </c>
      <c r="H5945" t="str">
        <f>MID(Table132[[#This Row],[ÉTAT]],VALUE(RIGHT(Table132[[#This Row],[next move]],1))+1+VALUE(LEFT(Table132[[#This Row],[next move]],1))*3,1)</f>
        <v>V</v>
      </c>
      <c r="I5945" t="str">
        <f>Table132[[#This Row],[ÉTAT]]&amp;Table132[[#This Row],[next move]]</f>
        <v>EMVEMMMEE02</v>
      </c>
    </row>
    <row r="5946" spans="2:9" x14ac:dyDescent="0.25">
      <c r="B5946" t="s">
        <v>3336</v>
      </c>
      <c r="C5946" s="22" t="s">
        <v>20</v>
      </c>
      <c r="D5946">
        <v>1</v>
      </c>
      <c r="E5946">
        <v>1</v>
      </c>
      <c r="G5946" s="31">
        <f>Table132[[#This Row],[nb win]]/Table132[[#This Row],[nb play]]</f>
        <v>1</v>
      </c>
      <c r="H5946" t="str">
        <f>MID(Table132[[#This Row],[ÉTAT]],VALUE(RIGHT(Table132[[#This Row],[next move]],1))+1+VALUE(LEFT(Table132[[#This Row],[next move]],1))*3,1)</f>
        <v>V</v>
      </c>
      <c r="I5946" t="str">
        <f>Table132[[#This Row],[ÉTAT]]&amp;Table132[[#This Row],[next move]]</f>
        <v>EMVEMEVVM02</v>
      </c>
    </row>
    <row r="5947" spans="2:9" x14ac:dyDescent="0.25">
      <c r="B5947" t="s">
        <v>3407</v>
      </c>
      <c r="C5947" s="22" t="s">
        <v>31</v>
      </c>
      <c r="D5947">
        <v>4</v>
      </c>
      <c r="E5947">
        <v>4</v>
      </c>
      <c r="G5947" s="31">
        <f>Table132[[#This Row],[nb win]]/Table132[[#This Row],[nb play]]</f>
        <v>1</v>
      </c>
      <c r="H5947" t="str">
        <f>MID(Table132[[#This Row],[ÉTAT]],VALUE(RIGHT(Table132[[#This Row],[next move]],1))+1+VALUE(LEFT(Table132[[#This Row],[next move]],1))*3,1)</f>
        <v>V</v>
      </c>
      <c r="I5947" t="str">
        <f>Table132[[#This Row],[ÉTAT]]&amp;Table132[[#This Row],[next move]]</f>
        <v>EMVEMEMVV22</v>
      </c>
    </row>
    <row r="5948" spans="2:9" x14ac:dyDescent="0.25">
      <c r="B5948" t="s">
        <v>242</v>
      </c>
      <c r="C5948" s="22" t="s">
        <v>22</v>
      </c>
      <c r="D5948">
        <v>2</v>
      </c>
      <c r="E5948">
        <v>2</v>
      </c>
      <c r="G5948" s="31">
        <f>Table132[[#This Row],[nb win]]/Table132[[#This Row],[nb play]]</f>
        <v>1</v>
      </c>
      <c r="H5948" t="str">
        <f>MID(Table132[[#This Row],[ÉTAT]],VALUE(RIGHT(Table132[[#This Row],[next move]],1))+1+VALUE(LEFT(Table132[[#This Row],[next move]],1))*3,1)</f>
        <v>V</v>
      </c>
      <c r="I5948" t="str">
        <f>Table132[[#This Row],[ÉTAT]]&amp;Table132[[#This Row],[next move]]</f>
        <v>EMVEMEMVE21</v>
      </c>
    </row>
    <row r="5949" spans="2:9" x14ac:dyDescent="0.25">
      <c r="B5949" t="s">
        <v>3170</v>
      </c>
      <c r="C5949" s="22" t="s">
        <v>20</v>
      </c>
      <c r="D5949">
        <v>2</v>
      </c>
      <c r="E5949">
        <v>2</v>
      </c>
      <c r="G5949" s="31">
        <f>Table132[[#This Row],[nb win]]/Table132[[#This Row],[nb play]]</f>
        <v>1</v>
      </c>
      <c r="H5949" t="str">
        <f>MID(Table132[[#This Row],[ÉTAT]],VALUE(RIGHT(Table132[[#This Row],[next move]],1))+1+VALUE(LEFT(Table132[[#This Row],[next move]],1))*3,1)</f>
        <v>V</v>
      </c>
      <c r="I5949" t="str">
        <f>Table132[[#This Row],[ÉTAT]]&amp;Table132[[#This Row],[next move]]</f>
        <v>EMVEMEMEV02</v>
      </c>
    </row>
    <row r="5950" spans="2:9" x14ac:dyDescent="0.25">
      <c r="B5950" t="s">
        <v>2418</v>
      </c>
      <c r="C5950" s="22" t="s">
        <v>20</v>
      </c>
      <c r="D5950">
        <v>4</v>
      </c>
      <c r="E5950">
        <v>4</v>
      </c>
      <c r="G5950" s="31">
        <f>Table132[[#This Row],[nb win]]/Table132[[#This Row],[nb play]]</f>
        <v>1</v>
      </c>
      <c r="H5950" t="str">
        <f>MID(Table132[[#This Row],[ÉTAT]],VALUE(RIGHT(Table132[[#This Row],[next move]],1))+1+VALUE(LEFT(Table132[[#This Row],[next move]],1))*3,1)</f>
        <v>V</v>
      </c>
      <c r="I5950" t="str">
        <f>Table132[[#This Row],[ÉTAT]]&amp;Table132[[#This Row],[next move]]</f>
        <v>EMVEMEMEM02</v>
      </c>
    </row>
    <row r="5951" spans="2:9" x14ac:dyDescent="0.25">
      <c r="B5951" t="s">
        <v>2125</v>
      </c>
      <c r="C5951" s="22" t="s">
        <v>20</v>
      </c>
      <c r="D5951">
        <v>3</v>
      </c>
      <c r="G5951" s="30">
        <f>Table132[[#This Row],[nb win]]/Table132[[#This Row],[nb play]]</f>
        <v>0</v>
      </c>
      <c r="H5951" t="str">
        <f>MID(Table132[[#This Row],[ÉTAT]],VALUE(RIGHT(Table132[[#This Row],[next move]],1))+1+VALUE(LEFT(Table132[[#This Row],[next move]],1))*3,1)</f>
        <v>V</v>
      </c>
      <c r="I5951" t="str">
        <f>Table132[[#This Row],[ÉTAT]]&amp;Table132[[#This Row],[next move]]</f>
        <v>EMVEEVVVM02</v>
      </c>
    </row>
    <row r="5952" spans="2:9" x14ac:dyDescent="0.25">
      <c r="B5952" t="s">
        <v>2125</v>
      </c>
      <c r="C5952" s="22" t="s">
        <v>28</v>
      </c>
      <c r="D5952">
        <v>2</v>
      </c>
      <c r="G5952" s="25">
        <f>Table132[[#This Row],[nb win]]/Table132[[#This Row],[nb play]]</f>
        <v>0</v>
      </c>
      <c r="H5952" t="str">
        <f>MID(Table132[[#This Row],[ÉTAT]],VALUE(RIGHT(Table132[[#This Row],[next move]],1))+1+VALUE(LEFT(Table132[[#This Row],[next move]],1))*3,1)</f>
        <v>V</v>
      </c>
      <c r="I5952" t="str">
        <f>Table132[[#This Row],[ÉTAT]]&amp;Table132[[#This Row],[next move]]</f>
        <v>EMVEEVVVM12</v>
      </c>
    </row>
    <row r="5953" spans="2:9" x14ac:dyDescent="0.25">
      <c r="B5953" t="s">
        <v>2125</v>
      </c>
      <c r="C5953" s="22" t="s">
        <v>35</v>
      </c>
      <c r="D5953">
        <v>2</v>
      </c>
      <c r="G5953" s="30">
        <f>Table132[[#This Row],[nb win]]/Table132[[#This Row],[nb play]]</f>
        <v>0</v>
      </c>
      <c r="H5953" t="str">
        <f>MID(Table132[[#This Row],[ÉTAT]],VALUE(RIGHT(Table132[[#This Row],[next move]],1))+1+VALUE(LEFT(Table132[[#This Row],[next move]],1))*3,1)</f>
        <v>V</v>
      </c>
      <c r="I5953" t="str">
        <f>Table132[[#This Row],[ÉTAT]]&amp;Table132[[#This Row],[next move]]</f>
        <v>EMVEEVVVM20</v>
      </c>
    </row>
    <row r="5954" spans="2:9" x14ac:dyDescent="0.25">
      <c r="B5954" t="s">
        <v>2125</v>
      </c>
      <c r="C5954" s="22" t="s">
        <v>22</v>
      </c>
      <c r="D5954">
        <v>7</v>
      </c>
      <c r="G5954" s="30">
        <f>Table132[[#This Row],[nb win]]/Table132[[#This Row],[nb play]]</f>
        <v>0</v>
      </c>
      <c r="H5954" t="str">
        <f>MID(Table132[[#This Row],[ÉTAT]],VALUE(RIGHT(Table132[[#This Row],[next move]],1))+1+VALUE(LEFT(Table132[[#This Row],[next move]],1))*3,1)</f>
        <v>V</v>
      </c>
      <c r="I5954" t="str">
        <f>Table132[[#This Row],[ÉTAT]]&amp;Table132[[#This Row],[next move]]</f>
        <v>EMVEEVVVM21</v>
      </c>
    </row>
    <row r="5955" spans="2:9" x14ac:dyDescent="0.25">
      <c r="B5955" t="s">
        <v>1201</v>
      </c>
      <c r="C5955" s="22" t="s">
        <v>20</v>
      </c>
      <c r="D5955">
        <v>3</v>
      </c>
      <c r="G5955" s="30">
        <f>Table132[[#This Row],[nb win]]/Table132[[#This Row],[nb play]]</f>
        <v>0</v>
      </c>
      <c r="H5955" t="str">
        <f>MID(Table132[[#This Row],[ÉTAT]],VALUE(RIGHT(Table132[[#This Row],[next move]],1))+1+VALUE(LEFT(Table132[[#This Row],[next move]],1))*3,1)</f>
        <v>V</v>
      </c>
      <c r="I5955" t="str">
        <f>Table132[[#This Row],[ÉTAT]]&amp;Table132[[#This Row],[next move]]</f>
        <v>EMVEEVVMV02</v>
      </c>
    </row>
    <row r="5956" spans="2:9" x14ac:dyDescent="0.25">
      <c r="B5956" t="s">
        <v>1201</v>
      </c>
      <c r="C5956" s="22" t="s">
        <v>28</v>
      </c>
      <c r="D5956">
        <v>7</v>
      </c>
      <c r="G5956" s="30">
        <f>Table132[[#This Row],[nb win]]/Table132[[#This Row],[nb play]]</f>
        <v>0</v>
      </c>
      <c r="H5956" t="str">
        <f>MID(Table132[[#This Row],[ÉTAT]],VALUE(RIGHT(Table132[[#This Row],[next move]],1))+1+VALUE(LEFT(Table132[[#This Row],[next move]],1))*3,1)</f>
        <v>V</v>
      </c>
      <c r="I5956" t="str">
        <f>Table132[[#This Row],[ÉTAT]]&amp;Table132[[#This Row],[next move]]</f>
        <v>EMVEEVVMV12</v>
      </c>
    </row>
    <row r="5957" spans="2:9" x14ac:dyDescent="0.25">
      <c r="B5957" t="s">
        <v>1201</v>
      </c>
      <c r="C5957" s="22" t="s">
        <v>35</v>
      </c>
      <c r="D5957">
        <v>4</v>
      </c>
      <c r="G5957" s="25">
        <f>Table132[[#This Row],[nb win]]/Table132[[#This Row],[nb play]]</f>
        <v>0</v>
      </c>
      <c r="H5957" t="str">
        <f>MID(Table132[[#This Row],[ÉTAT]],VALUE(RIGHT(Table132[[#This Row],[next move]],1))+1+VALUE(LEFT(Table132[[#This Row],[next move]],1))*3,1)</f>
        <v>V</v>
      </c>
      <c r="I5957" t="str">
        <f>Table132[[#This Row],[ÉTAT]]&amp;Table132[[#This Row],[next move]]</f>
        <v>EMVEEVVMV20</v>
      </c>
    </row>
    <row r="5958" spans="2:9" x14ac:dyDescent="0.25">
      <c r="B5958" t="s">
        <v>1201</v>
      </c>
      <c r="C5958" s="22" t="s">
        <v>31</v>
      </c>
      <c r="D5958">
        <v>1</v>
      </c>
      <c r="G5958" s="25">
        <f>Table132[[#This Row],[nb win]]/Table132[[#This Row],[nb play]]</f>
        <v>0</v>
      </c>
      <c r="H5958" t="str">
        <f>MID(Table132[[#This Row],[ÉTAT]],VALUE(RIGHT(Table132[[#This Row],[next move]],1))+1+VALUE(LEFT(Table132[[#This Row],[next move]],1))*3,1)</f>
        <v>V</v>
      </c>
      <c r="I5958" t="str">
        <f>Table132[[#This Row],[ÉTAT]]&amp;Table132[[#This Row],[next move]]</f>
        <v>EMVEEVVMV22</v>
      </c>
    </row>
    <row r="5959" spans="2:9" x14ac:dyDescent="0.25">
      <c r="B5959" t="s">
        <v>2832</v>
      </c>
      <c r="C5959" s="22" t="s">
        <v>28</v>
      </c>
      <c r="D5959">
        <v>1</v>
      </c>
      <c r="G5959" s="25">
        <f>Table132[[#This Row],[nb win]]/Table132[[#This Row],[nb play]]</f>
        <v>0</v>
      </c>
      <c r="H5959" t="str">
        <f>MID(Table132[[#This Row],[ÉTAT]],VALUE(RIGHT(Table132[[#This Row],[next move]],1))+1+VALUE(LEFT(Table132[[#This Row],[next move]],1))*3,1)</f>
        <v>V</v>
      </c>
      <c r="I5959" t="str">
        <f>Table132[[#This Row],[ÉTAT]]&amp;Table132[[#This Row],[next move]]</f>
        <v>EMVEEVMVV12</v>
      </c>
    </row>
    <row r="5960" spans="2:9" x14ac:dyDescent="0.25">
      <c r="B5960" t="s">
        <v>2832</v>
      </c>
      <c r="C5960" s="22" t="s">
        <v>22</v>
      </c>
      <c r="D5960">
        <v>1</v>
      </c>
      <c r="G5960" s="30">
        <f>Table132[[#This Row],[nb win]]/Table132[[#This Row],[nb play]]</f>
        <v>0</v>
      </c>
      <c r="H5960" t="str">
        <f>MID(Table132[[#This Row],[ÉTAT]],VALUE(RIGHT(Table132[[#This Row],[next move]],1))+1+VALUE(LEFT(Table132[[#This Row],[next move]],1))*3,1)</f>
        <v>V</v>
      </c>
      <c r="I5960" t="str">
        <f>Table132[[#This Row],[ÉTAT]]&amp;Table132[[#This Row],[next move]]</f>
        <v>EMVEEVMVV21</v>
      </c>
    </row>
    <row r="5961" spans="2:9" x14ac:dyDescent="0.25">
      <c r="B5961" t="s">
        <v>2422</v>
      </c>
      <c r="C5961" s="22" t="s">
        <v>22</v>
      </c>
      <c r="D5961">
        <v>2</v>
      </c>
      <c r="E5961">
        <v>2</v>
      </c>
      <c r="G5961" s="31">
        <f>Table132[[#This Row],[nb win]]/Table132[[#This Row],[nb play]]</f>
        <v>1</v>
      </c>
      <c r="H5961" t="str">
        <f>MID(Table132[[#This Row],[ÉTAT]],VALUE(RIGHT(Table132[[#This Row],[next move]],1))+1+VALUE(LEFT(Table132[[#This Row],[next move]],1))*3,1)</f>
        <v>V</v>
      </c>
      <c r="I5961" t="str">
        <f>Table132[[#This Row],[ÉTAT]]&amp;Table132[[#This Row],[next move]]</f>
        <v>EMVEEVMVM21</v>
      </c>
    </row>
    <row r="5962" spans="2:9" x14ac:dyDescent="0.25">
      <c r="B5962" t="s">
        <v>78</v>
      </c>
      <c r="C5962" s="22" t="s">
        <v>31</v>
      </c>
      <c r="D5962">
        <v>6</v>
      </c>
      <c r="E5962">
        <v>6</v>
      </c>
      <c r="G5962" s="31">
        <f>Table132[[#This Row],[nb win]]/Table132[[#This Row],[nb play]]</f>
        <v>1</v>
      </c>
      <c r="H5962" t="str">
        <f>MID(Table132[[#This Row],[ÉTAT]],VALUE(RIGHT(Table132[[#This Row],[next move]],1))+1+VALUE(LEFT(Table132[[#This Row],[next move]],1))*3,1)</f>
        <v>V</v>
      </c>
      <c r="I5962" t="str">
        <f>Table132[[#This Row],[ÉTAT]]&amp;Table132[[#This Row],[next move]]</f>
        <v>EMVEEVMMV22</v>
      </c>
    </row>
    <row r="5963" spans="2:9" x14ac:dyDescent="0.25">
      <c r="B5963" t="s">
        <v>855</v>
      </c>
      <c r="C5963" s="22" t="s">
        <v>20</v>
      </c>
      <c r="D5963">
        <v>3</v>
      </c>
      <c r="E5963">
        <v>1</v>
      </c>
      <c r="G5963" s="30">
        <f>Table132[[#This Row],[nb win]]/Table132[[#This Row],[nb play]]</f>
        <v>0.33333333333333331</v>
      </c>
      <c r="H5963" t="str">
        <f>MID(Table132[[#This Row],[ÉTAT]],VALUE(RIGHT(Table132[[#This Row],[next move]],1))+1+VALUE(LEFT(Table132[[#This Row],[next move]],1))*3,1)</f>
        <v>V</v>
      </c>
      <c r="I5963" t="str">
        <f>Table132[[#This Row],[ÉTAT]]&amp;Table132[[#This Row],[next move]]</f>
        <v>EMVEEMVVV02</v>
      </c>
    </row>
    <row r="5964" spans="2:9" x14ac:dyDescent="0.25">
      <c r="B5964" t="s">
        <v>855</v>
      </c>
      <c r="C5964" s="22" t="s">
        <v>35</v>
      </c>
      <c r="D5964">
        <v>1</v>
      </c>
      <c r="G5964" s="25">
        <f>Table132[[#This Row],[nb win]]/Table132[[#This Row],[nb play]]</f>
        <v>0</v>
      </c>
      <c r="H5964" t="str">
        <f>MID(Table132[[#This Row],[ÉTAT]],VALUE(RIGHT(Table132[[#This Row],[next move]],1))+1+VALUE(LEFT(Table132[[#This Row],[next move]],1))*3,1)</f>
        <v>V</v>
      </c>
      <c r="I5964" t="str">
        <f>Table132[[#This Row],[ÉTAT]]&amp;Table132[[#This Row],[next move]]</f>
        <v>EMVEEMVVV20</v>
      </c>
    </row>
    <row r="5965" spans="2:9" x14ac:dyDescent="0.25">
      <c r="B5965" t="s">
        <v>855</v>
      </c>
      <c r="C5965" s="22" t="s">
        <v>22</v>
      </c>
      <c r="D5965">
        <v>2</v>
      </c>
      <c r="G5965" s="25">
        <f>Table132[[#This Row],[nb win]]/Table132[[#This Row],[nb play]]</f>
        <v>0</v>
      </c>
      <c r="H5965" t="str">
        <f>MID(Table132[[#This Row],[ÉTAT]],VALUE(RIGHT(Table132[[#This Row],[next move]],1))+1+VALUE(LEFT(Table132[[#This Row],[next move]],1))*3,1)</f>
        <v>V</v>
      </c>
      <c r="I5965" t="str">
        <f>Table132[[#This Row],[ÉTAT]]&amp;Table132[[#This Row],[next move]]</f>
        <v>EMVEEMVVV21</v>
      </c>
    </row>
    <row r="5966" spans="2:9" x14ac:dyDescent="0.25">
      <c r="B5966" t="s">
        <v>855</v>
      </c>
      <c r="C5966" s="22" t="s">
        <v>31</v>
      </c>
      <c r="D5966">
        <v>4</v>
      </c>
      <c r="G5966" s="30">
        <f>Table132[[#This Row],[nb win]]/Table132[[#This Row],[nb play]]</f>
        <v>0</v>
      </c>
      <c r="H5966" t="str">
        <f>MID(Table132[[#This Row],[ÉTAT]],VALUE(RIGHT(Table132[[#This Row],[next move]],1))+1+VALUE(LEFT(Table132[[#This Row],[next move]],1))*3,1)</f>
        <v>V</v>
      </c>
      <c r="I5966" t="str">
        <f>Table132[[#This Row],[ÉTAT]]&amp;Table132[[#This Row],[next move]]</f>
        <v>EMVEEMVVV22</v>
      </c>
    </row>
    <row r="5967" spans="2:9" x14ac:dyDescent="0.25">
      <c r="B5967" t="s">
        <v>3305</v>
      </c>
      <c r="C5967" s="22" t="s">
        <v>22</v>
      </c>
      <c r="D5967">
        <v>1</v>
      </c>
      <c r="G5967" s="30">
        <f>Table132[[#This Row],[nb win]]/Table132[[#This Row],[nb play]]</f>
        <v>0</v>
      </c>
      <c r="H5967" t="str">
        <f>MID(Table132[[#This Row],[ÉTAT]],VALUE(RIGHT(Table132[[#This Row],[next move]],1))+1+VALUE(LEFT(Table132[[#This Row],[next move]],1))*3,1)</f>
        <v>V</v>
      </c>
      <c r="I5967" t="str">
        <f>Table132[[#This Row],[ÉTAT]]&amp;Table132[[#This Row],[next move]]</f>
        <v>EMVEEMVVM21</v>
      </c>
    </row>
    <row r="5968" spans="2:9" x14ac:dyDescent="0.25">
      <c r="B5968" t="s">
        <v>2893</v>
      </c>
      <c r="C5968" s="22" t="s">
        <v>22</v>
      </c>
      <c r="D5968">
        <v>1</v>
      </c>
      <c r="E5968">
        <v>1</v>
      </c>
      <c r="G5968" s="25">
        <f>Table132[[#This Row],[nb win]]/Table132[[#This Row],[nb play]]</f>
        <v>1</v>
      </c>
      <c r="H5968" t="str">
        <f>MID(Table132[[#This Row],[ÉTAT]],VALUE(RIGHT(Table132[[#This Row],[next move]],1))+1+VALUE(LEFT(Table132[[#This Row],[next move]],1))*3,1)</f>
        <v>V</v>
      </c>
      <c r="I5968" t="str">
        <f>Table132[[#This Row],[ÉTAT]]&amp;Table132[[#This Row],[next move]]</f>
        <v>EMVEEMMVV21</v>
      </c>
    </row>
    <row r="5969" spans="2:9" x14ac:dyDescent="0.25">
      <c r="B5969" t="s">
        <v>1793</v>
      </c>
      <c r="C5969" s="22" t="s">
        <v>20</v>
      </c>
      <c r="D5969">
        <v>3</v>
      </c>
      <c r="E5969">
        <v>3</v>
      </c>
      <c r="G5969" s="31">
        <f>Table132[[#This Row],[nb win]]/Table132[[#This Row],[nb play]]</f>
        <v>1</v>
      </c>
      <c r="H5969" t="str">
        <f>MID(Table132[[#This Row],[ÉTAT]],VALUE(RIGHT(Table132[[#This Row],[next move]],1))+1+VALUE(LEFT(Table132[[#This Row],[next move]],1))*3,1)</f>
        <v>V</v>
      </c>
      <c r="I5969" t="str">
        <f>Table132[[#This Row],[ÉTAT]]&amp;Table132[[#This Row],[next move]]</f>
        <v>EMVEEMMEM02</v>
      </c>
    </row>
    <row r="5970" spans="2:9" x14ac:dyDescent="0.25">
      <c r="B5970" t="s">
        <v>3027</v>
      </c>
      <c r="C5970" s="22" t="s">
        <v>30</v>
      </c>
      <c r="D5970">
        <v>1</v>
      </c>
      <c r="G5970" s="25">
        <f>Table132[[#This Row],[nb win]]/Table132[[#This Row],[nb play]]</f>
        <v>0</v>
      </c>
      <c r="H5970" t="str">
        <f>MID(Table132[[#This Row],[ÉTAT]],VALUE(RIGHT(Table132[[#This Row],[next move]],1))+1+VALUE(LEFT(Table132[[#This Row],[next move]],1))*3,1)</f>
        <v>V</v>
      </c>
      <c r="I5970" t="str">
        <f>Table132[[#This Row],[ÉTAT]]&amp;Table132[[#This Row],[next move]]</f>
        <v>EMMVVVVVE10</v>
      </c>
    </row>
    <row r="5971" spans="2:9" x14ac:dyDescent="0.25">
      <c r="B5971" t="s">
        <v>3027</v>
      </c>
      <c r="C5971" s="22" t="s">
        <v>28</v>
      </c>
      <c r="D5971">
        <v>1</v>
      </c>
      <c r="G5971" s="30">
        <f>Table132[[#This Row],[nb win]]/Table132[[#This Row],[nb play]]</f>
        <v>0</v>
      </c>
      <c r="H5971" t="str">
        <f>MID(Table132[[#This Row],[ÉTAT]],VALUE(RIGHT(Table132[[#This Row],[next move]],1))+1+VALUE(LEFT(Table132[[#This Row],[next move]],1))*3,1)</f>
        <v>V</v>
      </c>
      <c r="I5971" t="str">
        <f>Table132[[#This Row],[ÉTAT]]&amp;Table132[[#This Row],[next move]]</f>
        <v>EMMVVVVVE12</v>
      </c>
    </row>
    <row r="5972" spans="2:9" x14ac:dyDescent="0.25">
      <c r="B5972" t="s">
        <v>3027</v>
      </c>
      <c r="C5972" s="22" t="s">
        <v>35</v>
      </c>
      <c r="D5972">
        <v>1</v>
      </c>
      <c r="G5972" s="30">
        <f>Table132[[#This Row],[nb win]]/Table132[[#This Row],[nb play]]</f>
        <v>0</v>
      </c>
      <c r="H5972" t="str">
        <f>MID(Table132[[#This Row],[ÉTAT]],VALUE(RIGHT(Table132[[#This Row],[next move]],1))+1+VALUE(LEFT(Table132[[#This Row],[next move]],1))*3,1)</f>
        <v>V</v>
      </c>
      <c r="I5972" t="str">
        <f>Table132[[#This Row],[ÉTAT]]&amp;Table132[[#This Row],[next move]]</f>
        <v>EMMVVVVVE20</v>
      </c>
    </row>
    <row r="5973" spans="2:9" x14ac:dyDescent="0.25">
      <c r="B5973" t="s">
        <v>3028</v>
      </c>
      <c r="C5973" s="22" t="s">
        <v>29</v>
      </c>
      <c r="D5973">
        <v>1</v>
      </c>
      <c r="G5973" s="25">
        <f>Table132[[#This Row],[nb win]]/Table132[[#This Row],[nb play]]</f>
        <v>0</v>
      </c>
      <c r="H5973" t="str">
        <f>MID(Table132[[#This Row],[ÉTAT]],VALUE(RIGHT(Table132[[#This Row],[next move]],1))+1+VALUE(LEFT(Table132[[#This Row],[next move]],1))*3,1)</f>
        <v>V</v>
      </c>
      <c r="I5973" t="str">
        <f>Table132[[#This Row],[ÉTAT]]&amp;Table132[[#This Row],[next move]]</f>
        <v>EMMVVVVEV11</v>
      </c>
    </row>
    <row r="5974" spans="2:9" x14ac:dyDescent="0.25">
      <c r="B5974" t="s">
        <v>3028</v>
      </c>
      <c r="C5974" s="22" t="s">
        <v>31</v>
      </c>
      <c r="D5974">
        <v>1</v>
      </c>
      <c r="E5974">
        <v>1</v>
      </c>
      <c r="G5974" s="31">
        <f>Table132[[#This Row],[nb win]]/Table132[[#This Row],[nb play]]</f>
        <v>1</v>
      </c>
      <c r="H5974" t="str">
        <f>MID(Table132[[#This Row],[ÉTAT]],VALUE(RIGHT(Table132[[#This Row],[next move]],1))+1+VALUE(LEFT(Table132[[#This Row],[next move]],1))*3,1)</f>
        <v>V</v>
      </c>
      <c r="I5974" t="str">
        <f>Table132[[#This Row],[ÉTAT]]&amp;Table132[[#This Row],[next move]]</f>
        <v>EMMVVVVEV22</v>
      </c>
    </row>
    <row r="5975" spans="2:9" x14ac:dyDescent="0.25">
      <c r="B5975" t="s">
        <v>3084</v>
      </c>
      <c r="C5975" s="22" t="s">
        <v>28</v>
      </c>
      <c r="D5975">
        <v>1</v>
      </c>
      <c r="G5975" s="30">
        <f>Table132[[#This Row],[nb win]]/Table132[[#This Row],[nb play]]</f>
        <v>0</v>
      </c>
      <c r="H5975" t="str">
        <f>MID(Table132[[#This Row],[ÉTAT]],VALUE(RIGHT(Table132[[#This Row],[next move]],1))+1+VALUE(LEFT(Table132[[#This Row],[next move]],1))*3,1)</f>
        <v>V</v>
      </c>
      <c r="I5975" t="str">
        <f>Table132[[#This Row],[ÉTAT]]&amp;Table132[[#This Row],[next move]]</f>
        <v>EMMVVVVEE12</v>
      </c>
    </row>
    <row r="5976" spans="2:9" x14ac:dyDescent="0.25">
      <c r="B5976" t="s">
        <v>3084</v>
      </c>
      <c r="C5976" s="22" t="s">
        <v>35</v>
      </c>
      <c r="D5976">
        <v>1</v>
      </c>
      <c r="E5976">
        <v>1</v>
      </c>
      <c r="G5976" s="31">
        <f>Table132[[#This Row],[nb win]]/Table132[[#This Row],[nb play]]</f>
        <v>1</v>
      </c>
      <c r="H5976" t="str">
        <f>MID(Table132[[#This Row],[ÉTAT]],VALUE(RIGHT(Table132[[#This Row],[next move]],1))+1+VALUE(LEFT(Table132[[#This Row],[next move]],1))*3,1)</f>
        <v>V</v>
      </c>
      <c r="I5976" t="str">
        <f>Table132[[#This Row],[ÉTAT]]&amp;Table132[[#This Row],[next move]]</f>
        <v>EMMVVVVEE20</v>
      </c>
    </row>
    <row r="5977" spans="2:9" x14ac:dyDescent="0.25">
      <c r="B5977" t="s">
        <v>1026</v>
      </c>
      <c r="C5977" s="22" t="s">
        <v>29</v>
      </c>
      <c r="D5977">
        <v>2</v>
      </c>
      <c r="E5977">
        <v>2</v>
      </c>
      <c r="G5977" s="31">
        <f>Table132[[#This Row],[nb win]]/Table132[[#This Row],[nb play]]</f>
        <v>1</v>
      </c>
      <c r="H5977" t="str">
        <f>MID(Table132[[#This Row],[ÉTAT]],VALUE(RIGHT(Table132[[#This Row],[next move]],1))+1+VALUE(LEFT(Table132[[#This Row],[next move]],1))*3,1)</f>
        <v>V</v>
      </c>
      <c r="I5977" t="str">
        <f>Table132[[#This Row],[ÉTAT]]&amp;Table132[[#This Row],[next move]]</f>
        <v>EMMVVVMEE11</v>
      </c>
    </row>
    <row r="5978" spans="2:9" x14ac:dyDescent="0.25">
      <c r="B5978" t="s">
        <v>3354</v>
      </c>
      <c r="C5978" s="22" t="s">
        <v>29</v>
      </c>
      <c r="D5978">
        <v>1</v>
      </c>
      <c r="G5978" s="30">
        <f>Table132[[#This Row],[nb win]]/Table132[[#This Row],[nb play]]</f>
        <v>0</v>
      </c>
      <c r="H5978" t="str">
        <f>MID(Table132[[#This Row],[ÉTAT]],VALUE(RIGHT(Table132[[#This Row],[next move]],1))+1+VALUE(LEFT(Table132[[#This Row],[next move]],1))*3,1)</f>
        <v>V</v>
      </c>
      <c r="I5978" t="str">
        <f>Table132[[#This Row],[ÉTAT]]&amp;Table132[[#This Row],[next move]]</f>
        <v>EMMVVVEVV11</v>
      </c>
    </row>
    <row r="5979" spans="2:9" x14ac:dyDescent="0.25">
      <c r="B5979" t="s">
        <v>2682</v>
      </c>
      <c r="C5979" s="22" t="s">
        <v>30</v>
      </c>
      <c r="D5979">
        <v>1</v>
      </c>
      <c r="G5979" s="30">
        <f>Table132[[#This Row],[nb win]]/Table132[[#This Row],[nb play]]</f>
        <v>0</v>
      </c>
      <c r="H5979" t="str">
        <f>MID(Table132[[#This Row],[ÉTAT]],VALUE(RIGHT(Table132[[#This Row],[next move]],1))+1+VALUE(LEFT(Table132[[#This Row],[next move]],1))*3,1)</f>
        <v>V</v>
      </c>
      <c r="I5979" t="str">
        <f>Table132[[#This Row],[ÉTAT]]&amp;Table132[[#This Row],[next move]]</f>
        <v>EMMVVVEVE10</v>
      </c>
    </row>
    <row r="5980" spans="2:9" x14ac:dyDescent="0.25">
      <c r="B5980" t="s">
        <v>2682</v>
      </c>
      <c r="C5980" s="22" t="s">
        <v>29</v>
      </c>
      <c r="D5980">
        <v>1</v>
      </c>
      <c r="G5980" s="25">
        <f>Table132[[#This Row],[nb win]]/Table132[[#This Row],[nb play]]</f>
        <v>0</v>
      </c>
      <c r="H5980" t="str">
        <f>MID(Table132[[#This Row],[ÉTAT]],VALUE(RIGHT(Table132[[#This Row],[next move]],1))+1+VALUE(LEFT(Table132[[#This Row],[next move]],1))*3,1)</f>
        <v>V</v>
      </c>
      <c r="I5980" t="str">
        <f>Table132[[#This Row],[ÉTAT]]&amp;Table132[[#This Row],[next move]]</f>
        <v>EMMVVVEVE11</v>
      </c>
    </row>
    <row r="5981" spans="2:9" x14ac:dyDescent="0.25">
      <c r="B5981" t="s">
        <v>2682</v>
      </c>
      <c r="C5981" s="22" t="s">
        <v>28</v>
      </c>
      <c r="D5981">
        <v>1</v>
      </c>
      <c r="G5981" s="25">
        <f>Table132[[#This Row],[nb win]]/Table132[[#This Row],[nb play]]</f>
        <v>0</v>
      </c>
      <c r="H5981" t="str">
        <f>MID(Table132[[#This Row],[ÉTAT]],VALUE(RIGHT(Table132[[#This Row],[next move]],1))+1+VALUE(LEFT(Table132[[#This Row],[next move]],1))*3,1)</f>
        <v>V</v>
      </c>
      <c r="I5981" t="str">
        <f>Table132[[#This Row],[ÉTAT]]&amp;Table132[[#This Row],[next move]]</f>
        <v>EMMVVVEVE12</v>
      </c>
    </row>
    <row r="5982" spans="2:9" x14ac:dyDescent="0.25">
      <c r="B5982" t="s">
        <v>953</v>
      </c>
      <c r="C5982" s="22" t="s">
        <v>29</v>
      </c>
      <c r="D5982">
        <v>1</v>
      </c>
      <c r="E5982">
        <v>1</v>
      </c>
      <c r="G5982" s="25">
        <f>Table132[[#This Row],[nb win]]/Table132[[#This Row],[nb play]]</f>
        <v>1</v>
      </c>
      <c r="H5982" t="str">
        <f>MID(Table132[[#This Row],[ÉTAT]],VALUE(RIGHT(Table132[[#This Row],[next move]],1))+1+VALUE(LEFT(Table132[[#This Row],[next move]],1))*3,1)</f>
        <v>V</v>
      </c>
      <c r="I5982" t="str">
        <f>Table132[[#This Row],[ÉTAT]]&amp;Table132[[#This Row],[next move]]</f>
        <v>EMMVVVEME11</v>
      </c>
    </row>
    <row r="5983" spans="2:9" x14ac:dyDescent="0.25">
      <c r="B5983" t="s">
        <v>2447</v>
      </c>
      <c r="C5983" s="22" t="s">
        <v>29</v>
      </c>
      <c r="D5983">
        <v>1</v>
      </c>
      <c r="G5983" s="25">
        <f>Table132[[#This Row],[nb win]]/Table132[[#This Row],[nb play]]</f>
        <v>0</v>
      </c>
      <c r="H5983" t="str">
        <f>MID(Table132[[#This Row],[ÉTAT]],VALUE(RIGHT(Table132[[#This Row],[next move]],1))+1+VALUE(LEFT(Table132[[#This Row],[next move]],1))*3,1)</f>
        <v>V</v>
      </c>
      <c r="I5983" t="str">
        <f>Table132[[#This Row],[ÉTAT]]&amp;Table132[[#This Row],[next move]]</f>
        <v>EMMVVVEEM11</v>
      </c>
    </row>
    <row r="5984" spans="2:9" x14ac:dyDescent="0.25">
      <c r="B5984" t="s">
        <v>2447</v>
      </c>
      <c r="C5984" s="22" t="s">
        <v>28</v>
      </c>
      <c r="D5984">
        <v>1</v>
      </c>
      <c r="E5984">
        <v>1</v>
      </c>
      <c r="G5984" s="31">
        <f>Table132[[#This Row],[nb win]]/Table132[[#This Row],[nb play]]</f>
        <v>1</v>
      </c>
      <c r="H5984" t="str">
        <f>MID(Table132[[#This Row],[ÉTAT]],VALUE(RIGHT(Table132[[#This Row],[next move]],1))+1+VALUE(LEFT(Table132[[#This Row],[next move]],1))*3,1)</f>
        <v>V</v>
      </c>
      <c r="I5984" t="str">
        <f>Table132[[#This Row],[ÉTAT]]&amp;Table132[[#This Row],[next move]]</f>
        <v>EMMVVVEEM12</v>
      </c>
    </row>
    <row r="5985" spans="2:9" x14ac:dyDescent="0.25">
      <c r="B5985" t="s">
        <v>2592</v>
      </c>
      <c r="C5985" s="22" t="s">
        <v>30</v>
      </c>
      <c r="D5985">
        <v>1</v>
      </c>
      <c r="G5985" s="30">
        <f>Table132[[#This Row],[nb win]]/Table132[[#This Row],[nb play]]</f>
        <v>0</v>
      </c>
      <c r="H5985" t="str">
        <f>MID(Table132[[#This Row],[ÉTAT]],VALUE(RIGHT(Table132[[#This Row],[next move]],1))+1+VALUE(LEFT(Table132[[#This Row],[next move]],1))*3,1)</f>
        <v>V</v>
      </c>
      <c r="I5985" t="str">
        <f>Table132[[#This Row],[ÉTAT]]&amp;Table132[[#This Row],[next move]]</f>
        <v>EMMVVMVEE10</v>
      </c>
    </row>
    <row r="5986" spans="2:9" x14ac:dyDescent="0.25">
      <c r="B5986" t="s">
        <v>2592</v>
      </c>
      <c r="C5986" s="22" t="s">
        <v>29</v>
      </c>
      <c r="D5986">
        <v>1</v>
      </c>
      <c r="G5986" s="25">
        <f>Table132[[#This Row],[nb win]]/Table132[[#This Row],[nb play]]</f>
        <v>0</v>
      </c>
      <c r="H5986" t="str">
        <f>MID(Table132[[#This Row],[ÉTAT]],VALUE(RIGHT(Table132[[#This Row],[next move]],1))+1+VALUE(LEFT(Table132[[#This Row],[next move]],1))*3,1)</f>
        <v>V</v>
      </c>
      <c r="I5986" t="str">
        <f>Table132[[#This Row],[ÉTAT]]&amp;Table132[[#This Row],[next move]]</f>
        <v>EMMVVMVEE11</v>
      </c>
    </row>
    <row r="5987" spans="2:9" x14ac:dyDescent="0.25">
      <c r="B5987" t="s">
        <v>2592</v>
      </c>
      <c r="C5987" s="22" t="s">
        <v>35</v>
      </c>
      <c r="D5987">
        <v>1</v>
      </c>
      <c r="E5987">
        <v>1</v>
      </c>
      <c r="G5987" s="31">
        <f>Table132[[#This Row],[nb win]]/Table132[[#This Row],[nb play]]</f>
        <v>1</v>
      </c>
      <c r="H5987" t="str">
        <f>MID(Table132[[#This Row],[ÉTAT]],VALUE(RIGHT(Table132[[#This Row],[next move]],1))+1+VALUE(LEFT(Table132[[#This Row],[next move]],1))*3,1)</f>
        <v>V</v>
      </c>
      <c r="I5987" t="str">
        <f>Table132[[#This Row],[ÉTAT]]&amp;Table132[[#This Row],[next move]]</f>
        <v>EMMVVMVEE20</v>
      </c>
    </row>
    <row r="5988" spans="2:9" x14ac:dyDescent="0.25">
      <c r="B5988" t="s">
        <v>3338</v>
      </c>
      <c r="C5988" s="22" t="s">
        <v>29</v>
      </c>
      <c r="D5988">
        <v>1</v>
      </c>
      <c r="G5988" s="30">
        <f>Table132[[#This Row],[nb win]]/Table132[[#This Row],[nb play]]</f>
        <v>0</v>
      </c>
      <c r="H5988" t="str">
        <f>MID(Table132[[#This Row],[ÉTAT]],VALUE(RIGHT(Table132[[#This Row],[next move]],1))+1+VALUE(LEFT(Table132[[#This Row],[next move]],1))*3,1)</f>
        <v>V</v>
      </c>
      <c r="I5988" t="str">
        <f>Table132[[#This Row],[ÉTAT]]&amp;Table132[[#This Row],[next move]]</f>
        <v>EMMVVMEVE11</v>
      </c>
    </row>
    <row r="5989" spans="2:9" x14ac:dyDescent="0.25">
      <c r="B5989" t="s">
        <v>1377</v>
      </c>
      <c r="C5989" s="22" t="s">
        <v>30</v>
      </c>
      <c r="D5989">
        <v>3</v>
      </c>
      <c r="E5989">
        <v>1</v>
      </c>
      <c r="G5989" s="30">
        <f>Table132[[#This Row],[nb win]]/Table132[[#This Row],[nb play]]</f>
        <v>0.33333333333333331</v>
      </c>
      <c r="H5989" t="str">
        <f>MID(Table132[[#This Row],[ÉTAT]],VALUE(RIGHT(Table132[[#This Row],[next move]],1))+1+VALUE(LEFT(Table132[[#This Row],[next move]],1))*3,1)</f>
        <v>V</v>
      </c>
      <c r="I5989" t="str">
        <f>Table132[[#This Row],[ÉTAT]]&amp;Table132[[#This Row],[next move]]</f>
        <v>EMMVVMEEV10</v>
      </c>
    </row>
    <row r="5990" spans="2:9" x14ac:dyDescent="0.25">
      <c r="B5990" t="s">
        <v>1377</v>
      </c>
      <c r="C5990" s="22" t="s">
        <v>31</v>
      </c>
      <c r="D5990">
        <v>1</v>
      </c>
      <c r="E5990">
        <v>1</v>
      </c>
      <c r="G5990" s="31">
        <f>Table132[[#This Row],[nb win]]/Table132[[#This Row],[nb play]]</f>
        <v>1</v>
      </c>
      <c r="H5990" t="str">
        <f>MID(Table132[[#This Row],[ÉTAT]],VALUE(RIGHT(Table132[[#This Row],[next move]],1))+1+VALUE(LEFT(Table132[[#This Row],[next move]],1))*3,1)</f>
        <v>V</v>
      </c>
      <c r="I5990" t="str">
        <f>Table132[[#This Row],[ÉTAT]]&amp;Table132[[#This Row],[next move]]</f>
        <v>EMMVVMEEV22</v>
      </c>
    </row>
    <row r="5991" spans="2:9" x14ac:dyDescent="0.25">
      <c r="B5991" t="s">
        <v>3127</v>
      </c>
      <c r="C5991" s="22" t="s">
        <v>35</v>
      </c>
      <c r="D5991">
        <v>1</v>
      </c>
      <c r="G5991" s="30">
        <f>Table132[[#This Row],[nb win]]/Table132[[#This Row],[nb play]]</f>
        <v>0</v>
      </c>
      <c r="H5991" t="str">
        <f>MID(Table132[[#This Row],[ÉTAT]],VALUE(RIGHT(Table132[[#This Row],[next move]],1))+1+VALUE(LEFT(Table132[[#This Row],[next move]],1))*3,1)</f>
        <v>V</v>
      </c>
      <c r="I5991" t="str">
        <f>Table132[[#This Row],[ÉTAT]]&amp;Table132[[#This Row],[next move]]</f>
        <v>EMMVVEVVV20</v>
      </c>
    </row>
    <row r="5992" spans="2:9" x14ac:dyDescent="0.25">
      <c r="B5992" t="s">
        <v>679</v>
      </c>
      <c r="C5992" s="22" t="s">
        <v>22</v>
      </c>
      <c r="D5992">
        <v>2</v>
      </c>
      <c r="E5992">
        <v>2</v>
      </c>
      <c r="G5992" s="25">
        <f>Table132[[#This Row],[nb win]]/Table132[[#This Row],[nb play]]</f>
        <v>1</v>
      </c>
      <c r="H5992" t="str">
        <f>MID(Table132[[#This Row],[ÉTAT]],VALUE(RIGHT(Table132[[#This Row],[next move]],1))+1+VALUE(LEFT(Table132[[#This Row],[next move]],1))*3,1)</f>
        <v>V</v>
      </c>
      <c r="I5992" t="str">
        <f>Table132[[#This Row],[ÉTAT]]&amp;Table132[[#This Row],[next move]]</f>
        <v>EMMVVEVVE21</v>
      </c>
    </row>
    <row r="5993" spans="2:9" x14ac:dyDescent="0.25">
      <c r="B5993" t="s">
        <v>949</v>
      </c>
      <c r="C5993" s="22" t="s">
        <v>29</v>
      </c>
      <c r="D5993">
        <v>4</v>
      </c>
      <c r="E5993">
        <v>4</v>
      </c>
      <c r="G5993" s="31">
        <f>Table132[[#This Row],[nb win]]/Table132[[#This Row],[nb play]]</f>
        <v>1</v>
      </c>
      <c r="H5993" t="str">
        <f>MID(Table132[[#This Row],[ÉTAT]],VALUE(RIGHT(Table132[[#This Row],[next move]],1))+1+VALUE(LEFT(Table132[[#This Row],[next move]],1))*3,1)</f>
        <v>V</v>
      </c>
      <c r="I5993" t="str">
        <f>Table132[[#This Row],[ÉTAT]]&amp;Table132[[#This Row],[next move]]</f>
        <v>EMMVVEVME11</v>
      </c>
    </row>
    <row r="5994" spans="2:9" x14ac:dyDescent="0.25">
      <c r="B5994" t="s">
        <v>3306</v>
      </c>
      <c r="C5994" s="22" t="s">
        <v>31</v>
      </c>
      <c r="D5994">
        <v>1</v>
      </c>
      <c r="G5994" s="30">
        <f>Table132[[#This Row],[nb win]]/Table132[[#This Row],[nb play]]</f>
        <v>0</v>
      </c>
      <c r="H5994" t="str">
        <f>MID(Table132[[#This Row],[ÉTAT]],VALUE(RIGHT(Table132[[#This Row],[next move]],1))+1+VALUE(LEFT(Table132[[#This Row],[next move]],1))*3,1)</f>
        <v>V</v>
      </c>
      <c r="I5994" t="str">
        <f>Table132[[#This Row],[ÉTAT]]&amp;Table132[[#This Row],[next move]]</f>
        <v>EMMVVEVEV22</v>
      </c>
    </row>
    <row r="5995" spans="2:9" x14ac:dyDescent="0.25">
      <c r="B5995" t="s">
        <v>3129</v>
      </c>
      <c r="C5995" s="22" t="s">
        <v>30</v>
      </c>
      <c r="D5995">
        <v>1</v>
      </c>
      <c r="G5995" s="30">
        <f>Table132[[#This Row],[nb win]]/Table132[[#This Row],[nb play]]</f>
        <v>0</v>
      </c>
      <c r="H5995" t="str">
        <f>MID(Table132[[#This Row],[ÉTAT]],VALUE(RIGHT(Table132[[#This Row],[next move]],1))+1+VALUE(LEFT(Table132[[#This Row],[next move]],1))*3,1)</f>
        <v>V</v>
      </c>
      <c r="I5995" t="str">
        <f>Table132[[#This Row],[ÉTAT]]&amp;Table132[[#This Row],[next move]]</f>
        <v>EMMVVEMVE10</v>
      </c>
    </row>
    <row r="5996" spans="2:9" x14ac:dyDescent="0.25">
      <c r="B5996" t="s">
        <v>3129</v>
      </c>
      <c r="C5996" s="22" t="s">
        <v>22</v>
      </c>
      <c r="D5996">
        <v>1</v>
      </c>
      <c r="G5996" s="30">
        <f>Table132[[#This Row],[nb win]]/Table132[[#This Row],[nb play]]</f>
        <v>0</v>
      </c>
      <c r="H5996" t="str">
        <f>MID(Table132[[#This Row],[ÉTAT]],VALUE(RIGHT(Table132[[#This Row],[next move]],1))+1+VALUE(LEFT(Table132[[#This Row],[next move]],1))*3,1)</f>
        <v>V</v>
      </c>
      <c r="I5996" t="str">
        <f>Table132[[#This Row],[ÉTAT]]&amp;Table132[[#This Row],[next move]]</f>
        <v>EMMVVEMVE21</v>
      </c>
    </row>
    <row r="5997" spans="2:9" x14ac:dyDescent="0.25">
      <c r="B5997" t="s">
        <v>3144</v>
      </c>
      <c r="C5997" s="22" t="s">
        <v>31</v>
      </c>
      <c r="D5997">
        <v>2</v>
      </c>
      <c r="E5997">
        <v>2</v>
      </c>
      <c r="G5997" s="31">
        <f>Table132[[#This Row],[nb win]]/Table132[[#This Row],[nb play]]</f>
        <v>1</v>
      </c>
      <c r="H5997" t="str">
        <f>MID(Table132[[#This Row],[ÉTAT]],VALUE(RIGHT(Table132[[#This Row],[next move]],1))+1+VALUE(LEFT(Table132[[#This Row],[next move]],1))*3,1)</f>
        <v>V</v>
      </c>
      <c r="I5997" t="str">
        <f>Table132[[#This Row],[ÉTAT]]&amp;Table132[[#This Row],[next move]]</f>
        <v>EMMVVEMEV22</v>
      </c>
    </row>
    <row r="5998" spans="2:9" x14ac:dyDescent="0.25">
      <c r="B5998" t="s">
        <v>957</v>
      </c>
      <c r="C5998" s="22" t="s">
        <v>29</v>
      </c>
      <c r="D5998">
        <v>1</v>
      </c>
      <c r="E5998">
        <v>1</v>
      </c>
      <c r="G5998" s="25">
        <f>Table132[[#This Row],[nb win]]/Table132[[#This Row],[nb play]]</f>
        <v>1</v>
      </c>
      <c r="H5998" t="str">
        <f>MID(Table132[[#This Row],[ÉTAT]],VALUE(RIGHT(Table132[[#This Row],[next move]],1))+1+VALUE(LEFT(Table132[[#This Row],[next move]],1))*3,1)</f>
        <v>V</v>
      </c>
      <c r="I5998" t="str">
        <f>Table132[[#This Row],[ÉTAT]]&amp;Table132[[#This Row],[next move]]</f>
        <v>EMMVVEMEE11</v>
      </c>
    </row>
    <row r="5999" spans="2:9" x14ac:dyDescent="0.25">
      <c r="B5999" t="s">
        <v>988</v>
      </c>
      <c r="C5999" s="22" t="s">
        <v>29</v>
      </c>
      <c r="D5999">
        <v>1</v>
      </c>
      <c r="G5999" s="25">
        <f>Table132[[#This Row],[nb win]]/Table132[[#This Row],[nb play]]</f>
        <v>0</v>
      </c>
      <c r="H5999" t="str">
        <f>MID(Table132[[#This Row],[ÉTAT]],VALUE(RIGHT(Table132[[#This Row],[next move]],1))+1+VALUE(LEFT(Table132[[#This Row],[next move]],1))*3,1)</f>
        <v>V</v>
      </c>
      <c r="I5999" t="str">
        <f>Table132[[#This Row],[ÉTAT]]&amp;Table132[[#This Row],[next move]]</f>
        <v>EMMVVEEVM11</v>
      </c>
    </row>
    <row r="6000" spans="2:9" x14ac:dyDescent="0.25">
      <c r="B6000" t="s">
        <v>988</v>
      </c>
      <c r="C6000" s="22" t="s">
        <v>22</v>
      </c>
      <c r="D6000">
        <v>1</v>
      </c>
      <c r="G6000" s="25">
        <f>Table132[[#This Row],[nb win]]/Table132[[#This Row],[nb play]]</f>
        <v>0</v>
      </c>
      <c r="H6000" t="str">
        <f>MID(Table132[[#This Row],[ÉTAT]],VALUE(RIGHT(Table132[[#This Row],[next move]],1))+1+VALUE(LEFT(Table132[[#This Row],[next move]],1))*3,1)</f>
        <v>V</v>
      </c>
      <c r="I6000" t="str">
        <f>Table132[[#This Row],[ÉTAT]]&amp;Table132[[#This Row],[next move]]</f>
        <v>EMMVVEEVM21</v>
      </c>
    </row>
    <row r="6001" spans="2:9" x14ac:dyDescent="0.25">
      <c r="B6001" t="s">
        <v>699</v>
      </c>
      <c r="C6001" s="22" t="s">
        <v>29</v>
      </c>
      <c r="D6001">
        <v>4</v>
      </c>
      <c r="E6001">
        <v>4</v>
      </c>
      <c r="G6001" s="31">
        <f>Table132[[#This Row],[nb win]]/Table132[[#This Row],[nb play]]</f>
        <v>1</v>
      </c>
      <c r="H6001" t="str">
        <f>MID(Table132[[#This Row],[ÉTAT]],VALUE(RIGHT(Table132[[#This Row],[next move]],1))+1+VALUE(LEFT(Table132[[#This Row],[next move]],1))*3,1)</f>
        <v>V</v>
      </c>
      <c r="I6001" t="str">
        <f>Table132[[#This Row],[ÉTAT]]&amp;Table132[[#This Row],[next move]]</f>
        <v>EMMVVEEMV11</v>
      </c>
    </row>
    <row r="6002" spans="2:9" x14ac:dyDescent="0.25">
      <c r="B6002" t="s">
        <v>1497</v>
      </c>
      <c r="C6002" s="22" t="s">
        <v>29</v>
      </c>
      <c r="D6002">
        <v>2</v>
      </c>
      <c r="E6002">
        <v>2</v>
      </c>
      <c r="G6002" s="31">
        <f>Table132[[#This Row],[nb win]]/Table132[[#This Row],[nb play]]</f>
        <v>1</v>
      </c>
      <c r="H6002" t="str">
        <f>MID(Table132[[#This Row],[ÉTAT]],VALUE(RIGHT(Table132[[#This Row],[next move]],1))+1+VALUE(LEFT(Table132[[#This Row],[next move]],1))*3,1)</f>
        <v>V</v>
      </c>
      <c r="I6002" t="str">
        <f>Table132[[#This Row],[ÉTAT]]&amp;Table132[[#This Row],[next move]]</f>
        <v>EMMVVEEME11</v>
      </c>
    </row>
    <row r="6003" spans="2:9" x14ac:dyDescent="0.25">
      <c r="B6003" t="s">
        <v>1062</v>
      </c>
      <c r="C6003" s="22" t="s">
        <v>29</v>
      </c>
      <c r="D6003">
        <v>1</v>
      </c>
      <c r="G6003" s="25">
        <f>Table132[[#This Row],[nb win]]/Table132[[#This Row],[nb play]]</f>
        <v>0</v>
      </c>
      <c r="H6003" t="str">
        <f>MID(Table132[[#This Row],[ÉTAT]],VALUE(RIGHT(Table132[[#This Row],[next move]],1))+1+VALUE(LEFT(Table132[[#This Row],[next move]],1))*3,1)</f>
        <v>V</v>
      </c>
      <c r="I6003" t="str">
        <f>Table132[[#This Row],[ÉTAT]]&amp;Table132[[#This Row],[next move]]</f>
        <v>EMMVVEEEM11</v>
      </c>
    </row>
    <row r="6004" spans="2:9" x14ac:dyDescent="0.25">
      <c r="B6004" t="s">
        <v>2358</v>
      </c>
      <c r="C6004" s="22" t="s">
        <v>35</v>
      </c>
      <c r="D6004">
        <v>2</v>
      </c>
      <c r="E6004">
        <v>2</v>
      </c>
      <c r="G6004" s="31">
        <f>Table132[[#This Row],[nb win]]/Table132[[#This Row],[nb play]]</f>
        <v>1</v>
      </c>
      <c r="H6004" t="str">
        <f>MID(Table132[[#This Row],[ÉTAT]],VALUE(RIGHT(Table132[[#This Row],[next move]],1))+1+VALUE(LEFT(Table132[[#This Row],[next move]],1))*3,1)</f>
        <v>V</v>
      </c>
      <c r="I6004" t="str">
        <f>Table132[[#This Row],[ÉTAT]]&amp;Table132[[#This Row],[next move]]</f>
        <v>EMMVMVVEE20</v>
      </c>
    </row>
    <row r="6005" spans="2:9" x14ac:dyDescent="0.25">
      <c r="B6005" t="s">
        <v>895</v>
      </c>
      <c r="C6005" s="22" t="s">
        <v>30</v>
      </c>
      <c r="D6005">
        <v>1</v>
      </c>
      <c r="G6005" s="25">
        <f>Table132[[#This Row],[nb win]]/Table132[[#This Row],[nb play]]</f>
        <v>0</v>
      </c>
      <c r="H6005" t="str">
        <f>MID(Table132[[#This Row],[ÉTAT]],VALUE(RIGHT(Table132[[#This Row],[next move]],1))+1+VALUE(LEFT(Table132[[#This Row],[next move]],1))*3,1)</f>
        <v>V</v>
      </c>
      <c r="I6005" t="str">
        <f>Table132[[#This Row],[ÉTAT]]&amp;Table132[[#This Row],[next move]]</f>
        <v>EMMVMVEEV10</v>
      </c>
    </row>
    <row r="6006" spans="2:9" x14ac:dyDescent="0.25">
      <c r="B6006" t="s">
        <v>895</v>
      </c>
      <c r="C6006" s="22" t="s">
        <v>28</v>
      </c>
      <c r="D6006">
        <v>1</v>
      </c>
      <c r="G6006" s="25">
        <f>Table132[[#This Row],[nb win]]/Table132[[#This Row],[nb play]]</f>
        <v>0</v>
      </c>
      <c r="H6006" t="str">
        <f>MID(Table132[[#This Row],[ÉTAT]],VALUE(RIGHT(Table132[[#This Row],[next move]],1))+1+VALUE(LEFT(Table132[[#This Row],[next move]],1))*3,1)</f>
        <v>V</v>
      </c>
      <c r="I6006" t="str">
        <f>Table132[[#This Row],[ÉTAT]]&amp;Table132[[#This Row],[next move]]</f>
        <v>EMMVMVEEV12</v>
      </c>
    </row>
    <row r="6007" spans="2:9" x14ac:dyDescent="0.25">
      <c r="B6007" t="s">
        <v>534</v>
      </c>
      <c r="C6007" s="22" t="s">
        <v>30</v>
      </c>
      <c r="D6007">
        <v>4</v>
      </c>
      <c r="E6007">
        <v>4</v>
      </c>
      <c r="G6007" s="31">
        <f>Table132[[#This Row],[nb win]]/Table132[[#This Row],[nb play]]</f>
        <v>1</v>
      </c>
      <c r="H6007" t="str">
        <f>MID(Table132[[#This Row],[ÉTAT]],VALUE(RIGHT(Table132[[#This Row],[next move]],1))+1+VALUE(LEFT(Table132[[#This Row],[next move]],1))*3,1)</f>
        <v>V</v>
      </c>
      <c r="I6007" t="str">
        <f>Table132[[#This Row],[ÉTAT]]&amp;Table132[[#This Row],[next move]]</f>
        <v>EMMVMEVVE10</v>
      </c>
    </row>
    <row r="6008" spans="2:9" x14ac:dyDescent="0.25">
      <c r="B6008" t="s">
        <v>1077</v>
      </c>
      <c r="C6008" s="22" t="s">
        <v>35</v>
      </c>
      <c r="D6008">
        <v>4</v>
      </c>
      <c r="E6008">
        <v>4</v>
      </c>
      <c r="G6008" s="31">
        <f>Table132[[#This Row],[nb win]]/Table132[[#This Row],[nb play]]</f>
        <v>1</v>
      </c>
      <c r="H6008" t="str">
        <f>MID(Table132[[#This Row],[ÉTAT]],VALUE(RIGHT(Table132[[#This Row],[next move]],1))+1+VALUE(LEFT(Table132[[#This Row],[next move]],1))*3,1)</f>
        <v>V</v>
      </c>
      <c r="I6008" t="str">
        <f>Table132[[#This Row],[ÉTAT]]&amp;Table132[[#This Row],[next move]]</f>
        <v>EMMVMEVEV20</v>
      </c>
    </row>
    <row r="6009" spans="2:9" x14ac:dyDescent="0.25">
      <c r="B6009" t="s">
        <v>2845</v>
      </c>
      <c r="C6009" s="22" t="s">
        <v>30</v>
      </c>
      <c r="D6009">
        <v>1</v>
      </c>
      <c r="G6009" s="25">
        <f>Table132[[#This Row],[nb win]]/Table132[[#This Row],[nb play]]</f>
        <v>0</v>
      </c>
      <c r="H6009" t="str">
        <f>MID(Table132[[#This Row],[ÉTAT]],VALUE(RIGHT(Table132[[#This Row],[next move]],1))+1+VALUE(LEFT(Table132[[#This Row],[next move]],1))*3,1)</f>
        <v>V</v>
      </c>
      <c r="I6009" t="str">
        <f>Table132[[#This Row],[ÉTAT]]&amp;Table132[[#This Row],[next move]]</f>
        <v>EMMVMEVEE10</v>
      </c>
    </row>
    <row r="6010" spans="2:9" x14ac:dyDescent="0.25">
      <c r="B6010" t="s">
        <v>757</v>
      </c>
      <c r="C6010" s="22" t="s">
        <v>22</v>
      </c>
      <c r="D6010">
        <v>8</v>
      </c>
      <c r="E6010">
        <v>8</v>
      </c>
      <c r="G6010" s="31">
        <f>Table132[[#This Row],[nb win]]/Table132[[#This Row],[nb play]]</f>
        <v>1</v>
      </c>
      <c r="H6010" t="str">
        <f>MID(Table132[[#This Row],[ÉTAT]],VALUE(RIGHT(Table132[[#This Row],[next move]],1))+1+VALUE(LEFT(Table132[[#This Row],[next move]],1))*3,1)</f>
        <v>V</v>
      </c>
      <c r="I6010" t="str">
        <f>Table132[[#This Row],[ÉTAT]]&amp;Table132[[#This Row],[next move]]</f>
        <v>EMMVMEEVV21</v>
      </c>
    </row>
    <row r="6011" spans="2:9" x14ac:dyDescent="0.25">
      <c r="B6011" t="s">
        <v>2154</v>
      </c>
      <c r="C6011" s="22" t="s">
        <v>30</v>
      </c>
      <c r="D6011">
        <v>1</v>
      </c>
      <c r="G6011" s="25">
        <f>Table132[[#This Row],[nb win]]/Table132[[#This Row],[nb play]]</f>
        <v>0</v>
      </c>
      <c r="H6011" t="str">
        <f>MID(Table132[[#This Row],[ÉTAT]],VALUE(RIGHT(Table132[[#This Row],[next move]],1))+1+VALUE(LEFT(Table132[[#This Row],[next move]],1))*3,1)</f>
        <v>V</v>
      </c>
      <c r="I6011" t="str">
        <f>Table132[[#This Row],[ÉTAT]]&amp;Table132[[#This Row],[next move]]</f>
        <v>EMMVMEEEV10</v>
      </c>
    </row>
    <row r="6012" spans="2:9" x14ac:dyDescent="0.25">
      <c r="B6012" t="s">
        <v>2154</v>
      </c>
      <c r="C6012" s="22" t="s">
        <v>31</v>
      </c>
      <c r="D6012">
        <v>1</v>
      </c>
      <c r="G6012" s="25">
        <f>Table132[[#This Row],[nb win]]/Table132[[#This Row],[nb play]]</f>
        <v>0</v>
      </c>
      <c r="H6012" t="str">
        <f>MID(Table132[[#This Row],[ÉTAT]],VALUE(RIGHT(Table132[[#This Row],[next move]],1))+1+VALUE(LEFT(Table132[[#This Row],[next move]],1))*3,1)</f>
        <v>V</v>
      </c>
      <c r="I6012" t="str">
        <f>Table132[[#This Row],[ÉTAT]]&amp;Table132[[#This Row],[next move]]</f>
        <v>EMMVMEEEV22</v>
      </c>
    </row>
    <row r="6013" spans="2:9" x14ac:dyDescent="0.25">
      <c r="B6013" t="s">
        <v>794</v>
      </c>
      <c r="C6013" s="22" t="s">
        <v>30</v>
      </c>
      <c r="D6013">
        <v>2</v>
      </c>
      <c r="E6013">
        <v>1</v>
      </c>
      <c r="G6013" s="25">
        <f>Table132[[#This Row],[nb win]]/Table132[[#This Row],[nb play]]</f>
        <v>0.5</v>
      </c>
      <c r="H6013" t="str">
        <f>MID(Table132[[#This Row],[ÉTAT]],VALUE(RIGHT(Table132[[#This Row],[next move]],1))+1+VALUE(LEFT(Table132[[#This Row],[next move]],1))*3,1)</f>
        <v>V</v>
      </c>
      <c r="I6013" t="str">
        <f>Table132[[#This Row],[ÉTAT]]&amp;Table132[[#This Row],[next move]]</f>
        <v>EMMVEVVVV10</v>
      </c>
    </row>
    <row r="6014" spans="2:9" x14ac:dyDescent="0.25">
      <c r="B6014" t="s">
        <v>794</v>
      </c>
      <c r="C6014" s="22" t="s">
        <v>28</v>
      </c>
      <c r="D6014">
        <v>1</v>
      </c>
      <c r="G6014" s="25">
        <f>Table132[[#This Row],[nb win]]/Table132[[#This Row],[nb play]]</f>
        <v>0</v>
      </c>
      <c r="H6014" t="str">
        <f>MID(Table132[[#This Row],[ÉTAT]],VALUE(RIGHT(Table132[[#This Row],[next move]],1))+1+VALUE(LEFT(Table132[[#This Row],[next move]],1))*3,1)</f>
        <v>V</v>
      </c>
      <c r="I6014" t="str">
        <f>Table132[[#This Row],[ÉTAT]]&amp;Table132[[#This Row],[next move]]</f>
        <v>EMMVEVVVV12</v>
      </c>
    </row>
    <row r="6015" spans="2:9" x14ac:dyDescent="0.25">
      <c r="B6015" t="s">
        <v>794</v>
      </c>
      <c r="C6015" s="22" t="s">
        <v>35</v>
      </c>
      <c r="D6015">
        <v>2</v>
      </c>
      <c r="G6015" s="30">
        <f>Table132[[#This Row],[nb win]]/Table132[[#This Row],[nb play]]</f>
        <v>0</v>
      </c>
      <c r="H6015" t="str">
        <f>MID(Table132[[#This Row],[ÉTAT]],VALUE(RIGHT(Table132[[#This Row],[next move]],1))+1+VALUE(LEFT(Table132[[#This Row],[next move]],1))*3,1)</f>
        <v>V</v>
      </c>
      <c r="I6015" t="str">
        <f>Table132[[#This Row],[ÉTAT]]&amp;Table132[[#This Row],[next move]]</f>
        <v>EMMVEVVVV20</v>
      </c>
    </row>
    <row r="6016" spans="2:9" x14ac:dyDescent="0.25">
      <c r="B6016" t="s">
        <v>794</v>
      </c>
      <c r="C6016" s="22" t="s">
        <v>22</v>
      </c>
      <c r="D6016">
        <v>2</v>
      </c>
      <c r="G6016" s="30">
        <f>Table132[[#This Row],[nb win]]/Table132[[#This Row],[nb play]]</f>
        <v>0</v>
      </c>
      <c r="H6016" t="str">
        <f>MID(Table132[[#This Row],[ÉTAT]],VALUE(RIGHT(Table132[[#This Row],[next move]],1))+1+VALUE(LEFT(Table132[[#This Row],[next move]],1))*3,1)</f>
        <v>V</v>
      </c>
      <c r="I6016" t="str">
        <f>Table132[[#This Row],[ÉTAT]]&amp;Table132[[#This Row],[next move]]</f>
        <v>EMMVEVVVV21</v>
      </c>
    </row>
    <row r="6017" spans="2:9" x14ac:dyDescent="0.25">
      <c r="B6017" t="s">
        <v>794</v>
      </c>
      <c r="C6017" s="22" t="s">
        <v>31</v>
      </c>
      <c r="D6017">
        <v>2</v>
      </c>
      <c r="E6017">
        <v>2</v>
      </c>
      <c r="G6017" s="31">
        <f>Table132[[#This Row],[nb win]]/Table132[[#This Row],[nb play]]</f>
        <v>1</v>
      </c>
      <c r="H6017" t="str">
        <f>MID(Table132[[#This Row],[ÉTAT]],VALUE(RIGHT(Table132[[#This Row],[next move]],1))+1+VALUE(LEFT(Table132[[#This Row],[next move]],1))*3,1)</f>
        <v>V</v>
      </c>
      <c r="I6017" t="str">
        <f>Table132[[#This Row],[ÉTAT]]&amp;Table132[[#This Row],[next move]]</f>
        <v>EMMVEVVVV22</v>
      </c>
    </row>
    <row r="6018" spans="2:9" x14ac:dyDescent="0.25">
      <c r="B6018" t="s">
        <v>1672</v>
      </c>
      <c r="C6018" s="22" t="s">
        <v>30</v>
      </c>
      <c r="D6018">
        <v>2</v>
      </c>
      <c r="G6018" s="25">
        <f>Table132[[#This Row],[nb win]]/Table132[[#This Row],[nb play]]</f>
        <v>0</v>
      </c>
      <c r="H6018" t="str">
        <f>MID(Table132[[#This Row],[ÉTAT]],VALUE(RIGHT(Table132[[#This Row],[next move]],1))+1+VALUE(LEFT(Table132[[#This Row],[next move]],1))*3,1)</f>
        <v>V</v>
      </c>
      <c r="I6018" t="str">
        <f>Table132[[#This Row],[ÉTAT]]&amp;Table132[[#This Row],[next move]]</f>
        <v>EMMVEVVEV10</v>
      </c>
    </row>
    <row r="6019" spans="2:9" x14ac:dyDescent="0.25">
      <c r="B6019" t="s">
        <v>1672</v>
      </c>
      <c r="C6019" s="22" t="s">
        <v>28</v>
      </c>
      <c r="D6019">
        <v>1</v>
      </c>
      <c r="E6019">
        <v>1</v>
      </c>
      <c r="G6019" s="25">
        <f>Table132[[#This Row],[nb win]]/Table132[[#This Row],[nb play]]</f>
        <v>1</v>
      </c>
      <c r="H6019" t="str">
        <f>MID(Table132[[#This Row],[ÉTAT]],VALUE(RIGHT(Table132[[#This Row],[next move]],1))+1+VALUE(LEFT(Table132[[#This Row],[next move]],1))*3,1)</f>
        <v>V</v>
      </c>
      <c r="I6019" t="str">
        <f>Table132[[#This Row],[ÉTAT]]&amp;Table132[[#This Row],[next move]]</f>
        <v>EMMVEVVEV12</v>
      </c>
    </row>
    <row r="6020" spans="2:9" x14ac:dyDescent="0.25">
      <c r="B6020" t="s">
        <v>2967</v>
      </c>
      <c r="C6020" s="22" t="s">
        <v>28</v>
      </c>
      <c r="D6020">
        <v>2</v>
      </c>
      <c r="E6020">
        <v>2</v>
      </c>
      <c r="G6020" s="31">
        <f>Table132[[#This Row],[nb win]]/Table132[[#This Row],[nb play]]</f>
        <v>1</v>
      </c>
      <c r="H6020" t="str">
        <f>MID(Table132[[#This Row],[ÉTAT]],VALUE(RIGHT(Table132[[#This Row],[next move]],1))+1+VALUE(LEFT(Table132[[#This Row],[next move]],1))*3,1)</f>
        <v>V</v>
      </c>
      <c r="I6020" t="str">
        <f>Table132[[#This Row],[ÉTAT]]&amp;Table132[[#This Row],[next move]]</f>
        <v>EMMVEVVEM12</v>
      </c>
    </row>
    <row r="6021" spans="2:9" x14ac:dyDescent="0.25">
      <c r="B6021" t="s">
        <v>564</v>
      </c>
      <c r="C6021" s="22" t="s">
        <v>30</v>
      </c>
      <c r="D6021">
        <v>1</v>
      </c>
      <c r="G6021" s="25">
        <f>Table132[[#This Row],[nb win]]/Table132[[#This Row],[nb play]]</f>
        <v>0</v>
      </c>
      <c r="H6021" t="str">
        <f>MID(Table132[[#This Row],[ÉTAT]],VALUE(RIGHT(Table132[[#This Row],[next move]],1))+1+VALUE(LEFT(Table132[[#This Row],[next move]],1))*3,1)</f>
        <v>V</v>
      </c>
      <c r="I6021" t="str">
        <f>Table132[[#This Row],[ÉTAT]]&amp;Table132[[#This Row],[next move]]</f>
        <v>EMMVEVMEV10</v>
      </c>
    </row>
    <row r="6022" spans="2:9" x14ac:dyDescent="0.25">
      <c r="B6022" t="s">
        <v>2290</v>
      </c>
      <c r="C6022" s="22" t="s">
        <v>30</v>
      </c>
      <c r="D6022">
        <v>1</v>
      </c>
      <c r="E6022">
        <v>1</v>
      </c>
      <c r="G6022" s="25">
        <f>Table132[[#This Row],[nb win]]/Table132[[#This Row],[nb play]]</f>
        <v>1</v>
      </c>
      <c r="H6022" t="str">
        <f>MID(Table132[[#This Row],[ÉTAT]],VALUE(RIGHT(Table132[[#This Row],[next move]],1))+1+VALUE(LEFT(Table132[[#This Row],[next move]],1))*3,1)</f>
        <v>V</v>
      </c>
      <c r="I6022" t="str">
        <f>Table132[[#This Row],[ÉTAT]]&amp;Table132[[#This Row],[next move]]</f>
        <v>EMMVEVEVM10</v>
      </c>
    </row>
    <row r="6023" spans="2:9" x14ac:dyDescent="0.25">
      <c r="B6023" t="s">
        <v>3366</v>
      </c>
      <c r="C6023" s="22" t="s">
        <v>30</v>
      </c>
      <c r="D6023">
        <v>1</v>
      </c>
      <c r="G6023" s="30">
        <f>Table132[[#This Row],[nb win]]/Table132[[#This Row],[nb play]]</f>
        <v>0</v>
      </c>
      <c r="H6023" t="str">
        <f>MID(Table132[[#This Row],[ÉTAT]],VALUE(RIGHT(Table132[[#This Row],[next move]],1))+1+VALUE(LEFT(Table132[[#This Row],[next move]],1))*3,1)</f>
        <v>V</v>
      </c>
      <c r="I6023" t="str">
        <f>Table132[[#This Row],[ÉTAT]]&amp;Table132[[#This Row],[next move]]</f>
        <v>EMMVEVEMV10</v>
      </c>
    </row>
    <row r="6024" spans="2:9" x14ac:dyDescent="0.25">
      <c r="B6024" t="s">
        <v>3435</v>
      </c>
      <c r="C6024" s="22" t="s">
        <v>30</v>
      </c>
      <c r="D6024">
        <v>1</v>
      </c>
      <c r="G6024" s="30">
        <f>Table132[[#This Row],[nb win]]/Table132[[#This Row],[nb play]]</f>
        <v>0</v>
      </c>
      <c r="H6024" t="str">
        <f>MID(Table132[[#This Row],[ÉTAT]],VALUE(RIGHT(Table132[[#This Row],[next move]],1))+1+VALUE(LEFT(Table132[[#This Row],[next move]],1))*3,1)</f>
        <v>V</v>
      </c>
      <c r="I6024" t="str">
        <f>Table132[[#This Row],[ÉTAT]]&amp;Table132[[#This Row],[next move]]</f>
        <v>EMMVEMVEV10</v>
      </c>
    </row>
    <row r="6025" spans="2:9" x14ac:dyDescent="0.25">
      <c r="B6025" t="s">
        <v>3435</v>
      </c>
      <c r="C6025" s="22" t="s">
        <v>35</v>
      </c>
      <c r="D6025">
        <v>1</v>
      </c>
      <c r="G6025" s="30">
        <f>Table132[[#This Row],[nb win]]/Table132[[#This Row],[nb play]]</f>
        <v>0</v>
      </c>
      <c r="H6025" t="str">
        <f>MID(Table132[[#This Row],[ÉTAT]],VALUE(RIGHT(Table132[[#This Row],[next move]],1))+1+VALUE(LEFT(Table132[[#This Row],[next move]],1))*3,1)</f>
        <v>V</v>
      </c>
      <c r="I6025" t="str">
        <f>Table132[[#This Row],[ÉTAT]]&amp;Table132[[#This Row],[next move]]</f>
        <v>EMMVEMVEV20</v>
      </c>
    </row>
    <row r="6026" spans="2:9" x14ac:dyDescent="0.25">
      <c r="B6026" t="s">
        <v>3435</v>
      </c>
      <c r="C6026" s="22" t="s">
        <v>31</v>
      </c>
      <c r="D6026">
        <v>1</v>
      </c>
      <c r="E6026">
        <v>1</v>
      </c>
      <c r="G6026" s="31">
        <f>Table132[[#This Row],[nb win]]/Table132[[#This Row],[nb play]]</f>
        <v>1</v>
      </c>
      <c r="H6026" t="str">
        <f>MID(Table132[[#This Row],[ÉTAT]],VALUE(RIGHT(Table132[[#This Row],[next move]],1))+1+VALUE(LEFT(Table132[[#This Row],[next move]],1))*3,1)</f>
        <v>V</v>
      </c>
      <c r="I6026" t="str">
        <f>Table132[[#This Row],[ÉTAT]]&amp;Table132[[#This Row],[next move]]</f>
        <v>EMMVEMVEV22</v>
      </c>
    </row>
    <row r="6027" spans="2:9" x14ac:dyDescent="0.25">
      <c r="B6027" t="s">
        <v>339</v>
      </c>
      <c r="C6027" s="22" t="s">
        <v>30</v>
      </c>
      <c r="D6027">
        <v>1</v>
      </c>
      <c r="G6027" s="25">
        <f>Table132[[#This Row],[nb win]]/Table132[[#This Row],[nb play]]</f>
        <v>0</v>
      </c>
      <c r="H6027" t="str">
        <f>MID(Table132[[#This Row],[ÉTAT]],VALUE(RIGHT(Table132[[#This Row],[next move]],1))+1+VALUE(LEFT(Table132[[#This Row],[next move]],1))*3,1)</f>
        <v>V</v>
      </c>
      <c r="I6027" t="str">
        <f>Table132[[#This Row],[ÉTAT]]&amp;Table132[[#This Row],[next move]]</f>
        <v>EMMVEMEVV10</v>
      </c>
    </row>
    <row r="6028" spans="2:9" x14ac:dyDescent="0.25">
      <c r="B6028" t="s">
        <v>339</v>
      </c>
      <c r="C6028" s="22" t="s">
        <v>22</v>
      </c>
      <c r="D6028">
        <v>1</v>
      </c>
      <c r="G6028" s="25">
        <f>Table132[[#This Row],[nb win]]/Table132[[#This Row],[nb play]]</f>
        <v>0</v>
      </c>
      <c r="H6028" t="str">
        <f>MID(Table132[[#This Row],[ÉTAT]],VALUE(RIGHT(Table132[[#This Row],[next move]],1))+1+VALUE(LEFT(Table132[[#This Row],[next move]],1))*3,1)</f>
        <v>V</v>
      </c>
      <c r="I6028" t="str">
        <f>Table132[[#This Row],[ÉTAT]]&amp;Table132[[#This Row],[next move]]</f>
        <v>EMMVEMEVV21</v>
      </c>
    </row>
    <row r="6029" spans="2:9" x14ac:dyDescent="0.25">
      <c r="B6029" t="s">
        <v>339</v>
      </c>
      <c r="C6029" s="22" t="s">
        <v>31</v>
      </c>
      <c r="D6029">
        <v>1</v>
      </c>
      <c r="E6029">
        <v>1</v>
      </c>
      <c r="G6029" s="31">
        <f>Table132[[#This Row],[nb win]]/Table132[[#This Row],[nb play]]</f>
        <v>1</v>
      </c>
      <c r="H6029" t="str">
        <f>MID(Table132[[#This Row],[ÉTAT]],VALUE(RIGHT(Table132[[#This Row],[next move]],1))+1+VALUE(LEFT(Table132[[#This Row],[next move]],1))*3,1)</f>
        <v>V</v>
      </c>
      <c r="I6029" t="str">
        <f>Table132[[#This Row],[ÉTAT]]&amp;Table132[[#This Row],[next move]]</f>
        <v>EMMVEMEVV22</v>
      </c>
    </row>
    <row r="6030" spans="2:9" x14ac:dyDescent="0.25">
      <c r="B6030" t="s">
        <v>2578</v>
      </c>
      <c r="C6030" s="22" t="s">
        <v>31</v>
      </c>
      <c r="D6030">
        <v>2</v>
      </c>
      <c r="E6030">
        <v>2</v>
      </c>
      <c r="G6030" s="31">
        <f>Table132[[#This Row],[nb win]]/Table132[[#This Row],[nb play]]</f>
        <v>1</v>
      </c>
      <c r="H6030" t="str">
        <f>MID(Table132[[#This Row],[ÉTAT]],VALUE(RIGHT(Table132[[#This Row],[next move]],1))+1+VALUE(LEFT(Table132[[#This Row],[next move]],1))*3,1)</f>
        <v>V</v>
      </c>
      <c r="I6030" t="str">
        <f>Table132[[#This Row],[ÉTAT]]&amp;Table132[[#This Row],[next move]]</f>
        <v>EMMVEMEEV22</v>
      </c>
    </row>
    <row r="6031" spans="2:9" x14ac:dyDescent="0.25">
      <c r="B6031" t="s">
        <v>1874</v>
      </c>
      <c r="C6031" s="22" t="s">
        <v>30</v>
      </c>
      <c r="D6031">
        <v>1</v>
      </c>
      <c r="G6031" s="25">
        <f>Table132[[#This Row],[nb win]]/Table132[[#This Row],[nb play]]</f>
        <v>0</v>
      </c>
      <c r="H6031" t="str">
        <f>MID(Table132[[#This Row],[ÉTAT]],VALUE(RIGHT(Table132[[#This Row],[next move]],1))+1+VALUE(LEFT(Table132[[#This Row],[next move]],1))*3,1)</f>
        <v>V</v>
      </c>
      <c r="I6031" t="str">
        <f>Table132[[#This Row],[ÉTAT]]&amp;Table132[[#This Row],[next move]]</f>
        <v>EMMVEEVVV10</v>
      </c>
    </row>
    <row r="6032" spans="2:9" x14ac:dyDescent="0.25">
      <c r="B6032" t="s">
        <v>1874</v>
      </c>
      <c r="C6032" s="22" t="s">
        <v>35</v>
      </c>
      <c r="D6032">
        <v>1</v>
      </c>
      <c r="G6032" s="25">
        <f>Table132[[#This Row],[nb win]]/Table132[[#This Row],[nb play]]</f>
        <v>0</v>
      </c>
      <c r="H6032" t="str">
        <f>MID(Table132[[#This Row],[ÉTAT]],VALUE(RIGHT(Table132[[#This Row],[next move]],1))+1+VALUE(LEFT(Table132[[#This Row],[next move]],1))*3,1)</f>
        <v>V</v>
      </c>
      <c r="I6032" t="str">
        <f>Table132[[#This Row],[ÉTAT]]&amp;Table132[[#This Row],[next move]]</f>
        <v>EMMVEEVVV20</v>
      </c>
    </row>
    <row r="6033" spans="2:9" x14ac:dyDescent="0.25">
      <c r="B6033" t="s">
        <v>1874</v>
      </c>
      <c r="C6033" s="22" t="s">
        <v>22</v>
      </c>
      <c r="D6033">
        <v>4</v>
      </c>
      <c r="G6033" s="25">
        <f>Table132[[#This Row],[nb win]]/Table132[[#This Row],[nb play]]</f>
        <v>0</v>
      </c>
      <c r="H6033" t="str">
        <f>MID(Table132[[#This Row],[ÉTAT]],VALUE(RIGHT(Table132[[#This Row],[next move]],1))+1+VALUE(LEFT(Table132[[#This Row],[next move]],1))*3,1)</f>
        <v>V</v>
      </c>
      <c r="I6033" t="str">
        <f>Table132[[#This Row],[ÉTAT]]&amp;Table132[[#This Row],[next move]]</f>
        <v>EMMVEEVVV21</v>
      </c>
    </row>
    <row r="6034" spans="2:9" x14ac:dyDescent="0.25">
      <c r="B6034" t="s">
        <v>1874</v>
      </c>
      <c r="C6034" s="22" t="s">
        <v>31</v>
      </c>
      <c r="D6034">
        <v>4</v>
      </c>
      <c r="G6034" s="30">
        <f>Table132[[#This Row],[nb win]]/Table132[[#This Row],[nb play]]</f>
        <v>0</v>
      </c>
      <c r="H6034" t="str">
        <f>MID(Table132[[#This Row],[ÉTAT]],VALUE(RIGHT(Table132[[#This Row],[next move]],1))+1+VALUE(LEFT(Table132[[#This Row],[next move]],1))*3,1)</f>
        <v>V</v>
      </c>
      <c r="I6034" t="str">
        <f>Table132[[#This Row],[ÉTAT]]&amp;Table132[[#This Row],[next move]]</f>
        <v>EMMVEEVVV22</v>
      </c>
    </row>
    <row r="6035" spans="2:9" x14ac:dyDescent="0.25">
      <c r="B6035" t="s">
        <v>375</v>
      </c>
      <c r="C6035" s="22" t="s">
        <v>30</v>
      </c>
      <c r="D6035">
        <v>1</v>
      </c>
      <c r="G6035" s="30">
        <f>Table132[[#This Row],[nb win]]/Table132[[#This Row],[nb play]]</f>
        <v>0</v>
      </c>
      <c r="H6035" t="str">
        <f>MID(Table132[[#This Row],[ÉTAT]],VALUE(RIGHT(Table132[[#This Row],[next move]],1))+1+VALUE(LEFT(Table132[[#This Row],[next move]],1))*3,1)</f>
        <v>V</v>
      </c>
      <c r="I6035" t="str">
        <f>Table132[[#This Row],[ÉTAT]]&amp;Table132[[#This Row],[next move]]</f>
        <v>EMMVEEVMV10</v>
      </c>
    </row>
    <row r="6036" spans="2:9" x14ac:dyDescent="0.25">
      <c r="B6036" t="s">
        <v>375</v>
      </c>
      <c r="C6036" s="22" t="s">
        <v>35</v>
      </c>
      <c r="D6036">
        <v>1</v>
      </c>
      <c r="G6036" s="25">
        <f>Table132[[#This Row],[nb win]]/Table132[[#This Row],[nb play]]</f>
        <v>0</v>
      </c>
      <c r="H6036" t="str">
        <f>MID(Table132[[#This Row],[ÉTAT]],VALUE(RIGHT(Table132[[#This Row],[next move]],1))+1+VALUE(LEFT(Table132[[#This Row],[next move]],1))*3,1)</f>
        <v>V</v>
      </c>
      <c r="I6036" t="str">
        <f>Table132[[#This Row],[ÉTAT]]&amp;Table132[[#This Row],[next move]]</f>
        <v>EMMVEEVMV20</v>
      </c>
    </row>
    <row r="6037" spans="2:9" x14ac:dyDescent="0.25">
      <c r="B6037" t="s">
        <v>375</v>
      </c>
      <c r="C6037" s="22" t="s">
        <v>31</v>
      </c>
      <c r="D6037">
        <v>2</v>
      </c>
      <c r="G6037" s="30">
        <f>Table132[[#This Row],[nb win]]/Table132[[#This Row],[nb play]]</f>
        <v>0</v>
      </c>
      <c r="H6037" t="str">
        <f>MID(Table132[[#This Row],[ÉTAT]],VALUE(RIGHT(Table132[[#This Row],[next move]],1))+1+VALUE(LEFT(Table132[[#This Row],[next move]],1))*3,1)</f>
        <v>V</v>
      </c>
      <c r="I6037" t="str">
        <f>Table132[[#This Row],[ÉTAT]]&amp;Table132[[#This Row],[next move]]</f>
        <v>EMMVEEVMV22</v>
      </c>
    </row>
    <row r="6038" spans="2:9" x14ac:dyDescent="0.25">
      <c r="B6038" t="s">
        <v>1886</v>
      </c>
      <c r="C6038" s="22" t="s">
        <v>22</v>
      </c>
      <c r="D6038">
        <v>1</v>
      </c>
      <c r="G6038" s="25">
        <f>Table132[[#This Row],[nb win]]/Table132[[#This Row],[nb play]]</f>
        <v>0</v>
      </c>
      <c r="H6038" t="str">
        <f>MID(Table132[[#This Row],[ÉTAT]],VALUE(RIGHT(Table132[[#This Row],[next move]],1))+1+VALUE(LEFT(Table132[[#This Row],[next move]],1))*3,1)</f>
        <v>V</v>
      </c>
      <c r="I6038" t="str">
        <f>Table132[[#This Row],[ÉTAT]]&amp;Table132[[#This Row],[next move]]</f>
        <v>EMMVEEMVV21</v>
      </c>
    </row>
    <row r="6039" spans="2:9" x14ac:dyDescent="0.25">
      <c r="B6039" t="s">
        <v>1876</v>
      </c>
      <c r="C6039" s="22" t="s">
        <v>30</v>
      </c>
      <c r="D6039">
        <v>2</v>
      </c>
      <c r="G6039" s="30">
        <f>Table132[[#This Row],[nb win]]/Table132[[#This Row],[nb play]]</f>
        <v>0</v>
      </c>
      <c r="H6039" t="str">
        <f>MID(Table132[[#This Row],[ÉTAT]],VALUE(RIGHT(Table132[[#This Row],[next move]],1))+1+VALUE(LEFT(Table132[[#This Row],[next move]],1))*3,1)</f>
        <v>V</v>
      </c>
      <c r="I6039" t="str">
        <f>Table132[[#This Row],[ÉTAT]]&amp;Table132[[#This Row],[next move]]</f>
        <v>EMMVEEMEV10</v>
      </c>
    </row>
    <row r="6040" spans="2:9" x14ac:dyDescent="0.25">
      <c r="B6040" t="s">
        <v>1876</v>
      </c>
      <c r="C6040" s="22" t="s">
        <v>31</v>
      </c>
      <c r="D6040">
        <v>1</v>
      </c>
      <c r="G6040" s="25">
        <f>Table132[[#This Row],[nb win]]/Table132[[#This Row],[nb play]]</f>
        <v>0</v>
      </c>
      <c r="H6040" t="str">
        <f>MID(Table132[[#This Row],[ÉTAT]],VALUE(RIGHT(Table132[[#This Row],[next move]],1))+1+VALUE(LEFT(Table132[[#This Row],[next move]],1))*3,1)</f>
        <v>V</v>
      </c>
      <c r="I6040" t="str">
        <f>Table132[[#This Row],[ÉTAT]]&amp;Table132[[#This Row],[next move]]</f>
        <v>EMMVEEMEV22</v>
      </c>
    </row>
    <row r="6041" spans="2:9" x14ac:dyDescent="0.25">
      <c r="B6041" t="s">
        <v>2395</v>
      </c>
      <c r="C6041" s="22" t="s">
        <v>29</v>
      </c>
      <c r="D6041">
        <v>1</v>
      </c>
      <c r="G6041" s="30">
        <f>Table132[[#This Row],[nb win]]/Table132[[#This Row],[nb play]]</f>
        <v>0</v>
      </c>
      <c r="H6041" t="str">
        <f>MID(Table132[[#This Row],[ÉTAT]],VALUE(RIGHT(Table132[[#This Row],[next move]],1))+1+VALUE(LEFT(Table132[[#This Row],[next move]],1))*3,1)</f>
        <v>V</v>
      </c>
      <c r="I6041" t="str">
        <f>Table132[[#This Row],[ÉTAT]]&amp;Table132[[#This Row],[next move]]</f>
        <v>EMMMVVEVE11</v>
      </c>
    </row>
    <row r="6042" spans="2:9" x14ac:dyDescent="0.25">
      <c r="B6042" t="s">
        <v>2395</v>
      </c>
      <c r="C6042" s="22" t="s">
        <v>28</v>
      </c>
      <c r="D6042">
        <v>1</v>
      </c>
      <c r="G6042" s="25">
        <f>Table132[[#This Row],[nb win]]/Table132[[#This Row],[nb play]]</f>
        <v>0</v>
      </c>
      <c r="H6042" t="str">
        <f>MID(Table132[[#This Row],[ÉTAT]],VALUE(RIGHT(Table132[[#This Row],[next move]],1))+1+VALUE(LEFT(Table132[[#This Row],[next move]],1))*3,1)</f>
        <v>V</v>
      </c>
      <c r="I6042" t="str">
        <f>Table132[[#This Row],[ÉTAT]]&amp;Table132[[#This Row],[next move]]</f>
        <v>EMMMVVEVE12</v>
      </c>
    </row>
    <row r="6043" spans="2:9" x14ac:dyDescent="0.25">
      <c r="B6043" t="s">
        <v>2857</v>
      </c>
      <c r="C6043" s="22" t="s">
        <v>29</v>
      </c>
      <c r="D6043">
        <v>1</v>
      </c>
      <c r="G6043" s="25">
        <f>Table132[[#This Row],[nb win]]/Table132[[#This Row],[nb play]]</f>
        <v>0</v>
      </c>
      <c r="H6043" t="str">
        <f>MID(Table132[[#This Row],[ÉTAT]],VALUE(RIGHT(Table132[[#This Row],[next move]],1))+1+VALUE(LEFT(Table132[[#This Row],[next move]],1))*3,1)</f>
        <v>V</v>
      </c>
      <c r="I6043" t="str">
        <f>Table132[[#This Row],[ÉTAT]]&amp;Table132[[#This Row],[next move]]</f>
        <v>EMMMVVEEV11</v>
      </c>
    </row>
    <row r="6044" spans="2:9" x14ac:dyDescent="0.25">
      <c r="B6044" t="s">
        <v>40</v>
      </c>
      <c r="C6044" s="22" t="s">
        <v>29</v>
      </c>
      <c r="D6044">
        <v>1</v>
      </c>
      <c r="G6044" s="25">
        <f>Table132[[#This Row],[nb win]]/Table132[[#This Row],[nb play]]</f>
        <v>0</v>
      </c>
      <c r="H6044" t="str">
        <f>MID(Table132[[#This Row],[ÉTAT]],VALUE(RIGHT(Table132[[#This Row],[next move]],1))+1+VALUE(LEFT(Table132[[#This Row],[next move]],1))*3,1)</f>
        <v>V</v>
      </c>
      <c r="I6044" t="str">
        <f>Table132[[#This Row],[ÉTAT]]&amp;Table132[[#This Row],[next move]]</f>
        <v>EMMMVEVEE11</v>
      </c>
    </row>
    <row r="6045" spans="2:9" x14ac:dyDescent="0.25">
      <c r="B6045" t="s">
        <v>40</v>
      </c>
      <c r="C6045" s="22" t="s">
        <v>35</v>
      </c>
      <c r="D6045">
        <v>1</v>
      </c>
      <c r="G6045" s="25">
        <f>Table132[[#This Row],[nb win]]/Table132[[#This Row],[nb play]]</f>
        <v>0</v>
      </c>
      <c r="H6045" t="str">
        <f>MID(Table132[[#This Row],[ÉTAT]],VALUE(RIGHT(Table132[[#This Row],[next move]],1))+1+VALUE(LEFT(Table132[[#This Row],[next move]],1))*3,1)</f>
        <v>V</v>
      </c>
      <c r="I6045" t="str">
        <f>Table132[[#This Row],[ÉTAT]]&amp;Table132[[#This Row],[next move]]</f>
        <v>EMMMVEVEE20</v>
      </c>
    </row>
    <row r="6046" spans="2:9" x14ac:dyDescent="0.25">
      <c r="B6046" t="s">
        <v>861</v>
      </c>
      <c r="C6046" s="22" t="s">
        <v>29</v>
      </c>
      <c r="D6046">
        <v>3</v>
      </c>
      <c r="E6046">
        <v>3</v>
      </c>
      <c r="G6046" s="31">
        <f>Table132[[#This Row],[nb win]]/Table132[[#This Row],[nb play]]</f>
        <v>1</v>
      </c>
      <c r="H6046" t="str">
        <f>MID(Table132[[#This Row],[ÉTAT]],VALUE(RIGHT(Table132[[#This Row],[next move]],1))+1+VALUE(LEFT(Table132[[#This Row],[next move]],1))*3,1)</f>
        <v>V</v>
      </c>
      <c r="I6046" t="str">
        <f>Table132[[#This Row],[ÉTAT]]&amp;Table132[[#This Row],[next move]]</f>
        <v>EMMMVEMEE11</v>
      </c>
    </row>
    <row r="6047" spans="2:9" x14ac:dyDescent="0.25">
      <c r="B6047" t="s">
        <v>2886</v>
      </c>
      <c r="C6047" s="22" t="s">
        <v>29</v>
      </c>
      <c r="D6047">
        <v>1</v>
      </c>
      <c r="G6047" s="25">
        <f>Table132[[#This Row],[nb win]]/Table132[[#This Row],[nb play]]</f>
        <v>0</v>
      </c>
      <c r="H6047" t="str">
        <f>MID(Table132[[#This Row],[ÉTAT]],VALUE(RIGHT(Table132[[#This Row],[next move]],1))+1+VALUE(LEFT(Table132[[#This Row],[next move]],1))*3,1)</f>
        <v>V</v>
      </c>
      <c r="I6047" t="str">
        <f>Table132[[#This Row],[ÉTAT]]&amp;Table132[[#This Row],[next move]]</f>
        <v>EMMMVEEVE11</v>
      </c>
    </row>
    <row r="6048" spans="2:9" x14ac:dyDescent="0.25">
      <c r="B6048" t="s">
        <v>2166</v>
      </c>
      <c r="C6048" s="22" t="s">
        <v>29</v>
      </c>
      <c r="D6048">
        <v>2</v>
      </c>
      <c r="E6048">
        <v>2</v>
      </c>
      <c r="G6048" s="31">
        <f>Table132[[#This Row],[nb win]]/Table132[[#This Row],[nb play]]</f>
        <v>1</v>
      </c>
      <c r="H6048" t="str">
        <f>MID(Table132[[#This Row],[ÉTAT]],VALUE(RIGHT(Table132[[#This Row],[next move]],1))+1+VALUE(LEFT(Table132[[#This Row],[next move]],1))*3,1)</f>
        <v>V</v>
      </c>
      <c r="I6048" t="str">
        <f>Table132[[#This Row],[ÉTAT]]&amp;Table132[[#This Row],[next move]]</f>
        <v>EMMMVEEME11</v>
      </c>
    </row>
    <row r="6049" spans="2:9" x14ac:dyDescent="0.25">
      <c r="B6049" t="s">
        <v>3134</v>
      </c>
      <c r="C6049" s="22" t="s">
        <v>29</v>
      </c>
      <c r="D6049">
        <v>1</v>
      </c>
      <c r="G6049" s="30">
        <f>Table132[[#This Row],[nb win]]/Table132[[#This Row],[nb play]]</f>
        <v>0</v>
      </c>
      <c r="H6049" t="str">
        <f>MID(Table132[[#This Row],[ÉTAT]],VALUE(RIGHT(Table132[[#This Row],[next move]],1))+1+VALUE(LEFT(Table132[[#This Row],[next move]],1))*3,1)</f>
        <v>V</v>
      </c>
      <c r="I6049" t="str">
        <f>Table132[[#This Row],[ÉTAT]]&amp;Table132[[#This Row],[next move]]</f>
        <v>EMMMVEEEV11</v>
      </c>
    </row>
    <row r="6050" spans="2:9" x14ac:dyDescent="0.25">
      <c r="B6050" t="s">
        <v>428</v>
      </c>
      <c r="C6050" s="22" t="s">
        <v>35</v>
      </c>
      <c r="D6050">
        <v>4</v>
      </c>
      <c r="E6050">
        <v>4</v>
      </c>
      <c r="G6050" s="31">
        <f>Table132[[#This Row],[nb win]]/Table132[[#This Row],[nb play]]</f>
        <v>1</v>
      </c>
      <c r="H6050" t="str">
        <f>MID(Table132[[#This Row],[ÉTAT]],VALUE(RIGHT(Table132[[#This Row],[next move]],1))+1+VALUE(LEFT(Table132[[#This Row],[next move]],1))*3,1)</f>
        <v>V</v>
      </c>
      <c r="I6050" t="str">
        <f>Table132[[#This Row],[ÉTAT]]&amp;Table132[[#This Row],[next move]]</f>
        <v>EMMMMEVEE20</v>
      </c>
    </row>
    <row r="6051" spans="2:9" x14ac:dyDescent="0.25">
      <c r="B6051" t="s">
        <v>2589</v>
      </c>
      <c r="C6051" s="22" t="s">
        <v>22</v>
      </c>
      <c r="D6051">
        <v>5</v>
      </c>
      <c r="E6051">
        <v>5</v>
      </c>
      <c r="G6051" s="31">
        <f>Table132[[#This Row],[nb win]]/Table132[[#This Row],[nb play]]</f>
        <v>1</v>
      </c>
      <c r="H6051" t="str">
        <f>MID(Table132[[#This Row],[ÉTAT]],VALUE(RIGHT(Table132[[#This Row],[next move]],1))+1+VALUE(LEFT(Table132[[#This Row],[next move]],1))*3,1)</f>
        <v>V</v>
      </c>
      <c r="I6051" t="str">
        <f>Table132[[#This Row],[ÉTAT]]&amp;Table132[[#This Row],[next move]]</f>
        <v>EMMMMEEVE21</v>
      </c>
    </row>
    <row r="6052" spans="2:9" x14ac:dyDescent="0.25">
      <c r="B6052" t="s">
        <v>833</v>
      </c>
      <c r="C6052" s="22" t="s">
        <v>28</v>
      </c>
      <c r="D6052">
        <v>3</v>
      </c>
      <c r="E6052">
        <v>2</v>
      </c>
      <c r="G6052" s="30">
        <f>Table132[[#This Row],[nb win]]/Table132[[#This Row],[nb play]]</f>
        <v>0.66666666666666663</v>
      </c>
      <c r="H6052" t="str">
        <f>MID(Table132[[#This Row],[ÉTAT]],VALUE(RIGHT(Table132[[#This Row],[next move]],1))+1+VALUE(LEFT(Table132[[#This Row],[next move]],1))*3,1)</f>
        <v>V</v>
      </c>
      <c r="I6052" t="str">
        <f>Table132[[#This Row],[ÉTAT]]&amp;Table132[[#This Row],[next move]]</f>
        <v>EMMMEVVEV12</v>
      </c>
    </row>
    <row r="6053" spans="2:9" x14ac:dyDescent="0.25">
      <c r="B6053" t="s">
        <v>3263</v>
      </c>
      <c r="C6053" s="22" t="s">
        <v>28</v>
      </c>
      <c r="D6053">
        <v>1</v>
      </c>
      <c r="G6053" s="30">
        <f>Table132[[#This Row],[nb win]]/Table132[[#This Row],[nb play]]</f>
        <v>0</v>
      </c>
      <c r="H6053" t="str">
        <f>MID(Table132[[#This Row],[ÉTAT]],VALUE(RIGHT(Table132[[#This Row],[next move]],1))+1+VALUE(LEFT(Table132[[#This Row],[next move]],1))*3,1)</f>
        <v>V</v>
      </c>
      <c r="I6053" t="str">
        <f>Table132[[#This Row],[ÉTAT]]&amp;Table132[[#This Row],[next move]]</f>
        <v>EMMMEVEVV12</v>
      </c>
    </row>
    <row r="6054" spans="2:9" x14ac:dyDescent="0.25">
      <c r="B6054" t="s">
        <v>2239</v>
      </c>
      <c r="C6054" s="22" t="s">
        <v>28</v>
      </c>
      <c r="D6054">
        <v>1</v>
      </c>
      <c r="G6054" s="25">
        <f>Table132[[#This Row],[nb win]]/Table132[[#This Row],[nb play]]</f>
        <v>0</v>
      </c>
      <c r="H6054" t="str">
        <f>MID(Table132[[#This Row],[ÉTAT]],VALUE(RIGHT(Table132[[#This Row],[next move]],1))+1+VALUE(LEFT(Table132[[#This Row],[next move]],1))*3,1)</f>
        <v>V</v>
      </c>
      <c r="I6054" t="str">
        <f>Table132[[#This Row],[ÉTAT]]&amp;Table132[[#This Row],[next move]]</f>
        <v>EMMMEVEEV12</v>
      </c>
    </row>
    <row r="6055" spans="2:9" x14ac:dyDescent="0.25">
      <c r="B6055" t="s">
        <v>2292</v>
      </c>
      <c r="C6055" s="22" t="s">
        <v>28</v>
      </c>
      <c r="D6055">
        <v>4</v>
      </c>
      <c r="E6055">
        <v>4</v>
      </c>
      <c r="G6055" s="31">
        <f>Table132[[#This Row],[nb win]]/Table132[[#This Row],[nb play]]</f>
        <v>1</v>
      </c>
      <c r="H6055" t="str">
        <f>MID(Table132[[#This Row],[ÉTAT]],VALUE(RIGHT(Table132[[#This Row],[next move]],1))+1+VALUE(LEFT(Table132[[#This Row],[next move]],1))*3,1)</f>
        <v>V</v>
      </c>
      <c r="I6055" t="str">
        <f>Table132[[#This Row],[ÉTAT]]&amp;Table132[[#This Row],[next move]]</f>
        <v>EMMMEVEEM12</v>
      </c>
    </row>
    <row r="6056" spans="2:9" x14ac:dyDescent="0.25">
      <c r="B6056" t="s">
        <v>64</v>
      </c>
      <c r="C6056" s="22" t="s">
        <v>31</v>
      </c>
      <c r="D6056">
        <v>4</v>
      </c>
      <c r="E6056">
        <v>4</v>
      </c>
      <c r="G6056" s="31">
        <f>Table132[[#This Row],[nb win]]/Table132[[#This Row],[nb play]]</f>
        <v>1</v>
      </c>
      <c r="H6056" t="str">
        <f>MID(Table132[[#This Row],[ÉTAT]],VALUE(RIGHT(Table132[[#This Row],[next move]],1))+1+VALUE(LEFT(Table132[[#This Row],[next move]],1))*3,1)</f>
        <v>V</v>
      </c>
      <c r="I6056" t="str">
        <f>Table132[[#This Row],[ÉTAT]]&amp;Table132[[#This Row],[next move]]</f>
        <v>EMMMEMEEV22</v>
      </c>
    </row>
    <row r="6057" spans="2:9" x14ac:dyDescent="0.25">
      <c r="B6057" t="s">
        <v>2875</v>
      </c>
      <c r="C6057" s="22" t="s">
        <v>22</v>
      </c>
      <c r="D6057">
        <v>1</v>
      </c>
      <c r="G6057" s="30">
        <f>Table132[[#This Row],[nb win]]/Table132[[#This Row],[nb play]]</f>
        <v>0</v>
      </c>
      <c r="H6057" t="str">
        <f>MID(Table132[[#This Row],[ÉTAT]],VALUE(RIGHT(Table132[[#This Row],[next move]],1))+1+VALUE(LEFT(Table132[[#This Row],[next move]],1))*3,1)</f>
        <v>V</v>
      </c>
      <c r="I6057" t="str">
        <f>Table132[[#This Row],[ÉTAT]]&amp;Table132[[#This Row],[next move]]</f>
        <v>EMMMEEVVV21</v>
      </c>
    </row>
    <row r="6058" spans="2:9" x14ac:dyDescent="0.25">
      <c r="B6058" t="s">
        <v>2043</v>
      </c>
      <c r="C6058" s="22" t="s">
        <v>22</v>
      </c>
      <c r="D6058">
        <v>1</v>
      </c>
      <c r="G6058" s="25">
        <f>Table132[[#This Row],[nb win]]/Table132[[#This Row],[nb play]]</f>
        <v>0</v>
      </c>
      <c r="H6058" t="str">
        <f>MID(Table132[[#This Row],[ÉTAT]],VALUE(RIGHT(Table132[[#This Row],[next move]],1))+1+VALUE(LEFT(Table132[[#This Row],[next move]],1))*3,1)</f>
        <v>V</v>
      </c>
      <c r="I6058" t="str">
        <f>Table132[[#This Row],[ÉTAT]]&amp;Table132[[#This Row],[next move]]</f>
        <v>EMMMEEEVV21</v>
      </c>
    </row>
    <row r="6059" spans="2:9" x14ac:dyDescent="0.25">
      <c r="B6059" t="s">
        <v>3430</v>
      </c>
      <c r="C6059" s="22" t="s">
        <v>22</v>
      </c>
      <c r="D6059">
        <v>2</v>
      </c>
      <c r="G6059" s="30">
        <f>Table132[[#This Row],[nb win]]/Table132[[#This Row],[nb play]]</f>
        <v>0</v>
      </c>
      <c r="H6059" t="str">
        <f>MID(Table132[[#This Row],[ÉTAT]],VALUE(RIGHT(Table132[[#This Row],[next move]],1))+1+VALUE(LEFT(Table132[[#This Row],[next move]],1))*3,1)</f>
        <v>V</v>
      </c>
      <c r="I6059" t="str">
        <f>Table132[[#This Row],[ÉTAT]]&amp;Table132[[#This Row],[next move]]</f>
        <v>EMMEVVVVV21</v>
      </c>
    </row>
    <row r="6060" spans="2:9" x14ac:dyDescent="0.25">
      <c r="B6060" t="s">
        <v>3439</v>
      </c>
      <c r="C6060" s="22" t="s">
        <v>22</v>
      </c>
      <c r="D6060">
        <v>1</v>
      </c>
      <c r="G6060" s="30">
        <f>Table132[[#This Row],[nb win]]/Table132[[#This Row],[nb play]]</f>
        <v>0</v>
      </c>
      <c r="H6060" t="str">
        <f>MID(Table132[[#This Row],[ÉTAT]],VALUE(RIGHT(Table132[[#This Row],[next move]],1))+1+VALUE(LEFT(Table132[[#This Row],[next move]],1))*3,1)</f>
        <v>V</v>
      </c>
      <c r="I6060" t="str">
        <f>Table132[[#This Row],[ÉTAT]]&amp;Table132[[#This Row],[next move]]</f>
        <v>EMMEVVVVE21</v>
      </c>
    </row>
    <row r="6061" spans="2:9" x14ac:dyDescent="0.25">
      <c r="B6061" t="s">
        <v>3240</v>
      </c>
      <c r="C6061" s="22" t="s">
        <v>29</v>
      </c>
      <c r="D6061">
        <v>1</v>
      </c>
      <c r="E6061">
        <v>1</v>
      </c>
      <c r="G6061" s="31">
        <f>Table132[[#This Row],[nb win]]/Table132[[#This Row],[nb play]]</f>
        <v>1</v>
      </c>
      <c r="H6061" t="str">
        <f>MID(Table132[[#This Row],[ÉTAT]],VALUE(RIGHT(Table132[[#This Row],[next move]],1))+1+VALUE(LEFT(Table132[[#This Row],[next move]],1))*3,1)</f>
        <v>V</v>
      </c>
      <c r="I6061" t="str">
        <f>Table132[[#This Row],[ÉTAT]]&amp;Table132[[#This Row],[next move]]</f>
        <v>EMMEVVVEV11</v>
      </c>
    </row>
    <row r="6062" spans="2:9" x14ac:dyDescent="0.25">
      <c r="B6062" t="s">
        <v>1507</v>
      </c>
      <c r="C6062" s="22" t="s">
        <v>29</v>
      </c>
      <c r="D6062">
        <v>1</v>
      </c>
      <c r="G6062" s="25">
        <f>Table132[[#This Row],[nb win]]/Table132[[#This Row],[nb play]]</f>
        <v>0</v>
      </c>
      <c r="H6062" t="str">
        <f>MID(Table132[[#This Row],[ÉTAT]],VALUE(RIGHT(Table132[[#This Row],[next move]],1))+1+VALUE(LEFT(Table132[[#This Row],[next move]],1))*3,1)</f>
        <v>V</v>
      </c>
      <c r="I6062" t="str">
        <f>Table132[[#This Row],[ÉTAT]]&amp;Table132[[#This Row],[next move]]</f>
        <v>EMMEVVVEM11</v>
      </c>
    </row>
    <row r="6063" spans="2:9" x14ac:dyDescent="0.25">
      <c r="B6063" t="s">
        <v>1507</v>
      </c>
      <c r="C6063" s="22" t="s">
        <v>28</v>
      </c>
      <c r="D6063">
        <v>1</v>
      </c>
      <c r="E6063">
        <v>1</v>
      </c>
      <c r="G6063" s="25">
        <f>Table132[[#This Row],[nb win]]/Table132[[#This Row],[nb play]]</f>
        <v>1</v>
      </c>
      <c r="H6063" t="str">
        <f>MID(Table132[[#This Row],[ÉTAT]],VALUE(RIGHT(Table132[[#This Row],[next move]],1))+1+VALUE(LEFT(Table132[[#This Row],[next move]],1))*3,1)</f>
        <v>V</v>
      </c>
      <c r="I6063" t="str">
        <f>Table132[[#This Row],[ÉTAT]]&amp;Table132[[#This Row],[next move]]</f>
        <v>EMMEVVVEM12</v>
      </c>
    </row>
    <row r="6064" spans="2:9" x14ac:dyDescent="0.25">
      <c r="B6064" t="s">
        <v>2871</v>
      </c>
      <c r="C6064" s="22" t="s">
        <v>22</v>
      </c>
      <c r="D6064">
        <v>1</v>
      </c>
      <c r="G6064" s="25">
        <f>Table132[[#This Row],[nb win]]/Table132[[#This Row],[nb play]]</f>
        <v>0</v>
      </c>
      <c r="H6064" t="str">
        <f>MID(Table132[[#This Row],[ÉTAT]],VALUE(RIGHT(Table132[[#This Row],[next move]],1))+1+VALUE(LEFT(Table132[[#This Row],[next move]],1))*3,1)</f>
        <v>V</v>
      </c>
      <c r="I6064" t="str">
        <f>Table132[[#This Row],[ÉTAT]]&amp;Table132[[#This Row],[next move]]</f>
        <v>EMMEVVMVE21</v>
      </c>
    </row>
    <row r="6065" spans="2:9" x14ac:dyDescent="0.25">
      <c r="B6065" t="s">
        <v>3032</v>
      </c>
      <c r="C6065" s="22" t="s">
        <v>29</v>
      </c>
      <c r="D6065">
        <v>1</v>
      </c>
      <c r="E6065">
        <v>1</v>
      </c>
      <c r="G6065" s="31">
        <f>Table132[[#This Row],[nb win]]/Table132[[#This Row],[nb play]]</f>
        <v>1</v>
      </c>
      <c r="H6065" t="str">
        <f>MID(Table132[[#This Row],[ÉTAT]],VALUE(RIGHT(Table132[[#This Row],[next move]],1))+1+VALUE(LEFT(Table132[[#This Row],[next move]],1))*3,1)</f>
        <v>V</v>
      </c>
      <c r="I6065" t="str">
        <f>Table132[[#This Row],[ÉTAT]]&amp;Table132[[#This Row],[next move]]</f>
        <v>EMMEVVMEE11</v>
      </c>
    </row>
    <row r="6066" spans="2:9" x14ac:dyDescent="0.25">
      <c r="B6066" t="s">
        <v>3032</v>
      </c>
      <c r="C6066" s="22" t="s">
        <v>28</v>
      </c>
      <c r="D6066">
        <v>1</v>
      </c>
      <c r="G6066" s="25">
        <f>Table132[[#This Row],[nb win]]/Table132[[#This Row],[nb play]]</f>
        <v>0</v>
      </c>
      <c r="H6066" t="str">
        <f>MID(Table132[[#This Row],[ÉTAT]],VALUE(RIGHT(Table132[[#This Row],[next move]],1))+1+VALUE(LEFT(Table132[[#This Row],[next move]],1))*3,1)</f>
        <v>V</v>
      </c>
      <c r="I6066" t="str">
        <f>Table132[[#This Row],[ÉTAT]]&amp;Table132[[#This Row],[next move]]</f>
        <v>EMMEVVMEE12</v>
      </c>
    </row>
    <row r="6067" spans="2:9" x14ac:dyDescent="0.25">
      <c r="B6067" t="s">
        <v>2804</v>
      </c>
      <c r="C6067" s="22" t="s">
        <v>29</v>
      </c>
      <c r="D6067">
        <v>1</v>
      </c>
      <c r="G6067" s="30">
        <f>Table132[[#This Row],[nb win]]/Table132[[#This Row],[nb play]]</f>
        <v>0</v>
      </c>
      <c r="H6067" t="str">
        <f>MID(Table132[[#This Row],[ÉTAT]],VALUE(RIGHT(Table132[[#This Row],[next move]],1))+1+VALUE(LEFT(Table132[[#This Row],[next move]],1))*3,1)</f>
        <v>V</v>
      </c>
      <c r="I6067" t="str">
        <f>Table132[[#This Row],[ÉTAT]]&amp;Table132[[#This Row],[next move]]</f>
        <v>EMMEVMVVE11</v>
      </c>
    </row>
    <row r="6068" spans="2:9" x14ac:dyDescent="0.25">
      <c r="B6068" t="s">
        <v>2804</v>
      </c>
      <c r="C6068" s="22" t="s">
        <v>35</v>
      </c>
      <c r="D6068">
        <v>1</v>
      </c>
      <c r="G6068" s="25">
        <f>Table132[[#This Row],[nb win]]/Table132[[#This Row],[nb play]]</f>
        <v>0</v>
      </c>
      <c r="H6068" t="str">
        <f>MID(Table132[[#This Row],[ÉTAT]],VALUE(RIGHT(Table132[[#This Row],[next move]],1))+1+VALUE(LEFT(Table132[[#This Row],[next move]],1))*3,1)</f>
        <v>V</v>
      </c>
      <c r="I6068" t="str">
        <f>Table132[[#This Row],[ÉTAT]]&amp;Table132[[#This Row],[next move]]</f>
        <v>EMMEVMVVE20</v>
      </c>
    </row>
    <row r="6069" spans="2:9" x14ac:dyDescent="0.25">
      <c r="B6069" t="s">
        <v>2489</v>
      </c>
      <c r="C6069" s="22" t="s">
        <v>29</v>
      </c>
      <c r="D6069">
        <v>1</v>
      </c>
      <c r="G6069" s="25">
        <f>Table132[[#This Row],[nb win]]/Table132[[#This Row],[nb play]]</f>
        <v>0</v>
      </c>
      <c r="H6069" t="str">
        <f>MID(Table132[[#This Row],[ÉTAT]],VALUE(RIGHT(Table132[[#This Row],[next move]],1))+1+VALUE(LEFT(Table132[[#This Row],[next move]],1))*3,1)</f>
        <v>V</v>
      </c>
      <c r="I6069" t="str">
        <f>Table132[[#This Row],[ÉTAT]]&amp;Table132[[#This Row],[next move]]</f>
        <v>EMMEVMVEV11</v>
      </c>
    </row>
    <row r="6070" spans="2:9" x14ac:dyDescent="0.25">
      <c r="B6070" t="s">
        <v>2489</v>
      </c>
      <c r="C6070" s="22" t="s">
        <v>35</v>
      </c>
      <c r="D6070">
        <v>1</v>
      </c>
      <c r="E6070">
        <v>1</v>
      </c>
      <c r="G6070" s="31">
        <f>Table132[[#This Row],[nb win]]/Table132[[#This Row],[nb play]]</f>
        <v>1</v>
      </c>
      <c r="H6070" t="str">
        <f>MID(Table132[[#This Row],[ÉTAT]],VALUE(RIGHT(Table132[[#This Row],[next move]],1))+1+VALUE(LEFT(Table132[[#This Row],[next move]],1))*3,1)</f>
        <v>V</v>
      </c>
      <c r="I6070" t="str">
        <f>Table132[[#This Row],[ÉTAT]]&amp;Table132[[#This Row],[next move]]</f>
        <v>EMMEVMVEV20</v>
      </c>
    </row>
    <row r="6071" spans="2:9" x14ac:dyDescent="0.25">
      <c r="B6071" t="s">
        <v>878</v>
      </c>
      <c r="C6071" s="22" t="s">
        <v>29</v>
      </c>
      <c r="D6071">
        <v>2</v>
      </c>
      <c r="G6071" s="30">
        <f>Table132[[#This Row],[nb win]]/Table132[[#This Row],[nb play]]</f>
        <v>0</v>
      </c>
      <c r="H6071" t="str">
        <f>MID(Table132[[#This Row],[ÉTAT]],VALUE(RIGHT(Table132[[#This Row],[next move]],1))+1+VALUE(LEFT(Table132[[#This Row],[next move]],1))*3,1)</f>
        <v>V</v>
      </c>
      <c r="I6071" t="str">
        <f>Table132[[#This Row],[ÉTAT]]&amp;Table132[[#This Row],[next move]]</f>
        <v>EMMEVMVEE11</v>
      </c>
    </row>
    <row r="6072" spans="2:9" x14ac:dyDescent="0.25">
      <c r="B6072" t="s">
        <v>878</v>
      </c>
      <c r="C6072" s="22" t="s">
        <v>35</v>
      </c>
      <c r="D6072">
        <v>2</v>
      </c>
      <c r="G6072" s="30">
        <f>Table132[[#This Row],[nb win]]/Table132[[#This Row],[nb play]]</f>
        <v>0</v>
      </c>
      <c r="H6072" t="str">
        <f>MID(Table132[[#This Row],[ÉTAT]],VALUE(RIGHT(Table132[[#This Row],[next move]],1))+1+VALUE(LEFT(Table132[[#This Row],[next move]],1))*3,1)</f>
        <v>V</v>
      </c>
      <c r="I6072" t="str">
        <f>Table132[[#This Row],[ÉTAT]]&amp;Table132[[#This Row],[next move]]</f>
        <v>EMMEVMVEE20</v>
      </c>
    </row>
    <row r="6073" spans="2:9" x14ac:dyDescent="0.25">
      <c r="B6073" t="s">
        <v>2223</v>
      </c>
      <c r="C6073" s="22" t="s">
        <v>29</v>
      </c>
      <c r="D6073">
        <v>5</v>
      </c>
      <c r="E6073">
        <v>5</v>
      </c>
      <c r="G6073" s="31">
        <f>Table132[[#This Row],[nb win]]/Table132[[#This Row],[nb play]]</f>
        <v>1</v>
      </c>
      <c r="H6073" t="str">
        <f>MID(Table132[[#This Row],[ÉTAT]],VALUE(RIGHT(Table132[[#This Row],[next move]],1))+1+VALUE(LEFT(Table132[[#This Row],[next move]],1))*3,1)</f>
        <v>V</v>
      </c>
      <c r="I6073" t="str">
        <f>Table132[[#This Row],[ÉTAT]]&amp;Table132[[#This Row],[next move]]</f>
        <v>EMMEVMMEE11</v>
      </c>
    </row>
    <row r="6074" spans="2:9" x14ac:dyDescent="0.25">
      <c r="B6074" t="s">
        <v>1682</v>
      </c>
      <c r="C6074" s="22" t="s">
        <v>29</v>
      </c>
      <c r="D6074">
        <v>1</v>
      </c>
      <c r="G6074" s="25">
        <f>Table132[[#This Row],[nb win]]/Table132[[#This Row],[nb play]]</f>
        <v>0</v>
      </c>
      <c r="H6074" t="str">
        <f>MID(Table132[[#This Row],[ÉTAT]],VALUE(RIGHT(Table132[[#This Row],[next move]],1))+1+VALUE(LEFT(Table132[[#This Row],[next move]],1))*3,1)</f>
        <v>V</v>
      </c>
      <c r="I6074" t="str">
        <f>Table132[[#This Row],[ÉTAT]]&amp;Table132[[#This Row],[next move]]</f>
        <v>EMMEVEVVV11</v>
      </c>
    </row>
    <row r="6075" spans="2:9" x14ac:dyDescent="0.25">
      <c r="B6075" t="s">
        <v>1682</v>
      </c>
      <c r="C6075" s="22" t="s">
        <v>31</v>
      </c>
      <c r="D6075">
        <v>1</v>
      </c>
      <c r="G6075" s="25">
        <f>Table132[[#This Row],[nb win]]/Table132[[#This Row],[nb play]]</f>
        <v>0</v>
      </c>
      <c r="H6075" t="str">
        <f>MID(Table132[[#This Row],[ÉTAT]],VALUE(RIGHT(Table132[[#This Row],[next move]],1))+1+VALUE(LEFT(Table132[[#This Row],[next move]],1))*3,1)</f>
        <v>V</v>
      </c>
      <c r="I6075" t="str">
        <f>Table132[[#This Row],[ÉTAT]]&amp;Table132[[#This Row],[next move]]</f>
        <v>EMMEVEVVV22</v>
      </c>
    </row>
    <row r="6076" spans="2:9" x14ac:dyDescent="0.25">
      <c r="B6076" t="s">
        <v>3206</v>
      </c>
      <c r="C6076" s="22" t="s">
        <v>29</v>
      </c>
      <c r="D6076">
        <v>1</v>
      </c>
      <c r="E6076">
        <v>1</v>
      </c>
      <c r="G6076" s="31">
        <f>Table132[[#This Row],[nb win]]/Table132[[#This Row],[nb play]]</f>
        <v>1</v>
      </c>
      <c r="H6076" t="str">
        <f>MID(Table132[[#This Row],[ÉTAT]],VALUE(RIGHT(Table132[[#This Row],[next move]],1))+1+VALUE(LEFT(Table132[[#This Row],[next move]],1))*3,1)</f>
        <v>V</v>
      </c>
      <c r="I6076" t="str">
        <f>Table132[[#This Row],[ÉTAT]]&amp;Table132[[#This Row],[next move]]</f>
        <v>EMMEVEVVM11</v>
      </c>
    </row>
    <row r="6077" spans="2:9" x14ac:dyDescent="0.25">
      <c r="B6077" t="s">
        <v>1159</v>
      </c>
      <c r="C6077" s="22" t="s">
        <v>35</v>
      </c>
      <c r="D6077">
        <v>1</v>
      </c>
      <c r="G6077" s="25">
        <f>Table132[[#This Row],[nb win]]/Table132[[#This Row],[nb play]]</f>
        <v>0</v>
      </c>
      <c r="H6077" t="str">
        <f>MID(Table132[[#This Row],[ÉTAT]],VALUE(RIGHT(Table132[[#This Row],[next move]],1))+1+VALUE(LEFT(Table132[[#This Row],[next move]],1))*3,1)</f>
        <v>V</v>
      </c>
      <c r="I6077" t="str">
        <f>Table132[[#This Row],[ÉTAT]]&amp;Table132[[#This Row],[next move]]</f>
        <v>EMMEVEVMV20</v>
      </c>
    </row>
    <row r="6078" spans="2:9" x14ac:dyDescent="0.25">
      <c r="B6078" t="s">
        <v>1159</v>
      </c>
      <c r="C6078" s="22" t="s">
        <v>31</v>
      </c>
      <c r="D6078">
        <v>1</v>
      </c>
      <c r="G6078" s="25">
        <f>Table132[[#This Row],[nb win]]/Table132[[#This Row],[nb play]]</f>
        <v>0</v>
      </c>
      <c r="H6078" t="str">
        <f>MID(Table132[[#This Row],[ÉTAT]],VALUE(RIGHT(Table132[[#This Row],[next move]],1))+1+VALUE(LEFT(Table132[[#This Row],[next move]],1))*3,1)</f>
        <v>V</v>
      </c>
      <c r="I6078" t="str">
        <f>Table132[[#This Row],[ÉTAT]]&amp;Table132[[#This Row],[next move]]</f>
        <v>EMMEVEVMV22</v>
      </c>
    </row>
    <row r="6079" spans="2:9" x14ac:dyDescent="0.25">
      <c r="B6079" t="s">
        <v>681</v>
      </c>
      <c r="C6079" s="22" t="s">
        <v>29</v>
      </c>
      <c r="D6079">
        <v>1</v>
      </c>
      <c r="E6079">
        <v>1</v>
      </c>
      <c r="G6079" s="25">
        <f>Table132[[#This Row],[nb win]]/Table132[[#This Row],[nb play]]</f>
        <v>1</v>
      </c>
      <c r="H6079" t="str">
        <f>MID(Table132[[#This Row],[ÉTAT]],VALUE(RIGHT(Table132[[#This Row],[next move]],1))+1+VALUE(LEFT(Table132[[#This Row],[next move]],1))*3,1)</f>
        <v>V</v>
      </c>
      <c r="I6079" t="str">
        <f>Table132[[#This Row],[ÉTAT]]&amp;Table132[[#This Row],[next move]]</f>
        <v>EMMEVEVME11</v>
      </c>
    </row>
    <row r="6080" spans="2:9" x14ac:dyDescent="0.25">
      <c r="B6080" t="s">
        <v>2487</v>
      </c>
      <c r="C6080" s="22" t="s">
        <v>29</v>
      </c>
      <c r="D6080">
        <v>2</v>
      </c>
      <c r="G6080" s="25">
        <f>Table132[[#This Row],[nb win]]/Table132[[#This Row],[nb play]]</f>
        <v>0</v>
      </c>
      <c r="H6080" t="str">
        <f>MID(Table132[[#This Row],[ÉTAT]],VALUE(RIGHT(Table132[[#This Row],[next move]],1))+1+VALUE(LEFT(Table132[[#This Row],[next move]],1))*3,1)</f>
        <v>V</v>
      </c>
      <c r="I6080" t="str">
        <f>Table132[[#This Row],[ÉTAT]]&amp;Table132[[#This Row],[next move]]</f>
        <v>EMMEVEVEM11</v>
      </c>
    </row>
    <row r="6081" spans="2:9" x14ac:dyDescent="0.25">
      <c r="B6081" t="s">
        <v>2487</v>
      </c>
      <c r="C6081" s="22" t="s">
        <v>35</v>
      </c>
      <c r="D6081">
        <v>4</v>
      </c>
      <c r="G6081" s="30">
        <f>Table132[[#This Row],[nb win]]/Table132[[#This Row],[nb play]]</f>
        <v>0</v>
      </c>
      <c r="H6081" t="str">
        <f>MID(Table132[[#This Row],[ÉTAT]],VALUE(RIGHT(Table132[[#This Row],[next move]],1))+1+VALUE(LEFT(Table132[[#This Row],[next move]],1))*3,1)</f>
        <v>V</v>
      </c>
      <c r="I6081" t="str">
        <f>Table132[[#This Row],[ÉTAT]]&amp;Table132[[#This Row],[next move]]</f>
        <v>EMMEVEVEM20</v>
      </c>
    </row>
    <row r="6082" spans="2:9" x14ac:dyDescent="0.25">
      <c r="B6082" t="s">
        <v>1604</v>
      </c>
      <c r="C6082" s="22" t="s">
        <v>29</v>
      </c>
      <c r="D6082">
        <v>2</v>
      </c>
      <c r="E6082">
        <v>2</v>
      </c>
      <c r="G6082" s="25">
        <f>Table132[[#This Row],[nb win]]/Table132[[#This Row],[nb play]]</f>
        <v>1</v>
      </c>
      <c r="H6082" t="str">
        <f>MID(Table132[[#This Row],[ÉTAT]],VALUE(RIGHT(Table132[[#This Row],[next move]],1))+1+VALUE(LEFT(Table132[[#This Row],[next move]],1))*3,1)</f>
        <v>V</v>
      </c>
      <c r="I6082" t="str">
        <f>Table132[[#This Row],[ÉTAT]]&amp;Table132[[#This Row],[next move]]</f>
        <v>EMMEVEMVV11</v>
      </c>
    </row>
    <row r="6083" spans="2:9" x14ac:dyDescent="0.25">
      <c r="B6083" t="s">
        <v>2332</v>
      </c>
      <c r="C6083" s="22" t="s">
        <v>29</v>
      </c>
      <c r="D6083">
        <v>4</v>
      </c>
      <c r="E6083">
        <v>4</v>
      </c>
      <c r="G6083" s="31">
        <f>Table132[[#This Row],[nb win]]/Table132[[#This Row],[nb play]]</f>
        <v>1</v>
      </c>
      <c r="H6083" t="str">
        <f>MID(Table132[[#This Row],[ÉTAT]],VALUE(RIGHT(Table132[[#This Row],[next move]],1))+1+VALUE(LEFT(Table132[[#This Row],[next move]],1))*3,1)</f>
        <v>V</v>
      </c>
      <c r="I6083" t="str">
        <f>Table132[[#This Row],[ÉTAT]]&amp;Table132[[#This Row],[next move]]</f>
        <v>EMMEVEMVE11</v>
      </c>
    </row>
    <row r="6084" spans="2:9" x14ac:dyDescent="0.25">
      <c r="B6084" t="s">
        <v>2710</v>
      </c>
      <c r="C6084" s="22" t="s">
        <v>29</v>
      </c>
      <c r="D6084">
        <v>1</v>
      </c>
      <c r="E6084">
        <v>1</v>
      </c>
      <c r="G6084" s="25">
        <f>Table132[[#This Row],[nb win]]/Table132[[#This Row],[nb play]]</f>
        <v>1</v>
      </c>
      <c r="H6084" t="str">
        <f>MID(Table132[[#This Row],[ÉTAT]],VALUE(RIGHT(Table132[[#This Row],[next move]],1))+1+VALUE(LEFT(Table132[[#This Row],[next move]],1))*3,1)</f>
        <v>V</v>
      </c>
      <c r="I6084" t="str">
        <f>Table132[[#This Row],[ÉTAT]]&amp;Table132[[#This Row],[next move]]</f>
        <v>EMMEVEMEV11</v>
      </c>
    </row>
    <row r="6085" spans="2:9" x14ac:dyDescent="0.25">
      <c r="B6085" t="s">
        <v>387</v>
      </c>
      <c r="C6085" s="22" t="s">
        <v>29</v>
      </c>
      <c r="D6085">
        <v>7</v>
      </c>
      <c r="E6085">
        <v>7</v>
      </c>
      <c r="G6085" s="31">
        <f>Table132[[#This Row],[nb win]]/Table132[[#This Row],[nb play]]</f>
        <v>1</v>
      </c>
      <c r="H6085" t="str">
        <f>MID(Table132[[#This Row],[ÉTAT]],VALUE(RIGHT(Table132[[#This Row],[next move]],1))+1+VALUE(LEFT(Table132[[#This Row],[next move]],1))*3,1)</f>
        <v>V</v>
      </c>
      <c r="I6085" t="str">
        <f>Table132[[#This Row],[ÉTAT]]&amp;Table132[[#This Row],[next move]]</f>
        <v>EMMEVEMEM11</v>
      </c>
    </row>
    <row r="6086" spans="2:9" x14ac:dyDescent="0.25">
      <c r="B6086" t="s">
        <v>2958</v>
      </c>
      <c r="C6086" s="22" t="s">
        <v>35</v>
      </c>
      <c r="D6086">
        <v>1</v>
      </c>
      <c r="E6086">
        <v>1</v>
      </c>
      <c r="G6086" s="25">
        <f>Table132[[#This Row],[nb win]]/Table132[[#This Row],[nb play]]</f>
        <v>1</v>
      </c>
      <c r="H6086" t="str">
        <f>MID(Table132[[#This Row],[ÉTAT]],VALUE(RIGHT(Table132[[#This Row],[next move]],1))+1+VALUE(LEFT(Table132[[#This Row],[next move]],1))*3,1)</f>
        <v>V</v>
      </c>
      <c r="I6086" t="str">
        <f>Table132[[#This Row],[ÉTAT]]&amp;Table132[[#This Row],[next move]]</f>
        <v>EMMEMVVVE20</v>
      </c>
    </row>
    <row r="6087" spans="2:9" x14ac:dyDescent="0.25">
      <c r="B6087" t="s">
        <v>2979</v>
      </c>
      <c r="C6087" s="22" t="s">
        <v>28</v>
      </c>
      <c r="D6087">
        <v>1</v>
      </c>
      <c r="G6087" s="25">
        <f>Table132[[#This Row],[nb win]]/Table132[[#This Row],[nb play]]</f>
        <v>0</v>
      </c>
      <c r="H6087" t="str">
        <f>MID(Table132[[#This Row],[ÉTAT]],VALUE(RIGHT(Table132[[#This Row],[next move]],1))+1+VALUE(LEFT(Table132[[#This Row],[next move]],1))*3,1)</f>
        <v>V</v>
      </c>
      <c r="I6087" t="str">
        <f>Table132[[#This Row],[ÉTAT]]&amp;Table132[[#This Row],[next move]]</f>
        <v>EMMEMVVEE12</v>
      </c>
    </row>
    <row r="6088" spans="2:9" x14ac:dyDescent="0.25">
      <c r="B6088" t="s">
        <v>272</v>
      </c>
      <c r="C6088" s="22" t="s">
        <v>35</v>
      </c>
      <c r="D6088">
        <v>5</v>
      </c>
      <c r="E6088">
        <v>5</v>
      </c>
      <c r="G6088" s="31">
        <f>Table132[[#This Row],[nb win]]/Table132[[#This Row],[nb play]]</f>
        <v>1</v>
      </c>
      <c r="H6088" t="str">
        <f>MID(Table132[[#This Row],[ÉTAT]],VALUE(RIGHT(Table132[[#This Row],[next move]],1))+1+VALUE(LEFT(Table132[[#This Row],[next move]],1))*3,1)</f>
        <v>V</v>
      </c>
      <c r="I6088" t="str">
        <f>Table132[[#This Row],[ÉTAT]]&amp;Table132[[#This Row],[next move]]</f>
        <v>EMMEMMVEE20</v>
      </c>
    </row>
    <row r="6089" spans="2:9" x14ac:dyDescent="0.25">
      <c r="B6089" t="s">
        <v>1593</v>
      </c>
      <c r="C6089" s="22" t="s">
        <v>35</v>
      </c>
      <c r="D6089">
        <v>1</v>
      </c>
      <c r="E6089">
        <v>1</v>
      </c>
      <c r="G6089" s="31">
        <f>Table132[[#This Row],[nb win]]/Table132[[#This Row],[nb play]]</f>
        <v>1</v>
      </c>
      <c r="H6089" t="str">
        <f>MID(Table132[[#This Row],[ÉTAT]],VALUE(RIGHT(Table132[[#This Row],[next move]],1))+1+VALUE(LEFT(Table132[[#This Row],[next move]],1))*3,1)</f>
        <v>V</v>
      </c>
      <c r="I6089" t="str">
        <f>Table132[[#This Row],[ÉTAT]]&amp;Table132[[#This Row],[next move]]</f>
        <v>EMMEMEVVV20</v>
      </c>
    </row>
    <row r="6090" spans="2:9" x14ac:dyDescent="0.25">
      <c r="B6090" t="s">
        <v>1593</v>
      </c>
      <c r="C6090" s="22" t="s">
        <v>31</v>
      </c>
      <c r="D6090">
        <v>2</v>
      </c>
      <c r="E6090">
        <v>1</v>
      </c>
      <c r="G6090" s="25">
        <f>Table132[[#This Row],[nb win]]/Table132[[#This Row],[nb play]]</f>
        <v>0.5</v>
      </c>
      <c r="H6090" t="str">
        <f>MID(Table132[[#This Row],[ÉTAT]],VALUE(RIGHT(Table132[[#This Row],[next move]],1))+1+VALUE(LEFT(Table132[[#This Row],[next move]],1))*3,1)</f>
        <v>V</v>
      </c>
      <c r="I6090" t="str">
        <f>Table132[[#This Row],[ÉTAT]]&amp;Table132[[#This Row],[next move]]</f>
        <v>EMMEMEVVV22</v>
      </c>
    </row>
    <row r="6091" spans="2:9" x14ac:dyDescent="0.25">
      <c r="B6091" t="s">
        <v>3242</v>
      </c>
      <c r="C6091" s="22" t="s">
        <v>35</v>
      </c>
      <c r="D6091">
        <v>1</v>
      </c>
      <c r="E6091">
        <v>1</v>
      </c>
      <c r="G6091" s="31">
        <f>Table132[[#This Row],[nb win]]/Table132[[#This Row],[nb play]]</f>
        <v>1</v>
      </c>
      <c r="H6091" t="str">
        <f>MID(Table132[[#This Row],[ÉTAT]],VALUE(RIGHT(Table132[[#This Row],[next move]],1))+1+VALUE(LEFT(Table132[[#This Row],[next move]],1))*3,1)</f>
        <v>V</v>
      </c>
      <c r="I6091" t="str">
        <f>Table132[[#This Row],[ÉTAT]]&amp;Table132[[#This Row],[next move]]</f>
        <v>EMMEMEVEV20</v>
      </c>
    </row>
    <row r="6092" spans="2:9" x14ac:dyDescent="0.25">
      <c r="B6092" t="s">
        <v>522</v>
      </c>
      <c r="C6092" s="22" t="s">
        <v>35</v>
      </c>
      <c r="D6092">
        <v>7</v>
      </c>
      <c r="E6092">
        <v>7</v>
      </c>
      <c r="G6092" s="31">
        <f>Table132[[#This Row],[nb win]]/Table132[[#This Row],[nb play]]</f>
        <v>1</v>
      </c>
      <c r="H6092" t="str">
        <f>MID(Table132[[#This Row],[ÉTAT]],VALUE(RIGHT(Table132[[#This Row],[next move]],1))+1+VALUE(LEFT(Table132[[#This Row],[next move]],1))*3,1)</f>
        <v>V</v>
      </c>
      <c r="I6092" t="str">
        <f>Table132[[#This Row],[ÉTAT]]&amp;Table132[[#This Row],[next move]]</f>
        <v>EMMEMEVEM20</v>
      </c>
    </row>
    <row r="6093" spans="2:9" x14ac:dyDescent="0.25">
      <c r="B6093" t="s">
        <v>934</v>
      </c>
      <c r="C6093" s="22" t="s">
        <v>28</v>
      </c>
      <c r="D6093">
        <v>2</v>
      </c>
      <c r="E6093">
        <v>2</v>
      </c>
      <c r="G6093" s="25">
        <f>Table132[[#This Row],[nb win]]/Table132[[#This Row],[nb play]]</f>
        <v>1</v>
      </c>
      <c r="H6093" t="str">
        <f>MID(Table132[[#This Row],[ÉTAT]],VALUE(RIGHT(Table132[[#This Row],[next move]],1))+1+VALUE(LEFT(Table132[[#This Row],[next move]],1))*3,1)</f>
        <v>V</v>
      </c>
      <c r="I6093" t="str">
        <f>Table132[[#This Row],[ÉTAT]]&amp;Table132[[#This Row],[next move]]</f>
        <v>EMMEEVVVV12</v>
      </c>
    </row>
    <row r="6094" spans="2:9" x14ac:dyDescent="0.25">
      <c r="B6094" t="s">
        <v>934</v>
      </c>
      <c r="C6094" s="22" t="s">
        <v>35</v>
      </c>
      <c r="D6094">
        <v>2</v>
      </c>
      <c r="G6094" s="30">
        <f>Table132[[#This Row],[nb win]]/Table132[[#This Row],[nb play]]</f>
        <v>0</v>
      </c>
      <c r="H6094" t="str">
        <f>MID(Table132[[#This Row],[ÉTAT]],VALUE(RIGHT(Table132[[#This Row],[next move]],1))+1+VALUE(LEFT(Table132[[#This Row],[next move]],1))*3,1)</f>
        <v>V</v>
      </c>
      <c r="I6094" t="str">
        <f>Table132[[#This Row],[ÉTAT]]&amp;Table132[[#This Row],[next move]]</f>
        <v>EMMEEVVVV20</v>
      </c>
    </row>
    <row r="6095" spans="2:9" x14ac:dyDescent="0.25">
      <c r="B6095" t="s">
        <v>934</v>
      </c>
      <c r="C6095" s="22" t="s">
        <v>31</v>
      </c>
      <c r="D6095">
        <v>1</v>
      </c>
      <c r="G6095" s="25">
        <f>Table132[[#This Row],[nb win]]/Table132[[#This Row],[nb play]]</f>
        <v>0</v>
      </c>
      <c r="H6095" t="str">
        <f>MID(Table132[[#This Row],[ÉTAT]],VALUE(RIGHT(Table132[[#This Row],[next move]],1))+1+VALUE(LEFT(Table132[[#This Row],[next move]],1))*3,1)</f>
        <v>V</v>
      </c>
      <c r="I6095" t="str">
        <f>Table132[[#This Row],[ÉTAT]]&amp;Table132[[#This Row],[next move]]</f>
        <v>EMMEEVVVV22</v>
      </c>
    </row>
    <row r="6096" spans="2:9" x14ac:dyDescent="0.25">
      <c r="B6096" t="s">
        <v>3151</v>
      </c>
      <c r="C6096" s="22" t="s">
        <v>28</v>
      </c>
      <c r="D6096">
        <v>2</v>
      </c>
      <c r="E6096">
        <v>2</v>
      </c>
      <c r="G6096" s="31">
        <f>Table132[[#This Row],[nb win]]/Table132[[#This Row],[nb play]]</f>
        <v>1</v>
      </c>
      <c r="H6096" t="str">
        <f>MID(Table132[[#This Row],[ÉTAT]],VALUE(RIGHT(Table132[[#This Row],[next move]],1))+1+VALUE(LEFT(Table132[[#This Row],[next move]],1))*3,1)</f>
        <v>V</v>
      </c>
      <c r="I6096" t="str">
        <f>Table132[[#This Row],[ÉTAT]]&amp;Table132[[#This Row],[next move]]</f>
        <v>EMMEEVVVM12</v>
      </c>
    </row>
    <row r="6097" spans="2:9" x14ac:dyDescent="0.25">
      <c r="B6097" t="s">
        <v>2864</v>
      </c>
      <c r="C6097" s="22" t="s">
        <v>31</v>
      </c>
      <c r="D6097">
        <v>1</v>
      </c>
      <c r="E6097">
        <v>1</v>
      </c>
      <c r="G6097" s="25">
        <f>Table132[[#This Row],[nb win]]/Table132[[#This Row],[nb play]]</f>
        <v>1</v>
      </c>
      <c r="H6097" t="str">
        <f>MID(Table132[[#This Row],[ÉTAT]],VALUE(RIGHT(Table132[[#This Row],[next move]],1))+1+VALUE(LEFT(Table132[[#This Row],[next move]],1))*3,1)</f>
        <v>V</v>
      </c>
      <c r="I6097" t="str">
        <f>Table132[[#This Row],[ÉTAT]]&amp;Table132[[#This Row],[next move]]</f>
        <v>EMMEEVMVV22</v>
      </c>
    </row>
    <row r="6098" spans="2:9" x14ac:dyDescent="0.25">
      <c r="B6098" t="s">
        <v>945</v>
      </c>
      <c r="C6098" s="22" t="s">
        <v>28</v>
      </c>
      <c r="D6098">
        <v>2</v>
      </c>
      <c r="G6098" s="25">
        <f>Table132[[#This Row],[nb win]]/Table132[[#This Row],[nb play]]</f>
        <v>0</v>
      </c>
      <c r="H6098" t="str">
        <f>MID(Table132[[#This Row],[ÉTAT]],VALUE(RIGHT(Table132[[#This Row],[next move]],1))+1+VALUE(LEFT(Table132[[#This Row],[next move]],1))*3,1)</f>
        <v>V</v>
      </c>
      <c r="I6098" t="str">
        <f>Table132[[#This Row],[ÉTAT]]&amp;Table132[[#This Row],[next move]]</f>
        <v>EMMEEVMEV12</v>
      </c>
    </row>
    <row r="6099" spans="2:9" x14ac:dyDescent="0.25">
      <c r="B6099" t="s">
        <v>945</v>
      </c>
      <c r="C6099" s="22" t="s">
        <v>31</v>
      </c>
      <c r="D6099">
        <v>2</v>
      </c>
      <c r="G6099" s="30">
        <f>Table132[[#This Row],[nb win]]/Table132[[#This Row],[nb play]]</f>
        <v>0</v>
      </c>
      <c r="H6099" t="str">
        <f>MID(Table132[[#This Row],[ÉTAT]],VALUE(RIGHT(Table132[[#This Row],[next move]],1))+1+VALUE(LEFT(Table132[[#This Row],[next move]],1))*3,1)</f>
        <v>V</v>
      </c>
      <c r="I6099" t="str">
        <f>Table132[[#This Row],[ÉTAT]]&amp;Table132[[#This Row],[next move]]</f>
        <v>EMMEEVMEV22</v>
      </c>
    </row>
    <row r="6100" spans="2:9" x14ac:dyDescent="0.25">
      <c r="B6100" t="s">
        <v>2128</v>
      </c>
      <c r="C6100" s="22" t="s">
        <v>28</v>
      </c>
      <c r="D6100">
        <v>7</v>
      </c>
      <c r="E6100">
        <v>7</v>
      </c>
      <c r="G6100" s="31">
        <f>Table132[[#This Row],[nb win]]/Table132[[#This Row],[nb play]]</f>
        <v>1</v>
      </c>
      <c r="H6100" t="str">
        <f>MID(Table132[[#This Row],[ÉTAT]],VALUE(RIGHT(Table132[[#This Row],[next move]],1))+1+VALUE(LEFT(Table132[[#This Row],[next move]],1))*3,1)</f>
        <v>V</v>
      </c>
      <c r="I6100" t="str">
        <f>Table132[[#This Row],[ÉTAT]]&amp;Table132[[#This Row],[next move]]</f>
        <v>EMMEEVMEM12</v>
      </c>
    </row>
    <row r="6101" spans="2:9" x14ac:dyDescent="0.25">
      <c r="B6101" t="s">
        <v>1437</v>
      </c>
      <c r="C6101" s="22" t="s">
        <v>35</v>
      </c>
      <c r="D6101">
        <v>1</v>
      </c>
      <c r="G6101" s="25">
        <f>Table132[[#This Row],[nb win]]/Table132[[#This Row],[nb play]]</f>
        <v>0</v>
      </c>
      <c r="H6101" t="str">
        <f>MID(Table132[[#This Row],[ÉTAT]],VALUE(RIGHT(Table132[[#This Row],[next move]],1))+1+VALUE(LEFT(Table132[[#This Row],[next move]],1))*3,1)</f>
        <v>V</v>
      </c>
      <c r="I6101" t="str">
        <f>Table132[[#This Row],[ÉTAT]]&amp;Table132[[#This Row],[next move]]</f>
        <v>EMMEEMVVV20</v>
      </c>
    </row>
    <row r="6102" spans="2:9" x14ac:dyDescent="0.25">
      <c r="B6102" t="s">
        <v>1437</v>
      </c>
      <c r="C6102" s="22" t="s">
        <v>31</v>
      </c>
      <c r="D6102">
        <v>1</v>
      </c>
      <c r="E6102">
        <v>1</v>
      </c>
      <c r="G6102" s="31">
        <f>Table132[[#This Row],[nb win]]/Table132[[#This Row],[nb play]]</f>
        <v>1</v>
      </c>
      <c r="H6102" t="str">
        <f>MID(Table132[[#This Row],[ÉTAT]],VALUE(RIGHT(Table132[[#This Row],[next move]],1))+1+VALUE(LEFT(Table132[[#This Row],[next move]],1))*3,1)</f>
        <v>V</v>
      </c>
      <c r="I6102" t="str">
        <f>Table132[[#This Row],[ÉTAT]]&amp;Table132[[#This Row],[next move]]</f>
        <v>EMMEEMVVV22</v>
      </c>
    </row>
    <row r="6103" spans="2:9" x14ac:dyDescent="0.25">
      <c r="B6103" t="s">
        <v>1555</v>
      </c>
      <c r="C6103" s="22" t="s">
        <v>31</v>
      </c>
      <c r="D6103">
        <v>3</v>
      </c>
      <c r="E6103">
        <v>3</v>
      </c>
      <c r="G6103" s="25">
        <f>Table132[[#This Row],[nb win]]/Table132[[#This Row],[nb play]]</f>
        <v>1</v>
      </c>
      <c r="H6103" t="str">
        <f>MID(Table132[[#This Row],[ÉTAT]],VALUE(RIGHT(Table132[[#This Row],[next move]],1))+1+VALUE(LEFT(Table132[[#This Row],[next move]],1))*3,1)</f>
        <v>V</v>
      </c>
      <c r="I6103" t="str">
        <f>Table132[[#This Row],[ÉTAT]]&amp;Table132[[#This Row],[next move]]</f>
        <v>EMMEEMVEV22</v>
      </c>
    </row>
    <row r="6104" spans="2:9" x14ac:dyDescent="0.25">
      <c r="B6104" t="s">
        <v>1986</v>
      </c>
      <c r="C6104" s="22" t="s">
        <v>31</v>
      </c>
      <c r="D6104">
        <v>3</v>
      </c>
      <c r="E6104">
        <v>3</v>
      </c>
      <c r="G6104" s="31">
        <f>Table132[[#This Row],[nb win]]/Table132[[#This Row],[nb play]]</f>
        <v>1</v>
      </c>
      <c r="H6104" t="str">
        <f>MID(Table132[[#This Row],[ÉTAT]],VALUE(RIGHT(Table132[[#This Row],[next move]],1))+1+VALUE(LEFT(Table132[[#This Row],[next move]],1))*3,1)</f>
        <v>V</v>
      </c>
      <c r="I6104" t="str">
        <f>Table132[[#This Row],[ÉTAT]]&amp;Table132[[#This Row],[next move]]</f>
        <v>EMMEEMMEV22</v>
      </c>
    </row>
    <row r="6105" spans="2:9" x14ac:dyDescent="0.25">
      <c r="B6105" t="s">
        <v>330</v>
      </c>
      <c r="C6105" s="22" t="s">
        <v>30</v>
      </c>
      <c r="D6105">
        <v>1</v>
      </c>
      <c r="G6105" s="30">
        <f>Table132[[#This Row],[nb win]]/Table132[[#This Row],[nb play]]</f>
        <v>0</v>
      </c>
      <c r="H6105" t="str">
        <f>MID(Table132[[#This Row],[ÉTAT]],VALUE(RIGHT(Table132[[#This Row],[next move]],1))+1+VALUE(LEFT(Table132[[#This Row],[next move]],1))*3,1)</f>
        <v>V</v>
      </c>
      <c r="I6105" t="str">
        <f>Table132[[#This Row],[ÉTAT]]&amp;Table132[[#This Row],[next move]]</f>
        <v>EMEVVVVVV10</v>
      </c>
    </row>
    <row r="6106" spans="2:9" x14ac:dyDescent="0.25">
      <c r="B6106" t="s">
        <v>330</v>
      </c>
      <c r="C6106" s="22" t="s">
        <v>29</v>
      </c>
      <c r="D6106">
        <v>9</v>
      </c>
      <c r="E6106">
        <v>7</v>
      </c>
      <c r="G6106" s="30">
        <f>Table132[[#This Row],[nb win]]/Table132[[#This Row],[nb play]]</f>
        <v>0.77777777777777779</v>
      </c>
      <c r="H6106" t="str">
        <f>MID(Table132[[#This Row],[ÉTAT]],VALUE(RIGHT(Table132[[#This Row],[next move]],1))+1+VALUE(LEFT(Table132[[#This Row],[next move]],1))*3,1)</f>
        <v>V</v>
      </c>
      <c r="I6106" t="str">
        <f>Table132[[#This Row],[ÉTAT]]&amp;Table132[[#This Row],[next move]]</f>
        <v>EMEVVVVVV11</v>
      </c>
    </row>
    <row r="6107" spans="2:9" x14ac:dyDescent="0.25">
      <c r="B6107" t="s">
        <v>330</v>
      </c>
      <c r="C6107" s="22" t="s">
        <v>35</v>
      </c>
      <c r="D6107">
        <v>1</v>
      </c>
      <c r="G6107" s="25">
        <f>Table132[[#This Row],[nb win]]/Table132[[#This Row],[nb play]]</f>
        <v>0</v>
      </c>
      <c r="H6107" t="str">
        <f>MID(Table132[[#This Row],[ÉTAT]],VALUE(RIGHT(Table132[[#This Row],[next move]],1))+1+VALUE(LEFT(Table132[[#This Row],[next move]],1))*3,1)</f>
        <v>V</v>
      </c>
      <c r="I6107" t="str">
        <f>Table132[[#This Row],[ÉTAT]]&amp;Table132[[#This Row],[next move]]</f>
        <v>EMEVVVVVV20</v>
      </c>
    </row>
    <row r="6108" spans="2:9" x14ac:dyDescent="0.25">
      <c r="B6108" t="s">
        <v>330</v>
      </c>
      <c r="C6108" s="22" t="s">
        <v>22</v>
      </c>
      <c r="D6108">
        <v>14</v>
      </c>
      <c r="E6108">
        <v>6</v>
      </c>
      <c r="G6108" s="31">
        <f>Table132[[#This Row],[nb win]]/Table132[[#This Row],[nb play]]</f>
        <v>0.42857142857142855</v>
      </c>
      <c r="H6108" t="str">
        <f>MID(Table132[[#This Row],[ÉTAT]],VALUE(RIGHT(Table132[[#This Row],[next move]],1))+1+VALUE(LEFT(Table132[[#This Row],[next move]],1))*3,1)</f>
        <v>V</v>
      </c>
      <c r="I6108" t="str">
        <f>Table132[[#This Row],[ÉTAT]]&amp;Table132[[#This Row],[next move]]</f>
        <v>EMEVVVVVV21</v>
      </c>
    </row>
    <row r="6109" spans="2:9" x14ac:dyDescent="0.25">
      <c r="B6109" t="s">
        <v>330</v>
      </c>
      <c r="C6109" s="22" t="s">
        <v>31</v>
      </c>
      <c r="D6109">
        <v>2</v>
      </c>
      <c r="E6109">
        <v>1</v>
      </c>
      <c r="G6109" s="30">
        <f>Table132[[#This Row],[nb win]]/Table132[[#This Row],[nb play]]</f>
        <v>0.5</v>
      </c>
      <c r="H6109" t="str">
        <f>MID(Table132[[#This Row],[ÉTAT]],VALUE(RIGHT(Table132[[#This Row],[next move]],1))+1+VALUE(LEFT(Table132[[#This Row],[next move]],1))*3,1)</f>
        <v>V</v>
      </c>
      <c r="I6109" t="str">
        <f>Table132[[#This Row],[ÉTAT]]&amp;Table132[[#This Row],[next move]]</f>
        <v>EMEVVVVVV22</v>
      </c>
    </row>
    <row r="6110" spans="2:9" x14ac:dyDescent="0.25">
      <c r="B6110" t="s">
        <v>1802</v>
      </c>
      <c r="C6110" s="22" t="s">
        <v>30</v>
      </c>
      <c r="D6110">
        <v>3</v>
      </c>
      <c r="E6110">
        <v>1</v>
      </c>
      <c r="G6110" s="30">
        <f>Table132[[#This Row],[nb win]]/Table132[[#This Row],[nb play]]</f>
        <v>0.33333333333333331</v>
      </c>
      <c r="H6110" t="str">
        <f>MID(Table132[[#This Row],[ÉTAT]],VALUE(RIGHT(Table132[[#This Row],[next move]],1))+1+VALUE(LEFT(Table132[[#This Row],[next move]],1))*3,1)</f>
        <v>V</v>
      </c>
      <c r="I6110" t="str">
        <f>Table132[[#This Row],[ÉTAT]]&amp;Table132[[#This Row],[next move]]</f>
        <v>EMEVVVVVM10</v>
      </c>
    </row>
    <row r="6111" spans="2:9" x14ac:dyDescent="0.25">
      <c r="B6111" t="s">
        <v>1130</v>
      </c>
      <c r="C6111" s="22" t="s">
        <v>29</v>
      </c>
      <c r="D6111">
        <v>5</v>
      </c>
      <c r="E6111">
        <v>5</v>
      </c>
      <c r="G6111" s="31">
        <f>Table132[[#This Row],[nb win]]/Table132[[#This Row],[nb play]]</f>
        <v>1</v>
      </c>
      <c r="H6111" t="str">
        <f>MID(Table132[[#This Row],[ÉTAT]],VALUE(RIGHT(Table132[[#This Row],[next move]],1))+1+VALUE(LEFT(Table132[[#This Row],[next move]],1))*3,1)</f>
        <v>V</v>
      </c>
      <c r="I6111" t="str">
        <f>Table132[[#This Row],[ÉTAT]]&amp;Table132[[#This Row],[next move]]</f>
        <v>EMEVVVVMV11</v>
      </c>
    </row>
    <row r="6112" spans="2:9" x14ac:dyDescent="0.25">
      <c r="B6112" t="s">
        <v>1458</v>
      </c>
      <c r="C6112" s="22" t="s">
        <v>30</v>
      </c>
      <c r="D6112">
        <v>1</v>
      </c>
      <c r="G6112" s="25">
        <f>Table132[[#This Row],[nb win]]/Table132[[#This Row],[nb play]]</f>
        <v>0</v>
      </c>
      <c r="H6112" t="str">
        <f>MID(Table132[[#This Row],[ÉTAT]],VALUE(RIGHT(Table132[[#This Row],[next move]],1))+1+VALUE(LEFT(Table132[[#This Row],[next move]],1))*3,1)</f>
        <v>V</v>
      </c>
      <c r="I6112" t="str">
        <f>Table132[[#This Row],[ÉTAT]]&amp;Table132[[#This Row],[next move]]</f>
        <v>EMEVVVVME10</v>
      </c>
    </row>
    <row r="6113" spans="2:9" x14ac:dyDescent="0.25">
      <c r="B6113" t="s">
        <v>1458</v>
      </c>
      <c r="C6113" s="22" t="s">
        <v>29</v>
      </c>
      <c r="D6113">
        <v>2</v>
      </c>
      <c r="E6113">
        <v>2</v>
      </c>
      <c r="G6113" s="31">
        <f>Table132[[#This Row],[nb win]]/Table132[[#This Row],[nb play]]</f>
        <v>1</v>
      </c>
      <c r="H6113" t="str">
        <f>MID(Table132[[#This Row],[ÉTAT]],VALUE(RIGHT(Table132[[#This Row],[next move]],1))+1+VALUE(LEFT(Table132[[#This Row],[next move]],1))*3,1)</f>
        <v>V</v>
      </c>
      <c r="I6113" t="str">
        <f>Table132[[#This Row],[ÉTAT]]&amp;Table132[[#This Row],[next move]]</f>
        <v>EMEVVVVME11</v>
      </c>
    </row>
    <row r="6114" spans="2:9" x14ac:dyDescent="0.25">
      <c r="B6114" t="s">
        <v>1458</v>
      </c>
      <c r="C6114" s="22" t="s">
        <v>28</v>
      </c>
      <c r="D6114">
        <v>1</v>
      </c>
      <c r="G6114" s="25">
        <f>Table132[[#This Row],[nb win]]/Table132[[#This Row],[nb play]]</f>
        <v>0</v>
      </c>
      <c r="H6114" t="str">
        <f>MID(Table132[[#This Row],[ÉTAT]],VALUE(RIGHT(Table132[[#This Row],[next move]],1))+1+VALUE(LEFT(Table132[[#This Row],[next move]],1))*3,1)</f>
        <v>V</v>
      </c>
      <c r="I6114" t="str">
        <f>Table132[[#This Row],[ÉTAT]]&amp;Table132[[#This Row],[next move]]</f>
        <v>EMEVVVVME12</v>
      </c>
    </row>
    <row r="6115" spans="2:9" x14ac:dyDescent="0.25">
      <c r="B6115" t="s">
        <v>1458</v>
      </c>
      <c r="C6115" s="22" t="s">
        <v>35</v>
      </c>
      <c r="D6115">
        <v>1</v>
      </c>
      <c r="G6115" s="25">
        <f>Table132[[#This Row],[nb win]]/Table132[[#This Row],[nb play]]</f>
        <v>0</v>
      </c>
      <c r="H6115" t="str">
        <f>MID(Table132[[#This Row],[ÉTAT]],VALUE(RIGHT(Table132[[#This Row],[next move]],1))+1+VALUE(LEFT(Table132[[#This Row],[next move]],1))*3,1)</f>
        <v>V</v>
      </c>
      <c r="I6115" t="str">
        <f>Table132[[#This Row],[ÉTAT]]&amp;Table132[[#This Row],[next move]]</f>
        <v>EMEVVVVME20</v>
      </c>
    </row>
    <row r="6116" spans="2:9" x14ac:dyDescent="0.25">
      <c r="B6116" t="s">
        <v>1487</v>
      </c>
      <c r="C6116" s="22" t="s">
        <v>29</v>
      </c>
      <c r="D6116">
        <v>1</v>
      </c>
      <c r="G6116" s="25">
        <f>Table132[[#This Row],[nb win]]/Table132[[#This Row],[nb play]]</f>
        <v>0</v>
      </c>
      <c r="H6116" t="str">
        <f>MID(Table132[[#This Row],[ÉTAT]],VALUE(RIGHT(Table132[[#This Row],[next move]],1))+1+VALUE(LEFT(Table132[[#This Row],[next move]],1))*3,1)</f>
        <v>V</v>
      </c>
      <c r="I6116" t="str">
        <f>Table132[[#This Row],[ÉTAT]]&amp;Table132[[#This Row],[next move]]</f>
        <v>EMEVVVVEM11</v>
      </c>
    </row>
    <row r="6117" spans="2:9" x14ac:dyDescent="0.25">
      <c r="B6117" t="s">
        <v>1487</v>
      </c>
      <c r="C6117" s="22" t="s">
        <v>28</v>
      </c>
      <c r="D6117">
        <v>1</v>
      </c>
      <c r="G6117" s="25">
        <f>Table132[[#This Row],[nb win]]/Table132[[#This Row],[nb play]]</f>
        <v>0</v>
      </c>
      <c r="H6117" t="str">
        <f>MID(Table132[[#This Row],[ÉTAT]],VALUE(RIGHT(Table132[[#This Row],[next move]],1))+1+VALUE(LEFT(Table132[[#This Row],[next move]],1))*3,1)</f>
        <v>V</v>
      </c>
      <c r="I6117" t="str">
        <f>Table132[[#This Row],[ÉTAT]]&amp;Table132[[#This Row],[next move]]</f>
        <v>EMEVVVVEM12</v>
      </c>
    </row>
    <row r="6118" spans="2:9" x14ac:dyDescent="0.25">
      <c r="B6118" t="s">
        <v>1278</v>
      </c>
      <c r="C6118" s="22" t="s">
        <v>28</v>
      </c>
      <c r="D6118">
        <v>1</v>
      </c>
      <c r="G6118" s="25">
        <f>Table132[[#This Row],[nb win]]/Table132[[#This Row],[nb play]]</f>
        <v>0</v>
      </c>
      <c r="H6118" t="str">
        <f>MID(Table132[[#This Row],[ÉTAT]],VALUE(RIGHT(Table132[[#This Row],[next move]],1))+1+VALUE(LEFT(Table132[[#This Row],[next move]],1))*3,1)</f>
        <v>V</v>
      </c>
      <c r="I6118" t="str">
        <f>Table132[[#This Row],[ÉTAT]]&amp;Table132[[#This Row],[next move]]</f>
        <v>EMEVVVMME12</v>
      </c>
    </row>
    <row r="6119" spans="2:9" x14ac:dyDescent="0.25">
      <c r="B6119" t="s">
        <v>823</v>
      </c>
      <c r="C6119" s="22" t="s">
        <v>30</v>
      </c>
      <c r="D6119">
        <v>1</v>
      </c>
      <c r="G6119" s="25">
        <f>Table132[[#This Row],[nb win]]/Table132[[#This Row],[nb play]]</f>
        <v>0</v>
      </c>
      <c r="H6119" t="str">
        <f>MID(Table132[[#This Row],[ÉTAT]],VALUE(RIGHT(Table132[[#This Row],[next move]],1))+1+VALUE(LEFT(Table132[[#This Row],[next move]],1))*3,1)</f>
        <v>V</v>
      </c>
      <c r="I6119" t="str">
        <f>Table132[[#This Row],[ÉTAT]]&amp;Table132[[#This Row],[next move]]</f>
        <v>EMEVVVMEV10</v>
      </c>
    </row>
    <row r="6120" spans="2:9" x14ac:dyDescent="0.25">
      <c r="B6120" t="s">
        <v>975</v>
      </c>
      <c r="C6120" s="22" t="s">
        <v>30</v>
      </c>
      <c r="D6120">
        <v>1</v>
      </c>
      <c r="G6120" s="25">
        <f>Table132[[#This Row],[nb win]]/Table132[[#This Row],[nb play]]</f>
        <v>0</v>
      </c>
      <c r="H6120" t="str">
        <f>MID(Table132[[#This Row],[ÉTAT]],VALUE(RIGHT(Table132[[#This Row],[next move]],1))+1+VALUE(LEFT(Table132[[#This Row],[next move]],1))*3,1)</f>
        <v>V</v>
      </c>
      <c r="I6120" t="str">
        <f>Table132[[#This Row],[ÉTAT]]&amp;Table132[[#This Row],[next move]]</f>
        <v>EMEVVVEVM10</v>
      </c>
    </row>
    <row r="6121" spans="2:9" x14ac:dyDescent="0.25">
      <c r="B6121" t="s">
        <v>975</v>
      </c>
      <c r="C6121" s="22" t="s">
        <v>29</v>
      </c>
      <c r="D6121">
        <v>1</v>
      </c>
      <c r="G6121" s="30">
        <f>Table132[[#This Row],[nb win]]/Table132[[#This Row],[nb play]]</f>
        <v>0</v>
      </c>
      <c r="H6121" t="str">
        <f>MID(Table132[[#This Row],[ÉTAT]],VALUE(RIGHT(Table132[[#This Row],[next move]],1))+1+VALUE(LEFT(Table132[[#This Row],[next move]],1))*3,1)</f>
        <v>V</v>
      </c>
      <c r="I6121" t="str">
        <f>Table132[[#This Row],[ÉTAT]]&amp;Table132[[#This Row],[next move]]</f>
        <v>EMEVVVEVM11</v>
      </c>
    </row>
    <row r="6122" spans="2:9" x14ac:dyDescent="0.25">
      <c r="B6122" t="s">
        <v>975</v>
      </c>
      <c r="C6122" s="22" t="s">
        <v>28</v>
      </c>
      <c r="D6122">
        <v>1</v>
      </c>
      <c r="G6122" s="25">
        <f>Table132[[#This Row],[nb win]]/Table132[[#This Row],[nb play]]</f>
        <v>0</v>
      </c>
      <c r="H6122" t="str">
        <f>MID(Table132[[#This Row],[ÉTAT]],VALUE(RIGHT(Table132[[#This Row],[next move]],1))+1+VALUE(LEFT(Table132[[#This Row],[next move]],1))*3,1)</f>
        <v>V</v>
      </c>
      <c r="I6122" t="str">
        <f>Table132[[#This Row],[ÉTAT]]&amp;Table132[[#This Row],[next move]]</f>
        <v>EMEVVVEVM12</v>
      </c>
    </row>
    <row r="6123" spans="2:9" x14ac:dyDescent="0.25">
      <c r="B6123" t="s">
        <v>975</v>
      </c>
      <c r="C6123" s="22" t="s">
        <v>22</v>
      </c>
      <c r="D6123">
        <v>2</v>
      </c>
      <c r="G6123" s="30">
        <f>Table132[[#This Row],[nb win]]/Table132[[#This Row],[nb play]]</f>
        <v>0</v>
      </c>
      <c r="H6123" t="str">
        <f>MID(Table132[[#This Row],[ÉTAT]],VALUE(RIGHT(Table132[[#This Row],[next move]],1))+1+VALUE(LEFT(Table132[[#This Row],[next move]],1))*3,1)</f>
        <v>V</v>
      </c>
      <c r="I6123" t="str">
        <f>Table132[[#This Row],[ÉTAT]]&amp;Table132[[#This Row],[next move]]</f>
        <v>EMEVVVEVM21</v>
      </c>
    </row>
    <row r="6124" spans="2:9" x14ac:dyDescent="0.25">
      <c r="B6124" t="s">
        <v>3093</v>
      </c>
      <c r="C6124" s="22" t="s">
        <v>28</v>
      </c>
      <c r="D6124">
        <v>1</v>
      </c>
      <c r="G6124" s="30">
        <f>Table132[[#This Row],[nb win]]/Table132[[#This Row],[nb play]]</f>
        <v>0</v>
      </c>
      <c r="H6124" t="str">
        <f>MID(Table132[[#This Row],[ÉTAT]],VALUE(RIGHT(Table132[[#This Row],[next move]],1))+1+VALUE(LEFT(Table132[[#This Row],[next move]],1))*3,1)</f>
        <v>V</v>
      </c>
      <c r="I6124" t="str">
        <f>Table132[[#This Row],[ÉTAT]]&amp;Table132[[#This Row],[next move]]</f>
        <v>EMEVVVEMV12</v>
      </c>
    </row>
    <row r="6125" spans="2:9" x14ac:dyDescent="0.25">
      <c r="B6125" t="s">
        <v>2318</v>
      </c>
      <c r="C6125" s="22" t="s">
        <v>30</v>
      </c>
      <c r="D6125">
        <v>3</v>
      </c>
      <c r="E6125">
        <v>2</v>
      </c>
      <c r="G6125" s="31">
        <f>Table132[[#This Row],[nb win]]/Table132[[#This Row],[nb play]]</f>
        <v>0.66666666666666663</v>
      </c>
      <c r="H6125" t="str">
        <f>MID(Table132[[#This Row],[ÉTAT]],VALUE(RIGHT(Table132[[#This Row],[next move]],1))+1+VALUE(LEFT(Table132[[#This Row],[next move]],1))*3,1)</f>
        <v>V</v>
      </c>
      <c r="I6125" t="str">
        <f>Table132[[#This Row],[ÉTAT]]&amp;Table132[[#This Row],[next move]]</f>
        <v>EMEVVMVVV10</v>
      </c>
    </row>
    <row r="6126" spans="2:9" x14ac:dyDescent="0.25">
      <c r="B6126" t="s">
        <v>2318</v>
      </c>
      <c r="C6126" s="22" t="s">
        <v>35</v>
      </c>
      <c r="D6126">
        <v>3</v>
      </c>
      <c r="E6126">
        <v>3</v>
      </c>
      <c r="G6126" s="31">
        <f>Table132[[#This Row],[nb win]]/Table132[[#This Row],[nb play]]</f>
        <v>1</v>
      </c>
      <c r="H6126" t="str">
        <f>MID(Table132[[#This Row],[ÉTAT]],VALUE(RIGHT(Table132[[#This Row],[next move]],1))+1+VALUE(LEFT(Table132[[#This Row],[next move]],1))*3,1)</f>
        <v>V</v>
      </c>
      <c r="I6126" t="str">
        <f>Table132[[#This Row],[ÉTAT]]&amp;Table132[[#This Row],[next move]]</f>
        <v>EMEVVMVVV20</v>
      </c>
    </row>
    <row r="6127" spans="2:9" x14ac:dyDescent="0.25">
      <c r="B6127" t="s">
        <v>2748</v>
      </c>
      <c r="C6127" s="22" t="s">
        <v>30</v>
      </c>
      <c r="D6127">
        <v>2</v>
      </c>
      <c r="G6127" s="30">
        <f>Table132[[#This Row],[nb win]]/Table132[[#This Row],[nb play]]</f>
        <v>0</v>
      </c>
      <c r="H6127" t="str">
        <f>MID(Table132[[#This Row],[ÉTAT]],VALUE(RIGHT(Table132[[#This Row],[next move]],1))+1+VALUE(LEFT(Table132[[#This Row],[next move]],1))*3,1)</f>
        <v>V</v>
      </c>
      <c r="I6127" t="str">
        <f>Table132[[#This Row],[ÉTAT]]&amp;Table132[[#This Row],[next move]]</f>
        <v>EMEVVMVME10</v>
      </c>
    </row>
    <row r="6128" spans="2:9" x14ac:dyDescent="0.25">
      <c r="B6128" t="s">
        <v>2748</v>
      </c>
      <c r="C6128" s="22" t="s">
        <v>29</v>
      </c>
      <c r="D6128">
        <v>2</v>
      </c>
      <c r="E6128">
        <v>2</v>
      </c>
      <c r="G6128" s="31">
        <f>Table132[[#This Row],[nb win]]/Table132[[#This Row],[nb play]]</f>
        <v>1</v>
      </c>
      <c r="H6128" t="str">
        <f>MID(Table132[[#This Row],[ÉTAT]],VALUE(RIGHT(Table132[[#This Row],[next move]],1))+1+VALUE(LEFT(Table132[[#This Row],[next move]],1))*3,1)</f>
        <v>V</v>
      </c>
      <c r="I6128" t="str">
        <f>Table132[[#This Row],[ÉTAT]]&amp;Table132[[#This Row],[next move]]</f>
        <v>EMEVVMVME11</v>
      </c>
    </row>
    <row r="6129" spans="2:9" x14ac:dyDescent="0.25">
      <c r="B6129" t="s">
        <v>2748</v>
      </c>
      <c r="C6129" s="22" t="s">
        <v>35</v>
      </c>
      <c r="D6129">
        <v>2</v>
      </c>
      <c r="G6129" s="30">
        <f>Table132[[#This Row],[nb win]]/Table132[[#This Row],[nb play]]</f>
        <v>0</v>
      </c>
      <c r="H6129" t="str">
        <f>MID(Table132[[#This Row],[ÉTAT]],VALUE(RIGHT(Table132[[#This Row],[next move]],1))+1+VALUE(LEFT(Table132[[#This Row],[next move]],1))*3,1)</f>
        <v>V</v>
      </c>
      <c r="I6129" t="str">
        <f>Table132[[#This Row],[ÉTAT]]&amp;Table132[[#This Row],[next move]]</f>
        <v>EMEVVMVME20</v>
      </c>
    </row>
    <row r="6130" spans="2:9" x14ac:dyDescent="0.25">
      <c r="B6130" t="s">
        <v>2375</v>
      </c>
      <c r="C6130" s="22" t="s">
        <v>31</v>
      </c>
      <c r="D6130">
        <v>1</v>
      </c>
      <c r="G6130" s="25">
        <f>Table132[[#This Row],[nb win]]/Table132[[#This Row],[nb play]]</f>
        <v>0</v>
      </c>
      <c r="H6130" t="str">
        <f>MID(Table132[[#This Row],[ÉTAT]],VALUE(RIGHT(Table132[[#This Row],[next move]],1))+1+VALUE(LEFT(Table132[[#This Row],[next move]],1))*3,1)</f>
        <v>V</v>
      </c>
      <c r="I6130" t="str">
        <f>Table132[[#This Row],[ÉTAT]]&amp;Table132[[#This Row],[next move]]</f>
        <v>EMEVVMVEV22</v>
      </c>
    </row>
    <row r="6131" spans="2:9" x14ac:dyDescent="0.25">
      <c r="B6131" t="s">
        <v>2502</v>
      </c>
      <c r="C6131" s="22" t="s">
        <v>29</v>
      </c>
      <c r="D6131">
        <v>1</v>
      </c>
      <c r="E6131">
        <v>1</v>
      </c>
      <c r="G6131" s="25">
        <f>Table132[[#This Row],[nb win]]/Table132[[#This Row],[nb play]]</f>
        <v>1</v>
      </c>
      <c r="H6131" t="str">
        <f>MID(Table132[[#This Row],[ÉTAT]],VALUE(RIGHT(Table132[[#This Row],[next move]],1))+1+VALUE(LEFT(Table132[[#This Row],[next move]],1))*3,1)</f>
        <v>V</v>
      </c>
      <c r="I6131" t="str">
        <f>Table132[[#This Row],[ÉTAT]]&amp;Table132[[#This Row],[next move]]</f>
        <v>EMEVVMVEM11</v>
      </c>
    </row>
    <row r="6132" spans="2:9" x14ac:dyDescent="0.25">
      <c r="B6132" t="s">
        <v>3095</v>
      </c>
      <c r="C6132" s="22" t="s">
        <v>30</v>
      </c>
      <c r="D6132">
        <v>2</v>
      </c>
      <c r="E6132">
        <v>1</v>
      </c>
      <c r="G6132" s="30">
        <f>Table132[[#This Row],[nb win]]/Table132[[#This Row],[nb play]]</f>
        <v>0.5</v>
      </c>
      <c r="H6132" t="str">
        <f>MID(Table132[[#This Row],[ÉTAT]],VALUE(RIGHT(Table132[[#This Row],[next move]],1))+1+VALUE(LEFT(Table132[[#This Row],[next move]],1))*3,1)</f>
        <v>V</v>
      </c>
      <c r="I6132" t="str">
        <f>Table132[[#This Row],[ÉTAT]]&amp;Table132[[#This Row],[next move]]</f>
        <v>EMEVVMMVE10</v>
      </c>
    </row>
    <row r="6133" spans="2:9" x14ac:dyDescent="0.25">
      <c r="B6133" t="s">
        <v>3095</v>
      </c>
      <c r="C6133" s="22" t="s">
        <v>29</v>
      </c>
      <c r="D6133">
        <v>1</v>
      </c>
      <c r="E6133">
        <v>1</v>
      </c>
      <c r="G6133" s="31">
        <f>Table132[[#This Row],[nb win]]/Table132[[#This Row],[nb play]]</f>
        <v>1</v>
      </c>
      <c r="H6133" t="str">
        <f>MID(Table132[[#This Row],[ÉTAT]],VALUE(RIGHT(Table132[[#This Row],[next move]],1))+1+VALUE(LEFT(Table132[[#This Row],[next move]],1))*3,1)</f>
        <v>V</v>
      </c>
      <c r="I6133" t="str">
        <f>Table132[[#This Row],[ÉTAT]]&amp;Table132[[#This Row],[next move]]</f>
        <v>EMEVVMMVE11</v>
      </c>
    </row>
    <row r="6134" spans="2:9" x14ac:dyDescent="0.25">
      <c r="B6134" t="s">
        <v>1076</v>
      </c>
      <c r="C6134" s="22" t="s">
        <v>30</v>
      </c>
      <c r="D6134">
        <v>1</v>
      </c>
      <c r="G6134" s="25">
        <f>Table132[[#This Row],[nb win]]/Table132[[#This Row],[nb play]]</f>
        <v>0</v>
      </c>
      <c r="H6134" t="str">
        <f>MID(Table132[[#This Row],[ÉTAT]],VALUE(RIGHT(Table132[[#This Row],[next move]],1))+1+VALUE(LEFT(Table132[[#This Row],[next move]],1))*3,1)</f>
        <v>V</v>
      </c>
      <c r="I6134" t="str">
        <f>Table132[[#This Row],[ÉTAT]]&amp;Table132[[#This Row],[next move]]</f>
        <v>EMEVVMMEE10</v>
      </c>
    </row>
    <row r="6135" spans="2:9" x14ac:dyDescent="0.25">
      <c r="B6135" t="s">
        <v>2745</v>
      </c>
      <c r="C6135" s="22" t="s">
        <v>22</v>
      </c>
      <c r="D6135">
        <v>1</v>
      </c>
      <c r="G6135" s="25">
        <f>Table132[[#This Row],[nb win]]/Table132[[#This Row],[nb play]]</f>
        <v>0</v>
      </c>
      <c r="H6135" t="str">
        <f>MID(Table132[[#This Row],[ÉTAT]],VALUE(RIGHT(Table132[[#This Row],[next move]],1))+1+VALUE(LEFT(Table132[[#This Row],[next move]],1))*3,1)</f>
        <v>V</v>
      </c>
      <c r="I6135" t="str">
        <f>Table132[[#This Row],[ÉTAT]]&amp;Table132[[#This Row],[next move]]</f>
        <v>EMEVVMEVM21</v>
      </c>
    </row>
    <row r="6136" spans="2:9" x14ac:dyDescent="0.25">
      <c r="B6136" t="s">
        <v>439</v>
      </c>
      <c r="C6136" s="22" t="s">
        <v>29</v>
      </c>
      <c r="D6136">
        <v>1</v>
      </c>
      <c r="E6136">
        <v>1</v>
      </c>
      <c r="G6136" s="25">
        <f>Table132[[#This Row],[nb win]]/Table132[[#This Row],[nb play]]</f>
        <v>1</v>
      </c>
      <c r="H6136" t="str">
        <f>MID(Table132[[#This Row],[ÉTAT]],VALUE(RIGHT(Table132[[#This Row],[next move]],1))+1+VALUE(LEFT(Table132[[#This Row],[next move]],1))*3,1)</f>
        <v>V</v>
      </c>
      <c r="I6136" t="str">
        <f>Table132[[#This Row],[ÉTAT]]&amp;Table132[[#This Row],[next move]]</f>
        <v>EMEVVMEME11</v>
      </c>
    </row>
    <row r="6137" spans="2:9" x14ac:dyDescent="0.25">
      <c r="B6137" t="s">
        <v>1735</v>
      </c>
      <c r="C6137" s="22" t="s">
        <v>30</v>
      </c>
      <c r="D6137">
        <v>3</v>
      </c>
      <c r="G6137" s="30">
        <f>Table132[[#This Row],[nb win]]/Table132[[#This Row],[nb play]]</f>
        <v>0</v>
      </c>
      <c r="H6137" t="str">
        <f>MID(Table132[[#This Row],[ÉTAT]],VALUE(RIGHT(Table132[[#This Row],[next move]],1))+1+VALUE(LEFT(Table132[[#This Row],[next move]],1))*3,1)</f>
        <v>V</v>
      </c>
      <c r="I6137" t="str">
        <f>Table132[[#This Row],[ÉTAT]]&amp;Table132[[#This Row],[next move]]</f>
        <v>EMEVVMEEM10</v>
      </c>
    </row>
    <row r="6138" spans="2:9" x14ac:dyDescent="0.25">
      <c r="B6138" t="s">
        <v>1735</v>
      </c>
      <c r="C6138" s="22" t="s">
        <v>29</v>
      </c>
      <c r="D6138">
        <v>6</v>
      </c>
      <c r="G6138" s="30">
        <f>Table132[[#This Row],[nb win]]/Table132[[#This Row],[nb play]]</f>
        <v>0</v>
      </c>
      <c r="H6138" t="str">
        <f>MID(Table132[[#This Row],[ÉTAT]],VALUE(RIGHT(Table132[[#This Row],[next move]],1))+1+VALUE(LEFT(Table132[[#This Row],[next move]],1))*3,1)</f>
        <v>V</v>
      </c>
      <c r="I6138" t="str">
        <f>Table132[[#This Row],[ÉTAT]]&amp;Table132[[#This Row],[next move]]</f>
        <v>EMEVVMEEM11</v>
      </c>
    </row>
    <row r="6139" spans="2:9" x14ac:dyDescent="0.25">
      <c r="B6139" t="s">
        <v>1046</v>
      </c>
      <c r="C6139" s="22" t="s">
        <v>30</v>
      </c>
      <c r="D6139">
        <v>3</v>
      </c>
      <c r="G6139" s="25">
        <f>Table132[[#This Row],[nb win]]/Table132[[#This Row],[nb play]]</f>
        <v>0</v>
      </c>
      <c r="H6139" t="str">
        <f>MID(Table132[[#This Row],[ÉTAT]],VALUE(RIGHT(Table132[[#This Row],[next move]],1))+1+VALUE(LEFT(Table132[[#This Row],[next move]],1))*3,1)</f>
        <v>V</v>
      </c>
      <c r="I6139" t="str">
        <f>Table132[[#This Row],[ÉTAT]]&amp;Table132[[#This Row],[next move]]</f>
        <v>EMEVVEVMV10</v>
      </c>
    </row>
    <row r="6140" spans="2:9" x14ac:dyDescent="0.25">
      <c r="B6140" t="s">
        <v>1046</v>
      </c>
      <c r="C6140" s="22" t="s">
        <v>35</v>
      </c>
      <c r="D6140">
        <v>2</v>
      </c>
      <c r="E6140">
        <v>1</v>
      </c>
      <c r="G6140" s="30">
        <f>Table132[[#This Row],[nb win]]/Table132[[#This Row],[nb play]]</f>
        <v>0.5</v>
      </c>
      <c r="H6140" t="str">
        <f>MID(Table132[[#This Row],[ÉTAT]],VALUE(RIGHT(Table132[[#This Row],[next move]],1))+1+VALUE(LEFT(Table132[[#This Row],[next move]],1))*3,1)</f>
        <v>V</v>
      </c>
      <c r="I6140" t="str">
        <f>Table132[[#This Row],[ÉTAT]]&amp;Table132[[#This Row],[next move]]</f>
        <v>EMEVVEVMV20</v>
      </c>
    </row>
    <row r="6141" spans="2:9" x14ac:dyDescent="0.25">
      <c r="B6141" t="s">
        <v>1046</v>
      </c>
      <c r="C6141" s="22" t="s">
        <v>31</v>
      </c>
      <c r="D6141">
        <v>2</v>
      </c>
      <c r="E6141">
        <v>2</v>
      </c>
      <c r="G6141" s="31">
        <f>Table132[[#This Row],[nb win]]/Table132[[#This Row],[nb play]]</f>
        <v>1</v>
      </c>
      <c r="H6141" t="str">
        <f>MID(Table132[[#This Row],[ÉTAT]],VALUE(RIGHT(Table132[[#This Row],[next move]],1))+1+VALUE(LEFT(Table132[[#This Row],[next move]],1))*3,1)</f>
        <v>V</v>
      </c>
      <c r="I6141" t="str">
        <f>Table132[[#This Row],[ÉTAT]]&amp;Table132[[#This Row],[next move]]</f>
        <v>EMEVVEVMV22</v>
      </c>
    </row>
    <row r="6142" spans="2:9" x14ac:dyDescent="0.25">
      <c r="B6142" t="s">
        <v>782</v>
      </c>
      <c r="C6142" s="22" t="s">
        <v>29</v>
      </c>
      <c r="D6142">
        <v>4</v>
      </c>
      <c r="E6142">
        <v>4</v>
      </c>
      <c r="G6142" s="31">
        <f>Table132[[#This Row],[nb win]]/Table132[[#This Row],[nb play]]</f>
        <v>1</v>
      </c>
      <c r="H6142" t="str">
        <f>MID(Table132[[#This Row],[ÉTAT]],VALUE(RIGHT(Table132[[#This Row],[next move]],1))+1+VALUE(LEFT(Table132[[#This Row],[next move]],1))*3,1)</f>
        <v>V</v>
      </c>
      <c r="I6142" t="str">
        <f>Table132[[#This Row],[ÉTAT]]&amp;Table132[[#This Row],[next move]]</f>
        <v>EMEVVEVMM11</v>
      </c>
    </row>
    <row r="6143" spans="2:9" x14ac:dyDescent="0.25">
      <c r="B6143" t="s">
        <v>3429</v>
      </c>
      <c r="C6143" s="22" t="s">
        <v>29</v>
      </c>
      <c r="D6143">
        <v>2</v>
      </c>
      <c r="E6143">
        <v>1</v>
      </c>
      <c r="G6143" s="30">
        <f>Table132[[#This Row],[nb win]]/Table132[[#This Row],[nb play]]</f>
        <v>0.5</v>
      </c>
      <c r="H6143" t="str">
        <f>MID(Table132[[#This Row],[ÉTAT]],VALUE(RIGHT(Table132[[#This Row],[next move]],1))+1+VALUE(LEFT(Table132[[#This Row],[next move]],1))*3,1)</f>
        <v>V</v>
      </c>
      <c r="I6143" t="str">
        <f>Table132[[#This Row],[ÉTAT]]&amp;Table132[[#This Row],[next move]]</f>
        <v>EMEVVEMVV11</v>
      </c>
    </row>
    <row r="6144" spans="2:9" x14ac:dyDescent="0.25">
      <c r="B6144" t="s">
        <v>1968</v>
      </c>
      <c r="C6144" s="22" t="s">
        <v>29</v>
      </c>
      <c r="D6144">
        <v>1</v>
      </c>
      <c r="E6144">
        <v>1</v>
      </c>
      <c r="G6144" s="25">
        <f>Table132[[#This Row],[nb win]]/Table132[[#This Row],[nb play]]</f>
        <v>1</v>
      </c>
      <c r="H6144" t="str">
        <f>MID(Table132[[#This Row],[ÉTAT]],VALUE(RIGHT(Table132[[#This Row],[next move]],1))+1+VALUE(LEFT(Table132[[#This Row],[next move]],1))*3,1)</f>
        <v>V</v>
      </c>
      <c r="I6144" t="str">
        <f>Table132[[#This Row],[ÉTAT]]&amp;Table132[[#This Row],[next move]]</f>
        <v>EMEVVEMVM11</v>
      </c>
    </row>
    <row r="6145" spans="2:9" x14ac:dyDescent="0.25">
      <c r="B6145" t="s">
        <v>3294</v>
      </c>
      <c r="C6145" s="22" t="s">
        <v>29</v>
      </c>
      <c r="D6145">
        <v>2</v>
      </c>
      <c r="E6145">
        <v>2</v>
      </c>
      <c r="G6145" s="31">
        <f>Table132[[#This Row],[nb win]]/Table132[[#This Row],[nb play]]</f>
        <v>1</v>
      </c>
      <c r="H6145" t="str">
        <f>MID(Table132[[#This Row],[ÉTAT]],VALUE(RIGHT(Table132[[#This Row],[next move]],1))+1+VALUE(LEFT(Table132[[#This Row],[next move]],1))*3,1)</f>
        <v>V</v>
      </c>
      <c r="I6145" t="str">
        <f>Table132[[#This Row],[ÉTAT]]&amp;Table132[[#This Row],[next move]]</f>
        <v>EMEVVEMMV11</v>
      </c>
    </row>
    <row r="6146" spans="2:9" x14ac:dyDescent="0.25">
      <c r="B6146" t="s">
        <v>977</v>
      </c>
      <c r="C6146" s="22" t="s">
        <v>30</v>
      </c>
      <c r="D6146">
        <v>2</v>
      </c>
      <c r="G6146" s="30">
        <f>Table132[[#This Row],[nb win]]/Table132[[#This Row],[nb play]]</f>
        <v>0</v>
      </c>
      <c r="H6146" t="str">
        <f>MID(Table132[[#This Row],[ÉTAT]],VALUE(RIGHT(Table132[[#This Row],[next move]],1))+1+VALUE(LEFT(Table132[[#This Row],[next move]],1))*3,1)</f>
        <v>V</v>
      </c>
      <c r="I6146" t="str">
        <f>Table132[[#This Row],[ÉTAT]]&amp;Table132[[#This Row],[next move]]</f>
        <v>EMEVVEEMM10</v>
      </c>
    </row>
    <row r="6147" spans="2:9" x14ac:dyDescent="0.25">
      <c r="B6147" t="s">
        <v>977</v>
      </c>
      <c r="C6147" s="22" t="s">
        <v>29</v>
      </c>
      <c r="D6147">
        <v>1</v>
      </c>
      <c r="E6147">
        <v>1</v>
      </c>
      <c r="G6147" s="31">
        <f>Table132[[#This Row],[nb win]]/Table132[[#This Row],[nb play]]</f>
        <v>1</v>
      </c>
      <c r="H6147" t="str">
        <f>MID(Table132[[#This Row],[ÉTAT]],VALUE(RIGHT(Table132[[#This Row],[next move]],1))+1+VALUE(LEFT(Table132[[#This Row],[next move]],1))*3,1)</f>
        <v>V</v>
      </c>
      <c r="I6147" t="str">
        <f>Table132[[#This Row],[ÉTAT]]&amp;Table132[[#This Row],[next move]]</f>
        <v>EMEVVEEMM11</v>
      </c>
    </row>
    <row r="6148" spans="2:9" x14ac:dyDescent="0.25">
      <c r="B6148" t="s">
        <v>2629</v>
      </c>
      <c r="C6148" s="22" t="s">
        <v>30</v>
      </c>
      <c r="D6148">
        <v>4</v>
      </c>
      <c r="E6148">
        <v>4</v>
      </c>
      <c r="G6148" s="31">
        <f>Table132[[#This Row],[nb win]]/Table132[[#This Row],[nb play]]</f>
        <v>1</v>
      </c>
      <c r="H6148" t="str">
        <f>MID(Table132[[#This Row],[ÉTAT]],VALUE(RIGHT(Table132[[#This Row],[next move]],1))+1+VALUE(LEFT(Table132[[#This Row],[next move]],1))*3,1)</f>
        <v>V</v>
      </c>
      <c r="I6148" t="str">
        <f>Table132[[#This Row],[ÉTAT]]&amp;Table132[[#This Row],[next move]]</f>
        <v>EMEVMVVVV10</v>
      </c>
    </row>
    <row r="6149" spans="2:9" x14ac:dyDescent="0.25">
      <c r="B6149" t="s">
        <v>1263</v>
      </c>
      <c r="C6149" s="22" t="s">
        <v>28</v>
      </c>
      <c r="D6149">
        <v>5</v>
      </c>
      <c r="E6149">
        <v>5</v>
      </c>
      <c r="G6149" s="31">
        <f>Table132[[#This Row],[nb win]]/Table132[[#This Row],[nb play]]</f>
        <v>1</v>
      </c>
      <c r="H6149" t="str">
        <f>MID(Table132[[#This Row],[ÉTAT]],VALUE(RIGHT(Table132[[#This Row],[next move]],1))+1+VALUE(LEFT(Table132[[#This Row],[next move]],1))*3,1)</f>
        <v>V</v>
      </c>
      <c r="I6149" t="str">
        <f>Table132[[#This Row],[ÉTAT]]&amp;Table132[[#This Row],[next move]]</f>
        <v>EMEVMVVVE12</v>
      </c>
    </row>
    <row r="6150" spans="2:9" x14ac:dyDescent="0.25">
      <c r="B6150" t="s">
        <v>2201</v>
      </c>
      <c r="C6150" s="22" t="s">
        <v>30</v>
      </c>
      <c r="D6150">
        <v>2</v>
      </c>
      <c r="E6150">
        <v>2</v>
      </c>
      <c r="G6150" s="31">
        <f>Table132[[#This Row],[nb win]]/Table132[[#This Row],[nb play]]</f>
        <v>1</v>
      </c>
      <c r="H6150" t="str">
        <f>MID(Table132[[#This Row],[ÉTAT]],VALUE(RIGHT(Table132[[#This Row],[next move]],1))+1+VALUE(LEFT(Table132[[#This Row],[next move]],1))*3,1)</f>
        <v>V</v>
      </c>
      <c r="I6150" t="str">
        <f>Table132[[#This Row],[ÉTAT]]&amp;Table132[[#This Row],[next move]]</f>
        <v>EMEVMVVEV10</v>
      </c>
    </row>
    <row r="6151" spans="2:9" x14ac:dyDescent="0.25">
      <c r="B6151" t="s">
        <v>2176</v>
      </c>
      <c r="C6151" s="22" t="s">
        <v>28</v>
      </c>
      <c r="D6151">
        <v>2</v>
      </c>
      <c r="E6151">
        <v>2</v>
      </c>
      <c r="G6151" s="25">
        <f>Table132[[#This Row],[nb win]]/Table132[[#This Row],[nb play]]</f>
        <v>1</v>
      </c>
      <c r="H6151" t="str">
        <f>MID(Table132[[#This Row],[ÉTAT]],VALUE(RIGHT(Table132[[#This Row],[next move]],1))+1+VALUE(LEFT(Table132[[#This Row],[next move]],1))*3,1)</f>
        <v>V</v>
      </c>
      <c r="I6151" t="str">
        <f>Table132[[#This Row],[ÉTAT]]&amp;Table132[[#This Row],[next move]]</f>
        <v>EMEVMVMVE12</v>
      </c>
    </row>
    <row r="6152" spans="2:9" x14ac:dyDescent="0.25">
      <c r="B6152" t="s">
        <v>474</v>
      </c>
      <c r="C6152" s="22" t="s">
        <v>30</v>
      </c>
      <c r="D6152">
        <v>1</v>
      </c>
      <c r="E6152">
        <v>1</v>
      </c>
      <c r="G6152" s="25">
        <f>Table132[[#This Row],[nb win]]/Table132[[#This Row],[nb play]]</f>
        <v>1</v>
      </c>
      <c r="H6152" t="str">
        <f>MID(Table132[[#This Row],[ÉTAT]],VALUE(RIGHT(Table132[[#This Row],[next move]],1))+1+VALUE(LEFT(Table132[[#This Row],[next move]],1))*3,1)</f>
        <v>V</v>
      </c>
      <c r="I6152" t="str">
        <f>Table132[[#This Row],[ÉTAT]]&amp;Table132[[#This Row],[next move]]</f>
        <v>EMEVMVMEV10</v>
      </c>
    </row>
    <row r="6153" spans="2:9" x14ac:dyDescent="0.25">
      <c r="B6153" t="s">
        <v>1989</v>
      </c>
      <c r="C6153" s="22" t="s">
        <v>30</v>
      </c>
      <c r="D6153">
        <v>1</v>
      </c>
      <c r="G6153" s="25">
        <f>Table132[[#This Row],[nb win]]/Table132[[#This Row],[nb play]]</f>
        <v>0</v>
      </c>
      <c r="H6153" t="str">
        <f>MID(Table132[[#This Row],[ÉTAT]],VALUE(RIGHT(Table132[[#This Row],[next move]],1))+1+VALUE(LEFT(Table132[[#This Row],[next move]],1))*3,1)</f>
        <v>V</v>
      </c>
      <c r="I6153" t="str">
        <f>Table132[[#This Row],[ÉTAT]]&amp;Table132[[#This Row],[next move]]</f>
        <v>EMEVMVMEE10</v>
      </c>
    </row>
    <row r="6154" spans="2:9" x14ac:dyDescent="0.25">
      <c r="B6154" t="s">
        <v>2453</v>
      </c>
      <c r="C6154" s="22" t="s">
        <v>22</v>
      </c>
      <c r="D6154">
        <v>1</v>
      </c>
      <c r="E6154">
        <v>1</v>
      </c>
      <c r="G6154" s="25">
        <f>Table132[[#This Row],[nb win]]/Table132[[#This Row],[nb play]]</f>
        <v>1</v>
      </c>
      <c r="H6154" t="str">
        <f>MID(Table132[[#This Row],[ÉTAT]],VALUE(RIGHT(Table132[[#This Row],[next move]],1))+1+VALUE(LEFT(Table132[[#This Row],[next move]],1))*3,1)</f>
        <v>V</v>
      </c>
      <c r="I6154" t="str">
        <f>Table132[[#This Row],[ÉTAT]]&amp;Table132[[#This Row],[next move]]</f>
        <v>EMEVMVEVV21</v>
      </c>
    </row>
    <row r="6155" spans="2:9" x14ac:dyDescent="0.25">
      <c r="B6155" t="s">
        <v>1704</v>
      </c>
      <c r="C6155" s="22" t="s">
        <v>22</v>
      </c>
      <c r="D6155">
        <v>1</v>
      </c>
      <c r="E6155">
        <v>1</v>
      </c>
      <c r="G6155" s="25">
        <f>Table132[[#This Row],[nb win]]/Table132[[#This Row],[nb play]]</f>
        <v>1</v>
      </c>
      <c r="H6155" t="str">
        <f>MID(Table132[[#This Row],[ÉTAT]],VALUE(RIGHT(Table132[[#This Row],[next move]],1))+1+VALUE(LEFT(Table132[[#This Row],[next move]],1))*3,1)</f>
        <v>V</v>
      </c>
      <c r="I6155" t="str">
        <f>Table132[[#This Row],[ÉTAT]]&amp;Table132[[#This Row],[next move]]</f>
        <v>EMEVMVEVM21</v>
      </c>
    </row>
    <row r="6156" spans="2:9" x14ac:dyDescent="0.25">
      <c r="B6156" t="s">
        <v>1705</v>
      </c>
      <c r="C6156" s="22" t="s">
        <v>30</v>
      </c>
      <c r="D6156">
        <v>2</v>
      </c>
      <c r="E6156">
        <v>2</v>
      </c>
      <c r="G6156" s="31">
        <f>Table132[[#This Row],[nb win]]/Table132[[#This Row],[nb play]]</f>
        <v>1</v>
      </c>
      <c r="H6156" t="str">
        <f>MID(Table132[[#This Row],[ÉTAT]],VALUE(RIGHT(Table132[[#This Row],[next move]],1))+1+VALUE(LEFT(Table132[[#This Row],[next move]],1))*3,1)</f>
        <v>V</v>
      </c>
      <c r="I6156" t="str">
        <f>Table132[[#This Row],[ÉTAT]]&amp;Table132[[#This Row],[next move]]</f>
        <v>EMEVMMVVE10</v>
      </c>
    </row>
    <row r="6157" spans="2:9" x14ac:dyDescent="0.25">
      <c r="B6157" t="s">
        <v>1265</v>
      </c>
      <c r="C6157" s="22" t="s">
        <v>30</v>
      </c>
      <c r="D6157">
        <v>4</v>
      </c>
      <c r="E6157">
        <v>4</v>
      </c>
      <c r="G6157" s="31">
        <f>Table132[[#This Row],[nb win]]/Table132[[#This Row],[nb play]]</f>
        <v>1</v>
      </c>
      <c r="H6157" t="str">
        <f>MID(Table132[[#This Row],[ÉTAT]],VALUE(RIGHT(Table132[[#This Row],[next move]],1))+1+VALUE(LEFT(Table132[[#This Row],[next move]],1))*3,1)</f>
        <v>V</v>
      </c>
      <c r="I6157" t="str">
        <f>Table132[[#This Row],[ÉTAT]]&amp;Table132[[#This Row],[next move]]</f>
        <v>EMEVMMVEE10</v>
      </c>
    </row>
    <row r="6158" spans="2:9" x14ac:dyDescent="0.25">
      <c r="B6158" t="s">
        <v>2178</v>
      </c>
      <c r="C6158" s="22" t="s">
        <v>30</v>
      </c>
      <c r="D6158">
        <v>3</v>
      </c>
      <c r="E6158">
        <v>3</v>
      </c>
      <c r="G6158" s="31">
        <f>Table132[[#This Row],[nb win]]/Table132[[#This Row],[nb play]]</f>
        <v>1</v>
      </c>
      <c r="H6158" t="str">
        <f>MID(Table132[[#This Row],[ÉTAT]],VALUE(RIGHT(Table132[[#This Row],[next move]],1))+1+VALUE(LEFT(Table132[[#This Row],[next move]],1))*3,1)</f>
        <v>V</v>
      </c>
      <c r="I6158" t="str">
        <f>Table132[[#This Row],[ÉTAT]]&amp;Table132[[#This Row],[next move]]</f>
        <v>EMEVMMMEE10</v>
      </c>
    </row>
    <row r="6159" spans="2:9" x14ac:dyDescent="0.25">
      <c r="B6159" t="s">
        <v>2952</v>
      </c>
      <c r="C6159" s="22" t="s">
        <v>22</v>
      </c>
      <c r="D6159">
        <v>3</v>
      </c>
      <c r="E6159">
        <v>3</v>
      </c>
      <c r="G6159" s="31">
        <f>Table132[[#This Row],[nb win]]/Table132[[#This Row],[nb play]]</f>
        <v>1</v>
      </c>
      <c r="H6159" t="str">
        <f>MID(Table132[[#This Row],[ÉTAT]],VALUE(RIGHT(Table132[[#This Row],[next move]],1))+1+VALUE(LEFT(Table132[[#This Row],[next move]],1))*3,1)</f>
        <v>V</v>
      </c>
      <c r="I6159" t="str">
        <f>Table132[[#This Row],[ÉTAT]]&amp;Table132[[#This Row],[next move]]</f>
        <v>EMEVMMEVE21</v>
      </c>
    </row>
    <row r="6160" spans="2:9" x14ac:dyDescent="0.25">
      <c r="B6160" t="s">
        <v>2228</v>
      </c>
      <c r="C6160" s="22" t="s">
        <v>31</v>
      </c>
      <c r="D6160">
        <v>1</v>
      </c>
      <c r="G6160" s="25">
        <f>Table132[[#This Row],[nb win]]/Table132[[#This Row],[nb play]]</f>
        <v>0</v>
      </c>
      <c r="H6160" t="str">
        <f>MID(Table132[[#This Row],[ÉTAT]],VALUE(RIGHT(Table132[[#This Row],[next move]],1))+1+VALUE(LEFT(Table132[[#This Row],[next move]],1))*3,1)</f>
        <v>V</v>
      </c>
      <c r="I6160" t="str">
        <f>Table132[[#This Row],[ÉTAT]]&amp;Table132[[#This Row],[next move]]</f>
        <v>EMEVMMEEV22</v>
      </c>
    </row>
    <row r="6161" spans="2:9" x14ac:dyDescent="0.25">
      <c r="B6161" t="s">
        <v>520</v>
      </c>
      <c r="C6161" s="22" t="s">
        <v>30</v>
      </c>
      <c r="D6161">
        <v>4</v>
      </c>
      <c r="E6161">
        <v>4</v>
      </c>
      <c r="G6161" s="31">
        <f>Table132[[#This Row],[nb win]]/Table132[[#This Row],[nb play]]</f>
        <v>1</v>
      </c>
      <c r="H6161" t="str">
        <f>MID(Table132[[#This Row],[ÉTAT]],VALUE(RIGHT(Table132[[#This Row],[next move]],1))+1+VALUE(LEFT(Table132[[#This Row],[next move]],1))*3,1)</f>
        <v>V</v>
      </c>
      <c r="I6161" t="str">
        <f>Table132[[#This Row],[ÉTAT]]&amp;Table132[[#This Row],[next move]]</f>
        <v>EMEVMMEEM10</v>
      </c>
    </row>
    <row r="6162" spans="2:9" x14ac:dyDescent="0.25">
      <c r="B6162" t="s">
        <v>209</v>
      </c>
      <c r="C6162" s="22" t="s">
        <v>31</v>
      </c>
      <c r="D6162">
        <v>2</v>
      </c>
      <c r="E6162">
        <v>2</v>
      </c>
      <c r="G6162" s="31">
        <f>Table132[[#This Row],[nb win]]/Table132[[#This Row],[nb play]]</f>
        <v>1</v>
      </c>
      <c r="H6162" t="str">
        <f>MID(Table132[[#This Row],[ÉTAT]],VALUE(RIGHT(Table132[[#This Row],[next move]],1))+1+VALUE(LEFT(Table132[[#This Row],[next move]],1))*3,1)</f>
        <v>V</v>
      </c>
      <c r="I6162" t="str">
        <f>Table132[[#This Row],[ÉTAT]]&amp;Table132[[#This Row],[next move]]</f>
        <v>EMEVMEVVV22</v>
      </c>
    </row>
    <row r="6163" spans="2:9" x14ac:dyDescent="0.25">
      <c r="B6163" t="s">
        <v>3250</v>
      </c>
      <c r="C6163" s="22" t="s">
        <v>22</v>
      </c>
      <c r="D6163">
        <v>4</v>
      </c>
      <c r="E6163">
        <v>4</v>
      </c>
      <c r="G6163" s="31">
        <f>Table132[[#This Row],[nb win]]/Table132[[#This Row],[nb play]]</f>
        <v>1</v>
      </c>
      <c r="H6163" t="str">
        <f>MID(Table132[[#This Row],[ÉTAT]],VALUE(RIGHT(Table132[[#This Row],[next move]],1))+1+VALUE(LEFT(Table132[[#This Row],[next move]],1))*3,1)</f>
        <v>V</v>
      </c>
      <c r="I6163" t="str">
        <f>Table132[[#This Row],[ÉTAT]]&amp;Table132[[#This Row],[next move]]</f>
        <v>EMEVMEVVM21</v>
      </c>
    </row>
    <row r="6164" spans="2:9" x14ac:dyDescent="0.25">
      <c r="B6164" t="s">
        <v>2627</v>
      </c>
      <c r="C6164" s="22" t="s">
        <v>22</v>
      </c>
      <c r="D6164">
        <v>1</v>
      </c>
      <c r="E6164">
        <v>1</v>
      </c>
      <c r="G6164" s="25">
        <f>Table132[[#This Row],[nb win]]/Table132[[#This Row],[nb play]]</f>
        <v>1</v>
      </c>
      <c r="H6164" t="str">
        <f>MID(Table132[[#This Row],[ÉTAT]],VALUE(RIGHT(Table132[[#This Row],[next move]],1))+1+VALUE(LEFT(Table132[[#This Row],[next move]],1))*3,1)</f>
        <v>V</v>
      </c>
      <c r="I6164" t="str">
        <f>Table132[[#This Row],[ÉTAT]]&amp;Table132[[#This Row],[next move]]</f>
        <v>EMEVMEMVV21</v>
      </c>
    </row>
    <row r="6165" spans="2:9" x14ac:dyDescent="0.25">
      <c r="B6165" t="s">
        <v>1252</v>
      </c>
      <c r="C6165" s="22" t="s">
        <v>30</v>
      </c>
      <c r="D6165">
        <v>1</v>
      </c>
      <c r="G6165" s="25">
        <f>Table132[[#This Row],[nb win]]/Table132[[#This Row],[nb play]]</f>
        <v>0</v>
      </c>
      <c r="H6165" t="str">
        <f>MID(Table132[[#This Row],[ÉTAT]],VALUE(RIGHT(Table132[[#This Row],[next move]],1))+1+VALUE(LEFT(Table132[[#This Row],[next move]],1))*3,1)</f>
        <v>V</v>
      </c>
      <c r="I6165" t="str">
        <f>Table132[[#This Row],[ÉTAT]]&amp;Table132[[#This Row],[next move]]</f>
        <v>EMEVMEMEV10</v>
      </c>
    </row>
    <row r="6166" spans="2:9" x14ac:dyDescent="0.25">
      <c r="B6166" t="s">
        <v>2576</v>
      </c>
      <c r="C6166" s="22" t="s">
        <v>22</v>
      </c>
      <c r="D6166">
        <v>1</v>
      </c>
      <c r="E6166">
        <v>1</v>
      </c>
      <c r="G6166" s="31">
        <f>Table132[[#This Row],[nb win]]/Table132[[#This Row],[nb play]]</f>
        <v>1</v>
      </c>
      <c r="H6166" t="str">
        <f>MID(Table132[[#This Row],[ÉTAT]],VALUE(RIGHT(Table132[[#This Row],[next move]],1))+1+VALUE(LEFT(Table132[[#This Row],[next move]],1))*3,1)</f>
        <v>V</v>
      </c>
      <c r="I6166" t="str">
        <f>Table132[[#This Row],[ÉTAT]]&amp;Table132[[#This Row],[next move]]</f>
        <v>EMEVMEEVM21</v>
      </c>
    </row>
    <row r="6167" spans="2:9" x14ac:dyDescent="0.25">
      <c r="B6167" t="s">
        <v>742</v>
      </c>
      <c r="C6167" s="22" t="s">
        <v>30</v>
      </c>
      <c r="D6167">
        <v>3</v>
      </c>
      <c r="G6167" s="30">
        <f>Table132[[#This Row],[nb win]]/Table132[[#This Row],[nb play]]</f>
        <v>0</v>
      </c>
      <c r="H6167" t="str">
        <f>MID(Table132[[#This Row],[ÉTAT]],VALUE(RIGHT(Table132[[#This Row],[next move]],1))+1+VALUE(LEFT(Table132[[#This Row],[next move]],1))*3,1)</f>
        <v>V</v>
      </c>
      <c r="I6167" t="str">
        <f>Table132[[#This Row],[ÉTAT]]&amp;Table132[[#This Row],[next move]]</f>
        <v>EMEVEVVVM10</v>
      </c>
    </row>
    <row r="6168" spans="2:9" x14ac:dyDescent="0.25">
      <c r="B6168" t="s">
        <v>742</v>
      </c>
      <c r="C6168" s="22" t="s">
        <v>28</v>
      </c>
      <c r="D6168">
        <v>1</v>
      </c>
      <c r="G6168" s="25">
        <f>Table132[[#This Row],[nb win]]/Table132[[#This Row],[nb play]]</f>
        <v>0</v>
      </c>
      <c r="H6168" t="str">
        <f>MID(Table132[[#This Row],[ÉTAT]],VALUE(RIGHT(Table132[[#This Row],[next move]],1))+1+VALUE(LEFT(Table132[[#This Row],[next move]],1))*3,1)</f>
        <v>V</v>
      </c>
      <c r="I6168" t="str">
        <f>Table132[[#This Row],[ÉTAT]]&amp;Table132[[#This Row],[next move]]</f>
        <v>EMEVEVVVM12</v>
      </c>
    </row>
    <row r="6169" spans="2:9" x14ac:dyDescent="0.25">
      <c r="B6169" t="s">
        <v>742</v>
      </c>
      <c r="C6169" s="22" t="s">
        <v>22</v>
      </c>
      <c r="D6169">
        <v>2</v>
      </c>
      <c r="E6169">
        <v>2</v>
      </c>
      <c r="G6169" s="31">
        <f>Table132[[#This Row],[nb win]]/Table132[[#This Row],[nb play]]</f>
        <v>1</v>
      </c>
      <c r="H6169" t="str">
        <f>MID(Table132[[#This Row],[ÉTAT]],VALUE(RIGHT(Table132[[#This Row],[next move]],1))+1+VALUE(LEFT(Table132[[#This Row],[next move]],1))*3,1)</f>
        <v>V</v>
      </c>
      <c r="I6169" t="str">
        <f>Table132[[#This Row],[ÉTAT]]&amp;Table132[[#This Row],[next move]]</f>
        <v>EMEVEVVVM21</v>
      </c>
    </row>
    <row r="6170" spans="2:9" x14ac:dyDescent="0.25">
      <c r="B6170" t="s">
        <v>2256</v>
      </c>
      <c r="C6170" s="22" t="s">
        <v>35</v>
      </c>
      <c r="D6170">
        <v>1</v>
      </c>
      <c r="E6170">
        <v>1</v>
      </c>
      <c r="G6170" s="25">
        <f>Table132[[#This Row],[nb win]]/Table132[[#This Row],[nb play]]</f>
        <v>1</v>
      </c>
      <c r="H6170" t="str">
        <f>MID(Table132[[#This Row],[ÉTAT]],VALUE(RIGHT(Table132[[#This Row],[next move]],1))+1+VALUE(LEFT(Table132[[#This Row],[next move]],1))*3,1)</f>
        <v>V</v>
      </c>
      <c r="I6170" t="str">
        <f>Table132[[#This Row],[ÉTAT]]&amp;Table132[[#This Row],[next move]]</f>
        <v>EMEVEVVMV20</v>
      </c>
    </row>
    <row r="6171" spans="2:9" x14ac:dyDescent="0.25">
      <c r="B6171" t="s">
        <v>2256</v>
      </c>
      <c r="C6171" s="22" t="s">
        <v>31</v>
      </c>
      <c r="D6171">
        <v>2</v>
      </c>
      <c r="G6171" s="30">
        <f>Table132[[#This Row],[nb win]]/Table132[[#This Row],[nb play]]</f>
        <v>0</v>
      </c>
      <c r="H6171" t="str">
        <f>MID(Table132[[#This Row],[ÉTAT]],VALUE(RIGHT(Table132[[#This Row],[next move]],1))+1+VALUE(LEFT(Table132[[#This Row],[next move]],1))*3,1)</f>
        <v>V</v>
      </c>
      <c r="I6171" t="str">
        <f>Table132[[#This Row],[ÉTAT]]&amp;Table132[[#This Row],[next move]]</f>
        <v>EMEVEVVMV22</v>
      </c>
    </row>
    <row r="6172" spans="2:9" x14ac:dyDescent="0.25">
      <c r="B6172" t="s">
        <v>2916</v>
      </c>
      <c r="C6172" s="22" t="s">
        <v>28</v>
      </c>
      <c r="D6172">
        <v>1</v>
      </c>
      <c r="G6172" s="25">
        <f>Table132[[#This Row],[nb win]]/Table132[[#This Row],[nb play]]</f>
        <v>0</v>
      </c>
      <c r="H6172" t="str">
        <f>MID(Table132[[#This Row],[ÉTAT]],VALUE(RIGHT(Table132[[#This Row],[next move]],1))+1+VALUE(LEFT(Table132[[#This Row],[next move]],1))*3,1)</f>
        <v>V</v>
      </c>
      <c r="I6172" t="str">
        <f>Table132[[#This Row],[ÉTAT]]&amp;Table132[[#This Row],[next move]]</f>
        <v>EMEVEVMVV12</v>
      </c>
    </row>
    <row r="6173" spans="2:9" x14ac:dyDescent="0.25">
      <c r="B6173" t="s">
        <v>2916</v>
      </c>
      <c r="C6173" s="22" t="s">
        <v>31</v>
      </c>
      <c r="D6173">
        <v>1</v>
      </c>
      <c r="E6173">
        <v>1</v>
      </c>
      <c r="G6173" s="31">
        <f>Table132[[#This Row],[nb win]]/Table132[[#This Row],[nb play]]</f>
        <v>1</v>
      </c>
      <c r="H6173" t="str">
        <f>MID(Table132[[#This Row],[ÉTAT]],VALUE(RIGHT(Table132[[#This Row],[next move]],1))+1+VALUE(LEFT(Table132[[#This Row],[next move]],1))*3,1)</f>
        <v>V</v>
      </c>
      <c r="I6173" t="str">
        <f>Table132[[#This Row],[ÉTAT]]&amp;Table132[[#This Row],[next move]]</f>
        <v>EMEVEVMVV22</v>
      </c>
    </row>
    <row r="6174" spans="2:9" x14ac:dyDescent="0.25">
      <c r="B6174" t="s">
        <v>3320</v>
      </c>
      <c r="C6174" s="22" t="s">
        <v>22</v>
      </c>
      <c r="D6174">
        <v>1</v>
      </c>
      <c r="E6174">
        <v>1</v>
      </c>
      <c r="G6174" s="31">
        <f>Table132[[#This Row],[nb win]]/Table132[[#This Row],[nb play]]</f>
        <v>1</v>
      </c>
      <c r="H6174" t="str">
        <f>MID(Table132[[#This Row],[ÉTAT]],VALUE(RIGHT(Table132[[#This Row],[next move]],1))+1+VALUE(LEFT(Table132[[#This Row],[next move]],1))*3,1)</f>
        <v>V</v>
      </c>
      <c r="I6174" t="str">
        <f>Table132[[#This Row],[ÉTAT]]&amp;Table132[[#This Row],[next move]]</f>
        <v>EMEVEVMVM21</v>
      </c>
    </row>
    <row r="6175" spans="2:9" x14ac:dyDescent="0.25">
      <c r="B6175" t="s">
        <v>868</v>
      </c>
      <c r="C6175" s="22" t="s">
        <v>31</v>
      </c>
      <c r="D6175">
        <v>6</v>
      </c>
      <c r="E6175">
        <v>6</v>
      </c>
      <c r="G6175" s="31">
        <f>Table132[[#This Row],[nb win]]/Table132[[#This Row],[nb play]]</f>
        <v>1</v>
      </c>
      <c r="H6175" t="str">
        <f>MID(Table132[[#This Row],[ÉTAT]],VALUE(RIGHT(Table132[[#This Row],[next move]],1))+1+VALUE(LEFT(Table132[[#This Row],[next move]],1))*3,1)</f>
        <v>V</v>
      </c>
      <c r="I6175" t="str">
        <f>Table132[[#This Row],[ÉTAT]]&amp;Table132[[#This Row],[next move]]</f>
        <v>EMEVEVMMV22</v>
      </c>
    </row>
    <row r="6176" spans="2:9" x14ac:dyDescent="0.25">
      <c r="B6176" t="s">
        <v>3161</v>
      </c>
      <c r="C6176" s="22" t="s">
        <v>31</v>
      </c>
      <c r="D6176">
        <v>1</v>
      </c>
      <c r="E6176">
        <v>1</v>
      </c>
      <c r="G6176" s="31">
        <f>Table132[[#This Row],[nb win]]/Table132[[#This Row],[nb play]]</f>
        <v>1</v>
      </c>
      <c r="H6176" t="str">
        <f>MID(Table132[[#This Row],[ÉTAT]],VALUE(RIGHT(Table132[[#This Row],[next move]],1))+1+VALUE(LEFT(Table132[[#This Row],[next move]],1))*3,1)</f>
        <v>V</v>
      </c>
      <c r="I6176" t="str">
        <f>Table132[[#This Row],[ÉTAT]]&amp;Table132[[#This Row],[next move]]</f>
        <v>EMEVEMMVV22</v>
      </c>
    </row>
    <row r="6177" spans="2:9" x14ac:dyDescent="0.25">
      <c r="B6177" t="s">
        <v>3277</v>
      </c>
      <c r="C6177" s="22" t="s">
        <v>35</v>
      </c>
      <c r="D6177">
        <v>1</v>
      </c>
      <c r="E6177">
        <v>1</v>
      </c>
      <c r="G6177" s="31">
        <f>Table132[[#This Row],[nb win]]/Table132[[#This Row],[nb play]]</f>
        <v>1</v>
      </c>
      <c r="H6177" t="str">
        <f>MID(Table132[[#This Row],[ÉTAT]],VALUE(RIGHT(Table132[[#This Row],[next move]],1))+1+VALUE(LEFT(Table132[[#This Row],[next move]],1))*3,1)</f>
        <v>V</v>
      </c>
      <c r="I6177" t="str">
        <f>Table132[[#This Row],[ÉTAT]]&amp;Table132[[#This Row],[next move]]</f>
        <v>EMEVEEVMM20</v>
      </c>
    </row>
    <row r="6178" spans="2:9" x14ac:dyDescent="0.25">
      <c r="B6178" t="s">
        <v>3192</v>
      </c>
      <c r="C6178" s="22" t="s">
        <v>22</v>
      </c>
      <c r="D6178">
        <v>1</v>
      </c>
      <c r="E6178">
        <v>1</v>
      </c>
      <c r="G6178" s="31">
        <f>Table132[[#This Row],[nb win]]/Table132[[#This Row],[nb play]]</f>
        <v>1</v>
      </c>
      <c r="H6178" t="str">
        <f>MID(Table132[[#This Row],[ÉTAT]],VALUE(RIGHT(Table132[[#This Row],[next move]],1))+1+VALUE(LEFT(Table132[[#This Row],[next move]],1))*3,1)</f>
        <v>V</v>
      </c>
      <c r="I6178" t="str">
        <f>Table132[[#This Row],[ÉTAT]]&amp;Table132[[#This Row],[next move]]</f>
        <v>EMEVEEMVM21</v>
      </c>
    </row>
    <row r="6179" spans="2:9" x14ac:dyDescent="0.25">
      <c r="B6179" t="s">
        <v>966</v>
      </c>
      <c r="C6179" s="22" t="s">
        <v>29</v>
      </c>
      <c r="D6179">
        <v>1</v>
      </c>
      <c r="E6179">
        <v>1</v>
      </c>
      <c r="G6179" s="25">
        <f>Table132[[#This Row],[nb win]]/Table132[[#This Row],[nb play]]</f>
        <v>1</v>
      </c>
      <c r="H6179" t="str">
        <f>MID(Table132[[#This Row],[ÉTAT]],VALUE(RIGHT(Table132[[#This Row],[next move]],1))+1+VALUE(LEFT(Table132[[#This Row],[next move]],1))*3,1)</f>
        <v>V</v>
      </c>
      <c r="I6179" t="str">
        <f>Table132[[#This Row],[ÉTAT]]&amp;Table132[[#This Row],[next move]]</f>
        <v>EMEMVVVVV11</v>
      </c>
    </row>
    <row r="6180" spans="2:9" x14ac:dyDescent="0.25">
      <c r="B6180" t="s">
        <v>2026</v>
      </c>
      <c r="C6180" s="22" t="s">
        <v>28</v>
      </c>
      <c r="D6180">
        <v>2</v>
      </c>
      <c r="E6180">
        <v>2</v>
      </c>
      <c r="G6180" s="31">
        <f>Table132[[#This Row],[nb win]]/Table132[[#This Row],[nb play]]</f>
        <v>1</v>
      </c>
      <c r="H6180" t="str">
        <f>MID(Table132[[#This Row],[ÉTAT]],VALUE(RIGHT(Table132[[#This Row],[next move]],1))+1+VALUE(LEFT(Table132[[#This Row],[next move]],1))*3,1)</f>
        <v>V</v>
      </c>
      <c r="I6180" t="str">
        <f>Table132[[#This Row],[ÉTAT]]&amp;Table132[[#This Row],[next move]]</f>
        <v>EMEMVVVME12</v>
      </c>
    </row>
    <row r="6181" spans="2:9" x14ac:dyDescent="0.25">
      <c r="B6181" t="s">
        <v>1476</v>
      </c>
      <c r="C6181" s="22" t="s">
        <v>29</v>
      </c>
      <c r="D6181">
        <v>1</v>
      </c>
      <c r="E6181">
        <v>1</v>
      </c>
      <c r="G6181" s="25">
        <f>Table132[[#This Row],[nb win]]/Table132[[#This Row],[nb play]]</f>
        <v>1</v>
      </c>
      <c r="H6181" t="str">
        <f>MID(Table132[[#This Row],[ÉTAT]],VALUE(RIGHT(Table132[[#This Row],[next move]],1))+1+VALUE(LEFT(Table132[[#This Row],[next move]],1))*3,1)</f>
        <v>V</v>
      </c>
      <c r="I6181" t="str">
        <f>Table132[[#This Row],[ÉTAT]]&amp;Table132[[#This Row],[next move]]</f>
        <v>EMEMVVVEM11</v>
      </c>
    </row>
    <row r="6182" spans="2:9" x14ac:dyDescent="0.25">
      <c r="B6182" t="s">
        <v>1572</v>
      </c>
      <c r="C6182" s="22" t="s">
        <v>29</v>
      </c>
      <c r="D6182">
        <v>1</v>
      </c>
      <c r="G6182" s="25">
        <f>Table132[[#This Row],[nb win]]/Table132[[#This Row],[nb play]]</f>
        <v>0</v>
      </c>
      <c r="H6182" t="str">
        <f>MID(Table132[[#This Row],[ÉTAT]],VALUE(RIGHT(Table132[[#This Row],[next move]],1))+1+VALUE(LEFT(Table132[[#This Row],[next move]],1))*3,1)</f>
        <v>V</v>
      </c>
      <c r="I6182" t="str">
        <f>Table132[[#This Row],[ÉTAT]]&amp;Table132[[#This Row],[next move]]</f>
        <v>EMEMVVMEE11</v>
      </c>
    </row>
    <row r="6183" spans="2:9" x14ac:dyDescent="0.25">
      <c r="B6183" t="s">
        <v>1572</v>
      </c>
      <c r="C6183" s="22" t="s">
        <v>28</v>
      </c>
      <c r="D6183">
        <v>1</v>
      </c>
      <c r="G6183" s="30">
        <f>Table132[[#This Row],[nb win]]/Table132[[#This Row],[nb play]]</f>
        <v>0</v>
      </c>
      <c r="H6183" t="str">
        <f>MID(Table132[[#This Row],[ÉTAT]],VALUE(RIGHT(Table132[[#This Row],[next move]],1))+1+VALUE(LEFT(Table132[[#This Row],[next move]],1))*3,1)</f>
        <v>V</v>
      </c>
      <c r="I6183" t="str">
        <f>Table132[[#This Row],[ÉTAT]]&amp;Table132[[#This Row],[next move]]</f>
        <v>EMEMVVMEE12</v>
      </c>
    </row>
    <row r="6184" spans="2:9" x14ac:dyDescent="0.25">
      <c r="B6184" t="s">
        <v>3261</v>
      </c>
      <c r="C6184" s="22" t="s">
        <v>31</v>
      </c>
      <c r="D6184">
        <v>1</v>
      </c>
      <c r="G6184" s="30">
        <f>Table132[[#This Row],[nb win]]/Table132[[#This Row],[nb play]]</f>
        <v>0</v>
      </c>
      <c r="H6184" t="str">
        <f>MID(Table132[[#This Row],[ÉTAT]],VALUE(RIGHT(Table132[[#This Row],[next move]],1))+1+VALUE(LEFT(Table132[[#This Row],[next move]],1))*3,1)</f>
        <v>V</v>
      </c>
      <c r="I6184" t="str">
        <f>Table132[[#This Row],[ÉTAT]]&amp;Table132[[#This Row],[next move]]</f>
        <v>EMEMVVEVV22</v>
      </c>
    </row>
    <row r="6185" spans="2:9" x14ac:dyDescent="0.25">
      <c r="B6185" t="s">
        <v>1219</v>
      </c>
      <c r="C6185" s="22" t="s">
        <v>29</v>
      </c>
      <c r="D6185">
        <v>1</v>
      </c>
      <c r="E6185">
        <v>1</v>
      </c>
      <c r="G6185" s="25">
        <f>Table132[[#This Row],[nb win]]/Table132[[#This Row],[nb play]]</f>
        <v>1</v>
      </c>
      <c r="H6185" t="str">
        <f>MID(Table132[[#This Row],[ÉTAT]],VALUE(RIGHT(Table132[[#This Row],[next move]],1))+1+VALUE(LEFT(Table132[[#This Row],[next move]],1))*3,1)</f>
        <v>V</v>
      </c>
      <c r="I6185" t="str">
        <f>Table132[[#This Row],[ÉTAT]]&amp;Table132[[#This Row],[next move]]</f>
        <v>EMEMVVEVM11</v>
      </c>
    </row>
    <row r="6186" spans="2:9" x14ac:dyDescent="0.25">
      <c r="B6186" t="s">
        <v>1219</v>
      </c>
      <c r="C6186" s="22" t="s">
        <v>28</v>
      </c>
      <c r="D6186">
        <v>2</v>
      </c>
      <c r="G6186" s="30">
        <f>Table132[[#This Row],[nb win]]/Table132[[#This Row],[nb play]]</f>
        <v>0</v>
      </c>
      <c r="H6186" t="str">
        <f>MID(Table132[[#This Row],[ÉTAT]],VALUE(RIGHT(Table132[[#This Row],[next move]],1))+1+VALUE(LEFT(Table132[[#This Row],[next move]],1))*3,1)</f>
        <v>V</v>
      </c>
      <c r="I6186" t="str">
        <f>Table132[[#This Row],[ÉTAT]]&amp;Table132[[#This Row],[next move]]</f>
        <v>EMEMVVEVM12</v>
      </c>
    </row>
    <row r="6187" spans="2:9" x14ac:dyDescent="0.25">
      <c r="B6187" t="s">
        <v>3497</v>
      </c>
      <c r="C6187" s="22" t="s">
        <v>28</v>
      </c>
      <c r="D6187">
        <v>1</v>
      </c>
      <c r="G6187" s="30">
        <f>Table132[[#This Row],[nb win]]/Table132[[#This Row],[nb play]]</f>
        <v>0</v>
      </c>
      <c r="H6187" t="str">
        <f>MID(Table132[[#This Row],[ÉTAT]],VALUE(RIGHT(Table132[[#This Row],[next move]],1))+1+VALUE(LEFT(Table132[[#This Row],[next move]],1))*3,1)</f>
        <v>V</v>
      </c>
      <c r="I6187" t="str">
        <f>Table132[[#This Row],[ÉTAT]]&amp;Table132[[#This Row],[next move]]</f>
        <v>EMEMVVEMV12</v>
      </c>
    </row>
    <row r="6188" spans="2:9" x14ac:dyDescent="0.25">
      <c r="B6188" t="s">
        <v>1907</v>
      </c>
      <c r="C6188" s="22" t="s">
        <v>29</v>
      </c>
      <c r="D6188">
        <v>1</v>
      </c>
      <c r="E6188">
        <v>1</v>
      </c>
      <c r="G6188" s="31">
        <f>Table132[[#This Row],[nb win]]/Table132[[#This Row],[nb play]]</f>
        <v>1</v>
      </c>
      <c r="H6188" t="str">
        <f>MID(Table132[[#This Row],[ÉTAT]],VALUE(RIGHT(Table132[[#This Row],[next move]],1))+1+VALUE(LEFT(Table132[[#This Row],[next move]],1))*3,1)</f>
        <v>V</v>
      </c>
      <c r="I6188" t="str">
        <f>Table132[[#This Row],[ÉTAT]]&amp;Table132[[#This Row],[next move]]</f>
        <v>EMEMVVEME11</v>
      </c>
    </row>
    <row r="6189" spans="2:9" x14ac:dyDescent="0.25">
      <c r="B6189" t="s">
        <v>1907</v>
      </c>
      <c r="C6189" s="22" t="s">
        <v>28</v>
      </c>
      <c r="D6189">
        <v>2</v>
      </c>
      <c r="G6189" s="30">
        <f>Table132[[#This Row],[nb win]]/Table132[[#This Row],[nb play]]</f>
        <v>0</v>
      </c>
      <c r="H6189" t="str">
        <f>MID(Table132[[#This Row],[ÉTAT]],VALUE(RIGHT(Table132[[#This Row],[next move]],1))+1+VALUE(LEFT(Table132[[#This Row],[next move]],1))*3,1)</f>
        <v>V</v>
      </c>
      <c r="I6189" t="str">
        <f>Table132[[#This Row],[ÉTAT]]&amp;Table132[[#This Row],[next move]]</f>
        <v>EMEMVVEME12</v>
      </c>
    </row>
    <row r="6190" spans="2:9" x14ac:dyDescent="0.25">
      <c r="B6190" t="s">
        <v>939</v>
      </c>
      <c r="C6190" s="22" t="s">
        <v>29</v>
      </c>
      <c r="D6190">
        <v>2</v>
      </c>
      <c r="E6190">
        <v>2</v>
      </c>
      <c r="G6190" s="31">
        <f>Table132[[#This Row],[nb win]]/Table132[[#This Row],[nb play]]</f>
        <v>1</v>
      </c>
      <c r="H6190" t="str">
        <f>MID(Table132[[#This Row],[ÉTAT]],VALUE(RIGHT(Table132[[#This Row],[next move]],1))+1+VALUE(LEFT(Table132[[#This Row],[next move]],1))*3,1)</f>
        <v>V</v>
      </c>
      <c r="I6190" t="str">
        <f>Table132[[#This Row],[ÉTAT]]&amp;Table132[[#This Row],[next move]]</f>
        <v>EMEMVMVEV11</v>
      </c>
    </row>
    <row r="6191" spans="2:9" x14ac:dyDescent="0.25">
      <c r="B6191" t="s">
        <v>1806</v>
      </c>
      <c r="C6191" s="22" t="s">
        <v>29</v>
      </c>
      <c r="D6191">
        <v>1</v>
      </c>
      <c r="E6191">
        <v>1</v>
      </c>
      <c r="G6191" s="31">
        <f>Table132[[#This Row],[nb win]]/Table132[[#This Row],[nb play]]</f>
        <v>1</v>
      </c>
      <c r="H6191" t="str">
        <f>MID(Table132[[#This Row],[ÉTAT]],VALUE(RIGHT(Table132[[#This Row],[next move]],1))+1+VALUE(LEFT(Table132[[#This Row],[next move]],1))*3,1)</f>
        <v>V</v>
      </c>
      <c r="I6191" t="str">
        <f>Table132[[#This Row],[ÉTAT]]&amp;Table132[[#This Row],[next move]]</f>
        <v>EMEMVMVEE11</v>
      </c>
    </row>
    <row r="6192" spans="2:9" x14ac:dyDescent="0.25">
      <c r="B6192" t="s">
        <v>1806</v>
      </c>
      <c r="C6192" s="22" t="s">
        <v>35</v>
      </c>
      <c r="D6192">
        <v>2</v>
      </c>
      <c r="G6192" s="30">
        <f>Table132[[#This Row],[nb win]]/Table132[[#This Row],[nb play]]</f>
        <v>0</v>
      </c>
      <c r="H6192" t="str">
        <f>MID(Table132[[#This Row],[ÉTAT]],VALUE(RIGHT(Table132[[#This Row],[next move]],1))+1+VALUE(LEFT(Table132[[#This Row],[next move]],1))*3,1)</f>
        <v>V</v>
      </c>
      <c r="I6192" t="str">
        <f>Table132[[#This Row],[ÉTAT]]&amp;Table132[[#This Row],[next move]]</f>
        <v>EMEMVMVEE20</v>
      </c>
    </row>
    <row r="6193" spans="2:9" x14ac:dyDescent="0.25">
      <c r="B6193" t="s">
        <v>734</v>
      </c>
      <c r="C6193" s="22" t="s">
        <v>29</v>
      </c>
      <c r="D6193">
        <v>3</v>
      </c>
      <c r="E6193">
        <v>3</v>
      </c>
      <c r="G6193" s="31">
        <f>Table132[[#This Row],[nb win]]/Table132[[#This Row],[nb play]]</f>
        <v>1</v>
      </c>
      <c r="H6193" t="str">
        <f>MID(Table132[[#This Row],[ÉTAT]],VALUE(RIGHT(Table132[[#This Row],[next move]],1))+1+VALUE(LEFT(Table132[[#This Row],[next move]],1))*3,1)</f>
        <v>V</v>
      </c>
      <c r="I6193" t="str">
        <f>Table132[[#This Row],[ÉTAT]]&amp;Table132[[#This Row],[next move]]</f>
        <v>EMEMVMMEE11</v>
      </c>
    </row>
    <row r="6194" spans="2:9" x14ac:dyDescent="0.25">
      <c r="B6194" t="s">
        <v>2320</v>
      </c>
      <c r="C6194" s="22" t="s">
        <v>22</v>
      </c>
      <c r="D6194">
        <v>2</v>
      </c>
      <c r="E6194">
        <v>1</v>
      </c>
      <c r="G6194" s="30">
        <f>Table132[[#This Row],[nb win]]/Table132[[#This Row],[nb play]]</f>
        <v>0.5</v>
      </c>
      <c r="H6194" t="str">
        <f>MID(Table132[[#This Row],[ÉTAT]],VALUE(RIGHT(Table132[[#This Row],[next move]],1))+1+VALUE(LEFT(Table132[[#This Row],[next move]],1))*3,1)</f>
        <v>V</v>
      </c>
      <c r="I6194" t="str">
        <f>Table132[[#This Row],[ÉTAT]]&amp;Table132[[#This Row],[next move]]</f>
        <v>EMEMVMEVV21</v>
      </c>
    </row>
    <row r="6195" spans="2:9" x14ac:dyDescent="0.25">
      <c r="B6195" t="s">
        <v>2320</v>
      </c>
      <c r="C6195" s="22" t="s">
        <v>31</v>
      </c>
      <c r="D6195">
        <v>1</v>
      </c>
      <c r="G6195" s="25">
        <f>Table132[[#This Row],[nb win]]/Table132[[#This Row],[nb play]]</f>
        <v>0</v>
      </c>
      <c r="H6195" t="str">
        <f>MID(Table132[[#This Row],[ÉTAT]],VALUE(RIGHT(Table132[[#This Row],[next move]],1))+1+VALUE(LEFT(Table132[[#This Row],[next move]],1))*3,1)</f>
        <v>V</v>
      </c>
      <c r="I6195" t="str">
        <f>Table132[[#This Row],[ÉTAT]]&amp;Table132[[#This Row],[next move]]</f>
        <v>EMEMVMEVV22</v>
      </c>
    </row>
    <row r="6196" spans="2:9" x14ac:dyDescent="0.25">
      <c r="B6196" t="s">
        <v>2028</v>
      </c>
      <c r="C6196" s="22" t="s">
        <v>29</v>
      </c>
      <c r="D6196">
        <v>3</v>
      </c>
      <c r="E6196">
        <v>3</v>
      </c>
      <c r="G6196" s="31">
        <f>Table132[[#This Row],[nb win]]/Table132[[#This Row],[nb play]]</f>
        <v>1</v>
      </c>
      <c r="H6196" t="str">
        <f>MID(Table132[[#This Row],[ÉTAT]],VALUE(RIGHT(Table132[[#This Row],[next move]],1))+1+VALUE(LEFT(Table132[[#This Row],[next move]],1))*3,1)</f>
        <v>V</v>
      </c>
      <c r="I6196" t="str">
        <f>Table132[[#This Row],[ÉTAT]]&amp;Table132[[#This Row],[next move]]</f>
        <v>EMEMVMEME11</v>
      </c>
    </row>
    <row r="6197" spans="2:9" x14ac:dyDescent="0.25">
      <c r="B6197" t="s">
        <v>968</v>
      </c>
      <c r="C6197" s="22" t="s">
        <v>29</v>
      </c>
      <c r="D6197">
        <v>4</v>
      </c>
      <c r="E6197">
        <v>4</v>
      </c>
      <c r="G6197" s="31">
        <f>Table132[[#This Row],[nb win]]/Table132[[#This Row],[nb play]]</f>
        <v>1</v>
      </c>
      <c r="H6197" t="str">
        <f>MID(Table132[[#This Row],[ÉTAT]],VALUE(RIGHT(Table132[[#This Row],[next move]],1))+1+VALUE(LEFT(Table132[[#This Row],[next move]],1))*3,1)</f>
        <v>V</v>
      </c>
      <c r="I6197" t="str">
        <f>Table132[[#This Row],[ÉTAT]]&amp;Table132[[#This Row],[next move]]</f>
        <v>EMEMVMEEV11</v>
      </c>
    </row>
    <row r="6198" spans="2:9" x14ac:dyDescent="0.25">
      <c r="B6198" t="s">
        <v>1890</v>
      </c>
      <c r="C6198" s="22" t="s">
        <v>29</v>
      </c>
      <c r="D6198">
        <v>2</v>
      </c>
      <c r="E6198">
        <v>2</v>
      </c>
      <c r="G6198" s="31">
        <f>Table132[[#This Row],[nb win]]/Table132[[#This Row],[nb play]]</f>
        <v>1</v>
      </c>
      <c r="H6198" t="str">
        <f>MID(Table132[[#This Row],[ÉTAT]],VALUE(RIGHT(Table132[[#This Row],[next move]],1))+1+VALUE(LEFT(Table132[[#This Row],[next move]],1))*3,1)</f>
        <v>V</v>
      </c>
      <c r="I6198" t="str">
        <f>Table132[[#This Row],[ÉTAT]]&amp;Table132[[#This Row],[next move]]</f>
        <v>EMEMVMEEM11</v>
      </c>
    </row>
    <row r="6199" spans="2:9" x14ac:dyDescent="0.25">
      <c r="B6199" t="s">
        <v>332</v>
      </c>
      <c r="C6199" s="22" t="s">
        <v>22</v>
      </c>
      <c r="D6199">
        <v>1</v>
      </c>
      <c r="G6199" s="25">
        <f>Table132[[#This Row],[nb win]]/Table132[[#This Row],[nb play]]</f>
        <v>0</v>
      </c>
      <c r="H6199" t="str">
        <f>MID(Table132[[#This Row],[ÉTAT]],VALUE(RIGHT(Table132[[#This Row],[next move]],1))+1+VALUE(LEFT(Table132[[#This Row],[next move]],1))*3,1)</f>
        <v>V</v>
      </c>
      <c r="I6199" t="str">
        <f>Table132[[#This Row],[ÉTAT]]&amp;Table132[[#This Row],[next move]]</f>
        <v>EMEMVEVVV21</v>
      </c>
    </row>
    <row r="6200" spans="2:9" x14ac:dyDescent="0.25">
      <c r="B6200" t="s">
        <v>332</v>
      </c>
      <c r="C6200" s="22" t="s">
        <v>31</v>
      </c>
      <c r="D6200">
        <v>1</v>
      </c>
      <c r="G6200" s="30">
        <f>Table132[[#This Row],[nb win]]/Table132[[#This Row],[nb play]]</f>
        <v>0</v>
      </c>
      <c r="H6200" t="str">
        <f>MID(Table132[[#This Row],[ÉTAT]],VALUE(RIGHT(Table132[[#This Row],[next move]],1))+1+VALUE(LEFT(Table132[[#This Row],[next move]],1))*3,1)</f>
        <v>V</v>
      </c>
      <c r="I6200" t="str">
        <f>Table132[[#This Row],[ÉTAT]]&amp;Table132[[#This Row],[next move]]</f>
        <v>EMEMVEVVV22</v>
      </c>
    </row>
    <row r="6201" spans="2:9" x14ac:dyDescent="0.25">
      <c r="B6201" t="s">
        <v>864</v>
      </c>
      <c r="C6201" s="22" t="s">
        <v>22</v>
      </c>
      <c r="D6201">
        <v>4</v>
      </c>
      <c r="E6201">
        <v>4</v>
      </c>
      <c r="G6201" s="25">
        <f>Table132[[#This Row],[nb win]]/Table132[[#This Row],[nb play]]</f>
        <v>1</v>
      </c>
      <c r="H6201" t="str">
        <f>MID(Table132[[#This Row],[ÉTAT]],VALUE(RIGHT(Table132[[#This Row],[next move]],1))+1+VALUE(LEFT(Table132[[#This Row],[next move]],1))*3,1)</f>
        <v>V</v>
      </c>
      <c r="I6201" t="str">
        <f>Table132[[#This Row],[ÉTAT]]&amp;Table132[[#This Row],[next move]]</f>
        <v>EMEMVEVVM21</v>
      </c>
    </row>
    <row r="6202" spans="2:9" x14ac:dyDescent="0.25">
      <c r="B6202" t="s">
        <v>1054</v>
      </c>
      <c r="C6202" s="22" t="s">
        <v>31</v>
      </c>
      <c r="D6202">
        <v>3</v>
      </c>
      <c r="E6202">
        <v>3</v>
      </c>
      <c r="G6202" s="31">
        <f>Table132[[#This Row],[nb win]]/Table132[[#This Row],[nb play]]</f>
        <v>1</v>
      </c>
      <c r="H6202" t="str">
        <f>MID(Table132[[#This Row],[ÉTAT]],VALUE(RIGHT(Table132[[#This Row],[next move]],1))+1+VALUE(LEFT(Table132[[#This Row],[next move]],1))*3,1)</f>
        <v>V</v>
      </c>
      <c r="I6202" t="str">
        <f>Table132[[#This Row],[ÉTAT]]&amp;Table132[[#This Row],[next move]]</f>
        <v>EMEMVEVMV22</v>
      </c>
    </row>
    <row r="6203" spans="2:9" x14ac:dyDescent="0.25">
      <c r="B6203" t="s">
        <v>404</v>
      </c>
      <c r="C6203" s="22" t="s">
        <v>29</v>
      </c>
      <c r="D6203">
        <v>1</v>
      </c>
      <c r="G6203" s="25">
        <f>Table132[[#This Row],[nb win]]/Table132[[#This Row],[nb play]]</f>
        <v>0</v>
      </c>
      <c r="H6203" t="str">
        <f>MID(Table132[[#This Row],[ÉTAT]],VALUE(RIGHT(Table132[[#This Row],[next move]],1))+1+VALUE(LEFT(Table132[[#This Row],[next move]],1))*3,1)</f>
        <v>V</v>
      </c>
      <c r="I6203" t="str">
        <f>Table132[[#This Row],[ÉTAT]]&amp;Table132[[#This Row],[next move]]</f>
        <v>EMEMVEMEV11</v>
      </c>
    </row>
    <row r="6204" spans="2:9" x14ac:dyDescent="0.25">
      <c r="B6204" t="s">
        <v>1910</v>
      </c>
      <c r="C6204" s="22" t="s">
        <v>22</v>
      </c>
      <c r="D6204">
        <v>1</v>
      </c>
      <c r="G6204" s="25">
        <f>Table132[[#This Row],[nb win]]/Table132[[#This Row],[nb play]]</f>
        <v>0</v>
      </c>
      <c r="H6204" t="str">
        <f>MID(Table132[[#This Row],[ÉTAT]],VALUE(RIGHT(Table132[[#This Row],[next move]],1))+1+VALUE(LEFT(Table132[[#This Row],[next move]],1))*3,1)</f>
        <v>V</v>
      </c>
      <c r="I6204" t="str">
        <f>Table132[[#This Row],[ÉTAT]]&amp;Table132[[#This Row],[next move]]</f>
        <v>EMEMVEEVM21</v>
      </c>
    </row>
    <row r="6205" spans="2:9" x14ac:dyDescent="0.25">
      <c r="B6205" t="s">
        <v>1697</v>
      </c>
      <c r="C6205" s="22" t="s">
        <v>29</v>
      </c>
      <c r="D6205">
        <v>2</v>
      </c>
      <c r="E6205">
        <v>2</v>
      </c>
      <c r="G6205" s="31">
        <f>Table132[[#This Row],[nb win]]/Table132[[#This Row],[nb play]]</f>
        <v>1</v>
      </c>
      <c r="H6205" t="str">
        <f>MID(Table132[[#This Row],[ÉTAT]],VALUE(RIGHT(Table132[[#This Row],[next move]],1))+1+VALUE(LEFT(Table132[[#This Row],[next move]],1))*3,1)</f>
        <v>V</v>
      </c>
      <c r="I6205" t="str">
        <f>Table132[[#This Row],[ÉTAT]]&amp;Table132[[#This Row],[next move]]</f>
        <v>EMEMVEEMV11</v>
      </c>
    </row>
    <row r="6206" spans="2:9" x14ac:dyDescent="0.25">
      <c r="B6206" t="s">
        <v>1697</v>
      </c>
      <c r="C6206" s="22" t="s">
        <v>31</v>
      </c>
      <c r="D6206">
        <v>1</v>
      </c>
      <c r="G6206" s="25">
        <f>Table132[[#This Row],[nb win]]/Table132[[#This Row],[nb play]]</f>
        <v>0</v>
      </c>
      <c r="H6206" t="str">
        <f>MID(Table132[[#This Row],[ÉTAT]],VALUE(RIGHT(Table132[[#This Row],[next move]],1))+1+VALUE(LEFT(Table132[[#This Row],[next move]],1))*3,1)</f>
        <v>V</v>
      </c>
      <c r="I6206" t="str">
        <f>Table132[[#This Row],[ÉTAT]]&amp;Table132[[#This Row],[next move]]</f>
        <v>EMEMVEEMV22</v>
      </c>
    </row>
    <row r="6207" spans="2:9" x14ac:dyDescent="0.25">
      <c r="B6207" t="s">
        <v>866</v>
      </c>
      <c r="C6207" s="22" t="s">
        <v>29</v>
      </c>
      <c r="D6207">
        <v>7</v>
      </c>
      <c r="E6207">
        <v>7</v>
      </c>
      <c r="G6207" s="25">
        <f>Table132[[#This Row],[nb win]]/Table132[[#This Row],[nb play]]</f>
        <v>1</v>
      </c>
      <c r="H6207" t="str">
        <f>MID(Table132[[#This Row],[ÉTAT]],VALUE(RIGHT(Table132[[#This Row],[next move]],1))+1+VALUE(LEFT(Table132[[#This Row],[next move]],1))*3,1)</f>
        <v>V</v>
      </c>
      <c r="I6207" t="str">
        <f>Table132[[#This Row],[ÉTAT]]&amp;Table132[[#This Row],[next move]]</f>
        <v>EMEMVEEMM11</v>
      </c>
    </row>
    <row r="6208" spans="2:9" x14ac:dyDescent="0.25">
      <c r="B6208" t="s">
        <v>1430</v>
      </c>
      <c r="C6208" s="22" t="s">
        <v>28</v>
      </c>
      <c r="D6208">
        <v>1</v>
      </c>
      <c r="E6208">
        <v>1</v>
      </c>
      <c r="G6208" s="25">
        <f>Table132[[#This Row],[nb win]]/Table132[[#This Row],[nb play]]</f>
        <v>1</v>
      </c>
      <c r="H6208" t="str">
        <f>MID(Table132[[#This Row],[ÉTAT]],VALUE(RIGHT(Table132[[#This Row],[next move]],1))+1+VALUE(LEFT(Table132[[#This Row],[next move]],1))*3,1)</f>
        <v>V</v>
      </c>
      <c r="I6208" t="str">
        <f>Table132[[#This Row],[ÉTAT]]&amp;Table132[[#This Row],[next move]]</f>
        <v>EMEMMVVVE12</v>
      </c>
    </row>
    <row r="6209" spans="2:9" x14ac:dyDescent="0.25">
      <c r="B6209" t="s">
        <v>1430</v>
      </c>
      <c r="C6209" s="22" t="s">
        <v>35</v>
      </c>
      <c r="D6209">
        <v>3</v>
      </c>
      <c r="E6209">
        <v>2</v>
      </c>
      <c r="G6209" s="31">
        <f>Table132[[#This Row],[nb win]]/Table132[[#This Row],[nb play]]</f>
        <v>0.66666666666666663</v>
      </c>
      <c r="H6209" t="str">
        <f>MID(Table132[[#This Row],[ÉTAT]],VALUE(RIGHT(Table132[[#This Row],[next move]],1))+1+VALUE(LEFT(Table132[[#This Row],[next move]],1))*3,1)</f>
        <v>V</v>
      </c>
      <c r="I6209" t="str">
        <f>Table132[[#This Row],[ÉTAT]]&amp;Table132[[#This Row],[next move]]</f>
        <v>EMEMMVVVE20</v>
      </c>
    </row>
    <row r="6210" spans="2:9" x14ac:dyDescent="0.25">
      <c r="B6210" t="s">
        <v>1629</v>
      </c>
      <c r="C6210" s="22" t="s">
        <v>28</v>
      </c>
      <c r="D6210">
        <v>2</v>
      </c>
      <c r="E6210">
        <v>2</v>
      </c>
      <c r="G6210" s="31">
        <f>Table132[[#This Row],[nb win]]/Table132[[#This Row],[nb play]]</f>
        <v>1</v>
      </c>
      <c r="H6210" t="str">
        <f>MID(Table132[[#This Row],[ÉTAT]],VALUE(RIGHT(Table132[[#This Row],[next move]],1))+1+VALUE(LEFT(Table132[[#This Row],[next move]],1))*3,1)</f>
        <v>V</v>
      </c>
      <c r="I6210" t="str">
        <f>Table132[[#This Row],[ÉTAT]]&amp;Table132[[#This Row],[next move]]</f>
        <v>EMEMMVVEE12</v>
      </c>
    </row>
    <row r="6211" spans="2:9" x14ac:dyDescent="0.25">
      <c r="B6211" t="s">
        <v>1629</v>
      </c>
      <c r="C6211" s="22" t="s">
        <v>35</v>
      </c>
      <c r="D6211">
        <v>1</v>
      </c>
      <c r="G6211" s="25">
        <f>Table132[[#This Row],[nb win]]/Table132[[#This Row],[nb play]]</f>
        <v>0</v>
      </c>
      <c r="H6211" t="str">
        <f>MID(Table132[[#This Row],[ÉTAT]],VALUE(RIGHT(Table132[[#This Row],[next move]],1))+1+VALUE(LEFT(Table132[[#This Row],[next move]],1))*3,1)</f>
        <v>V</v>
      </c>
      <c r="I6211" t="str">
        <f>Table132[[#This Row],[ÉTAT]]&amp;Table132[[#This Row],[next move]]</f>
        <v>EMEMMVVEE20</v>
      </c>
    </row>
    <row r="6212" spans="2:9" x14ac:dyDescent="0.25">
      <c r="B6212" t="s">
        <v>557</v>
      </c>
      <c r="C6212" s="22" t="s">
        <v>28</v>
      </c>
      <c r="D6212">
        <v>4</v>
      </c>
      <c r="E6212">
        <v>4</v>
      </c>
      <c r="G6212" s="31">
        <f>Table132[[#This Row],[nb win]]/Table132[[#This Row],[nb play]]</f>
        <v>1</v>
      </c>
      <c r="H6212" t="str">
        <f>MID(Table132[[#This Row],[ÉTAT]],VALUE(RIGHT(Table132[[#This Row],[next move]],1))+1+VALUE(LEFT(Table132[[#This Row],[next move]],1))*3,1)</f>
        <v>V</v>
      </c>
      <c r="I6212" t="str">
        <f>Table132[[#This Row],[ÉTAT]]&amp;Table132[[#This Row],[next move]]</f>
        <v>EMEMMVMEE12</v>
      </c>
    </row>
    <row r="6213" spans="2:9" x14ac:dyDescent="0.25">
      <c r="B6213" t="s">
        <v>52</v>
      </c>
      <c r="C6213" s="22" t="s">
        <v>28</v>
      </c>
      <c r="D6213">
        <v>4</v>
      </c>
      <c r="E6213">
        <v>4</v>
      </c>
      <c r="G6213" s="31">
        <f>Table132[[#This Row],[nb win]]/Table132[[#This Row],[nb play]]</f>
        <v>1</v>
      </c>
      <c r="H6213" t="str">
        <f>MID(Table132[[#This Row],[ÉTAT]],VALUE(RIGHT(Table132[[#This Row],[next move]],1))+1+VALUE(LEFT(Table132[[#This Row],[next move]],1))*3,1)</f>
        <v>V</v>
      </c>
      <c r="I6213" t="str">
        <f>Table132[[#This Row],[ÉTAT]]&amp;Table132[[#This Row],[next move]]</f>
        <v>EMEMMVEVV12</v>
      </c>
    </row>
    <row r="6214" spans="2:9" x14ac:dyDescent="0.25">
      <c r="B6214" t="s">
        <v>2037</v>
      </c>
      <c r="C6214" s="22" t="s">
        <v>22</v>
      </c>
      <c r="D6214">
        <v>2</v>
      </c>
      <c r="E6214">
        <v>2</v>
      </c>
      <c r="G6214" s="25">
        <f>Table132[[#This Row],[nb win]]/Table132[[#This Row],[nb play]]</f>
        <v>1</v>
      </c>
      <c r="H6214" t="str">
        <f>MID(Table132[[#This Row],[ÉTAT]],VALUE(RIGHT(Table132[[#This Row],[next move]],1))+1+VALUE(LEFT(Table132[[#This Row],[next move]],1))*3,1)</f>
        <v>V</v>
      </c>
      <c r="I6214" t="str">
        <f>Table132[[#This Row],[ÉTAT]]&amp;Table132[[#This Row],[next move]]</f>
        <v>EMEMMVEVE21</v>
      </c>
    </row>
    <row r="6215" spans="2:9" x14ac:dyDescent="0.25">
      <c r="B6215" t="s">
        <v>2441</v>
      </c>
      <c r="C6215" s="22" t="s">
        <v>28</v>
      </c>
      <c r="D6215">
        <v>1</v>
      </c>
      <c r="E6215">
        <v>1</v>
      </c>
      <c r="G6215" s="31">
        <f>Table132[[#This Row],[nb win]]/Table132[[#This Row],[nb play]]</f>
        <v>1</v>
      </c>
      <c r="H6215" t="str">
        <f>MID(Table132[[#This Row],[ÉTAT]],VALUE(RIGHT(Table132[[#This Row],[next move]],1))+1+VALUE(LEFT(Table132[[#This Row],[next move]],1))*3,1)</f>
        <v>V</v>
      </c>
      <c r="I6215" t="str">
        <f>Table132[[#This Row],[ÉTAT]]&amp;Table132[[#This Row],[next move]]</f>
        <v>EMEMMVEEV12</v>
      </c>
    </row>
    <row r="6216" spans="2:9" x14ac:dyDescent="0.25">
      <c r="B6216" t="s">
        <v>1478</v>
      </c>
      <c r="C6216" s="22" t="s">
        <v>28</v>
      </c>
      <c r="D6216">
        <v>3</v>
      </c>
      <c r="E6216">
        <v>3</v>
      </c>
      <c r="G6216" s="25">
        <f>Table132[[#This Row],[nb win]]/Table132[[#This Row],[nb play]]</f>
        <v>1</v>
      </c>
      <c r="H6216" t="str">
        <f>MID(Table132[[#This Row],[ÉTAT]],VALUE(RIGHT(Table132[[#This Row],[next move]],1))+1+VALUE(LEFT(Table132[[#This Row],[next move]],1))*3,1)</f>
        <v>V</v>
      </c>
      <c r="I6216" t="str">
        <f>Table132[[#This Row],[ÉTAT]]&amp;Table132[[#This Row],[next move]]</f>
        <v>EMEMMVEEM12</v>
      </c>
    </row>
    <row r="6217" spans="2:9" x14ac:dyDescent="0.25">
      <c r="B6217" t="s">
        <v>3183</v>
      </c>
      <c r="C6217" s="22" t="s">
        <v>22</v>
      </c>
      <c r="D6217">
        <v>2</v>
      </c>
      <c r="E6217">
        <v>2</v>
      </c>
      <c r="G6217" s="31">
        <f>Table132[[#This Row],[nb win]]/Table132[[#This Row],[nb play]]</f>
        <v>1</v>
      </c>
      <c r="H6217" t="str">
        <f>MID(Table132[[#This Row],[ÉTAT]],VALUE(RIGHT(Table132[[#This Row],[next move]],1))+1+VALUE(LEFT(Table132[[#This Row],[next move]],1))*3,1)</f>
        <v>V</v>
      </c>
      <c r="I6217" t="str">
        <f>Table132[[#This Row],[ÉTAT]]&amp;Table132[[#This Row],[next move]]</f>
        <v>EMEMMEVVV21</v>
      </c>
    </row>
    <row r="6218" spans="2:9" x14ac:dyDescent="0.25">
      <c r="B6218" t="s">
        <v>2621</v>
      </c>
      <c r="C6218" s="22" t="s">
        <v>35</v>
      </c>
      <c r="D6218">
        <v>1</v>
      </c>
      <c r="G6218" s="25">
        <f>Table132[[#This Row],[nb win]]/Table132[[#This Row],[nb play]]</f>
        <v>0</v>
      </c>
      <c r="H6218" t="str">
        <f>MID(Table132[[#This Row],[ÉTAT]],VALUE(RIGHT(Table132[[#This Row],[next move]],1))+1+VALUE(LEFT(Table132[[#This Row],[next move]],1))*3,1)</f>
        <v>V</v>
      </c>
      <c r="I6218" t="str">
        <f>Table132[[#This Row],[ÉTAT]]&amp;Table132[[#This Row],[next move]]</f>
        <v>EMEMMEVEV20</v>
      </c>
    </row>
    <row r="6219" spans="2:9" x14ac:dyDescent="0.25">
      <c r="B6219" t="s">
        <v>2687</v>
      </c>
      <c r="C6219" s="22" t="s">
        <v>22</v>
      </c>
      <c r="D6219">
        <v>2</v>
      </c>
      <c r="E6219">
        <v>2</v>
      </c>
      <c r="G6219" s="31">
        <f>Table132[[#This Row],[nb win]]/Table132[[#This Row],[nb play]]</f>
        <v>1</v>
      </c>
      <c r="H6219" t="str">
        <f>MID(Table132[[#This Row],[ÉTAT]],VALUE(RIGHT(Table132[[#This Row],[next move]],1))+1+VALUE(LEFT(Table132[[#This Row],[next move]],1))*3,1)</f>
        <v>V</v>
      </c>
      <c r="I6219" t="str">
        <f>Table132[[#This Row],[ÉTAT]]&amp;Table132[[#This Row],[next move]]</f>
        <v>EMEMMEEVM21</v>
      </c>
    </row>
    <row r="6220" spans="2:9" x14ac:dyDescent="0.25">
      <c r="B6220" t="s">
        <v>1306</v>
      </c>
      <c r="C6220" s="22" t="s">
        <v>28</v>
      </c>
      <c r="D6220">
        <v>3</v>
      </c>
      <c r="G6220" s="30">
        <f>Table132[[#This Row],[nb win]]/Table132[[#This Row],[nb play]]</f>
        <v>0</v>
      </c>
      <c r="H6220" t="str">
        <f>MID(Table132[[#This Row],[ÉTAT]],VALUE(RIGHT(Table132[[#This Row],[next move]],1))+1+VALUE(LEFT(Table132[[#This Row],[next move]],1))*3,1)</f>
        <v>V</v>
      </c>
      <c r="I6220" t="str">
        <f>Table132[[#This Row],[ÉTAT]]&amp;Table132[[#This Row],[next move]]</f>
        <v>EMEMEVVVV12</v>
      </c>
    </row>
    <row r="6221" spans="2:9" x14ac:dyDescent="0.25">
      <c r="B6221" t="s">
        <v>1306</v>
      </c>
      <c r="C6221" s="22" t="s">
        <v>35</v>
      </c>
      <c r="D6221">
        <v>1</v>
      </c>
      <c r="G6221" s="25">
        <f>Table132[[#This Row],[nb win]]/Table132[[#This Row],[nb play]]</f>
        <v>0</v>
      </c>
      <c r="H6221" t="str">
        <f>MID(Table132[[#This Row],[ÉTAT]],VALUE(RIGHT(Table132[[#This Row],[next move]],1))+1+VALUE(LEFT(Table132[[#This Row],[next move]],1))*3,1)</f>
        <v>V</v>
      </c>
      <c r="I6221" t="str">
        <f>Table132[[#This Row],[ÉTAT]]&amp;Table132[[#This Row],[next move]]</f>
        <v>EMEMEVVVV20</v>
      </c>
    </row>
    <row r="6222" spans="2:9" x14ac:dyDescent="0.25">
      <c r="B6222" t="s">
        <v>1306</v>
      </c>
      <c r="C6222" s="22" t="s">
        <v>22</v>
      </c>
      <c r="D6222">
        <v>2</v>
      </c>
      <c r="G6222" s="30">
        <f>Table132[[#This Row],[nb win]]/Table132[[#This Row],[nb play]]</f>
        <v>0</v>
      </c>
      <c r="H6222" t="str">
        <f>MID(Table132[[#This Row],[ÉTAT]],VALUE(RIGHT(Table132[[#This Row],[next move]],1))+1+VALUE(LEFT(Table132[[#This Row],[next move]],1))*3,1)</f>
        <v>V</v>
      </c>
      <c r="I6222" t="str">
        <f>Table132[[#This Row],[ÉTAT]]&amp;Table132[[#This Row],[next move]]</f>
        <v>EMEMEVVVV21</v>
      </c>
    </row>
    <row r="6223" spans="2:9" x14ac:dyDescent="0.25">
      <c r="B6223" t="s">
        <v>1306</v>
      </c>
      <c r="C6223" s="22" t="s">
        <v>31</v>
      </c>
      <c r="D6223">
        <v>2</v>
      </c>
      <c r="G6223" s="30">
        <f>Table132[[#This Row],[nb win]]/Table132[[#This Row],[nb play]]</f>
        <v>0</v>
      </c>
      <c r="H6223" t="str">
        <f>MID(Table132[[#This Row],[ÉTAT]],VALUE(RIGHT(Table132[[#This Row],[next move]],1))+1+VALUE(LEFT(Table132[[#This Row],[next move]],1))*3,1)</f>
        <v>V</v>
      </c>
      <c r="I6223" t="str">
        <f>Table132[[#This Row],[ÉTAT]]&amp;Table132[[#This Row],[next move]]</f>
        <v>EMEMEVVVV22</v>
      </c>
    </row>
    <row r="6224" spans="2:9" x14ac:dyDescent="0.25">
      <c r="B6224" t="s">
        <v>1180</v>
      </c>
      <c r="C6224" s="22" t="s">
        <v>28</v>
      </c>
      <c r="D6224">
        <v>1</v>
      </c>
      <c r="G6224" s="25">
        <f>Table132[[#This Row],[nb win]]/Table132[[#This Row],[nb play]]</f>
        <v>0</v>
      </c>
      <c r="H6224" t="str">
        <f>MID(Table132[[#This Row],[ÉTAT]],VALUE(RIGHT(Table132[[#This Row],[next move]],1))+1+VALUE(LEFT(Table132[[#This Row],[next move]],1))*3,1)</f>
        <v>V</v>
      </c>
      <c r="I6224" t="str">
        <f>Table132[[#This Row],[ÉTAT]]&amp;Table132[[#This Row],[next move]]</f>
        <v>EMEMEVVVM12</v>
      </c>
    </row>
    <row r="6225" spans="2:9" x14ac:dyDescent="0.25">
      <c r="B6225" t="s">
        <v>1180</v>
      </c>
      <c r="C6225" s="22" t="s">
        <v>35</v>
      </c>
      <c r="D6225">
        <v>1</v>
      </c>
      <c r="E6225">
        <v>1</v>
      </c>
      <c r="G6225" s="31">
        <f>Table132[[#This Row],[nb win]]/Table132[[#This Row],[nb play]]</f>
        <v>1</v>
      </c>
      <c r="H6225" t="str">
        <f>MID(Table132[[#This Row],[ÉTAT]],VALUE(RIGHT(Table132[[#This Row],[next move]],1))+1+VALUE(LEFT(Table132[[#This Row],[next move]],1))*3,1)</f>
        <v>V</v>
      </c>
      <c r="I6225" t="str">
        <f>Table132[[#This Row],[ÉTAT]]&amp;Table132[[#This Row],[next move]]</f>
        <v>EMEMEVVVM20</v>
      </c>
    </row>
    <row r="6226" spans="2:9" x14ac:dyDescent="0.25">
      <c r="B6226" t="s">
        <v>1180</v>
      </c>
      <c r="C6226" s="22" t="s">
        <v>22</v>
      </c>
      <c r="D6226">
        <v>1</v>
      </c>
      <c r="G6226" s="25">
        <f>Table132[[#This Row],[nb win]]/Table132[[#This Row],[nb play]]</f>
        <v>0</v>
      </c>
      <c r="H6226" t="str">
        <f>MID(Table132[[#This Row],[ÉTAT]],VALUE(RIGHT(Table132[[#This Row],[next move]],1))+1+VALUE(LEFT(Table132[[#This Row],[next move]],1))*3,1)</f>
        <v>V</v>
      </c>
      <c r="I6226" t="str">
        <f>Table132[[#This Row],[ÉTAT]]&amp;Table132[[#This Row],[next move]]</f>
        <v>EMEMEVVVM21</v>
      </c>
    </row>
    <row r="6227" spans="2:9" x14ac:dyDescent="0.25">
      <c r="B6227" t="s">
        <v>3141</v>
      </c>
      <c r="C6227" s="22" t="s">
        <v>35</v>
      </c>
      <c r="D6227">
        <v>1</v>
      </c>
      <c r="E6227">
        <v>1</v>
      </c>
      <c r="G6227" s="31">
        <f>Table132[[#This Row],[nb win]]/Table132[[#This Row],[nb play]]</f>
        <v>1</v>
      </c>
      <c r="H6227" t="str">
        <f>MID(Table132[[#This Row],[ÉTAT]],VALUE(RIGHT(Table132[[#This Row],[next move]],1))+1+VALUE(LEFT(Table132[[#This Row],[next move]],1))*3,1)</f>
        <v>V</v>
      </c>
      <c r="I6227" t="str">
        <f>Table132[[#This Row],[ÉTAT]]&amp;Table132[[#This Row],[next move]]</f>
        <v>EMEMEVVMV20</v>
      </c>
    </row>
    <row r="6228" spans="2:9" x14ac:dyDescent="0.25">
      <c r="B6228" t="s">
        <v>3455</v>
      </c>
      <c r="C6228" s="22" t="s">
        <v>28</v>
      </c>
      <c r="D6228">
        <v>1</v>
      </c>
      <c r="G6228" s="30">
        <f>Table132[[#This Row],[nb win]]/Table132[[#This Row],[nb play]]</f>
        <v>0</v>
      </c>
      <c r="H6228" t="str">
        <f>MID(Table132[[#This Row],[ÉTAT]],VALUE(RIGHT(Table132[[#This Row],[next move]],1))+1+VALUE(LEFT(Table132[[#This Row],[next move]],1))*3,1)</f>
        <v>V</v>
      </c>
      <c r="I6228" t="str">
        <f>Table132[[#This Row],[ÉTAT]]&amp;Table132[[#This Row],[next move]]</f>
        <v>EMEMEVVEM12</v>
      </c>
    </row>
    <row r="6229" spans="2:9" x14ac:dyDescent="0.25">
      <c r="B6229" t="s">
        <v>1765</v>
      </c>
      <c r="C6229" s="22" t="s">
        <v>22</v>
      </c>
      <c r="D6229">
        <v>2</v>
      </c>
      <c r="E6229">
        <v>1</v>
      </c>
      <c r="G6229" s="25">
        <f>Table132[[#This Row],[nb win]]/Table132[[#This Row],[nb play]]</f>
        <v>0.5</v>
      </c>
      <c r="H6229" t="str">
        <f>MID(Table132[[#This Row],[ÉTAT]],VALUE(RIGHT(Table132[[#This Row],[next move]],1))+1+VALUE(LEFT(Table132[[#This Row],[next move]],1))*3,1)</f>
        <v>V</v>
      </c>
      <c r="I6229" t="str">
        <f>Table132[[#This Row],[ÉTAT]]&amp;Table132[[#This Row],[next move]]</f>
        <v>EMEMEVMVV21</v>
      </c>
    </row>
    <row r="6230" spans="2:9" x14ac:dyDescent="0.25">
      <c r="B6230" t="s">
        <v>1404</v>
      </c>
      <c r="C6230" s="22" t="s">
        <v>35</v>
      </c>
      <c r="D6230">
        <v>4</v>
      </c>
      <c r="G6230" s="30">
        <f>Table132[[#This Row],[nb win]]/Table132[[#This Row],[nb play]]</f>
        <v>0</v>
      </c>
      <c r="H6230" t="str">
        <f>MID(Table132[[#This Row],[ÉTAT]],VALUE(RIGHT(Table132[[#This Row],[next move]],1))+1+VALUE(LEFT(Table132[[#This Row],[next move]],1))*3,1)</f>
        <v>V</v>
      </c>
      <c r="I6230" t="str">
        <f>Table132[[#This Row],[ÉTAT]]&amp;Table132[[#This Row],[next move]]</f>
        <v>EMEMEMVEV20</v>
      </c>
    </row>
    <row r="6231" spans="2:9" x14ac:dyDescent="0.25">
      <c r="B6231" t="s">
        <v>1404</v>
      </c>
      <c r="C6231" s="22" t="s">
        <v>31</v>
      </c>
      <c r="D6231">
        <v>6</v>
      </c>
      <c r="G6231" s="30">
        <f>Table132[[#This Row],[nb win]]/Table132[[#This Row],[nb play]]</f>
        <v>0</v>
      </c>
      <c r="H6231" t="str">
        <f>MID(Table132[[#This Row],[ÉTAT]],VALUE(RIGHT(Table132[[#This Row],[next move]],1))+1+VALUE(LEFT(Table132[[#This Row],[next move]],1))*3,1)</f>
        <v>V</v>
      </c>
      <c r="I6231" t="str">
        <f>Table132[[#This Row],[ÉTAT]]&amp;Table132[[#This Row],[next move]]</f>
        <v>EMEMEMVEV22</v>
      </c>
    </row>
    <row r="6232" spans="2:9" x14ac:dyDescent="0.25">
      <c r="B6232" t="s">
        <v>3512</v>
      </c>
      <c r="C6232" s="22" t="s">
        <v>22</v>
      </c>
      <c r="D6232">
        <v>1</v>
      </c>
      <c r="G6232" s="30">
        <f>Table132[[#This Row],[nb win]]/Table132[[#This Row],[nb play]]</f>
        <v>0</v>
      </c>
      <c r="H6232" t="str">
        <f>MID(Table132[[#This Row],[ÉTAT]],VALUE(RIGHT(Table132[[#This Row],[next move]],1))+1+VALUE(LEFT(Table132[[#This Row],[next move]],1))*3,1)</f>
        <v>V</v>
      </c>
      <c r="I6232" t="str">
        <f>Table132[[#This Row],[ÉTAT]]&amp;Table132[[#This Row],[next move]]</f>
        <v>EMEMEEVVM21</v>
      </c>
    </row>
    <row r="6233" spans="2:9" x14ac:dyDescent="0.25">
      <c r="B6233" t="s">
        <v>314</v>
      </c>
      <c r="C6233" s="22" t="s">
        <v>35</v>
      </c>
      <c r="D6233">
        <v>2</v>
      </c>
      <c r="G6233" s="25">
        <f>Table132[[#This Row],[nb win]]/Table132[[#This Row],[nb play]]</f>
        <v>0</v>
      </c>
      <c r="H6233" t="str">
        <f>MID(Table132[[#This Row],[ÉTAT]],VALUE(RIGHT(Table132[[#This Row],[next move]],1))+1+VALUE(LEFT(Table132[[#This Row],[next move]],1))*3,1)</f>
        <v>V</v>
      </c>
      <c r="I6233" t="str">
        <f>Table132[[#This Row],[ÉTAT]]&amp;Table132[[#This Row],[next move]]</f>
        <v>EMEMEEVMV20</v>
      </c>
    </row>
    <row r="6234" spans="2:9" x14ac:dyDescent="0.25">
      <c r="B6234" t="s">
        <v>314</v>
      </c>
      <c r="C6234" s="22" t="s">
        <v>31</v>
      </c>
      <c r="D6234">
        <v>5</v>
      </c>
      <c r="G6234" s="30">
        <f>Table132[[#This Row],[nb win]]/Table132[[#This Row],[nb play]]</f>
        <v>0</v>
      </c>
      <c r="H6234" t="str">
        <f>MID(Table132[[#This Row],[ÉTAT]],VALUE(RIGHT(Table132[[#This Row],[next move]],1))+1+VALUE(LEFT(Table132[[#This Row],[next move]],1))*3,1)</f>
        <v>V</v>
      </c>
      <c r="I6234" t="str">
        <f>Table132[[#This Row],[ÉTAT]]&amp;Table132[[#This Row],[next move]]</f>
        <v>EMEMEEVMV22</v>
      </c>
    </row>
    <row r="6235" spans="2:9" x14ac:dyDescent="0.25">
      <c r="B6235" t="s">
        <v>1055</v>
      </c>
      <c r="C6235" s="22" t="s">
        <v>35</v>
      </c>
      <c r="D6235">
        <v>5</v>
      </c>
      <c r="E6235">
        <v>5</v>
      </c>
      <c r="G6235" s="31">
        <f>Table132[[#This Row],[nb win]]/Table132[[#This Row],[nb play]]</f>
        <v>1</v>
      </c>
      <c r="H6235" t="str">
        <f>MID(Table132[[#This Row],[ÉTAT]],VALUE(RIGHT(Table132[[#This Row],[next move]],1))+1+VALUE(LEFT(Table132[[#This Row],[next move]],1))*3,1)</f>
        <v>V</v>
      </c>
      <c r="I6235" t="str">
        <f>Table132[[#This Row],[ÉTAT]]&amp;Table132[[#This Row],[next move]]</f>
        <v>EMEMEEVMM20</v>
      </c>
    </row>
    <row r="6236" spans="2:9" x14ac:dyDescent="0.25">
      <c r="B6236" t="s">
        <v>1308</v>
      </c>
      <c r="C6236" s="22" t="s">
        <v>22</v>
      </c>
      <c r="D6236">
        <v>1</v>
      </c>
      <c r="G6236" s="25">
        <f>Table132[[#This Row],[nb win]]/Table132[[#This Row],[nb play]]</f>
        <v>0</v>
      </c>
      <c r="H6236" t="str">
        <f>MID(Table132[[#This Row],[ÉTAT]],VALUE(RIGHT(Table132[[#This Row],[next move]],1))+1+VALUE(LEFT(Table132[[#This Row],[next move]],1))*3,1)</f>
        <v>V</v>
      </c>
      <c r="I6236" t="str">
        <f>Table132[[#This Row],[ÉTAT]]&amp;Table132[[#This Row],[next move]]</f>
        <v>EMEMEEMVV21</v>
      </c>
    </row>
    <row r="6237" spans="2:9" x14ac:dyDescent="0.25">
      <c r="B6237" t="s">
        <v>3427</v>
      </c>
      <c r="C6237" s="22" t="s">
        <v>22</v>
      </c>
      <c r="D6237">
        <v>4</v>
      </c>
      <c r="E6237">
        <v>4</v>
      </c>
      <c r="G6237" s="31">
        <f>Table132[[#This Row],[nb win]]/Table132[[#This Row],[nb play]]</f>
        <v>1</v>
      </c>
      <c r="H6237" t="str">
        <f>MID(Table132[[#This Row],[ÉTAT]],VALUE(RIGHT(Table132[[#This Row],[next move]],1))+1+VALUE(LEFT(Table132[[#This Row],[next move]],1))*3,1)</f>
        <v>V</v>
      </c>
      <c r="I6237" t="str">
        <f>Table132[[#This Row],[ÉTAT]]&amp;Table132[[#This Row],[next move]]</f>
        <v>EMEMEEMVM21</v>
      </c>
    </row>
    <row r="6238" spans="2:9" x14ac:dyDescent="0.25">
      <c r="B6238" t="s">
        <v>1767</v>
      </c>
      <c r="C6238" s="22" t="s">
        <v>31</v>
      </c>
      <c r="D6238">
        <v>4</v>
      </c>
      <c r="E6238">
        <v>4</v>
      </c>
      <c r="G6238" s="31">
        <f>Table132[[#This Row],[nb win]]/Table132[[#This Row],[nb play]]</f>
        <v>1</v>
      </c>
      <c r="H6238" t="str">
        <f>MID(Table132[[#This Row],[ÉTAT]],VALUE(RIGHT(Table132[[#This Row],[next move]],1))+1+VALUE(LEFT(Table132[[#This Row],[next move]],1))*3,1)</f>
        <v>V</v>
      </c>
      <c r="I6238" t="str">
        <f>Table132[[#This Row],[ÉTAT]]&amp;Table132[[#This Row],[next move]]</f>
        <v>EMEMEEMMV22</v>
      </c>
    </row>
    <row r="6239" spans="2:9" x14ac:dyDescent="0.25">
      <c r="B6239" t="s">
        <v>1030</v>
      </c>
      <c r="C6239" s="22" t="s">
        <v>22</v>
      </c>
      <c r="D6239">
        <v>2</v>
      </c>
      <c r="E6239">
        <v>2</v>
      </c>
      <c r="G6239" s="31">
        <f>Table132[[#This Row],[nb win]]/Table132[[#This Row],[nb play]]</f>
        <v>1</v>
      </c>
      <c r="H6239" t="str">
        <f>MID(Table132[[#This Row],[ÉTAT]],VALUE(RIGHT(Table132[[#This Row],[next move]],1))+1+VALUE(LEFT(Table132[[#This Row],[next move]],1))*3,1)</f>
        <v>V</v>
      </c>
      <c r="I6239" t="str">
        <f>Table132[[#This Row],[ÉTAT]]&amp;Table132[[#This Row],[next move]]</f>
        <v>EMEEVVVVM21</v>
      </c>
    </row>
    <row r="6240" spans="2:9" x14ac:dyDescent="0.25">
      <c r="B6240" t="s">
        <v>276</v>
      </c>
      <c r="C6240" s="22" t="s">
        <v>29</v>
      </c>
      <c r="D6240">
        <v>2</v>
      </c>
      <c r="E6240">
        <v>2</v>
      </c>
      <c r="G6240" s="31">
        <f>Table132[[#This Row],[nb win]]/Table132[[#This Row],[nb play]]</f>
        <v>1</v>
      </c>
      <c r="H6240" t="str">
        <f>MID(Table132[[#This Row],[ÉTAT]],VALUE(RIGHT(Table132[[#This Row],[next move]],1))+1+VALUE(LEFT(Table132[[#This Row],[next move]],1))*3,1)</f>
        <v>V</v>
      </c>
      <c r="I6240" t="str">
        <f>Table132[[#This Row],[ÉTAT]]&amp;Table132[[#This Row],[next move]]</f>
        <v>EMEEVVVMV11</v>
      </c>
    </row>
    <row r="6241" spans="2:9" x14ac:dyDescent="0.25">
      <c r="B6241" t="s">
        <v>276</v>
      </c>
      <c r="C6241" s="22" t="s">
        <v>28</v>
      </c>
      <c r="D6241">
        <v>2</v>
      </c>
      <c r="G6241" s="30">
        <f>Table132[[#This Row],[nb win]]/Table132[[#This Row],[nb play]]</f>
        <v>0</v>
      </c>
      <c r="H6241" t="str">
        <f>MID(Table132[[#This Row],[ÉTAT]],VALUE(RIGHT(Table132[[#This Row],[next move]],1))+1+VALUE(LEFT(Table132[[#This Row],[next move]],1))*3,1)</f>
        <v>V</v>
      </c>
      <c r="I6241" t="str">
        <f>Table132[[#This Row],[ÉTAT]]&amp;Table132[[#This Row],[next move]]</f>
        <v>EMEEVVVMV12</v>
      </c>
    </row>
    <row r="6242" spans="2:9" x14ac:dyDescent="0.25">
      <c r="B6242" t="s">
        <v>276</v>
      </c>
      <c r="C6242" s="22" t="s">
        <v>31</v>
      </c>
      <c r="D6242">
        <v>3</v>
      </c>
      <c r="E6242">
        <v>2</v>
      </c>
      <c r="G6242" s="31">
        <f>Table132[[#This Row],[nb win]]/Table132[[#This Row],[nb play]]</f>
        <v>0.66666666666666663</v>
      </c>
      <c r="H6242" t="str">
        <f>MID(Table132[[#This Row],[ÉTAT]],VALUE(RIGHT(Table132[[#This Row],[next move]],1))+1+VALUE(LEFT(Table132[[#This Row],[next move]],1))*3,1)</f>
        <v>V</v>
      </c>
      <c r="I6242" t="str">
        <f>Table132[[#This Row],[ÉTAT]]&amp;Table132[[#This Row],[next move]]</f>
        <v>EMEEVVVMV22</v>
      </c>
    </row>
    <row r="6243" spans="2:9" x14ac:dyDescent="0.25">
      <c r="B6243" t="s">
        <v>3160</v>
      </c>
      <c r="C6243" s="22" t="s">
        <v>22</v>
      </c>
      <c r="D6243">
        <v>1</v>
      </c>
      <c r="G6243" s="30">
        <f>Table132[[#This Row],[nb win]]/Table132[[#This Row],[nb play]]</f>
        <v>0</v>
      </c>
      <c r="H6243" t="str">
        <f>MID(Table132[[#This Row],[ÉTAT]],VALUE(RIGHT(Table132[[#This Row],[next move]],1))+1+VALUE(LEFT(Table132[[#This Row],[next move]],1))*3,1)</f>
        <v>V</v>
      </c>
      <c r="I6243" t="str">
        <f>Table132[[#This Row],[ÉTAT]]&amp;Table132[[#This Row],[next move]]</f>
        <v>EMEEVVMVV21</v>
      </c>
    </row>
    <row r="6244" spans="2:9" x14ac:dyDescent="0.25">
      <c r="B6244" t="s">
        <v>1633</v>
      </c>
      <c r="C6244" s="22" t="s">
        <v>22</v>
      </c>
      <c r="D6244">
        <v>2</v>
      </c>
      <c r="E6244">
        <v>2</v>
      </c>
      <c r="G6244" s="25">
        <f>Table132[[#This Row],[nb win]]/Table132[[#This Row],[nb play]]</f>
        <v>1</v>
      </c>
      <c r="H6244" t="str">
        <f>MID(Table132[[#This Row],[ÉTAT]],VALUE(RIGHT(Table132[[#This Row],[next move]],1))+1+VALUE(LEFT(Table132[[#This Row],[next move]],1))*3,1)</f>
        <v>V</v>
      </c>
      <c r="I6244" t="str">
        <f>Table132[[#This Row],[ÉTAT]]&amp;Table132[[#This Row],[next move]]</f>
        <v>EMEEVVMVM21</v>
      </c>
    </row>
    <row r="6245" spans="2:9" x14ac:dyDescent="0.25">
      <c r="B6245" t="s">
        <v>1460</v>
      </c>
      <c r="C6245" s="22" t="s">
        <v>29</v>
      </c>
      <c r="D6245">
        <v>2</v>
      </c>
      <c r="E6245">
        <v>2</v>
      </c>
      <c r="G6245" s="31">
        <f>Table132[[#This Row],[nb win]]/Table132[[#This Row],[nb play]]</f>
        <v>1</v>
      </c>
      <c r="H6245" t="str">
        <f>MID(Table132[[#This Row],[ÉTAT]],VALUE(RIGHT(Table132[[#This Row],[next move]],1))+1+VALUE(LEFT(Table132[[#This Row],[next move]],1))*3,1)</f>
        <v>V</v>
      </c>
      <c r="I6245" t="str">
        <f>Table132[[#This Row],[ÉTAT]]&amp;Table132[[#This Row],[next move]]</f>
        <v>EMEEVVMME11</v>
      </c>
    </row>
    <row r="6246" spans="2:9" x14ac:dyDescent="0.25">
      <c r="B6246" t="s">
        <v>1460</v>
      </c>
      <c r="C6246" s="22" t="s">
        <v>28</v>
      </c>
      <c r="D6246">
        <v>2</v>
      </c>
      <c r="G6246" s="30">
        <f>Table132[[#This Row],[nb win]]/Table132[[#This Row],[nb play]]</f>
        <v>0</v>
      </c>
      <c r="H6246" t="str">
        <f>MID(Table132[[#This Row],[ÉTAT]],VALUE(RIGHT(Table132[[#This Row],[next move]],1))+1+VALUE(LEFT(Table132[[#This Row],[next move]],1))*3,1)</f>
        <v>V</v>
      </c>
      <c r="I6246" t="str">
        <f>Table132[[#This Row],[ÉTAT]]&amp;Table132[[#This Row],[next move]]</f>
        <v>EMEEVVMME12</v>
      </c>
    </row>
    <row r="6247" spans="2:9" x14ac:dyDescent="0.25">
      <c r="B6247" t="s">
        <v>2067</v>
      </c>
      <c r="C6247" s="22" t="s">
        <v>22</v>
      </c>
      <c r="D6247">
        <v>1</v>
      </c>
      <c r="G6247" s="25">
        <f>Table132[[#This Row],[nb win]]/Table132[[#This Row],[nb play]]</f>
        <v>0</v>
      </c>
      <c r="H6247" t="str">
        <f>MID(Table132[[#This Row],[ÉTAT]],VALUE(RIGHT(Table132[[#This Row],[next move]],1))+1+VALUE(LEFT(Table132[[#This Row],[next move]],1))*3,1)</f>
        <v>V</v>
      </c>
      <c r="I6247" t="str">
        <f>Table132[[#This Row],[ÉTAT]]&amp;Table132[[#This Row],[next move]]</f>
        <v>EMEEVMVVV21</v>
      </c>
    </row>
    <row r="6248" spans="2:9" x14ac:dyDescent="0.25">
      <c r="B6248" t="s">
        <v>2067</v>
      </c>
      <c r="C6248" s="22" t="s">
        <v>31</v>
      </c>
      <c r="D6248">
        <v>1</v>
      </c>
      <c r="G6248" s="30">
        <f>Table132[[#This Row],[nb win]]/Table132[[#This Row],[nb play]]</f>
        <v>0</v>
      </c>
      <c r="H6248" t="str">
        <f>MID(Table132[[#This Row],[ÉTAT]],VALUE(RIGHT(Table132[[#This Row],[next move]],1))+1+VALUE(LEFT(Table132[[#This Row],[next move]],1))*3,1)</f>
        <v>V</v>
      </c>
      <c r="I6248" t="str">
        <f>Table132[[#This Row],[ÉTAT]]&amp;Table132[[#This Row],[next move]]</f>
        <v>EMEEVMVVV22</v>
      </c>
    </row>
    <row r="6249" spans="2:9" x14ac:dyDescent="0.25">
      <c r="B6249" t="s">
        <v>3457</v>
      </c>
      <c r="C6249" s="22" t="s">
        <v>29</v>
      </c>
      <c r="D6249">
        <v>1</v>
      </c>
      <c r="E6249">
        <v>1</v>
      </c>
      <c r="G6249" s="31">
        <f>Table132[[#This Row],[nb win]]/Table132[[#This Row],[nb play]]</f>
        <v>1</v>
      </c>
      <c r="H6249" t="str">
        <f>MID(Table132[[#This Row],[ÉTAT]],VALUE(RIGHT(Table132[[#This Row],[next move]],1))+1+VALUE(LEFT(Table132[[#This Row],[next move]],1))*3,1)</f>
        <v>V</v>
      </c>
      <c r="I6249" t="str">
        <f>Table132[[#This Row],[ÉTAT]]&amp;Table132[[#This Row],[next move]]</f>
        <v>EMEEVMVMV11</v>
      </c>
    </row>
    <row r="6250" spans="2:9" x14ac:dyDescent="0.25">
      <c r="B6250" t="s">
        <v>3460</v>
      </c>
      <c r="C6250" s="22" t="s">
        <v>29</v>
      </c>
      <c r="D6250">
        <v>1</v>
      </c>
      <c r="E6250">
        <v>1</v>
      </c>
      <c r="G6250" s="31">
        <f>Table132[[#This Row],[nb win]]/Table132[[#This Row],[nb play]]</f>
        <v>1</v>
      </c>
      <c r="H6250" t="str">
        <f>MID(Table132[[#This Row],[ÉTAT]],VALUE(RIGHT(Table132[[#This Row],[next move]],1))+1+VALUE(LEFT(Table132[[#This Row],[next move]],1))*3,1)</f>
        <v>V</v>
      </c>
      <c r="I6250" t="str">
        <f>Table132[[#This Row],[ÉTAT]]&amp;Table132[[#This Row],[next move]]</f>
        <v>EMEEVMVME11</v>
      </c>
    </row>
    <row r="6251" spans="2:9" x14ac:dyDescent="0.25">
      <c r="B6251" t="s">
        <v>3296</v>
      </c>
      <c r="C6251" s="22" t="s">
        <v>29</v>
      </c>
      <c r="D6251">
        <v>1</v>
      </c>
      <c r="G6251" s="30">
        <f>Table132[[#This Row],[nb win]]/Table132[[#This Row],[nb play]]</f>
        <v>0</v>
      </c>
      <c r="H6251" t="str">
        <f>MID(Table132[[#This Row],[ÉTAT]],VALUE(RIGHT(Table132[[#This Row],[next move]],1))+1+VALUE(LEFT(Table132[[#This Row],[next move]],1))*3,1)</f>
        <v>V</v>
      </c>
      <c r="I6251" t="str">
        <f>Table132[[#This Row],[ÉTAT]]&amp;Table132[[#This Row],[next move]]</f>
        <v>EMEEVMVEM11</v>
      </c>
    </row>
    <row r="6252" spans="2:9" x14ac:dyDescent="0.25">
      <c r="B6252" t="s">
        <v>2511</v>
      </c>
      <c r="C6252" s="22" t="s">
        <v>31</v>
      </c>
      <c r="D6252">
        <v>1</v>
      </c>
      <c r="E6252">
        <v>1</v>
      </c>
      <c r="G6252" s="25">
        <f>Table132[[#This Row],[nb win]]/Table132[[#This Row],[nb play]]</f>
        <v>1</v>
      </c>
      <c r="H6252" t="str">
        <f>MID(Table132[[#This Row],[ÉTAT]],VALUE(RIGHT(Table132[[#This Row],[next move]],1))+1+VALUE(LEFT(Table132[[#This Row],[next move]],1))*3,1)</f>
        <v>V</v>
      </c>
      <c r="I6252" t="str">
        <f>Table132[[#This Row],[ÉTAT]]&amp;Table132[[#This Row],[next move]]</f>
        <v>EMEEVMMVV22</v>
      </c>
    </row>
    <row r="6253" spans="2:9" x14ac:dyDescent="0.25">
      <c r="B6253" t="s">
        <v>2050</v>
      </c>
      <c r="C6253" s="22" t="s">
        <v>29</v>
      </c>
      <c r="D6253">
        <v>2</v>
      </c>
      <c r="E6253">
        <v>2</v>
      </c>
      <c r="G6253" s="31">
        <f>Table132[[#This Row],[nb win]]/Table132[[#This Row],[nb play]]</f>
        <v>1</v>
      </c>
      <c r="H6253" t="str">
        <f>MID(Table132[[#This Row],[ÉTAT]],VALUE(RIGHT(Table132[[#This Row],[next move]],1))+1+VALUE(LEFT(Table132[[#This Row],[next move]],1))*3,1)</f>
        <v>V</v>
      </c>
      <c r="I6253" t="str">
        <f>Table132[[#This Row],[ÉTAT]]&amp;Table132[[#This Row],[next move]]</f>
        <v>EMEEVMMME11</v>
      </c>
    </row>
    <row r="6254" spans="2:9" x14ac:dyDescent="0.25">
      <c r="B6254" t="s">
        <v>278</v>
      </c>
      <c r="C6254" s="22" t="s">
        <v>35</v>
      </c>
      <c r="D6254">
        <v>3</v>
      </c>
      <c r="E6254">
        <v>3</v>
      </c>
      <c r="G6254" s="31">
        <f>Table132[[#This Row],[nb win]]/Table132[[#This Row],[nb play]]</f>
        <v>1</v>
      </c>
      <c r="H6254" t="str">
        <f>MID(Table132[[#This Row],[ÉTAT]],VALUE(RIGHT(Table132[[#This Row],[next move]],1))+1+VALUE(LEFT(Table132[[#This Row],[next move]],1))*3,1)</f>
        <v>V</v>
      </c>
      <c r="I6254" t="str">
        <f>Table132[[#This Row],[ÉTAT]]&amp;Table132[[#This Row],[next move]]</f>
        <v>EMEEVEVMM20</v>
      </c>
    </row>
    <row r="6255" spans="2:9" x14ac:dyDescent="0.25">
      <c r="B6255" t="s">
        <v>1135</v>
      </c>
      <c r="C6255" s="22" t="s">
        <v>29</v>
      </c>
      <c r="D6255">
        <v>3</v>
      </c>
      <c r="E6255">
        <v>3</v>
      </c>
      <c r="G6255" s="31">
        <f>Table132[[#This Row],[nb win]]/Table132[[#This Row],[nb play]]</f>
        <v>1</v>
      </c>
      <c r="H6255" t="str">
        <f>MID(Table132[[#This Row],[ÉTAT]],VALUE(RIGHT(Table132[[#This Row],[next move]],1))+1+VALUE(LEFT(Table132[[#This Row],[next move]],1))*3,1)</f>
        <v>V</v>
      </c>
      <c r="I6255" t="str">
        <f>Table132[[#This Row],[ÉTAT]]&amp;Table132[[#This Row],[next move]]</f>
        <v>EMEEVEMMV11</v>
      </c>
    </row>
    <row r="6256" spans="2:9" x14ac:dyDescent="0.25">
      <c r="B6256" t="s">
        <v>1004</v>
      </c>
      <c r="C6256" s="22" t="s">
        <v>28</v>
      </c>
      <c r="D6256">
        <v>2</v>
      </c>
      <c r="G6256" s="30">
        <f>Table132[[#This Row],[nb win]]/Table132[[#This Row],[nb play]]</f>
        <v>0</v>
      </c>
      <c r="H6256" t="str">
        <f>MID(Table132[[#This Row],[ÉTAT]],VALUE(RIGHT(Table132[[#This Row],[next move]],1))+1+VALUE(LEFT(Table132[[#This Row],[next move]],1))*3,1)</f>
        <v>V</v>
      </c>
      <c r="I6256" t="str">
        <f>Table132[[#This Row],[ÉTAT]]&amp;Table132[[#This Row],[next move]]</f>
        <v>EMEEMVVVV12</v>
      </c>
    </row>
    <row r="6257" spans="2:9" x14ac:dyDescent="0.25">
      <c r="B6257" t="s">
        <v>1004</v>
      </c>
      <c r="C6257" s="22" t="s">
        <v>22</v>
      </c>
      <c r="D6257">
        <v>4</v>
      </c>
      <c r="E6257">
        <v>4</v>
      </c>
      <c r="G6257" s="31">
        <f>Table132[[#This Row],[nb win]]/Table132[[#This Row],[nb play]]</f>
        <v>1</v>
      </c>
      <c r="H6257" t="str">
        <f>MID(Table132[[#This Row],[ÉTAT]],VALUE(RIGHT(Table132[[#This Row],[next move]],1))+1+VALUE(LEFT(Table132[[#This Row],[next move]],1))*3,1)</f>
        <v>V</v>
      </c>
      <c r="I6257" t="str">
        <f>Table132[[#This Row],[ÉTAT]]&amp;Table132[[#This Row],[next move]]</f>
        <v>EMEEMVVVV21</v>
      </c>
    </row>
    <row r="6258" spans="2:9" x14ac:dyDescent="0.25">
      <c r="B6258" t="s">
        <v>1004</v>
      </c>
      <c r="C6258" s="22" t="s">
        <v>31</v>
      </c>
      <c r="D6258">
        <v>3</v>
      </c>
      <c r="E6258">
        <v>1</v>
      </c>
      <c r="G6258" s="30">
        <f>Table132[[#This Row],[nb win]]/Table132[[#This Row],[nb play]]</f>
        <v>0.33333333333333331</v>
      </c>
      <c r="H6258" t="str">
        <f>MID(Table132[[#This Row],[ÉTAT]],VALUE(RIGHT(Table132[[#This Row],[next move]],1))+1+VALUE(LEFT(Table132[[#This Row],[next move]],1))*3,1)</f>
        <v>V</v>
      </c>
      <c r="I6258" t="str">
        <f>Table132[[#This Row],[ÉTAT]]&amp;Table132[[#This Row],[next move]]</f>
        <v>EMEEMVVVV22</v>
      </c>
    </row>
    <row r="6259" spans="2:9" x14ac:dyDescent="0.25">
      <c r="B6259" t="s">
        <v>2188</v>
      </c>
      <c r="C6259" s="22" t="s">
        <v>22</v>
      </c>
      <c r="D6259">
        <v>1</v>
      </c>
      <c r="E6259">
        <v>1</v>
      </c>
      <c r="G6259" s="25">
        <f>Table132[[#This Row],[nb win]]/Table132[[#This Row],[nb play]]</f>
        <v>1</v>
      </c>
      <c r="H6259" t="str">
        <f>MID(Table132[[#This Row],[ÉTAT]],VALUE(RIGHT(Table132[[#This Row],[next move]],1))+1+VALUE(LEFT(Table132[[#This Row],[next move]],1))*3,1)</f>
        <v>V</v>
      </c>
      <c r="I6259" t="str">
        <f>Table132[[#This Row],[ÉTAT]]&amp;Table132[[#This Row],[next move]]</f>
        <v>EMEEMVVVM21</v>
      </c>
    </row>
    <row r="6260" spans="2:9" x14ac:dyDescent="0.25">
      <c r="B6260" t="s">
        <v>1489</v>
      </c>
      <c r="C6260" s="22" t="s">
        <v>28</v>
      </c>
      <c r="D6260">
        <v>1</v>
      </c>
      <c r="G6260" s="25">
        <f>Table132[[#This Row],[nb win]]/Table132[[#This Row],[nb play]]</f>
        <v>0</v>
      </c>
      <c r="H6260" t="str">
        <f>MID(Table132[[#This Row],[ÉTAT]],VALUE(RIGHT(Table132[[#This Row],[next move]],1))+1+VALUE(LEFT(Table132[[#This Row],[next move]],1))*3,1)</f>
        <v>V</v>
      </c>
      <c r="I6260" t="str">
        <f>Table132[[#This Row],[ÉTAT]]&amp;Table132[[#This Row],[next move]]</f>
        <v>EMEEMVVEM12</v>
      </c>
    </row>
    <row r="6261" spans="2:9" x14ac:dyDescent="0.25">
      <c r="B6261" t="s">
        <v>2378</v>
      </c>
      <c r="C6261" s="22" t="s">
        <v>22</v>
      </c>
      <c r="D6261">
        <v>2</v>
      </c>
      <c r="E6261">
        <v>2</v>
      </c>
      <c r="G6261" s="25">
        <f>Table132[[#This Row],[nb win]]/Table132[[#This Row],[nb play]]</f>
        <v>1</v>
      </c>
      <c r="H6261" t="str">
        <f>MID(Table132[[#This Row],[ÉTAT]],VALUE(RIGHT(Table132[[#This Row],[next move]],1))+1+VALUE(LEFT(Table132[[#This Row],[next move]],1))*3,1)</f>
        <v>V</v>
      </c>
      <c r="I6261" t="str">
        <f>Table132[[#This Row],[ÉTAT]]&amp;Table132[[#This Row],[next move]]</f>
        <v>EMEEMVMVV21</v>
      </c>
    </row>
    <row r="6262" spans="2:9" x14ac:dyDescent="0.25">
      <c r="B6262" t="s">
        <v>1491</v>
      </c>
      <c r="C6262" s="22" t="s">
        <v>22</v>
      </c>
      <c r="D6262">
        <v>4</v>
      </c>
      <c r="E6262">
        <v>4</v>
      </c>
      <c r="G6262" s="31">
        <f>Table132[[#This Row],[nb win]]/Table132[[#This Row],[nb play]]</f>
        <v>1</v>
      </c>
      <c r="H6262" t="str">
        <f>MID(Table132[[#This Row],[ÉTAT]],VALUE(RIGHT(Table132[[#This Row],[next move]],1))+1+VALUE(LEFT(Table132[[#This Row],[next move]],1))*3,1)</f>
        <v>V</v>
      </c>
      <c r="I6262" t="str">
        <f>Table132[[#This Row],[ÉTAT]]&amp;Table132[[#This Row],[next move]]</f>
        <v>EMEEMVMVE21</v>
      </c>
    </row>
    <row r="6263" spans="2:9" x14ac:dyDescent="0.25">
      <c r="B6263" t="s">
        <v>2020</v>
      </c>
      <c r="C6263" s="22" t="s">
        <v>22</v>
      </c>
      <c r="D6263">
        <v>2</v>
      </c>
      <c r="E6263">
        <v>2</v>
      </c>
      <c r="G6263" s="25">
        <f>Table132[[#This Row],[nb win]]/Table132[[#This Row],[nb play]]</f>
        <v>1</v>
      </c>
      <c r="H6263" t="str">
        <f>MID(Table132[[#This Row],[ÉTAT]],VALUE(RIGHT(Table132[[#This Row],[next move]],1))+1+VALUE(LEFT(Table132[[#This Row],[next move]],1))*3,1)</f>
        <v>V</v>
      </c>
      <c r="I6263" t="str">
        <f>Table132[[#This Row],[ÉTAT]]&amp;Table132[[#This Row],[next move]]</f>
        <v>EMEEMMVVE21</v>
      </c>
    </row>
    <row r="6264" spans="2:9" x14ac:dyDescent="0.25">
      <c r="B6264" t="s">
        <v>1724</v>
      </c>
      <c r="C6264" s="22" t="s">
        <v>22</v>
      </c>
      <c r="D6264">
        <v>4</v>
      </c>
      <c r="E6264">
        <v>4</v>
      </c>
      <c r="G6264" s="31">
        <f>Table132[[#This Row],[nb win]]/Table132[[#This Row],[nb play]]</f>
        <v>1</v>
      </c>
      <c r="H6264" t="str">
        <f>MID(Table132[[#This Row],[ÉTAT]],VALUE(RIGHT(Table132[[#This Row],[next move]],1))+1+VALUE(LEFT(Table132[[#This Row],[next move]],1))*3,1)</f>
        <v>V</v>
      </c>
      <c r="I6264" t="str">
        <f>Table132[[#This Row],[ÉTAT]]&amp;Table132[[#This Row],[next move]]</f>
        <v>EMEEMMMVE21</v>
      </c>
    </row>
    <row r="6265" spans="2:9" x14ac:dyDescent="0.25">
      <c r="B6265" t="s">
        <v>213</v>
      </c>
      <c r="C6265" s="22" t="s">
        <v>22</v>
      </c>
      <c r="D6265">
        <v>2</v>
      </c>
      <c r="E6265">
        <v>2</v>
      </c>
      <c r="G6265" s="25">
        <f>Table132[[#This Row],[nb win]]/Table132[[#This Row],[nb play]]</f>
        <v>1</v>
      </c>
      <c r="H6265" t="str">
        <f>MID(Table132[[#This Row],[ÉTAT]],VALUE(RIGHT(Table132[[#This Row],[next move]],1))+1+VALUE(LEFT(Table132[[#This Row],[next move]],1))*3,1)</f>
        <v>V</v>
      </c>
      <c r="I6265" t="str">
        <f>Table132[[#This Row],[ÉTAT]]&amp;Table132[[#This Row],[next move]]</f>
        <v>EMEEMEVVM21</v>
      </c>
    </row>
    <row r="6266" spans="2:9" x14ac:dyDescent="0.25">
      <c r="B6266" t="s">
        <v>1552</v>
      </c>
      <c r="C6266" s="22" t="s">
        <v>22</v>
      </c>
      <c r="D6266">
        <v>3</v>
      </c>
      <c r="E6266">
        <v>3</v>
      </c>
      <c r="G6266" s="31">
        <f>Table132[[#This Row],[nb win]]/Table132[[#This Row],[nb play]]</f>
        <v>1</v>
      </c>
      <c r="H6266" t="str">
        <f>MID(Table132[[#This Row],[ÉTAT]],VALUE(RIGHT(Table132[[#This Row],[next move]],1))+1+VALUE(LEFT(Table132[[#This Row],[next move]],1))*3,1)</f>
        <v>V</v>
      </c>
      <c r="I6266" t="str">
        <f>Table132[[#This Row],[ÉTAT]]&amp;Table132[[#This Row],[next move]]</f>
        <v>EMEEMEMVV21</v>
      </c>
    </row>
    <row r="6267" spans="2:9" x14ac:dyDescent="0.25">
      <c r="B6267" t="s">
        <v>3007</v>
      </c>
      <c r="C6267" s="22" t="s">
        <v>22</v>
      </c>
      <c r="D6267">
        <v>3</v>
      </c>
      <c r="E6267">
        <v>3</v>
      </c>
      <c r="G6267" s="31">
        <f>Table132[[#This Row],[nb win]]/Table132[[#This Row],[nb play]]</f>
        <v>1</v>
      </c>
      <c r="H6267" t="str">
        <f>MID(Table132[[#This Row],[ÉTAT]],VALUE(RIGHT(Table132[[#This Row],[next move]],1))+1+VALUE(LEFT(Table132[[#This Row],[next move]],1))*3,1)</f>
        <v>V</v>
      </c>
      <c r="I6267" t="str">
        <f>Table132[[#This Row],[ÉTAT]]&amp;Table132[[#This Row],[next move]]</f>
        <v>EMEEMEMVM21</v>
      </c>
    </row>
    <row r="6268" spans="2:9" x14ac:dyDescent="0.25">
      <c r="B6268" t="s">
        <v>1691</v>
      </c>
      <c r="C6268" s="22" t="s">
        <v>35</v>
      </c>
      <c r="D6268">
        <v>4</v>
      </c>
      <c r="E6268">
        <v>4</v>
      </c>
      <c r="G6268" s="31">
        <f>Table132[[#This Row],[nb win]]/Table132[[#This Row],[nb play]]</f>
        <v>1</v>
      </c>
      <c r="H6268" t="str">
        <f>MID(Table132[[#This Row],[ÉTAT]],VALUE(RIGHT(Table132[[#This Row],[next move]],1))+1+VALUE(LEFT(Table132[[#This Row],[next move]],1))*3,1)</f>
        <v>V</v>
      </c>
      <c r="I6268" t="str">
        <f>Table132[[#This Row],[ÉTAT]]&amp;Table132[[#This Row],[next move]]</f>
        <v>EMEEEVVMM20</v>
      </c>
    </row>
    <row r="6269" spans="2:9" x14ac:dyDescent="0.25">
      <c r="B6269" t="s">
        <v>1191</v>
      </c>
      <c r="C6269" s="22" t="s">
        <v>22</v>
      </c>
      <c r="D6269">
        <v>1</v>
      </c>
      <c r="E6269">
        <v>1</v>
      </c>
      <c r="G6269" s="25">
        <f>Table132[[#This Row],[nb win]]/Table132[[#This Row],[nb play]]</f>
        <v>1</v>
      </c>
      <c r="H6269" t="str">
        <f>MID(Table132[[#This Row],[ÉTAT]],VALUE(RIGHT(Table132[[#This Row],[next move]],1))+1+VALUE(LEFT(Table132[[#This Row],[next move]],1))*3,1)</f>
        <v>V</v>
      </c>
      <c r="I6269" t="str">
        <f>Table132[[#This Row],[ÉTAT]]&amp;Table132[[#This Row],[next move]]</f>
        <v>EMEEEVMVM21</v>
      </c>
    </row>
    <row r="6270" spans="2:9" x14ac:dyDescent="0.25">
      <c r="B6270" t="s">
        <v>1689</v>
      </c>
      <c r="C6270" s="22" t="s">
        <v>31</v>
      </c>
      <c r="D6270">
        <v>4</v>
      </c>
      <c r="E6270">
        <v>4</v>
      </c>
      <c r="G6270" s="31">
        <f>Table132[[#This Row],[nb win]]/Table132[[#This Row],[nb play]]</f>
        <v>1</v>
      </c>
      <c r="H6270" t="str">
        <f>MID(Table132[[#This Row],[ÉTAT]],VALUE(RIGHT(Table132[[#This Row],[next move]],1))+1+VALUE(LEFT(Table132[[#This Row],[next move]],1))*3,1)</f>
        <v>V</v>
      </c>
      <c r="I6270" t="str">
        <f>Table132[[#This Row],[ÉTAT]]&amp;Table132[[#This Row],[next move]]</f>
        <v>EMEEEVMMV22</v>
      </c>
    </row>
    <row r="6271" spans="2:9" x14ac:dyDescent="0.25">
      <c r="B6271" t="s">
        <v>506</v>
      </c>
      <c r="C6271" s="22" t="s">
        <v>22</v>
      </c>
      <c r="D6271">
        <v>1</v>
      </c>
      <c r="G6271" s="25">
        <f>Table132[[#This Row],[nb win]]/Table132[[#This Row],[nb play]]</f>
        <v>0</v>
      </c>
      <c r="H6271" t="str">
        <f>MID(Table132[[#This Row],[ÉTAT]],VALUE(RIGHT(Table132[[#This Row],[next move]],1))+1+VALUE(LEFT(Table132[[#This Row],[next move]],1))*3,1)</f>
        <v>V</v>
      </c>
      <c r="I6271" t="str">
        <f>Table132[[#This Row],[ÉTAT]]&amp;Table132[[#This Row],[next move]]</f>
        <v>EMEEEMVVM21</v>
      </c>
    </row>
    <row r="6272" spans="2:9" x14ac:dyDescent="0.25">
      <c r="B6272" t="s">
        <v>1824</v>
      </c>
      <c r="C6272" s="22" t="s">
        <v>22</v>
      </c>
      <c r="D6272">
        <v>1</v>
      </c>
      <c r="G6272" s="25">
        <f>Table132[[#This Row],[nb win]]/Table132[[#This Row],[nb play]]</f>
        <v>0</v>
      </c>
      <c r="H6272" t="str">
        <f>MID(Table132[[#This Row],[ÉTAT]],VALUE(RIGHT(Table132[[#This Row],[next move]],1))+1+VALUE(LEFT(Table132[[#This Row],[next move]],1))*3,1)</f>
        <v>V</v>
      </c>
      <c r="I6272" t="str">
        <f>Table132[[#This Row],[ÉTAT]]&amp;Table132[[#This Row],[next move]]</f>
        <v>EMEEEMMVV21</v>
      </c>
    </row>
    <row r="6273" spans="2:9" x14ac:dyDescent="0.25">
      <c r="B6273" t="s">
        <v>1943</v>
      </c>
      <c r="C6273" s="22" t="s">
        <v>22</v>
      </c>
      <c r="D6273">
        <v>3</v>
      </c>
      <c r="E6273">
        <v>3</v>
      </c>
      <c r="G6273" s="31">
        <f>Table132[[#This Row],[nb win]]/Table132[[#This Row],[nb play]]</f>
        <v>1</v>
      </c>
      <c r="H6273" t="str">
        <f>MID(Table132[[#This Row],[ÉTAT]],VALUE(RIGHT(Table132[[#This Row],[next move]],1))+1+VALUE(LEFT(Table132[[#This Row],[next move]],1))*3,1)</f>
        <v>V</v>
      </c>
      <c r="I6273" t="str">
        <f>Table132[[#This Row],[ÉTAT]]&amp;Table132[[#This Row],[next move]]</f>
        <v>EMEEEMMVM21</v>
      </c>
    </row>
    <row r="6274" spans="2:9" x14ac:dyDescent="0.25">
      <c r="B6274" t="s">
        <v>2895</v>
      </c>
      <c r="C6274" s="22" t="s">
        <v>31</v>
      </c>
      <c r="D6274">
        <v>2</v>
      </c>
      <c r="E6274">
        <v>2</v>
      </c>
      <c r="G6274" s="31">
        <f>Table132[[#This Row],[nb win]]/Table132[[#This Row],[nb play]]</f>
        <v>1</v>
      </c>
      <c r="H6274" t="str">
        <f>MID(Table132[[#This Row],[ÉTAT]],VALUE(RIGHT(Table132[[#This Row],[next move]],1))+1+VALUE(LEFT(Table132[[#This Row],[next move]],1))*3,1)</f>
        <v>V</v>
      </c>
      <c r="I6274" t="str">
        <f>Table132[[#This Row],[ÉTAT]]&amp;Table132[[#This Row],[next move]]</f>
        <v>EMEEEMMMV22</v>
      </c>
    </row>
    <row r="6275" spans="2:9" x14ac:dyDescent="0.25">
      <c r="B6275" t="s">
        <v>34</v>
      </c>
      <c r="C6275" s="22" t="s">
        <v>20</v>
      </c>
      <c r="D6275">
        <v>3</v>
      </c>
      <c r="E6275">
        <v>2</v>
      </c>
      <c r="G6275" s="25">
        <f>Table132[[#This Row],[nb win]]/Table132[[#This Row],[nb play]]</f>
        <v>0.66666666666666663</v>
      </c>
      <c r="H6275" t="str">
        <f>MID(Table132[[#This Row],[ÉTAT]],VALUE(RIGHT(Table132[[#This Row],[next move]],1))+1+VALUE(LEFT(Table132[[#This Row],[next move]],1))*3,1)</f>
        <v>V</v>
      </c>
      <c r="I6275" t="str">
        <f>Table132[[#This Row],[ÉTAT]]&amp;Table132[[#This Row],[next move]]</f>
        <v>EEVVVVVVM02</v>
      </c>
    </row>
    <row r="6276" spans="2:9" x14ac:dyDescent="0.25">
      <c r="B6276" t="s">
        <v>34</v>
      </c>
      <c r="C6276" s="22" t="s">
        <v>29</v>
      </c>
      <c r="D6276">
        <v>2</v>
      </c>
      <c r="G6276" s="30">
        <f>Table132[[#This Row],[nb win]]/Table132[[#This Row],[nb play]]</f>
        <v>0</v>
      </c>
      <c r="H6276" t="str">
        <f>MID(Table132[[#This Row],[ÉTAT]],VALUE(RIGHT(Table132[[#This Row],[next move]],1))+1+VALUE(LEFT(Table132[[#This Row],[next move]],1))*3,1)</f>
        <v>V</v>
      </c>
      <c r="I6276" t="str">
        <f>Table132[[#This Row],[ÉTAT]]&amp;Table132[[#This Row],[next move]]</f>
        <v>EEVVVVVVM11</v>
      </c>
    </row>
    <row r="6277" spans="2:9" x14ac:dyDescent="0.25">
      <c r="B6277" t="s">
        <v>34</v>
      </c>
      <c r="C6277" s="22" t="s">
        <v>28</v>
      </c>
      <c r="D6277">
        <v>1</v>
      </c>
      <c r="E6277">
        <v>1</v>
      </c>
      <c r="G6277" s="31">
        <f>Table132[[#This Row],[nb win]]/Table132[[#This Row],[nb play]]</f>
        <v>1</v>
      </c>
      <c r="H6277" t="str">
        <f>MID(Table132[[#This Row],[ÉTAT]],VALUE(RIGHT(Table132[[#This Row],[next move]],1))+1+VALUE(LEFT(Table132[[#This Row],[next move]],1))*3,1)</f>
        <v>V</v>
      </c>
      <c r="I6277" t="str">
        <f>Table132[[#This Row],[ÉTAT]]&amp;Table132[[#This Row],[next move]]</f>
        <v>EEVVVVVVM12</v>
      </c>
    </row>
    <row r="6278" spans="2:9" x14ac:dyDescent="0.25">
      <c r="B6278" t="s">
        <v>34</v>
      </c>
      <c r="C6278" s="22" t="s">
        <v>35</v>
      </c>
      <c r="D6278">
        <v>3</v>
      </c>
      <c r="E6278">
        <v>2</v>
      </c>
      <c r="G6278" s="30">
        <f>Table132[[#This Row],[nb win]]/Table132[[#This Row],[nb play]]</f>
        <v>0.66666666666666663</v>
      </c>
      <c r="H6278" t="str">
        <f>MID(Table132[[#This Row],[ÉTAT]],VALUE(RIGHT(Table132[[#This Row],[next move]],1))+1+VALUE(LEFT(Table132[[#This Row],[next move]],1))*3,1)</f>
        <v>V</v>
      </c>
      <c r="I6278" t="str">
        <f>Table132[[#This Row],[ÉTAT]]&amp;Table132[[#This Row],[next move]]</f>
        <v>EEVVVVVVM20</v>
      </c>
    </row>
    <row r="6279" spans="2:9" x14ac:dyDescent="0.25">
      <c r="B6279" t="s">
        <v>34</v>
      </c>
      <c r="C6279" s="22" t="s">
        <v>22</v>
      </c>
      <c r="D6279">
        <v>3</v>
      </c>
      <c r="E6279">
        <v>2</v>
      </c>
      <c r="G6279" s="31">
        <f>Table132[[#This Row],[nb win]]/Table132[[#This Row],[nb play]]</f>
        <v>0.66666666666666663</v>
      </c>
      <c r="H6279" t="str">
        <f>MID(Table132[[#This Row],[ÉTAT]],VALUE(RIGHT(Table132[[#This Row],[next move]],1))+1+VALUE(LEFT(Table132[[#This Row],[next move]],1))*3,1)</f>
        <v>V</v>
      </c>
      <c r="I6279" t="str">
        <f>Table132[[#This Row],[ÉTAT]]&amp;Table132[[#This Row],[next move]]</f>
        <v>EEVVVVVVM21</v>
      </c>
    </row>
    <row r="6280" spans="2:9" x14ac:dyDescent="0.25">
      <c r="B6280" t="s">
        <v>37</v>
      </c>
      <c r="C6280" s="22" t="s">
        <v>20</v>
      </c>
      <c r="D6280">
        <v>6</v>
      </c>
      <c r="E6280">
        <v>2</v>
      </c>
      <c r="G6280" s="30">
        <f>Table132[[#This Row],[nb win]]/Table132[[#This Row],[nb play]]</f>
        <v>0.33333333333333331</v>
      </c>
      <c r="H6280" t="str">
        <f>MID(Table132[[#This Row],[ÉTAT]],VALUE(RIGHT(Table132[[#This Row],[next move]],1))+1+VALUE(LEFT(Table132[[#This Row],[next move]],1))*3,1)</f>
        <v>V</v>
      </c>
      <c r="I6280" t="str">
        <f>Table132[[#This Row],[ÉTAT]]&amp;Table132[[#This Row],[next move]]</f>
        <v>EEVVVVVMV02</v>
      </c>
    </row>
    <row r="6281" spans="2:9" x14ac:dyDescent="0.25">
      <c r="B6281" t="s">
        <v>37</v>
      </c>
      <c r="C6281" s="22" t="s">
        <v>30</v>
      </c>
      <c r="D6281">
        <v>1</v>
      </c>
      <c r="G6281" s="25">
        <f>Table132[[#This Row],[nb win]]/Table132[[#This Row],[nb play]]</f>
        <v>0</v>
      </c>
      <c r="H6281" t="str">
        <f>MID(Table132[[#This Row],[ÉTAT]],VALUE(RIGHT(Table132[[#This Row],[next move]],1))+1+VALUE(LEFT(Table132[[#This Row],[next move]],1))*3,1)</f>
        <v>V</v>
      </c>
      <c r="I6281" t="str">
        <f>Table132[[#This Row],[ÉTAT]]&amp;Table132[[#This Row],[next move]]</f>
        <v>EEVVVVVMV10</v>
      </c>
    </row>
    <row r="6282" spans="2:9" x14ac:dyDescent="0.25">
      <c r="B6282" t="s">
        <v>37</v>
      </c>
      <c r="C6282" s="22" t="s">
        <v>29</v>
      </c>
      <c r="D6282">
        <v>4</v>
      </c>
      <c r="E6282">
        <v>1</v>
      </c>
      <c r="G6282" s="30">
        <f>Table132[[#This Row],[nb win]]/Table132[[#This Row],[nb play]]</f>
        <v>0.25</v>
      </c>
      <c r="H6282" t="str">
        <f>MID(Table132[[#This Row],[ÉTAT]],VALUE(RIGHT(Table132[[#This Row],[next move]],1))+1+VALUE(LEFT(Table132[[#This Row],[next move]],1))*3,1)</f>
        <v>V</v>
      </c>
      <c r="I6282" t="str">
        <f>Table132[[#This Row],[ÉTAT]]&amp;Table132[[#This Row],[next move]]</f>
        <v>EEVVVVVMV11</v>
      </c>
    </row>
    <row r="6283" spans="2:9" x14ac:dyDescent="0.25">
      <c r="B6283" t="s">
        <v>37</v>
      </c>
      <c r="C6283" s="22" t="s">
        <v>28</v>
      </c>
      <c r="D6283">
        <v>2</v>
      </c>
      <c r="G6283" s="30">
        <f>Table132[[#This Row],[nb win]]/Table132[[#This Row],[nb play]]</f>
        <v>0</v>
      </c>
      <c r="H6283" t="str">
        <f>MID(Table132[[#This Row],[ÉTAT]],VALUE(RIGHT(Table132[[#This Row],[next move]],1))+1+VALUE(LEFT(Table132[[#This Row],[next move]],1))*3,1)</f>
        <v>V</v>
      </c>
      <c r="I6283" t="str">
        <f>Table132[[#This Row],[ÉTAT]]&amp;Table132[[#This Row],[next move]]</f>
        <v>EEVVVVVMV12</v>
      </c>
    </row>
    <row r="6284" spans="2:9" x14ac:dyDescent="0.25">
      <c r="B6284" t="s">
        <v>37</v>
      </c>
      <c r="C6284" s="22" t="s">
        <v>35</v>
      </c>
      <c r="D6284">
        <v>6</v>
      </c>
      <c r="E6284">
        <v>3</v>
      </c>
      <c r="G6284" s="31">
        <f>Table132[[#This Row],[nb win]]/Table132[[#This Row],[nb play]]</f>
        <v>0.5</v>
      </c>
      <c r="H6284" t="str">
        <f>MID(Table132[[#This Row],[ÉTAT]],VALUE(RIGHT(Table132[[#This Row],[next move]],1))+1+VALUE(LEFT(Table132[[#This Row],[next move]],1))*3,1)</f>
        <v>V</v>
      </c>
      <c r="I6284" t="str">
        <f>Table132[[#This Row],[ÉTAT]]&amp;Table132[[#This Row],[next move]]</f>
        <v>EEVVVVVMV20</v>
      </c>
    </row>
    <row r="6285" spans="2:9" x14ac:dyDescent="0.25">
      <c r="B6285" t="s">
        <v>37</v>
      </c>
      <c r="C6285" s="22" t="s">
        <v>31</v>
      </c>
      <c r="D6285">
        <v>3</v>
      </c>
      <c r="E6285">
        <v>1</v>
      </c>
      <c r="G6285" s="25">
        <f>Table132[[#This Row],[nb win]]/Table132[[#This Row],[nb play]]</f>
        <v>0.33333333333333331</v>
      </c>
      <c r="H6285" t="str">
        <f>MID(Table132[[#This Row],[ÉTAT]],VALUE(RIGHT(Table132[[#This Row],[next move]],1))+1+VALUE(LEFT(Table132[[#This Row],[next move]],1))*3,1)</f>
        <v>V</v>
      </c>
      <c r="I6285" t="str">
        <f>Table132[[#This Row],[ÉTAT]]&amp;Table132[[#This Row],[next move]]</f>
        <v>EEVVVVVMV22</v>
      </c>
    </row>
    <row r="6286" spans="2:9" x14ac:dyDescent="0.25">
      <c r="B6286" t="s">
        <v>2113</v>
      </c>
      <c r="C6286" s="22" t="s">
        <v>28</v>
      </c>
      <c r="D6286">
        <v>3</v>
      </c>
      <c r="E6286">
        <v>2</v>
      </c>
      <c r="G6286" s="30">
        <f>Table132[[#This Row],[nb win]]/Table132[[#This Row],[nb play]]</f>
        <v>0.66666666666666663</v>
      </c>
      <c r="H6286" t="str">
        <f>MID(Table132[[#This Row],[ÉTAT]],VALUE(RIGHT(Table132[[#This Row],[next move]],1))+1+VALUE(LEFT(Table132[[#This Row],[next move]],1))*3,1)</f>
        <v>V</v>
      </c>
      <c r="I6286" t="str">
        <f>Table132[[#This Row],[ÉTAT]]&amp;Table132[[#This Row],[next move]]</f>
        <v>EEVVVVVMM12</v>
      </c>
    </row>
    <row r="6287" spans="2:9" x14ac:dyDescent="0.25">
      <c r="B6287" t="s">
        <v>2113</v>
      </c>
      <c r="C6287" s="22" t="s">
        <v>35</v>
      </c>
      <c r="D6287">
        <v>1</v>
      </c>
      <c r="E6287">
        <v>1</v>
      </c>
      <c r="G6287" s="31">
        <f>Table132[[#This Row],[nb win]]/Table132[[#This Row],[nb play]]</f>
        <v>1</v>
      </c>
      <c r="H6287" t="str">
        <f>MID(Table132[[#This Row],[ÉTAT]],VALUE(RIGHT(Table132[[#This Row],[next move]],1))+1+VALUE(LEFT(Table132[[#This Row],[next move]],1))*3,1)</f>
        <v>V</v>
      </c>
      <c r="I6287" t="str">
        <f>Table132[[#This Row],[ÉTAT]]&amp;Table132[[#This Row],[next move]]</f>
        <v>EEVVVVVMM20</v>
      </c>
    </row>
    <row r="6288" spans="2:9" x14ac:dyDescent="0.25">
      <c r="B6288" t="s">
        <v>589</v>
      </c>
      <c r="C6288" s="22" t="s">
        <v>20</v>
      </c>
      <c r="D6288">
        <v>7</v>
      </c>
      <c r="E6288">
        <v>4</v>
      </c>
      <c r="G6288" s="31">
        <f>Table132[[#This Row],[nb win]]/Table132[[#This Row],[nb play]]</f>
        <v>0.5714285714285714</v>
      </c>
      <c r="H6288" t="str">
        <f>MID(Table132[[#This Row],[ÉTAT]],VALUE(RIGHT(Table132[[#This Row],[next move]],1))+1+VALUE(LEFT(Table132[[#This Row],[next move]],1))*3,1)</f>
        <v>V</v>
      </c>
      <c r="I6288" t="str">
        <f>Table132[[#This Row],[ÉTAT]]&amp;Table132[[#This Row],[next move]]</f>
        <v>EEVVVVMVV02</v>
      </c>
    </row>
    <row r="6289" spans="2:9" x14ac:dyDescent="0.25">
      <c r="B6289" t="s">
        <v>589</v>
      </c>
      <c r="C6289" s="22" t="s">
        <v>30</v>
      </c>
      <c r="D6289">
        <v>7</v>
      </c>
      <c r="E6289">
        <v>2</v>
      </c>
      <c r="G6289" s="30">
        <f>Table132[[#This Row],[nb win]]/Table132[[#This Row],[nb play]]</f>
        <v>0.2857142857142857</v>
      </c>
      <c r="H6289" t="str">
        <f>MID(Table132[[#This Row],[ÉTAT]],VALUE(RIGHT(Table132[[#This Row],[next move]],1))+1+VALUE(LEFT(Table132[[#This Row],[next move]],1))*3,1)</f>
        <v>V</v>
      </c>
      <c r="I6289" t="str">
        <f>Table132[[#This Row],[ÉTAT]]&amp;Table132[[#This Row],[next move]]</f>
        <v>EEVVVVMVV10</v>
      </c>
    </row>
    <row r="6290" spans="2:9" x14ac:dyDescent="0.25">
      <c r="B6290" t="s">
        <v>589</v>
      </c>
      <c r="C6290" s="22" t="s">
        <v>29</v>
      </c>
      <c r="D6290">
        <v>3</v>
      </c>
      <c r="E6290">
        <v>2</v>
      </c>
      <c r="G6290" s="30">
        <f>Table132[[#This Row],[nb win]]/Table132[[#This Row],[nb play]]</f>
        <v>0.66666666666666663</v>
      </c>
      <c r="H6290" t="str">
        <f>MID(Table132[[#This Row],[ÉTAT]],VALUE(RIGHT(Table132[[#This Row],[next move]],1))+1+VALUE(LEFT(Table132[[#This Row],[next move]],1))*3,1)</f>
        <v>V</v>
      </c>
      <c r="I6290" t="str">
        <f>Table132[[#This Row],[ÉTAT]]&amp;Table132[[#This Row],[next move]]</f>
        <v>EEVVVVMVV11</v>
      </c>
    </row>
    <row r="6291" spans="2:9" x14ac:dyDescent="0.25">
      <c r="B6291" t="s">
        <v>589</v>
      </c>
      <c r="C6291" s="22" t="s">
        <v>28</v>
      </c>
      <c r="D6291">
        <v>5</v>
      </c>
      <c r="G6291" s="30">
        <f>Table132[[#This Row],[nb win]]/Table132[[#This Row],[nb play]]</f>
        <v>0</v>
      </c>
      <c r="H6291" t="str">
        <f>MID(Table132[[#This Row],[ÉTAT]],VALUE(RIGHT(Table132[[#This Row],[next move]],1))+1+VALUE(LEFT(Table132[[#This Row],[next move]],1))*3,1)</f>
        <v>V</v>
      </c>
      <c r="I6291" t="str">
        <f>Table132[[#This Row],[ÉTAT]]&amp;Table132[[#This Row],[next move]]</f>
        <v>EEVVVVMVV12</v>
      </c>
    </row>
    <row r="6292" spans="2:9" x14ac:dyDescent="0.25">
      <c r="B6292" t="s">
        <v>589</v>
      </c>
      <c r="C6292" s="22" t="s">
        <v>22</v>
      </c>
      <c r="D6292">
        <v>3</v>
      </c>
      <c r="E6292">
        <v>1</v>
      </c>
      <c r="G6292" s="30">
        <f>Table132[[#This Row],[nb win]]/Table132[[#This Row],[nb play]]</f>
        <v>0.33333333333333331</v>
      </c>
      <c r="H6292" t="str">
        <f>MID(Table132[[#This Row],[ÉTAT]],VALUE(RIGHT(Table132[[#This Row],[next move]],1))+1+VALUE(LEFT(Table132[[#This Row],[next move]],1))*3,1)</f>
        <v>V</v>
      </c>
      <c r="I6292" t="str">
        <f>Table132[[#This Row],[ÉTAT]]&amp;Table132[[#This Row],[next move]]</f>
        <v>EEVVVVMVV21</v>
      </c>
    </row>
    <row r="6293" spans="2:9" x14ac:dyDescent="0.25">
      <c r="B6293" t="s">
        <v>589</v>
      </c>
      <c r="C6293" s="22" t="s">
        <v>31</v>
      </c>
      <c r="D6293">
        <v>3</v>
      </c>
      <c r="E6293">
        <v>2</v>
      </c>
      <c r="G6293" s="25">
        <f>Table132[[#This Row],[nb win]]/Table132[[#This Row],[nb play]]</f>
        <v>0.66666666666666663</v>
      </c>
      <c r="H6293" t="str">
        <f>MID(Table132[[#This Row],[ÉTAT]],VALUE(RIGHT(Table132[[#This Row],[next move]],1))+1+VALUE(LEFT(Table132[[#This Row],[next move]],1))*3,1)</f>
        <v>V</v>
      </c>
      <c r="I6293" t="str">
        <f>Table132[[#This Row],[ÉTAT]]&amp;Table132[[#This Row],[next move]]</f>
        <v>EEVVVVMVV22</v>
      </c>
    </row>
    <row r="6294" spans="2:9" x14ac:dyDescent="0.25">
      <c r="B6294" t="s">
        <v>1978</v>
      </c>
      <c r="C6294" s="22" t="s">
        <v>20</v>
      </c>
      <c r="D6294">
        <v>3</v>
      </c>
      <c r="E6294">
        <v>2</v>
      </c>
      <c r="G6294" s="25">
        <f>Table132[[#This Row],[nb win]]/Table132[[#This Row],[nb play]]</f>
        <v>0.66666666666666663</v>
      </c>
      <c r="H6294" t="str">
        <f>MID(Table132[[#This Row],[ÉTAT]],VALUE(RIGHT(Table132[[#This Row],[next move]],1))+1+VALUE(LEFT(Table132[[#This Row],[next move]],1))*3,1)</f>
        <v>V</v>
      </c>
      <c r="I6294" t="str">
        <f>Table132[[#This Row],[ÉTAT]]&amp;Table132[[#This Row],[next move]]</f>
        <v>EEVVVVMVM02</v>
      </c>
    </row>
    <row r="6295" spans="2:9" x14ac:dyDescent="0.25">
      <c r="B6295" t="s">
        <v>1978</v>
      </c>
      <c r="C6295" s="22" t="s">
        <v>30</v>
      </c>
      <c r="D6295">
        <v>1</v>
      </c>
      <c r="G6295" s="25">
        <f>Table132[[#This Row],[nb win]]/Table132[[#This Row],[nb play]]</f>
        <v>0</v>
      </c>
      <c r="H6295" t="str">
        <f>MID(Table132[[#This Row],[ÉTAT]],VALUE(RIGHT(Table132[[#This Row],[next move]],1))+1+VALUE(LEFT(Table132[[#This Row],[next move]],1))*3,1)</f>
        <v>V</v>
      </c>
      <c r="I6295" t="str">
        <f>Table132[[#This Row],[ÉTAT]]&amp;Table132[[#This Row],[next move]]</f>
        <v>EEVVVVMVM10</v>
      </c>
    </row>
    <row r="6296" spans="2:9" x14ac:dyDescent="0.25">
      <c r="B6296" t="s">
        <v>1978</v>
      </c>
      <c r="C6296" s="22" t="s">
        <v>29</v>
      </c>
      <c r="D6296">
        <v>1</v>
      </c>
      <c r="G6296" s="30">
        <f>Table132[[#This Row],[nb win]]/Table132[[#This Row],[nb play]]</f>
        <v>0</v>
      </c>
      <c r="H6296" t="str">
        <f>MID(Table132[[#This Row],[ÉTAT]],VALUE(RIGHT(Table132[[#This Row],[next move]],1))+1+VALUE(LEFT(Table132[[#This Row],[next move]],1))*3,1)</f>
        <v>V</v>
      </c>
      <c r="I6296" t="str">
        <f>Table132[[#This Row],[ÉTAT]]&amp;Table132[[#This Row],[next move]]</f>
        <v>EEVVVVMVM11</v>
      </c>
    </row>
    <row r="6297" spans="2:9" x14ac:dyDescent="0.25">
      <c r="B6297" t="s">
        <v>1978</v>
      </c>
      <c r="C6297" s="22" t="s">
        <v>28</v>
      </c>
      <c r="D6297">
        <v>1</v>
      </c>
      <c r="G6297" s="25">
        <f>Table132[[#This Row],[nb win]]/Table132[[#This Row],[nb play]]</f>
        <v>0</v>
      </c>
      <c r="H6297" t="str">
        <f>MID(Table132[[#This Row],[ÉTAT]],VALUE(RIGHT(Table132[[#This Row],[next move]],1))+1+VALUE(LEFT(Table132[[#This Row],[next move]],1))*3,1)</f>
        <v>V</v>
      </c>
      <c r="I6297" t="str">
        <f>Table132[[#This Row],[ÉTAT]]&amp;Table132[[#This Row],[next move]]</f>
        <v>EEVVVVMVM12</v>
      </c>
    </row>
    <row r="6298" spans="2:9" x14ac:dyDescent="0.25">
      <c r="B6298" t="s">
        <v>1978</v>
      </c>
      <c r="C6298" s="22" t="s">
        <v>22</v>
      </c>
      <c r="D6298">
        <v>1</v>
      </c>
      <c r="E6298">
        <v>1</v>
      </c>
      <c r="G6298" s="31">
        <f>Table132[[#This Row],[nb win]]/Table132[[#This Row],[nb play]]</f>
        <v>1</v>
      </c>
      <c r="H6298" t="str">
        <f>MID(Table132[[#This Row],[ÉTAT]],VALUE(RIGHT(Table132[[#This Row],[next move]],1))+1+VALUE(LEFT(Table132[[#This Row],[next move]],1))*3,1)</f>
        <v>V</v>
      </c>
      <c r="I6298" t="str">
        <f>Table132[[#This Row],[ÉTAT]]&amp;Table132[[#This Row],[next move]]</f>
        <v>EEVVVVMVM21</v>
      </c>
    </row>
    <row r="6299" spans="2:9" x14ac:dyDescent="0.25">
      <c r="B6299" t="s">
        <v>1034</v>
      </c>
      <c r="C6299" s="22" t="s">
        <v>20</v>
      </c>
      <c r="D6299">
        <v>1</v>
      </c>
      <c r="E6299">
        <v>1</v>
      </c>
      <c r="G6299" s="31">
        <f>Table132[[#This Row],[nb win]]/Table132[[#This Row],[nb play]]</f>
        <v>1</v>
      </c>
      <c r="H6299" t="str">
        <f>MID(Table132[[#This Row],[ÉTAT]],VALUE(RIGHT(Table132[[#This Row],[next move]],1))+1+VALUE(LEFT(Table132[[#This Row],[next move]],1))*3,1)</f>
        <v>V</v>
      </c>
      <c r="I6299" t="str">
        <f>Table132[[#This Row],[ÉTAT]]&amp;Table132[[#This Row],[next move]]</f>
        <v>EEVVVVMMV02</v>
      </c>
    </row>
    <row r="6300" spans="2:9" x14ac:dyDescent="0.25">
      <c r="B6300" t="s">
        <v>1034</v>
      </c>
      <c r="C6300" s="22" t="s">
        <v>30</v>
      </c>
      <c r="D6300">
        <v>2</v>
      </c>
      <c r="E6300">
        <v>1</v>
      </c>
      <c r="G6300" s="25">
        <f>Table132[[#This Row],[nb win]]/Table132[[#This Row],[nb play]]</f>
        <v>0.5</v>
      </c>
      <c r="H6300" t="str">
        <f>MID(Table132[[#This Row],[ÉTAT]],VALUE(RIGHT(Table132[[#This Row],[next move]],1))+1+VALUE(LEFT(Table132[[#This Row],[next move]],1))*3,1)</f>
        <v>V</v>
      </c>
      <c r="I6300" t="str">
        <f>Table132[[#This Row],[ÉTAT]]&amp;Table132[[#This Row],[next move]]</f>
        <v>EEVVVVMMV10</v>
      </c>
    </row>
    <row r="6301" spans="2:9" x14ac:dyDescent="0.25">
      <c r="B6301" t="s">
        <v>1034</v>
      </c>
      <c r="C6301" s="22" t="s">
        <v>28</v>
      </c>
      <c r="D6301">
        <v>2</v>
      </c>
      <c r="E6301">
        <v>1</v>
      </c>
      <c r="G6301" s="30">
        <f>Table132[[#This Row],[nb win]]/Table132[[#This Row],[nb play]]</f>
        <v>0.5</v>
      </c>
      <c r="H6301" t="str">
        <f>MID(Table132[[#This Row],[ÉTAT]],VALUE(RIGHT(Table132[[#This Row],[next move]],1))+1+VALUE(LEFT(Table132[[#This Row],[next move]],1))*3,1)</f>
        <v>V</v>
      </c>
      <c r="I6301" t="str">
        <f>Table132[[#This Row],[ÉTAT]]&amp;Table132[[#This Row],[next move]]</f>
        <v>EEVVVVMMV12</v>
      </c>
    </row>
    <row r="6302" spans="2:9" x14ac:dyDescent="0.25">
      <c r="B6302" t="s">
        <v>2977</v>
      </c>
      <c r="C6302" s="22" t="s">
        <v>20</v>
      </c>
      <c r="D6302">
        <v>1</v>
      </c>
      <c r="G6302" s="30">
        <f>Table132[[#This Row],[nb win]]/Table132[[#This Row],[nb play]]</f>
        <v>0</v>
      </c>
      <c r="H6302" t="str">
        <f>MID(Table132[[#This Row],[ÉTAT]],VALUE(RIGHT(Table132[[#This Row],[next move]],1))+1+VALUE(LEFT(Table132[[#This Row],[next move]],1))*3,1)</f>
        <v>V</v>
      </c>
      <c r="I6302" t="str">
        <f>Table132[[#This Row],[ÉTAT]]&amp;Table132[[#This Row],[next move]]</f>
        <v>EEVVVVMME02</v>
      </c>
    </row>
    <row r="6303" spans="2:9" x14ac:dyDescent="0.25">
      <c r="B6303" t="s">
        <v>2977</v>
      </c>
      <c r="C6303" s="22" t="s">
        <v>28</v>
      </c>
      <c r="D6303">
        <v>1</v>
      </c>
      <c r="G6303" s="25">
        <f>Table132[[#This Row],[nb win]]/Table132[[#This Row],[nb play]]</f>
        <v>0</v>
      </c>
      <c r="H6303" t="str">
        <f>MID(Table132[[#This Row],[ÉTAT]],VALUE(RIGHT(Table132[[#This Row],[next move]],1))+1+VALUE(LEFT(Table132[[#This Row],[next move]],1))*3,1)</f>
        <v>V</v>
      </c>
      <c r="I6303" t="str">
        <f>Table132[[#This Row],[ÉTAT]]&amp;Table132[[#This Row],[next move]]</f>
        <v>EEVVVVMME12</v>
      </c>
    </row>
    <row r="6304" spans="2:9" x14ac:dyDescent="0.25">
      <c r="B6304" t="s">
        <v>354</v>
      </c>
      <c r="C6304" s="22" t="s">
        <v>20</v>
      </c>
      <c r="D6304">
        <v>2</v>
      </c>
      <c r="G6304" s="25">
        <f>Table132[[#This Row],[nb win]]/Table132[[#This Row],[nb play]]</f>
        <v>0</v>
      </c>
      <c r="H6304" t="str">
        <f>MID(Table132[[#This Row],[ÉTAT]],VALUE(RIGHT(Table132[[#This Row],[next move]],1))+1+VALUE(LEFT(Table132[[#This Row],[next move]],1))*3,1)</f>
        <v>V</v>
      </c>
      <c r="I6304" t="str">
        <f>Table132[[#This Row],[ÉTAT]]&amp;Table132[[#This Row],[next move]]</f>
        <v>EEVVVVMEM02</v>
      </c>
    </row>
    <row r="6305" spans="2:9" x14ac:dyDescent="0.25">
      <c r="B6305" t="s">
        <v>354</v>
      </c>
      <c r="C6305" s="22" t="s">
        <v>30</v>
      </c>
      <c r="D6305">
        <v>4</v>
      </c>
      <c r="G6305" s="30">
        <f>Table132[[#This Row],[nb win]]/Table132[[#This Row],[nb play]]</f>
        <v>0</v>
      </c>
      <c r="H6305" t="str">
        <f>MID(Table132[[#This Row],[ÉTAT]],VALUE(RIGHT(Table132[[#This Row],[next move]],1))+1+VALUE(LEFT(Table132[[#This Row],[next move]],1))*3,1)</f>
        <v>V</v>
      </c>
      <c r="I6305" t="str">
        <f>Table132[[#This Row],[ÉTAT]]&amp;Table132[[#This Row],[next move]]</f>
        <v>EEVVVVMEM10</v>
      </c>
    </row>
    <row r="6306" spans="2:9" x14ac:dyDescent="0.25">
      <c r="B6306" t="s">
        <v>354</v>
      </c>
      <c r="C6306" s="22" t="s">
        <v>29</v>
      </c>
      <c r="D6306">
        <v>6</v>
      </c>
      <c r="G6306" s="30">
        <f>Table132[[#This Row],[nb win]]/Table132[[#This Row],[nb play]]</f>
        <v>0</v>
      </c>
      <c r="H6306" t="str">
        <f>MID(Table132[[#This Row],[ÉTAT]],VALUE(RIGHT(Table132[[#This Row],[next move]],1))+1+VALUE(LEFT(Table132[[#This Row],[next move]],1))*3,1)</f>
        <v>V</v>
      </c>
      <c r="I6306" t="str">
        <f>Table132[[#This Row],[ÉTAT]]&amp;Table132[[#This Row],[next move]]</f>
        <v>EEVVVVMEM11</v>
      </c>
    </row>
    <row r="6307" spans="2:9" x14ac:dyDescent="0.25">
      <c r="B6307" t="s">
        <v>354</v>
      </c>
      <c r="C6307" s="22" t="s">
        <v>28</v>
      </c>
      <c r="D6307">
        <v>2</v>
      </c>
      <c r="G6307" s="25">
        <f>Table132[[#This Row],[nb win]]/Table132[[#This Row],[nb play]]</f>
        <v>0</v>
      </c>
      <c r="H6307" t="str">
        <f>MID(Table132[[#This Row],[ÉTAT]],VALUE(RIGHT(Table132[[#This Row],[next move]],1))+1+VALUE(LEFT(Table132[[#This Row],[next move]],1))*3,1)</f>
        <v>V</v>
      </c>
      <c r="I6307" t="str">
        <f>Table132[[#This Row],[ÉTAT]]&amp;Table132[[#This Row],[next move]]</f>
        <v>EEVVVVMEM12</v>
      </c>
    </row>
    <row r="6308" spans="2:9" x14ac:dyDescent="0.25">
      <c r="B6308" t="s">
        <v>3467</v>
      </c>
      <c r="C6308" s="22" t="s">
        <v>30</v>
      </c>
      <c r="D6308">
        <v>1</v>
      </c>
      <c r="G6308" s="30">
        <f>Table132[[#This Row],[nb win]]/Table132[[#This Row],[nb play]]</f>
        <v>0</v>
      </c>
      <c r="H6308" t="str">
        <f>MID(Table132[[#This Row],[ÉTAT]],VALUE(RIGHT(Table132[[#This Row],[next move]],1))+1+VALUE(LEFT(Table132[[#This Row],[next move]],1))*3,1)</f>
        <v>V</v>
      </c>
      <c r="I6308" t="str">
        <f>Table132[[#This Row],[ÉTAT]]&amp;Table132[[#This Row],[next move]]</f>
        <v>EEVVVMVVV10</v>
      </c>
    </row>
    <row r="6309" spans="2:9" x14ac:dyDescent="0.25">
      <c r="B6309" t="s">
        <v>2766</v>
      </c>
      <c r="C6309" s="22" t="s">
        <v>20</v>
      </c>
      <c r="D6309">
        <v>1</v>
      </c>
      <c r="E6309">
        <v>1</v>
      </c>
      <c r="G6309" s="31">
        <f>Table132[[#This Row],[nb win]]/Table132[[#This Row],[nb play]]</f>
        <v>1</v>
      </c>
      <c r="H6309" t="str">
        <f>MID(Table132[[#This Row],[ÉTAT]],VALUE(RIGHT(Table132[[#This Row],[next move]],1))+1+VALUE(LEFT(Table132[[#This Row],[next move]],1))*3,1)</f>
        <v>V</v>
      </c>
      <c r="I6309" t="str">
        <f>Table132[[#This Row],[ÉTAT]]&amp;Table132[[#This Row],[next move]]</f>
        <v>EEVVVMVVM02</v>
      </c>
    </row>
    <row r="6310" spans="2:9" x14ac:dyDescent="0.25">
      <c r="B6310" t="s">
        <v>2766</v>
      </c>
      <c r="C6310" s="22" t="s">
        <v>35</v>
      </c>
      <c r="D6310">
        <v>2</v>
      </c>
      <c r="G6310" s="30">
        <f>Table132[[#This Row],[nb win]]/Table132[[#This Row],[nb play]]</f>
        <v>0</v>
      </c>
      <c r="H6310" t="str">
        <f>MID(Table132[[#This Row],[ÉTAT]],VALUE(RIGHT(Table132[[#This Row],[next move]],1))+1+VALUE(LEFT(Table132[[#This Row],[next move]],1))*3,1)</f>
        <v>V</v>
      </c>
      <c r="I6310" t="str">
        <f>Table132[[#This Row],[ÉTAT]]&amp;Table132[[#This Row],[next move]]</f>
        <v>EEVVVMVVM20</v>
      </c>
    </row>
    <row r="6311" spans="2:9" x14ac:dyDescent="0.25">
      <c r="B6311" t="s">
        <v>1829</v>
      </c>
      <c r="C6311" s="22" t="s">
        <v>20</v>
      </c>
      <c r="D6311">
        <v>1</v>
      </c>
      <c r="G6311" s="30">
        <f>Table132[[#This Row],[nb win]]/Table132[[#This Row],[nb play]]</f>
        <v>0</v>
      </c>
      <c r="H6311" t="str">
        <f>MID(Table132[[#This Row],[ÉTAT]],VALUE(RIGHT(Table132[[#This Row],[next move]],1))+1+VALUE(LEFT(Table132[[#This Row],[next move]],1))*3,1)</f>
        <v>V</v>
      </c>
      <c r="I6311" t="str">
        <f>Table132[[#This Row],[ÉTAT]]&amp;Table132[[#This Row],[next move]]</f>
        <v>EEVVVMVMV02</v>
      </c>
    </row>
    <row r="6312" spans="2:9" x14ac:dyDescent="0.25">
      <c r="B6312" t="s">
        <v>1829</v>
      </c>
      <c r="C6312" s="22" t="s">
        <v>30</v>
      </c>
      <c r="D6312">
        <v>1</v>
      </c>
      <c r="G6312" s="30">
        <f>Table132[[#This Row],[nb win]]/Table132[[#This Row],[nb play]]</f>
        <v>0</v>
      </c>
      <c r="H6312" t="str">
        <f>MID(Table132[[#This Row],[ÉTAT]],VALUE(RIGHT(Table132[[#This Row],[next move]],1))+1+VALUE(LEFT(Table132[[#This Row],[next move]],1))*3,1)</f>
        <v>V</v>
      </c>
      <c r="I6312" t="str">
        <f>Table132[[#This Row],[ÉTAT]]&amp;Table132[[#This Row],[next move]]</f>
        <v>EEVVVMVMV10</v>
      </c>
    </row>
    <row r="6313" spans="2:9" x14ac:dyDescent="0.25">
      <c r="B6313" t="s">
        <v>1829</v>
      </c>
      <c r="C6313" s="22" t="s">
        <v>29</v>
      </c>
      <c r="D6313">
        <v>3</v>
      </c>
      <c r="E6313">
        <v>2</v>
      </c>
      <c r="G6313" s="30">
        <f>Table132[[#This Row],[nb win]]/Table132[[#This Row],[nb play]]</f>
        <v>0.66666666666666663</v>
      </c>
      <c r="H6313" t="str">
        <f>MID(Table132[[#This Row],[ÉTAT]],VALUE(RIGHT(Table132[[#This Row],[next move]],1))+1+VALUE(LEFT(Table132[[#This Row],[next move]],1))*3,1)</f>
        <v>V</v>
      </c>
      <c r="I6313" t="str">
        <f>Table132[[#This Row],[ÉTAT]]&amp;Table132[[#This Row],[next move]]</f>
        <v>EEVVVMVMV11</v>
      </c>
    </row>
    <row r="6314" spans="2:9" x14ac:dyDescent="0.25">
      <c r="B6314" t="s">
        <v>1829</v>
      </c>
      <c r="C6314" s="22" t="s">
        <v>35</v>
      </c>
      <c r="D6314">
        <v>1</v>
      </c>
      <c r="G6314" s="30">
        <f>Table132[[#This Row],[nb win]]/Table132[[#This Row],[nb play]]</f>
        <v>0</v>
      </c>
      <c r="H6314" t="str">
        <f>MID(Table132[[#This Row],[ÉTAT]],VALUE(RIGHT(Table132[[#This Row],[next move]],1))+1+VALUE(LEFT(Table132[[#This Row],[next move]],1))*3,1)</f>
        <v>V</v>
      </c>
      <c r="I6314" t="str">
        <f>Table132[[#This Row],[ÉTAT]]&amp;Table132[[#This Row],[next move]]</f>
        <v>EEVVVMVMV20</v>
      </c>
    </row>
    <row r="6315" spans="2:9" x14ac:dyDescent="0.25">
      <c r="B6315" t="s">
        <v>882</v>
      </c>
      <c r="C6315" s="22" t="s">
        <v>20</v>
      </c>
      <c r="D6315">
        <v>3</v>
      </c>
      <c r="G6315" s="30">
        <f>Table132[[#This Row],[nb win]]/Table132[[#This Row],[nb play]]</f>
        <v>0</v>
      </c>
      <c r="H6315" t="str">
        <f>MID(Table132[[#This Row],[ÉTAT]],VALUE(RIGHT(Table132[[#This Row],[next move]],1))+1+VALUE(LEFT(Table132[[#This Row],[next move]],1))*3,1)</f>
        <v>V</v>
      </c>
      <c r="I6315" t="str">
        <f>Table132[[#This Row],[ÉTAT]]&amp;Table132[[#This Row],[next move]]</f>
        <v>EEVVVMVME02</v>
      </c>
    </row>
    <row r="6316" spans="2:9" x14ac:dyDescent="0.25">
      <c r="B6316" t="s">
        <v>882</v>
      </c>
      <c r="C6316" s="22" t="s">
        <v>30</v>
      </c>
      <c r="D6316">
        <v>1</v>
      </c>
      <c r="G6316" s="25">
        <f>Table132[[#This Row],[nb win]]/Table132[[#This Row],[nb play]]</f>
        <v>0</v>
      </c>
      <c r="H6316" t="str">
        <f>MID(Table132[[#This Row],[ÉTAT]],VALUE(RIGHT(Table132[[#This Row],[next move]],1))+1+VALUE(LEFT(Table132[[#This Row],[next move]],1))*3,1)</f>
        <v>V</v>
      </c>
      <c r="I6316" t="str">
        <f>Table132[[#This Row],[ÉTAT]]&amp;Table132[[#This Row],[next move]]</f>
        <v>EEVVVMVME10</v>
      </c>
    </row>
    <row r="6317" spans="2:9" x14ac:dyDescent="0.25">
      <c r="B6317" t="s">
        <v>882</v>
      </c>
      <c r="C6317" s="22" t="s">
        <v>29</v>
      </c>
      <c r="D6317">
        <v>1</v>
      </c>
      <c r="G6317" s="25">
        <f>Table132[[#This Row],[nb win]]/Table132[[#This Row],[nb play]]</f>
        <v>0</v>
      </c>
      <c r="H6317" t="str">
        <f>MID(Table132[[#This Row],[ÉTAT]],VALUE(RIGHT(Table132[[#This Row],[next move]],1))+1+VALUE(LEFT(Table132[[#This Row],[next move]],1))*3,1)</f>
        <v>V</v>
      </c>
      <c r="I6317" t="str">
        <f>Table132[[#This Row],[ÉTAT]]&amp;Table132[[#This Row],[next move]]</f>
        <v>EEVVVMVME11</v>
      </c>
    </row>
    <row r="6318" spans="2:9" x14ac:dyDescent="0.25">
      <c r="B6318" t="s">
        <v>882</v>
      </c>
      <c r="C6318" s="22" t="s">
        <v>35</v>
      </c>
      <c r="D6318">
        <v>2</v>
      </c>
      <c r="G6318" s="25">
        <f>Table132[[#This Row],[nb win]]/Table132[[#This Row],[nb play]]</f>
        <v>0</v>
      </c>
      <c r="H6318" t="str">
        <f>MID(Table132[[#This Row],[ÉTAT]],VALUE(RIGHT(Table132[[#This Row],[next move]],1))+1+VALUE(LEFT(Table132[[#This Row],[next move]],1))*3,1)</f>
        <v>V</v>
      </c>
      <c r="I6318" t="str">
        <f>Table132[[#This Row],[ÉTAT]]&amp;Table132[[#This Row],[next move]]</f>
        <v>EEVVVMVME20</v>
      </c>
    </row>
    <row r="6319" spans="2:9" x14ac:dyDescent="0.25">
      <c r="B6319" t="s">
        <v>568</v>
      </c>
      <c r="C6319" s="22" t="s">
        <v>29</v>
      </c>
      <c r="D6319">
        <v>1</v>
      </c>
      <c r="G6319" s="25">
        <f>Table132[[#This Row],[nb win]]/Table132[[#This Row],[nb play]]</f>
        <v>0</v>
      </c>
      <c r="H6319" t="str">
        <f>MID(Table132[[#This Row],[ÉTAT]],VALUE(RIGHT(Table132[[#This Row],[next move]],1))+1+VALUE(LEFT(Table132[[#This Row],[next move]],1))*3,1)</f>
        <v>V</v>
      </c>
      <c r="I6319" t="str">
        <f>Table132[[#This Row],[ÉTAT]]&amp;Table132[[#This Row],[next move]]</f>
        <v>EEVVVMMEV11</v>
      </c>
    </row>
    <row r="6320" spans="2:9" x14ac:dyDescent="0.25">
      <c r="B6320" t="s">
        <v>568</v>
      </c>
      <c r="C6320" s="22" t="s">
        <v>31</v>
      </c>
      <c r="D6320">
        <v>1</v>
      </c>
      <c r="G6320" s="30">
        <f>Table132[[#This Row],[nb win]]/Table132[[#This Row],[nb play]]</f>
        <v>0</v>
      </c>
      <c r="H6320" t="str">
        <f>MID(Table132[[#This Row],[ÉTAT]],VALUE(RIGHT(Table132[[#This Row],[next move]],1))+1+VALUE(LEFT(Table132[[#This Row],[next move]],1))*3,1)</f>
        <v>V</v>
      </c>
      <c r="I6320" t="str">
        <f>Table132[[#This Row],[ÉTAT]]&amp;Table132[[#This Row],[next move]]</f>
        <v>EEVVVMMEV22</v>
      </c>
    </row>
    <row r="6321" spans="2:9" x14ac:dyDescent="0.25">
      <c r="B6321" t="s">
        <v>3380</v>
      </c>
      <c r="C6321" s="22" t="s">
        <v>20</v>
      </c>
      <c r="D6321">
        <v>1</v>
      </c>
      <c r="E6321">
        <v>1</v>
      </c>
      <c r="G6321" s="31">
        <f>Table132[[#This Row],[nb win]]/Table132[[#This Row],[nb play]]</f>
        <v>1</v>
      </c>
      <c r="H6321" t="str">
        <f>MID(Table132[[#This Row],[ÉTAT]],VALUE(RIGHT(Table132[[#This Row],[next move]],1))+1+VALUE(LEFT(Table132[[#This Row],[next move]],1))*3,1)</f>
        <v>V</v>
      </c>
      <c r="I6321" t="str">
        <f>Table132[[#This Row],[ÉTAT]]&amp;Table132[[#This Row],[next move]]</f>
        <v>EEVVVMEVM02</v>
      </c>
    </row>
    <row r="6322" spans="2:9" x14ac:dyDescent="0.25">
      <c r="B6322" t="s">
        <v>1762</v>
      </c>
      <c r="C6322" s="22" t="s">
        <v>20</v>
      </c>
      <c r="D6322">
        <v>1</v>
      </c>
      <c r="E6322">
        <v>1</v>
      </c>
      <c r="G6322" s="31">
        <f>Table132[[#This Row],[nb win]]/Table132[[#This Row],[nb play]]</f>
        <v>1</v>
      </c>
      <c r="H6322" t="str">
        <f>MID(Table132[[#This Row],[ÉTAT]],VALUE(RIGHT(Table132[[#This Row],[next move]],1))+1+VALUE(LEFT(Table132[[#This Row],[next move]],1))*3,1)</f>
        <v>V</v>
      </c>
      <c r="I6322" t="str">
        <f>Table132[[#This Row],[ÉTAT]]&amp;Table132[[#This Row],[next move]]</f>
        <v>EEVVVMEMM02</v>
      </c>
    </row>
    <row r="6323" spans="2:9" x14ac:dyDescent="0.25">
      <c r="B6323" t="s">
        <v>1762</v>
      </c>
      <c r="C6323" s="22" t="s">
        <v>29</v>
      </c>
      <c r="D6323">
        <v>1</v>
      </c>
      <c r="G6323" s="25">
        <f>Table132[[#This Row],[nb win]]/Table132[[#This Row],[nb play]]</f>
        <v>0</v>
      </c>
      <c r="H6323" t="str">
        <f>MID(Table132[[#This Row],[ÉTAT]],VALUE(RIGHT(Table132[[#This Row],[next move]],1))+1+VALUE(LEFT(Table132[[#This Row],[next move]],1))*3,1)</f>
        <v>V</v>
      </c>
      <c r="I6323" t="str">
        <f>Table132[[#This Row],[ÉTAT]]&amp;Table132[[#This Row],[next move]]</f>
        <v>EEVVVMEMM11</v>
      </c>
    </row>
    <row r="6324" spans="2:9" x14ac:dyDescent="0.25">
      <c r="B6324" t="s">
        <v>727</v>
      </c>
      <c r="C6324" s="22" t="s">
        <v>20</v>
      </c>
      <c r="D6324">
        <v>3</v>
      </c>
      <c r="E6324">
        <v>2</v>
      </c>
      <c r="G6324" s="30">
        <f>Table132[[#This Row],[nb win]]/Table132[[#This Row],[nb play]]</f>
        <v>0.66666666666666663</v>
      </c>
      <c r="H6324" t="str">
        <f>MID(Table132[[#This Row],[ÉTAT]],VALUE(RIGHT(Table132[[#This Row],[next move]],1))+1+VALUE(LEFT(Table132[[#This Row],[next move]],1))*3,1)</f>
        <v>V</v>
      </c>
      <c r="I6324" t="str">
        <f>Table132[[#This Row],[ÉTAT]]&amp;Table132[[#This Row],[next move]]</f>
        <v>EEVVVEVMM02</v>
      </c>
    </row>
    <row r="6325" spans="2:9" x14ac:dyDescent="0.25">
      <c r="B6325" t="s">
        <v>727</v>
      </c>
      <c r="C6325" s="22" t="s">
        <v>35</v>
      </c>
      <c r="D6325">
        <v>2</v>
      </c>
      <c r="E6325">
        <v>2</v>
      </c>
      <c r="G6325" s="31">
        <f>Table132[[#This Row],[nb win]]/Table132[[#This Row],[nb play]]</f>
        <v>1</v>
      </c>
      <c r="H6325" t="str">
        <f>MID(Table132[[#This Row],[ÉTAT]],VALUE(RIGHT(Table132[[#This Row],[next move]],1))+1+VALUE(LEFT(Table132[[#This Row],[next move]],1))*3,1)</f>
        <v>V</v>
      </c>
      <c r="I6325" t="str">
        <f>Table132[[#This Row],[ÉTAT]]&amp;Table132[[#This Row],[next move]]</f>
        <v>EEVVVEVMM20</v>
      </c>
    </row>
    <row r="6326" spans="2:9" x14ac:dyDescent="0.25">
      <c r="B6326" t="s">
        <v>2491</v>
      </c>
      <c r="C6326" s="22" t="s">
        <v>30</v>
      </c>
      <c r="D6326">
        <v>1</v>
      </c>
      <c r="G6326" s="25">
        <f>Table132[[#This Row],[nb win]]/Table132[[#This Row],[nb play]]</f>
        <v>0</v>
      </c>
      <c r="H6326" t="str">
        <f>MID(Table132[[#This Row],[ÉTAT]],VALUE(RIGHT(Table132[[#This Row],[next move]],1))+1+VALUE(LEFT(Table132[[#This Row],[next move]],1))*3,1)</f>
        <v>V</v>
      </c>
      <c r="I6326" t="str">
        <f>Table132[[#This Row],[ÉTAT]]&amp;Table132[[#This Row],[next move]]</f>
        <v>EEVVVEMVM10</v>
      </c>
    </row>
    <row r="6327" spans="2:9" x14ac:dyDescent="0.25">
      <c r="B6327" t="s">
        <v>2491</v>
      </c>
      <c r="C6327" s="22" t="s">
        <v>29</v>
      </c>
      <c r="D6327">
        <v>1</v>
      </c>
      <c r="G6327" s="30">
        <f>Table132[[#This Row],[nb win]]/Table132[[#This Row],[nb play]]</f>
        <v>0</v>
      </c>
      <c r="H6327" t="str">
        <f>MID(Table132[[#This Row],[ÉTAT]],VALUE(RIGHT(Table132[[#This Row],[next move]],1))+1+VALUE(LEFT(Table132[[#This Row],[next move]],1))*3,1)</f>
        <v>V</v>
      </c>
      <c r="I6327" t="str">
        <f>Table132[[#This Row],[ÉTAT]]&amp;Table132[[#This Row],[next move]]</f>
        <v>EEVVVEMVM11</v>
      </c>
    </row>
    <row r="6328" spans="2:9" x14ac:dyDescent="0.25">
      <c r="B6328" t="s">
        <v>1170</v>
      </c>
      <c r="C6328" s="22" t="s">
        <v>30</v>
      </c>
      <c r="D6328">
        <v>2</v>
      </c>
      <c r="G6328" s="30">
        <f>Table132[[#This Row],[nb win]]/Table132[[#This Row],[nb play]]</f>
        <v>0</v>
      </c>
      <c r="H6328" t="str">
        <f>MID(Table132[[#This Row],[ÉTAT]],VALUE(RIGHT(Table132[[#This Row],[next move]],1))+1+VALUE(LEFT(Table132[[#This Row],[next move]],1))*3,1)</f>
        <v>V</v>
      </c>
      <c r="I6328" t="str">
        <f>Table132[[#This Row],[ÉTAT]]&amp;Table132[[#This Row],[next move]]</f>
        <v>EEVVVEMMV10</v>
      </c>
    </row>
    <row r="6329" spans="2:9" x14ac:dyDescent="0.25">
      <c r="B6329" t="s">
        <v>1170</v>
      </c>
      <c r="C6329" s="22" t="s">
        <v>31</v>
      </c>
      <c r="D6329">
        <v>1</v>
      </c>
      <c r="E6329">
        <v>1</v>
      </c>
      <c r="G6329" s="31">
        <f>Table132[[#This Row],[nb win]]/Table132[[#This Row],[nb play]]</f>
        <v>1</v>
      </c>
      <c r="H6329" t="str">
        <f>MID(Table132[[#This Row],[ÉTAT]],VALUE(RIGHT(Table132[[#This Row],[next move]],1))+1+VALUE(LEFT(Table132[[#This Row],[next move]],1))*3,1)</f>
        <v>V</v>
      </c>
      <c r="I6329" t="str">
        <f>Table132[[#This Row],[ÉTAT]]&amp;Table132[[#This Row],[next move]]</f>
        <v>EEVVVEMMV22</v>
      </c>
    </row>
    <row r="6330" spans="2:9" x14ac:dyDescent="0.25">
      <c r="B6330" t="s">
        <v>220</v>
      </c>
      <c r="C6330" s="22" t="s">
        <v>20</v>
      </c>
      <c r="D6330">
        <v>8</v>
      </c>
      <c r="E6330">
        <v>7</v>
      </c>
      <c r="G6330" s="25">
        <f>Table132[[#This Row],[nb win]]/Table132[[#This Row],[nb play]]</f>
        <v>0.875</v>
      </c>
      <c r="H6330" t="str">
        <f>MID(Table132[[#This Row],[ÉTAT]],VALUE(RIGHT(Table132[[#This Row],[next move]],1))+1+VALUE(LEFT(Table132[[#This Row],[next move]],1))*3,1)</f>
        <v>V</v>
      </c>
      <c r="I6330" t="str">
        <f>Table132[[#This Row],[ÉTAT]]&amp;Table132[[#This Row],[next move]]</f>
        <v>EEVVMVVVV02</v>
      </c>
    </row>
    <row r="6331" spans="2:9" x14ac:dyDescent="0.25">
      <c r="B6331" t="s">
        <v>220</v>
      </c>
      <c r="C6331" s="22" t="s">
        <v>28</v>
      </c>
      <c r="D6331">
        <v>2</v>
      </c>
      <c r="E6331">
        <v>1</v>
      </c>
      <c r="G6331" s="30">
        <f>Table132[[#This Row],[nb win]]/Table132[[#This Row],[nb play]]</f>
        <v>0.5</v>
      </c>
      <c r="H6331" t="str">
        <f>MID(Table132[[#This Row],[ÉTAT]],VALUE(RIGHT(Table132[[#This Row],[next move]],1))+1+VALUE(LEFT(Table132[[#This Row],[next move]],1))*3,1)</f>
        <v>V</v>
      </c>
      <c r="I6331" t="str">
        <f>Table132[[#This Row],[ÉTAT]]&amp;Table132[[#This Row],[next move]]</f>
        <v>EEVVMVVVV12</v>
      </c>
    </row>
    <row r="6332" spans="2:9" x14ac:dyDescent="0.25">
      <c r="B6332" t="s">
        <v>220</v>
      </c>
      <c r="C6332" s="22" t="s">
        <v>22</v>
      </c>
      <c r="D6332">
        <v>1</v>
      </c>
      <c r="G6332" s="30">
        <f>Table132[[#This Row],[nb win]]/Table132[[#This Row],[nb play]]</f>
        <v>0</v>
      </c>
      <c r="H6332" t="str">
        <f>MID(Table132[[#This Row],[ÉTAT]],VALUE(RIGHT(Table132[[#This Row],[next move]],1))+1+VALUE(LEFT(Table132[[#This Row],[next move]],1))*3,1)</f>
        <v>V</v>
      </c>
      <c r="I6332" t="str">
        <f>Table132[[#This Row],[ÉTAT]]&amp;Table132[[#This Row],[next move]]</f>
        <v>EEVVMVVVV21</v>
      </c>
    </row>
    <row r="6333" spans="2:9" x14ac:dyDescent="0.25">
      <c r="B6333" t="s">
        <v>220</v>
      </c>
      <c r="C6333" s="22" t="s">
        <v>31</v>
      </c>
      <c r="D6333">
        <v>1</v>
      </c>
      <c r="G6333" s="25">
        <f>Table132[[#This Row],[nb win]]/Table132[[#This Row],[nb play]]</f>
        <v>0</v>
      </c>
      <c r="H6333" t="str">
        <f>MID(Table132[[#This Row],[ÉTAT]],VALUE(RIGHT(Table132[[#This Row],[next move]],1))+1+VALUE(LEFT(Table132[[#This Row],[next move]],1))*3,1)</f>
        <v>V</v>
      </c>
      <c r="I6333" t="str">
        <f>Table132[[#This Row],[ÉTAT]]&amp;Table132[[#This Row],[next move]]</f>
        <v>EEVVMVVVV22</v>
      </c>
    </row>
    <row r="6334" spans="2:9" x14ac:dyDescent="0.25">
      <c r="B6334" t="s">
        <v>1031</v>
      </c>
      <c r="C6334" s="22" t="s">
        <v>35</v>
      </c>
      <c r="D6334">
        <v>3</v>
      </c>
      <c r="E6334">
        <v>2</v>
      </c>
      <c r="G6334" s="25">
        <f>Table132[[#This Row],[nb win]]/Table132[[#This Row],[nb play]]</f>
        <v>0.66666666666666663</v>
      </c>
      <c r="H6334" t="str">
        <f>MID(Table132[[#This Row],[ÉTAT]],VALUE(RIGHT(Table132[[#This Row],[next move]],1))+1+VALUE(LEFT(Table132[[#This Row],[next move]],1))*3,1)</f>
        <v>V</v>
      </c>
      <c r="I6334" t="str">
        <f>Table132[[#This Row],[ÉTAT]]&amp;Table132[[#This Row],[next move]]</f>
        <v>EEVVMVVVM20</v>
      </c>
    </row>
    <row r="6335" spans="2:9" x14ac:dyDescent="0.25">
      <c r="B6335" t="s">
        <v>1527</v>
      </c>
      <c r="C6335" s="22" t="s">
        <v>28</v>
      </c>
      <c r="D6335">
        <v>2</v>
      </c>
      <c r="E6335">
        <v>1</v>
      </c>
      <c r="G6335" s="30">
        <f>Table132[[#This Row],[nb win]]/Table132[[#This Row],[nb play]]</f>
        <v>0.5</v>
      </c>
      <c r="H6335" t="str">
        <f>MID(Table132[[#This Row],[ÉTAT]],VALUE(RIGHT(Table132[[#This Row],[next move]],1))+1+VALUE(LEFT(Table132[[#This Row],[next move]],1))*3,1)</f>
        <v>V</v>
      </c>
      <c r="I6335" t="str">
        <f>Table132[[#This Row],[ÉTAT]]&amp;Table132[[#This Row],[next move]]</f>
        <v>EEVVMVVMV12</v>
      </c>
    </row>
    <row r="6336" spans="2:9" x14ac:dyDescent="0.25">
      <c r="B6336" t="s">
        <v>1527</v>
      </c>
      <c r="C6336" s="22" t="s">
        <v>35</v>
      </c>
      <c r="D6336">
        <v>4</v>
      </c>
      <c r="G6336" s="30">
        <f>Table132[[#This Row],[nb win]]/Table132[[#This Row],[nb play]]</f>
        <v>0</v>
      </c>
      <c r="H6336" t="str">
        <f>MID(Table132[[#This Row],[ÉTAT]],VALUE(RIGHT(Table132[[#This Row],[next move]],1))+1+VALUE(LEFT(Table132[[#This Row],[next move]],1))*3,1)</f>
        <v>V</v>
      </c>
      <c r="I6336" t="str">
        <f>Table132[[#This Row],[ÉTAT]]&amp;Table132[[#This Row],[next move]]</f>
        <v>EEVVMVVMV20</v>
      </c>
    </row>
    <row r="6337" spans="2:9" x14ac:dyDescent="0.25">
      <c r="B6337" t="s">
        <v>1312</v>
      </c>
      <c r="C6337" s="22" t="s">
        <v>30</v>
      </c>
      <c r="D6337">
        <v>2</v>
      </c>
      <c r="G6337" s="30">
        <f>Table132[[#This Row],[nb win]]/Table132[[#This Row],[nb play]]</f>
        <v>0</v>
      </c>
      <c r="H6337" t="str">
        <f>MID(Table132[[#This Row],[ÉTAT]],VALUE(RIGHT(Table132[[#This Row],[next move]],1))+1+VALUE(LEFT(Table132[[#This Row],[next move]],1))*3,1)</f>
        <v>V</v>
      </c>
      <c r="I6337" t="str">
        <f>Table132[[#This Row],[ÉTAT]]&amp;Table132[[#This Row],[next move]]</f>
        <v>EEVVMVVME10</v>
      </c>
    </row>
    <row r="6338" spans="2:9" x14ac:dyDescent="0.25">
      <c r="B6338" t="s">
        <v>1312</v>
      </c>
      <c r="C6338" s="22" t="s">
        <v>35</v>
      </c>
      <c r="D6338">
        <v>1</v>
      </c>
      <c r="E6338">
        <v>1</v>
      </c>
      <c r="G6338" s="25">
        <f>Table132[[#This Row],[nb win]]/Table132[[#This Row],[nb play]]</f>
        <v>1</v>
      </c>
      <c r="H6338" t="str">
        <f>MID(Table132[[#This Row],[ÉTAT]],VALUE(RIGHT(Table132[[#This Row],[next move]],1))+1+VALUE(LEFT(Table132[[#This Row],[next move]],1))*3,1)</f>
        <v>V</v>
      </c>
      <c r="I6338" t="str">
        <f>Table132[[#This Row],[ÉTAT]]&amp;Table132[[#This Row],[next move]]</f>
        <v>EEVVMVVME20</v>
      </c>
    </row>
    <row r="6339" spans="2:9" x14ac:dyDescent="0.25">
      <c r="B6339" t="s">
        <v>1511</v>
      </c>
      <c r="C6339" s="22" t="s">
        <v>20</v>
      </c>
      <c r="D6339">
        <v>1</v>
      </c>
      <c r="E6339">
        <v>1</v>
      </c>
      <c r="G6339" s="25">
        <f>Table132[[#This Row],[nb win]]/Table132[[#This Row],[nb play]]</f>
        <v>1</v>
      </c>
      <c r="H6339" t="str">
        <f>MID(Table132[[#This Row],[ÉTAT]],VALUE(RIGHT(Table132[[#This Row],[next move]],1))+1+VALUE(LEFT(Table132[[#This Row],[next move]],1))*3,1)</f>
        <v>V</v>
      </c>
      <c r="I6339" t="str">
        <f>Table132[[#This Row],[ÉTAT]]&amp;Table132[[#This Row],[next move]]</f>
        <v>EEVVMVVEM02</v>
      </c>
    </row>
    <row r="6340" spans="2:9" x14ac:dyDescent="0.25">
      <c r="B6340" t="s">
        <v>1511</v>
      </c>
      <c r="C6340" s="22" t="s">
        <v>28</v>
      </c>
      <c r="D6340">
        <v>1</v>
      </c>
      <c r="G6340" s="25">
        <f>Table132[[#This Row],[nb win]]/Table132[[#This Row],[nb play]]</f>
        <v>0</v>
      </c>
      <c r="H6340" t="str">
        <f>MID(Table132[[#This Row],[ÉTAT]],VALUE(RIGHT(Table132[[#This Row],[next move]],1))+1+VALUE(LEFT(Table132[[#This Row],[next move]],1))*3,1)</f>
        <v>V</v>
      </c>
      <c r="I6340" t="str">
        <f>Table132[[#This Row],[ÉTAT]]&amp;Table132[[#This Row],[next move]]</f>
        <v>EEVVMVVEM12</v>
      </c>
    </row>
    <row r="6341" spans="2:9" x14ac:dyDescent="0.25">
      <c r="B6341" t="s">
        <v>1511</v>
      </c>
      <c r="C6341" s="22" t="s">
        <v>35</v>
      </c>
      <c r="D6341">
        <v>1</v>
      </c>
      <c r="G6341" s="25">
        <f>Table132[[#This Row],[nb win]]/Table132[[#This Row],[nb play]]</f>
        <v>0</v>
      </c>
      <c r="H6341" t="str">
        <f>MID(Table132[[#This Row],[ÉTAT]],VALUE(RIGHT(Table132[[#This Row],[next move]],1))+1+VALUE(LEFT(Table132[[#This Row],[next move]],1))*3,1)</f>
        <v>V</v>
      </c>
      <c r="I6341" t="str">
        <f>Table132[[#This Row],[ÉTAT]]&amp;Table132[[#This Row],[next move]]</f>
        <v>EEVVMVVEM20</v>
      </c>
    </row>
    <row r="6342" spans="2:9" x14ac:dyDescent="0.25">
      <c r="B6342" t="s">
        <v>1652</v>
      </c>
      <c r="C6342" s="22" t="s">
        <v>20</v>
      </c>
      <c r="D6342">
        <v>6</v>
      </c>
      <c r="E6342">
        <v>6</v>
      </c>
      <c r="G6342" s="31">
        <f>Table132[[#This Row],[nb win]]/Table132[[#This Row],[nb play]]</f>
        <v>1</v>
      </c>
      <c r="H6342" t="str">
        <f>MID(Table132[[#This Row],[ÉTAT]],VALUE(RIGHT(Table132[[#This Row],[next move]],1))+1+VALUE(LEFT(Table132[[#This Row],[next move]],1))*3,1)</f>
        <v>V</v>
      </c>
      <c r="I6342" t="str">
        <f>Table132[[#This Row],[ÉTAT]]&amp;Table132[[#This Row],[next move]]</f>
        <v>EEVVMVMVV02</v>
      </c>
    </row>
    <row r="6343" spans="2:9" x14ac:dyDescent="0.25">
      <c r="B6343" t="s">
        <v>1369</v>
      </c>
      <c r="C6343" s="22" t="s">
        <v>20</v>
      </c>
      <c r="D6343">
        <v>2</v>
      </c>
      <c r="E6343">
        <v>2</v>
      </c>
      <c r="G6343" s="25">
        <f>Table132[[#This Row],[nb win]]/Table132[[#This Row],[nb play]]</f>
        <v>1</v>
      </c>
      <c r="H6343" t="str">
        <f>MID(Table132[[#This Row],[ÉTAT]],VALUE(RIGHT(Table132[[#This Row],[next move]],1))+1+VALUE(LEFT(Table132[[#This Row],[next move]],1))*3,1)</f>
        <v>V</v>
      </c>
      <c r="I6343" t="str">
        <f>Table132[[#This Row],[ÉTAT]]&amp;Table132[[#This Row],[next move]]</f>
        <v>EEVVMVMME02</v>
      </c>
    </row>
    <row r="6344" spans="2:9" x14ac:dyDescent="0.25">
      <c r="B6344" t="s">
        <v>1369</v>
      </c>
      <c r="C6344" s="22" t="s">
        <v>30</v>
      </c>
      <c r="D6344">
        <v>1</v>
      </c>
      <c r="G6344" s="25">
        <f>Table132[[#This Row],[nb win]]/Table132[[#This Row],[nb play]]</f>
        <v>0</v>
      </c>
      <c r="H6344" t="str">
        <f>MID(Table132[[#This Row],[ÉTAT]],VALUE(RIGHT(Table132[[#This Row],[next move]],1))+1+VALUE(LEFT(Table132[[#This Row],[next move]],1))*3,1)</f>
        <v>V</v>
      </c>
      <c r="I6344" t="str">
        <f>Table132[[#This Row],[ÉTAT]]&amp;Table132[[#This Row],[next move]]</f>
        <v>EEVVMVMME10</v>
      </c>
    </row>
    <row r="6345" spans="2:9" x14ac:dyDescent="0.25">
      <c r="B6345" t="s">
        <v>775</v>
      </c>
      <c r="C6345" s="22" t="s">
        <v>20</v>
      </c>
      <c r="D6345">
        <v>3</v>
      </c>
      <c r="E6345">
        <v>3</v>
      </c>
      <c r="G6345" s="25">
        <f>Table132[[#This Row],[nb win]]/Table132[[#This Row],[nb play]]</f>
        <v>1</v>
      </c>
      <c r="H6345" t="str">
        <f>MID(Table132[[#This Row],[ÉTAT]],VALUE(RIGHT(Table132[[#This Row],[next move]],1))+1+VALUE(LEFT(Table132[[#This Row],[next move]],1))*3,1)</f>
        <v>V</v>
      </c>
      <c r="I6345" t="str">
        <f>Table132[[#This Row],[ÉTAT]]&amp;Table132[[#This Row],[next move]]</f>
        <v>EEVVMVMEV02</v>
      </c>
    </row>
    <row r="6346" spans="2:9" x14ac:dyDescent="0.25">
      <c r="B6346" t="s">
        <v>1048</v>
      </c>
      <c r="C6346" s="22" t="s">
        <v>20</v>
      </c>
      <c r="D6346">
        <v>1</v>
      </c>
      <c r="E6346">
        <v>1</v>
      </c>
      <c r="G6346" s="25">
        <f>Table132[[#This Row],[nb win]]/Table132[[#This Row],[nb play]]</f>
        <v>1</v>
      </c>
      <c r="H6346" t="str">
        <f>MID(Table132[[#This Row],[ÉTAT]],VALUE(RIGHT(Table132[[#This Row],[next move]],1))+1+VALUE(LEFT(Table132[[#This Row],[next move]],1))*3,1)</f>
        <v>V</v>
      </c>
      <c r="I6346" t="str">
        <f>Table132[[#This Row],[ÉTAT]]&amp;Table132[[#This Row],[next move]]</f>
        <v>EEVVMVMEM02</v>
      </c>
    </row>
    <row r="6347" spans="2:9" x14ac:dyDescent="0.25">
      <c r="B6347" t="s">
        <v>3387</v>
      </c>
      <c r="C6347" s="22" t="s">
        <v>20</v>
      </c>
      <c r="D6347">
        <v>1</v>
      </c>
      <c r="E6347">
        <v>1</v>
      </c>
      <c r="G6347" s="31">
        <f>Table132[[#This Row],[nb win]]/Table132[[#This Row],[nb play]]</f>
        <v>1</v>
      </c>
      <c r="H6347" t="str">
        <f>MID(Table132[[#This Row],[ÉTAT]],VALUE(RIGHT(Table132[[#This Row],[next move]],1))+1+VALUE(LEFT(Table132[[#This Row],[next move]],1))*3,1)</f>
        <v>V</v>
      </c>
      <c r="I6347" t="str">
        <f>Table132[[#This Row],[ÉTAT]]&amp;Table132[[#This Row],[next move]]</f>
        <v>EEVVMVEVM02</v>
      </c>
    </row>
    <row r="6348" spans="2:9" x14ac:dyDescent="0.25">
      <c r="B6348" t="s">
        <v>544</v>
      </c>
      <c r="C6348" s="22" t="s">
        <v>30</v>
      </c>
      <c r="D6348">
        <v>2</v>
      </c>
      <c r="G6348" s="30">
        <f>Table132[[#This Row],[nb win]]/Table132[[#This Row],[nb play]]</f>
        <v>0</v>
      </c>
      <c r="H6348" t="str">
        <f>MID(Table132[[#This Row],[ÉTAT]],VALUE(RIGHT(Table132[[#This Row],[next move]],1))+1+VALUE(LEFT(Table132[[#This Row],[next move]],1))*3,1)</f>
        <v>V</v>
      </c>
      <c r="I6348" t="str">
        <f>Table132[[#This Row],[ÉTAT]]&amp;Table132[[#This Row],[next move]]</f>
        <v>EEVVMVEMV10</v>
      </c>
    </row>
    <row r="6349" spans="2:9" x14ac:dyDescent="0.25">
      <c r="B6349" t="s">
        <v>544</v>
      </c>
      <c r="C6349" s="22" t="s">
        <v>28</v>
      </c>
      <c r="D6349">
        <v>1</v>
      </c>
      <c r="E6349">
        <v>1</v>
      </c>
      <c r="G6349" s="25">
        <f>Table132[[#This Row],[nb win]]/Table132[[#This Row],[nb play]]</f>
        <v>1</v>
      </c>
      <c r="H6349" t="str">
        <f>MID(Table132[[#This Row],[ÉTAT]],VALUE(RIGHT(Table132[[#This Row],[next move]],1))+1+VALUE(LEFT(Table132[[#This Row],[next move]],1))*3,1)</f>
        <v>V</v>
      </c>
      <c r="I6349" t="str">
        <f>Table132[[#This Row],[ÉTAT]]&amp;Table132[[#This Row],[next move]]</f>
        <v>EEVVMVEMV12</v>
      </c>
    </row>
    <row r="6350" spans="2:9" x14ac:dyDescent="0.25">
      <c r="B6350" t="s">
        <v>2192</v>
      </c>
      <c r="C6350" s="22" t="s">
        <v>30</v>
      </c>
      <c r="D6350">
        <v>1</v>
      </c>
      <c r="G6350" s="25">
        <f>Table132[[#This Row],[nb win]]/Table132[[#This Row],[nb play]]</f>
        <v>0</v>
      </c>
      <c r="H6350" t="str">
        <f>MID(Table132[[#This Row],[ÉTAT]],VALUE(RIGHT(Table132[[#This Row],[next move]],1))+1+VALUE(LEFT(Table132[[#This Row],[next move]],1))*3,1)</f>
        <v>V</v>
      </c>
      <c r="I6350" t="str">
        <f>Table132[[#This Row],[ÉTAT]]&amp;Table132[[#This Row],[next move]]</f>
        <v>EEVVMVEMM10</v>
      </c>
    </row>
    <row r="6351" spans="2:9" x14ac:dyDescent="0.25">
      <c r="B6351" t="s">
        <v>1776</v>
      </c>
      <c r="C6351" s="22" t="s">
        <v>30</v>
      </c>
      <c r="D6351">
        <v>3</v>
      </c>
      <c r="E6351">
        <v>3</v>
      </c>
      <c r="G6351" s="31">
        <f>Table132[[#This Row],[nb win]]/Table132[[#This Row],[nb play]]</f>
        <v>1</v>
      </c>
      <c r="H6351" t="str">
        <f>MID(Table132[[#This Row],[ÉTAT]],VALUE(RIGHT(Table132[[#This Row],[next move]],1))+1+VALUE(LEFT(Table132[[#This Row],[next move]],1))*3,1)</f>
        <v>V</v>
      </c>
      <c r="I6351" t="str">
        <f>Table132[[#This Row],[ÉTAT]]&amp;Table132[[#This Row],[next move]]</f>
        <v>EEVVMMVVV10</v>
      </c>
    </row>
    <row r="6352" spans="2:9" x14ac:dyDescent="0.25">
      <c r="B6352" t="s">
        <v>2752</v>
      </c>
      <c r="C6352" s="22" t="s">
        <v>20</v>
      </c>
      <c r="D6352">
        <v>3</v>
      </c>
      <c r="E6352">
        <v>3</v>
      </c>
      <c r="G6352" s="31">
        <f>Table132[[#This Row],[nb win]]/Table132[[#This Row],[nb play]]</f>
        <v>1</v>
      </c>
      <c r="H6352" t="str">
        <f>MID(Table132[[#This Row],[ÉTAT]],VALUE(RIGHT(Table132[[#This Row],[next move]],1))+1+VALUE(LEFT(Table132[[#This Row],[next move]],1))*3,1)</f>
        <v>V</v>
      </c>
      <c r="I6352" t="str">
        <f>Table132[[#This Row],[ÉTAT]]&amp;Table132[[#This Row],[next move]]</f>
        <v>EEVVMMVVE02</v>
      </c>
    </row>
    <row r="6353" spans="2:9" x14ac:dyDescent="0.25">
      <c r="B6353" t="s">
        <v>2752</v>
      </c>
      <c r="C6353" s="22" t="s">
        <v>35</v>
      </c>
      <c r="D6353">
        <v>3</v>
      </c>
      <c r="E6353">
        <v>1</v>
      </c>
      <c r="G6353" s="30">
        <f>Table132[[#This Row],[nb win]]/Table132[[#This Row],[nb play]]</f>
        <v>0.33333333333333331</v>
      </c>
      <c r="H6353" t="str">
        <f>MID(Table132[[#This Row],[ÉTAT]],VALUE(RIGHT(Table132[[#This Row],[next move]],1))+1+VALUE(LEFT(Table132[[#This Row],[next move]],1))*3,1)</f>
        <v>V</v>
      </c>
      <c r="I6353" t="str">
        <f>Table132[[#This Row],[ÉTAT]]&amp;Table132[[#This Row],[next move]]</f>
        <v>EEVVMMVVE20</v>
      </c>
    </row>
    <row r="6354" spans="2:9" x14ac:dyDescent="0.25">
      <c r="B6354" t="s">
        <v>1831</v>
      </c>
      <c r="C6354" s="22" t="s">
        <v>30</v>
      </c>
      <c r="D6354">
        <v>1</v>
      </c>
      <c r="E6354">
        <v>1</v>
      </c>
      <c r="G6354" s="25">
        <f>Table132[[#This Row],[nb win]]/Table132[[#This Row],[nb play]]</f>
        <v>1</v>
      </c>
      <c r="H6354" t="str">
        <f>MID(Table132[[#This Row],[ÉTAT]],VALUE(RIGHT(Table132[[#This Row],[next move]],1))+1+VALUE(LEFT(Table132[[#This Row],[next move]],1))*3,1)</f>
        <v>V</v>
      </c>
      <c r="I6354" t="str">
        <f>Table132[[#This Row],[ÉTAT]]&amp;Table132[[#This Row],[next move]]</f>
        <v>EEVVMMVME10</v>
      </c>
    </row>
    <row r="6355" spans="2:9" x14ac:dyDescent="0.25">
      <c r="B6355" t="s">
        <v>2419</v>
      </c>
      <c r="C6355" s="22" t="s">
        <v>35</v>
      </c>
      <c r="D6355">
        <v>1</v>
      </c>
      <c r="G6355" s="25">
        <f>Table132[[#This Row],[nb win]]/Table132[[#This Row],[nb play]]</f>
        <v>0</v>
      </c>
      <c r="H6355" t="str">
        <f>MID(Table132[[#This Row],[ÉTAT]],VALUE(RIGHT(Table132[[#This Row],[next move]],1))+1+VALUE(LEFT(Table132[[#This Row],[next move]],1))*3,1)</f>
        <v>V</v>
      </c>
      <c r="I6355" t="str">
        <f>Table132[[#This Row],[ÉTAT]]&amp;Table132[[#This Row],[next move]]</f>
        <v>EEVVMMVEV20</v>
      </c>
    </row>
    <row r="6356" spans="2:9" x14ac:dyDescent="0.25">
      <c r="B6356" t="s">
        <v>2419</v>
      </c>
      <c r="C6356" s="22" t="s">
        <v>31</v>
      </c>
      <c r="D6356">
        <v>1</v>
      </c>
      <c r="G6356" s="25">
        <f>Table132[[#This Row],[nb win]]/Table132[[#This Row],[nb play]]</f>
        <v>0</v>
      </c>
      <c r="H6356" t="str">
        <f>MID(Table132[[#This Row],[ÉTAT]],VALUE(RIGHT(Table132[[#This Row],[next move]],1))+1+VALUE(LEFT(Table132[[#This Row],[next move]],1))*3,1)</f>
        <v>V</v>
      </c>
      <c r="I6356" t="str">
        <f>Table132[[#This Row],[ÉTAT]]&amp;Table132[[#This Row],[next move]]</f>
        <v>EEVVMMVEV22</v>
      </c>
    </row>
    <row r="6357" spans="2:9" x14ac:dyDescent="0.25">
      <c r="B6357" t="s">
        <v>2721</v>
      </c>
      <c r="C6357" s="22" t="s">
        <v>20</v>
      </c>
      <c r="D6357">
        <v>3</v>
      </c>
      <c r="E6357">
        <v>3</v>
      </c>
      <c r="G6357" s="31">
        <f>Table132[[#This Row],[nb win]]/Table132[[#This Row],[nb play]]</f>
        <v>1</v>
      </c>
      <c r="H6357" t="str">
        <f>MID(Table132[[#This Row],[ÉTAT]],VALUE(RIGHT(Table132[[#This Row],[next move]],1))+1+VALUE(LEFT(Table132[[#This Row],[next move]],1))*3,1)</f>
        <v>V</v>
      </c>
      <c r="I6357" t="str">
        <f>Table132[[#This Row],[ÉTAT]]&amp;Table132[[#This Row],[next move]]</f>
        <v>EEVVMMVEM02</v>
      </c>
    </row>
    <row r="6358" spans="2:9" x14ac:dyDescent="0.25">
      <c r="B6358" t="s">
        <v>2072</v>
      </c>
      <c r="C6358" s="22" t="s">
        <v>20</v>
      </c>
      <c r="D6358">
        <v>4</v>
      </c>
      <c r="E6358">
        <v>4</v>
      </c>
      <c r="G6358" s="31">
        <f>Table132[[#This Row],[nb win]]/Table132[[#This Row],[nb play]]</f>
        <v>1</v>
      </c>
      <c r="H6358" t="str">
        <f>MID(Table132[[#This Row],[ÉTAT]],VALUE(RIGHT(Table132[[#This Row],[next move]],1))+1+VALUE(LEFT(Table132[[#This Row],[next move]],1))*3,1)</f>
        <v>V</v>
      </c>
      <c r="I6358" t="str">
        <f>Table132[[#This Row],[ÉTAT]]&amp;Table132[[#This Row],[next move]]</f>
        <v>EEVVMMMEE02</v>
      </c>
    </row>
    <row r="6359" spans="2:9" x14ac:dyDescent="0.25">
      <c r="B6359" t="s">
        <v>2376</v>
      </c>
      <c r="C6359" s="22" t="s">
        <v>30</v>
      </c>
      <c r="D6359">
        <v>2</v>
      </c>
      <c r="E6359">
        <v>2</v>
      </c>
      <c r="G6359" s="31">
        <f>Table132[[#This Row],[nb win]]/Table132[[#This Row],[nb play]]</f>
        <v>1</v>
      </c>
      <c r="H6359" t="str">
        <f>MID(Table132[[#This Row],[ÉTAT]],VALUE(RIGHT(Table132[[#This Row],[next move]],1))+1+VALUE(LEFT(Table132[[#This Row],[next move]],1))*3,1)</f>
        <v>V</v>
      </c>
      <c r="I6359" t="str">
        <f>Table132[[#This Row],[ÉTAT]]&amp;Table132[[#This Row],[next move]]</f>
        <v>EEVVMMEVV10</v>
      </c>
    </row>
    <row r="6360" spans="2:9" x14ac:dyDescent="0.25">
      <c r="B6360" t="s">
        <v>3410</v>
      </c>
      <c r="C6360" s="22" t="s">
        <v>20</v>
      </c>
      <c r="D6360">
        <v>1</v>
      </c>
      <c r="E6360">
        <v>1</v>
      </c>
      <c r="G6360" s="31">
        <f>Table132[[#This Row],[nb win]]/Table132[[#This Row],[nb play]]</f>
        <v>1</v>
      </c>
      <c r="H6360" t="str">
        <f>MID(Table132[[#This Row],[ÉTAT]],VALUE(RIGHT(Table132[[#This Row],[next move]],1))+1+VALUE(LEFT(Table132[[#This Row],[next move]],1))*3,1)</f>
        <v>V</v>
      </c>
      <c r="I6360" t="str">
        <f>Table132[[#This Row],[ÉTAT]]&amp;Table132[[#This Row],[next move]]</f>
        <v>EEVVMMEVM02</v>
      </c>
    </row>
    <row r="6361" spans="2:9" x14ac:dyDescent="0.25">
      <c r="B6361" t="s">
        <v>1481</v>
      </c>
      <c r="C6361" s="22" t="s">
        <v>20</v>
      </c>
      <c r="D6361">
        <v>2</v>
      </c>
      <c r="G6361" s="25">
        <f>Table132[[#This Row],[nb win]]/Table132[[#This Row],[nb play]]</f>
        <v>0</v>
      </c>
      <c r="H6361" t="str">
        <f>MID(Table132[[#This Row],[ÉTAT]],VALUE(RIGHT(Table132[[#This Row],[next move]],1))+1+VALUE(LEFT(Table132[[#This Row],[next move]],1))*3,1)</f>
        <v>V</v>
      </c>
      <c r="I6361" t="str">
        <f>Table132[[#This Row],[ÉTAT]]&amp;Table132[[#This Row],[next move]]</f>
        <v>EEVVMMEME02</v>
      </c>
    </row>
    <row r="6362" spans="2:9" x14ac:dyDescent="0.25">
      <c r="B6362" t="s">
        <v>1481</v>
      </c>
      <c r="C6362" s="22" t="s">
        <v>30</v>
      </c>
      <c r="D6362">
        <v>2</v>
      </c>
      <c r="E6362">
        <v>2</v>
      </c>
      <c r="G6362" s="31">
        <f>Table132[[#This Row],[nb win]]/Table132[[#This Row],[nb play]]</f>
        <v>1</v>
      </c>
      <c r="H6362" t="str">
        <f>MID(Table132[[#This Row],[ÉTAT]],VALUE(RIGHT(Table132[[#This Row],[next move]],1))+1+VALUE(LEFT(Table132[[#This Row],[next move]],1))*3,1)</f>
        <v>V</v>
      </c>
      <c r="I6362" t="str">
        <f>Table132[[#This Row],[ÉTAT]]&amp;Table132[[#This Row],[next move]]</f>
        <v>EEVVMMEME10</v>
      </c>
    </row>
    <row r="6363" spans="2:9" x14ac:dyDescent="0.25">
      <c r="B6363" t="s">
        <v>2436</v>
      </c>
      <c r="C6363" s="22" t="s">
        <v>30</v>
      </c>
      <c r="D6363">
        <v>1</v>
      </c>
      <c r="G6363" s="25">
        <f>Table132[[#This Row],[nb win]]/Table132[[#This Row],[nb play]]</f>
        <v>0</v>
      </c>
      <c r="H6363" t="str">
        <f>MID(Table132[[#This Row],[ÉTAT]],VALUE(RIGHT(Table132[[#This Row],[next move]],1))+1+VALUE(LEFT(Table132[[#This Row],[next move]],1))*3,1)</f>
        <v>V</v>
      </c>
      <c r="I6363" t="str">
        <f>Table132[[#This Row],[ÉTAT]]&amp;Table132[[#This Row],[next move]]</f>
        <v>EEVVMEVMM10</v>
      </c>
    </row>
    <row r="6364" spans="2:9" x14ac:dyDescent="0.25">
      <c r="B6364" t="s">
        <v>2436</v>
      </c>
      <c r="C6364" s="22" t="s">
        <v>35</v>
      </c>
      <c r="D6364">
        <v>1</v>
      </c>
      <c r="E6364">
        <v>1</v>
      </c>
      <c r="G6364" s="25">
        <f>Table132[[#This Row],[nb win]]/Table132[[#This Row],[nb play]]</f>
        <v>1</v>
      </c>
      <c r="H6364" t="str">
        <f>MID(Table132[[#This Row],[ÉTAT]],VALUE(RIGHT(Table132[[#This Row],[next move]],1))+1+VALUE(LEFT(Table132[[#This Row],[next move]],1))*3,1)</f>
        <v>V</v>
      </c>
      <c r="I6364" t="str">
        <f>Table132[[#This Row],[ÉTAT]]&amp;Table132[[#This Row],[next move]]</f>
        <v>EEVVMEVMM20</v>
      </c>
    </row>
    <row r="6365" spans="2:9" x14ac:dyDescent="0.25">
      <c r="B6365" t="s">
        <v>224</v>
      </c>
      <c r="C6365" s="22" t="s">
        <v>20</v>
      </c>
      <c r="D6365">
        <v>2</v>
      </c>
      <c r="E6365">
        <v>2</v>
      </c>
      <c r="G6365" s="31">
        <f>Table132[[#This Row],[nb win]]/Table132[[#This Row],[nb play]]</f>
        <v>1</v>
      </c>
      <c r="H6365" t="str">
        <f>MID(Table132[[#This Row],[ÉTAT]],VALUE(RIGHT(Table132[[#This Row],[next move]],1))+1+VALUE(LEFT(Table132[[#This Row],[next move]],1))*3,1)</f>
        <v>V</v>
      </c>
      <c r="I6365" t="str">
        <f>Table132[[#This Row],[ÉTAT]]&amp;Table132[[#This Row],[next move]]</f>
        <v>EEVVMEMVV02</v>
      </c>
    </row>
    <row r="6366" spans="2:9" x14ac:dyDescent="0.25">
      <c r="B6366" t="s">
        <v>224</v>
      </c>
      <c r="C6366" s="22" t="s">
        <v>30</v>
      </c>
      <c r="D6366">
        <v>1</v>
      </c>
      <c r="G6366" s="25">
        <f>Table132[[#This Row],[nb win]]/Table132[[#This Row],[nb play]]</f>
        <v>0</v>
      </c>
      <c r="H6366" t="str">
        <f>MID(Table132[[#This Row],[ÉTAT]],VALUE(RIGHT(Table132[[#This Row],[next move]],1))+1+VALUE(LEFT(Table132[[#This Row],[next move]],1))*3,1)</f>
        <v>V</v>
      </c>
      <c r="I6366" t="str">
        <f>Table132[[#This Row],[ÉTAT]]&amp;Table132[[#This Row],[next move]]</f>
        <v>EEVVMEMVV10</v>
      </c>
    </row>
    <row r="6367" spans="2:9" x14ac:dyDescent="0.25">
      <c r="B6367" t="s">
        <v>224</v>
      </c>
      <c r="C6367" s="22" t="s">
        <v>22</v>
      </c>
      <c r="D6367">
        <v>1</v>
      </c>
      <c r="G6367" s="25">
        <f>Table132[[#This Row],[nb win]]/Table132[[#This Row],[nb play]]</f>
        <v>0</v>
      </c>
      <c r="H6367" t="str">
        <f>MID(Table132[[#This Row],[ÉTAT]],VALUE(RIGHT(Table132[[#This Row],[next move]],1))+1+VALUE(LEFT(Table132[[#This Row],[next move]],1))*3,1)</f>
        <v>V</v>
      </c>
      <c r="I6367" t="str">
        <f>Table132[[#This Row],[ÉTAT]]&amp;Table132[[#This Row],[next move]]</f>
        <v>EEVVMEMVV21</v>
      </c>
    </row>
    <row r="6368" spans="2:9" x14ac:dyDescent="0.25">
      <c r="B6368" t="s">
        <v>224</v>
      </c>
      <c r="C6368" s="22" t="s">
        <v>31</v>
      </c>
      <c r="D6368">
        <v>2</v>
      </c>
      <c r="G6368" s="30">
        <f>Table132[[#This Row],[nb win]]/Table132[[#This Row],[nb play]]</f>
        <v>0</v>
      </c>
      <c r="H6368" t="str">
        <f>MID(Table132[[#This Row],[ÉTAT]],VALUE(RIGHT(Table132[[#This Row],[next move]],1))+1+VALUE(LEFT(Table132[[#This Row],[next move]],1))*3,1)</f>
        <v>V</v>
      </c>
      <c r="I6368" t="str">
        <f>Table132[[#This Row],[ÉTAT]]&amp;Table132[[#This Row],[next move]]</f>
        <v>EEVVMEMVV22</v>
      </c>
    </row>
    <row r="6369" spans="2:9" x14ac:dyDescent="0.25">
      <c r="B6369" t="s">
        <v>1033</v>
      </c>
      <c r="C6369" s="22" t="s">
        <v>20</v>
      </c>
      <c r="D6369">
        <v>5</v>
      </c>
      <c r="E6369">
        <v>5</v>
      </c>
      <c r="G6369" s="31">
        <f>Table132[[#This Row],[nb win]]/Table132[[#This Row],[nb play]]</f>
        <v>1</v>
      </c>
      <c r="H6369" t="str">
        <f>MID(Table132[[#This Row],[ÉTAT]],VALUE(RIGHT(Table132[[#This Row],[next move]],1))+1+VALUE(LEFT(Table132[[#This Row],[next move]],1))*3,1)</f>
        <v>V</v>
      </c>
      <c r="I6369" t="str">
        <f>Table132[[#This Row],[ÉTAT]]&amp;Table132[[#This Row],[next move]]</f>
        <v>EEVVMEMVM02</v>
      </c>
    </row>
    <row r="6370" spans="2:9" x14ac:dyDescent="0.25">
      <c r="B6370" t="s">
        <v>3437</v>
      </c>
      <c r="C6370" s="22" t="s">
        <v>20</v>
      </c>
      <c r="D6370">
        <v>1</v>
      </c>
      <c r="E6370">
        <v>1</v>
      </c>
      <c r="G6370" s="31">
        <f>Table132[[#This Row],[nb win]]/Table132[[#This Row],[nb play]]</f>
        <v>1</v>
      </c>
      <c r="H6370" t="str">
        <f>MID(Table132[[#This Row],[ÉTAT]],VALUE(RIGHT(Table132[[#This Row],[next move]],1))+1+VALUE(LEFT(Table132[[#This Row],[next move]],1))*3,1)</f>
        <v>V</v>
      </c>
      <c r="I6370" t="str">
        <f>Table132[[#This Row],[ÉTAT]]&amp;Table132[[#This Row],[next move]]</f>
        <v>EEVVMEMMV02</v>
      </c>
    </row>
    <row r="6371" spans="2:9" x14ac:dyDescent="0.25">
      <c r="B6371" t="s">
        <v>2499</v>
      </c>
      <c r="C6371" s="22" t="s">
        <v>20</v>
      </c>
      <c r="D6371">
        <v>1</v>
      </c>
      <c r="E6371">
        <v>1</v>
      </c>
      <c r="G6371" s="25">
        <f>Table132[[#This Row],[nb win]]/Table132[[#This Row],[nb play]]</f>
        <v>1</v>
      </c>
      <c r="H6371" t="str">
        <f>MID(Table132[[#This Row],[ÉTAT]],VALUE(RIGHT(Table132[[#This Row],[next move]],1))+1+VALUE(LEFT(Table132[[#This Row],[next move]],1))*3,1)</f>
        <v>V</v>
      </c>
      <c r="I6371" t="str">
        <f>Table132[[#This Row],[ÉTAT]]&amp;Table132[[#This Row],[next move]]</f>
        <v>EEVVMEMME02</v>
      </c>
    </row>
    <row r="6372" spans="2:9" x14ac:dyDescent="0.25">
      <c r="B6372" t="s">
        <v>1524</v>
      </c>
      <c r="C6372" s="22" t="s">
        <v>20</v>
      </c>
      <c r="D6372">
        <v>1</v>
      </c>
      <c r="G6372" s="25">
        <f>Table132[[#This Row],[nb win]]/Table132[[#This Row],[nb play]]</f>
        <v>0</v>
      </c>
      <c r="H6372" t="str">
        <f>MID(Table132[[#This Row],[ÉTAT]],VALUE(RIGHT(Table132[[#This Row],[next move]],1))+1+VALUE(LEFT(Table132[[#This Row],[next move]],1))*3,1)</f>
        <v>V</v>
      </c>
      <c r="I6372" t="str">
        <f>Table132[[#This Row],[ÉTAT]]&amp;Table132[[#This Row],[next move]]</f>
        <v>EEVVMEEMM02</v>
      </c>
    </row>
    <row r="6373" spans="2:9" x14ac:dyDescent="0.25">
      <c r="B6373" t="s">
        <v>1524</v>
      </c>
      <c r="C6373" s="22" t="s">
        <v>30</v>
      </c>
      <c r="D6373">
        <v>3</v>
      </c>
      <c r="G6373" s="30">
        <f>Table132[[#This Row],[nb win]]/Table132[[#This Row],[nb play]]</f>
        <v>0</v>
      </c>
      <c r="H6373" t="str">
        <f>MID(Table132[[#This Row],[ÉTAT]],VALUE(RIGHT(Table132[[#This Row],[next move]],1))+1+VALUE(LEFT(Table132[[#This Row],[next move]],1))*3,1)</f>
        <v>V</v>
      </c>
      <c r="I6373" t="str">
        <f>Table132[[#This Row],[ÉTAT]]&amp;Table132[[#This Row],[next move]]</f>
        <v>EEVVMEEMM10</v>
      </c>
    </row>
    <row r="6374" spans="2:9" x14ac:dyDescent="0.25">
      <c r="B6374" t="s">
        <v>1330</v>
      </c>
      <c r="C6374" s="22" t="s">
        <v>35</v>
      </c>
      <c r="D6374">
        <v>2</v>
      </c>
      <c r="E6374">
        <v>2</v>
      </c>
      <c r="G6374" s="31">
        <f>Table132[[#This Row],[nb win]]/Table132[[#This Row],[nb play]]</f>
        <v>1</v>
      </c>
      <c r="H6374" t="str">
        <f>MID(Table132[[#This Row],[ÉTAT]],VALUE(RIGHT(Table132[[#This Row],[next move]],1))+1+VALUE(LEFT(Table132[[#This Row],[next move]],1))*3,1)</f>
        <v>V</v>
      </c>
      <c r="I6374" t="str">
        <f>Table132[[#This Row],[ÉTAT]]&amp;Table132[[#This Row],[next move]]</f>
        <v>EEVVEVVMM20</v>
      </c>
    </row>
    <row r="6375" spans="2:9" x14ac:dyDescent="0.25">
      <c r="B6375" t="s">
        <v>1966</v>
      </c>
      <c r="C6375" s="22" t="s">
        <v>22</v>
      </c>
      <c r="D6375">
        <v>4</v>
      </c>
      <c r="E6375">
        <v>4</v>
      </c>
      <c r="G6375" s="31">
        <f>Table132[[#This Row],[nb win]]/Table132[[#This Row],[nb play]]</f>
        <v>1</v>
      </c>
      <c r="H6375" t="str">
        <f>MID(Table132[[#This Row],[ÉTAT]],VALUE(RIGHT(Table132[[#This Row],[next move]],1))+1+VALUE(LEFT(Table132[[#This Row],[next move]],1))*3,1)</f>
        <v>V</v>
      </c>
      <c r="I6375" t="str">
        <f>Table132[[#This Row],[ÉTAT]]&amp;Table132[[#This Row],[next move]]</f>
        <v>EEVVEVMVM21</v>
      </c>
    </row>
    <row r="6376" spans="2:9" x14ac:dyDescent="0.25">
      <c r="B6376" t="s">
        <v>1281</v>
      </c>
      <c r="C6376" s="22" t="s">
        <v>20</v>
      </c>
      <c r="D6376">
        <v>1</v>
      </c>
      <c r="G6376" s="25">
        <f>Table132[[#This Row],[nb win]]/Table132[[#This Row],[nb play]]</f>
        <v>0</v>
      </c>
      <c r="H6376" t="str">
        <f>MID(Table132[[#This Row],[ÉTAT]],VALUE(RIGHT(Table132[[#This Row],[next move]],1))+1+VALUE(LEFT(Table132[[#This Row],[next move]],1))*3,1)</f>
        <v>V</v>
      </c>
      <c r="I6376" t="str">
        <f>Table132[[#This Row],[ÉTAT]]&amp;Table132[[#This Row],[next move]]</f>
        <v>EEVVEVMMV02</v>
      </c>
    </row>
    <row r="6377" spans="2:9" x14ac:dyDescent="0.25">
      <c r="B6377" t="s">
        <v>1281</v>
      </c>
      <c r="C6377" s="22" t="s">
        <v>30</v>
      </c>
      <c r="D6377">
        <v>1</v>
      </c>
      <c r="G6377" s="25">
        <f>Table132[[#This Row],[nb win]]/Table132[[#This Row],[nb play]]</f>
        <v>0</v>
      </c>
      <c r="H6377" t="str">
        <f>MID(Table132[[#This Row],[ÉTAT]],VALUE(RIGHT(Table132[[#This Row],[next move]],1))+1+VALUE(LEFT(Table132[[#This Row],[next move]],1))*3,1)</f>
        <v>V</v>
      </c>
      <c r="I6377" t="str">
        <f>Table132[[#This Row],[ÉTAT]]&amp;Table132[[#This Row],[next move]]</f>
        <v>EEVVEVMMV10</v>
      </c>
    </row>
    <row r="6378" spans="2:9" x14ac:dyDescent="0.25">
      <c r="B6378" t="s">
        <v>1281</v>
      </c>
      <c r="C6378" s="22" t="s">
        <v>28</v>
      </c>
      <c r="D6378">
        <v>1</v>
      </c>
      <c r="G6378" s="25">
        <f>Table132[[#This Row],[nb win]]/Table132[[#This Row],[nb play]]</f>
        <v>0</v>
      </c>
      <c r="H6378" t="str">
        <f>MID(Table132[[#This Row],[ÉTAT]],VALUE(RIGHT(Table132[[#This Row],[next move]],1))+1+VALUE(LEFT(Table132[[#This Row],[next move]],1))*3,1)</f>
        <v>V</v>
      </c>
      <c r="I6378" t="str">
        <f>Table132[[#This Row],[ÉTAT]]&amp;Table132[[#This Row],[next move]]</f>
        <v>EEVVEVMMV12</v>
      </c>
    </row>
    <row r="6379" spans="2:9" x14ac:dyDescent="0.25">
      <c r="B6379" t="s">
        <v>1281</v>
      </c>
      <c r="C6379" s="22" t="s">
        <v>31</v>
      </c>
      <c r="D6379">
        <v>3</v>
      </c>
      <c r="E6379">
        <v>3</v>
      </c>
      <c r="G6379" s="31">
        <f>Table132[[#This Row],[nb win]]/Table132[[#This Row],[nb play]]</f>
        <v>1</v>
      </c>
      <c r="H6379" t="str">
        <f>MID(Table132[[#This Row],[ÉTAT]],VALUE(RIGHT(Table132[[#This Row],[next move]],1))+1+VALUE(LEFT(Table132[[#This Row],[next move]],1))*3,1)</f>
        <v>V</v>
      </c>
      <c r="I6379" t="str">
        <f>Table132[[#This Row],[ÉTAT]]&amp;Table132[[#This Row],[next move]]</f>
        <v>EEVVEVMMV22</v>
      </c>
    </row>
    <row r="6380" spans="2:9" x14ac:dyDescent="0.25">
      <c r="B6380" t="s">
        <v>1655</v>
      </c>
      <c r="C6380" s="22" t="s">
        <v>20</v>
      </c>
      <c r="D6380">
        <v>2</v>
      </c>
      <c r="E6380">
        <v>2</v>
      </c>
      <c r="G6380" s="31">
        <f>Table132[[#This Row],[nb win]]/Table132[[#This Row],[nb play]]</f>
        <v>1</v>
      </c>
      <c r="H6380" t="str">
        <f>MID(Table132[[#This Row],[ÉTAT]],VALUE(RIGHT(Table132[[#This Row],[next move]],1))+1+VALUE(LEFT(Table132[[#This Row],[next move]],1))*3,1)</f>
        <v>V</v>
      </c>
      <c r="I6380" t="str">
        <f>Table132[[#This Row],[ÉTAT]]&amp;Table132[[#This Row],[next move]]</f>
        <v>EEVVEMVVM02</v>
      </c>
    </row>
    <row r="6381" spans="2:9" x14ac:dyDescent="0.25">
      <c r="B6381" t="s">
        <v>3228</v>
      </c>
      <c r="C6381" s="22" t="s">
        <v>30</v>
      </c>
      <c r="D6381">
        <v>1</v>
      </c>
      <c r="G6381" s="30">
        <f>Table132[[#This Row],[nb win]]/Table132[[#This Row],[nb play]]</f>
        <v>0</v>
      </c>
      <c r="H6381" t="str">
        <f>MID(Table132[[#This Row],[ÉTAT]],VALUE(RIGHT(Table132[[#This Row],[next move]],1))+1+VALUE(LEFT(Table132[[#This Row],[next move]],1))*3,1)</f>
        <v>V</v>
      </c>
      <c r="I6381" t="str">
        <f>Table132[[#This Row],[ÉTAT]]&amp;Table132[[#This Row],[next move]]</f>
        <v>EEVVEMMVM10</v>
      </c>
    </row>
    <row r="6382" spans="2:9" x14ac:dyDescent="0.25">
      <c r="B6382" t="s">
        <v>3298</v>
      </c>
      <c r="C6382" s="22" t="s">
        <v>30</v>
      </c>
      <c r="D6382">
        <v>1</v>
      </c>
      <c r="G6382" s="30">
        <f>Table132[[#This Row],[nb win]]/Table132[[#This Row],[nb play]]</f>
        <v>0</v>
      </c>
      <c r="H6382" t="str">
        <f>MID(Table132[[#This Row],[ÉTAT]],VALUE(RIGHT(Table132[[#This Row],[next move]],1))+1+VALUE(LEFT(Table132[[#This Row],[next move]],1))*3,1)</f>
        <v>V</v>
      </c>
      <c r="I6382" t="str">
        <f>Table132[[#This Row],[ÉTAT]]&amp;Table132[[#This Row],[next move]]</f>
        <v>EEVVEMMMV10</v>
      </c>
    </row>
    <row r="6383" spans="2:9" x14ac:dyDescent="0.25">
      <c r="B6383" t="s">
        <v>3321</v>
      </c>
      <c r="C6383" s="22" t="s">
        <v>20</v>
      </c>
      <c r="D6383">
        <v>1</v>
      </c>
      <c r="E6383">
        <v>1</v>
      </c>
      <c r="G6383" s="31">
        <f>Table132[[#This Row],[nb win]]/Table132[[#This Row],[nb play]]</f>
        <v>1</v>
      </c>
      <c r="H6383" t="str">
        <f>MID(Table132[[#This Row],[ÉTAT]],VALUE(RIGHT(Table132[[#This Row],[next move]],1))+1+VALUE(LEFT(Table132[[#This Row],[next move]],1))*3,1)</f>
        <v>V</v>
      </c>
      <c r="I6383" t="str">
        <f>Table132[[#This Row],[ÉTAT]]&amp;Table132[[#This Row],[next move]]</f>
        <v>EEVVEMEMM02</v>
      </c>
    </row>
    <row r="6384" spans="2:9" x14ac:dyDescent="0.25">
      <c r="B6384" t="s">
        <v>3321</v>
      </c>
      <c r="C6384" s="22" t="s">
        <v>30</v>
      </c>
      <c r="D6384">
        <v>1</v>
      </c>
      <c r="G6384" s="30">
        <f>Table132[[#This Row],[nb win]]/Table132[[#This Row],[nb play]]</f>
        <v>0</v>
      </c>
      <c r="H6384" t="str">
        <f>MID(Table132[[#This Row],[ÉTAT]],VALUE(RIGHT(Table132[[#This Row],[next move]],1))+1+VALUE(LEFT(Table132[[#This Row],[next move]],1))*3,1)</f>
        <v>V</v>
      </c>
      <c r="I6384" t="str">
        <f>Table132[[#This Row],[ÉTAT]]&amp;Table132[[#This Row],[next move]]</f>
        <v>EEVVEMEMM10</v>
      </c>
    </row>
    <row r="6385" spans="2:9" x14ac:dyDescent="0.25">
      <c r="B6385" t="s">
        <v>3119</v>
      </c>
      <c r="C6385" s="22" t="s">
        <v>29</v>
      </c>
      <c r="D6385">
        <v>1</v>
      </c>
      <c r="G6385" s="30">
        <f>Table132[[#This Row],[nb win]]/Table132[[#This Row],[nb play]]</f>
        <v>0</v>
      </c>
      <c r="H6385" t="str">
        <f>MID(Table132[[#This Row],[ÉTAT]],VALUE(RIGHT(Table132[[#This Row],[next move]],1))+1+VALUE(LEFT(Table132[[#This Row],[next move]],1))*3,1)</f>
        <v>V</v>
      </c>
      <c r="I6385" t="str">
        <f>Table132[[#This Row],[ÉTAT]]&amp;Table132[[#This Row],[next move]]</f>
        <v>EEVMVVVVV11</v>
      </c>
    </row>
    <row r="6386" spans="2:9" x14ac:dyDescent="0.25">
      <c r="B6386" t="s">
        <v>3119</v>
      </c>
      <c r="C6386" s="22" t="s">
        <v>28</v>
      </c>
      <c r="D6386">
        <v>1</v>
      </c>
      <c r="G6386" s="30">
        <f>Table132[[#This Row],[nb win]]/Table132[[#This Row],[nb play]]</f>
        <v>0</v>
      </c>
      <c r="H6386" t="str">
        <f>MID(Table132[[#This Row],[ÉTAT]],VALUE(RIGHT(Table132[[#This Row],[next move]],1))+1+VALUE(LEFT(Table132[[#This Row],[next move]],1))*3,1)</f>
        <v>V</v>
      </c>
      <c r="I6386" t="str">
        <f>Table132[[#This Row],[ÉTAT]]&amp;Table132[[#This Row],[next move]]</f>
        <v>EEVMVVVVV12</v>
      </c>
    </row>
    <row r="6387" spans="2:9" x14ac:dyDescent="0.25">
      <c r="B6387" t="s">
        <v>3119</v>
      </c>
      <c r="C6387" s="22" t="s">
        <v>35</v>
      </c>
      <c r="D6387">
        <v>1</v>
      </c>
      <c r="G6387" s="30">
        <f>Table132[[#This Row],[nb win]]/Table132[[#This Row],[nb play]]</f>
        <v>0</v>
      </c>
      <c r="H6387" t="str">
        <f>MID(Table132[[#This Row],[ÉTAT]],VALUE(RIGHT(Table132[[#This Row],[next move]],1))+1+VALUE(LEFT(Table132[[#This Row],[next move]],1))*3,1)</f>
        <v>V</v>
      </c>
      <c r="I6387" t="str">
        <f>Table132[[#This Row],[ÉTAT]]&amp;Table132[[#This Row],[next move]]</f>
        <v>EEVMVVVVV20</v>
      </c>
    </row>
    <row r="6388" spans="2:9" x14ac:dyDescent="0.25">
      <c r="B6388" t="s">
        <v>3119</v>
      </c>
      <c r="C6388" s="22" t="s">
        <v>31</v>
      </c>
      <c r="D6388">
        <v>1</v>
      </c>
      <c r="G6388" s="30">
        <f>Table132[[#This Row],[nb win]]/Table132[[#This Row],[nb play]]</f>
        <v>0</v>
      </c>
      <c r="H6388" t="str">
        <f>MID(Table132[[#This Row],[ÉTAT]],VALUE(RIGHT(Table132[[#This Row],[next move]],1))+1+VALUE(LEFT(Table132[[#This Row],[next move]],1))*3,1)</f>
        <v>V</v>
      </c>
      <c r="I6388" t="str">
        <f>Table132[[#This Row],[ÉTAT]]&amp;Table132[[#This Row],[next move]]</f>
        <v>EEVMVVVVV22</v>
      </c>
    </row>
    <row r="6389" spans="2:9" x14ac:dyDescent="0.25">
      <c r="B6389" t="s">
        <v>917</v>
      </c>
      <c r="C6389" s="22" t="s">
        <v>29</v>
      </c>
      <c r="D6389">
        <v>1</v>
      </c>
      <c r="G6389" s="25">
        <f>Table132[[#This Row],[nb win]]/Table132[[#This Row],[nb play]]</f>
        <v>0</v>
      </c>
      <c r="H6389" t="str">
        <f>MID(Table132[[#This Row],[ÉTAT]],VALUE(RIGHT(Table132[[#This Row],[next move]],1))+1+VALUE(LEFT(Table132[[#This Row],[next move]],1))*3,1)</f>
        <v>V</v>
      </c>
      <c r="I6389" t="str">
        <f>Table132[[#This Row],[ÉTAT]]&amp;Table132[[#This Row],[next move]]</f>
        <v>EEVMVVVVM11</v>
      </c>
    </row>
    <row r="6390" spans="2:9" x14ac:dyDescent="0.25">
      <c r="B6390" t="s">
        <v>917</v>
      </c>
      <c r="C6390" s="22" t="s">
        <v>28</v>
      </c>
      <c r="D6390">
        <v>2</v>
      </c>
      <c r="E6390">
        <v>1</v>
      </c>
      <c r="G6390" s="30">
        <f>Table132[[#This Row],[nb win]]/Table132[[#This Row],[nb play]]</f>
        <v>0.5</v>
      </c>
      <c r="H6390" t="str">
        <f>MID(Table132[[#This Row],[ÉTAT]],VALUE(RIGHT(Table132[[#This Row],[next move]],1))+1+VALUE(LEFT(Table132[[#This Row],[next move]],1))*3,1)</f>
        <v>V</v>
      </c>
      <c r="I6390" t="str">
        <f>Table132[[#This Row],[ÉTAT]]&amp;Table132[[#This Row],[next move]]</f>
        <v>EEVMVVVVM12</v>
      </c>
    </row>
    <row r="6391" spans="2:9" x14ac:dyDescent="0.25">
      <c r="B6391" t="s">
        <v>917</v>
      </c>
      <c r="C6391" s="22" t="s">
        <v>35</v>
      </c>
      <c r="D6391">
        <v>2</v>
      </c>
      <c r="G6391" s="30">
        <f>Table132[[#This Row],[nb win]]/Table132[[#This Row],[nb play]]</f>
        <v>0</v>
      </c>
      <c r="H6391" t="str">
        <f>MID(Table132[[#This Row],[ÉTAT]],VALUE(RIGHT(Table132[[#This Row],[next move]],1))+1+VALUE(LEFT(Table132[[#This Row],[next move]],1))*3,1)</f>
        <v>V</v>
      </c>
      <c r="I6391" t="str">
        <f>Table132[[#This Row],[ÉTAT]]&amp;Table132[[#This Row],[next move]]</f>
        <v>EEVMVVVVM20</v>
      </c>
    </row>
    <row r="6392" spans="2:9" x14ac:dyDescent="0.25">
      <c r="B6392" t="s">
        <v>917</v>
      </c>
      <c r="C6392" s="22" t="s">
        <v>22</v>
      </c>
      <c r="D6392">
        <v>2</v>
      </c>
      <c r="E6392">
        <v>2</v>
      </c>
      <c r="G6392" s="31">
        <f>Table132[[#This Row],[nb win]]/Table132[[#This Row],[nb play]]</f>
        <v>1</v>
      </c>
      <c r="H6392" t="str">
        <f>MID(Table132[[#This Row],[ÉTAT]],VALUE(RIGHT(Table132[[#This Row],[next move]],1))+1+VALUE(LEFT(Table132[[#This Row],[next move]],1))*3,1)</f>
        <v>V</v>
      </c>
      <c r="I6392" t="str">
        <f>Table132[[#This Row],[ÉTAT]]&amp;Table132[[#This Row],[next move]]</f>
        <v>EEVMVVVVM21</v>
      </c>
    </row>
    <row r="6393" spans="2:9" x14ac:dyDescent="0.25">
      <c r="B6393" t="s">
        <v>3232</v>
      </c>
      <c r="C6393" s="22" t="s">
        <v>35</v>
      </c>
      <c r="D6393">
        <v>1</v>
      </c>
      <c r="G6393" s="30">
        <f>Table132[[#This Row],[nb win]]/Table132[[#This Row],[nb play]]</f>
        <v>0</v>
      </c>
      <c r="H6393" t="str">
        <f>MID(Table132[[#This Row],[ÉTAT]],VALUE(RIGHT(Table132[[#This Row],[next move]],1))+1+VALUE(LEFT(Table132[[#This Row],[next move]],1))*3,1)</f>
        <v>V</v>
      </c>
      <c r="I6393" t="str">
        <f>Table132[[#This Row],[ÉTAT]]&amp;Table132[[#This Row],[next move]]</f>
        <v>EEVMVVVMV20</v>
      </c>
    </row>
    <row r="6394" spans="2:9" x14ac:dyDescent="0.25">
      <c r="B6394" t="s">
        <v>3492</v>
      </c>
      <c r="C6394" s="22" t="s">
        <v>20</v>
      </c>
      <c r="D6394">
        <v>1</v>
      </c>
      <c r="G6394" s="30">
        <f>Table132[[#This Row],[nb win]]/Table132[[#This Row],[nb play]]</f>
        <v>0</v>
      </c>
      <c r="H6394" t="str">
        <f>MID(Table132[[#This Row],[ÉTAT]],VALUE(RIGHT(Table132[[#This Row],[next move]],1))+1+VALUE(LEFT(Table132[[#This Row],[next move]],1))*3,1)</f>
        <v>V</v>
      </c>
      <c r="I6394" t="str">
        <f>Table132[[#This Row],[ÉTAT]]&amp;Table132[[#This Row],[next move]]</f>
        <v>EEVMVVVEM02</v>
      </c>
    </row>
    <row r="6395" spans="2:9" x14ac:dyDescent="0.25">
      <c r="B6395" t="s">
        <v>1112</v>
      </c>
      <c r="C6395" s="22" t="s">
        <v>20</v>
      </c>
      <c r="D6395">
        <v>3</v>
      </c>
      <c r="E6395">
        <v>1</v>
      </c>
      <c r="G6395" s="30">
        <f>Table132[[#This Row],[nb win]]/Table132[[#This Row],[nb play]]</f>
        <v>0.33333333333333331</v>
      </c>
      <c r="H6395" t="str">
        <f>MID(Table132[[#This Row],[ÉTAT]],VALUE(RIGHT(Table132[[#This Row],[next move]],1))+1+VALUE(LEFT(Table132[[#This Row],[next move]],1))*3,1)</f>
        <v>V</v>
      </c>
      <c r="I6395" t="str">
        <f>Table132[[#This Row],[ÉTAT]]&amp;Table132[[#This Row],[next move]]</f>
        <v>EEVMVVMVV02</v>
      </c>
    </row>
    <row r="6396" spans="2:9" x14ac:dyDescent="0.25">
      <c r="B6396" t="s">
        <v>1112</v>
      </c>
      <c r="C6396" s="22" t="s">
        <v>29</v>
      </c>
      <c r="D6396">
        <v>1</v>
      </c>
      <c r="G6396" s="30">
        <f>Table132[[#This Row],[nb win]]/Table132[[#This Row],[nb play]]</f>
        <v>0</v>
      </c>
      <c r="H6396" t="str">
        <f>MID(Table132[[#This Row],[ÉTAT]],VALUE(RIGHT(Table132[[#This Row],[next move]],1))+1+VALUE(LEFT(Table132[[#This Row],[next move]],1))*3,1)</f>
        <v>V</v>
      </c>
      <c r="I6396" t="str">
        <f>Table132[[#This Row],[ÉTAT]]&amp;Table132[[#This Row],[next move]]</f>
        <v>EEVMVVMVV11</v>
      </c>
    </row>
    <row r="6397" spans="2:9" x14ac:dyDescent="0.25">
      <c r="B6397" t="s">
        <v>1112</v>
      </c>
      <c r="C6397" s="22" t="s">
        <v>28</v>
      </c>
      <c r="D6397">
        <v>4</v>
      </c>
      <c r="G6397" s="30">
        <f>Table132[[#This Row],[nb win]]/Table132[[#This Row],[nb play]]</f>
        <v>0</v>
      </c>
      <c r="H6397" t="str">
        <f>MID(Table132[[#This Row],[ÉTAT]],VALUE(RIGHT(Table132[[#This Row],[next move]],1))+1+VALUE(LEFT(Table132[[#This Row],[next move]],1))*3,1)</f>
        <v>V</v>
      </c>
      <c r="I6397" t="str">
        <f>Table132[[#This Row],[ÉTAT]]&amp;Table132[[#This Row],[next move]]</f>
        <v>EEVMVVMVV12</v>
      </c>
    </row>
    <row r="6398" spans="2:9" x14ac:dyDescent="0.25">
      <c r="B6398" t="s">
        <v>1112</v>
      </c>
      <c r="C6398" s="22" t="s">
        <v>22</v>
      </c>
      <c r="D6398">
        <v>1</v>
      </c>
      <c r="G6398" s="25">
        <f>Table132[[#This Row],[nb win]]/Table132[[#This Row],[nb play]]</f>
        <v>0</v>
      </c>
      <c r="H6398" t="str">
        <f>MID(Table132[[#This Row],[ÉTAT]],VALUE(RIGHT(Table132[[#This Row],[next move]],1))+1+VALUE(LEFT(Table132[[#This Row],[next move]],1))*3,1)</f>
        <v>V</v>
      </c>
      <c r="I6398" t="str">
        <f>Table132[[#This Row],[ÉTAT]]&amp;Table132[[#This Row],[next move]]</f>
        <v>EEVMVVMVV21</v>
      </c>
    </row>
    <row r="6399" spans="2:9" x14ac:dyDescent="0.25">
      <c r="B6399" t="s">
        <v>1112</v>
      </c>
      <c r="C6399" s="22" t="s">
        <v>31</v>
      </c>
      <c r="D6399">
        <v>2</v>
      </c>
      <c r="G6399" s="30">
        <f>Table132[[#This Row],[nb win]]/Table132[[#This Row],[nb play]]</f>
        <v>0</v>
      </c>
      <c r="H6399" t="str">
        <f>MID(Table132[[#This Row],[ÉTAT]],VALUE(RIGHT(Table132[[#This Row],[next move]],1))+1+VALUE(LEFT(Table132[[#This Row],[next move]],1))*3,1)</f>
        <v>V</v>
      </c>
      <c r="I6399" t="str">
        <f>Table132[[#This Row],[ÉTAT]]&amp;Table132[[#This Row],[next move]]</f>
        <v>EEVMVVMVV22</v>
      </c>
    </row>
    <row r="6400" spans="2:9" x14ac:dyDescent="0.25">
      <c r="B6400" t="s">
        <v>3253</v>
      </c>
      <c r="C6400" s="22" t="s">
        <v>28</v>
      </c>
      <c r="D6400">
        <v>1</v>
      </c>
      <c r="G6400" s="30">
        <f>Table132[[#This Row],[nb win]]/Table132[[#This Row],[nb play]]</f>
        <v>0</v>
      </c>
      <c r="H6400" t="str">
        <f>MID(Table132[[#This Row],[ÉTAT]],VALUE(RIGHT(Table132[[#This Row],[next move]],1))+1+VALUE(LEFT(Table132[[#This Row],[next move]],1))*3,1)</f>
        <v>V</v>
      </c>
      <c r="I6400" t="str">
        <f>Table132[[#This Row],[ÉTAT]]&amp;Table132[[#This Row],[next move]]</f>
        <v>EEVMVVMVE12</v>
      </c>
    </row>
    <row r="6401" spans="2:9" x14ac:dyDescent="0.25">
      <c r="B6401" t="s">
        <v>1036</v>
      </c>
      <c r="C6401" s="22" t="s">
        <v>29</v>
      </c>
      <c r="D6401">
        <v>3</v>
      </c>
      <c r="E6401">
        <v>2</v>
      </c>
      <c r="G6401" s="25">
        <f>Table132[[#This Row],[nb win]]/Table132[[#This Row],[nb play]]</f>
        <v>0.66666666666666663</v>
      </c>
      <c r="H6401" t="str">
        <f>MID(Table132[[#This Row],[ÉTAT]],VALUE(RIGHT(Table132[[#This Row],[next move]],1))+1+VALUE(LEFT(Table132[[#This Row],[next move]],1))*3,1)</f>
        <v>V</v>
      </c>
      <c r="I6401" t="str">
        <f>Table132[[#This Row],[ÉTAT]]&amp;Table132[[#This Row],[next move]]</f>
        <v>EEVMVVMME11</v>
      </c>
    </row>
    <row r="6402" spans="2:9" x14ac:dyDescent="0.25">
      <c r="B6402" t="s">
        <v>1036</v>
      </c>
      <c r="C6402" s="22" t="s">
        <v>28</v>
      </c>
      <c r="D6402">
        <v>1</v>
      </c>
      <c r="G6402" s="30">
        <f>Table132[[#This Row],[nb win]]/Table132[[#This Row],[nb play]]</f>
        <v>0</v>
      </c>
      <c r="H6402" t="str">
        <f>MID(Table132[[#This Row],[ÉTAT]],VALUE(RIGHT(Table132[[#This Row],[next move]],1))+1+VALUE(LEFT(Table132[[#This Row],[next move]],1))*3,1)</f>
        <v>V</v>
      </c>
      <c r="I6402" t="str">
        <f>Table132[[#This Row],[ÉTAT]]&amp;Table132[[#This Row],[next move]]</f>
        <v>EEVMVVMME12</v>
      </c>
    </row>
    <row r="6403" spans="2:9" x14ac:dyDescent="0.25">
      <c r="B6403" t="s">
        <v>989</v>
      </c>
      <c r="C6403" s="22" t="s">
        <v>20</v>
      </c>
      <c r="D6403">
        <v>1</v>
      </c>
      <c r="G6403" s="25">
        <f>Table132[[#This Row],[nb win]]/Table132[[#This Row],[nb play]]</f>
        <v>0</v>
      </c>
      <c r="H6403" t="str">
        <f>MID(Table132[[#This Row],[ÉTAT]],VALUE(RIGHT(Table132[[#This Row],[next move]],1))+1+VALUE(LEFT(Table132[[#This Row],[next move]],1))*3,1)</f>
        <v>V</v>
      </c>
      <c r="I6403" t="str">
        <f>Table132[[#This Row],[ÉTAT]]&amp;Table132[[#This Row],[next move]]</f>
        <v>EEVMVVMEV02</v>
      </c>
    </row>
    <row r="6404" spans="2:9" x14ac:dyDescent="0.25">
      <c r="B6404" t="s">
        <v>989</v>
      </c>
      <c r="C6404" s="22" t="s">
        <v>28</v>
      </c>
      <c r="D6404">
        <v>1</v>
      </c>
      <c r="G6404" s="30">
        <f>Table132[[#This Row],[nb win]]/Table132[[#This Row],[nb play]]</f>
        <v>0</v>
      </c>
      <c r="H6404" t="str">
        <f>MID(Table132[[#This Row],[ÉTAT]],VALUE(RIGHT(Table132[[#This Row],[next move]],1))+1+VALUE(LEFT(Table132[[#This Row],[next move]],1))*3,1)</f>
        <v>V</v>
      </c>
      <c r="I6404" t="str">
        <f>Table132[[#This Row],[ÉTAT]]&amp;Table132[[#This Row],[next move]]</f>
        <v>EEVMVVMEV12</v>
      </c>
    </row>
    <row r="6405" spans="2:9" x14ac:dyDescent="0.25">
      <c r="B6405" t="s">
        <v>989</v>
      </c>
      <c r="C6405" s="22" t="s">
        <v>31</v>
      </c>
      <c r="D6405">
        <v>1</v>
      </c>
      <c r="G6405" s="30">
        <f>Table132[[#This Row],[nb win]]/Table132[[#This Row],[nb play]]</f>
        <v>0</v>
      </c>
      <c r="H6405" t="str">
        <f>MID(Table132[[#This Row],[ÉTAT]],VALUE(RIGHT(Table132[[#This Row],[next move]],1))+1+VALUE(LEFT(Table132[[#This Row],[next move]],1))*3,1)</f>
        <v>V</v>
      </c>
      <c r="I6405" t="str">
        <f>Table132[[#This Row],[ÉTAT]]&amp;Table132[[#This Row],[next move]]</f>
        <v>EEVMVVMEV22</v>
      </c>
    </row>
    <row r="6406" spans="2:9" x14ac:dyDescent="0.25">
      <c r="B6406" t="s">
        <v>2870</v>
      </c>
      <c r="C6406" s="22" t="s">
        <v>29</v>
      </c>
      <c r="D6406">
        <v>1</v>
      </c>
      <c r="G6406" s="25">
        <f>Table132[[#This Row],[nb win]]/Table132[[#This Row],[nb play]]</f>
        <v>0</v>
      </c>
      <c r="H6406" t="str">
        <f>MID(Table132[[#This Row],[ÉTAT]],VALUE(RIGHT(Table132[[#This Row],[next move]],1))+1+VALUE(LEFT(Table132[[#This Row],[next move]],1))*3,1)</f>
        <v>V</v>
      </c>
      <c r="I6406" t="str">
        <f>Table132[[#This Row],[ÉTAT]]&amp;Table132[[#This Row],[next move]]</f>
        <v>EEVMVVMEM11</v>
      </c>
    </row>
    <row r="6407" spans="2:9" x14ac:dyDescent="0.25">
      <c r="B6407" t="s">
        <v>2870</v>
      </c>
      <c r="C6407" s="22" t="s">
        <v>28</v>
      </c>
      <c r="D6407">
        <v>1</v>
      </c>
      <c r="G6407" s="30">
        <f>Table132[[#This Row],[nb win]]/Table132[[#This Row],[nb play]]</f>
        <v>0</v>
      </c>
      <c r="H6407" t="str">
        <f>MID(Table132[[#This Row],[ÉTAT]],VALUE(RIGHT(Table132[[#This Row],[next move]],1))+1+VALUE(LEFT(Table132[[#This Row],[next move]],1))*3,1)</f>
        <v>V</v>
      </c>
      <c r="I6407" t="str">
        <f>Table132[[#This Row],[ÉTAT]]&amp;Table132[[#This Row],[next move]]</f>
        <v>EEVMVVMEM12</v>
      </c>
    </row>
    <row r="6408" spans="2:9" x14ac:dyDescent="0.25">
      <c r="B6408" t="s">
        <v>972</v>
      </c>
      <c r="C6408" s="22" t="s">
        <v>28</v>
      </c>
      <c r="D6408">
        <v>3</v>
      </c>
      <c r="E6408">
        <v>2</v>
      </c>
      <c r="G6408" s="30">
        <f>Table132[[#This Row],[nb win]]/Table132[[#This Row],[nb play]]</f>
        <v>0.66666666666666663</v>
      </c>
      <c r="H6408" t="str">
        <f>MID(Table132[[#This Row],[ÉTAT]],VALUE(RIGHT(Table132[[#This Row],[next move]],1))+1+VALUE(LEFT(Table132[[#This Row],[next move]],1))*3,1)</f>
        <v>V</v>
      </c>
      <c r="I6408" t="str">
        <f>Table132[[#This Row],[ÉTAT]]&amp;Table132[[#This Row],[next move]]</f>
        <v>EEVMVVEVM12</v>
      </c>
    </row>
    <row r="6409" spans="2:9" x14ac:dyDescent="0.25">
      <c r="B6409" t="s">
        <v>1269</v>
      </c>
      <c r="C6409" s="22" t="s">
        <v>29</v>
      </c>
      <c r="D6409">
        <v>1</v>
      </c>
      <c r="G6409" s="25">
        <f>Table132[[#This Row],[nb win]]/Table132[[#This Row],[nb play]]</f>
        <v>0</v>
      </c>
      <c r="H6409" t="str">
        <f>MID(Table132[[#This Row],[ÉTAT]],VALUE(RIGHT(Table132[[#This Row],[next move]],1))+1+VALUE(LEFT(Table132[[#This Row],[next move]],1))*3,1)</f>
        <v>V</v>
      </c>
      <c r="I6409" t="str">
        <f>Table132[[#This Row],[ÉTAT]]&amp;Table132[[#This Row],[next move]]</f>
        <v>EEVMVVEMV11</v>
      </c>
    </row>
    <row r="6410" spans="2:9" x14ac:dyDescent="0.25">
      <c r="B6410" t="s">
        <v>1269</v>
      </c>
      <c r="C6410" s="22" t="s">
        <v>28</v>
      </c>
      <c r="D6410">
        <v>1</v>
      </c>
      <c r="G6410" s="30">
        <f>Table132[[#This Row],[nb win]]/Table132[[#This Row],[nb play]]</f>
        <v>0</v>
      </c>
      <c r="H6410" t="str">
        <f>MID(Table132[[#This Row],[ÉTAT]],VALUE(RIGHT(Table132[[#This Row],[next move]],1))+1+VALUE(LEFT(Table132[[#This Row],[next move]],1))*3,1)</f>
        <v>V</v>
      </c>
      <c r="I6410" t="str">
        <f>Table132[[#This Row],[ÉTAT]]&amp;Table132[[#This Row],[next move]]</f>
        <v>EEVMVVEMV12</v>
      </c>
    </row>
    <row r="6411" spans="2:9" x14ac:dyDescent="0.25">
      <c r="B6411" t="s">
        <v>1269</v>
      </c>
      <c r="C6411" s="22" t="s">
        <v>31</v>
      </c>
      <c r="D6411">
        <v>1</v>
      </c>
      <c r="G6411" s="25">
        <f>Table132[[#This Row],[nb win]]/Table132[[#This Row],[nb play]]</f>
        <v>0</v>
      </c>
      <c r="H6411" t="str">
        <f>MID(Table132[[#This Row],[ÉTAT]],VALUE(RIGHT(Table132[[#This Row],[next move]],1))+1+VALUE(LEFT(Table132[[#This Row],[next move]],1))*3,1)</f>
        <v>V</v>
      </c>
      <c r="I6411" t="str">
        <f>Table132[[#This Row],[ÉTAT]]&amp;Table132[[#This Row],[next move]]</f>
        <v>EEVMVVEMV22</v>
      </c>
    </row>
    <row r="6412" spans="2:9" x14ac:dyDescent="0.25">
      <c r="B6412" t="s">
        <v>3000</v>
      </c>
      <c r="C6412" s="22" t="s">
        <v>28</v>
      </c>
      <c r="D6412">
        <v>1</v>
      </c>
      <c r="G6412" s="25">
        <f>Table132[[#This Row],[nb win]]/Table132[[#This Row],[nb play]]</f>
        <v>0</v>
      </c>
      <c r="H6412" t="str">
        <f>MID(Table132[[#This Row],[ÉTAT]],VALUE(RIGHT(Table132[[#This Row],[next move]],1))+1+VALUE(LEFT(Table132[[#This Row],[next move]],1))*3,1)</f>
        <v>V</v>
      </c>
      <c r="I6412" t="str">
        <f>Table132[[#This Row],[ÉTAT]]&amp;Table132[[#This Row],[next move]]</f>
        <v>EEVMVVEMM12</v>
      </c>
    </row>
    <row r="6413" spans="2:9" x14ac:dyDescent="0.25">
      <c r="B6413" t="s">
        <v>1001</v>
      </c>
      <c r="C6413" s="22" t="s">
        <v>29</v>
      </c>
      <c r="D6413">
        <v>17</v>
      </c>
      <c r="E6413">
        <v>17</v>
      </c>
      <c r="G6413" s="31">
        <f>Table132[[#This Row],[nb win]]/Table132[[#This Row],[nb play]]</f>
        <v>1</v>
      </c>
      <c r="H6413" t="str">
        <f>MID(Table132[[#This Row],[ÉTAT]],VALUE(RIGHT(Table132[[#This Row],[next move]],1))+1+VALUE(LEFT(Table132[[#This Row],[next move]],1))*3,1)</f>
        <v>V</v>
      </c>
      <c r="I6413" t="str">
        <f>Table132[[#This Row],[ÉTAT]]&amp;Table132[[#This Row],[next move]]</f>
        <v>EEVMVMVVV11</v>
      </c>
    </row>
    <row r="6414" spans="2:9" x14ac:dyDescent="0.25">
      <c r="B6414" t="s">
        <v>3262</v>
      </c>
      <c r="C6414" s="22" t="s">
        <v>20</v>
      </c>
      <c r="D6414">
        <v>1</v>
      </c>
      <c r="E6414">
        <v>1</v>
      </c>
      <c r="G6414" s="31">
        <f>Table132[[#This Row],[nb win]]/Table132[[#This Row],[nb play]]</f>
        <v>1</v>
      </c>
      <c r="H6414" t="str">
        <f>MID(Table132[[#This Row],[ÉTAT]],VALUE(RIGHT(Table132[[#This Row],[next move]],1))+1+VALUE(LEFT(Table132[[#This Row],[next move]],1))*3,1)</f>
        <v>V</v>
      </c>
      <c r="I6414" t="str">
        <f>Table132[[#This Row],[ÉTAT]]&amp;Table132[[#This Row],[next move]]</f>
        <v>EEVMVMVVE02</v>
      </c>
    </row>
    <row r="6415" spans="2:9" x14ac:dyDescent="0.25">
      <c r="B6415" t="s">
        <v>3262</v>
      </c>
      <c r="C6415" s="22" t="s">
        <v>22</v>
      </c>
      <c r="D6415">
        <v>1</v>
      </c>
      <c r="G6415" s="30">
        <f>Table132[[#This Row],[nb win]]/Table132[[#This Row],[nb play]]</f>
        <v>0</v>
      </c>
      <c r="H6415" t="str">
        <f>MID(Table132[[#This Row],[ÉTAT]],VALUE(RIGHT(Table132[[#This Row],[next move]],1))+1+VALUE(LEFT(Table132[[#This Row],[next move]],1))*3,1)</f>
        <v>V</v>
      </c>
      <c r="I6415" t="str">
        <f>Table132[[#This Row],[ÉTAT]]&amp;Table132[[#This Row],[next move]]</f>
        <v>EEVMVMVVE21</v>
      </c>
    </row>
    <row r="6416" spans="2:9" x14ac:dyDescent="0.25">
      <c r="B6416" t="s">
        <v>3395</v>
      </c>
      <c r="C6416" s="22" t="s">
        <v>35</v>
      </c>
      <c r="D6416">
        <v>1</v>
      </c>
      <c r="G6416" s="30">
        <f>Table132[[#This Row],[nb win]]/Table132[[#This Row],[nb play]]</f>
        <v>0</v>
      </c>
      <c r="H6416" t="str">
        <f>MID(Table132[[#This Row],[ÉTAT]],VALUE(RIGHT(Table132[[#This Row],[next move]],1))+1+VALUE(LEFT(Table132[[#This Row],[next move]],1))*3,1)</f>
        <v>V</v>
      </c>
      <c r="I6416" t="str">
        <f>Table132[[#This Row],[ÉTAT]]&amp;Table132[[#This Row],[next move]]</f>
        <v>EEVMVMVME20</v>
      </c>
    </row>
    <row r="6417" spans="2:9" x14ac:dyDescent="0.25">
      <c r="B6417" t="s">
        <v>689</v>
      </c>
      <c r="C6417" s="22" t="s">
        <v>29</v>
      </c>
      <c r="D6417">
        <v>2</v>
      </c>
      <c r="E6417">
        <v>2</v>
      </c>
      <c r="G6417" s="25">
        <f>Table132[[#This Row],[nb win]]/Table132[[#This Row],[nb play]]</f>
        <v>1</v>
      </c>
      <c r="H6417" t="str">
        <f>MID(Table132[[#This Row],[ÉTAT]],VALUE(RIGHT(Table132[[#This Row],[next move]],1))+1+VALUE(LEFT(Table132[[#This Row],[next move]],1))*3,1)</f>
        <v>V</v>
      </c>
      <c r="I6417" t="str">
        <f>Table132[[#This Row],[ÉTAT]]&amp;Table132[[#This Row],[next move]]</f>
        <v>EEVMVMVEV11</v>
      </c>
    </row>
    <row r="6418" spans="2:9" x14ac:dyDescent="0.25">
      <c r="B6418" t="s">
        <v>1105</v>
      </c>
      <c r="C6418" s="22" t="s">
        <v>29</v>
      </c>
      <c r="D6418">
        <v>5</v>
      </c>
      <c r="E6418">
        <v>5</v>
      </c>
      <c r="G6418" s="31">
        <f>Table132[[#This Row],[nb win]]/Table132[[#This Row],[nb play]]</f>
        <v>1</v>
      </c>
      <c r="H6418" t="str">
        <f>MID(Table132[[#This Row],[ÉTAT]],VALUE(RIGHT(Table132[[#This Row],[next move]],1))+1+VALUE(LEFT(Table132[[#This Row],[next move]],1))*3,1)</f>
        <v>V</v>
      </c>
      <c r="I6418" t="str">
        <f>Table132[[#This Row],[ÉTAT]]&amp;Table132[[#This Row],[next move]]</f>
        <v>EEVMVMVEM11</v>
      </c>
    </row>
    <row r="6419" spans="2:9" x14ac:dyDescent="0.25">
      <c r="B6419" t="s">
        <v>1973</v>
      </c>
      <c r="C6419" s="22" t="s">
        <v>20</v>
      </c>
      <c r="D6419">
        <v>2</v>
      </c>
      <c r="E6419">
        <v>1</v>
      </c>
      <c r="G6419" s="30">
        <f>Table132[[#This Row],[nb win]]/Table132[[#This Row],[nb play]]</f>
        <v>0.5</v>
      </c>
      <c r="H6419" t="str">
        <f>MID(Table132[[#This Row],[ÉTAT]],VALUE(RIGHT(Table132[[#This Row],[next move]],1))+1+VALUE(LEFT(Table132[[#This Row],[next move]],1))*3,1)</f>
        <v>V</v>
      </c>
      <c r="I6419" t="str">
        <f>Table132[[#This Row],[ÉTAT]]&amp;Table132[[#This Row],[next move]]</f>
        <v>EEVMVMMVE02</v>
      </c>
    </row>
    <row r="6420" spans="2:9" x14ac:dyDescent="0.25">
      <c r="B6420" t="s">
        <v>3450</v>
      </c>
      <c r="C6420" s="22" t="s">
        <v>20</v>
      </c>
      <c r="D6420">
        <v>1</v>
      </c>
      <c r="G6420" s="30">
        <f>Table132[[#This Row],[nb win]]/Table132[[#This Row],[nb play]]</f>
        <v>0</v>
      </c>
      <c r="H6420" t="str">
        <f>MID(Table132[[#This Row],[ÉTAT]],VALUE(RIGHT(Table132[[#This Row],[next move]],1))+1+VALUE(LEFT(Table132[[#This Row],[next move]],1))*3,1)</f>
        <v>V</v>
      </c>
      <c r="I6420" t="str">
        <f>Table132[[#This Row],[ÉTAT]]&amp;Table132[[#This Row],[next move]]</f>
        <v>EEVMVMMEV02</v>
      </c>
    </row>
    <row r="6421" spans="2:9" x14ac:dyDescent="0.25">
      <c r="B6421" t="s">
        <v>3473</v>
      </c>
      <c r="C6421" s="22" t="s">
        <v>22</v>
      </c>
      <c r="D6421">
        <v>1</v>
      </c>
      <c r="G6421" s="30">
        <f>Table132[[#This Row],[nb win]]/Table132[[#This Row],[nb play]]</f>
        <v>0</v>
      </c>
      <c r="H6421" t="str">
        <f>MID(Table132[[#This Row],[ÉTAT]],VALUE(RIGHT(Table132[[#This Row],[next move]],1))+1+VALUE(LEFT(Table132[[#This Row],[next move]],1))*3,1)</f>
        <v>V</v>
      </c>
      <c r="I6421" t="str">
        <f>Table132[[#This Row],[ÉTAT]]&amp;Table132[[#This Row],[next move]]</f>
        <v>EEVMVMEVV21</v>
      </c>
    </row>
    <row r="6422" spans="2:9" x14ac:dyDescent="0.25">
      <c r="B6422" t="s">
        <v>3065</v>
      </c>
      <c r="C6422" s="22" t="s">
        <v>20</v>
      </c>
      <c r="D6422">
        <v>1</v>
      </c>
      <c r="E6422">
        <v>1</v>
      </c>
      <c r="G6422" s="31">
        <f>Table132[[#This Row],[nb win]]/Table132[[#This Row],[nb play]]</f>
        <v>1</v>
      </c>
      <c r="H6422" t="str">
        <f>MID(Table132[[#This Row],[ÉTAT]],VALUE(RIGHT(Table132[[#This Row],[next move]],1))+1+VALUE(LEFT(Table132[[#This Row],[next move]],1))*3,1)</f>
        <v>V</v>
      </c>
      <c r="I6422" t="str">
        <f>Table132[[#This Row],[ÉTAT]]&amp;Table132[[#This Row],[next move]]</f>
        <v>EEVMVMEVM02</v>
      </c>
    </row>
    <row r="6423" spans="2:9" x14ac:dyDescent="0.25">
      <c r="B6423" t="s">
        <v>3065</v>
      </c>
      <c r="C6423" s="22" t="s">
        <v>22</v>
      </c>
      <c r="D6423">
        <v>1</v>
      </c>
      <c r="G6423" s="30">
        <f>Table132[[#This Row],[nb win]]/Table132[[#This Row],[nb play]]</f>
        <v>0</v>
      </c>
      <c r="H6423" t="str">
        <f>MID(Table132[[#This Row],[ÉTAT]],VALUE(RIGHT(Table132[[#This Row],[next move]],1))+1+VALUE(LEFT(Table132[[#This Row],[next move]],1))*3,1)</f>
        <v>V</v>
      </c>
      <c r="I6423" t="str">
        <f>Table132[[#This Row],[ÉTAT]]&amp;Table132[[#This Row],[next move]]</f>
        <v>EEVMVMEVM21</v>
      </c>
    </row>
    <row r="6424" spans="2:9" x14ac:dyDescent="0.25">
      <c r="B6424" t="s">
        <v>44</v>
      </c>
      <c r="C6424" s="22" t="s">
        <v>20</v>
      </c>
      <c r="D6424">
        <v>1</v>
      </c>
      <c r="E6424">
        <v>1</v>
      </c>
      <c r="G6424" s="25">
        <f>Table132[[#This Row],[nb win]]/Table132[[#This Row],[nb play]]</f>
        <v>1</v>
      </c>
      <c r="H6424" t="str">
        <f>MID(Table132[[#This Row],[ÉTAT]],VALUE(RIGHT(Table132[[#This Row],[next move]],1))+1+VALUE(LEFT(Table132[[#This Row],[next move]],1))*3,1)</f>
        <v>V</v>
      </c>
      <c r="I6424" t="str">
        <f>Table132[[#This Row],[ÉTAT]]&amp;Table132[[#This Row],[next move]]</f>
        <v>EEVMVMEMV02</v>
      </c>
    </row>
    <row r="6425" spans="2:9" x14ac:dyDescent="0.25">
      <c r="B6425" t="s">
        <v>963</v>
      </c>
      <c r="C6425" s="22" t="s">
        <v>20</v>
      </c>
      <c r="D6425">
        <v>2</v>
      </c>
      <c r="G6425" s="30">
        <f>Table132[[#This Row],[nb win]]/Table132[[#This Row],[nb play]]</f>
        <v>0</v>
      </c>
      <c r="H6425" t="str">
        <f>MID(Table132[[#This Row],[ÉTAT]],VALUE(RIGHT(Table132[[#This Row],[next move]],1))+1+VALUE(LEFT(Table132[[#This Row],[next move]],1))*3,1)</f>
        <v>V</v>
      </c>
      <c r="I6425" t="str">
        <f>Table132[[#This Row],[ÉTAT]]&amp;Table132[[#This Row],[next move]]</f>
        <v>EEVMVMEME02</v>
      </c>
    </row>
    <row r="6426" spans="2:9" x14ac:dyDescent="0.25">
      <c r="B6426" t="s">
        <v>963</v>
      </c>
      <c r="C6426" s="22" t="s">
        <v>29</v>
      </c>
      <c r="D6426">
        <v>1</v>
      </c>
      <c r="E6426">
        <v>1</v>
      </c>
      <c r="G6426" s="25">
        <f>Table132[[#This Row],[nb win]]/Table132[[#This Row],[nb play]]</f>
        <v>1</v>
      </c>
      <c r="H6426" t="str">
        <f>MID(Table132[[#This Row],[ÉTAT]],VALUE(RIGHT(Table132[[#This Row],[next move]],1))+1+VALUE(LEFT(Table132[[#This Row],[next move]],1))*3,1)</f>
        <v>V</v>
      </c>
      <c r="I6426" t="str">
        <f>Table132[[#This Row],[ÉTAT]]&amp;Table132[[#This Row],[next move]]</f>
        <v>EEVMVMEME11</v>
      </c>
    </row>
    <row r="6427" spans="2:9" x14ac:dyDescent="0.25">
      <c r="B6427" t="s">
        <v>974</v>
      </c>
      <c r="C6427" s="22" t="s">
        <v>20</v>
      </c>
      <c r="D6427">
        <v>1</v>
      </c>
      <c r="E6427">
        <v>1</v>
      </c>
      <c r="G6427" s="25">
        <f>Table132[[#This Row],[nb win]]/Table132[[#This Row],[nb play]]</f>
        <v>1</v>
      </c>
      <c r="H6427" t="str">
        <f>MID(Table132[[#This Row],[ÉTAT]],VALUE(RIGHT(Table132[[#This Row],[next move]],1))+1+VALUE(LEFT(Table132[[#This Row],[next move]],1))*3,1)</f>
        <v>V</v>
      </c>
      <c r="I6427" t="str">
        <f>Table132[[#This Row],[ÉTAT]]&amp;Table132[[#This Row],[next move]]</f>
        <v>EEVMVMEEM02</v>
      </c>
    </row>
    <row r="6428" spans="2:9" x14ac:dyDescent="0.25">
      <c r="B6428" t="s">
        <v>3021</v>
      </c>
      <c r="C6428" s="22" t="s">
        <v>29</v>
      </c>
      <c r="D6428">
        <v>1</v>
      </c>
      <c r="G6428" s="25">
        <f>Table132[[#This Row],[nb win]]/Table132[[#This Row],[nb play]]</f>
        <v>0</v>
      </c>
      <c r="H6428" t="str">
        <f>MID(Table132[[#This Row],[ÉTAT]],VALUE(RIGHT(Table132[[#This Row],[next move]],1))+1+VALUE(LEFT(Table132[[#This Row],[next move]],1))*3,1)</f>
        <v>V</v>
      </c>
      <c r="I6428" t="str">
        <f>Table132[[#This Row],[ÉTAT]]&amp;Table132[[#This Row],[next move]]</f>
        <v>EEVMVEVMV11</v>
      </c>
    </row>
    <row r="6429" spans="2:9" x14ac:dyDescent="0.25">
      <c r="B6429" t="s">
        <v>1526</v>
      </c>
      <c r="C6429" s="22" t="s">
        <v>35</v>
      </c>
      <c r="D6429">
        <v>2</v>
      </c>
      <c r="E6429">
        <v>2</v>
      </c>
      <c r="G6429" s="31">
        <f>Table132[[#This Row],[nb win]]/Table132[[#This Row],[nb play]]</f>
        <v>1</v>
      </c>
      <c r="H6429" t="str">
        <f>MID(Table132[[#This Row],[ÉTAT]],VALUE(RIGHT(Table132[[#This Row],[next move]],1))+1+VALUE(LEFT(Table132[[#This Row],[next move]],1))*3,1)</f>
        <v>V</v>
      </c>
      <c r="I6429" t="str">
        <f>Table132[[#This Row],[ÉTAT]]&amp;Table132[[#This Row],[next move]]</f>
        <v>EEVMVEVMM20</v>
      </c>
    </row>
    <row r="6430" spans="2:9" x14ac:dyDescent="0.25">
      <c r="B6430" t="s">
        <v>2694</v>
      </c>
      <c r="C6430" s="22" t="s">
        <v>20</v>
      </c>
      <c r="D6430">
        <v>1</v>
      </c>
      <c r="G6430" s="25">
        <f>Table132[[#This Row],[nb win]]/Table132[[#This Row],[nb play]]</f>
        <v>0</v>
      </c>
      <c r="H6430" t="str">
        <f>MID(Table132[[#This Row],[ÉTAT]],VALUE(RIGHT(Table132[[#This Row],[next move]],1))+1+VALUE(LEFT(Table132[[#This Row],[next move]],1))*3,1)</f>
        <v>V</v>
      </c>
      <c r="I6430" t="str">
        <f>Table132[[#This Row],[ÉTAT]]&amp;Table132[[#This Row],[next move]]</f>
        <v>EEVMVEMVV02</v>
      </c>
    </row>
    <row r="6431" spans="2:9" x14ac:dyDescent="0.25">
      <c r="B6431" t="s">
        <v>2694</v>
      </c>
      <c r="C6431" s="22" t="s">
        <v>31</v>
      </c>
      <c r="D6431">
        <v>1</v>
      </c>
      <c r="G6431" s="30">
        <f>Table132[[#This Row],[nb win]]/Table132[[#This Row],[nb play]]</f>
        <v>0</v>
      </c>
      <c r="H6431" t="str">
        <f>MID(Table132[[#This Row],[ÉTAT]],VALUE(RIGHT(Table132[[#This Row],[next move]],1))+1+VALUE(LEFT(Table132[[#This Row],[next move]],1))*3,1)</f>
        <v>V</v>
      </c>
      <c r="I6431" t="str">
        <f>Table132[[#This Row],[ÉTAT]]&amp;Table132[[#This Row],[next move]]</f>
        <v>EEVMVEMVV22</v>
      </c>
    </row>
    <row r="6432" spans="2:9" x14ac:dyDescent="0.25">
      <c r="B6432" t="s">
        <v>1172</v>
      </c>
      <c r="C6432" s="22" t="s">
        <v>20</v>
      </c>
      <c r="D6432">
        <v>2</v>
      </c>
      <c r="G6432" s="30">
        <f>Table132[[#This Row],[nb win]]/Table132[[#This Row],[nb play]]</f>
        <v>0</v>
      </c>
      <c r="H6432" t="str">
        <f>MID(Table132[[#This Row],[ÉTAT]],VALUE(RIGHT(Table132[[#This Row],[next move]],1))+1+VALUE(LEFT(Table132[[#This Row],[next move]],1))*3,1)</f>
        <v>V</v>
      </c>
      <c r="I6432" t="str">
        <f>Table132[[#This Row],[ÉTAT]]&amp;Table132[[#This Row],[next move]]</f>
        <v>EEVMVEMME02</v>
      </c>
    </row>
    <row r="6433" spans="2:9" x14ac:dyDescent="0.25">
      <c r="B6433" t="s">
        <v>1172</v>
      </c>
      <c r="C6433" s="22" t="s">
        <v>29</v>
      </c>
      <c r="D6433">
        <v>1</v>
      </c>
      <c r="G6433" s="25">
        <f>Table132[[#This Row],[nb win]]/Table132[[#This Row],[nb play]]</f>
        <v>0</v>
      </c>
      <c r="H6433" t="str">
        <f>MID(Table132[[#This Row],[ÉTAT]],VALUE(RIGHT(Table132[[#This Row],[next move]],1))+1+VALUE(LEFT(Table132[[#This Row],[next move]],1))*3,1)</f>
        <v>V</v>
      </c>
      <c r="I6433" t="str">
        <f>Table132[[#This Row],[ÉTAT]]&amp;Table132[[#This Row],[next move]]</f>
        <v>EEVMVEMME11</v>
      </c>
    </row>
    <row r="6434" spans="2:9" x14ac:dyDescent="0.25">
      <c r="B6434" t="s">
        <v>665</v>
      </c>
      <c r="C6434" s="22" t="s">
        <v>20</v>
      </c>
      <c r="D6434">
        <v>2</v>
      </c>
      <c r="G6434" s="30">
        <f>Table132[[#This Row],[nb win]]/Table132[[#This Row],[nb play]]</f>
        <v>0</v>
      </c>
      <c r="H6434" t="str">
        <f>MID(Table132[[#This Row],[ÉTAT]],VALUE(RIGHT(Table132[[#This Row],[next move]],1))+1+VALUE(LEFT(Table132[[#This Row],[next move]],1))*3,1)</f>
        <v>V</v>
      </c>
      <c r="I6434" t="str">
        <f>Table132[[#This Row],[ÉTAT]]&amp;Table132[[#This Row],[next move]]</f>
        <v>EEVMVEMEM02</v>
      </c>
    </row>
    <row r="6435" spans="2:9" x14ac:dyDescent="0.25">
      <c r="B6435" t="s">
        <v>665</v>
      </c>
      <c r="C6435" s="22" t="s">
        <v>29</v>
      </c>
      <c r="D6435">
        <v>1</v>
      </c>
      <c r="G6435" s="25">
        <f>Table132[[#This Row],[nb win]]/Table132[[#This Row],[nb play]]</f>
        <v>0</v>
      </c>
      <c r="H6435" t="str">
        <f>MID(Table132[[#This Row],[ÉTAT]],VALUE(RIGHT(Table132[[#This Row],[next move]],1))+1+VALUE(LEFT(Table132[[#This Row],[next move]],1))*3,1)</f>
        <v>V</v>
      </c>
      <c r="I6435" t="str">
        <f>Table132[[#This Row],[ÉTAT]]&amp;Table132[[#This Row],[next move]]</f>
        <v>EEVMVEMEM11</v>
      </c>
    </row>
    <row r="6436" spans="2:9" x14ac:dyDescent="0.25">
      <c r="B6436" t="s">
        <v>512</v>
      </c>
      <c r="C6436" s="22" t="s">
        <v>28</v>
      </c>
      <c r="D6436">
        <v>8</v>
      </c>
      <c r="E6436">
        <v>8</v>
      </c>
      <c r="G6436" s="31">
        <f>Table132[[#This Row],[nb win]]/Table132[[#This Row],[nb play]]</f>
        <v>1</v>
      </c>
      <c r="H6436" t="str">
        <f>MID(Table132[[#This Row],[ÉTAT]],VALUE(RIGHT(Table132[[#This Row],[next move]],1))+1+VALUE(LEFT(Table132[[#This Row],[next move]],1))*3,1)</f>
        <v>V</v>
      </c>
      <c r="I6436" t="str">
        <f>Table132[[#This Row],[ÉTAT]]&amp;Table132[[#This Row],[next move]]</f>
        <v>EEVMMVVVV12</v>
      </c>
    </row>
    <row r="6437" spans="2:9" x14ac:dyDescent="0.25">
      <c r="B6437" t="s">
        <v>3221</v>
      </c>
      <c r="C6437" s="22" t="s">
        <v>35</v>
      </c>
      <c r="D6437">
        <v>1</v>
      </c>
      <c r="G6437" s="30">
        <f>Table132[[#This Row],[nb win]]/Table132[[#This Row],[nb play]]</f>
        <v>0</v>
      </c>
      <c r="H6437" t="str">
        <f>MID(Table132[[#This Row],[ÉTAT]],VALUE(RIGHT(Table132[[#This Row],[next move]],1))+1+VALUE(LEFT(Table132[[#This Row],[next move]],1))*3,1)</f>
        <v>V</v>
      </c>
      <c r="I6437" t="str">
        <f>Table132[[#This Row],[ÉTAT]]&amp;Table132[[#This Row],[next move]]</f>
        <v>EEVMMVVVE20</v>
      </c>
    </row>
    <row r="6438" spans="2:9" x14ac:dyDescent="0.25">
      <c r="B6438" t="s">
        <v>3423</v>
      </c>
      <c r="C6438" s="22" t="s">
        <v>28</v>
      </c>
      <c r="D6438">
        <v>1</v>
      </c>
      <c r="E6438">
        <v>1</v>
      </c>
      <c r="G6438" s="31">
        <f>Table132[[#This Row],[nb win]]/Table132[[#This Row],[nb play]]</f>
        <v>1</v>
      </c>
      <c r="H6438" t="str">
        <f>MID(Table132[[#This Row],[ÉTAT]],VALUE(RIGHT(Table132[[#This Row],[next move]],1))+1+VALUE(LEFT(Table132[[#This Row],[next move]],1))*3,1)</f>
        <v>V</v>
      </c>
      <c r="I6438" t="str">
        <f>Table132[[#This Row],[ÉTAT]]&amp;Table132[[#This Row],[next move]]</f>
        <v>EEVMMVVME12</v>
      </c>
    </row>
    <row r="6439" spans="2:9" x14ac:dyDescent="0.25">
      <c r="B6439" t="s">
        <v>3441</v>
      </c>
      <c r="C6439" s="22" t="s">
        <v>35</v>
      </c>
      <c r="D6439">
        <v>1</v>
      </c>
      <c r="G6439" s="30">
        <f>Table132[[#This Row],[nb win]]/Table132[[#This Row],[nb play]]</f>
        <v>0</v>
      </c>
      <c r="H6439" t="str">
        <f>MID(Table132[[#This Row],[ÉTAT]],VALUE(RIGHT(Table132[[#This Row],[next move]],1))+1+VALUE(LEFT(Table132[[#This Row],[next move]],1))*3,1)</f>
        <v>V</v>
      </c>
      <c r="I6439" t="str">
        <f>Table132[[#This Row],[ÉTAT]]&amp;Table132[[#This Row],[next move]]</f>
        <v>EEVMMVVEV20</v>
      </c>
    </row>
    <row r="6440" spans="2:9" x14ac:dyDescent="0.25">
      <c r="B6440" t="s">
        <v>1923</v>
      </c>
      <c r="C6440" s="22" t="s">
        <v>28</v>
      </c>
      <c r="D6440">
        <v>4</v>
      </c>
      <c r="E6440">
        <v>4</v>
      </c>
      <c r="G6440" s="31">
        <f>Table132[[#This Row],[nb win]]/Table132[[#This Row],[nb play]]</f>
        <v>1</v>
      </c>
      <c r="H6440" t="str">
        <f>MID(Table132[[#This Row],[ÉTAT]],VALUE(RIGHT(Table132[[#This Row],[next move]],1))+1+VALUE(LEFT(Table132[[#This Row],[next move]],1))*3,1)</f>
        <v>V</v>
      </c>
      <c r="I6440" t="str">
        <f>Table132[[#This Row],[ÉTAT]]&amp;Table132[[#This Row],[next move]]</f>
        <v>EEVMMVVEM12</v>
      </c>
    </row>
    <row r="6441" spans="2:9" x14ac:dyDescent="0.25">
      <c r="B6441" t="s">
        <v>143</v>
      </c>
      <c r="C6441" s="22" t="s">
        <v>20</v>
      </c>
      <c r="D6441">
        <v>1</v>
      </c>
      <c r="E6441">
        <v>1</v>
      </c>
      <c r="G6441" s="25">
        <f>Table132[[#This Row],[nb win]]/Table132[[#This Row],[nb play]]</f>
        <v>1</v>
      </c>
      <c r="H6441" t="str">
        <f>MID(Table132[[#This Row],[ÉTAT]],VALUE(RIGHT(Table132[[#This Row],[next move]],1))+1+VALUE(LEFT(Table132[[#This Row],[next move]],1))*3,1)</f>
        <v>V</v>
      </c>
      <c r="I6441" t="str">
        <f>Table132[[#This Row],[ÉTAT]]&amp;Table132[[#This Row],[next move]]</f>
        <v>EEVMMVMVE02</v>
      </c>
    </row>
    <row r="6442" spans="2:9" x14ac:dyDescent="0.25">
      <c r="B6442" t="s">
        <v>1513</v>
      </c>
      <c r="C6442" s="22" t="s">
        <v>31</v>
      </c>
      <c r="D6442">
        <v>1</v>
      </c>
      <c r="E6442">
        <v>1</v>
      </c>
      <c r="G6442" s="25">
        <f>Table132[[#This Row],[nb win]]/Table132[[#This Row],[nb play]]</f>
        <v>1</v>
      </c>
      <c r="H6442" t="str">
        <f>MID(Table132[[#This Row],[ÉTAT]],VALUE(RIGHT(Table132[[#This Row],[next move]],1))+1+VALUE(LEFT(Table132[[#This Row],[next move]],1))*3,1)</f>
        <v>V</v>
      </c>
      <c r="I6442" t="str">
        <f>Table132[[#This Row],[ÉTAT]]&amp;Table132[[#This Row],[next move]]</f>
        <v>EEVMMVMEV22</v>
      </c>
    </row>
    <row r="6443" spans="2:9" x14ac:dyDescent="0.25">
      <c r="B6443" t="s">
        <v>2434</v>
      </c>
      <c r="C6443" s="22" t="s">
        <v>28</v>
      </c>
      <c r="D6443">
        <v>2</v>
      </c>
      <c r="E6443">
        <v>2</v>
      </c>
      <c r="G6443" s="25">
        <f>Table132[[#This Row],[nb win]]/Table132[[#This Row],[nb play]]</f>
        <v>1</v>
      </c>
      <c r="H6443" t="str">
        <f>MID(Table132[[#This Row],[ÉTAT]],VALUE(RIGHT(Table132[[#This Row],[next move]],1))+1+VALUE(LEFT(Table132[[#This Row],[next move]],1))*3,1)</f>
        <v>V</v>
      </c>
      <c r="I6443" t="str">
        <f>Table132[[#This Row],[ÉTAT]]&amp;Table132[[#This Row],[next move]]</f>
        <v>EEVMMVMEE12</v>
      </c>
    </row>
    <row r="6444" spans="2:9" x14ac:dyDescent="0.25">
      <c r="B6444" t="s">
        <v>1611</v>
      </c>
      <c r="C6444" s="22" t="s">
        <v>28</v>
      </c>
      <c r="D6444">
        <v>3</v>
      </c>
      <c r="E6444">
        <v>3</v>
      </c>
      <c r="G6444" s="31">
        <f>Table132[[#This Row],[nb win]]/Table132[[#This Row],[nb play]]</f>
        <v>1</v>
      </c>
      <c r="H6444" t="str">
        <f>MID(Table132[[#This Row],[ÉTAT]],VALUE(RIGHT(Table132[[#This Row],[next move]],1))+1+VALUE(LEFT(Table132[[#This Row],[next move]],1))*3,1)</f>
        <v>V</v>
      </c>
      <c r="I6444" t="str">
        <f>Table132[[#This Row],[ÉTAT]]&amp;Table132[[#This Row],[next move]]</f>
        <v>EEVMMVEVV12</v>
      </c>
    </row>
    <row r="6445" spans="2:9" x14ac:dyDescent="0.25">
      <c r="B6445" t="s">
        <v>3188</v>
      </c>
      <c r="C6445" s="22" t="s">
        <v>28</v>
      </c>
      <c r="D6445">
        <v>1</v>
      </c>
      <c r="E6445">
        <v>1</v>
      </c>
      <c r="G6445" s="31">
        <f>Table132[[#This Row],[nb win]]/Table132[[#This Row],[nb play]]</f>
        <v>1</v>
      </c>
      <c r="H6445" t="str">
        <f>MID(Table132[[#This Row],[ÉTAT]],VALUE(RIGHT(Table132[[#This Row],[next move]],1))+1+VALUE(LEFT(Table132[[#This Row],[next move]],1))*3,1)</f>
        <v>V</v>
      </c>
      <c r="I6445" t="str">
        <f>Table132[[#This Row],[ÉTAT]]&amp;Table132[[#This Row],[next move]]</f>
        <v>EEVMMVEVM12</v>
      </c>
    </row>
    <row r="6446" spans="2:9" x14ac:dyDescent="0.25">
      <c r="B6446" t="s">
        <v>3111</v>
      </c>
      <c r="C6446" s="22" t="s">
        <v>28</v>
      </c>
      <c r="D6446">
        <v>1</v>
      </c>
      <c r="E6446">
        <v>1</v>
      </c>
      <c r="G6446" s="31">
        <f>Table132[[#This Row],[nb win]]/Table132[[#This Row],[nb play]]</f>
        <v>1</v>
      </c>
      <c r="H6446" t="str">
        <f>MID(Table132[[#This Row],[ÉTAT]],VALUE(RIGHT(Table132[[#This Row],[next move]],1))+1+VALUE(LEFT(Table132[[#This Row],[next move]],1))*3,1)</f>
        <v>V</v>
      </c>
      <c r="I6446" t="str">
        <f>Table132[[#This Row],[ÉTAT]]&amp;Table132[[#This Row],[next move]]</f>
        <v>EEVMMVEME12</v>
      </c>
    </row>
    <row r="6447" spans="2:9" x14ac:dyDescent="0.25">
      <c r="B6447" t="s">
        <v>1835</v>
      </c>
      <c r="C6447" s="22" t="s">
        <v>28</v>
      </c>
      <c r="D6447">
        <v>1</v>
      </c>
      <c r="E6447">
        <v>1</v>
      </c>
      <c r="G6447" s="25">
        <f>Table132[[#This Row],[nb win]]/Table132[[#This Row],[nb play]]</f>
        <v>1</v>
      </c>
      <c r="H6447" t="str">
        <f>MID(Table132[[#This Row],[ÉTAT]],VALUE(RIGHT(Table132[[#This Row],[next move]],1))+1+VALUE(LEFT(Table132[[#This Row],[next move]],1))*3,1)</f>
        <v>V</v>
      </c>
      <c r="I6447" t="str">
        <f>Table132[[#This Row],[ÉTAT]]&amp;Table132[[#This Row],[next move]]</f>
        <v>EEVMMVEEM12</v>
      </c>
    </row>
    <row r="6448" spans="2:9" x14ac:dyDescent="0.25">
      <c r="B6448" t="s">
        <v>3009</v>
      </c>
      <c r="C6448" s="22" t="s">
        <v>35</v>
      </c>
      <c r="D6448">
        <v>1</v>
      </c>
      <c r="G6448" s="30">
        <f>Table132[[#This Row],[nb win]]/Table132[[#This Row],[nb play]]</f>
        <v>0</v>
      </c>
      <c r="H6448" t="str">
        <f>MID(Table132[[#This Row],[ÉTAT]],VALUE(RIGHT(Table132[[#This Row],[next move]],1))+1+VALUE(LEFT(Table132[[#This Row],[next move]],1))*3,1)</f>
        <v>V</v>
      </c>
      <c r="I6448" t="str">
        <f>Table132[[#This Row],[ÉTAT]]&amp;Table132[[#This Row],[next move]]</f>
        <v>EEVMMEVVV20</v>
      </c>
    </row>
    <row r="6449" spans="2:9" x14ac:dyDescent="0.25">
      <c r="B6449" t="s">
        <v>3009</v>
      </c>
      <c r="C6449" s="22" t="s">
        <v>22</v>
      </c>
      <c r="D6449">
        <v>1</v>
      </c>
      <c r="G6449" s="30">
        <f>Table132[[#This Row],[nb win]]/Table132[[#This Row],[nb play]]</f>
        <v>0</v>
      </c>
      <c r="H6449" t="str">
        <f>MID(Table132[[#This Row],[ÉTAT]],VALUE(RIGHT(Table132[[#This Row],[next move]],1))+1+VALUE(LEFT(Table132[[#This Row],[next move]],1))*3,1)</f>
        <v>V</v>
      </c>
      <c r="I6449" t="str">
        <f>Table132[[#This Row],[ÉTAT]]&amp;Table132[[#This Row],[next move]]</f>
        <v>EEVMMEVVV21</v>
      </c>
    </row>
    <row r="6450" spans="2:9" x14ac:dyDescent="0.25">
      <c r="B6450" t="s">
        <v>3009</v>
      </c>
      <c r="C6450" s="22" t="s">
        <v>31</v>
      </c>
      <c r="D6450">
        <v>1</v>
      </c>
      <c r="G6450" s="25">
        <f>Table132[[#This Row],[nb win]]/Table132[[#This Row],[nb play]]</f>
        <v>0</v>
      </c>
      <c r="H6450" t="str">
        <f>MID(Table132[[#This Row],[ÉTAT]],VALUE(RIGHT(Table132[[#This Row],[next move]],1))+1+VALUE(LEFT(Table132[[#This Row],[next move]],1))*3,1)</f>
        <v>V</v>
      </c>
      <c r="I6450" t="str">
        <f>Table132[[#This Row],[ÉTAT]]&amp;Table132[[#This Row],[next move]]</f>
        <v>EEVMMEVVV22</v>
      </c>
    </row>
    <row r="6451" spans="2:9" x14ac:dyDescent="0.25">
      <c r="B6451" t="s">
        <v>233</v>
      </c>
      <c r="C6451" s="22" t="s">
        <v>20</v>
      </c>
      <c r="D6451">
        <v>1</v>
      </c>
      <c r="E6451">
        <v>1</v>
      </c>
      <c r="G6451" s="25">
        <f>Table132[[#This Row],[nb win]]/Table132[[#This Row],[nb play]]</f>
        <v>1</v>
      </c>
      <c r="H6451" t="str">
        <f>MID(Table132[[#This Row],[ÉTAT]],VALUE(RIGHT(Table132[[#This Row],[next move]],1))+1+VALUE(LEFT(Table132[[#This Row],[next move]],1))*3,1)</f>
        <v>V</v>
      </c>
      <c r="I6451" t="str">
        <f>Table132[[#This Row],[ÉTAT]]&amp;Table132[[#This Row],[next move]]</f>
        <v>EEVMMEVVM02</v>
      </c>
    </row>
    <row r="6452" spans="2:9" x14ac:dyDescent="0.25">
      <c r="B6452" t="s">
        <v>233</v>
      </c>
      <c r="C6452" s="22" t="s">
        <v>35</v>
      </c>
      <c r="D6452">
        <v>3</v>
      </c>
      <c r="G6452" s="30">
        <f>Table132[[#This Row],[nb win]]/Table132[[#This Row],[nb play]]</f>
        <v>0</v>
      </c>
      <c r="H6452" t="str">
        <f>MID(Table132[[#This Row],[ÉTAT]],VALUE(RIGHT(Table132[[#This Row],[next move]],1))+1+VALUE(LEFT(Table132[[#This Row],[next move]],1))*3,1)</f>
        <v>V</v>
      </c>
      <c r="I6452" t="str">
        <f>Table132[[#This Row],[ÉTAT]]&amp;Table132[[#This Row],[next move]]</f>
        <v>EEVMMEVVM20</v>
      </c>
    </row>
    <row r="6453" spans="2:9" x14ac:dyDescent="0.25">
      <c r="B6453" t="s">
        <v>695</v>
      </c>
      <c r="C6453" s="22" t="s">
        <v>35</v>
      </c>
      <c r="D6453">
        <v>1</v>
      </c>
      <c r="G6453" s="25">
        <f>Table132[[#This Row],[nb win]]/Table132[[#This Row],[nb play]]</f>
        <v>0</v>
      </c>
      <c r="H6453" t="str">
        <f>MID(Table132[[#This Row],[ÉTAT]],VALUE(RIGHT(Table132[[#This Row],[next move]],1))+1+VALUE(LEFT(Table132[[#This Row],[next move]],1))*3,1)</f>
        <v>V</v>
      </c>
      <c r="I6453" t="str">
        <f>Table132[[#This Row],[ÉTAT]]&amp;Table132[[#This Row],[next move]]</f>
        <v>EEVMMEVMV20</v>
      </c>
    </row>
    <row r="6454" spans="2:9" x14ac:dyDescent="0.25">
      <c r="B6454" t="s">
        <v>695</v>
      </c>
      <c r="C6454" s="22" t="s">
        <v>31</v>
      </c>
      <c r="D6454">
        <v>1</v>
      </c>
      <c r="G6454" s="25">
        <f>Table132[[#This Row],[nb win]]/Table132[[#This Row],[nb play]]</f>
        <v>0</v>
      </c>
      <c r="H6454" t="str">
        <f>MID(Table132[[#This Row],[ÉTAT]],VALUE(RIGHT(Table132[[#This Row],[next move]],1))+1+VALUE(LEFT(Table132[[#This Row],[next move]],1))*3,1)</f>
        <v>V</v>
      </c>
      <c r="I6454" t="str">
        <f>Table132[[#This Row],[ÉTAT]]&amp;Table132[[#This Row],[next move]]</f>
        <v>EEVMMEVMV22</v>
      </c>
    </row>
    <row r="6455" spans="2:9" x14ac:dyDescent="0.25">
      <c r="B6455" t="s">
        <v>2521</v>
      </c>
      <c r="C6455" s="22" t="s">
        <v>35</v>
      </c>
      <c r="D6455">
        <v>1</v>
      </c>
      <c r="G6455" s="25">
        <f>Table132[[#This Row],[nb win]]/Table132[[#This Row],[nb play]]</f>
        <v>0</v>
      </c>
      <c r="H6455" t="str">
        <f>MID(Table132[[#This Row],[ÉTAT]],VALUE(RIGHT(Table132[[#This Row],[next move]],1))+1+VALUE(LEFT(Table132[[#This Row],[next move]],1))*3,1)</f>
        <v>V</v>
      </c>
      <c r="I6455" t="str">
        <f>Table132[[#This Row],[ÉTAT]]&amp;Table132[[#This Row],[next move]]</f>
        <v>EEVMMEVEM20</v>
      </c>
    </row>
    <row r="6456" spans="2:9" x14ac:dyDescent="0.25">
      <c r="B6456" t="s">
        <v>3223</v>
      </c>
      <c r="C6456" s="22" t="s">
        <v>22</v>
      </c>
      <c r="D6456">
        <v>1</v>
      </c>
      <c r="G6456" s="30">
        <f>Table132[[#This Row],[nb win]]/Table132[[#This Row],[nb play]]</f>
        <v>0</v>
      </c>
      <c r="H6456" t="str">
        <f>MID(Table132[[#This Row],[ÉTAT]],VALUE(RIGHT(Table132[[#This Row],[next move]],1))+1+VALUE(LEFT(Table132[[#This Row],[next move]],1))*3,1)</f>
        <v>V</v>
      </c>
      <c r="I6456" t="str">
        <f>Table132[[#This Row],[ÉTAT]]&amp;Table132[[#This Row],[next move]]</f>
        <v>EEVMMEMVE21</v>
      </c>
    </row>
    <row r="6457" spans="2:9" x14ac:dyDescent="0.25">
      <c r="B6457" t="s">
        <v>184</v>
      </c>
      <c r="C6457" s="22" t="s">
        <v>20</v>
      </c>
      <c r="D6457">
        <v>3</v>
      </c>
      <c r="E6457">
        <v>3</v>
      </c>
      <c r="G6457" s="25">
        <f>Table132[[#This Row],[nb win]]/Table132[[#This Row],[nb play]]</f>
        <v>1</v>
      </c>
      <c r="H6457" t="str">
        <f>MID(Table132[[#This Row],[ÉTAT]],VALUE(RIGHT(Table132[[#This Row],[next move]],1))+1+VALUE(LEFT(Table132[[#This Row],[next move]],1))*3,1)</f>
        <v>V</v>
      </c>
      <c r="I6457" t="str">
        <f>Table132[[#This Row],[ÉTAT]]&amp;Table132[[#This Row],[next move]]</f>
        <v>EEVMMEMME02</v>
      </c>
    </row>
    <row r="6458" spans="2:9" x14ac:dyDescent="0.25">
      <c r="B6458" t="s">
        <v>3443</v>
      </c>
      <c r="C6458" s="22" t="s">
        <v>31</v>
      </c>
      <c r="D6458">
        <v>1</v>
      </c>
      <c r="G6458" s="30">
        <f>Table132[[#This Row],[nb win]]/Table132[[#This Row],[nb play]]</f>
        <v>0</v>
      </c>
      <c r="H6458" t="str">
        <f>MID(Table132[[#This Row],[ÉTAT]],VALUE(RIGHT(Table132[[#This Row],[next move]],1))+1+VALUE(LEFT(Table132[[#This Row],[next move]],1))*3,1)</f>
        <v>V</v>
      </c>
      <c r="I6458" t="str">
        <f>Table132[[#This Row],[ÉTAT]]&amp;Table132[[#This Row],[next move]]</f>
        <v>EEVMMEMEV22</v>
      </c>
    </row>
    <row r="6459" spans="2:9" x14ac:dyDescent="0.25">
      <c r="B6459" t="s">
        <v>1515</v>
      </c>
      <c r="C6459" s="22" t="s">
        <v>20</v>
      </c>
      <c r="D6459">
        <v>5</v>
      </c>
      <c r="E6459">
        <v>5</v>
      </c>
      <c r="G6459" s="31">
        <f>Table132[[#This Row],[nb win]]/Table132[[#This Row],[nb play]]</f>
        <v>1</v>
      </c>
      <c r="H6459" t="str">
        <f>MID(Table132[[#This Row],[ÉTAT]],VALUE(RIGHT(Table132[[#This Row],[next move]],1))+1+VALUE(LEFT(Table132[[#This Row],[next move]],1))*3,1)</f>
        <v>V</v>
      </c>
      <c r="I6459" t="str">
        <f>Table132[[#This Row],[ÉTAT]]&amp;Table132[[#This Row],[next move]]</f>
        <v>EEVMMEMEM02</v>
      </c>
    </row>
    <row r="6460" spans="2:9" x14ac:dyDescent="0.25">
      <c r="B6460" t="s">
        <v>2923</v>
      </c>
      <c r="C6460" s="22" t="s">
        <v>22</v>
      </c>
      <c r="D6460">
        <v>1</v>
      </c>
      <c r="G6460" s="25">
        <f>Table132[[#This Row],[nb win]]/Table132[[#This Row],[nb play]]</f>
        <v>0</v>
      </c>
      <c r="H6460" t="str">
        <f>MID(Table132[[#This Row],[ÉTAT]],VALUE(RIGHT(Table132[[#This Row],[next move]],1))+1+VALUE(LEFT(Table132[[#This Row],[next move]],1))*3,1)</f>
        <v>V</v>
      </c>
      <c r="I6460" t="str">
        <f>Table132[[#This Row],[ÉTAT]]&amp;Table132[[#This Row],[next move]]</f>
        <v>EEVMMEEVM21</v>
      </c>
    </row>
    <row r="6461" spans="2:9" x14ac:dyDescent="0.25">
      <c r="B6461" t="s">
        <v>2345</v>
      </c>
      <c r="C6461" s="22" t="s">
        <v>31</v>
      </c>
      <c r="D6461">
        <v>1</v>
      </c>
      <c r="G6461" s="25">
        <f>Table132[[#This Row],[nb win]]/Table132[[#This Row],[nb play]]</f>
        <v>0</v>
      </c>
      <c r="H6461" t="str">
        <f>MID(Table132[[#This Row],[ÉTAT]],VALUE(RIGHT(Table132[[#This Row],[next move]],1))+1+VALUE(LEFT(Table132[[#This Row],[next move]],1))*3,1)</f>
        <v>V</v>
      </c>
      <c r="I6461" t="str">
        <f>Table132[[#This Row],[ÉTAT]]&amp;Table132[[#This Row],[next move]]</f>
        <v>EEVMMEEMV22</v>
      </c>
    </row>
    <row r="6462" spans="2:9" x14ac:dyDescent="0.25">
      <c r="B6462" t="s">
        <v>786</v>
      </c>
      <c r="C6462" s="22" t="s">
        <v>20</v>
      </c>
      <c r="D6462">
        <v>2</v>
      </c>
      <c r="G6462" s="25">
        <f>Table132[[#This Row],[nb win]]/Table132[[#This Row],[nb play]]</f>
        <v>0</v>
      </c>
      <c r="H6462" t="str">
        <f>MID(Table132[[#This Row],[ÉTAT]],VALUE(RIGHT(Table132[[#This Row],[next move]],1))+1+VALUE(LEFT(Table132[[#This Row],[next move]],1))*3,1)</f>
        <v>V</v>
      </c>
      <c r="I6462" t="str">
        <f>Table132[[#This Row],[ÉTAT]]&amp;Table132[[#This Row],[next move]]</f>
        <v>EEVMEVMVV02</v>
      </c>
    </row>
    <row r="6463" spans="2:9" x14ac:dyDescent="0.25">
      <c r="B6463" t="s">
        <v>786</v>
      </c>
      <c r="C6463" s="22" t="s">
        <v>28</v>
      </c>
      <c r="D6463">
        <v>3</v>
      </c>
      <c r="G6463" s="30">
        <f>Table132[[#This Row],[nb win]]/Table132[[#This Row],[nb play]]</f>
        <v>0</v>
      </c>
      <c r="H6463" t="str">
        <f>MID(Table132[[#This Row],[ÉTAT]],VALUE(RIGHT(Table132[[#This Row],[next move]],1))+1+VALUE(LEFT(Table132[[#This Row],[next move]],1))*3,1)</f>
        <v>V</v>
      </c>
      <c r="I6463" t="str">
        <f>Table132[[#This Row],[ÉTAT]]&amp;Table132[[#This Row],[next move]]</f>
        <v>EEVMEVMVV12</v>
      </c>
    </row>
    <row r="6464" spans="2:9" x14ac:dyDescent="0.25">
      <c r="B6464" t="s">
        <v>786</v>
      </c>
      <c r="C6464" s="22" t="s">
        <v>22</v>
      </c>
      <c r="D6464">
        <v>2</v>
      </c>
      <c r="G6464" s="30">
        <f>Table132[[#This Row],[nb win]]/Table132[[#This Row],[nb play]]</f>
        <v>0</v>
      </c>
      <c r="H6464" t="str">
        <f>MID(Table132[[#This Row],[ÉTAT]],VALUE(RIGHT(Table132[[#This Row],[next move]],1))+1+VALUE(LEFT(Table132[[#This Row],[next move]],1))*3,1)</f>
        <v>V</v>
      </c>
      <c r="I6464" t="str">
        <f>Table132[[#This Row],[ÉTAT]]&amp;Table132[[#This Row],[next move]]</f>
        <v>EEVMEVMVV21</v>
      </c>
    </row>
    <row r="6465" spans="2:9" x14ac:dyDescent="0.25">
      <c r="B6465" t="s">
        <v>786</v>
      </c>
      <c r="C6465" s="22" t="s">
        <v>31</v>
      </c>
      <c r="D6465">
        <v>4</v>
      </c>
      <c r="E6465">
        <v>3</v>
      </c>
      <c r="G6465" s="31">
        <f>Table132[[#This Row],[nb win]]/Table132[[#This Row],[nb play]]</f>
        <v>0.75</v>
      </c>
      <c r="H6465" t="str">
        <f>MID(Table132[[#This Row],[ÉTAT]],VALUE(RIGHT(Table132[[#This Row],[next move]],1))+1+VALUE(LEFT(Table132[[#This Row],[next move]],1))*3,1)</f>
        <v>V</v>
      </c>
      <c r="I6465" t="str">
        <f>Table132[[#This Row],[ÉTAT]]&amp;Table132[[#This Row],[next move]]</f>
        <v>EEVMEVMVV22</v>
      </c>
    </row>
    <row r="6466" spans="2:9" x14ac:dyDescent="0.25">
      <c r="B6466" t="s">
        <v>1271</v>
      </c>
      <c r="C6466" s="22" t="s">
        <v>28</v>
      </c>
      <c r="D6466">
        <v>1</v>
      </c>
      <c r="G6466" s="25">
        <f>Table132[[#This Row],[nb win]]/Table132[[#This Row],[nb play]]</f>
        <v>0</v>
      </c>
      <c r="H6466" t="str">
        <f>MID(Table132[[#This Row],[ÉTAT]],VALUE(RIGHT(Table132[[#This Row],[next move]],1))+1+VALUE(LEFT(Table132[[#This Row],[next move]],1))*3,1)</f>
        <v>V</v>
      </c>
      <c r="I6466" t="str">
        <f>Table132[[#This Row],[ÉTAT]]&amp;Table132[[#This Row],[next move]]</f>
        <v>EEVMEVEMM12</v>
      </c>
    </row>
    <row r="6467" spans="2:9" x14ac:dyDescent="0.25">
      <c r="B6467" t="s">
        <v>1101</v>
      </c>
      <c r="C6467" s="22" t="s">
        <v>20</v>
      </c>
      <c r="D6467">
        <v>1</v>
      </c>
      <c r="G6467" s="25">
        <f>Table132[[#This Row],[nb win]]/Table132[[#This Row],[nb play]]</f>
        <v>0</v>
      </c>
      <c r="H6467" t="str">
        <f>MID(Table132[[#This Row],[ÉTAT]],VALUE(RIGHT(Table132[[#This Row],[next move]],1))+1+VALUE(LEFT(Table132[[#This Row],[next move]],1))*3,1)</f>
        <v>V</v>
      </c>
      <c r="I6467" t="str">
        <f>Table132[[#This Row],[ÉTAT]]&amp;Table132[[#This Row],[next move]]</f>
        <v>EEVMEMVVV02</v>
      </c>
    </row>
    <row r="6468" spans="2:9" x14ac:dyDescent="0.25">
      <c r="B6468" t="s">
        <v>1101</v>
      </c>
      <c r="C6468" s="22" t="s">
        <v>35</v>
      </c>
      <c r="D6468">
        <v>3</v>
      </c>
      <c r="G6468" s="30">
        <f>Table132[[#This Row],[nb win]]/Table132[[#This Row],[nb play]]</f>
        <v>0</v>
      </c>
      <c r="H6468" t="str">
        <f>MID(Table132[[#This Row],[ÉTAT]],VALUE(RIGHT(Table132[[#This Row],[next move]],1))+1+VALUE(LEFT(Table132[[#This Row],[next move]],1))*3,1)</f>
        <v>V</v>
      </c>
      <c r="I6468" t="str">
        <f>Table132[[#This Row],[ÉTAT]]&amp;Table132[[#This Row],[next move]]</f>
        <v>EEVMEMVVV20</v>
      </c>
    </row>
    <row r="6469" spans="2:9" x14ac:dyDescent="0.25">
      <c r="B6469" t="s">
        <v>1101</v>
      </c>
      <c r="C6469" s="22" t="s">
        <v>22</v>
      </c>
      <c r="D6469">
        <v>1</v>
      </c>
      <c r="G6469" s="25">
        <f>Table132[[#This Row],[nb win]]/Table132[[#This Row],[nb play]]</f>
        <v>0</v>
      </c>
      <c r="H6469" t="str">
        <f>MID(Table132[[#This Row],[ÉTAT]],VALUE(RIGHT(Table132[[#This Row],[next move]],1))+1+VALUE(LEFT(Table132[[#This Row],[next move]],1))*3,1)</f>
        <v>V</v>
      </c>
      <c r="I6469" t="str">
        <f>Table132[[#This Row],[ÉTAT]]&amp;Table132[[#This Row],[next move]]</f>
        <v>EEVMEMVVV21</v>
      </c>
    </row>
    <row r="6470" spans="2:9" x14ac:dyDescent="0.25">
      <c r="B6470" t="s">
        <v>1101</v>
      </c>
      <c r="C6470" s="22" t="s">
        <v>31</v>
      </c>
      <c r="D6470">
        <v>1</v>
      </c>
      <c r="G6470" s="25">
        <f>Table132[[#This Row],[nb win]]/Table132[[#This Row],[nb play]]</f>
        <v>0</v>
      </c>
      <c r="H6470" t="str">
        <f>MID(Table132[[#This Row],[ÉTAT]],VALUE(RIGHT(Table132[[#This Row],[next move]],1))+1+VALUE(LEFT(Table132[[#This Row],[next move]],1))*3,1)</f>
        <v>V</v>
      </c>
      <c r="I6470" t="str">
        <f>Table132[[#This Row],[ÉTAT]]&amp;Table132[[#This Row],[next move]]</f>
        <v>EEVMEMVVV22</v>
      </c>
    </row>
    <row r="6471" spans="2:9" x14ac:dyDescent="0.25">
      <c r="B6471" t="s">
        <v>3272</v>
      </c>
      <c r="C6471" s="22" t="s">
        <v>35</v>
      </c>
      <c r="D6471">
        <v>1</v>
      </c>
      <c r="G6471" s="30">
        <f>Table132[[#This Row],[nb win]]/Table132[[#This Row],[nb play]]</f>
        <v>0</v>
      </c>
      <c r="H6471" t="str">
        <f>MID(Table132[[#This Row],[ÉTAT]],VALUE(RIGHT(Table132[[#This Row],[next move]],1))+1+VALUE(LEFT(Table132[[#This Row],[next move]],1))*3,1)</f>
        <v>V</v>
      </c>
      <c r="I6471" t="str">
        <f>Table132[[#This Row],[ÉTAT]]&amp;Table132[[#This Row],[next move]]</f>
        <v>EEVMEMVMV20</v>
      </c>
    </row>
    <row r="6472" spans="2:9" x14ac:dyDescent="0.25">
      <c r="B6472" t="s">
        <v>1114</v>
      </c>
      <c r="C6472" s="22" t="s">
        <v>20</v>
      </c>
      <c r="D6472">
        <v>2</v>
      </c>
      <c r="G6472" s="30">
        <f>Table132[[#This Row],[nb win]]/Table132[[#This Row],[nb play]]</f>
        <v>0</v>
      </c>
      <c r="H6472" t="str">
        <f>MID(Table132[[#This Row],[ÉTAT]],VALUE(RIGHT(Table132[[#This Row],[next move]],1))+1+VALUE(LEFT(Table132[[#This Row],[next move]],1))*3,1)</f>
        <v>V</v>
      </c>
      <c r="I6472" t="str">
        <f>Table132[[#This Row],[ÉTAT]]&amp;Table132[[#This Row],[next move]]</f>
        <v>EEVMEMMVV02</v>
      </c>
    </row>
    <row r="6473" spans="2:9" x14ac:dyDescent="0.25">
      <c r="B6473" t="s">
        <v>1114</v>
      </c>
      <c r="C6473" s="22" t="s">
        <v>22</v>
      </c>
      <c r="D6473">
        <v>1</v>
      </c>
      <c r="G6473" s="30">
        <f>Table132[[#This Row],[nb win]]/Table132[[#This Row],[nb play]]</f>
        <v>0</v>
      </c>
      <c r="H6473" t="str">
        <f>MID(Table132[[#This Row],[ÉTAT]],VALUE(RIGHT(Table132[[#This Row],[next move]],1))+1+VALUE(LEFT(Table132[[#This Row],[next move]],1))*3,1)</f>
        <v>V</v>
      </c>
      <c r="I6473" t="str">
        <f>Table132[[#This Row],[ÉTAT]]&amp;Table132[[#This Row],[next move]]</f>
        <v>EEVMEMMVV21</v>
      </c>
    </row>
    <row r="6474" spans="2:9" x14ac:dyDescent="0.25">
      <c r="B6474" t="s">
        <v>1114</v>
      </c>
      <c r="C6474" s="22" t="s">
        <v>31</v>
      </c>
      <c r="D6474">
        <v>1</v>
      </c>
      <c r="G6474" s="25">
        <f>Table132[[#This Row],[nb win]]/Table132[[#This Row],[nb play]]</f>
        <v>0</v>
      </c>
      <c r="H6474" t="str">
        <f>MID(Table132[[#This Row],[ÉTAT]],VALUE(RIGHT(Table132[[#This Row],[next move]],1))+1+VALUE(LEFT(Table132[[#This Row],[next move]],1))*3,1)</f>
        <v>V</v>
      </c>
      <c r="I6474" t="str">
        <f>Table132[[#This Row],[ÉTAT]]&amp;Table132[[#This Row],[next move]]</f>
        <v>EEVMEMMVV22</v>
      </c>
    </row>
    <row r="6475" spans="2:9" x14ac:dyDescent="0.25">
      <c r="B6475" t="s">
        <v>2537</v>
      </c>
      <c r="C6475" s="22" t="s">
        <v>20</v>
      </c>
      <c r="D6475">
        <v>1</v>
      </c>
      <c r="E6475">
        <v>1</v>
      </c>
      <c r="G6475" s="25">
        <f>Table132[[#This Row],[nb win]]/Table132[[#This Row],[nb play]]</f>
        <v>1</v>
      </c>
      <c r="H6475" t="str">
        <f>MID(Table132[[#This Row],[ÉTAT]],VALUE(RIGHT(Table132[[#This Row],[next move]],1))+1+VALUE(LEFT(Table132[[#This Row],[next move]],1))*3,1)</f>
        <v>V</v>
      </c>
      <c r="I6475" t="str">
        <f>Table132[[#This Row],[ÉTAT]]&amp;Table132[[#This Row],[next move]]</f>
        <v>EEVMEMEVM02</v>
      </c>
    </row>
    <row r="6476" spans="2:9" x14ac:dyDescent="0.25">
      <c r="B6476" t="s">
        <v>1457</v>
      </c>
      <c r="C6476" s="22" t="s">
        <v>20</v>
      </c>
      <c r="D6476">
        <v>2</v>
      </c>
      <c r="G6476" s="30">
        <f>Table132[[#This Row],[nb win]]/Table132[[#This Row],[nb play]]</f>
        <v>0</v>
      </c>
      <c r="H6476" t="str">
        <f>MID(Table132[[#This Row],[ÉTAT]],VALUE(RIGHT(Table132[[#This Row],[next move]],1))+1+VALUE(LEFT(Table132[[#This Row],[next move]],1))*3,1)</f>
        <v>V</v>
      </c>
      <c r="I6476" t="str">
        <f>Table132[[#This Row],[ÉTAT]]&amp;Table132[[#This Row],[next move]]</f>
        <v>EEVMEMEMV02</v>
      </c>
    </row>
    <row r="6477" spans="2:9" x14ac:dyDescent="0.25">
      <c r="B6477" t="s">
        <v>1457</v>
      </c>
      <c r="C6477" s="22" t="s">
        <v>31</v>
      </c>
      <c r="D6477">
        <v>1</v>
      </c>
      <c r="G6477" s="25">
        <f>Table132[[#This Row],[nb win]]/Table132[[#This Row],[nb play]]</f>
        <v>0</v>
      </c>
      <c r="H6477" t="str">
        <f>MID(Table132[[#This Row],[ÉTAT]],VALUE(RIGHT(Table132[[#This Row],[next move]],1))+1+VALUE(LEFT(Table132[[#This Row],[next move]],1))*3,1)</f>
        <v>V</v>
      </c>
      <c r="I6477" t="str">
        <f>Table132[[#This Row],[ÉTAT]]&amp;Table132[[#This Row],[next move]]</f>
        <v>EEVMEMEMV22</v>
      </c>
    </row>
    <row r="6478" spans="2:9" x14ac:dyDescent="0.25">
      <c r="B6478" t="s">
        <v>788</v>
      </c>
      <c r="C6478" s="22" t="s">
        <v>22</v>
      </c>
      <c r="D6478">
        <v>5</v>
      </c>
      <c r="E6478">
        <v>5</v>
      </c>
      <c r="G6478" s="31">
        <f>Table132[[#This Row],[nb win]]/Table132[[#This Row],[nb play]]</f>
        <v>1</v>
      </c>
      <c r="H6478" t="str">
        <f>MID(Table132[[#This Row],[ÉTAT]],VALUE(RIGHT(Table132[[#This Row],[next move]],1))+1+VALUE(LEFT(Table132[[#This Row],[next move]],1))*3,1)</f>
        <v>V</v>
      </c>
      <c r="I6478" t="str">
        <f>Table132[[#This Row],[ÉTAT]]&amp;Table132[[#This Row],[next move]]</f>
        <v>EEVMEEMVM21</v>
      </c>
    </row>
    <row r="6479" spans="2:9" x14ac:dyDescent="0.25">
      <c r="B6479" t="s">
        <v>1025</v>
      </c>
      <c r="C6479" s="22" t="s">
        <v>31</v>
      </c>
      <c r="D6479">
        <v>1</v>
      </c>
      <c r="E6479">
        <v>1</v>
      </c>
      <c r="G6479" s="25">
        <f>Table132[[#This Row],[nb win]]/Table132[[#This Row],[nb play]]</f>
        <v>1</v>
      </c>
      <c r="H6479" t="str">
        <f>MID(Table132[[#This Row],[ÉTAT]],VALUE(RIGHT(Table132[[#This Row],[next move]],1))+1+VALUE(LEFT(Table132[[#This Row],[next move]],1))*3,1)</f>
        <v>V</v>
      </c>
      <c r="I6479" t="str">
        <f>Table132[[#This Row],[ÉTAT]]&amp;Table132[[#This Row],[next move]]</f>
        <v>EEVMEEMMV22</v>
      </c>
    </row>
    <row r="6480" spans="2:9" x14ac:dyDescent="0.25">
      <c r="B6480" t="s">
        <v>2135</v>
      </c>
      <c r="C6480" s="22" t="s">
        <v>28</v>
      </c>
      <c r="D6480">
        <v>1</v>
      </c>
      <c r="E6480">
        <v>1</v>
      </c>
      <c r="G6480" s="25">
        <f>Table132[[#This Row],[nb win]]/Table132[[#This Row],[nb play]]</f>
        <v>1</v>
      </c>
      <c r="H6480" t="str">
        <f>MID(Table132[[#This Row],[ÉTAT]],VALUE(RIGHT(Table132[[#This Row],[next move]],1))+1+VALUE(LEFT(Table132[[#This Row],[next move]],1))*3,1)</f>
        <v>V</v>
      </c>
      <c r="I6480" t="str">
        <f>Table132[[#This Row],[ÉTAT]]&amp;Table132[[#This Row],[next move]]</f>
        <v>EEVEVVVMM12</v>
      </c>
    </row>
    <row r="6481" spans="2:9" x14ac:dyDescent="0.25">
      <c r="B6481" t="s">
        <v>858</v>
      </c>
      <c r="C6481" s="22" t="s">
        <v>20</v>
      </c>
      <c r="D6481">
        <v>2</v>
      </c>
      <c r="E6481">
        <v>2</v>
      </c>
      <c r="G6481" s="31">
        <f>Table132[[#This Row],[nb win]]/Table132[[#This Row],[nb play]]</f>
        <v>1</v>
      </c>
      <c r="H6481" t="str">
        <f>MID(Table132[[#This Row],[ÉTAT]],VALUE(RIGHT(Table132[[#This Row],[next move]],1))+1+VALUE(LEFT(Table132[[#This Row],[next move]],1))*3,1)</f>
        <v>V</v>
      </c>
      <c r="I6481" t="str">
        <f>Table132[[#This Row],[ÉTAT]]&amp;Table132[[#This Row],[next move]]</f>
        <v>EEVEVVMVM02</v>
      </c>
    </row>
    <row r="6482" spans="2:9" x14ac:dyDescent="0.25">
      <c r="B6482" t="s">
        <v>858</v>
      </c>
      <c r="C6482" s="22" t="s">
        <v>29</v>
      </c>
      <c r="D6482">
        <v>2</v>
      </c>
      <c r="G6482" s="25">
        <f>Table132[[#This Row],[nb win]]/Table132[[#This Row],[nb play]]</f>
        <v>0</v>
      </c>
      <c r="H6482" t="str">
        <f>MID(Table132[[#This Row],[ÉTAT]],VALUE(RIGHT(Table132[[#This Row],[next move]],1))+1+VALUE(LEFT(Table132[[#This Row],[next move]],1))*3,1)</f>
        <v>V</v>
      </c>
      <c r="I6482" t="str">
        <f>Table132[[#This Row],[ÉTAT]]&amp;Table132[[#This Row],[next move]]</f>
        <v>EEVEVVMVM11</v>
      </c>
    </row>
    <row r="6483" spans="2:9" x14ac:dyDescent="0.25">
      <c r="B6483" t="s">
        <v>3085</v>
      </c>
      <c r="C6483" s="22" t="s">
        <v>31</v>
      </c>
      <c r="D6483">
        <v>4</v>
      </c>
      <c r="E6483">
        <v>4</v>
      </c>
      <c r="G6483" s="31">
        <f>Table132[[#This Row],[nb win]]/Table132[[#This Row],[nb play]]</f>
        <v>1</v>
      </c>
      <c r="H6483" t="str">
        <f>MID(Table132[[#This Row],[ÉTAT]],VALUE(RIGHT(Table132[[#This Row],[next move]],1))+1+VALUE(LEFT(Table132[[#This Row],[next move]],1))*3,1)</f>
        <v>V</v>
      </c>
      <c r="I6483" t="str">
        <f>Table132[[#This Row],[ÉTAT]]&amp;Table132[[#This Row],[next move]]</f>
        <v>EEVEVVMMV22</v>
      </c>
    </row>
    <row r="6484" spans="2:9" x14ac:dyDescent="0.25">
      <c r="B6484" t="s">
        <v>1998</v>
      </c>
      <c r="C6484" s="22" t="s">
        <v>20</v>
      </c>
      <c r="D6484">
        <v>4</v>
      </c>
      <c r="E6484">
        <v>4</v>
      </c>
      <c r="G6484" s="25">
        <f>Table132[[#This Row],[nb win]]/Table132[[#This Row],[nb play]]</f>
        <v>1</v>
      </c>
      <c r="H6484" t="str">
        <f>MID(Table132[[#This Row],[ÉTAT]],VALUE(RIGHT(Table132[[#This Row],[next move]],1))+1+VALUE(LEFT(Table132[[#This Row],[next move]],1))*3,1)</f>
        <v>V</v>
      </c>
      <c r="I6484" t="str">
        <f>Table132[[#This Row],[ÉTAT]]&amp;Table132[[#This Row],[next move]]</f>
        <v>EEVEVMVMM02</v>
      </c>
    </row>
    <row r="6485" spans="2:9" x14ac:dyDescent="0.25">
      <c r="B6485" t="s">
        <v>3003</v>
      </c>
      <c r="C6485" s="22" t="s">
        <v>29</v>
      </c>
      <c r="D6485">
        <v>1</v>
      </c>
      <c r="E6485">
        <v>1</v>
      </c>
      <c r="G6485" s="25">
        <f>Table132[[#This Row],[nb win]]/Table132[[#This Row],[nb play]]</f>
        <v>1</v>
      </c>
      <c r="H6485" t="str">
        <f>MID(Table132[[#This Row],[ÉTAT]],VALUE(RIGHT(Table132[[#This Row],[next move]],1))+1+VALUE(LEFT(Table132[[#This Row],[next move]],1))*3,1)</f>
        <v>V</v>
      </c>
      <c r="I6485" t="str">
        <f>Table132[[#This Row],[ÉTAT]]&amp;Table132[[#This Row],[next move]]</f>
        <v>EEVEVMMVM11</v>
      </c>
    </row>
    <row r="6486" spans="2:9" x14ac:dyDescent="0.25">
      <c r="B6486" t="s">
        <v>2991</v>
      </c>
      <c r="C6486" s="22" t="s">
        <v>31</v>
      </c>
      <c r="D6486">
        <v>3</v>
      </c>
      <c r="E6486">
        <v>3</v>
      </c>
      <c r="G6486" s="31">
        <f>Table132[[#This Row],[nb win]]/Table132[[#This Row],[nb play]]</f>
        <v>1</v>
      </c>
      <c r="H6486" t="str">
        <f>MID(Table132[[#This Row],[ÉTAT]],VALUE(RIGHT(Table132[[#This Row],[next move]],1))+1+VALUE(LEFT(Table132[[#This Row],[next move]],1))*3,1)</f>
        <v>V</v>
      </c>
      <c r="I6486" t="str">
        <f>Table132[[#This Row],[ÉTAT]]&amp;Table132[[#This Row],[next move]]</f>
        <v>EEVEVMMMV22</v>
      </c>
    </row>
    <row r="6487" spans="2:9" x14ac:dyDescent="0.25">
      <c r="B6487" t="s">
        <v>3464</v>
      </c>
      <c r="C6487" s="22" t="s">
        <v>20</v>
      </c>
      <c r="D6487">
        <v>1</v>
      </c>
      <c r="G6487" s="30">
        <f>Table132[[#This Row],[nb win]]/Table132[[#This Row],[nb play]]</f>
        <v>0</v>
      </c>
      <c r="H6487" t="str">
        <f>MID(Table132[[#This Row],[ÉTAT]],VALUE(RIGHT(Table132[[#This Row],[next move]],1))+1+VALUE(LEFT(Table132[[#This Row],[next move]],1))*3,1)</f>
        <v>V</v>
      </c>
      <c r="I6487" t="str">
        <f>Table132[[#This Row],[ÉTAT]]&amp;Table132[[#This Row],[next move]]</f>
        <v>EEVEVMMME02</v>
      </c>
    </row>
    <row r="6488" spans="2:9" x14ac:dyDescent="0.25">
      <c r="B6488" t="s">
        <v>2901</v>
      </c>
      <c r="C6488" s="22" t="s">
        <v>20</v>
      </c>
      <c r="D6488">
        <v>1</v>
      </c>
      <c r="E6488">
        <v>1</v>
      </c>
      <c r="G6488" s="25">
        <f>Table132[[#This Row],[nb win]]/Table132[[#This Row],[nb play]]</f>
        <v>1</v>
      </c>
      <c r="H6488" t="str">
        <f>MID(Table132[[#This Row],[ÉTAT]],VALUE(RIGHT(Table132[[#This Row],[next move]],1))+1+VALUE(LEFT(Table132[[#This Row],[next move]],1))*3,1)</f>
        <v>V</v>
      </c>
      <c r="I6488" t="str">
        <f>Table132[[#This Row],[ÉTAT]]&amp;Table132[[#This Row],[next move]]</f>
        <v>EEVEMVVVM02</v>
      </c>
    </row>
    <row r="6489" spans="2:9" x14ac:dyDescent="0.25">
      <c r="B6489" t="s">
        <v>2926</v>
      </c>
      <c r="C6489" s="22" t="s">
        <v>28</v>
      </c>
      <c r="D6489">
        <v>1</v>
      </c>
      <c r="G6489" s="25">
        <f>Table132[[#This Row],[nb win]]/Table132[[#This Row],[nb play]]</f>
        <v>0</v>
      </c>
      <c r="H6489" t="str">
        <f>MID(Table132[[#This Row],[ÉTAT]],VALUE(RIGHT(Table132[[#This Row],[next move]],1))+1+VALUE(LEFT(Table132[[#This Row],[next move]],1))*3,1)</f>
        <v>V</v>
      </c>
      <c r="I6489" t="str">
        <f>Table132[[#This Row],[ÉTAT]]&amp;Table132[[#This Row],[next move]]</f>
        <v>EEVEMVVMV12</v>
      </c>
    </row>
    <row r="6490" spans="2:9" x14ac:dyDescent="0.25">
      <c r="B6490" t="s">
        <v>2926</v>
      </c>
      <c r="C6490" s="22" t="s">
        <v>31</v>
      </c>
      <c r="D6490">
        <v>1</v>
      </c>
      <c r="G6490" s="30">
        <f>Table132[[#This Row],[nb win]]/Table132[[#This Row],[nb play]]</f>
        <v>0</v>
      </c>
      <c r="H6490" t="str">
        <f>MID(Table132[[#This Row],[ÉTAT]],VALUE(RIGHT(Table132[[#This Row],[next move]],1))+1+VALUE(LEFT(Table132[[#This Row],[next move]],1))*3,1)</f>
        <v>V</v>
      </c>
      <c r="I6490" t="str">
        <f>Table132[[#This Row],[ÉTAT]]&amp;Table132[[#This Row],[next move]]</f>
        <v>EEVEMVVMV22</v>
      </c>
    </row>
    <row r="6491" spans="2:9" x14ac:dyDescent="0.25">
      <c r="B6491" t="s">
        <v>1362</v>
      </c>
      <c r="C6491" s="22" t="s">
        <v>20</v>
      </c>
      <c r="D6491">
        <v>1</v>
      </c>
      <c r="E6491">
        <v>1</v>
      </c>
      <c r="G6491" s="25">
        <f>Table132[[#This Row],[nb win]]/Table132[[#This Row],[nb play]]</f>
        <v>1</v>
      </c>
      <c r="H6491" t="str">
        <f>MID(Table132[[#This Row],[ÉTAT]],VALUE(RIGHT(Table132[[#This Row],[next move]],1))+1+VALUE(LEFT(Table132[[#This Row],[next move]],1))*3,1)</f>
        <v>V</v>
      </c>
      <c r="I6491" t="str">
        <f>Table132[[#This Row],[ÉTAT]]&amp;Table132[[#This Row],[next move]]</f>
        <v>EEVEMVVMM02</v>
      </c>
    </row>
    <row r="6492" spans="2:9" x14ac:dyDescent="0.25">
      <c r="B6492" t="s">
        <v>247</v>
      </c>
      <c r="C6492" s="22" t="s">
        <v>20</v>
      </c>
      <c r="D6492">
        <v>4</v>
      </c>
      <c r="E6492">
        <v>4</v>
      </c>
      <c r="G6492" s="31">
        <f>Table132[[#This Row],[nb win]]/Table132[[#This Row],[nb play]]</f>
        <v>1</v>
      </c>
      <c r="H6492" t="str">
        <f>MID(Table132[[#This Row],[ÉTAT]],VALUE(RIGHT(Table132[[#This Row],[next move]],1))+1+VALUE(LEFT(Table132[[#This Row],[next move]],1))*3,1)</f>
        <v>V</v>
      </c>
      <c r="I6492" t="str">
        <f>Table132[[#This Row],[ÉTAT]]&amp;Table132[[#This Row],[next move]]</f>
        <v>EEVEMVMVV02</v>
      </c>
    </row>
    <row r="6493" spans="2:9" x14ac:dyDescent="0.25">
      <c r="B6493" t="s">
        <v>1422</v>
      </c>
      <c r="C6493" s="22" t="s">
        <v>22</v>
      </c>
      <c r="D6493">
        <v>1</v>
      </c>
      <c r="E6493">
        <v>1</v>
      </c>
      <c r="G6493" s="25">
        <f>Table132[[#This Row],[nb win]]/Table132[[#This Row],[nb play]]</f>
        <v>1</v>
      </c>
      <c r="H6493" t="str">
        <f>MID(Table132[[#This Row],[ÉTAT]],VALUE(RIGHT(Table132[[#This Row],[next move]],1))+1+VALUE(LEFT(Table132[[#This Row],[next move]],1))*3,1)</f>
        <v>V</v>
      </c>
      <c r="I6493" t="str">
        <f>Table132[[#This Row],[ÉTAT]]&amp;Table132[[#This Row],[next move]]</f>
        <v>EEVEMVMVM21</v>
      </c>
    </row>
    <row r="6494" spans="2:9" x14ac:dyDescent="0.25">
      <c r="B6494" t="s">
        <v>2110</v>
      </c>
      <c r="C6494" s="22" t="s">
        <v>20</v>
      </c>
      <c r="D6494">
        <v>2</v>
      </c>
      <c r="E6494">
        <v>2</v>
      </c>
      <c r="G6494" s="31">
        <f>Table132[[#This Row],[nb win]]/Table132[[#This Row],[nb play]]</f>
        <v>1</v>
      </c>
      <c r="H6494" t="str">
        <f>MID(Table132[[#This Row],[ÉTAT]],VALUE(RIGHT(Table132[[#This Row],[next move]],1))+1+VALUE(LEFT(Table132[[#This Row],[next move]],1))*3,1)</f>
        <v>V</v>
      </c>
      <c r="I6494" t="str">
        <f>Table132[[#This Row],[ÉTAT]]&amp;Table132[[#This Row],[next move]]</f>
        <v>EEVEMVMMV02</v>
      </c>
    </row>
    <row r="6495" spans="2:9" x14ac:dyDescent="0.25">
      <c r="B6495" t="s">
        <v>318</v>
      </c>
      <c r="C6495" s="22" t="s">
        <v>20</v>
      </c>
      <c r="D6495">
        <v>4</v>
      </c>
      <c r="E6495">
        <v>3</v>
      </c>
      <c r="G6495" s="30">
        <f>Table132[[#This Row],[nb win]]/Table132[[#This Row],[nb play]]</f>
        <v>0.75</v>
      </c>
      <c r="H6495" t="str">
        <f>MID(Table132[[#This Row],[ÉTAT]],VALUE(RIGHT(Table132[[#This Row],[next move]],1))+1+VALUE(LEFT(Table132[[#This Row],[next move]],1))*3,1)</f>
        <v>V</v>
      </c>
      <c r="I6495" t="str">
        <f>Table132[[#This Row],[ÉTAT]]&amp;Table132[[#This Row],[next move]]</f>
        <v>EEVEMMVMV02</v>
      </c>
    </row>
    <row r="6496" spans="2:9" x14ac:dyDescent="0.25">
      <c r="B6496" t="s">
        <v>1599</v>
      </c>
      <c r="C6496" s="22" t="s">
        <v>20</v>
      </c>
      <c r="D6496">
        <v>2</v>
      </c>
      <c r="G6496" s="30">
        <f>Table132[[#This Row],[nb win]]/Table132[[#This Row],[nb play]]</f>
        <v>0</v>
      </c>
      <c r="H6496" t="str">
        <f>MID(Table132[[#This Row],[ÉTAT]],VALUE(RIGHT(Table132[[#This Row],[next move]],1))+1+VALUE(LEFT(Table132[[#This Row],[next move]],1))*3,1)</f>
        <v>V</v>
      </c>
      <c r="I6496" t="str">
        <f>Table132[[#This Row],[ÉTAT]]&amp;Table132[[#This Row],[next move]]</f>
        <v>EEVEMMVME02</v>
      </c>
    </row>
    <row r="6497" spans="2:9" x14ac:dyDescent="0.25">
      <c r="B6497" t="s">
        <v>1599</v>
      </c>
      <c r="C6497" s="22" t="s">
        <v>35</v>
      </c>
      <c r="D6497">
        <v>1</v>
      </c>
      <c r="G6497" s="25">
        <f>Table132[[#This Row],[nb win]]/Table132[[#This Row],[nb play]]</f>
        <v>0</v>
      </c>
      <c r="H6497" t="str">
        <f>MID(Table132[[#This Row],[ÉTAT]],VALUE(RIGHT(Table132[[#This Row],[next move]],1))+1+VALUE(LEFT(Table132[[#This Row],[next move]],1))*3,1)</f>
        <v>V</v>
      </c>
      <c r="I6497" t="str">
        <f>Table132[[#This Row],[ÉTAT]]&amp;Table132[[#This Row],[next move]]</f>
        <v>EEVEMMVME20</v>
      </c>
    </row>
    <row r="6498" spans="2:9" x14ac:dyDescent="0.25">
      <c r="B6498" t="s">
        <v>1402</v>
      </c>
      <c r="C6498" s="22" t="s">
        <v>20</v>
      </c>
      <c r="D6498">
        <v>4</v>
      </c>
      <c r="E6498">
        <v>4</v>
      </c>
      <c r="G6498" s="31">
        <f>Table132[[#This Row],[nb win]]/Table132[[#This Row],[nb play]]</f>
        <v>1</v>
      </c>
      <c r="H6498" t="str">
        <f>MID(Table132[[#This Row],[ÉTAT]],VALUE(RIGHT(Table132[[#This Row],[next move]],1))+1+VALUE(LEFT(Table132[[#This Row],[next move]],1))*3,1)</f>
        <v>V</v>
      </c>
      <c r="I6498" t="str">
        <f>Table132[[#This Row],[ÉTAT]]&amp;Table132[[#This Row],[next move]]</f>
        <v>EEVEMMMVE02</v>
      </c>
    </row>
    <row r="6499" spans="2:9" x14ac:dyDescent="0.25">
      <c r="B6499" t="s">
        <v>319</v>
      </c>
      <c r="C6499" s="22" t="s">
        <v>20</v>
      </c>
      <c r="D6499">
        <v>6</v>
      </c>
      <c r="E6499">
        <v>6</v>
      </c>
      <c r="G6499" s="31">
        <f>Table132[[#This Row],[nb win]]/Table132[[#This Row],[nb play]]</f>
        <v>1</v>
      </c>
      <c r="H6499" t="str">
        <f>MID(Table132[[#This Row],[ÉTAT]],VALUE(RIGHT(Table132[[#This Row],[next move]],1))+1+VALUE(LEFT(Table132[[#This Row],[next move]],1))*3,1)</f>
        <v>V</v>
      </c>
      <c r="I6499" t="str">
        <f>Table132[[#This Row],[ÉTAT]]&amp;Table132[[#This Row],[next move]]</f>
        <v>EEVEMMMME02</v>
      </c>
    </row>
    <row r="6500" spans="2:9" x14ac:dyDescent="0.25">
      <c r="B6500" t="s">
        <v>1228</v>
      </c>
      <c r="C6500" s="22" t="s">
        <v>20</v>
      </c>
      <c r="D6500">
        <v>3</v>
      </c>
      <c r="E6500">
        <v>3</v>
      </c>
      <c r="G6500" s="31">
        <f>Table132[[#This Row],[nb win]]/Table132[[#This Row],[nb play]]</f>
        <v>1</v>
      </c>
      <c r="H6500" t="str">
        <f>MID(Table132[[#This Row],[ÉTAT]],VALUE(RIGHT(Table132[[#This Row],[next move]],1))+1+VALUE(LEFT(Table132[[#This Row],[next move]],1))*3,1)</f>
        <v>V</v>
      </c>
      <c r="I6500" t="str">
        <f>Table132[[#This Row],[ÉTAT]]&amp;Table132[[#This Row],[next move]]</f>
        <v>EEVEMMMEV02</v>
      </c>
    </row>
    <row r="6501" spans="2:9" x14ac:dyDescent="0.25">
      <c r="B6501" t="s">
        <v>3005</v>
      </c>
      <c r="C6501" s="22" t="s">
        <v>20</v>
      </c>
      <c r="D6501">
        <v>1</v>
      </c>
      <c r="E6501">
        <v>1</v>
      </c>
      <c r="G6501" s="25">
        <f>Table132[[#This Row],[nb win]]/Table132[[#This Row],[nb play]]</f>
        <v>1</v>
      </c>
      <c r="H6501" t="str">
        <f>MID(Table132[[#This Row],[ÉTAT]],VALUE(RIGHT(Table132[[#This Row],[next move]],1))+1+VALUE(LEFT(Table132[[#This Row],[next move]],1))*3,1)</f>
        <v>V</v>
      </c>
      <c r="I6501" t="str">
        <f>Table132[[#This Row],[ÉTAT]]&amp;Table132[[#This Row],[next move]]</f>
        <v>EEVEMMMEM02</v>
      </c>
    </row>
    <row r="6502" spans="2:9" x14ac:dyDescent="0.25">
      <c r="B6502" t="s">
        <v>994</v>
      </c>
      <c r="C6502" s="22" t="s">
        <v>20</v>
      </c>
      <c r="D6502">
        <v>1</v>
      </c>
      <c r="G6502" s="25">
        <f>Table132[[#This Row],[nb win]]/Table132[[#This Row],[nb play]]</f>
        <v>0</v>
      </c>
      <c r="H6502" t="str">
        <f>MID(Table132[[#This Row],[ÉTAT]],VALUE(RIGHT(Table132[[#This Row],[next move]],1))+1+VALUE(LEFT(Table132[[#This Row],[next move]],1))*3,1)</f>
        <v>V</v>
      </c>
      <c r="I6502" t="str">
        <f>Table132[[#This Row],[ÉTAT]]&amp;Table132[[#This Row],[next move]]</f>
        <v>EEVEMEVMM02</v>
      </c>
    </row>
    <row r="6503" spans="2:9" x14ac:dyDescent="0.25">
      <c r="B6503" t="s">
        <v>994</v>
      </c>
      <c r="C6503" s="22" t="s">
        <v>35</v>
      </c>
      <c r="D6503">
        <v>1</v>
      </c>
      <c r="E6503">
        <v>1</v>
      </c>
      <c r="G6503" s="25">
        <f>Table132[[#This Row],[nb win]]/Table132[[#This Row],[nb play]]</f>
        <v>1</v>
      </c>
      <c r="H6503" t="str">
        <f>MID(Table132[[#This Row],[ÉTAT]],VALUE(RIGHT(Table132[[#This Row],[next move]],1))+1+VALUE(LEFT(Table132[[#This Row],[next move]],1))*3,1)</f>
        <v>V</v>
      </c>
      <c r="I6503" t="str">
        <f>Table132[[#This Row],[ÉTAT]]&amp;Table132[[#This Row],[next move]]</f>
        <v>EEVEMEVMM20</v>
      </c>
    </row>
    <row r="6504" spans="2:9" x14ac:dyDescent="0.25">
      <c r="B6504" t="s">
        <v>1391</v>
      </c>
      <c r="C6504" s="22" t="s">
        <v>20</v>
      </c>
      <c r="D6504">
        <v>1</v>
      </c>
      <c r="E6504">
        <v>1</v>
      </c>
      <c r="G6504" s="25">
        <f>Table132[[#This Row],[nb win]]/Table132[[#This Row],[nb play]]</f>
        <v>1</v>
      </c>
      <c r="H6504" t="str">
        <f>MID(Table132[[#This Row],[ÉTAT]],VALUE(RIGHT(Table132[[#This Row],[next move]],1))+1+VALUE(LEFT(Table132[[#This Row],[next move]],1))*3,1)</f>
        <v>V</v>
      </c>
      <c r="I6504" t="str">
        <f>Table132[[#This Row],[ÉTAT]]&amp;Table132[[#This Row],[next move]]</f>
        <v>EEVEMEMVM02</v>
      </c>
    </row>
    <row r="6505" spans="2:9" x14ac:dyDescent="0.25">
      <c r="B6505" t="s">
        <v>778</v>
      </c>
      <c r="C6505" s="22" t="s">
        <v>20</v>
      </c>
      <c r="D6505">
        <v>3</v>
      </c>
      <c r="E6505">
        <v>3</v>
      </c>
      <c r="G6505" s="31">
        <f>Table132[[#This Row],[nb win]]/Table132[[#This Row],[nb play]]</f>
        <v>1</v>
      </c>
      <c r="H6505" t="str">
        <f>MID(Table132[[#This Row],[ÉTAT]],VALUE(RIGHT(Table132[[#This Row],[next move]],1))+1+VALUE(LEFT(Table132[[#This Row],[next move]],1))*3,1)</f>
        <v>V</v>
      </c>
      <c r="I6505" t="str">
        <f>Table132[[#This Row],[ÉTAT]]&amp;Table132[[#This Row],[next move]]</f>
        <v>EEVEMEMMV02</v>
      </c>
    </row>
    <row r="6506" spans="2:9" x14ac:dyDescent="0.25">
      <c r="B6506" t="s">
        <v>645</v>
      </c>
      <c r="C6506" s="22" t="s">
        <v>20</v>
      </c>
      <c r="D6506">
        <v>4</v>
      </c>
      <c r="E6506">
        <v>4</v>
      </c>
      <c r="G6506" s="31">
        <f>Table132[[#This Row],[nb win]]/Table132[[#This Row],[nb play]]</f>
        <v>1</v>
      </c>
      <c r="H6506" t="str">
        <f>MID(Table132[[#This Row],[ÉTAT]],VALUE(RIGHT(Table132[[#This Row],[next move]],1))+1+VALUE(LEFT(Table132[[#This Row],[next move]],1))*3,1)</f>
        <v>V</v>
      </c>
      <c r="I6506" t="str">
        <f>Table132[[#This Row],[ÉTAT]]&amp;Table132[[#This Row],[next move]]</f>
        <v>EEVEEMVMM02</v>
      </c>
    </row>
    <row r="6507" spans="2:9" x14ac:dyDescent="0.25">
      <c r="B6507" t="s">
        <v>2343</v>
      </c>
      <c r="C6507" s="22" t="s">
        <v>22</v>
      </c>
      <c r="D6507">
        <v>2</v>
      </c>
      <c r="E6507">
        <v>2</v>
      </c>
      <c r="G6507" s="31">
        <f>Table132[[#This Row],[nb win]]/Table132[[#This Row],[nb play]]</f>
        <v>1</v>
      </c>
      <c r="H6507" t="str">
        <f>MID(Table132[[#This Row],[ÉTAT]],VALUE(RIGHT(Table132[[#This Row],[next move]],1))+1+VALUE(LEFT(Table132[[#This Row],[next move]],1))*3,1)</f>
        <v>V</v>
      </c>
      <c r="I6507" t="str">
        <f>Table132[[#This Row],[ÉTAT]]&amp;Table132[[#This Row],[next move]]</f>
        <v>EEVEEMMVM21</v>
      </c>
    </row>
    <row r="6508" spans="2:9" x14ac:dyDescent="0.25">
      <c r="B6508" t="s">
        <v>1622</v>
      </c>
      <c r="C6508" s="22" t="s">
        <v>20</v>
      </c>
      <c r="D6508">
        <v>1</v>
      </c>
      <c r="G6508" s="25">
        <f>Table132[[#This Row],[nb win]]/Table132[[#This Row],[nb play]]</f>
        <v>0</v>
      </c>
      <c r="H6508" t="str">
        <f>MID(Table132[[#This Row],[ÉTAT]],VALUE(RIGHT(Table132[[#This Row],[next move]],1))+1+VALUE(LEFT(Table132[[#This Row],[next move]],1))*3,1)</f>
        <v>V</v>
      </c>
      <c r="I6508" t="str">
        <f>Table132[[#This Row],[ÉTAT]]&amp;Table132[[#This Row],[next move]]</f>
        <v>EEVEEMMMV02</v>
      </c>
    </row>
    <row r="6509" spans="2:9" x14ac:dyDescent="0.25">
      <c r="B6509" t="s">
        <v>1622</v>
      </c>
      <c r="C6509" s="22" t="s">
        <v>31</v>
      </c>
      <c r="D6509">
        <v>1</v>
      </c>
      <c r="E6509">
        <v>1</v>
      </c>
      <c r="G6509" s="25">
        <f>Table132[[#This Row],[nb win]]/Table132[[#This Row],[nb play]]</f>
        <v>1</v>
      </c>
      <c r="H6509" t="str">
        <f>MID(Table132[[#This Row],[ÉTAT]],VALUE(RIGHT(Table132[[#This Row],[next move]],1))+1+VALUE(LEFT(Table132[[#This Row],[next move]],1))*3,1)</f>
        <v>V</v>
      </c>
      <c r="I6509" t="str">
        <f>Table132[[#This Row],[ÉTAT]]&amp;Table132[[#This Row],[next move]]</f>
        <v>EEVEEMMMV22</v>
      </c>
    </row>
    <row r="6510" spans="2:9" x14ac:dyDescent="0.25">
      <c r="B6510" t="s">
        <v>2993</v>
      </c>
      <c r="C6510" s="22" t="s">
        <v>22</v>
      </c>
      <c r="D6510">
        <v>3</v>
      </c>
      <c r="E6510">
        <v>2</v>
      </c>
      <c r="G6510" s="30">
        <f>Table132[[#This Row],[nb win]]/Table132[[#This Row],[nb play]]</f>
        <v>0.66666666666666663</v>
      </c>
      <c r="H6510" t="str">
        <f>MID(Table132[[#This Row],[ÉTAT]],VALUE(RIGHT(Table132[[#This Row],[next move]],1))+1+VALUE(LEFT(Table132[[#This Row],[next move]],1))*3,1)</f>
        <v>V</v>
      </c>
      <c r="I6510" t="str">
        <f>Table132[[#This Row],[ÉTAT]]&amp;Table132[[#This Row],[next move]]</f>
        <v>EEMVVVVVV21</v>
      </c>
    </row>
    <row r="6511" spans="2:9" x14ac:dyDescent="0.25">
      <c r="B6511" t="s">
        <v>1258</v>
      </c>
      <c r="C6511" s="22" t="s">
        <v>22</v>
      </c>
      <c r="D6511">
        <v>4</v>
      </c>
      <c r="E6511">
        <v>4</v>
      </c>
      <c r="G6511" s="31">
        <f>Table132[[#This Row],[nb win]]/Table132[[#This Row],[nb play]]</f>
        <v>1</v>
      </c>
      <c r="H6511" t="str">
        <f>MID(Table132[[#This Row],[ÉTAT]],VALUE(RIGHT(Table132[[#This Row],[next move]],1))+1+VALUE(LEFT(Table132[[#This Row],[next move]],1))*3,1)</f>
        <v>V</v>
      </c>
      <c r="I6511" t="str">
        <f>Table132[[#This Row],[ÉTAT]]&amp;Table132[[#This Row],[next move]]</f>
        <v>EEMVVVVVM21</v>
      </c>
    </row>
    <row r="6512" spans="2:9" x14ac:dyDescent="0.25">
      <c r="B6512" t="s">
        <v>1109</v>
      </c>
      <c r="C6512" s="22" t="s">
        <v>28</v>
      </c>
      <c r="D6512">
        <v>3</v>
      </c>
      <c r="E6512">
        <v>2</v>
      </c>
      <c r="G6512" s="25">
        <f>Table132[[#This Row],[nb win]]/Table132[[#This Row],[nb play]]</f>
        <v>0.66666666666666663</v>
      </c>
      <c r="H6512" t="str">
        <f>MID(Table132[[#This Row],[ÉTAT]],VALUE(RIGHT(Table132[[#This Row],[next move]],1))+1+VALUE(LEFT(Table132[[#This Row],[next move]],1))*3,1)</f>
        <v>V</v>
      </c>
      <c r="I6512" t="str">
        <f>Table132[[#This Row],[ÉTAT]]&amp;Table132[[#This Row],[next move]]</f>
        <v>EEMVVVVMV12</v>
      </c>
    </row>
    <row r="6513" spans="2:9" x14ac:dyDescent="0.25">
      <c r="B6513" t="s">
        <v>1109</v>
      </c>
      <c r="C6513" s="22" t="s">
        <v>31</v>
      </c>
      <c r="D6513">
        <v>3</v>
      </c>
      <c r="E6513">
        <v>3</v>
      </c>
      <c r="G6513" s="31">
        <f>Table132[[#This Row],[nb win]]/Table132[[#This Row],[nb play]]</f>
        <v>1</v>
      </c>
      <c r="H6513" t="str">
        <f>MID(Table132[[#This Row],[ÉTAT]],VALUE(RIGHT(Table132[[#This Row],[next move]],1))+1+VALUE(LEFT(Table132[[#This Row],[next move]],1))*3,1)</f>
        <v>V</v>
      </c>
      <c r="I6513" t="str">
        <f>Table132[[#This Row],[ÉTAT]]&amp;Table132[[#This Row],[next move]]</f>
        <v>EEMVVVVMV22</v>
      </c>
    </row>
    <row r="6514" spans="2:9" x14ac:dyDescent="0.25">
      <c r="B6514" t="s">
        <v>379</v>
      </c>
      <c r="C6514" s="22" t="s">
        <v>29</v>
      </c>
      <c r="D6514">
        <v>2</v>
      </c>
      <c r="E6514">
        <v>1</v>
      </c>
      <c r="G6514" s="30">
        <f>Table132[[#This Row],[nb win]]/Table132[[#This Row],[nb play]]</f>
        <v>0.5</v>
      </c>
      <c r="H6514" t="str">
        <f>MID(Table132[[#This Row],[ÉTAT]],VALUE(RIGHT(Table132[[#This Row],[next move]],1))+1+VALUE(LEFT(Table132[[#This Row],[next move]],1))*3,1)</f>
        <v>V</v>
      </c>
      <c r="I6514" t="str">
        <f>Table132[[#This Row],[ÉTAT]]&amp;Table132[[#This Row],[next move]]</f>
        <v>EEMVVVVME11</v>
      </c>
    </row>
    <row r="6515" spans="2:9" x14ac:dyDescent="0.25">
      <c r="B6515" t="s">
        <v>379</v>
      </c>
      <c r="C6515" s="22" t="s">
        <v>28</v>
      </c>
      <c r="D6515">
        <v>3</v>
      </c>
      <c r="G6515" s="25">
        <f>Table132[[#This Row],[nb win]]/Table132[[#This Row],[nb play]]</f>
        <v>0</v>
      </c>
      <c r="H6515" t="str">
        <f>MID(Table132[[#This Row],[ÉTAT]],VALUE(RIGHT(Table132[[#This Row],[next move]],1))+1+VALUE(LEFT(Table132[[#This Row],[next move]],1))*3,1)</f>
        <v>V</v>
      </c>
      <c r="I6515" t="str">
        <f>Table132[[#This Row],[ÉTAT]]&amp;Table132[[#This Row],[next move]]</f>
        <v>EEMVVVVME12</v>
      </c>
    </row>
    <row r="6516" spans="2:9" x14ac:dyDescent="0.25">
      <c r="B6516" t="s">
        <v>379</v>
      </c>
      <c r="C6516" s="22" t="s">
        <v>35</v>
      </c>
      <c r="D6516">
        <v>3</v>
      </c>
      <c r="G6516" s="25">
        <f>Table132[[#This Row],[nb win]]/Table132[[#This Row],[nb play]]</f>
        <v>0</v>
      </c>
      <c r="H6516" t="str">
        <f>MID(Table132[[#This Row],[ÉTAT]],VALUE(RIGHT(Table132[[#This Row],[next move]],1))+1+VALUE(LEFT(Table132[[#This Row],[next move]],1))*3,1)</f>
        <v>V</v>
      </c>
      <c r="I6516" t="str">
        <f>Table132[[#This Row],[ÉTAT]]&amp;Table132[[#This Row],[next move]]</f>
        <v>EEMVVVVME20</v>
      </c>
    </row>
    <row r="6517" spans="2:9" x14ac:dyDescent="0.25">
      <c r="B6517" t="s">
        <v>1140</v>
      </c>
      <c r="C6517" s="22" t="s">
        <v>29</v>
      </c>
      <c r="D6517">
        <v>1</v>
      </c>
      <c r="E6517">
        <v>1</v>
      </c>
      <c r="G6517" s="31">
        <f>Table132[[#This Row],[nb win]]/Table132[[#This Row],[nb play]]</f>
        <v>1</v>
      </c>
      <c r="H6517" t="str">
        <f>MID(Table132[[#This Row],[ÉTAT]],VALUE(RIGHT(Table132[[#This Row],[next move]],1))+1+VALUE(LEFT(Table132[[#This Row],[next move]],1))*3,1)</f>
        <v>V</v>
      </c>
      <c r="I6517" t="str">
        <f>Table132[[#This Row],[ÉTAT]]&amp;Table132[[#This Row],[next move]]</f>
        <v>EEMVVVVEM11</v>
      </c>
    </row>
    <row r="6518" spans="2:9" x14ac:dyDescent="0.25">
      <c r="B6518" t="s">
        <v>1140</v>
      </c>
      <c r="C6518" s="22" t="s">
        <v>35</v>
      </c>
      <c r="D6518">
        <v>8</v>
      </c>
      <c r="E6518">
        <v>5</v>
      </c>
      <c r="G6518" s="30">
        <f>Table132[[#This Row],[nb win]]/Table132[[#This Row],[nb play]]</f>
        <v>0.625</v>
      </c>
      <c r="H6518" t="str">
        <f>MID(Table132[[#This Row],[ÉTAT]],VALUE(RIGHT(Table132[[#This Row],[next move]],1))+1+VALUE(LEFT(Table132[[#This Row],[next move]],1))*3,1)</f>
        <v>V</v>
      </c>
      <c r="I6518" t="str">
        <f>Table132[[#This Row],[ÉTAT]]&amp;Table132[[#This Row],[next move]]</f>
        <v>EEMVVVVEM20</v>
      </c>
    </row>
    <row r="6519" spans="2:9" x14ac:dyDescent="0.25">
      <c r="B6519" t="s">
        <v>2772</v>
      </c>
      <c r="C6519" s="22" t="s">
        <v>30</v>
      </c>
      <c r="D6519">
        <v>1</v>
      </c>
      <c r="G6519" s="25">
        <f>Table132[[#This Row],[nb win]]/Table132[[#This Row],[nb play]]</f>
        <v>0</v>
      </c>
      <c r="H6519" t="str">
        <f>MID(Table132[[#This Row],[ÉTAT]],VALUE(RIGHT(Table132[[#This Row],[next move]],1))+1+VALUE(LEFT(Table132[[#This Row],[next move]],1))*3,1)</f>
        <v>V</v>
      </c>
      <c r="I6519" t="str">
        <f>Table132[[#This Row],[ÉTAT]]&amp;Table132[[#This Row],[next move]]</f>
        <v>EEMVVVMVV10</v>
      </c>
    </row>
    <row r="6520" spans="2:9" x14ac:dyDescent="0.25">
      <c r="B6520" t="s">
        <v>2772</v>
      </c>
      <c r="C6520" s="22" t="s">
        <v>29</v>
      </c>
      <c r="D6520">
        <v>1</v>
      </c>
      <c r="E6520">
        <v>1</v>
      </c>
      <c r="G6520" s="31">
        <f>Table132[[#This Row],[nb win]]/Table132[[#This Row],[nb play]]</f>
        <v>1</v>
      </c>
      <c r="H6520" t="str">
        <f>MID(Table132[[#This Row],[ÉTAT]],VALUE(RIGHT(Table132[[#This Row],[next move]],1))+1+VALUE(LEFT(Table132[[#This Row],[next move]],1))*3,1)</f>
        <v>V</v>
      </c>
      <c r="I6520" t="str">
        <f>Table132[[#This Row],[ÉTAT]]&amp;Table132[[#This Row],[next move]]</f>
        <v>EEMVVVMVV11</v>
      </c>
    </row>
    <row r="6521" spans="2:9" x14ac:dyDescent="0.25">
      <c r="B6521" t="s">
        <v>3054</v>
      </c>
      <c r="C6521" s="22" t="s">
        <v>29</v>
      </c>
      <c r="D6521">
        <v>1</v>
      </c>
      <c r="E6521">
        <v>1</v>
      </c>
      <c r="G6521" s="31">
        <f>Table132[[#This Row],[nb win]]/Table132[[#This Row],[nb play]]</f>
        <v>1</v>
      </c>
      <c r="H6521" t="str">
        <f>MID(Table132[[#This Row],[ÉTAT]],VALUE(RIGHT(Table132[[#This Row],[next move]],1))+1+VALUE(LEFT(Table132[[#This Row],[next move]],1))*3,1)</f>
        <v>V</v>
      </c>
      <c r="I6521" t="str">
        <f>Table132[[#This Row],[ÉTAT]]&amp;Table132[[#This Row],[next move]]</f>
        <v>EEMVVVMVE11</v>
      </c>
    </row>
    <row r="6522" spans="2:9" x14ac:dyDescent="0.25">
      <c r="B6522" t="s">
        <v>3054</v>
      </c>
      <c r="C6522" s="22" t="s">
        <v>22</v>
      </c>
      <c r="D6522">
        <v>1</v>
      </c>
      <c r="G6522" s="25">
        <f>Table132[[#This Row],[nb win]]/Table132[[#This Row],[nb play]]</f>
        <v>0</v>
      </c>
      <c r="H6522" t="str">
        <f>MID(Table132[[#This Row],[ÉTAT]],VALUE(RIGHT(Table132[[#This Row],[next move]],1))+1+VALUE(LEFT(Table132[[#This Row],[next move]],1))*3,1)</f>
        <v>V</v>
      </c>
      <c r="I6522" t="str">
        <f>Table132[[#This Row],[ÉTAT]]&amp;Table132[[#This Row],[next move]]</f>
        <v>EEMVVVMVE21</v>
      </c>
    </row>
    <row r="6523" spans="2:9" x14ac:dyDescent="0.25">
      <c r="B6523" t="s">
        <v>1470</v>
      </c>
      <c r="C6523" s="22" t="s">
        <v>30</v>
      </c>
      <c r="D6523">
        <v>2</v>
      </c>
      <c r="E6523">
        <v>1</v>
      </c>
      <c r="G6523" s="25">
        <f>Table132[[#This Row],[nb win]]/Table132[[#This Row],[nb play]]</f>
        <v>0.5</v>
      </c>
      <c r="H6523" t="str">
        <f>MID(Table132[[#This Row],[ÉTAT]],VALUE(RIGHT(Table132[[#This Row],[next move]],1))+1+VALUE(LEFT(Table132[[#This Row],[next move]],1))*3,1)</f>
        <v>V</v>
      </c>
      <c r="I6523" t="str">
        <f>Table132[[#This Row],[ÉTAT]]&amp;Table132[[#This Row],[next move]]</f>
        <v>EEMVVVMME10</v>
      </c>
    </row>
    <row r="6524" spans="2:9" x14ac:dyDescent="0.25">
      <c r="B6524" t="s">
        <v>1470</v>
      </c>
      <c r="C6524" s="22" t="s">
        <v>28</v>
      </c>
      <c r="D6524">
        <v>1</v>
      </c>
      <c r="E6524">
        <v>1</v>
      </c>
      <c r="G6524" s="31">
        <f>Table132[[#This Row],[nb win]]/Table132[[#This Row],[nb play]]</f>
        <v>1</v>
      </c>
      <c r="H6524" t="str">
        <f>MID(Table132[[#This Row],[ÉTAT]],VALUE(RIGHT(Table132[[#This Row],[next move]],1))+1+VALUE(LEFT(Table132[[#This Row],[next move]],1))*3,1)</f>
        <v>V</v>
      </c>
      <c r="I6524" t="str">
        <f>Table132[[#This Row],[ÉTAT]]&amp;Table132[[#This Row],[next move]]</f>
        <v>EEMVVVMME12</v>
      </c>
    </row>
    <row r="6525" spans="2:9" x14ac:dyDescent="0.25">
      <c r="B6525" t="s">
        <v>2555</v>
      </c>
      <c r="C6525" s="22" t="s">
        <v>30</v>
      </c>
      <c r="D6525">
        <v>1</v>
      </c>
      <c r="G6525" s="25">
        <f>Table132[[#This Row],[nb win]]/Table132[[#This Row],[nb play]]</f>
        <v>0</v>
      </c>
      <c r="H6525" t="str">
        <f>MID(Table132[[#This Row],[ÉTAT]],VALUE(RIGHT(Table132[[#This Row],[next move]],1))+1+VALUE(LEFT(Table132[[#This Row],[next move]],1))*3,1)</f>
        <v>V</v>
      </c>
      <c r="I6525" t="str">
        <f>Table132[[#This Row],[ÉTAT]]&amp;Table132[[#This Row],[next move]]</f>
        <v>EEMVVVMEM10</v>
      </c>
    </row>
    <row r="6526" spans="2:9" x14ac:dyDescent="0.25">
      <c r="B6526" t="s">
        <v>1707</v>
      </c>
      <c r="C6526" s="22" t="s">
        <v>30</v>
      </c>
      <c r="D6526">
        <v>1</v>
      </c>
      <c r="G6526" s="30">
        <f>Table132[[#This Row],[nb win]]/Table132[[#This Row],[nb play]]</f>
        <v>0</v>
      </c>
      <c r="H6526" t="str">
        <f>MID(Table132[[#This Row],[ÉTAT]],VALUE(RIGHT(Table132[[#This Row],[next move]],1))+1+VALUE(LEFT(Table132[[#This Row],[next move]],1))*3,1)</f>
        <v>V</v>
      </c>
      <c r="I6526" t="str">
        <f>Table132[[#This Row],[ÉTAT]]&amp;Table132[[#This Row],[next move]]</f>
        <v>EEMVVVEMV10</v>
      </c>
    </row>
    <row r="6527" spans="2:9" x14ac:dyDescent="0.25">
      <c r="B6527" t="s">
        <v>1707</v>
      </c>
      <c r="C6527" s="22" t="s">
        <v>29</v>
      </c>
      <c r="D6527">
        <v>1</v>
      </c>
      <c r="G6527" s="30">
        <f>Table132[[#This Row],[nb win]]/Table132[[#This Row],[nb play]]</f>
        <v>0</v>
      </c>
      <c r="H6527" t="str">
        <f>MID(Table132[[#This Row],[ÉTAT]],VALUE(RIGHT(Table132[[#This Row],[next move]],1))+1+VALUE(LEFT(Table132[[#This Row],[next move]],1))*3,1)</f>
        <v>V</v>
      </c>
      <c r="I6527" t="str">
        <f>Table132[[#This Row],[ÉTAT]]&amp;Table132[[#This Row],[next move]]</f>
        <v>EEMVVVEMV11</v>
      </c>
    </row>
    <row r="6528" spans="2:9" x14ac:dyDescent="0.25">
      <c r="B6528" t="s">
        <v>1707</v>
      </c>
      <c r="C6528" s="22" t="s">
        <v>28</v>
      </c>
      <c r="D6528">
        <v>3</v>
      </c>
      <c r="E6528">
        <v>1</v>
      </c>
      <c r="G6528" s="30">
        <f>Table132[[#This Row],[nb win]]/Table132[[#This Row],[nb play]]</f>
        <v>0.33333333333333331</v>
      </c>
      <c r="H6528" t="str">
        <f>MID(Table132[[#This Row],[ÉTAT]],VALUE(RIGHT(Table132[[#This Row],[next move]],1))+1+VALUE(LEFT(Table132[[#This Row],[next move]],1))*3,1)</f>
        <v>V</v>
      </c>
      <c r="I6528" t="str">
        <f>Table132[[#This Row],[ÉTAT]]&amp;Table132[[#This Row],[next move]]</f>
        <v>EEMVVVEMV12</v>
      </c>
    </row>
    <row r="6529" spans="2:9" x14ac:dyDescent="0.25">
      <c r="B6529" t="s">
        <v>1707</v>
      </c>
      <c r="C6529" s="22" t="s">
        <v>31</v>
      </c>
      <c r="D6529">
        <v>2</v>
      </c>
      <c r="E6529">
        <v>1</v>
      </c>
      <c r="G6529" s="30">
        <f>Table132[[#This Row],[nb win]]/Table132[[#This Row],[nb play]]</f>
        <v>0.5</v>
      </c>
      <c r="H6529" t="str">
        <f>MID(Table132[[#This Row],[ÉTAT]],VALUE(RIGHT(Table132[[#This Row],[next move]],1))+1+VALUE(LEFT(Table132[[#This Row],[next move]],1))*3,1)</f>
        <v>V</v>
      </c>
      <c r="I6529" t="str">
        <f>Table132[[#This Row],[ÉTAT]]&amp;Table132[[#This Row],[next move]]</f>
        <v>EEMVVVEMV22</v>
      </c>
    </row>
    <row r="6530" spans="2:9" x14ac:dyDescent="0.25">
      <c r="B6530" t="s">
        <v>2091</v>
      </c>
      <c r="C6530" s="22" t="s">
        <v>30</v>
      </c>
      <c r="D6530">
        <v>1</v>
      </c>
      <c r="E6530">
        <v>1</v>
      </c>
      <c r="G6530" s="25">
        <f>Table132[[#This Row],[nb win]]/Table132[[#This Row],[nb play]]</f>
        <v>1</v>
      </c>
      <c r="H6530" t="str">
        <f>MID(Table132[[#This Row],[ÉTAT]],VALUE(RIGHT(Table132[[#This Row],[next move]],1))+1+VALUE(LEFT(Table132[[#This Row],[next move]],1))*3,1)</f>
        <v>V</v>
      </c>
      <c r="I6530" t="str">
        <f>Table132[[#This Row],[ÉTAT]]&amp;Table132[[#This Row],[next move]]</f>
        <v>EEMVVVEMM10</v>
      </c>
    </row>
    <row r="6531" spans="2:9" x14ac:dyDescent="0.25">
      <c r="B6531" t="s">
        <v>3216</v>
      </c>
      <c r="C6531" s="22" t="s">
        <v>22</v>
      </c>
      <c r="D6531">
        <v>2</v>
      </c>
      <c r="E6531">
        <v>2</v>
      </c>
      <c r="G6531" s="31">
        <f>Table132[[#This Row],[nb win]]/Table132[[#This Row],[nb play]]</f>
        <v>1</v>
      </c>
      <c r="H6531" t="str">
        <f>MID(Table132[[#This Row],[ÉTAT]],VALUE(RIGHT(Table132[[#This Row],[next move]],1))+1+VALUE(LEFT(Table132[[#This Row],[next move]],1))*3,1)</f>
        <v>V</v>
      </c>
      <c r="I6531" t="str">
        <f>Table132[[#This Row],[ÉTAT]]&amp;Table132[[#This Row],[next move]]</f>
        <v>EEMVVMVVV21</v>
      </c>
    </row>
    <row r="6532" spans="2:9" x14ac:dyDescent="0.25">
      <c r="B6532" t="s">
        <v>1111</v>
      </c>
      <c r="C6532" s="22" t="s">
        <v>29</v>
      </c>
      <c r="D6532">
        <v>3</v>
      </c>
      <c r="E6532">
        <v>3</v>
      </c>
      <c r="G6532" s="31">
        <f>Table132[[#This Row],[nb win]]/Table132[[#This Row],[nb play]]</f>
        <v>1</v>
      </c>
      <c r="H6532" t="str">
        <f>MID(Table132[[#This Row],[ÉTAT]],VALUE(RIGHT(Table132[[#This Row],[next move]],1))+1+VALUE(LEFT(Table132[[#This Row],[next move]],1))*3,1)</f>
        <v>V</v>
      </c>
      <c r="I6532" t="str">
        <f>Table132[[#This Row],[ÉTAT]]&amp;Table132[[#This Row],[next move]]</f>
        <v>EEMVVMVME11</v>
      </c>
    </row>
    <row r="6533" spans="2:9" x14ac:dyDescent="0.25">
      <c r="B6533" t="s">
        <v>2454</v>
      </c>
      <c r="C6533" s="22" t="s">
        <v>29</v>
      </c>
      <c r="D6533">
        <v>1</v>
      </c>
      <c r="E6533">
        <v>1</v>
      </c>
      <c r="G6533" s="25">
        <f>Table132[[#This Row],[nb win]]/Table132[[#This Row],[nb play]]</f>
        <v>1</v>
      </c>
      <c r="H6533" t="str">
        <f>MID(Table132[[#This Row],[ÉTAT]],VALUE(RIGHT(Table132[[#This Row],[next move]],1))+1+VALUE(LEFT(Table132[[#This Row],[next move]],1))*3,1)</f>
        <v>V</v>
      </c>
      <c r="I6533" t="str">
        <f>Table132[[#This Row],[ÉTAT]]&amp;Table132[[#This Row],[next move]]</f>
        <v>EEMVVMVEV11</v>
      </c>
    </row>
    <row r="6534" spans="2:9" x14ac:dyDescent="0.25">
      <c r="B6534" t="s">
        <v>2454</v>
      </c>
      <c r="C6534" s="22" t="s">
        <v>35</v>
      </c>
      <c r="D6534">
        <v>1</v>
      </c>
      <c r="G6534" s="25">
        <f>Table132[[#This Row],[nb win]]/Table132[[#This Row],[nb play]]</f>
        <v>0</v>
      </c>
      <c r="H6534" t="str">
        <f>MID(Table132[[#This Row],[ÉTAT]],VALUE(RIGHT(Table132[[#This Row],[next move]],1))+1+VALUE(LEFT(Table132[[#This Row],[next move]],1))*3,1)</f>
        <v>V</v>
      </c>
      <c r="I6534" t="str">
        <f>Table132[[#This Row],[ÉTAT]]&amp;Table132[[#This Row],[next move]]</f>
        <v>EEMVVMVEV20</v>
      </c>
    </row>
    <row r="6535" spans="2:9" x14ac:dyDescent="0.25">
      <c r="B6535" t="s">
        <v>2907</v>
      </c>
      <c r="C6535" s="22" t="s">
        <v>30</v>
      </c>
      <c r="D6535">
        <v>2</v>
      </c>
      <c r="E6535">
        <v>1</v>
      </c>
      <c r="G6535" s="30">
        <f>Table132[[#This Row],[nb win]]/Table132[[#This Row],[nb play]]</f>
        <v>0.5</v>
      </c>
      <c r="H6535" t="str">
        <f>MID(Table132[[#This Row],[ÉTAT]],VALUE(RIGHT(Table132[[#This Row],[next move]],1))+1+VALUE(LEFT(Table132[[#This Row],[next move]],1))*3,1)</f>
        <v>V</v>
      </c>
      <c r="I6535" t="str">
        <f>Table132[[#This Row],[ÉTAT]]&amp;Table132[[#This Row],[next move]]</f>
        <v>EEMVVMMEV10</v>
      </c>
    </row>
    <row r="6536" spans="2:9" x14ac:dyDescent="0.25">
      <c r="B6536" t="s">
        <v>2251</v>
      </c>
      <c r="C6536" s="22" t="s">
        <v>30</v>
      </c>
      <c r="D6536">
        <v>2</v>
      </c>
      <c r="E6536">
        <v>2</v>
      </c>
      <c r="G6536" s="25">
        <f>Table132[[#This Row],[nb win]]/Table132[[#This Row],[nb play]]</f>
        <v>1</v>
      </c>
      <c r="H6536" t="str">
        <f>MID(Table132[[#This Row],[ÉTAT]],VALUE(RIGHT(Table132[[#This Row],[next move]],1))+1+VALUE(LEFT(Table132[[#This Row],[next move]],1))*3,1)</f>
        <v>V</v>
      </c>
      <c r="I6536" t="str">
        <f>Table132[[#This Row],[ÉTAT]]&amp;Table132[[#This Row],[next move]]</f>
        <v>EEMVVMEMV10</v>
      </c>
    </row>
    <row r="6537" spans="2:9" x14ac:dyDescent="0.25">
      <c r="B6537" t="s">
        <v>2690</v>
      </c>
      <c r="C6537" s="22" t="s">
        <v>30</v>
      </c>
      <c r="D6537">
        <v>1</v>
      </c>
      <c r="G6537" s="25">
        <f>Table132[[#This Row],[nb win]]/Table132[[#This Row],[nb play]]</f>
        <v>0</v>
      </c>
      <c r="H6537" t="str">
        <f>MID(Table132[[#This Row],[ÉTAT]],VALUE(RIGHT(Table132[[#This Row],[next move]],1))+1+VALUE(LEFT(Table132[[#This Row],[next move]],1))*3,1)</f>
        <v>V</v>
      </c>
      <c r="I6537" t="str">
        <f>Table132[[#This Row],[ÉTAT]]&amp;Table132[[#This Row],[next move]]</f>
        <v>EEMVVMEME10</v>
      </c>
    </row>
    <row r="6538" spans="2:9" x14ac:dyDescent="0.25">
      <c r="B6538" t="s">
        <v>2690</v>
      </c>
      <c r="C6538" s="22" t="s">
        <v>29</v>
      </c>
      <c r="D6538">
        <v>2</v>
      </c>
      <c r="G6538" s="30">
        <f>Table132[[#This Row],[nb win]]/Table132[[#This Row],[nb play]]</f>
        <v>0</v>
      </c>
      <c r="H6538" t="str">
        <f>MID(Table132[[#This Row],[ÉTAT]],VALUE(RIGHT(Table132[[#This Row],[next move]],1))+1+VALUE(LEFT(Table132[[#This Row],[next move]],1))*3,1)</f>
        <v>V</v>
      </c>
      <c r="I6538" t="str">
        <f>Table132[[#This Row],[ÉTAT]]&amp;Table132[[#This Row],[next move]]</f>
        <v>EEMVVMEME11</v>
      </c>
    </row>
    <row r="6539" spans="2:9" x14ac:dyDescent="0.25">
      <c r="B6539" t="s">
        <v>2935</v>
      </c>
      <c r="C6539" s="22" t="s">
        <v>35</v>
      </c>
      <c r="D6539">
        <v>1</v>
      </c>
      <c r="G6539" s="25">
        <f>Table132[[#This Row],[nb win]]/Table132[[#This Row],[nb play]]</f>
        <v>0</v>
      </c>
      <c r="H6539" t="str">
        <f>MID(Table132[[#This Row],[ÉTAT]],VALUE(RIGHT(Table132[[#This Row],[next move]],1))+1+VALUE(LEFT(Table132[[#This Row],[next move]],1))*3,1)</f>
        <v>V</v>
      </c>
      <c r="I6539" t="str">
        <f>Table132[[#This Row],[ÉTAT]]&amp;Table132[[#This Row],[next move]]</f>
        <v>EEMVVEVVM20</v>
      </c>
    </row>
    <row r="6540" spans="2:9" x14ac:dyDescent="0.25">
      <c r="B6540" t="s">
        <v>2817</v>
      </c>
      <c r="C6540" s="22" t="s">
        <v>29</v>
      </c>
      <c r="D6540">
        <v>1</v>
      </c>
      <c r="E6540">
        <v>1</v>
      </c>
      <c r="G6540" s="25">
        <f>Table132[[#This Row],[nb win]]/Table132[[#This Row],[nb play]]</f>
        <v>1</v>
      </c>
      <c r="H6540" t="str">
        <f>MID(Table132[[#This Row],[ÉTAT]],VALUE(RIGHT(Table132[[#This Row],[next move]],1))+1+VALUE(LEFT(Table132[[#This Row],[next move]],1))*3,1)</f>
        <v>V</v>
      </c>
      <c r="I6540" t="str">
        <f>Table132[[#This Row],[ÉTAT]]&amp;Table132[[#This Row],[next move]]</f>
        <v>EEMVVEVMV11</v>
      </c>
    </row>
    <row r="6541" spans="2:9" x14ac:dyDescent="0.25">
      <c r="B6541" t="s">
        <v>3051</v>
      </c>
      <c r="C6541" s="22" t="s">
        <v>35</v>
      </c>
      <c r="D6541">
        <v>3</v>
      </c>
      <c r="E6541">
        <v>3</v>
      </c>
      <c r="G6541" s="31">
        <f>Table132[[#This Row],[nb win]]/Table132[[#This Row],[nb play]]</f>
        <v>1</v>
      </c>
      <c r="H6541" t="str">
        <f>MID(Table132[[#This Row],[ÉTAT]],VALUE(RIGHT(Table132[[#This Row],[next move]],1))+1+VALUE(LEFT(Table132[[#This Row],[next move]],1))*3,1)</f>
        <v>V</v>
      </c>
      <c r="I6541" t="str">
        <f>Table132[[#This Row],[ÉTAT]]&amp;Table132[[#This Row],[next move]]</f>
        <v>EEMVVEVMM20</v>
      </c>
    </row>
    <row r="6542" spans="2:9" x14ac:dyDescent="0.25">
      <c r="B6542" t="s">
        <v>2479</v>
      </c>
      <c r="C6542" s="22" t="s">
        <v>29</v>
      </c>
      <c r="D6542">
        <v>1</v>
      </c>
      <c r="E6542">
        <v>1</v>
      </c>
      <c r="G6542" s="25">
        <f>Table132[[#This Row],[nb win]]/Table132[[#This Row],[nb play]]</f>
        <v>1</v>
      </c>
      <c r="H6542" t="str">
        <f>MID(Table132[[#This Row],[ÉTAT]],VALUE(RIGHT(Table132[[#This Row],[next move]],1))+1+VALUE(LEFT(Table132[[#This Row],[next move]],1))*3,1)</f>
        <v>V</v>
      </c>
      <c r="I6542" t="str">
        <f>Table132[[#This Row],[ÉTAT]]&amp;Table132[[#This Row],[next move]]</f>
        <v>EEMVVEMVM11</v>
      </c>
    </row>
    <row r="6543" spans="2:9" x14ac:dyDescent="0.25">
      <c r="B6543" t="s">
        <v>805</v>
      </c>
      <c r="C6543" s="22" t="s">
        <v>30</v>
      </c>
      <c r="D6543">
        <v>6</v>
      </c>
      <c r="E6543">
        <v>6</v>
      </c>
      <c r="G6543" s="31">
        <f>Table132[[#This Row],[nb win]]/Table132[[#This Row],[nb play]]</f>
        <v>1</v>
      </c>
      <c r="H6543" t="str">
        <f>MID(Table132[[#This Row],[ÉTAT]],VALUE(RIGHT(Table132[[#This Row],[next move]],1))+1+VALUE(LEFT(Table132[[#This Row],[next move]],1))*3,1)</f>
        <v>V</v>
      </c>
      <c r="I6543" t="str">
        <f>Table132[[#This Row],[ÉTAT]]&amp;Table132[[#This Row],[next move]]</f>
        <v>EEMVVEMMV10</v>
      </c>
    </row>
    <row r="6544" spans="2:9" x14ac:dyDescent="0.25">
      <c r="B6544" t="s">
        <v>2937</v>
      </c>
      <c r="C6544" s="22" t="s">
        <v>30</v>
      </c>
      <c r="D6544">
        <v>1</v>
      </c>
      <c r="G6544" s="25">
        <f>Table132[[#This Row],[nb win]]/Table132[[#This Row],[nb play]]</f>
        <v>0</v>
      </c>
      <c r="H6544" t="str">
        <f>MID(Table132[[#This Row],[ÉTAT]],VALUE(RIGHT(Table132[[#This Row],[next move]],1))+1+VALUE(LEFT(Table132[[#This Row],[next move]],1))*3,1)</f>
        <v>V</v>
      </c>
      <c r="I6544" t="str">
        <f>Table132[[#This Row],[ÉTAT]]&amp;Table132[[#This Row],[next move]]</f>
        <v>EEMVVEMEM10</v>
      </c>
    </row>
    <row r="6545" spans="2:9" x14ac:dyDescent="0.25">
      <c r="B6545" t="s">
        <v>3130</v>
      </c>
      <c r="C6545" s="22" t="s">
        <v>29</v>
      </c>
      <c r="D6545">
        <v>1</v>
      </c>
      <c r="G6545" s="30">
        <f>Table132[[#This Row],[nb win]]/Table132[[#This Row],[nb play]]</f>
        <v>0</v>
      </c>
      <c r="H6545" t="str">
        <f>MID(Table132[[#This Row],[ÉTAT]],VALUE(RIGHT(Table132[[#This Row],[next move]],1))+1+VALUE(LEFT(Table132[[#This Row],[next move]],1))*3,1)</f>
        <v>V</v>
      </c>
      <c r="I6545" t="str">
        <f>Table132[[#This Row],[ÉTAT]]&amp;Table132[[#This Row],[next move]]</f>
        <v>EEMVVEEMM11</v>
      </c>
    </row>
    <row r="6546" spans="2:9" x14ac:dyDescent="0.25">
      <c r="B6546" t="s">
        <v>524</v>
      </c>
      <c r="C6546" s="22" t="s">
        <v>22</v>
      </c>
      <c r="D6546">
        <v>3</v>
      </c>
      <c r="E6546">
        <v>3</v>
      </c>
      <c r="G6546" s="25">
        <f>Table132[[#This Row],[nb win]]/Table132[[#This Row],[nb play]]</f>
        <v>1</v>
      </c>
      <c r="H6546" t="str">
        <f>MID(Table132[[#This Row],[ÉTAT]],VALUE(RIGHT(Table132[[#This Row],[next move]],1))+1+VALUE(LEFT(Table132[[#This Row],[next move]],1))*3,1)</f>
        <v>V</v>
      </c>
      <c r="I6546" t="str">
        <f>Table132[[#This Row],[ÉTAT]]&amp;Table132[[#This Row],[next move]]</f>
        <v>EEMVMVVVV21</v>
      </c>
    </row>
    <row r="6547" spans="2:9" x14ac:dyDescent="0.25">
      <c r="B6547" t="s">
        <v>120</v>
      </c>
      <c r="C6547" s="22" t="s">
        <v>35</v>
      </c>
      <c r="D6547">
        <v>3</v>
      </c>
      <c r="E6547">
        <v>3</v>
      </c>
      <c r="G6547" s="31">
        <f>Table132[[#This Row],[nb win]]/Table132[[#This Row],[nb play]]</f>
        <v>1</v>
      </c>
      <c r="H6547" t="str">
        <f>MID(Table132[[#This Row],[ÉTAT]],VALUE(RIGHT(Table132[[#This Row],[next move]],1))+1+VALUE(LEFT(Table132[[#This Row],[next move]],1))*3,1)</f>
        <v>V</v>
      </c>
      <c r="I6547" t="str">
        <f>Table132[[#This Row],[ÉTAT]]&amp;Table132[[#This Row],[next move]]</f>
        <v>EEMVMVVVE20</v>
      </c>
    </row>
    <row r="6548" spans="2:9" x14ac:dyDescent="0.25">
      <c r="B6548" t="s">
        <v>172</v>
      </c>
      <c r="C6548" s="22" t="s">
        <v>35</v>
      </c>
      <c r="D6548">
        <v>2</v>
      </c>
      <c r="E6548">
        <v>2</v>
      </c>
      <c r="G6548" s="25">
        <f>Table132[[#This Row],[nb win]]/Table132[[#This Row],[nb play]]</f>
        <v>1</v>
      </c>
      <c r="H6548" t="str">
        <f>MID(Table132[[#This Row],[ÉTAT]],VALUE(RIGHT(Table132[[#This Row],[next move]],1))+1+VALUE(LEFT(Table132[[#This Row],[next move]],1))*3,1)</f>
        <v>V</v>
      </c>
      <c r="I6548" t="str">
        <f>Table132[[#This Row],[ÉTAT]]&amp;Table132[[#This Row],[next move]]</f>
        <v>EEMVMVVME20</v>
      </c>
    </row>
    <row r="6549" spans="2:9" x14ac:dyDescent="0.25">
      <c r="B6549" t="s">
        <v>2042</v>
      </c>
      <c r="C6549" s="22" t="s">
        <v>35</v>
      </c>
      <c r="D6549">
        <v>3</v>
      </c>
      <c r="E6549">
        <v>3</v>
      </c>
      <c r="G6549" s="25">
        <f>Table132[[#This Row],[nb win]]/Table132[[#This Row],[nb play]]</f>
        <v>1</v>
      </c>
      <c r="H6549" t="str">
        <f>MID(Table132[[#This Row],[ÉTAT]],VALUE(RIGHT(Table132[[#This Row],[next move]],1))+1+VALUE(LEFT(Table132[[#This Row],[next move]],1))*3,1)</f>
        <v>V</v>
      </c>
      <c r="I6549" t="str">
        <f>Table132[[#This Row],[ÉTAT]]&amp;Table132[[#This Row],[next move]]</f>
        <v>EEMVMVVEV20</v>
      </c>
    </row>
    <row r="6550" spans="2:9" x14ac:dyDescent="0.25">
      <c r="B6550" t="s">
        <v>420</v>
      </c>
      <c r="C6550" s="22" t="s">
        <v>30</v>
      </c>
      <c r="D6550">
        <v>4</v>
      </c>
      <c r="E6550">
        <v>4</v>
      </c>
      <c r="G6550" s="31">
        <f>Table132[[#This Row],[nb win]]/Table132[[#This Row],[nb play]]</f>
        <v>1</v>
      </c>
      <c r="H6550" t="str">
        <f>MID(Table132[[#This Row],[ÉTAT]],VALUE(RIGHT(Table132[[#This Row],[next move]],1))+1+VALUE(LEFT(Table132[[#This Row],[next move]],1))*3,1)</f>
        <v>V</v>
      </c>
      <c r="I6550" t="str">
        <f>Table132[[#This Row],[ÉTAT]]&amp;Table132[[#This Row],[next move]]</f>
        <v>EEMVMVVEM10</v>
      </c>
    </row>
    <row r="6551" spans="2:9" x14ac:dyDescent="0.25">
      <c r="B6551" t="s">
        <v>1543</v>
      </c>
      <c r="C6551" s="22" t="s">
        <v>28</v>
      </c>
      <c r="D6551">
        <v>2</v>
      </c>
      <c r="E6551">
        <v>1</v>
      </c>
      <c r="G6551" s="25">
        <f>Table132[[#This Row],[nb win]]/Table132[[#This Row],[nb play]]</f>
        <v>0.5</v>
      </c>
      <c r="H6551" t="str">
        <f>MID(Table132[[#This Row],[ÉTAT]],VALUE(RIGHT(Table132[[#This Row],[next move]],1))+1+VALUE(LEFT(Table132[[#This Row],[next move]],1))*3,1)</f>
        <v>V</v>
      </c>
      <c r="I6551" t="str">
        <f>Table132[[#This Row],[ÉTAT]]&amp;Table132[[#This Row],[next move]]</f>
        <v>EEMVMVEVV12</v>
      </c>
    </row>
    <row r="6552" spans="2:9" x14ac:dyDescent="0.25">
      <c r="B6552" t="s">
        <v>1213</v>
      </c>
      <c r="C6552" s="22" t="s">
        <v>28</v>
      </c>
      <c r="D6552">
        <v>3</v>
      </c>
      <c r="E6552">
        <v>3</v>
      </c>
      <c r="G6552" s="31">
        <f>Table132[[#This Row],[nb win]]/Table132[[#This Row],[nb play]]</f>
        <v>1</v>
      </c>
      <c r="H6552" t="str">
        <f>MID(Table132[[#This Row],[ÉTAT]],VALUE(RIGHT(Table132[[#This Row],[next move]],1))+1+VALUE(LEFT(Table132[[#This Row],[next move]],1))*3,1)</f>
        <v>V</v>
      </c>
      <c r="I6552" t="str">
        <f>Table132[[#This Row],[ÉTAT]]&amp;Table132[[#This Row],[next move]]</f>
        <v>EEMVMVEVM12</v>
      </c>
    </row>
    <row r="6553" spans="2:9" x14ac:dyDescent="0.25">
      <c r="B6553" t="s">
        <v>2980</v>
      </c>
      <c r="C6553" s="22" t="s">
        <v>30</v>
      </c>
      <c r="D6553">
        <v>1</v>
      </c>
      <c r="E6553">
        <v>1</v>
      </c>
      <c r="G6553" s="25">
        <f>Table132[[#This Row],[nb win]]/Table132[[#This Row],[nb play]]</f>
        <v>1</v>
      </c>
      <c r="H6553" t="str">
        <f>MID(Table132[[#This Row],[ÉTAT]],VALUE(RIGHT(Table132[[#This Row],[next move]],1))+1+VALUE(LEFT(Table132[[#This Row],[next move]],1))*3,1)</f>
        <v>V</v>
      </c>
      <c r="I6553" t="str">
        <f>Table132[[#This Row],[ÉTAT]]&amp;Table132[[#This Row],[next move]]</f>
        <v>EEMVMVEMV10</v>
      </c>
    </row>
    <row r="6554" spans="2:9" x14ac:dyDescent="0.25">
      <c r="B6554" t="s">
        <v>2921</v>
      </c>
      <c r="C6554" s="22" t="s">
        <v>28</v>
      </c>
      <c r="D6554">
        <v>1</v>
      </c>
      <c r="G6554" s="30">
        <f>Table132[[#This Row],[nb win]]/Table132[[#This Row],[nb play]]</f>
        <v>0</v>
      </c>
      <c r="H6554" t="str">
        <f>MID(Table132[[#This Row],[ÉTAT]],VALUE(RIGHT(Table132[[#This Row],[next move]],1))+1+VALUE(LEFT(Table132[[#This Row],[next move]],1))*3,1)</f>
        <v>V</v>
      </c>
      <c r="I6554" t="str">
        <f>Table132[[#This Row],[ÉTAT]]&amp;Table132[[#This Row],[next move]]</f>
        <v>EEMVMVEME12</v>
      </c>
    </row>
    <row r="6555" spans="2:9" x14ac:dyDescent="0.25">
      <c r="B6555" t="s">
        <v>2360</v>
      </c>
      <c r="C6555" s="22" t="s">
        <v>28</v>
      </c>
      <c r="D6555">
        <v>3</v>
      </c>
      <c r="E6555">
        <v>3</v>
      </c>
      <c r="G6555" s="31">
        <f>Table132[[#This Row],[nb win]]/Table132[[#This Row],[nb play]]</f>
        <v>1</v>
      </c>
      <c r="H6555" t="str">
        <f>MID(Table132[[#This Row],[ÉTAT]],VALUE(RIGHT(Table132[[#This Row],[next move]],1))+1+VALUE(LEFT(Table132[[#This Row],[next move]],1))*3,1)</f>
        <v>V</v>
      </c>
      <c r="I6555" t="str">
        <f>Table132[[#This Row],[ÉTAT]]&amp;Table132[[#This Row],[next move]]</f>
        <v>EEMVMVEEM12</v>
      </c>
    </row>
    <row r="6556" spans="2:9" x14ac:dyDescent="0.25">
      <c r="B6556" t="s">
        <v>3392</v>
      </c>
      <c r="C6556" s="22" t="s">
        <v>30</v>
      </c>
      <c r="D6556">
        <v>2</v>
      </c>
      <c r="E6556">
        <v>2</v>
      </c>
      <c r="G6556" s="31">
        <f>Table132[[#This Row],[nb win]]/Table132[[#This Row],[nb play]]</f>
        <v>1</v>
      </c>
      <c r="H6556" t="str">
        <f>MID(Table132[[#This Row],[ÉTAT]],VALUE(RIGHT(Table132[[#This Row],[next move]],1))+1+VALUE(LEFT(Table132[[#This Row],[next move]],1))*3,1)</f>
        <v>V</v>
      </c>
      <c r="I6556" t="str">
        <f>Table132[[#This Row],[ÉTAT]]&amp;Table132[[#This Row],[next move]]</f>
        <v>EEMVMMVEV10</v>
      </c>
    </row>
    <row r="6557" spans="2:9" x14ac:dyDescent="0.25">
      <c r="B6557" t="s">
        <v>2062</v>
      </c>
      <c r="C6557" s="22" t="s">
        <v>30</v>
      </c>
      <c r="D6557">
        <v>3</v>
      </c>
      <c r="E6557">
        <v>3</v>
      </c>
      <c r="G6557" s="31">
        <f>Table132[[#This Row],[nb win]]/Table132[[#This Row],[nb play]]</f>
        <v>1</v>
      </c>
      <c r="H6557" t="str">
        <f>MID(Table132[[#This Row],[ÉTAT]],VALUE(RIGHT(Table132[[#This Row],[next move]],1))+1+VALUE(LEFT(Table132[[#This Row],[next move]],1))*3,1)</f>
        <v>V</v>
      </c>
      <c r="I6557" t="str">
        <f>Table132[[#This Row],[ÉTAT]]&amp;Table132[[#This Row],[next move]]</f>
        <v>EEMVMMVEE10</v>
      </c>
    </row>
    <row r="6558" spans="2:9" x14ac:dyDescent="0.25">
      <c r="B6558" t="s">
        <v>2005</v>
      </c>
      <c r="C6558" s="22" t="s">
        <v>30</v>
      </c>
      <c r="D6558">
        <v>1</v>
      </c>
      <c r="E6558">
        <v>1</v>
      </c>
      <c r="G6558" s="25">
        <f>Table132[[#This Row],[nb win]]/Table132[[#This Row],[nb play]]</f>
        <v>1</v>
      </c>
      <c r="H6558" t="str">
        <f>MID(Table132[[#This Row],[ÉTAT]],VALUE(RIGHT(Table132[[#This Row],[next move]],1))+1+VALUE(LEFT(Table132[[#This Row],[next move]],1))*3,1)</f>
        <v>V</v>
      </c>
      <c r="I6558" t="str">
        <f>Table132[[#This Row],[ÉTAT]]&amp;Table132[[#This Row],[next move]]</f>
        <v>EEMVMMEVV10</v>
      </c>
    </row>
    <row r="6559" spans="2:9" x14ac:dyDescent="0.25">
      <c r="B6559" t="s">
        <v>2992</v>
      </c>
      <c r="C6559" s="22" t="s">
        <v>30</v>
      </c>
      <c r="D6559">
        <v>1</v>
      </c>
      <c r="E6559">
        <v>1</v>
      </c>
      <c r="G6559" s="25">
        <f>Table132[[#This Row],[nb win]]/Table132[[#This Row],[nb play]]</f>
        <v>1</v>
      </c>
      <c r="H6559" t="str">
        <f>MID(Table132[[#This Row],[ÉTAT]],VALUE(RIGHT(Table132[[#This Row],[next move]],1))+1+VALUE(LEFT(Table132[[#This Row],[next move]],1))*3,1)</f>
        <v>V</v>
      </c>
      <c r="I6559" t="str">
        <f>Table132[[#This Row],[ÉTAT]]&amp;Table132[[#This Row],[next move]]</f>
        <v>EEMVMMEME10</v>
      </c>
    </row>
    <row r="6560" spans="2:9" x14ac:dyDescent="0.25">
      <c r="B6560" t="s">
        <v>1000</v>
      </c>
      <c r="C6560" s="22" t="s">
        <v>31</v>
      </c>
      <c r="D6560">
        <v>3</v>
      </c>
      <c r="E6560">
        <v>3</v>
      </c>
      <c r="G6560" s="25">
        <f>Table132[[#This Row],[nb win]]/Table132[[#This Row],[nb play]]</f>
        <v>1</v>
      </c>
      <c r="H6560" t="str">
        <f>MID(Table132[[#This Row],[ÉTAT]],VALUE(RIGHT(Table132[[#This Row],[next move]],1))+1+VALUE(LEFT(Table132[[#This Row],[next move]],1))*3,1)</f>
        <v>V</v>
      </c>
      <c r="I6560" t="str">
        <f>Table132[[#This Row],[ÉTAT]]&amp;Table132[[#This Row],[next move]]</f>
        <v>EEMVMMEEV22</v>
      </c>
    </row>
    <row r="6561" spans="2:9" x14ac:dyDescent="0.25">
      <c r="B6561" t="s">
        <v>1498</v>
      </c>
      <c r="C6561" s="22" t="s">
        <v>35</v>
      </c>
      <c r="D6561">
        <v>5</v>
      </c>
      <c r="E6561">
        <v>5</v>
      </c>
      <c r="G6561" s="31">
        <f>Table132[[#This Row],[nb win]]/Table132[[#This Row],[nb play]]</f>
        <v>1</v>
      </c>
      <c r="H6561" t="str">
        <f>MID(Table132[[#This Row],[ÉTAT]],VALUE(RIGHT(Table132[[#This Row],[next move]],1))+1+VALUE(LEFT(Table132[[#This Row],[next move]],1))*3,1)</f>
        <v>V</v>
      </c>
      <c r="I6561" t="str">
        <f>Table132[[#This Row],[ÉTAT]]&amp;Table132[[#This Row],[next move]]</f>
        <v>EEMVMEVVV20</v>
      </c>
    </row>
    <row r="6562" spans="2:9" x14ac:dyDescent="0.25">
      <c r="B6562" t="s">
        <v>2119</v>
      </c>
      <c r="C6562" s="22" t="s">
        <v>31</v>
      </c>
      <c r="D6562">
        <v>1</v>
      </c>
      <c r="E6562">
        <v>1</v>
      </c>
      <c r="G6562" s="25">
        <f>Table132[[#This Row],[nb win]]/Table132[[#This Row],[nb play]]</f>
        <v>1</v>
      </c>
      <c r="H6562" t="str">
        <f>MID(Table132[[#This Row],[ÉTAT]],VALUE(RIGHT(Table132[[#This Row],[next move]],1))+1+VALUE(LEFT(Table132[[#This Row],[next move]],1))*3,1)</f>
        <v>V</v>
      </c>
      <c r="I6562" t="str">
        <f>Table132[[#This Row],[ÉTAT]]&amp;Table132[[#This Row],[next move]]</f>
        <v>EEMVMEVMV22</v>
      </c>
    </row>
    <row r="6563" spans="2:9" x14ac:dyDescent="0.25">
      <c r="B6563" t="s">
        <v>1393</v>
      </c>
      <c r="C6563" s="22" t="s">
        <v>35</v>
      </c>
      <c r="D6563">
        <v>2</v>
      </c>
      <c r="E6563">
        <v>2</v>
      </c>
      <c r="G6563" s="31">
        <f>Table132[[#This Row],[nb win]]/Table132[[#This Row],[nb play]]</f>
        <v>1</v>
      </c>
      <c r="H6563" t="str">
        <f>MID(Table132[[#This Row],[ÉTAT]],VALUE(RIGHT(Table132[[#This Row],[next move]],1))+1+VALUE(LEFT(Table132[[#This Row],[next move]],1))*3,1)</f>
        <v>V</v>
      </c>
      <c r="I6563" t="str">
        <f>Table132[[#This Row],[ÉTAT]]&amp;Table132[[#This Row],[next move]]</f>
        <v>EEMVMEVME20</v>
      </c>
    </row>
    <row r="6564" spans="2:9" x14ac:dyDescent="0.25">
      <c r="B6564" t="s">
        <v>2880</v>
      </c>
      <c r="C6564" s="22" t="s">
        <v>35</v>
      </c>
      <c r="D6564">
        <v>1</v>
      </c>
      <c r="E6564">
        <v>1</v>
      </c>
      <c r="G6564" s="25">
        <f>Table132[[#This Row],[nb win]]/Table132[[#This Row],[nb play]]</f>
        <v>1</v>
      </c>
      <c r="H6564" t="str">
        <f>MID(Table132[[#This Row],[ÉTAT]],VALUE(RIGHT(Table132[[#This Row],[next move]],1))+1+VALUE(LEFT(Table132[[#This Row],[next move]],1))*3,1)</f>
        <v>V</v>
      </c>
      <c r="I6564" t="str">
        <f>Table132[[#This Row],[ÉTAT]]&amp;Table132[[#This Row],[next move]]</f>
        <v>EEMVMEVEM20</v>
      </c>
    </row>
    <row r="6565" spans="2:9" x14ac:dyDescent="0.25">
      <c r="B6565" t="s">
        <v>721</v>
      </c>
      <c r="C6565" s="22" t="s">
        <v>22</v>
      </c>
      <c r="D6565">
        <v>1</v>
      </c>
      <c r="G6565" s="25">
        <f>Table132[[#This Row],[nb win]]/Table132[[#This Row],[nb play]]</f>
        <v>0</v>
      </c>
      <c r="H6565" t="str">
        <f>MID(Table132[[#This Row],[ÉTAT]],VALUE(RIGHT(Table132[[#This Row],[next move]],1))+1+VALUE(LEFT(Table132[[#This Row],[next move]],1))*3,1)</f>
        <v>V</v>
      </c>
      <c r="I6565" t="str">
        <f>Table132[[#This Row],[ÉTAT]]&amp;Table132[[#This Row],[next move]]</f>
        <v>EEMVMEEVM21</v>
      </c>
    </row>
    <row r="6566" spans="2:9" x14ac:dyDescent="0.25">
      <c r="B6566" t="s">
        <v>2594</v>
      </c>
      <c r="C6566" s="22" t="s">
        <v>31</v>
      </c>
      <c r="D6566">
        <v>1</v>
      </c>
      <c r="G6566" s="25">
        <f>Table132[[#This Row],[nb win]]/Table132[[#This Row],[nb play]]</f>
        <v>0</v>
      </c>
      <c r="H6566" t="str">
        <f>MID(Table132[[#This Row],[ÉTAT]],VALUE(RIGHT(Table132[[#This Row],[next move]],1))+1+VALUE(LEFT(Table132[[#This Row],[next move]],1))*3,1)</f>
        <v>V</v>
      </c>
      <c r="I6566" t="str">
        <f>Table132[[#This Row],[ÉTAT]]&amp;Table132[[#This Row],[next move]]</f>
        <v>EEMVMEEMV22</v>
      </c>
    </row>
    <row r="6567" spans="2:9" x14ac:dyDescent="0.25">
      <c r="B6567" t="s">
        <v>100</v>
      </c>
      <c r="C6567" s="22" t="s">
        <v>28</v>
      </c>
      <c r="D6567">
        <v>2</v>
      </c>
      <c r="E6567">
        <v>2</v>
      </c>
      <c r="G6567" s="25">
        <f>Table132[[#This Row],[nb win]]/Table132[[#This Row],[nb play]]</f>
        <v>1</v>
      </c>
      <c r="H6567" t="str">
        <f>MID(Table132[[#This Row],[ÉTAT]],VALUE(RIGHT(Table132[[#This Row],[next move]],1))+1+VALUE(LEFT(Table132[[#This Row],[next move]],1))*3,1)</f>
        <v>V</v>
      </c>
      <c r="I6567" t="str">
        <f>Table132[[#This Row],[ÉTAT]]&amp;Table132[[#This Row],[next move]]</f>
        <v>EEMVEVVVM12</v>
      </c>
    </row>
    <row r="6568" spans="2:9" x14ac:dyDescent="0.25">
      <c r="B6568" t="s">
        <v>2635</v>
      </c>
      <c r="C6568" s="22" t="s">
        <v>31</v>
      </c>
      <c r="D6568">
        <v>5</v>
      </c>
      <c r="E6568">
        <v>5</v>
      </c>
      <c r="G6568" s="31">
        <f>Table132[[#This Row],[nb win]]/Table132[[#This Row],[nb play]]</f>
        <v>1</v>
      </c>
      <c r="H6568" t="str">
        <f>MID(Table132[[#This Row],[ÉTAT]],VALUE(RIGHT(Table132[[#This Row],[next move]],1))+1+VALUE(LEFT(Table132[[#This Row],[next move]],1))*3,1)</f>
        <v>V</v>
      </c>
      <c r="I6568" t="str">
        <f>Table132[[#This Row],[ÉTAT]]&amp;Table132[[#This Row],[next move]]</f>
        <v>EEMVEVVMV22</v>
      </c>
    </row>
    <row r="6569" spans="2:9" x14ac:dyDescent="0.25">
      <c r="B6569" t="s">
        <v>653</v>
      </c>
      <c r="C6569" s="22" t="s">
        <v>28</v>
      </c>
      <c r="D6569">
        <v>5</v>
      </c>
      <c r="E6569">
        <v>5</v>
      </c>
      <c r="G6569" s="31">
        <f>Table132[[#This Row],[nb win]]/Table132[[#This Row],[nb play]]</f>
        <v>1</v>
      </c>
      <c r="H6569" t="str">
        <f>MID(Table132[[#This Row],[ÉTAT]],VALUE(RIGHT(Table132[[#This Row],[next move]],1))+1+VALUE(LEFT(Table132[[#This Row],[next move]],1))*3,1)</f>
        <v>V</v>
      </c>
      <c r="I6569" t="str">
        <f>Table132[[#This Row],[ÉTAT]]&amp;Table132[[#This Row],[next move]]</f>
        <v>EEMVEVVMM12</v>
      </c>
    </row>
    <row r="6570" spans="2:9" x14ac:dyDescent="0.25">
      <c r="B6570" t="s">
        <v>1927</v>
      </c>
      <c r="C6570" s="22" t="s">
        <v>30</v>
      </c>
      <c r="D6570">
        <v>1</v>
      </c>
      <c r="G6570" s="30">
        <f>Table132[[#This Row],[nb win]]/Table132[[#This Row],[nb play]]</f>
        <v>0</v>
      </c>
      <c r="H6570" t="str">
        <f>MID(Table132[[#This Row],[ÉTAT]],VALUE(RIGHT(Table132[[#This Row],[next move]],1))+1+VALUE(LEFT(Table132[[#This Row],[next move]],1))*3,1)</f>
        <v>V</v>
      </c>
      <c r="I6570" t="str">
        <f>Table132[[#This Row],[ÉTAT]]&amp;Table132[[#This Row],[next move]]</f>
        <v>EEMVEVMVV10</v>
      </c>
    </row>
    <row r="6571" spans="2:9" x14ac:dyDescent="0.25">
      <c r="B6571" t="s">
        <v>1927</v>
      </c>
      <c r="C6571" s="22" t="s">
        <v>28</v>
      </c>
      <c r="D6571">
        <v>2</v>
      </c>
      <c r="G6571" s="30">
        <f>Table132[[#This Row],[nb win]]/Table132[[#This Row],[nb play]]</f>
        <v>0</v>
      </c>
      <c r="H6571" t="str">
        <f>MID(Table132[[#This Row],[ÉTAT]],VALUE(RIGHT(Table132[[#This Row],[next move]],1))+1+VALUE(LEFT(Table132[[#This Row],[next move]],1))*3,1)</f>
        <v>V</v>
      </c>
      <c r="I6571" t="str">
        <f>Table132[[#This Row],[ÉTAT]]&amp;Table132[[#This Row],[next move]]</f>
        <v>EEMVEVMVV12</v>
      </c>
    </row>
    <row r="6572" spans="2:9" x14ac:dyDescent="0.25">
      <c r="B6572" t="s">
        <v>1927</v>
      </c>
      <c r="C6572" s="22" t="s">
        <v>22</v>
      </c>
      <c r="D6572">
        <v>1</v>
      </c>
      <c r="G6572" s="30">
        <f>Table132[[#This Row],[nb win]]/Table132[[#This Row],[nb play]]</f>
        <v>0</v>
      </c>
      <c r="H6572" t="str">
        <f>MID(Table132[[#This Row],[ÉTAT]],VALUE(RIGHT(Table132[[#This Row],[next move]],1))+1+VALUE(LEFT(Table132[[#This Row],[next move]],1))*3,1)</f>
        <v>V</v>
      </c>
      <c r="I6572" t="str">
        <f>Table132[[#This Row],[ÉTAT]]&amp;Table132[[#This Row],[next move]]</f>
        <v>EEMVEVMVV21</v>
      </c>
    </row>
    <row r="6573" spans="2:9" x14ac:dyDescent="0.25">
      <c r="B6573" t="s">
        <v>1927</v>
      </c>
      <c r="C6573" s="22" t="s">
        <v>31</v>
      </c>
      <c r="D6573">
        <v>3</v>
      </c>
      <c r="E6573">
        <v>2</v>
      </c>
      <c r="G6573" s="30">
        <f>Table132[[#This Row],[nb win]]/Table132[[#This Row],[nb play]]</f>
        <v>0.66666666666666663</v>
      </c>
      <c r="H6573" t="str">
        <f>MID(Table132[[#This Row],[ÉTAT]],VALUE(RIGHT(Table132[[#This Row],[next move]],1))+1+VALUE(LEFT(Table132[[#This Row],[next move]],1))*3,1)</f>
        <v>V</v>
      </c>
      <c r="I6573" t="str">
        <f>Table132[[#This Row],[ÉTAT]]&amp;Table132[[#This Row],[next move]]</f>
        <v>EEMVEVMVV22</v>
      </c>
    </row>
    <row r="6574" spans="2:9" x14ac:dyDescent="0.25">
      <c r="B6574" t="s">
        <v>2336</v>
      </c>
      <c r="C6574" s="22" t="s">
        <v>28</v>
      </c>
      <c r="D6574">
        <v>2</v>
      </c>
      <c r="E6574">
        <v>2</v>
      </c>
      <c r="G6574" s="25">
        <f>Table132[[#This Row],[nb win]]/Table132[[#This Row],[nb play]]</f>
        <v>1</v>
      </c>
      <c r="H6574" t="str">
        <f>MID(Table132[[#This Row],[ÉTAT]],VALUE(RIGHT(Table132[[#This Row],[next move]],1))+1+VALUE(LEFT(Table132[[#This Row],[next move]],1))*3,1)</f>
        <v>V</v>
      </c>
      <c r="I6574" t="str">
        <f>Table132[[#This Row],[ÉTAT]]&amp;Table132[[#This Row],[next move]]</f>
        <v>EEMVEVMVM12</v>
      </c>
    </row>
    <row r="6575" spans="2:9" x14ac:dyDescent="0.25">
      <c r="B6575" t="s">
        <v>2288</v>
      </c>
      <c r="C6575" s="22" t="s">
        <v>31</v>
      </c>
      <c r="D6575">
        <v>3</v>
      </c>
      <c r="E6575">
        <v>3</v>
      </c>
      <c r="G6575" s="31">
        <f>Table132[[#This Row],[nb win]]/Table132[[#This Row],[nb play]]</f>
        <v>1</v>
      </c>
      <c r="H6575" t="str">
        <f>MID(Table132[[#This Row],[ÉTAT]],VALUE(RIGHT(Table132[[#This Row],[next move]],1))+1+VALUE(LEFT(Table132[[#This Row],[next move]],1))*3,1)</f>
        <v>V</v>
      </c>
      <c r="I6575" t="str">
        <f>Table132[[#This Row],[ÉTAT]]&amp;Table132[[#This Row],[next move]]</f>
        <v>EEMVEVMMV22</v>
      </c>
    </row>
    <row r="6576" spans="2:9" x14ac:dyDescent="0.25">
      <c r="B6576" t="s">
        <v>2637</v>
      </c>
      <c r="C6576" s="22" t="s">
        <v>28</v>
      </c>
      <c r="D6576">
        <v>3</v>
      </c>
      <c r="E6576">
        <v>3</v>
      </c>
      <c r="G6576" s="25">
        <f>Table132[[#This Row],[nb win]]/Table132[[#This Row],[nb play]]</f>
        <v>1</v>
      </c>
      <c r="H6576" t="str">
        <f>MID(Table132[[#This Row],[ÉTAT]],VALUE(RIGHT(Table132[[#This Row],[next move]],1))+1+VALUE(LEFT(Table132[[#This Row],[next move]],1))*3,1)</f>
        <v>V</v>
      </c>
      <c r="I6576" t="str">
        <f>Table132[[#This Row],[ÉTAT]]&amp;Table132[[#This Row],[next move]]</f>
        <v>EEMVEVEMM12</v>
      </c>
    </row>
    <row r="6577" spans="2:9" x14ac:dyDescent="0.25">
      <c r="B6577" t="s">
        <v>3476</v>
      </c>
      <c r="C6577" s="22" t="s">
        <v>35</v>
      </c>
      <c r="D6577">
        <v>1</v>
      </c>
      <c r="G6577" s="30">
        <f>Table132[[#This Row],[nb win]]/Table132[[#This Row],[nb play]]</f>
        <v>0</v>
      </c>
      <c r="H6577" t="str">
        <f>MID(Table132[[#This Row],[ÉTAT]],VALUE(RIGHT(Table132[[#This Row],[next move]],1))+1+VALUE(LEFT(Table132[[#This Row],[next move]],1))*3,1)</f>
        <v>V</v>
      </c>
      <c r="I6577" t="str">
        <f>Table132[[#This Row],[ÉTAT]]&amp;Table132[[#This Row],[next move]]</f>
        <v>EEMVEMVMV20</v>
      </c>
    </row>
    <row r="6578" spans="2:9" x14ac:dyDescent="0.25">
      <c r="B6578" t="s">
        <v>1709</v>
      </c>
      <c r="C6578" s="22" t="s">
        <v>31</v>
      </c>
      <c r="D6578">
        <v>1</v>
      </c>
      <c r="E6578">
        <v>1</v>
      </c>
      <c r="G6578" s="25">
        <f>Table132[[#This Row],[nb win]]/Table132[[#This Row],[nb play]]</f>
        <v>1</v>
      </c>
      <c r="H6578" t="str">
        <f>MID(Table132[[#This Row],[ÉTAT]],VALUE(RIGHT(Table132[[#This Row],[next move]],1))+1+VALUE(LEFT(Table132[[#This Row],[next move]],1))*3,1)</f>
        <v>V</v>
      </c>
      <c r="I6578" t="str">
        <f>Table132[[#This Row],[ÉTAT]]&amp;Table132[[#This Row],[next move]]</f>
        <v>EEMVEMEMV22</v>
      </c>
    </row>
    <row r="6579" spans="2:9" x14ac:dyDescent="0.25">
      <c r="B6579" t="s">
        <v>2765</v>
      </c>
      <c r="C6579" s="22" t="s">
        <v>35</v>
      </c>
      <c r="D6579">
        <v>4</v>
      </c>
      <c r="E6579">
        <v>4</v>
      </c>
      <c r="G6579" s="31">
        <f>Table132[[#This Row],[nb win]]/Table132[[#This Row],[nb play]]</f>
        <v>1</v>
      </c>
      <c r="H6579" t="str">
        <f>MID(Table132[[#This Row],[ÉTAT]],VALUE(RIGHT(Table132[[#This Row],[next move]],1))+1+VALUE(LEFT(Table132[[#This Row],[next move]],1))*3,1)</f>
        <v>V</v>
      </c>
      <c r="I6579" t="str">
        <f>Table132[[#This Row],[ÉTAT]]&amp;Table132[[#This Row],[next move]]</f>
        <v>EEMVEEVMM20</v>
      </c>
    </row>
    <row r="6580" spans="2:9" x14ac:dyDescent="0.25">
      <c r="B6580" t="s">
        <v>2852</v>
      </c>
      <c r="C6580" s="22" t="s">
        <v>22</v>
      </c>
      <c r="D6580">
        <v>1</v>
      </c>
      <c r="E6580">
        <v>1</v>
      </c>
      <c r="G6580" s="25">
        <f>Table132[[#This Row],[nb win]]/Table132[[#This Row],[nb play]]</f>
        <v>1</v>
      </c>
      <c r="H6580" t="str">
        <f>MID(Table132[[#This Row],[ÉTAT]],VALUE(RIGHT(Table132[[#This Row],[next move]],1))+1+VALUE(LEFT(Table132[[#This Row],[next move]],1))*3,1)</f>
        <v>V</v>
      </c>
      <c r="I6580" t="str">
        <f>Table132[[#This Row],[ÉTAT]]&amp;Table132[[#This Row],[next move]]</f>
        <v>EEMVEEMVM21</v>
      </c>
    </row>
    <row r="6581" spans="2:9" x14ac:dyDescent="0.25">
      <c r="B6581" t="s">
        <v>2838</v>
      </c>
      <c r="C6581" s="22" t="s">
        <v>31</v>
      </c>
      <c r="D6581">
        <v>2</v>
      </c>
      <c r="E6581">
        <v>1</v>
      </c>
      <c r="G6581" s="30">
        <f>Table132[[#This Row],[nb win]]/Table132[[#This Row],[nb play]]</f>
        <v>0.5</v>
      </c>
      <c r="H6581" t="str">
        <f>MID(Table132[[#This Row],[ÉTAT]],VALUE(RIGHT(Table132[[#This Row],[next move]],1))+1+VALUE(LEFT(Table132[[#This Row],[next move]],1))*3,1)</f>
        <v>V</v>
      </c>
      <c r="I6581" t="str">
        <f>Table132[[#This Row],[ÉTAT]]&amp;Table132[[#This Row],[next move]]</f>
        <v>EEMMVVVVV22</v>
      </c>
    </row>
    <row r="6582" spans="2:9" x14ac:dyDescent="0.25">
      <c r="B6582" t="s">
        <v>986</v>
      </c>
      <c r="C6582" s="22" t="s">
        <v>28</v>
      </c>
      <c r="D6582">
        <v>2</v>
      </c>
      <c r="E6582">
        <v>1</v>
      </c>
      <c r="G6582" s="25">
        <f>Table132[[#This Row],[nb win]]/Table132[[#This Row],[nb play]]</f>
        <v>0.5</v>
      </c>
      <c r="H6582" t="str">
        <f>MID(Table132[[#This Row],[ÉTAT]],VALUE(RIGHT(Table132[[#This Row],[next move]],1))+1+VALUE(LEFT(Table132[[#This Row],[next move]],1))*3,1)</f>
        <v>V</v>
      </c>
      <c r="I6582" t="str">
        <f>Table132[[#This Row],[ÉTAT]]&amp;Table132[[#This Row],[next move]]</f>
        <v>EEMMVVVVE12</v>
      </c>
    </row>
    <row r="6583" spans="2:9" x14ac:dyDescent="0.25">
      <c r="B6583" t="s">
        <v>986</v>
      </c>
      <c r="C6583" s="22" t="s">
        <v>35</v>
      </c>
      <c r="D6583">
        <v>1</v>
      </c>
      <c r="G6583" s="25">
        <f>Table132[[#This Row],[nb win]]/Table132[[#This Row],[nb play]]</f>
        <v>0</v>
      </c>
      <c r="H6583" t="str">
        <f>MID(Table132[[#This Row],[ÉTAT]],VALUE(RIGHT(Table132[[#This Row],[next move]],1))+1+VALUE(LEFT(Table132[[#This Row],[next move]],1))*3,1)</f>
        <v>V</v>
      </c>
      <c r="I6583" t="str">
        <f>Table132[[#This Row],[ÉTAT]]&amp;Table132[[#This Row],[next move]]</f>
        <v>EEMMVVVVE20</v>
      </c>
    </row>
    <row r="6584" spans="2:9" x14ac:dyDescent="0.25">
      <c r="B6584" t="s">
        <v>986</v>
      </c>
      <c r="C6584" s="22" t="s">
        <v>22</v>
      </c>
      <c r="D6584">
        <v>1</v>
      </c>
      <c r="G6584" s="25">
        <f>Table132[[#This Row],[nb win]]/Table132[[#This Row],[nb play]]</f>
        <v>0</v>
      </c>
      <c r="H6584" t="str">
        <f>MID(Table132[[#This Row],[ÉTAT]],VALUE(RIGHT(Table132[[#This Row],[next move]],1))+1+VALUE(LEFT(Table132[[#This Row],[next move]],1))*3,1)</f>
        <v>V</v>
      </c>
      <c r="I6584" t="str">
        <f>Table132[[#This Row],[ÉTAT]]&amp;Table132[[#This Row],[next move]]</f>
        <v>EEMMVVVVE21</v>
      </c>
    </row>
    <row r="6585" spans="2:9" x14ac:dyDescent="0.25">
      <c r="B6585" t="s">
        <v>1007</v>
      </c>
      <c r="C6585" s="22" t="s">
        <v>29</v>
      </c>
      <c r="D6585">
        <v>1</v>
      </c>
      <c r="E6585">
        <v>1</v>
      </c>
      <c r="G6585" s="25">
        <f>Table132[[#This Row],[nb win]]/Table132[[#This Row],[nb play]]</f>
        <v>1</v>
      </c>
      <c r="H6585" t="str">
        <f>MID(Table132[[#This Row],[ÉTAT]],VALUE(RIGHT(Table132[[#This Row],[next move]],1))+1+VALUE(LEFT(Table132[[#This Row],[next move]],1))*3,1)</f>
        <v>V</v>
      </c>
      <c r="I6585" t="str">
        <f>Table132[[#This Row],[ÉTAT]]&amp;Table132[[#This Row],[next move]]</f>
        <v>EEMMVVVME11</v>
      </c>
    </row>
    <row r="6586" spans="2:9" x14ac:dyDescent="0.25">
      <c r="B6586" t="s">
        <v>1007</v>
      </c>
      <c r="C6586" s="22" t="s">
        <v>28</v>
      </c>
      <c r="D6586">
        <v>1</v>
      </c>
      <c r="G6586" s="25">
        <f>Table132[[#This Row],[nb win]]/Table132[[#This Row],[nb play]]</f>
        <v>0</v>
      </c>
      <c r="H6586" t="str">
        <f>MID(Table132[[#This Row],[ÉTAT]],VALUE(RIGHT(Table132[[#This Row],[next move]],1))+1+VALUE(LEFT(Table132[[#This Row],[next move]],1))*3,1)</f>
        <v>V</v>
      </c>
      <c r="I6586" t="str">
        <f>Table132[[#This Row],[ÉTAT]]&amp;Table132[[#This Row],[next move]]</f>
        <v>EEMMVVVME12</v>
      </c>
    </row>
    <row r="6587" spans="2:9" x14ac:dyDescent="0.25">
      <c r="B6587" t="s">
        <v>3383</v>
      </c>
      <c r="C6587" s="22" t="s">
        <v>22</v>
      </c>
      <c r="D6587">
        <v>3</v>
      </c>
      <c r="E6587">
        <v>2</v>
      </c>
      <c r="G6587" s="30">
        <f>Table132[[#This Row],[nb win]]/Table132[[#This Row],[nb play]]</f>
        <v>0.66666666666666663</v>
      </c>
      <c r="H6587" t="str">
        <f>MID(Table132[[#This Row],[ÉTAT]],VALUE(RIGHT(Table132[[#This Row],[next move]],1))+1+VALUE(LEFT(Table132[[#This Row],[next move]],1))*3,1)</f>
        <v>V</v>
      </c>
      <c r="I6587" t="str">
        <f>Table132[[#This Row],[ÉTAT]]&amp;Table132[[#This Row],[next move]]</f>
        <v>EEMMVVMVE21</v>
      </c>
    </row>
    <row r="6588" spans="2:9" x14ac:dyDescent="0.25">
      <c r="B6588" t="s">
        <v>1164</v>
      </c>
      <c r="C6588" s="22" t="s">
        <v>29</v>
      </c>
      <c r="D6588">
        <v>2</v>
      </c>
      <c r="E6588">
        <v>2</v>
      </c>
      <c r="G6588" s="25">
        <f>Table132[[#This Row],[nb win]]/Table132[[#This Row],[nb play]]</f>
        <v>1</v>
      </c>
      <c r="H6588" t="str">
        <f>MID(Table132[[#This Row],[ÉTAT]],VALUE(RIGHT(Table132[[#This Row],[next move]],1))+1+VALUE(LEFT(Table132[[#This Row],[next move]],1))*3,1)</f>
        <v>V</v>
      </c>
      <c r="I6588" t="str">
        <f>Table132[[#This Row],[ÉTAT]]&amp;Table132[[#This Row],[next move]]</f>
        <v>EEMMVVMEV11</v>
      </c>
    </row>
    <row r="6589" spans="2:9" x14ac:dyDescent="0.25">
      <c r="B6589" t="s">
        <v>991</v>
      </c>
      <c r="C6589" s="22" t="s">
        <v>28</v>
      </c>
      <c r="D6589">
        <v>1</v>
      </c>
      <c r="G6589" s="25">
        <f>Table132[[#This Row],[nb win]]/Table132[[#This Row],[nb play]]</f>
        <v>0</v>
      </c>
      <c r="H6589" t="str">
        <f>MID(Table132[[#This Row],[ÉTAT]],VALUE(RIGHT(Table132[[#This Row],[next move]],1))+1+VALUE(LEFT(Table132[[#This Row],[next move]],1))*3,1)</f>
        <v>V</v>
      </c>
      <c r="I6589" t="str">
        <f>Table132[[#This Row],[ÉTAT]]&amp;Table132[[#This Row],[next move]]</f>
        <v>EEMMVVMEE12</v>
      </c>
    </row>
    <row r="6590" spans="2:9" x14ac:dyDescent="0.25">
      <c r="B6590" t="s">
        <v>1819</v>
      </c>
      <c r="C6590" s="22" t="s">
        <v>31</v>
      </c>
      <c r="D6590">
        <v>2</v>
      </c>
      <c r="E6590">
        <v>2</v>
      </c>
      <c r="G6590" s="25">
        <f>Table132[[#This Row],[nb win]]/Table132[[#This Row],[nb play]]</f>
        <v>1</v>
      </c>
      <c r="H6590" t="str">
        <f>MID(Table132[[#This Row],[ÉTAT]],VALUE(RIGHT(Table132[[#This Row],[next move]],1))+1+VALUE(LEFT(Table132[[#This Row],[next move]],1))*3,1)</f>
        <v>V</v>
      </c>
      <c r="I6590" t="str">
        <f>Table132[[#This Row],[ÉTAT]]&amp;Table132[[#This Row],[next move]]</f>
        <v>EEMMVVEVV22</v>
      </c>
    </row>
    <row r="6591" spans="2:9" x14ac:dyDescent="0.25">
      <c r="B6591" t="s">
        <v>2698</v>
      </c>
      <c r="C6591" s="22" t="s">
        <v>28</v>
      </c>
      <c r="D6591">
        <v>1</v>
      </c>
      <c r="E6591">
        <v>1</v>
      </c>
      <c r="G6591" s="25">
        <f>Table132[[#This Row],[nb win]]/Table132[[#This Row],[nb play]]</f>
        <v>1</v>
      </c>
      <c r="H6591" t="str">
        <f>MID(Table132[[#This Row],[ÉTAT]],VALUE(RIGHT(Table132[[#This Row],[next move]],1))+1+VALUE(LEFT(Table132[[#This Row],[next move]],1))*3,1)</f>
        <v>V</v>
      </c>
      <c r="I6591" t="str">
        <f>Table132[[#This Row],[ÉTAT]]&amp;Table132[[#This Row],[next move]]</f>
        <v>EEMMVVEMV12</v>
      </c>
    </row>
    <row r="6592" spans="2:9" x14ac:dyDescent="0.25">
      <c r="B6592" t="s">
        <v>1419</v>
      </c>
      <c r="C6592" s="22" t="s">
        <v>28</v>
      </c>
      <c r="D6592">
        <v>1</v>
      </c>
      <c r="G6592" s="25">
        <f>Table132[[#This Row],[nb win]]/Table132[[#This Row],[nb play]]</f>
        <v>0</v>
      </c>
      <c r="H6592" t="str">
        <f>MID(Table132[[#This Row],[ÉTAT]],VALUE(RIGHT(Table132[[#This Row],[next move]],1))+1+VALUE(LEFT(Table132[[#This Row],[next move]],1))*3,1)</f>
        <v>V</v>
      </c>
      <c r="I6592" t="str">
        <f>Table132[[#This Row],[ÉTAT]]&amp;Table132[[#This Row],[next move]]</f>
        <v>EEMMVVEME12</v>
      </c>
    </row>
    <row r="6593" spans="2:9" x14ac:dyDescent="0.25">
      <c r="B6593" t="s">
        <v>1821</v>
      </c>
      <c r="C6593" s="22" t="s">
        <v>28</v>
      </c>
      <c r="D6593">
        <v>3</v>
      </c>
      <c r="E6593">
        <v>3</v>
      </c>
      <c r="G6593" s="25">
        <f>Table132[[#This Row],[nb win]]/Table132[[#This Row],[nb play]]</f>
        <v>1</v>
      </c>
      <c r="H6593" t="str">
        <f>MID(Table132[[#This Row],[ÉTAT]],VALUE(RIGHT(Table132[[#This Row],[next move]],1))+1+VALUE(LEFT(Table132[[#This Row],[next move]],1))*3,1)</f>
        <v>V</v>
      </c>
      <c r="I6593" t="str">
        <f>Table132[[#This Row],[ÉTAT]]&amp;Table132[[#This Row],[next move]]</f>
        <v>EEMMVVEEM12</v>
      </c>
    </row>
    <row r="6594" spans="2:9" x14ac:dyDescent="0.25">
      <c r="B6594" t="s">
        <v>1158</v>
      </c>
      <c r="C6594" s="22" t="s">
        <v>29</v>
      </c>
      <c r="D6594">
        <v>3</v>
      </c>
      <c r="E6594">
        <v>3</v>
      </c>
      <c r="G6594" s="31">
        <f>Table132[[#This Row],[nb win]]/Table132[[#This Row],[nb play]]</f>
        <v>1</v>
      </c>
      <c r="H6594" t="str">
        <f>MID(Table132[[#This Row],[ÉTAT]],VALUE(RIGHT(Table132[[#This Row],[next move]],1))+1+VALUE(LEFT(Table132[[#This Row],[next move]],1))*3,1)</f>
        <v>V</v>
      </c>
      <c r="I6594" t="str">
        <f>Table132[[#This Row],[ÉTAT]]&amp;Table132[[#This Row],[next move]]</f>
        <v>EEMMVMVEE11</v>
      </c>
    </row>
    <row r="6595" spans="2:9" x14ac:dyDescent="0.25">
      <c r="B6595" t="s">
        <v>1975</v>
      </c>
      <c r="C6595" s="22" t="s">
        <v>29</v>
      </c>
      <c r="D6595">
        <v>2</v>
      </c>
      <c r="E6595">
        <v>2</v>
      </c>
      <c r="G6595" s="25">
        <f>Table132[[#This Row],[nb win]]/Table132[[#This Row],[nb play]]</f>
        <v>1</v>
      </c>
      <c r="H6595" t="str">
        <f>MID(Table132[[#This Row],[ÉTAT]],VALUE(RIGHT(Table132[[#This Row],[next move]],1))+1+VALUE(LEFT(Table132[[#This Row],[next move]],1))*3,1)</f>
        <v>V</v>
      </c>
      <c r="I6595" t="str">
        <f>Table132[[#This Row],[ÉTAT]]&amp;Table132[[#This Row],[next move]]</f>
        <v>EEMMVMMEE11</v>
      </c>
    </row>
    <row r="6596" spans="2:9" x14ac:dyDescent="0.25">
      <c r="B6596" t="s">
        <v>2625</v>
      </c>
      <c r="C6596" s="22" t="s">
        <v>31</v>
      </c>
      <c r="D6596">
        <v>1</v>
      </c>
      <c r="E6596">
        <v>1</v>
      </c>
      <c r="G6596" s="25">
        <f>Table132[[#This Row],[nb win]]/Table132[[#This Row],[nb play]]</f>
        <v>1</v>
      </c>
      <c r="H6596" t="str">
        <f>MID(Table132[[#This Row],[ÉTAT]],VALUE(RIGHT(Table132[[#This Row],[next move]],1))+1+VALUE(LEFT(Table132[[#This Row],[next move]],1))*3,1)</f>
        <v>V</v>
      </c>
      <c r="I6596" t="str">
        <f>Table132[[#This Row],[ÉTAT]]&amp;Table132[[#This Row],[next move]]</f>
        <v>EEMMVMEVV22</v>
      </c>
    </row>
    <row r="6597" spans="2:9" x14ac:dyDescent="0.25">
      <c r="B6597" t="s">
        <v>709</v>
      </c>
      <c r="C6597" s="22" t="s">
        <v>29</v>
      </c>
      <c r="D6597">
        <v>2</v>
      </c>
      <c r="E6597">
        <v>2</v>
      </c>
      <c r="G6597" s="31">
        <f>Table132[[#This Row],[nb win]]/Table132[[#This Row],[nb play]]</f>
        <v>1</v>
      </c>
      <c r="H6597" t="str">
        <f>MID(Table132[[#This Row],[ÉTAT]],VALUE(RIGHT(Table132[[#This Row],[next move]],1))+1+VALUE(LEFT(Table132[[#This Row],[next move]],1))*3,1)</f>
        <v>V</v>
      </c>
      <c r="I6597" t="str">
        <f>Table132[[#This Row],[ÉTAT]]&amp;Table132[[#This Row],[next move]]</f>
        <v>EEMMVMEVE11</v>
      </c>
    </row>
    <row r="6598" spans="2:9" x14ac:dyDescent="0.25">
      <c r="B6598" t="s">
        <v>1153</v>
      </c>
      <c r="C6598" s="22" t="s">
        <v>29</v>
      </c>
      <c r="D6598">
        <v>3</v>
      </c>
      <c r="E6598">
        <v>3</v>
      </c>
      <c r="G6598" s="25">
        <f>Table132[[#This Row],[nb win]]/Table132[[#This Row],[nb play]]</f>
        <v>1</v>
      </c>
      <c r="H6598" t="str">
        <f>MID(Table132[[#This Row],[ÉTAT]],VALUE(RIGHT(Table132[[#This Row],[next move]],1))+1+VALUE(LEFT(Table132[[#This Row],[next move]],1))*3,1)</f>
        <v>V</v>
      </c>
      <c r="I6598" t="str">
        <f>Table132[[#This Row],[ÉTAT]]&amp;Table132[[#This Row],[next move]]</f>
        <v>EEMMVMEME11</v>
      </c>
    </row>
    <row r="6599" spans="2:9" x14ac:dyDescent="0.25">
      <c r="B6599" t="s">
        <v>1643</v>
      </c>
      <c r="C6599" s="22" t="s">
        <v>31</v>
      </c>
      <c r="D6599">
        <v>4</v>
      </c>
      <c r="E6599">
        <v>4</v>
      </c>
      <c r="G6599" s="31">
        <f>Table132[[#This Row],[nb win]]/Table132[[#This Row],[nb play]]</f>
        <v>1</v>
      </c>
      <c r="H6599" t="str">
        <f>MID(Table132[[#This Row],[ÉTAT]],VALUE(RIGHT(Table132[[#This Row],[next move]],1))+1+VALUE(LEFT(Table132[[#This Row],[next move]],1))*3,1)</f>
        <v>V</v>
      </c>
      <c r="I6599" t="str">
        <f>Table132[[#This Row],[ÉTAT]]&amp;Table132[[#This Row],[next move]]</f>
        <v>EEMMVMEEV22</v>
      </c>
    </row>
    <row r="6600" spans="2:9" x14ac:dyDescent="0.25">
      <c r="B6600" t="s">
        <v>674</v>
      </c>
      <c r="C6600" s="22" t="s">
        <v>29</v>
      </c>
      <c r="D6600">
        <v>2</v>
      </c>
      <c r="E6600">
        <v>2</v>
      </c>
      <c r="G6600" s="25">
        <f>Table132[[#This Row],[nb win]]/Table132[[#This Row],[nb play]]</f>
        <v>1</v>
      </c>
      <c r="H6600" t="str">
        <f>MID(Table132[[#This Row],[ÉTAT]],VALUE(RIGHT(Table132[[#This Row],[next move]],1))+1+VALUE(LEFT(Table132[[#This Row],[next move]],1))*3,1)</f>
        <v>V</v>
      </c>
      <c r="I6600" t="str">
        <f>Table132[[#This Row],[ÉTAT]]&amp;Table132[[#This Row],[next move]]</f>
        <v>EEMMVEVVV11</v>
      </c>
    </row>
    <row r="6601" spans="2:9" x14ac:dyDescent="0.25">
      <c r="B6601" t="s">
        <v>2799</v>
      </c>
      <c r="C6601" s="22" t="s">
        <v>22</v>
      </c>
      <c r="D6601">
        <v>4</v>
      </c>
      <c r="E6601">
        <v>4</v>
      </c>
      <c r="G6601" s="31">
        <f>Table132[[#This Row],[nb win]]/Table132[[#This Row],[nb play]]</f>
        <v>1</v>
      </c>
      <c r="H6601" t="str">
        <f>MID(Table132[[#This Row],[ÉTAT]],VALUE(RIGHT(Table132[[#This Row],[next move]],1))+1+VALUE(LEFT(Table132[[#This Row],[next move]],1))*3,1)</f>
        <v>V</v>
      </c>
      <c r="I6601" t="str">
        <f>Table132[[#This Row],[ÉTAT]]&amp;Table132[[#This Row],[next move]]</f>
        <v>EEMMVEMVV21</v>
      </c>
    </row>
    <row r="6602" spans="2:9" x14ac:dyDescent="0.25">
      <c r="B6602" t="s">
        <v>947</v>
      </c>
      <c r="C6602" s="22" t="s">
        <v>29</v>
      </c>
      <c r="D6602">
        <v>3</v>
      </c>
      <c r="E6602">
        <v>3</v>
      </c>
      <c r="G6602" s="25">
        <f>Table132[[#This Row],[nb win]]/Table132[[#This Row],[nb play]]</f>
        <v>1</v>
      </c>
      <c r="H6602" t="str">
        <f>MID(Table132[[#This Row],[ÉTAT]],VALUE(RIGHT(Table132[[#This Row],[next move]],1))+1+VALUE(LEFT(Table132[[#This Row],[next move]],1))*3,1)</f>
        <v>V</v>
      </c>
      <c r="I6602" t="str">
        <f>Table132[[#This Row],[ÉTAT]]&amp;Table132[[#This Row],[next move]]</f>
        <v>EEMMVEMVE11</v>
      </c>
    </row>
    <row r="6603" spans="2:9" x14ac:dyDescent="0.25">
      <c r="B6603" t="s">
        <v>807</v>
      </c>
      <c r="C6603" s="22" t="s">
        <v>29</v>
      </c>
      <c r="D6603">
        <v>14</v>
      </c>
      <c r="E6603">
        <v>14</v>
      </c>
      <c r="G6603" s="31">
        <f>Table132[[#This Row],[nb win]]/Table132[[#This Row],[nb play]]</f>
        <v>1</v>
      </c>
      <c r="H6603" t="str">
        <f>MID(Table132[[#This Row],[ÉTAT]],VALUE(RIGHT(Table132[[#This Row],[next move]],1))+1+VALUE(LEFT(Table132[[#This Row],[next move]],1))*3,1)</f>
        <v>V</v>
      </c>
      <c r="I6603" t="str">
        <f>Table132[[#This Row],[ÉTAT]]&amp;Table132[[#This Row],[next move]]</f>
        <v>EEMMVEMME11</v>
      </c>
    </row>
    <row r="6604" spans="2:9" x14ac:dyDescent="0.25">
      <c r="B6604" t="s">
        <v>2696</v>
      </c>
      <c r="C6604" s="22" t="s">
        <v>31</v>
      </c>
      <c r="D6604">
        <v>1</v>
      </c>
      <c r="G6604" s="25">
        <f>Table132[[#This Row],[nb win]]/Table132[[#This Row],[nb play]]</f>
        <v>0</v>
      </c>
      <c r="H6604" t="str">
        <f>MID(Table132[[#This Row],[ÉTAT]],VALUE(RIGHT(Table132[[#This Row],[next move]],1))+1+VALUE(LEFT(Table132[[#This Row],[next move]],1))*3,1)</f>
        <v>V</v>
      </c>
      <c r="I6604" t="str">
        <f>Table132[[#This Row],[ÉTAT]]&amp;Table132[[#This Row],[next move]]</f>
        <v>EEMMVEMEV22</v>
      </c>
    </row>
    <row r="6605" spans="2:9" x14ac:dyDescent="0.25">
      <c r="B6605" t="s">
        <v>2598</v>
      </c>
      <c r="C6605" s="22" t="s">
        <v>29</v>
      </c>
      <c r="D6605">
        <v>1</v>
      </c>
      <c r="E6605">
        <v>1</v>
      </c>
      <c r="G6605" s="25">
        <f>Table132[[#This Row],[nb win]]/Table132[[#This Row],[nb play]]</f>
        <v>1</v>
      </c>
      <c r="H6605" t="str">
        <f>MID(Table132[[#This Row],[ÉTAT]],VALUE(RIGHT(Table132[[#This Row],[next move]],1))+1+VALUE(LEFT(Table132[[#This Row],[next move]],1))*3,1)</f>
        <v>V</v>
      </c>
      <c r="I6605" t="str">
        <f>Table132[[#This Row],[ÉTAT]]&amp;Table132[[#This Row],[next move]]</f>
        <v>EEMMVEMEM11</v>
      </c>
    </row>
    <row r="6606" spans="2:9" x14ac:dyDescent="0.25">
      <c r="B6606" t="s">
        <v>3249</v>
      </c>
      <c r="C6606" s="22" t="s">
        <v>22</v>
      </c>
      <c r="D6606">
        <v>1</v>
      </c>
      <c r="E6606">
        <v>1</v>
      </c>
      <c r="G6606" s="31">
        <f>Table132[[#This Row],[nb win]]/Table132[[#This Row],[nb play]]</f>
        <v>1</v>
      </c>
      <c r="H6606" t="str">
        <f>MID(Table132[[#This Row],[ÉTAT]],VALUE(RIGHT(Table132[[#This Row],[next move]],1))+1+VALUE(LEFT(Table132[[#This Row],[next move]],1))*3,1)</f>
        <v>V</v>
      </c>
      <c r="I6606" t="str">
        <f>Table132[[#This Row],[ÉTAT]]&amp;Table132[[#This Row],[next move]]</f>
        <v>EEMMMVVVE21</v>
      </c>
    </row>
    <row r="6607" spans="2:9" x14ac:dyDescent="0.25">
      <c r="B6607" t="s">
        <v>3126</v>
      </c>
      <c r="C6607" s="22" t="s">
        <v>28</v>
      </c>
      <c r="D6607">
        <v>2</v>
      </c>
      <c r="E6607">
        <v>2</v>
      </c>
      <c r="G6607" s="31">
        <f>Table132[[#This Row],[nb win]]/Table132[[#This Row],[nb play]]</f>
        <v>1</v>
      </c>
      <c r="H6607" t="str">
        <f>MID(Table132[[#This Row],[ÉTAT]],VALUE(RIGHT(Table132[[#This Row],[next move]],1))+1+VALUE(LEFT(Table132[[#This Row],[next move]],1))*3,1)</f>
        <v>V</v>
      </c>
      <c r="I6607" t="str">
        <f>Table132[[#This Row],[ÉTAT]]&amp;Table132[[#This Row],[next move]]</f>
        <v>EEMMMVVEV12</v>
      </c>
    </row>
    <row r="6608" spans="2:9" x14ac:dyDescent="0.25">
      <c r="B6608" t="s">
        <v>901</v>
      </c>
      <c r="C6608" s="22" t="s">
        <v>35</v>
      </c>
      <c r="D6608">
        <v>8</v>
      </c>
      <c r="E6608">
        <v>8</v>
      </c>
      <c r="G6608" s="31">
        <f>Table132[[#This Row],[nb win]]/Table132[[#This Row],[nb play]]</f>
        <v>1</v>
      </c>
      <c r="H6608" t="str">
        <f>MID(Table132[[#This Row],[ÉTAT]],VALUE(RIGHT(Table132[[#This Row],[next move]],1))+1+VALUE(LEFT(Table132[[#This Row],[next move]],1))*3,1)</f>
        <v>V</v>
      </c>
      <c r="I6608" t="str">
        <f>Table132[[#This Row],[ÉTAT]]&amp;Table132[[#This Row],[next move]]</f>
        <v>EEMMMVVEE20</v>
      </c>
    </row>
    <row r="6609" spans="2:9" x14ac:dyDescent="0.25">
      <c r="B6609" t="s">
        <v>1535</v>
      </c>
      <c r="C6609" s="22" t="s">
        <v>28</v>
      </c>
      <c r="D6609">
        <v>4</v>
      </c>
      <c r="E6609">
        <v>4</v>
      </c>
      <c r="G6609" s="31">
        <f>Table132[[#This Row],[nb win]]/Table132[[#This Row],[nb play]]</f>
        <v>1</v>
      </c>
      <c r="H6609" t="str">
        <f>MID(Table132[[#This Row],[ÉTAT]],VALUE(RIGHT(Table132[[#This Row],[next move]],1))+1+VALUE(LEFT(Table132[[#This Row],[next move]],1))*3,1)</f>
        <v>V</v>
      </c>
      <c r="I6609" t="str">
        <f>Table132[[#This Row],[ÉTAT]]&amp;Table132[[#This Row],[next move]]</f>
        <v>EEMMMVEME12</v>
      </c>
    </row>
    <row r="6610" spans="2:9" x14ac:dyDescent="0.25">
      <c r="B6610" t="s">
        <v>250</v>
      </c>
      <c r="C6610" s="22" t="s">
        <v>28</v>
      </c>
      <c r="D6610">
        <v>4</v>
      </c>
      <c r="E6610">
        <v>4</v>
      </c>
      <c r="G6610" s="31">
        <f>Table132[[#This Row],[nb win]]/Table132[[#This Row],[nb play]]</f>
        <v>1</v>
      </c>
      <c r="H6610" t="str">
        <f>MID(Table132[[#This Row],[ÉTAT]],VALUE(RIGHT(Table132[[#This Row],[next move]],1))+1+VALUE(LEFT(Table132[[#This Row],[next move]],1))*3,1)</f>
        <v>V</v>
      </c>
      <c r="I6610" t="str">
        <f>Table132[[#This Row],[ÉTAT]]&amp;Table132[[#This Row],[next move]]</f>
        <v>EEMMMVEEV12</v>
      </c>
    </row>
    <row r="6611" spans="2:9" x14ac:dyDescent="0.25">
      <c r="B6611" t="s">
        <v>2033</v>
      </c>
      <c r="C6611" s="22" t="s">
        <v>28</v>
      </c>
      <c r="D6611">
        <v>3</v>
      </c>
      <c r="E6611">
        <v>3</v>
      </c>
      <c r="G6611" s="31">
        <f>Table132[[#This Row],[nb win]]/Table132[[#This Row],[nb play]]</f>
        <v>1</v>
      </c>
      <c r="H6611" t="str">
        <f>MID(Table132[[#This Row],[ÉTAT]],VALUE(RIGHT(Table132[[#This Row],[next move]],1))+1+VALUE(LEFT(Table132[[#This Row],[next move]],1))*3,1)</f>
        <v>V</v>
      </c>
      <c r="I6611" t="str">
        <f>Table132[[#This Row],[ÉTAT]]&amp;Table132[[#This Row],[next move]]</f>
        <v>EEMMMVEEM12</v>
      </c>
    </row>
    <row r="6612" spans="2:9" x14ac:dyDescent="0.25">
      <c r="B6612" t="s">
        <v>2338</v>
      </c>
      <c r="C6612" s="22" t="s">
        <v>22</v>
      </c>
      <c r="D6612">
        <v>1</v>
      </c>
      <c r="E6612">
        <v>1</v>
      </c>
      <c r="G6612" s="25">
        <f>Table132[[#This Row],[nb win]]/Table132[[#This Row],[nb play]]</f>
        <v>1</v>
      </c>
      <c r="H6612" t="str">
        <f>MID(Table132[[#This Row],[ÉTAT]],VALUE(RIGHT(Table132[[#This Row],[next move]],1))+1+VALUE(LEFT(Table132[[#This Row],[next move]],1))*3,1)</f>
        <v>V</v>
      </c>
      <c r="I6612" t="str">
        <f>Table132[[#This Row],[ÉTAT]]&amp;Table132[[#This Row],[next move]]</f>
        <v>EEMMMEVVV21</v>
      </c>
    </row>
    <row r="6613" spans="2:9" x14ac:dyDescent="0.25">
      <c r="B6613" t="s">
        <v>636</v>
      </c>
      <c r="C6613" s="22" t="s">
        <v>35</v>
      </c>
      <c r="D6613">
        <v>4</v>
      </c>
      <c r="E6613">
        <v>4</v>
      </c>
      <c r="G6613" s="31">
        <f>Table132[[#This Row],[nb win]]/Table132[[#This Row],[nb play]]</f>
        <v>1</v>
      </c>
      <c r="H6613" t="str">
        <f>MID(Table132[[#This Row],[ÉTAT]],VALUE(RIGHT(Table132[[#This Row],[next move]],1))+1+VALUE(LEFT(Table132[[#This Row],[next move]],1))*3,1)</f>
        <v>V</v>
      </c>
      <c r="I6613" t="str">
        <f>Table132[[#This Row],[ÉTAT]]&amp;Table132[[#This Row],[next move]]</f>
        <v>EEMMMEVVE20</v>
      </c>
    </row>
    <row r="6614" spans="2:9" x14ac:dyDescent="0.25">
      <c r="B6614" t="s">
        <v>1741</v>
      </c>
      <c r="C6614" s="22" t="s">
        <v>35</v>
      </c>
      <c r="D6614">
        <v>4</v>
      </c>
      <c r="E6614">
        <v>4</v>
      </c>
      <c r="G6614" s="25">
        <f>Table132[[#This Row],[nb win]]/Table132[[#This Row],[nb play]]</f>
        <v>1</v>
      </c>
      <c r="H6614" t="str">
        <f>MID(Table132[[#This Row],[ÉTAT]],VALUE(RIGHT(Table132[[#This Row],[next move]],1))+1+VALUE(LEFT(Table132[[#This Row],[next move]],1))*3,1)</f>
        <v>V</v>
      </c>
      <c r="I6614" t="str">
        <f>Table132[[#This Row],[ÉTAT]]&amp;Table132[[#This Row],[next move]]</f>
        <v>EEMMMEVME20</v>
      </c>
    </row>
    <row r="6615" spans="2:9" x14ac:dyDescent="0.25">
      <c r="B6615" t="s">
        <v>2891</v>
      </c>
      <c r="C6615" s="22" t="s">
        <v>35</v>
      </c>
      <c r="D6615">
        <v>6</v>
      </c>
      <c r="E6615">
        <v>6</v>
      </c>
      <c r="G6615" s="31">
        <f>Table132[[#This Row],[nb win]]/Table132[[#This Row],[nb play]]</f>
        <v>1</v>
      </c>
      <c r="H6615" t="str">
        <f>MID(Table132[[#This Row],[ÉTAT]],VALUE(RIGHT(Table132[[#This Row],[next move]],1))+1+VALUE(LEFT(Table132[[#This Row],[next move]],1))*3,1)</f>
        <v>V</v>
      </c>
      <c r="I6615" t="str">
        <f>Table132[[#This Row],[ÉTAT]]&amp;Table132[[#This Row],[next move]]</f>
        <v>EEMMMEVEV20</v>
      </c>
    </row>
    <row r="6616" spans="2:9" x14ac:dyDescent="0.25">
      <c r="B6616" t="s">
        <v>1169</v>
      </c>
      <c r="C6616" s="22" t="s">
        <v>35</v>
      </c>
      <c r="D6616">
        <v>5</v>
      </c>
      <c r="E6616">
        <v>5</v>
      </c>
      <c r="G6616" s="31">
        <f>Table132[[#This Row],[nb win]]/Table132[[#This Row],[nb play]]</f>
        <v>1</v>
      </c>
      <c r="H6616" t="str">
        <f>MID(Table132[[#This Row],[ÉTAT]],VALUE(RIGHT(Table132[[#This Row],[next move]],1))+1+VALUE(LEFT(Table132[[#This Row],[next move]],1))*3,1)</f>
        <v>V</v>
      </c>
      <c r="I6616" t="str">
        <f>Table132[[#This Row],[ÉTAT]]&amp;Table132[[#This Row],[next move]]</f>
        <v>EEMMMEVEM20</v>
      </c>
    </row>
    <row r="6617" spans="2:9" x14ac:dyDescent="0.25">
      <c r="B6617" t="s">
        <v>1381</v>
      </c>
      <c r="C6617" s="22" t="s">
        <v>35</v>
      </c>
      <c r="D6617">
        <v>2</v>
      </c>
      <c r="E6617">
        <v>1</v>
      </c>
      <c r="G6617" s="25">
        <f>Table132[[#This Row],[nb win]]/Table132[[#This Row],[nb play]]</f>
        <v>0.5</v>
      </c>
      <c r="H6617" t="str">
        <f>MID(Table132[[#This Row],[ÉTAT]],VALUE(RIGHT(Table132[[#This Row],[next move]],1))+1+VALUE(LEFT(Table132[[#This Row],[next move]],1))*3,1)</f>
        <v>V</v>
      </c>
      <c r="I6617" t="str">
        <f>Table132[[#This Row],[ÉTAT]]&amp;Table132[[#This Row],[next move]]</f>
        <v>EEMMEVVVM20</v>
      </c>
    </row>
    <row r="6618" spans="2:9" x14ac:dyDescent="0.25">
      <c r="B6618" t="s">
        <v>1381</v>
      </c>
      <c r="C6618" s="22" t="s">
        <v>22</v>
      </c>
      <c r="D6618">
        <v>2</v>
      </c>
      <c r="E6618">
        <v>2</v>
      </c>
      <c r="G6618" s="31">
        <f>Table132[[#This Row],[nb win]]/Table132[[#This Row],[nb play]]</f>
        <v>1</v>
      </c>
      <c r="H6618" t="str">
        <f>MID(Table132[[#This Row],[ÉTAT]],VALUE(RIGHT(Table132[[#This Row],[next move]],1))+1+VALUE(LEFT(Table132[[#This Row],[next move]],1))*3,1)</f>
        <v>V</v>
      </c>
      <c r="I6618" t="str">
        <f>Table132[[#This Row],[ÉTAT]]&amp;Table132[[#This Row],[next move]]</f>
        <v>EEMMEVVVM21</v>
      </c>
    </row>
    <row r="6619" spans="2:9" x14ac:dyDescent="0.25">
      <c r="B6619" t="s">
        <v>2051</v>
      </c>
      <c r="C6619" s="22" t="s">
        <v>28</v>
      </c>
      <c r="D6619">
        <v>1</v>
      </c>
      <c r="G6619" s="25">
        <f>Table132[[#This Row],[nb win]]/Table132[[#This Row],[nb play]]</f>
        <v>0</v>
      </c>
      <c r="H6619" t="str">
        <f>MID(Table132[[#This Row],[ÉTAT]],VALUE(RIGHT(Table132[[#This Row],[next move]],1))+1+VALUE(LEFT(Table132[[#This Row],[next move]],1))*3,1)</f>
        <v>V</v>
      </c>
      <c r="I6619" t="str">
        <f>Table132[[#This Row],[ÉTAT]]&amp;Table132[[#This Row],[next move]]</f>
        <v>EEMMEVVMV12</v>
      </c>
    </row>
    <row r="6620" spans="2:9" x14ac:dyDescent="0.25">
      <c r="B6620" t="s">
        <v>2051</v>
      </c>
      <c r="C6620" s="22" t="s">
        <v>35</v>
      </c>
      <c r="D6620">
        <v>2</v>
      </c>
      <c r="E6620">
        <v>1</v>
      </c>
      <c r="G6620" s="25">
        <f>Table132[[#This Row],[nb win]]/Table132[[#This Row],[nb play]]</f>
        <v>0.5</v>
      </c>
      <c r="H6620" t="str">
        <f>MID(Table132[[#This Row],[ÉTAT]],VALUE(RIGHT(Table132[[#This Row],[next move]],1))+1+VALUE(LEFT(Table132[[#This Row],[next move]],1))*3,1)</f>
        <v>V</v>
      </c>
      <c r="I6620" t="str">
        <f>Table132[[#This Row],[ÉTAT]]&amp;Table132[[#This Row],[next move]]</f>
        <v>EEMMEVVMV20</v>
      </c>
    </row>
    <row r="6621" spans="2:9" x14ac:dyDescent="0.25">
      <c r="B6621" t="s">
        <v>2712</v>
      </c>
      <c r="C6621" s="22" t="s">
        <v>28</v>
      </c>
      <c r="D6621">
        <v>1</v>
      </c>
      <c r="G6621" s="25">
        <f>Table132[[#This Row],[nb win]]/Table132[[#This Row],[nb play]]</f>
        <v>0</v>
      </c>
      <c r="H6621" t="str">
        <f>MID(Table132[[#This Row],[ÉTAT]],VALUE(RIGHT(Table132[[#This Row],[next move]],1))+1+VALUE(LEFT(Table132[[#This Row],[next move]],1))*3,1)</f>
        <v>V</v>
      </c>
      <c r="I6621" t="str">
        <f>Table132[[#This Row],[ÉTAT]]&amp;Table132[[#This Row],[next move]]</f>
        <v>EEMMEVMVV12</v>
      </c>
    </row>
    <row r="6622" spans="2:9" x14ac:dyDescent="0.25">
      <c r="B6622" t="s">
        <v>2712</v>
      </c>
      <c r="C6622" s="22" t="s">
        <v>22</v>
      </c>
      <c r="D6622">
        <v>1</v>
      </c>
      <c r="G6622" s="25">
        <f>Table132[[#This Row],[nb win]]/Table132[[#This Row],[nb play]]</f>
        <v>0</v>
      </c>
      <c r="H6622" t="str">
        <f>MID(Table132[[#This Row],[ÉTAT]],VALUE(RIGHT(Table132[[#This Row],[next move]],1))+1+VALUE(LEFT(Table132[[#This Row],[next move]],1))*3,1)</f>
        <v>V</v>
      </c>
      <c r="I6622" t="str">
        <f>Table132[[#This Row],[ÉTAT]]&amp;Table132[[#This Row],[next move]]</f>
        <v>EEMMEVMVV21</v>
      </c>
    </row>
    <row r="6623" spans="2:9" x14ac:dyDescent="0.25">
      <c r="B6623" t="s">
        <v>1210</v>
      </c>
      <c r="C6623" s="22" t="s">
        <v>28</v>
      </c>
      <c r="D6623">
        <v>3</v>
      </c>
      <c r="E6623">
        <v>3</v>
      </c>
      <c r="G6623" s="31">
        <f>Table132[[#This Row],[nb win]]/Table132[[#This Row],[nb play]]</f>
        <v>1</v>
      </c>
      <c r="H6623" t="str">
        <f>MID(Table132[[#This Row],[ÉTAT]],VALUE(RIGHT(Table132[[#This Row],[next move]],1))+1+VALUE(LEFT(Table132[[#This Row],[next move]],1))*3,1)</f>
        <v>V</v>
      </c>
      <c r="I6623" t="str">
        <f>Table132[[#This Row],[ÉTAT]]&amp;Table132[[#This Row],[next move]]</f>
        <v>EEMMEVEVM12</v>
      </c>
    </row>
    <row r="6624" spans="2:9" x14ac:dyDescent="0.25">
      <c r="B6624" t="s">
        <v>3034</v>
      </c>
      <c r="C6624" s="22" t="s">
        <v>28</v>
      </c>
      <c r="D6624">
        <v>1</v>
      </c>
      <c r="G6624" s="30">
        <f>Table132[[#This Row],[nb win]]/Table132[[#This Row],[nb play]]</f>
        <v>0</v>
      </c>
      <c r="H6624" t="str">
        <f>MID(Table132[[#This Row],[ÉTAT]],VALUE(RIGHT(Table132[[#This Row],[next move]],1))+1+VALUE(LEFT(Table132[[#This Row],[next move]],1))*3,1)</f>
        <v>V</v>
      </c>
      <c r="I6624" t="str">
        <f>Table132[[#This Row],[ÉTAT]]&amp;Table132[[#This Row],[next move]]</f>
        <v>EEMMEVEMV12</v>
      </c>
    </row>
    <row r="6625" spans="2:9" x14ac:dyDescent="0.25">
      <c r="B6625" t="s">
        <v>517</v>
      </c>
      <c r="C6625" s="22" t="s">
        <v>28</v>
      </c>
      <c r="D6625">
        <v>3</v>
      </c>
      <c r="E6625">
        <v>3</v>
      </c>
      <c r="G6625" s="25">
        <f>Table132[[#This Row],[nb win]]/Table132[[#This Row],[nb play]]</f>
        <v>1</v>
      </c>
      <c r="H6625" t="str">
        <f>MID(Table132[[#This Row],[ÉTAT]],VALUE(RIGHT(Table132[[#This Row],[next move]],1))+1+VALUE(LEFT(Table132[[#This Row],[next move]],1))*3,1)</f>
        <v>V</v>
      </c>
      <c r="I6625" t="str">
        <f>Table132[[#This Row],[ÉTAT]]&amp;Table132[[#This Row],[next move]]</f>
        <v>EEMMEVEMM12</v>
      </c>
    </row>
    <row r="6626" spans="2:9" x14ac:dyDescent="0.25">
      <c r="B6626" t="s">
        <v>2518</v>
      </c>
      <c r="C6626" s="22" t="s">
        <v>35</v>
      </c>
      <c r="D6626">
        <v>1</v>
      </c>
      <c r="G6626" s="25">
        <f>Table132[[#This Row],[nb win]]/Table132[[#This Row],[nb play]]</f>
        <v>0</v>
      </c>
      <c r="H6626" t="str">
        <f>MID(Table132[[#This Row],[ÉTAT]],VALUE(RIGHT(Table132[[#This Row],[next move]],1))+1+VALUE(LEFT(Table132[[#This Row],[next move]],1))*3,1)</f>
        <v>V</v>
      </c>
      <c r="I6626" t="str">
        <f>Table132[[#This Row],[ÉTAT]]&amp;Table132[[#This Row],[next move]]</f>
        <v>EEMMEMVVV20</v>
      </c>
    </row>
    <row r="6627" spans="2:9" x14ac:dyDescent="0.25">
      <c r="B6627" t="s">
        <v>2518</v>
      </c>
      <c r="C6627" s="22" t="s">
        <v>31</v>
      </c>
      <c r="D6627">
        <v>1</v>
      </c>
      <c r="E6627">
        <v>1</v>
      </c>
      <c r="G6627" s="31">
        <f>Table132[[#This Row],[nb win]]/Table132[[#This Row],[nb play]]</f>
        <v>1</v>
      </c>
      <c r="H6627" t="str">
        <f>MID(Table132[[#This Row],[ÉTAT]],VALUE(RIGHT(Table132[[#This Row],[next move]],1))+1+VALUE(LEFT(Table132[[#This Row],[next move]],1))*3,1)</f>
        <v>V</v>
      </c>
      <c r="I6627" t="str">
        <f>Table132[[#This Row],[ÉTAT]]&amp;Table132[[#This Row],[next move]]</f>
        <v>EEMMEMVVV22</v>
      </c>
    </row>
    <row r="6628" spans="2:9" x14ac:dyDescent="0.25">
      <c r="B6628" t="s">
        <v>905</v>
      </c>
      <c r="C6628" s="22" t="s">
        <v>31</v>
      </c>
      <c r="D6628">
        <v>4</v>
      </c>
      <c r="E6628">
        <v>4</v>
      </c>
      <c r="G6628" s="25">
        <f>Table132[[#This Row],[nb win]]/Table132[[#This Row],[nb play]]</f>
        <v>1</v>
      </c>
      <c r="H6628" t="str">
        <f>MID(Table132[[#This Row],[ÉTAT]],VALUE(RIGHT(Table132[[#This Row],[next move]],1))+1+VALUE(LEFT(Table132[[#This Row],[next move]],1))*3,1)</f>
        <v>V</v>
      </c>
      <c r="I6628" t="str">
        <f>Table132[[#This Row],[ÉTAT]]&amp;Table132[[#This Row],[next move]]</f>
        <v>EEMMEMEMV22</v>
      </c>
    </row>
    <row r="6629" spans="2:9" x14ac:dyDescent="0.25">
      <c r="B6629" t="s">
        <v>1787</v>
      </c>
      <c r="C6629" s="22" t="s">
        <v>35</v>
      </c>
      <c r="D6629">
        <v>3</v>
      </c>
      <c r="E6629">
        <v>3</v>
      </c>
      <c r="G6629" s="31">
        <f>Table132[[#This Row],[nb win]]/Table132[[#This Row],[nb play]]</f>
        <v>1</v>
      </c>
      <c r="H6629" t="str">
        <f>MID(Table132[[#This Row],[ÉTAT]],VALUE(RIGHT(Table132[[#This Row],[next move]],1))+1+VALUE(LEFT(Table132[[#This Row],[next move]],1))*3,1)</f>
        <v>V</v>
      </c>
      <c r="I6629" t="str">
        <f>Table132[[#This Row],[ÉTAT]]&amp;Table132[[#This Row],[next move]]</f>
        <v>EEMMEEVMM20</v>
      </c>
    </row>
    <row r="6630" spans="2:9" x14ac:dyDescent="0.25">
      <c r="B6630" t="s">
        <v>2262</v>
      </c>
      <c r="C6630" s="22" t="s">
        <v>22</v>
      </c>
      <c r="D6630">
        <v>2</v>
      </c>
      <c r="G6630" s="30">
        <f>Table132[[#This Row],[nb win]]/Table132[[#This Row],[nb play]]</f>
        <v>0</v>
      </c>
      <c r="H6630" t="str">
        <f>MID(Table132[[#This Row],[ÉTAT]],VALUE(RIGHT(Table132[[#This Row],[next move]],1))+1+VALUE(LEFT(Table132[[#This Row],[next move]],1))*3,1)</f>
        <v>V</v>
      </c>
      <c r="I6630" t="str">
        <f>Table132[[#This Row],[ÉTAT]]&amp;Table132[[#This Row],[next move]]</f>
        <v>EEMMEEMVV21</v>
      </c>
    </row>
    <row r="6631" spans="2:9" x14ac:dyDescent="0.25">
      <c r="B6631" t="s">
        <v>2262</v>
      </c>
      <c r="C6631" s="22" t="s">
        <v>31</v>
      </c>
      <c r="D6631">
        <v>3</v>
      </c>
      <c r="G6631" s="30">
        <f>Table132[[#This Row],[nb win]]/Table132[[#This Row],[nb play]]</f>
        <v>0</v>
      </c>
      <c r="H6631" t="str">
        <f>MID(Table132[[#This Row],[ÉTAT]],VALUE(RIGHT(Table132[[#This Row],[next move]],1))+1+VALUE(LEFT(Table132[[#This Row],[next move]],1))*3,1)</f>
        <v>V</v>
      </c>
      <c r="I6631" t="str">
        <f>Table132[[#This Row],[ÉTAT]]&amp;Table132[[#This Row],[next move]]</f>
        <v>EEMMEEMVV22</v>
      </c>
    </row>
    <row r="6632" spans="2:9" x14ac:dyDescent="0.25">
      <c r="B6632" t="s">
        <v>1383</v>
      </c>
      <c r="C6632" s="22" t="s">
        <v>22</v>
      </c>
      <c r="D6632">
        <v>2</v>
      </c>
      <c r="E6632">
        <v>2</v>
      </c>
      <c r="G6632" s="25">
        <f>Table132[[#This Row],[nb win]]/Table132[[#This Row],[nb play]]</f>
        <v>1</v>
      </c>
      <c r="H6632" t="str">
        <f>MID(Table132[[#This Row],[ÉTAT]],VALUE(RIGHT(Table132[[#This Row],[next move]],1))+1+VALUE(LEFT(Table132[[#This Row],[next move]],1))*3,1)</f>
        <v>V</v>
      </c>
      <c r="I6632" t="str">
        <f>Table132[[#This Row],[ÉTAT]]&amp;Table132[[#This Row],[next move]]</f>
        <v>EEMMEEMVM21</v>
      </c>
    </row>
    <row r="6633" spans="2:9" x14ac:dyDescent="0.25">
      <c r="B6633" t="s">
        <v>1049</v>
      </c>
      <c r="C6633" s="22" t="s">
        <v>31</v>
      </c>
      <c r="D6633">
        <v>12</v>
      </c>
      <c r="E6633">
        <v>12</v>
      </c>
      <c r="G6633" s="31">
        <f>Table132[[#This Row],[nb win]]/Table132[[#This Row],[nb play]]</f>
        <v>1</v>
      </c>
      <c r="H6633" t="str">
        <f>MID(Table132[[#This Row],[ÉTAT]],VALUE(RIGHT(Table132[[#This Row],[next move]],1))+1+VALUE(LEFT(Table132[[#This Row],[next move]],1))*3,1)</f>
        <v>V</v>
      </c>
      <c r="I6633" t="str">
        <f>Table132[[#This Row],[ÉTAT]]&amp;Table132[[#This Row],[next move]]</f>
        <v>EEMMEEMMV22</v>
      </c>
    </row>
    <row r="6634" spans="2:9" x14ac:dyDescent="0.25">
      <c r="B6634" t="s">
        <v>1208</v>
      </c>
      <c r="C6634" s="22" t="s">
        <v>28</v>
      </c>
      <c r="D6634">
        <v>2</v>
      </c>
      <c r="G6634" s="25">
        <f>Table132[[#This Row],[nb win]]/Table132[[#This Row],[nb play]]</f>
        <v>0</v>
      </c>
      <c r="H6634" t="str">
        <f>MID(Table132[[#This Row],[ÉTAT]],VALUE(RIGHT(Table132[[#This Row],[next move]],1))+1+VALUE(LEFT(Table132[[#This Row],[next move]],1))*3,1)</f>
        <v>V</v>
      </c>
      <c r="I6634" t="str">
        <f>Table132[[#This Row],[ÉTAT]]&amp;Table132[[#This Row],[next move]]</f>
        <v>EEMEVVVMV12</v>
      </c>
    </row>
    <row r="6635" spans="2:9" x14ac:dyDescent="0.25">
      <c r="B6635" t="s">
        <v>1208</v>
      </c>
      <c r="C6635" s="22" t="s">
        <v>35</v>
      </c>
      <c r="D6635">
        <v>1</v>
      </c>
      <c r="E6635">
        <v>1</v>
      </c>
      <c r="G6635" s="31">
        <f>Table132[[#This Row],[nb win]]/Table132[[#This Row],[nb play]]</f>
        <v>1</v>
      </c>
      <c r="H6635" t="str">
        <f>MID(Table132[[#This Row],[ÉTAT]],VALUE(RIGHT(Table132[[#This Row],[next move]],1))+1+VALUE(LEFT(Table132[[#This Row],[next move]],1))*3,1)</f>
        <v>V</v>
      </c>
      <c r="I6635" t="str">
        <f>Table132[[#This Row],[ÉTAT]]&amp;Table132[[#This Row],[next move]]</f>
        <v>EEMEVVVMV20</v>
      </c>
    </row>
    <row r="6636" spans="2:9" x14ac:dyDescent="0.25">
      <c r="B6636" t="s">
        <v>1208</v>
      </c>
      <c r="C6636" s="22" t="s">
        <v>31</v>
      </c>
      <c r="D6636">
        <v>2</v>
      </c>
      <c r="E6636">
        <v>1</v>
      </c>
      <c r="G6636" s="25">
        <f>Table132[[#This Row],[nb win]]/Table132[[#This Row],[nb play]]</f>
        <v>0.5</v>
      </c>
      <c r="H6636" t="str">
        <f>MID(Table132[[#This Row],[ÉTAT]],VALUE(RIGHT(Table132[[#This Row],[next move]],1))+1+VALUE(LEFT(Table132[[#This Row],[next move]],1))*3,1)</f>
        <v>V</v>
      </c>
      <c r="I6636" t="str">
        <f>Table132[[#This Row],[ÉTAT]]&amp;Table132[[#This Row],[next move]]</f>
        <v>EEMEVVVMV22</v>
      </c>
    </row>
    <row r="6637" spans="2:9" x14ac:dyDescent="0.25">
      <c r="B6637" t="s">
        <v>1260</v>
      </c>
      <c r="C6637" s="22" t="s">
        <v>35</v>
      </c>
      <c r="D6637">
        <v>4</v>
      </c>
      <c r="E6637">
        <v>4</v>
      </c>
      <c r="G6637" s="31">
        <f>Table132[[#This Row],[nb win]]/Table132[[#This Row],[nb play]]</f>
        <v>1</v>
      </c>
      <c r="H6637" t="str">
        <f>MID(Table132[[#This Row],[ÉTAT]],VALUE(RIGHT(Table132[[#This Row],[next move]],1))+1+VALUE(LEFT(Table132[[#This Row],[next move]],1))*3,1)</f>
        <v>V</v>
      </c>
      <c r="I6637" t="str">
        <f>Table132[[#This Row],[ÉTAT]]&amp;Table132[[#This Row],[next move]]</f>
        <v>EEMEVVVMM20</v>
      </c>
    </row>
    <row r="6638" spans="2:9" x14ac:dyDescent="0.25">
      <c r="B6638" t="s">
        <v>1714</v>
      </c>
      <c r="C6638" s="22" t="s">
        <v>22</v>
      </c>
      <c r="D6638">
        <v>4</v>
      </c>
      <c r="E6638">
        <v>4</v>
      </c>
      <c r="G6638" s="31">
        <f>Table132[[#This Row],[nb win]]/Table132[[#This Row],[nb play]]</f>
        <v>1</v>
      </c>
      <c r="H6638" t="str">
        <f>MID(Table132[[#This Row],[ÉTAT]],VALUE(RIGHT(Table132[[#This Row],[next move]],1))+1+VALUE(LEFT(Table132[[#This Row],[next move]],1))*3,1)</f>
        <v>V</v>
      </c>
      <c r="I6638" t="str">
        <f>Table132[[#This Row],[ÉTAT]]&amp;Table132[[#This Row],[next move]]</f>
        <v>EEMEVVMVV21</v>
      </c>
    </row>
    <row r="6639" spans="2:9" x14ac:dyDescent="0.25">
      <c r="B6639" t="s">
        <v>2313</v>
      </c>
      <c r="C6639" s="22" t="s">
        <v>28</v>
      </c>
      <c r="D6639">
        <v>2</v>
      </c>
      <c r="E6639">
        <v>2</v>
      </c>
      <c r="G6639" s="31">
        <f>Table132[[#This Row],[nb win]]/Table132[[#This Row],[nb play]]</f>
        <v>1</v>
      </c>
      <c r="H6639" t="str">
        <f>MID(Table132[[#This Row],[ÉTAT]],VALUE(RIGHT(Table132[[#This Row],[next move]],1))+1+VALUE(LEFT(Table132[[#This Row],[next move]],1))*3,1)</f>
        <v>V</v>
      </c>
      <c r="I6639" t="str">
        <f>Table132[[#This Row],[ÉTAT]]&amp;Table132[[#This Row],[next move]]</f>
        <v>EEMEVVMVM12</v>
      </c>
    </row>
    <row r="6640" spans="2:9" x14ac:dyDescent="0.25">
      <c r="B6640" t="s">
        <v>2391</v>
      </c>
      <c r="C6640" s="22" t="s">
        <v>29</v>
      </c>
      <c r="D6640">
        <v>1</v>
      </c>
      <c r="E6640">
        <v>1</v>
      </c>
      <c r="G6640" s="25">
        <f>Table132[[#This Row],[nb win]]/Table132[[#This Row],[nb play]]</f>
        <v>1</v>
      </c>
      <c r="H6640" t="str">
        <f>MID(Table132[[#This Row],[ÉTAT]],VALUE(RIGHT(Table132[[#This Row],[next move]],1))+1+VALUE(LEFT(Table132[[#This Row],[next move]],1))*3,1)</f>
        <v>V</v>
      </c>
      <c r="I6640" t="str">
        <f>Table132[[#This Row],[ÉTAT]]&amp;Table132[[#This Row],[next move]]</f>
        <v>EEMEVVMMV11</v>
      </c>
    </row>
    <row r="6641" spans="2:9" x14ac:dyDescent="0.25">
      <c r="B6641" t="s">
        <v>1716</v>
      </c>
      <c r="C6641" s="22" t="s">
        <v>29</v>
      </c>
      <c r="D6641">
        <v>2</v>
      </c>
      <c r="E6641">
        <v>2</v>
      </c>
      <c r="G6641" s="31">
        <f>Table132[[#This Row],[nb win]]/Table132[[#This Row],[nb play]]</f>
        <v>1</v>
      </c>
      <c r="H6641" t="str">
        <f>MID(Table132[[#This Row],[ÉTAT]],VALUE(RIGHT(Table132[[#This Row],[next move]],1))+1+VALUE(LEFT(Table132[[#This Row],[next move]],1))*3,1)</f>
        <v>V</v>
      </c>
      <c r="I6641" t="str">
        <f>Table132[[#This Row],[ÉTAT]]&amp;Table132[[#This Row],[next move]]</f>
        <v>EEMEVVMME11</v>
      </c>
    </row>
    <row r="6642" spans="2:9" x14ac:dyDescent="0.25">
      <c r="B6642" t="s">
        <v>356</v>
      </c>
      <c r="C6642" s="22" t="s">
        <v>29</v>
      </c>
      <c r="D6642">
        <v>6</v>
      </c>
      <c r="E6642">
        <v>6</v>
      </c>
      <c r="G6642" s="31">
        <f>Table132[[#This Row],[nb win]]/Table132[[#This Row],[nb play]]</f>
        <v>1</v>
      </c>
      <c r="H6642" t="str">
        <f>MID(Table132[[#This Row],[ÉTAT]],VALUE(RIGHT(Table132[[#This Row],[next move]],1))+1+VALUE(LEFT(Table132[[#This Row],[next move]],1))*3,1)</f>
        <v>V</v>
      </c>
      <c r="I6642" t="str">
        <f>Table132[[#This Row],[ÉTAT]]&amp;Table132[[#This Row],[next move]]</f>
        <v>EEMEVVMEM11</v>
      </c>
    </row>
    <row r="6643" spans="2:9" x14ac:dyDescent="0.25">
      <c r="B6643" t="s">
        <v>929</v>
      </c>
      <c r="C6643" s="22" t="s">
        <v>31</v>
      </c>
      <c r="D6643">
        <v>2</v>
      </c>
      <c r="E6643">
        <v>2</v>
      </c>
      <c r="G6643" s="31">
        <f>Table132[[#This Row],[nb win]]/Table132[[#This Row],[nb play]]</f>
        <v>1</v>
      </c>
      <c r="H6643" t="str">
        <f>MID(Table132[[#This Row],[ÉTAT]],VALUE(RIGHT(Table132[[#This Row],[next move]],1))+1+VALUE(LEFT(Table132[[#This Row],[next move]],1))*3,1)</f>
        <v>V</v>
      </c>
      <c r="I6643" t="str">
        <f>Table132[[#This Row],[ÉTAT]]&amp;Table132[[#This Row],[next move]]</f>
        <v>EEMEVMVVV22</v>
      </c>
    </row>
    <row r="6644" spans="2:9" x14ac:dyDescent="0.25">
      <c r="B6644" t="s">
        <v>2218</v>
      </c>
      <c r="C6644" s="22" t="s">
        <v>29</v>
      </c>
      <c r="D6644">
        <v>1</v>
      </c>
      <c r="G6644" s="25">
        <f>Table132[[#This Row],[nb win]]/Table132[[#This Row],[nb play]]</f>
        <v>0</v>
      </c>
      <c r="H6644" t="str">
        <f>MID(Table132[[#This Row],[ÉTAT]],VALUE(RIGHT(Table132[[#This Row],[next move]],1))+1+VALUE(LEFT(Table132[[#This Row],[next move]],1))*3,1)</f>
        <v>V</v>
      </c>
      <c r="I6644" t="str">
        <f>Table132[[#This Row],[ÉTAT]]&amp;Table132[[#This Row],[next move]]</f>
        <v>EEMEVMVMV11</v>
      </c>
    </row>
    <row r="6645" spans="2:9" x14ac:dyDescent="0.25">
      <c r="B6645" t="s">
        <v>2218</v>
      </c>
      <c r="C6645" s="22" t="s">
        <v>35</v>
      </c>
      <c r="D6645">
        <v>1</v>
      </c>
      <c r="E6645">
        <v>1</v>
      </c>
      <c r="G6645" s="31">
        <f>Table132[[#This Row],[nb win]]/Table132[[#This Row],[nb play]]</f>
        <v>1</v>
      </c>
      <c r="H6645" t="str">
        <f>MID(Table132[[#This Row],[ÉTAT]],VALUE(RIGHT(Table132[[#This Row],[next move]],1))+1+VALUE(LEFT(Table132[[#This Row],[next move]],1))*3,1)</f>
        <v>V</v>
      </c>
      <c r="I6645" t="str">
        <f>Table132[[#This Row],[ÉTAT]]&amp;Table132[[#This Row],[next move]]</f>
        <v>EEMEVMVMV20</v>
      </c>
    </row>
    <row r="6646" spans="2:9" x14ac:dyDescent="0.25">
      <c r="B6646" t="s">
        <v>1618</v>
      </c>
      <c r="C6646" s="22" t="s">
        <v>29</v>
      </c>
      <c r="D6646">
        <v>3</v>
      </c>
      <c r="E6646">
        <v>3</v>
      </c>
      <c r="G6646" s="31">
        <f>Table132[[#This Row],[nb win]]/Table132[[#This Row],[nb play]]</f>
        <v>1</v>
      </c>
      <c r="H6646" t="str">
        <f>MID(Table132[[#This Row],[ÉTAT]],VALUE(RIGHT(Table132[[#This Row],[next move]],1))+1+VALUE(LEFT(Table132[[#This Row],[next move]],1))*3,1)</f>
        <v>V</v>
      </c>
      <c r="I6646" t="str">
        <f>Table132[[#This Row],[ÉTAT]]&amp;Table132[[#This Row],[next move]]</f>
        <v>EEMEVMMVV11</v>
      </c>
    </row>
    <row r="6647" spans="2:9" x14ac:dyDescent="0.25">
      <c r="B6647" t="s">
        <v>810</v>
      </c>
      <c r="C6647" s="22" t="s">
        <v>29</v>
      </c>
      <c r="D6647">
        <v>4</v>
      </c>
      <c r="E6647">
        <v>4</v>
      </c>
      <c r="G6647" s="31">
        <f>Table132[[#This Row],[nb win]]/Table132[[#This Row],[nb play]]</f>
        <v>1</v>
      </c>
      <c r="H6647" t="str">
        <f>MID(Table132[[#This Row],[ÉTAT]],VALUE(RIGHT(Table132[[#This Row],[next move]],1))+1+VALUE(LEFT(Table132[[#This Row],[next move]],1))*3,1)</f>
        <v>V</v>
      </c>
      <c r="I6647" t="str">
        <f>Table132[[#This Row],[ÉTAT]]&amp;Table132[[#This Row],[next move]]</f>
        <v>EEMEVMMME11</v>
      </c>
    </row>
    <row r="6648" spans="2:9" x14ac:dyDescent="0.25">
      <c r="B6648" t="s">
        <v>1216</v>
      </c>
      <c r="C6648" s="22" t="s">
        <v>29</v>
      </c>
      <c r="D6648">
        <v>2</v>
      </c>
      <c r="E6648">
        <v>2</v>
      </c>
      <c r="G6648" s="31">
        <f>Table132[[#This Row],[nb win]]/Table132[[#This Row],[nb play]]</f>
        <v>1</v>
      </c>
      <c r="H6648" t="str">
        <f>MID(Table132[[#This Row],[ÉTAT]],VALUE(RIGHT(Table132[[#This Row],[next move]],1))+1+VALUE(LEFT(Table132[[#This Row],[next move]],1))*3,1)</f>
        <v>V</v>
      </c>
      <c r="I6648" t="str">
        <f>Table132[[#This Row],[ÉTAT]]&amp;Table132[[#This Row],[next move]]</f>
        <v>EEMEVMMEV11</v>
      </c>
    </row>
    <row r="6649" spans="2:9" x14ac:dyDescent="0.25">
      <c r="B6649" t="s">
        <v>169</v>
      </c>
      <c r="C6649" s="22" t="s">
        <v>35</v>
      </c>
      <c r="D6649">
        <v>2</v>
      </c>
      <c r="E6649">
        <v>2</v>
      </c>
      <c r="G6649" s="25">
        <f>Table132[[#This Row],[nb win]]/Table132[[#This Row],[nb play]]</f>
        <v>1</v>
      </c>
      <c r="H6649" t="str">
        <f>MID(Table132[[#This Row],[ÉTAT]],VALUE(RIGHT(Table132[[#This Row],[next move]],1))+1+VALUE(LEFT(Table132[[#This Row],[next move]],1))*3,1)</f>
        <v>V</v>
      </c>
      <c r="I6649" t="str">
        <f>Table132[[#This Row],[ÉTAT]]&amp;Table132[[#This Row],[next move]]</f>
        <v>EEMEVEVMM20</v>
      </c>
    </row>
    <row r="6650" spans="2:9" x14ac:dyDescent="0.25">
      <c r="B6650" t="s">
        <v>1730</v>
      </c>
      <c r="C6650" s="22" t="s">
        <v>29</v>
      </c>
      <c r="D6650">
        <v>1</v>
      </c>
      <c r="E6650">
        <v>1</v>
      </c>
      <c r="G6650" s="25">
        <f>Table132[[#This Row],[nb win]]/Table132[[#This Row],[nb play]]</f>
        <v>1</v>
      </c>
      <c r="H6650" t="str">
        <f>MID(Table132[[#This Row],[ÉTAT]],VALUE(RIGHT(Table132[[#This Row],[next move]],1))+1+VALUE(LEFT(Table132[[#This Row],[next move]],1))*3,1)</f>
        <v>V</v>
      </c>
      <c r="I6650" t="str">
        <f>Table132[[#This Row],[ÉTAT]]&amp;Table132[[#This Row],[next move]]</f>
        <v>EEMEVEMVM11</v>
      </c>
    </row>
    <row r="6651" spans="2:9" x14ac:dyDescent="0.25">
      <c r="B6651" t="s">
        <v>3243</v>
      </c>
      <c r="C6651" s="22" t="s">
        <v>31</v>
      </c>
      <c r="D6651">
        <v>1</v>
      </c>
      <c r="E6651">
        <v>1</v>
      </c>
      <c r="G6651" s="31">
        <f>Table132[[#This Row],[nb win]]/Table132[[#This Row],[nb play]]</f>
        <v>1</v>
      </c>
      <c r="H6651" t="str">
        <f>MID(Table132[[#This Row],[ÉTAT]],VALUE(RIGHT(Table132[[#This Row],[next move]],1))+1+VALUE(LEFT(Table132[[#This Row],[next move]],1))*3,1)</f>
        <v>V</v>
      </c>
      <c r="I6651" t="str">
        <f>Table132[[#This Row],[ÉTAT]]&amp;Table132[[#This Row],[next move]]</f>
        <v>EEMEVEMMV22</v>
      </c>
    </row>
    <row r="6652" spans="2:9" x14ac:dyDescent="0.25">
      <c r="B6652" t="s">
        <v>2116</v>
      </c>
      <c r="C6652" s="22" t="s">
        <v>35</v>
      </c>
      <c r="D6652">
        <v>2</v>
      </c>
      <c r="E6652">
        <v>2</v>
      </c>
      <c r="G6652" s="25">
        <f>Table132[[#This Row],[nb win]]/Table132[[#This Row],[nb play]]</f>
        <v>1</v>
      </c>
      <c r="H6652" t="str">
        <f>MID(Table132[[#This Row],[ÉTAT]],VALUE(RIGHT(Table132[[#This Row],[next move]],1))+1+VALUE(LEFT(Table132[[#This Row],[next move]],1))*3,1)</f>
        <v>V</v>
      </c>
      <c r="I6652" t="str">
        <f>Table132[[#This Row],[ÉTAT]]&amp;Table132[[#This Row],[next move]]</f>
        <v>EEMEMVVVV20</v>
      </c>
    </row>
    <row r="6653" spans="2:9" x14ac:dyDescent="0.25">
      <c r="B6653" t="s">
        <v>3515</v>
      </c>
      <c r="C6653" s="22" t="s">
        <v>28</v>
      </c>
      <c r="D6653">
        <v>1</v>
      </c>
      <c r="E6653">
        <v>1</v>
      </c>
      <c r="G6653" s="31">
        <f>Table132[[#This Row],[nb win]]/Table132[[#This Row],[nb play]]</f>
        <v>1</v>
      </c>
      <c r="H6653" t="str">
        <f>MID(Table132[[#This Row],[ÉTAT]],VALUE(RIGHT(Table132[[#This Row],[next move]],1))+1+VALUE(LEFT(Table132[[#This Row],[next move]],1))*3,1)</f>
        <v>V</v>
      </c>
      <c r="I6653" t="str">
        <f>Table132[[#This Row],[ÉTAT]]&amp;Table132[[#This Row],[next move]]</f>
        <v>EEMEMVVVM12</v>
      </c>
    </row>
    <row r="6654" spans="2:9" x14ac:dyDescent="0.25">
      <c r="B6654" t="s">
        <v>2653</v>
      </c>
      <c r="C6654" s="22" t="s">
        <v>35</v>
      </c>
      <c r="D6654">
        <v>1</v>
      </c>
      <c r="E6654">
        <v>1</v>
      </c>
      <c r="G6654" s="25">
        <f>Table132[[#This Row],[nb win]]/Table132[[#This Row],[nb play]]</f>
        <v>1</v>
      </c>
      <c r="H6654" t="str">
        <f>MID(Table132[[#This Row],[ÉTAT]],VALUE(RIGHT(Table132[[#This Row],[next move]],1))+1+VALUE(LEFT(Table132[[#This Row],[next move]],1))*3,1)</f>
        <v>V</v>
      </c>
      <c r="I6654" t="str">
        <f>Table132[[#This Row],[ÉTAT]]&amp;Table132[[#This Row],[next move]]</f>
        <v>EEMEMVVMV20</v>
      </c>
    </row>
    <row r="6655" spans="2:9" x14ac:dyDescent="0.25">
      <c r="B6655" t="s">
        <v>380</v>
      </c>
      <c r="C6655" s="22" t="s">
        <v>28</v>
      </c>
      <c r="D6655">
        <v>1</v>
      </c>
      <c r="G6655" s="25">
        <f>Table132[[#This Row],[nb win]]/Table132[[#This Row],[nb play]]</f>
        <v>0</v>
      </c>
      <c r="H6655" t="str">
        <f>MID(Table132[[#This Row],[ÉTAT]],VALUE(RIGHT(Table132[[#This Row],[next move]],1))+1+VALUE(LEFT(Table132[[#This Row],[next move]],1))*3,1)</f>
        <v>V</v>
      </c>
      <c r="I6655" t="str">
        <f>Table132[[#This Row],[ÉTAT]]&amp;Table132[[#This Row],[next move]]</f>
        <v>EEMEMVVME12</v>
      </c>
    </row>
    <row r="6656" spans="2:9" x14ac:dyDescent="0.25">
      <c r="B6656" t="s">
        <v>380</v>
      </c>
      <c r="C6656" s="22" t="s">
        <v>35</v>
      </c>
      <c r="D6656">
        <v>1</v>
      </c>
      <c r="E6656">
        <v>1</v>
      </c>
      <c r="G6656" s="25">
        <f>Table132[[#This Row],[nb win]]/Table132[[#This Row],[nb play]]</f>
        <v>1</v>
      </c>
      <c r="H6656" t="str">
        <f>MID(Table132[[#This Row],[ÉTAT]],VALUE(RIGHT(Table132[[#This Row],[next move]],1))+1+VALUE(LEFT(Table132[[#This Row],[next move]],1))*3,1)</f>
        <v>V</v>
      </c>
      <c r="I6656" t="str">
        <f>Table132[[#This Row],[ÉTAT]]&amp;Table132[[#This Row],[next move]]</f>
        <v>EEMEMVVME20</v>
      </c>
    </row>
    <row r="6657" spans="2:9" x14ac:dyDescent="0.25">
      <c r="B6657" t="s">
        <v>2679</v>
      </c>
      <c r="C6657" s="22" t="s">
        <v>35</v>
      </c>
      <c r="D6657">
        <v>5</v>
      </c>
      <c r="E6657">
        <v>5</v>
      </c>
      <c r="G6657" s="31">
        <f>Table132[[#This Row],[nb win]]/Table132[[#This Row],[nb play]]</f>
        <v>1</v>
      </c>
      <c r="H6657" t="str">
        <f>MID(Table132[[#This Row],[ÉTAT]],VALUE(RIGHT(Table132[[#This Row],[next move]],1))+1+VALUE(LEFT(Table132[[#This Row],[next move]],1))*3,1)</f>
        <v>V</v>
      </c>
      <c r="I6657" t="str">
        <f>Table132[[#This Row],[ÉTAT]]&amp;Table132[[#This Row],[next move]]</f>
        <v>EEMEMVVEM20</v>
      </c>
    </row>
    <row r="6658" spans="2:9" x14ac:dyDescent="0.25">
      <c r="B6658" t="s">
        <v>3166</v>
      </c>
      <c r="C6658" s="22" t="s">
        <v>22</v>
      </c>
      <c r="D6658">
        <v>1</v>
      </c>
      <c r="G6658" s="30">
        <f>Table132[[#This Row],[nb win]]/Table132[[#This Row],[nb play]]</f>
        <v>0</v>
      </c>
      <c r="H6658" t="str">
        <f>MID(Table132[[#This Row],[ÉTAT]],VALUE(RIGHT(Table132[[#This Row],[next move]],1))+1+VALUE(LEFT(Table132[[#This Row],[next move]],1))*3,1)</f>
        <v>V</v>
      </c>
      <c r="I6658" t="str">
        <f>Table132[[#This Row],[ÉTAT]]&amp;Table132[[#This Row],[next move]]</f>
        <v>EEMEMMVVV21</v>
      </c>
    </row>
    <row r="6659" spans="2:9" x14ac:dyDescent="0.25">
      <c r="B6659" t="s">
        <v>3285</v>
      </c>
      <c r="C6659" s="22" t="s">
        <v>35</v>
      </c>
      <c r="D6659">
        <v>1</v>
      </c>
      <c r="E6659">
        <v>1</v>
      </c>
      <c r="G6659" s="31">
        <f>Table132[[#This Row],[nb win]]/Table132[[#This Row],[nb play]]</f>
        <v>1</v>
      </c>
      <c r="H6659" t="str">
        <f>MID(Table132[[#This Row],[ÉTAT]],VALUE(RIGHT(Table132[[#This Row],[next move]],1))+1+VALUE(LEFT(Table132[[#This Row],[next move]],1))*3,1)</f>
        <v>V</v>
      </c>
      <c r="I6659" t="str">
        <f>Table132[[#This Row],[ÉTAT]]&amp;Table132[[#This Row],[next move]]</f>
        <v>EEMEMMVVE20</v>
      </c>
    </row>
    <row r="6660" spans="2:9" x14ac:dyDescent="0.25">
      <c r="B6660" t="s">
        <v>320</v>
      </c>
      <c r="C6660" s="22" t="s">
        <v>35</v>
      </c>
      <c r="D6660">
        <v>6</v>
      </c>
      <c r="E6660">
        <v>6</v>
      </c>
      <c r="G6660" s="31">
        <f>Table132[[#This Row],[nb win]]/Table132[[#This Row],[nb play]]</f>
        <v>1</v>
      </c>
      <c r="H6660" t="str">
        <f>MID(Table132[[#This Row],[ÉTAT]],VALUE(RIGHT(Table132[[#This Row],[next move]],1))+1+VALUE(LEFT(Table132[[#This Row],[next move]],1))*3,1)</f>
        <v>V</v>
      </c>
      <c r="I6660" t="str">
        <f>Table132[[#This Row],[ÉTAT]]&amp;Table132[[#This Row],[next move]]</f>
        <v>EEMEMMVME20</v>
      </c>
    </row>
    <row r="6661" spans="2:9" x14ac:dyDescent="0.25">
      <c r="B6661" t="s">
        <v>705</v>
      </c>
      <c r="C6661" s="22" t="s">
        <v>35</v>
      </c>
      <c r="D6661">
        <v>1</v>
      </c>
      <c r="E6661">
        <v>1</v>
      </c>
      <c r="G6661" s="25">
        <f>Table132[[#This Row],[nb win]]/Table132[[#This Row],[nb play]]</f>
        <v>1</v>
      </c>
      <c r="H6661" t="str">
        <f>MID(Table132[[#This Row],[ÉTAT]],VALUE(RIGHT(Table132[[#This Row],[next move]],1))+1+VALUE(LEFT(Table132[[#This Row],[next move]],1))*3,1)</f>
        <v>V</v>
      </c>
      <c r="I6661" t="str">
        <f>Table132[[#This Row],[ÉTAT]]&amp;Table132[[#This Row],[next move]]</f>
        <v>EEMEMEVVM20</v>
      </c>
    </row>
    <row r="6662" spans="2:9" x14ac:dyDescent="0.25">
      <c r="B6662" t="s">
        <v>705</v>
      </c>
      <c r="C6662" s="22" t="s">
        <v>22</v>
      </c>
      <c r="D6662">
        <v>3</v>
      </c>
      <c r="G6662" s="25">
        <f>Table132[[#This Row],[nb win]]/Table132[[#This Row],[nb play]]</f>
        <v>0</v>
      </c>
      <c r="H6662" t="str">
        <f>MID(Table132[[#This Row],[ÉTAT]],VALUE(RIGHT(Table132[[#This Row],[next move]],1))+1+VALUE(LEFT(Table132[[#This Row],[next move]],1))*3,1)</f>
        <v>V</v>
      </c>
      <c r="I6662" t="str">
        <f>Table132[[#This Row],[ÉTAT]]&amp;Table132[[#This Row],[next move]]</f>
        <v>EEMEMEVVM21</v>
      </c>
    </row>
    <row r="6663" spans="2:9" x14ac:dyDescent="0.25">
      <c r="B6663" t="s">
        <v>2819</v>
      </c>
      <c r="C6663" s="22" t="s">
        <v>35</v>
      </c>
      <c r="D6663">
        <v>2</v>
      </c>
      <c r="E6663">
        <v>2</v>
      </c>
      <c r="G6663" s="25">
        <f>Table132[[#This Row],[nb win]]/Table132[[#This Row],[nb play]]</f>
        <v>1</v>
      </c>
      <c r="H6663" t="str">
        <f>MID(Table132[[#This Row],[ÉTAT]],VALUE(RIGHT(Table132[[#This Row],[next move]],1))+1+VALUE(LEFT(Table132[[#This Row],[next move]],1))*3,1)</f>
        <v>V</v>
      </c>
      <c r="I6663" t="str">
        <f>Table132[[#This Row],[ÉTAT]]&amp;Table132[[#This Row],[next move]]</f>
        <v>EEMEMEVMV20</v>
      </c>
    </row>
    <row r="6664" spans="2:9" x14ac:dyDescent="0.25">
      <c r="B6664" t="s">
        <v>1364</v>
      </c>
      <c r="C6664" s="22" t="s">
        <v>35</v>
      </c>
      <c r="D6664">
        <v>3</v>
      </c>
      <c r="E6664">
        <v>3</v>
      </c>
      <c r="G6664" s="31">
        <f>Table132[[#This Row],[nb win]]/Table132[[#This Row],[nb play]]</f>
        <v>1</v>
      </c>
      <c r="H6664" t="str">
        <f>MID(Table132[[#This Row],[ÉTAT]],VALUE(RIGHT(Table132[[#This Row],[next move]],1))+1+VALUE(LEFT(Table132[[#This Row],[next move]],1))*3,1)</f>
        <v>V</v>
      </c>
      <c r="I6664" t="str">
        <f>Table132[[#This Row],[ÉTAT]]&amp;Table132[[#This Row],[next move]]</f>
        <v>EEMEMEVMM20</v>
      </c>
    </row>
    <row r="6665" spans="2:9" x14ac:dyDescent="0.25">
      <c r="B6665" t="s">
        <v>1575</v>
      </c>
      <c r="C6665" s="22" t="s">
        <v>28</v>
      </c>
      <c r="D6665">
        <v>3</v>
      </c>
      <c r="E6665">
        <v>3</v>
      </c>
      <c r="G6665" s="31">
        <f>Table132[[#This Row],[nb win]]/Table132[[#This Row],[nb play]]</f>
        <v>1</v>
      </c>
      <c r="H6665" t="str">
        <f>MID(Table132[[#This Row],[ÉTAT]],VALUE(RIGHT(Table132[[#This Row],[next move]],1))+1+VALUE(LEFT(Table132[[#This Row],[next move]],1))*3,1)</f>
        <v>V</v>
      </c>
      <c r="I6665" t="str">
        <f>Table132[[#This Row],[ÉTAT]]&amp;Table132[[#This Row],[next move]]</f>
        <v>EEMEEVVMM12</v>
      </c>
    </row>
    <row r="6666" spans="2:9" x14ac:dyDescent="0.25">
      <c r="B6666" t="s">
        <v>525</v>
      </c>
      <c r="C6666" s="22" t="s">
        <v>28</v>
      </c>
      <c r="D6666">
        <v>1</v>
      </c>
      <c r="E6666">
        <v>1</v>
      </c>
      <c r="G6666" s="25">
        <f>Table132[[#This Row],[nb win]]/Table132[[#This Row],[nb play]]</f>
        <v>1</v>
      </c>
      <c r="H6666" t="str">
        <f>MID(Table132[[#This Row],[ÉTAT]],VALUE(RIGHT(Table132[[#This Row],[next move]],1))+1+VALUE(LEFT(Table132[[#This Row],[next move]],1))*3,1)</f>
        <v>V</v>
      </c>
      <c r="I6666" t="str">
        <f>Table132[[#This Row],[ÉTAT]]&amp;Table132[[#This Row],[next move]]</f>
        <v>EEMEEVMVM12</v>
      </c>
    </row>
    <row r="6667" spans="2:9" x14ac:dyDescent="0.25">
      <c r="B6667" t="s">
        <v>525</v>
      </c>
      <c r="C6667" s="22" t="s">
        <v>22</v>
      </c>
      <c r="D6667">
        <v>1</v>
      </c>
      <c r="E6667">
        <v>1</v>
      </c>
      <c r="G6667" s="25">
        <f>Table132[[#This Row],[nb win]]/Table132[[#This Row],[nb play]]</f>
        <v>1</v>
      </c>
      <c r="H6667" t="str">
        <f>MID(Table132[[#This Row],[ÉTAT]],VALUE(RIGHT(Table132[[#This Row],[next move]],1))+1+VALUE(LEFT(Table132[[#This Row],[next move]],1))*3,1)</f>
        <v>V</v>
      </c>
      <c r="I6667" t="str">
        <f>Table132[[#This Row],[ÉTAT]]&amp;Table132[[#This Row],[next move]]</f>
        <v>EEMEEVMVM21</v>
      </c>
    </row>
    <row r="6668" spans="2:9" x14ac:dyDescent="0.25">
      <c r="B6668" t="s">
        <v>1179</v>
      </c>
      <c r="C6668" s="22" t="s">
        <v>31</v>
      </c>
      <c r="D6668">
        <v>5</v>
      </c>
      <c r="E6668">
        <v>5</v>
      </c>
      <c r="G6668" s="31">
        <f>Table132[[#This Row],[nb win]]/Table132[[#This Row],[nb play]]</f>
        <v>1</v>
      </c>
      <c r="H6668" t="str">
        <f>MID(Table132[[#This Row],[ÉTAT]],VALUE(RIGHT(Table132[[#This Row],[next move]],1))+1+VALUE(LEFT(Table132[[#This Row],[next move]],1))*3,1)</f>
        <v>V</v>
      </c>
      <c r="I6668" t="str">
        <f>Table132[[#This Row],[ÉTAT]]&amp;Table132[[#This Row],[next move]]</f>
        <v>EEMEEVMMV22</v>
      </c>
    </row>
    <row r="6669" spans="2:9" x14ac:dyDescent="0.25">
      <c r="B6669" t="s">
        <v>1082</v>
      </c>
      <c r="C6669" s="22" t="s">
        <v>35</v>
      </c>
      <c r="D6669">
        <v>1</v>
      </c>
      <c r="G6669" s="25">
        <f>Table132[[#This Row],[nb win]]/Table132[[#This Row],[nb play]]</f>
        <v>0</v>
      </c>
      <c r="H6669" t="str">
        <f>MID(Table132[[#This Row],[ÉTAT]],VALUE(RIGHT(Table132[[#This Row],[next move]],1))+1+VALUE(LEFT(Table132[[#This Row],[next move]],1))*3,1)</f>
        <v>V</v>
      </c>
      <c r="I6669" t="str">
        <f>Table132[[#This Row],[ÉTAT]]&amp;Table132[[#This Row],[next move]]</f>
        <v>EEMEEMVMV20</v>
      </c>
    </row>
    <row r="6670" spans="2:9" x14ac:dyDescent="0.25">
      <c r="B6670" t="s">
        <v>1082</v>
      </c>
      <c r="C6670" s="22" t="s">
        <v>31</v>
      </c>
      <c r="D6670">
        <v>1</v>
      </c>
      <c r="E6670">
        <v>1</v>
      </c>
      <c r="G6670" s="31">
        <f>Table132[[#This Row],[nb win]]/Table132[[#This Row],[nb play]]</f>
        <v>1</v>
      </c>
      <c r="H6670" t="str">
        <f>MID(Table132[[#This Row],[ÉTAT]],VALUE(RIGHT(Table132[[#This Row],[next move]],1))+1+VALUE(LEFT(Table132[[#This Row],[next move]],1))*3,1)</f>
        <v>V</v>
      </c>
      <c r="I6670" t="str">
        <f>Table132[[#This Row],[ÉTAT]]&amp;Table132[[#This Row],[next move]]</f>
        <v>EEMEEMVMV22</v>
      </c>
    </row>
    <row r="6671" spans="2:9" x14ac:dyDescent="0.25">
      <c r="B6671" t="s">
        <v>2862</v>
      </c>
      <c r="C6671" s="22" t="s">
        <v>31</v>
      </c>
      <c r="D6671">
        <v>1</v>
      </c>
      <c r="E6671">
        <v>1</v>
      </c>
      <c r="G6671" s="25">
        <f>Table132[[#This Row],[nb win]]/Table132[[#This Row],[nb play]]</f>
        <v>1</v>
      </c>
      <c r="H6671" t="str">
        <f>MID(Table132[[#This Row],[ÉTAT]],VALUE(RIGHT(Table132[[#This Row],[next move]],1))+1+VALUE(LEFT(Table132[[#This Row],[next move]],1))*3,1)</f>
        <v>V</v>
      </c>
      <c r="I6671" t="str">
        <f>Table132[[#This Row],[ÉTAT]]&amp;Table132[[#This Row],[next move]]</f>
        <v>EEMEEMMMV22</v>
      </c>
    </row>
    <row r="6672" spans="2:9" x14ac:dyDescent="0.25">
      <c r="B6672" t="s">
        <v>615</v>
      </c>
      <c r="C6672" s="22" t="s">
        <v>30</v>
      </c>
      <c r="D6672">
        <v>2</v>
      </c>
      <c r="E6672">
        <v>2</v>
      </c>
      <c r="G6672" s="31">
        <f>Table132[[#This Row],[nb win]]/Table132[[#This Row],[nb play]]</f>
        <v>1</v>
      </c>
      <c r="H6672" t="str">
        <f>MID(Table132[[#This Row],[ÉTAT]],VALUE(RIGHT(Table132[[#This Row],[next move]],1))+1+VALUE(LEFT(Table132[[#This Row],[next move]],1))*3,1)</f>
        <v>V</v>
      </c>
      <c r="I6672" t="str">
        <f>Table132[[#This Row],[ÉTAT]]&amp;Table132[[#This Row],[next move]]</f>
        <v>VVEVMVVVE10</v>
      </c>
    </row>
    <row r="6673" spans="2:9" x14ac:dyDescent="0.25">
      <c r="B6673" t="s">
        <v>125</v>
      </c>
      <c r="C6673" s="22" t="s">
        <v>30</v>
      </c>
      <c r="D6673">
        <v>1</v>
      </c>
      <c r="E6673">
        <v>1</v>
      </c>
      <c r="G6673" s="31">
        <f>Table132[[#This Row],[nb win]]/Table132[[#This Row],[nb play]]</f>
        <v>1</v>
      </c>
      <c r="H6673" s="26" t="str">
        <f>MID(Table132[[#This Row],[ÉTAT]],VALUE(RIGHT(Table132[[#This Row],[next move]],1))+1+VALUE(LEFT(Table132[[#This Row],[next move]],1))*3,1)</f>
        <v>V</v>
      </c>
      <c r="I6673" s="26" t="str">
        <f>Table132[[#This Row],[ÉTAT]]&amp;Table132[[#This Row],[next move]]</f>
        <v>MVVVVEVVV10</v>
      </c>
    </row>
    <row r="6674" spans="2:9" x14ac:dyDescent="0.25">
      <c r="B6674" t="s">
        <v>491</v>
      </c>
      <c r="C6674" s="22" t="s">
        <v>26</v>
      </c>
      <c r="D6674">
        <v>1</v>
      </c>
      <c r="E6674">
        <v>1</v>
      </c>
      <c r="G6674" s="31">
        <f>Table132[[#This Row],[nb win]]/Table132[[#This Row],[nb play]]</f>
        <v>1</v>
      </c>
      <c r="H6674" s="26" t="str">
        <f>MID(Table132[[#This Row],[ÉTAT]],VALUE(RIGHT(Table132[[#This Row],[next move]],1))+1+VALUE(LEFT(Table132[[#This Row],[next move]],1))*3,1)</f>
        <v>V</v>
      </c>
      <c r="I6674" s="26" t="str">
        <f>Table132[[#This Row],[ÉTAT]]&amp;Table132[[#This Row],[next move]]</f>
        <v>MVVMVEVVE01</v>
      </c>
    </row>
    <row r="6675" spans="2:9" x14ac:dyDescent="0.25">
      <c r="B6675" t="s">
        <v>3518</v>
      </c>
      <c r="C6675" s="22" t="s">
        <v>35</v>
      </c>
      <c r="D6675">
        <v>1</v>
      </c>
      <c r="G6675" s="30">
        <f>Table132[[#This Row],[nb win]]/Table132[[#This Row],[nb play]]</f>
        <v>0</v>
      </c>
      <c r="H6675" s="26" t="str">
        <f>MID(Table132[[#This Row],[ÉTAT]],VALUE(RIGHT(Table132[[#This Row],[next move]],1))+1+VALUE(LEFT(Table132[[#This Row],[next move]],1))*3,1)</f>
        <v>V</v>
      </c>
      <c r="I6675" s="26" t="str">
        <f>Table132[[#This Row],[ÉTAT]]&amp;Table132[[#This Row],[next move]]</f>
        <v>EEVEVMVVM20</v>
      </c>
    </row>
    <row r="6676" spans="2:9" x14ac:dyDescent="0.25">
      <c r="B6676" t="s">
        <v>3519</v>
      </c>
      <c r="C6676" s="22" t="s">
        <v>20</v>
      </c>
      <c r="D6676">
        <v>1</v>
      </c>
      <c r="E6676">
        <v>1</v>
      </c>
      <c r="G6676" s="31">
        <f>Table132[[#This Row],[nb win]]/Table132[[#This Row],[nb play]]</f>
        <v>1</v>
      </c>
      <c r="H6676" s="26" t="str">
        <f>MID(Table132[[#This Row],[ÉTAT]],VALUE(RIGHT(Table132[[#This Row],[next move]],1))+1+VALUE(LEFT(Table132[[#This Row],[next move]],1))*3,1)</f>
        <v>V</v>
      </c>
      <c r="I6676" s="26" t="str">
        <f>Table132[[#This Row],[ÉTAT]]&amp;Table132[[#This Row],[next move]]</f>
        <v>MMVMVEEVE02</v>
      </c>
    </row>
    <row r="6677" spans="2:9" x14ac:dyDescent="0.25">
      <c r="B6677" t="s">
        <v>421</v>
      </c>
      <c r="C6677" s="22" t="s">
        <v>31</v>
      </c>
      <c r="D6677">
        <v>1</v>
      </c>
      <c r="G6677" s="30">
        <f>Table132[[#This Row],[nb win]]/Table132[[#This Row],[nb play]]</f>
        <v>0</v>
      </c>
      <c r="H6677" s="26" t="str">
        <f>MID(Table132[[#This Row],[ÉTAT]],VALUE(RIGHT(Table132[[#This Row],[next move]],1))+1+VALUE(LEFT(Table132[[#This Row],[next move]],1))*3,1)</f>
        <v>V</v>
      </c>
      <c r="I6677" s="26" t="str">
        <f>Table132[[#This Row],[ÉTAT]]&amp;Table132[[#This Row],[next move]]</f>
        <v>VEEMVVVVV22</v>
      </c>
    </row>
    <row r="6678" spans="2:9" x14ac:dyDescent="0.25">
      <c r="B6678" t="s">
        <v>3520</v>
      </c>
      <c r="C6678" s="22" t="s">
        <v>28</v>
      </c>
      <c r="D6678">
        <v>1</v>
      </c>
      <c r="E6678">
        <v>1</v>
      </c>
      <c r="G6678" s="31">
        <f>Table132[[#This Row],[nb win]]/Table132[[#This Row],[nb play]]</f>
        <v>1</v>
      </c>
      <c r="H6678" s="26" t="str">
        <f>MID(Table132[[#This Row],[ÉTAT]],VALUE(RIGHT(Table132[[#This Row],[next move]],1))+1+VALUE(LEFT(Table132[[#This Row],[next move]],1))*3,1)</f>
        <v>V</v>
      </c>
      <c r="I6678" s="26" t="str">
        <f>Table132[[#This Row],[ÉTAT]]&amp;Table132[[#This Row],[next move]]</f>
        <v>VMMEVVVVE12</v>
      </c>
    </row>
    <row r="6679" spans="2:9" x14ac:dyDescent="0.25">
      <c r="B6679" t="s">
        <v>3521</v>
      </c>
      <c r="C6679" s="22" t="s">
        <v>29</v>
      </c>
      <c r="D6679">
        <v>1</v>
      </c>
      <c r="G6679" s="30">
        <f>Table132[[#This Row],[nb win]]/Table132[[#This Row],[nb play]]</f>
        <v>0</v>
      </c>
      <c r="H6679" s="26" t="str">
        <f>MID(Table132[[#This Row],[ÉTAT]],VALUE(RIGHT(Table132[[#This Row],[next move]],1))+1+VALUE(LEFT(Table132[[#This Row],[next move]],1))*3,1)</f>
        <v>V</v>
      </c>
      <c r="I6679" s="26" t="str">
        <f>Table132[[#This Row],[ÉTAT]]&amp;Table132[[#This Row],[next move]]</f>
        <v>VEEMVEVVM11</v>
      </c>
    </row>
    <row r="6680" spans="2:9" x14ac:dyDescent="0.25">
      <c r="B6680" t="s">
        <v>3522</v>
      </c>
      <c r="C6680" s="22" t="s">
        <v>22</v>
      </c>
      <c r="D6680">
        <v>1</v>
      </c>
      <c r="E6680">
        <v>1</v>
      </c>
      <c r="G6680" s="31">
        <f>Table132[[#This Row],[nb win]]/Table132[[#This Row],[nb play]]</f>
        <v>1</v>
      </c>
      <c r="H6680" s="26" t="str">
        <f>MID(Table132[[#This Row],[ÉTAT]],VALUE(RIGHT(Table132[[#This Row],[next move]],1))+1+VALUE(LEFT(Table132[[#This Row],[next move]],1))*3,1)</f>
        <v>V</v>
      </c>
      <c r="I6680" s="26" t="str">
        <f>Table132[[#This Row],[ÉTAT]]&amp;Table132[[#This Row],[next move]]</f>
        <v>VMMEEMVVE21</v>
      </c>
    </row>
    <row r="6681" spans="2:9" x14ac:dyDescent="0.25">
      <c r="B6681" t="s">
        <v>3523</v>
      </c>
      <c r="C6681" s="22" t="s">
        <v>35</v>
      </c>
      <c r="D6681">
        <v>1</v>
      </c>
      <c r="G6681" s="30">
        <f>Table132[[#This Row],[nb win]]/Table132[[#This Row],[nb play]]</f>
        <v>0</v>
      </c>
      <c r="H6681" s="26" t="str">
        <f>MID(Table132[[#This Row],[ÉTAT]],VALUE(RIGHT(Table132[[#This Row],[next move]],1))+1+VALUE(LEFT(Table132[[#This Row],[next move]],1))*3,1)</f>
        <v>V</v>
      </c>
      <c r="I6681" s="26" t="str">
        <f>Table132[[#This Row],[ÉTAT]]&amp;Table132[[#This Row],[next move]]</f>
        <v>VEEMMEVEM20</v>
      </c>
    </row>
    <row r="6682" spans="2:9" x14ac:dyDescent="0.25">
      <c r="B6682" t="s">
        <v>2993</v>
      </c>
      <c r="C6682" s="22" t="s">
        <v>35</v>
      </c>
      <c r="D6682">
        <v>1</v>
      </c>
      <c r="G6682" s="30">
        <f>Table132[[#This Row],[nb win]]/Table132[[#This Row],[nb play]]</f>
        <v>0</v>
      </c>
      <c r="H6682" s="26" t="str">
        <f>MID(Table132[[#This Row],[ÉTAT]],VALUE(RIGHT(Table132[[#This Row],[next move]],1))+1+VALUE(LEFT(Table132[[#This Row],[next move]],1))*3,1)</f>
        <v>V</v>
      </c>
      <c r="I6682" s="26" t="str">
        <f>Table132[[#This Row],[ÉTAT]]&amp;Table132[[#This Row],[next move]]</f>
        <v>EEMVVVVVV20</v>
      </c>
    </row>
    <row r="6683" spans="2:9" x14ac:dyDescent="0.25">
      <c r="B6683" t="s">
        <v>1713</v>
      </c>
      <c r="C6683" s="22" t="s">
        <v>31</v>
      </c>
      <c r="D6683">
        <v>1</v>
      </c>
      <c r="E6683">
        <v>1</v>
      </c>
      <c r="G6683" s="31">
        <f>Table132[[#This Row],[nb win]]/Table132[[#This Row],[nb play]]</f>
        <v>1</v>
      </c>
      <c r="H6683" s="26" t="str">
        <f>MID(Table132[[#This Row],[ÉTAT]],VALUE(RIGHT(Table132[[#This Row],[next move]],1))+1+VALUE(LEFT(Table132[[#This Row],[next move]],1))*3,1)</f>
        <v>V</v>
      </c>
      <c r="I6683" s="26" t="str">
        <f>Table132[[#This Row],[ÉTAT]]&amp;Table132[[#This Row],[next move]]</f>
        <v>MMEVVVEVV22</v>
      </c>
    </row>
    <row r="6684" spans="2:9" x14ac:dyDescent="0.25">
      <c r="B6684" t="s">
        <v>3054</v>
      </c>
      <c r="C6684" s="22" t="s">
        <v>28</v>
      </c>
      <c r="D6684">
        <v>1</v>
      </c>
      <c r="G6684" s="30">
        <f>Table132[[#This Row],[nb win]]/Table132[[#This Row],[nb play]]</f>
        <v>0</v>
      </c>
      <c r="H6684" s="26" t="str">
        <f>MID(Table132[[#This Row],[ÉTAT]],VALUE(RIGHT(Table132[[#This Row],[next move]],1))+1+VALUE(LEFT(Table132[[#This Row],[next move]],1))*3,1)</f>
        <v>V</v>
      </c>
      <c r="I6684" s="26" t="str">
        <f>Table132[[#This Row],[ÉTAT]]&amp;Table132[[#This Row],[next move]]</f>
        <v>EEMVVVMVE12</v>
      </c>
    </row>
    <row r="6685" spans="2:9" x14ac:dyDescent="0.25">
      <c r="B6685" t="s">
        <v>3524</v>
      </c>
      <c r="C6685" s="22" t="s">
        <v>22</v>
      </c>
      <c r="D6685">
        <v>1</v>
      </c>
      <c r="E6685">
        <v>1</v>
      </c>
      <c r="G6685" s="31">
        <f>Table132[[#This Row],[nb win]]/Table132[[#This Row],[nb play]]</f>
        <v>1</v>
      </c>
      <c r="H6685" s="26" t="str">
        <f>MID(Table132[[#This Row],[ÉTAT]],VALUE(RIGHT(Table132[[#This Row],[next move]],1))+1+VALUE(LEFT(Table132[[#This Row],[next move]],1))*3,1)</f>
        <v>V</v>
      </c>
      <c r="I6685" s="26" t="str">
        <f>Table132[[#This Row],[ÉTAT]]&amp;Table132[[#This Row],[next move]]</f>
        <v>MMEVVEEVM21</v>
      </c>
    </row>
    <row r="6686" spans="2:9" x14ac:dyDescent="0.25">
      <c r="B6686" t="s">
        <v>3525</v>
      </c>
      <c r="C6686" s="22" t="s">
        <v>30</v>
      </c>
      <c r="D6686">
        <v>1</v>
      </c>
      <c r="G6686" s="30">
        <f>Table132[[#This Row],[nb win]]/Table132[[#This Row],[nb play]]</f>
        <v>0</v>
      </c>
      <c r="H6686" s="26" t="str">
        <f>MID(Table132[[#This Row],[ÉTAT]],VALUE(RIGHT(Table132[[#This Row],[next move]],1))+1+VALUE(LEFT(Table132[[#This Row],[next move]],1))*3,1)</f>
        <v>V</v>
      </c>
      <c r="I6686" s="26" t="str">
        <f>Table132[[#This Row],[ÉTAT]]&amp;Table132[[#This Row],[next move]]</f>
        <v>EEMVVMMEE10</v>
      </c>
    </row>
    <row r="6687" spans="2:9" x14ac:dyDescent="0.25">
      <c r="B6687" t="s">
        <v>2993</v>
      </c>
      <c r="C6687" s="22" t="s">
        <v>31</v>
      </c>
      <c r="D6687">
        <v>1</v>
      </c>
      <c r="E6687">
        <v>1</v>
      </c>
      <c r="G6687" s="31">
        <f>Table132[[#This Row],[nb win]]/Table132[[#This Row],[nb play]]</f>
        <v>1</v>
      </c>
      <c r="H6687" s="26" t="str">
        <f>MID(Table132[[#This Row],[ÉTAT]],VALUE(RIGHT(Table132[[#This Row],[next move]],1))+1+VALUE(LEFT(Table132[[#This Row],[next move]],1))*3,1)</f>
        <v>V</v>
      </c>
      <c r="I6687" s="26" t="str">
        <f>Table132[[#This Row],[ÉTAT]]&amp;Table132[[#This Row],[next move]]</f>
        <v>EEMVVVVVV22</v>
      </c>
    </row>
    <row r="6688" spans="2:9" x14ac:dyDescent="0.25">
      <c r="B6688" t="s">
        <v>2481</v>
      </c>
      <c r="C6688" s="22" t="s">
        <v>35</v>
      </c>
      <c r="D6688">
        <v>1</v>
      </c>
      <c r="G6688" s="30">
        <f>Table132[[#This Row],[nb win]]/Table132[[#This Row],[nb play]]</f>
        <v>0</v>
      </c>
      <c r="H6688" s="26" t="str">
        <f>MID(Table132[[#This Row],[ÉTAT]],VALUE(RIGHT(Table132[[#This Row],[next move]],1))+1+VALUE(LEFT(Table132[[#This Row],[next move]],1))*3,1)</f>
        <v>V</v>
      </c>
      <c r="I6688" s="26" t="str">
        <f>Table132[[#This Row],[ÉTAT]]&amp;Table132[[#This Row],[next move]]</f>
        <v>MMEVVVVVE20</v>
      </c>
    </row>
    <row r="6689" spans="2:9" x14ac:dyDescent="0.25">
      <c r="B6689" t="s">
        <v>3526</v>
      </c>
      <c r="C6689" s="22" t="s">
        <v>28</v>
      </c>
      <c r="D6689">
        <v>1</v>
      </c>
      <c r="E6689">
        <v>1</v>
      </c>
      <c r="G6689" s="31">
        <f>Table132[[#This Row],[nb win]]/Table132[[#This Row],[nb play]]</f>
        <v>1</v>
      </c>
      <c r="H6689" s="26" t="str">
        <f>MID(Table132[[#This Row],[ÉTAT]],VALUE(RIGHT(Table132[[#This Row],[next move]],1))+1+VALUE(LEFT(Table132[[#This Row],[next move]],1))*3,1)</f>
        <v>V</v>
      </c>
      <c r="I6689" s="26" t="str">
        <f>Table132[[#This Row],[ÉTAT]]&amp;Table132[[#This Row],[next move]]</f>
        <v>EEMVVVEVM12</v>
      </c>
    </row>
    <row r="6690" spans="2:9" x14ac:dyDescent="0.25">
      <c r="B6690" t="s">
        <v>125</v>
      </c>
      <c r="C6690" s="22" t="s">
        <v>26</v>
      </c>
      <c r="D6690">
        <v>1</v>
      </c>
      <c r="G6690" s="30">
        <f>Table132[[#This Row],[nb win]]/Table132[[#This Row],[nb play]]</f>
        <v>0</v>
      </c>
      <c r="H6690" s="26" t="str">
        <f>MID(Table132[[#This Row],[ÉTAT]],VALUE(RIGHT(Table132[[#This Row],[next move]],1))+1+VALUE(LEFT(Table132[[#This Row],[next move]],1))*3,1)</f>
        <v>V</v>
      </c>
      <c r="I6690" s="26" t="str">
        <f>Table132[[#This Row],[ÉTAT]]&amp;Table132[[#This Row],[next move]]</f>
        <v>MVVVVEVVV01</v>
      </c>
    </row>
    <row r="6691" spans="2:9" x14ac:dyDescent="0.25">
      <c r="B6691" t="s">
        <v>3467</v>
      </c>
      <c r="C6691" s="22" t="s">
        <v>29</v>
      </c>
      <c r="D6691">
        <v>2</v>
      </c>
      <c r="E6691">
        <v>1</v>
      </c>
      <c r="G6691" s="30">
        <f>Table132[[#This Row],[nb win]]/Table132[[#This Row],[nb play]]</f>
        <v>0.5</v>
      </c>
      <c r="H6691" s="26" t="str">
        <f>MID(Table132[[#This Row],[ÉTAT]],VALUE(RIGHT(Table132[[#This Row],[next move]],1))+1+VALUE(LEFT(Table132[[#This Row],[next move]],1))*3,1)</f>
        <v>V</v>
      </c>
      <c r="I6691" s="26" t="str">
        <f>Table132[[#This Row],[ÉTAT]]&amp;Table132[[#This Row],[next move]]</f>
        <v>EEVVVMVVV11</v>
      </c>
    </row>
    <row r="6692" spans="2:9" x14ac:dyDescent="0.25">
      <c r="B6692" t="s">
        <v>3283</v>
      </c>
      <c r="C6692" s="22" t="s">
        <v>22</v>
      </c>
      <c r="D6692">
        <v>1</v>
      </c>
      <c r="G6692" s="30">
        <f>Table132[[#This Row],[nb win]]/Table132[[#This Row],[nb play]]</f>
        <v>0</v>
      </c>
      <c r="H6692" s="26" t="str">
        <f>MID(Table132[[#This Row],[ÉTAT]],VALUE(RIGHT(Table132[[#This Row],[next move]],1))+1+VALUE(LEFT(Table132[[#This Row],[next move]],1))*3,1)</f>
        <v>V</v>
      </c>
      <c r="I6692" s="26" t="str">
        <f>Table132[[#This Row],[ÉTAT]]&amp;Table132[[#This Row],[next move]]</f>
        <v>MMVVEEVVV21</v>
      </c>
    </row>
    <row r="6693" spans="2:9" x14ac:dyDescent="0.25">
      <c r="B6693" t="s">
        <v>2419</v>
      </c>
      <c r="C6693" s="22" t="s">
        <v>30</v>
      </c>
      <c r="D6693">
        <v>1</v>
      </c>
      <c r="E6693">
        <v>1</v>
      </c>
      <c r="G6693" s="31">
        <f>Table132[[#This Row],[nb win]]/Table132[[#This Row],[nb play]]</f>
        <v>1</v>
      </c>
      <c r="H6693" s="26" t="str">
        <f>MID(Table132[[#This Row],[ÉTAT]],VALUE(RIGHT(Table132[[#This Row],[next move]],1))+1+VALUE(LEFT(Table132[[#This Row],[next move]],1))*3,1)</f>
        <v>V</v>
      </c>
      <c r="I6693" s="26" t="str">
        <f>Table132[[#This Row],[ÉTAT]]&amp;Table132[[#This Row],[next move]]</f>
        <v>EEVVMMVEV10</v>
      </c>
    </row>
    <row r="6694" spans="2:9" x14ac:dyDescent="0.25">
      <c r="B6694" t="s">
        <v>3462</v>
      </c>
      <c r="C6694" s="22" t="s">
        <v>20</v>
      </c>
      <c r="D6694">
        <v>1</v>
      </c>
      <c r="E6694">
        <v>1</v>
      </c>
      <c r="G6694" s="31">
        <f>Table132[[#This Row],[nb win]]/Table132[[#This Row],[nb play]]</f>
        <v>1</v>
      </c>
      <c r="H6694" s="26" t="str">
        <f>MID(Table132[[#This Row],[ÉTAT]],VALUE(RIGHT(Table132[[#This Row],[next move]],1))+1+VALUE(LEFT(Table132[[#This Row],[next move]],1))*3,1)</f>
        <v>V</v>
      </c>
      <c r="I6694" s="26" t="str">
        <f>Table132[[#This Row],[ÉTAT]]&amp;Table132[[#This Row],[next move]]</f>
        <v>VEVEVMVVV02</v>
      </c>
    </row>
    <row r="6695" spans="2:9" x14ac:dyDescent="0.25">
      <c r="B6695" t="s">
        <v>1822</v>
      </c>
      <c r="C6695" s="22" t="s">
        <v>29</v>
      </c>
      <c r="D6695">
        <v>1</v>
      </c>
      <c r="G6695" s="30">
        <f>Table132[[#This Row],[nb win]]/Table132[[#This Row],[nb play]]</f>
        <v>0</v>
      </c>
      <c r="H6695" s="26" t="str">
        <f>MID(Table132[[#This Row],[ÉTAT]],VALUE(RIGHT(Table132[[#This Row],[next move]],1))+1+VALUE(LEFT(Table132[[#This Row],[next move]],1))*3,1)</f>
        <v>V</v>
      </c>
      <c r="I6695" s="26" t="str">
        <f>Table132[[#This Row],[ÉTAT]]&amp;Table132[[#This Row],[next move]]</f>
        <v>VMEMVEVVV11</v>
      </c>
    </row>
    <row r="6696" spans="2:9" x14ac:dyDescent="0.25">
      <c r="B6696" t="s">
        <v>3527</v>
      </c>
      <c r="C6696" s="22" t="s">
        <v>31</v>
      </c>
      <c r="D6696">
        <v>1</v>
      </c>
      <c r="E6696">
        <v>1</v>
      </c>
      <c r="G6696" s="31">
        <f>Table132[[#This Row],[nb win]]/Table132[[#This Row],[nb play]]</f>
        <v>1</v>
      </c>
      <c r="H6696" s="26" t="str">
        <f>MID(Table132[[#This Row],[ÉTAT]],VALUE(RIGHT(Table132[[#This Row],[next move]],1))+1+VALUE(LEFT(Table132[[#This Row],[next move]],1))*3,1)</f>
        <v>V</v>
      </c>
      <c r="I6696" s="26" t="str">
        <f>Table132[[#This Row],[ÉTAT]]&amp;Table132[[#This Row],[next move]]</f>
        <v>VEMEEMVVV22</v>
      </c>
    </row>
    <row r="6697" spans="2:9" x14ac:dyDescent="0.25">
      <c r="B6697" t="s">
        <v>3199</v>
      </c>
      <c r="C6697" s="22" t="s">
        <v>31</v>
      </c>
      <c r="D6697">
        <v>1</v>
      </c>
      <c r="G6697" s="30">
        <f>Table132[[#This Row],[nb win]]/Table132[[#This Row],[nb play]]</f>
        <v>0</v>
      </c>
      <c r="H6697" s="26" t="str">
        <f>MID(Table132[[#This Row],[ÉTAT]],VALUE(RIGHT(Table132[[#This Row],[next move]],1))+1+VALUE(LEFT(Table132[[#This Row],[next move]],1))*3,1)</f>
        <v>V</v>
      </c>
      <c r="I6697" s="26" t="str">
        <f>Table132[[#This Row],[ÉTAT]]&amp;Table132[[#This Row],[next move]]</f>
        <v>VMEVVEVVV22</v>
      </c>
    </row>
    <row r="6698" spans="2:9" x14ac:dyDescent="0.25">
      <c r="B6698" t="s">
        <v>3528</v>
      </c>
      <c r="C6698" s="22" t="s">
        <v>22</v>
      </c>
      <c r="D6698">
        <v>1</v>
      </c>
      <c r="E6698">
        <v>1</v>
      </c>
      <c r="G6698" s="31">
        <f>Table132[[#This Row],[nb win]]/Table132[[#This Row],[nb play]]</f>
        <v>1</v>
      </c>
      <c r="H6698" s="26" t="str">
        <f>MID(Table132[[#This Row],[ÉTAT]],VALUE(RIGHT(Table132[[#This Row],[next move]],1))+1+VALUE(LEFT(Table132[[#This Row],[next move]],1))*3,1)</f>
        <v>V</v>
      </c>
      <c r="I6698" s="26" t="str">
        <f>Table132[[#This Row],[ÉTAT]]&amp;Table132[[#This Row],[next move]]</f>
        <v>VEMVVMVVE21</v>
      </c>
    </row>
    <row r="6699" spans="2:9" x14ac:dyDescent="0.25">
      <c r="B6699" t="s">
        <v>3529</v>
      </c>
      <c r="C6699" s="22" t="s">
        <v>30</v>
      </c>
      <c r="D6699">
        <v>1</v>
      </c>
      <c r="G6699" s="30">
        <f>Table132[[#This Row],[nb win]]/Table132[[#This Row],[nb play]]</f>
        <v>0</v>
      </c>
      <c r="H6699" s="26" t="str">
        <f>MID(Table132[[#This Row],[ÉTAT]],VALUE(RIGHT(Table132[[#This Row],[next move]],1))+1+VALUE(LEFT(Table132[[#This Row],[next move]],1))*3,1)</f>
        <v>V</v>
      </c>
      <c r="I6699" s="26" t="str">
        <f>Table132[[#This Row],[ÉTAT]]&amp;Table132[[#This Row],[next move]]</f>
        <v>VMEVVEVEM10</v>
      </c>
    </row>
    <row r="6700" spans="2:9" x14ac:dyDescent="0.25">
      <c r="B6700" t="s">
        <v>3530</v>
      </c>
      <c r="C6700" s="22" t="s">
        <v>35</v>
      </c>
      <c r="D6700">
        <v>1</v>
      </c>
      <c r="E6700">
        <v>1</v>
      </c>
      <c r="G6700" s="31">
        <f>Table132[[#This Row],[nb win]]/Table132[[#This Row],[nb play]]</f>
        <v>1</v>
      </c>
      <c r="H6700" s="26" t="str">
        <f>MID(Table132[[#This Row],[ÉTAT]],VALUE(RIGHT(Table132[[#This Row],[next move]],1))+1+VALUE(LEFT(Table132[[#This Row],[next move]],1))*3,1)</f>
        <v>V</v>
      </c>
      <c r="I6700" s="26" t="str">
        <f>Table132[[#This Row],[ÉTAT]]&amp;Table132[[#This Row],[next move]]</f>
        <v>VEMEVMVME20</v>
      </c>
    </row>
    <row r="6701" spans="2:9" x14ac:dyDescent="0.25">
      <c r="B6701" t="s">
        <v>3531</v>
      </c>
      <c r="C6701" s="22" t="s">
        <v>24</v>
      </c>
      <c r="D6701">
        <v>1</v>
      </c>
      <c r="G6701" s="30">
        <f>Table132[[#This Row],[nb win]]/Table132[[#This Row],[nb play]]</f>
        <v>0</v>
      </c>
      <c r="H6701" s="26" t="str">
        <f>MID(Table132[[#This Row],[ÉTAT]],VALUE(RIGHT(Table132[[#This Row],[next move]],1))+1+VALUE(LEFT(Table132[[#This Row],[next move]],1))*3,1)</f>
        <v>V</v>
      </c>
      <c r="I6701" s="26" t="str">
        <f>Table132[[#This Row],[ÉTAT]]&amp;Table132[[#This Row],[next move]]</f>
        <v>VMEMVEEEM00</v>
      </c>
    </row>
    <row r="6702" spans="2:9" x14ac:dyDescent="0.25">
      <c r="B6702" t="s">
        <v>281</v>
      </c>
      <c r="C6702" s="22" t="s">
        <v>30</v>
      </c>
      <c r="D6702">
        <v>2</v>
      </c>
      <c r="E6702">
        <v>1</v>
      </c>
      <c r="G6702" s="30">
        <f>Table132[[#This Row],[nb win]]/Table132[[#This Row],[nb play]]</f>
        <v>0.5</v>
      </c>
      <c r="H6702" s="26" t="str">
        <f>MID(Table132[[#This Row],[ÉTAT]],VALUE(RIGHT(Table132[[#This Row],[next move]],1))+1+VALUE(LEFT(Table132[[#This Row],[next move]],1))*3,1)</f>
        <v>V</v>
      </c>
      <c r="I6702" s="26" t="str">
        <f>Table132[[#This Row],[ÉTAT]]&amp;Table132[[#This Row],[next move]]</f>
        <v>VVVVVVEVM10</v>
      </c>
    </row>
    <row r="6703" spans="2:9" x14ac:dyDescent="0.25">
      <c r="B6703" t="s">
        <v>3451</v>
      </c>
      <c r="C6703" s="22" t="s">
        <v>28</v>
      </c>
      <c r="D6703">
        <v>1</v>
      </c>
      <c r="G6703" s="30">
        <f>Table132[[#This Row],[nb win]]/Table132[[#This Row],[nb play]]</f>
        <v>0</v>
      </c>
      <c r="H6703" s="26" t="str">
        <f>MID(Table132[[#This Row],[ÉTAT]],VALUE(RIGHT(Table132[[#This Row],[next move]],1))+1+VALUE(LEFT(Table132[[#This Row],[next move]],1))*3,1)</f>
        <v>V</v>
      </c>
      <c r="I6703" s="26" t="str">
        <f>Table132[[#This Row],[ÉTAT]]&amp;Table132[[#This Row],[next move]]</f>
        <v>VVVEVVMVE12</v>
      </c>
    </row>
    <row r="6704" spans="2:9" x14ac:dyDescent="0.25">
      <c r="B6704" t="s">
        <v>3299</v>
      </c>
      <c r="C6704" s="22" t="s">
        <v>26</v>
      </c>
      <c r="D6704">
        <v>1</v>
      </c>
      <c r="E6704">
        <v>1</v>
      </c>
      <c r="G6704" s="31">
        <f>Table132[[#This Row],[nb win]]/Table132[[#This Row],[nb play]]</f>
        <v>1</v>
      </c>
      <c r="H6704" s="26" t="str">
        <f>MID(Table132[[#This Row],[ÉTAT]],VALUE(RIGHT(Table132[[#This Row],[next move]],1))+1+VALUE(LEFT(Table132[[#This Row],[next move]],1))*3,1)</f>
        <v>V</v>
      </c>
      <c r="I6704" s="26" t="str">
        <f>Table132[[#This Row],[ÉTAT]]&amp;Table132[[#This Row],[next move]]</f>
        <v>VVVMVEEVM01</v>
      </c>
    </row>
    <row r="6705" spans="2:9" x14ac:dyDescent="0.25">
      <c r="B6705" t="s">
        <v>3504</v>
      </c>
      <c r="C6705" s="22" t="s">
        <v>22</v>
      </c>
      <c r="D6705">
        <v>1</v>
      </c>
      <c r="G6705" s="30">
        <f>Table132[[#This Row],[nb win]]/Table132[[#This Row],[nb play]]</f>
        <v>0</v>
      </c>
      <c r="H6705" s="26" t="str">
        <f>MID(Table132[[#This Row],[ÉTAT]],VALUE(RIGHT(Table132[[#This Row],[next move]],1))+1+VALUE(LEFT(Table132[[#This Row],[next move]],1))*3,1)</f>
        <v>V</v>
      </c>
      <c r="I6705" s="26" t="str">
        <f>Table132[[#This Row],[ÉTAT]]&amp;Table132[[#This Row],[next move]]</f>
        <v>VEVEVMMVE21</v>
      </c>
    </row>
    <row r="6706" spans="2:9" x14ac:dyDescent="0.25">
      <c r="B6706" t="s">
        <v>3079</v>
      </c>
      <c r="C6706" s="22" t="s">
        <v>20</v>
      </c>
      <c r="D6706">
        <v>1</v>
      </c>
      <c r="E6706">
        <v>1</v>
      </c>
      <c r="G6706" s="31">
        <f>Table132[[#This Row],[nb win]]/Table132[[#This Row],[nb play]]</f>
        <v>1</v>
      </c>
      <c r="H6706" s="26" t="str">
        <f>MID(Table132[[#This Row],[ÉTAT]],VALUE(RIGHT(Table132[[#This Row],[next move]],1))+1+VALUE(LEFT(Table132[[#This Row],[next move]],1))*3,1)</f>
        <v>V</v>
      </c>
      <c r="I6706" s="26" t="str">
        <f>Table132[[#This Row],[ÉTAT]]&amp;Table132[[#This Row],[next move]]</f>
        <v>VMVMVEEEM02</v>
      </c>
    </row>
    <row r="6707" spans="2:9" x14ac:dyDescent="0.25">
      <c r="B6707" t="s">
        <v>3532</v>
      </c>
      <c r="C6707" s="22" t="s">
        <v>29</v>
      </c>
      <c r="D6707">
        <v>1</v>
      </c>
      <c r="G6707" s="30">
        <f>Table132[[#This Row],[nb win]]/Table132[[#This Row],[nb play]]</f>
        <v>0</v>
      </c>
      <c r="H6707" s="26" t="str">
        <f>MID(Table132[[#This Row],[ÉTAT]],VALUE(RIGHT(Table132[[#This Row],[next move]],1))+1+VALUE(LEFT(Table132[[#This Row],[next move]],1))*3,1)</f>
        <v>V</v>
      </c>
      <c r="I6707" s="26" t="str">
        <f>Table132[[#This Row],[ÉTAT]]&amp;Table132[[#This Row],[next move]]</f>
        <v>VEEEVMMME11</v>
      </c>
    </row>
    <row r="6708" spans="2:9" x14ac:dyDescent="0.25">
      <c r="B6708" t="s">
        <v>1433</v>
      </c>
      <c r="C6708" s="22" t="s">
        <v>28</v>
      </c>
      <c r="D6708">
        <v>2</v>
      </c>
      <c r="E6708">
        <v>1</v>
      </c>
      <c r="G6708" s="30">
        <f>Table132[[#This Row],[nb win]]/Table132[[#This Row],[nb play]]</f>
        <v>0.5</v>
      </c>
      <c r="H6708" s="26" t="str">
        <f>MID(Table132[[#This Row],[ÉTAT]],VALUE(RIGHT(Table132[[#This Row],[next move]],1))+1+VALUE(LEFT(Table132[[#This Row],[next move]],1))*3,1)</f>
        <v>V</v>
      </c>
      <c r="I6708" s="26" t="str">
        <f>Table132[[#This Row],[ÉTAT]]&amp;Table132[[#This Row],[next move]]</f>
        <v>EVVMVVVVE12</v>
      </c>
    </row>
    <row r="6709" spans="2:9" x14ac:dyDescent="0.25">
      <c r="B6709" t="s">
        <v>1747</v>
      </c>
      <c r="C6709" s="22" t="s">
        <v>35</v>
      </c>
      <c r="D6709">
        <v>1</v>
      </c>
      <c r="G6709" s="30">
        <f>Table132[[#This Row],[nb win]]/Table132[[#This Row],[nb play]]</f>
        <v>0</v>
      </c>
      <c r="H6709" s="26" t="str">
        <f>MID(Table132[[#This Row],[ÉTAT]],VALUE(RIGHT(Table132[[#This Row],[next move]],1))+1+VALUE(LEFT(Table132[[#This Row],[next move]],1))*3,1)</f>
        <v>V</v>
      </c>
      <c r="I6709" s="26" t="str">
        <f>Table132[[#This Row],[ÉTAT]]&amp;Table132[[#This Row],[next move]]</f>
        <v>MVVEVEVVM20</v>
      </c>
    </row>
    <row r="6710" spans="2:9" x14ac:dyDescent="0.25">
      <c r="B6710" t="s">
        <v>3533</v>
      </c>
      <c r="C6710" s="22" t="s">
        <v>29</v>
      </c>
      <c r="D6710">
        <v>1</v>
      </c>
      <c r="E6710">
        <v>1</v>
      </c>
      <c r="G6710" s="31">
        <f>Table132[[#This Row],[nb win]]/Table132[[#This Row],[nb play]]</f>
        <v>1</v>
      </c>
      <c r="H6710" s="26" t="str">
        <f>MID(Table132[[#This Row],[ÉTAT]],VALUE(RIGHT(Table132[[#This Row],[next move]],1))+1+VALUE(LEFT(Table132[[#This Row],[next move]],1))*3,1)</f>
        <v>V</v>
      </c>
      <c r="I6710" s="26" t="str">
        <f>Table132[[#This Row],[ÉTAT]]&amp;Table132[[#This Row],[next move]]</f>
        <v>EVVMVMEVE11</v>
      </c>
    </row>
    <row r="6711" spans="2:9" x14ac:dyDescent="0.25">
      <c r="B6711" t="s">
        <v>327</v>
      </c>
      <c r="C6711" s="22" t="s">
        <v>24</v>
      </c>
      <c r="D6711">
        <v>1</v>
      </c>
      <c r="E6711">
        <v>1</v>
      </c>
      <c r="G6711" s="31">
        <f>Table132[[#This Row],[nb win]]/Table132[[#This Row],[nb play]]</f>
        <v>1</v>
      </c>
      <c r="H6711" s="26" t="str">
        <f>MID(Table132[[#This Row],[ÉTAT]],VALUE(RIGHT(Table132[[#This Row],[next move]],1))+1+VALUE(LEFT(Table132[[#This Row],[next move]],1))*3,1)</f>
        <v>V</v>
      </c>
      <c r="I6711" s="26" t="str">
        <f>Table132[[#This Row],[ÉTAT]]&amp;Table132[[#This Row],[next move]]</f>
        <v>VVMVVEVVV00</v>
      </c>
    </row>
    <row r="6712" spans="2:9" x14ac:dyDescent="0.25">
      <c r="B6712" t="s">
        <v>573</v>
      </c>
      <c r="C6712" s="22" t="s">
        <v>26</v>
      </c>
      <c r="D6712">
        <v>1</v>
      </c>
      <c r="G6712" s="30">
        <f>Table132[[#This Row],[nb win]]/Table132[[#This Row],[nb play]]</f>
        <v>0</v>
      </c>
      <c r="H6712" s="26" t="str">
        <f>MID(Table132[[#This Row],[ÉTAT]],VALUE(RIGHT(Table132[[#This Row],[next move]],1))+1+VALUE(LEFT(Table132[[#This Row],[next move]],1))*3,1)</f>
        <v>V</v>
      </c>
      <c r="I6712" s="26" t="str">
        <f>Table132[[#This Row],[ÉTAT]]&amp;Table132[[#This Row],[next move]]</f>
        <v>EVEVVMVVV01</v>
      </c>
    </row>
    <row r="6713" spans="2:9" x14ac:dyDescent="0.25">
      <c r="B6713" t="s">
        <v>3534</v>
      </c>
      <c r="C6713" s="22" t="s">
        <v>29</v>
      </c>
      <c r="D6713">
        <v>1</v>
      </c>
      <c r="E6713">
        <v>1</v>
      </c>
      <c r="G6713" s="31">
        <f>Table132[[#This Row],[nb win]]/Table132[[#This Row],[nb play]]</f>
        <v>1</v>
      </c>
      <c r="H6713" s="26" t="str">
        <f>MID(Table132[[#This Row],[ÉTAT]],VALUE(RIGHT(Table132[[#This Row],[next move]],1))+1+VALUE(LEFT(Table132[[#This Row],[next move]],1))*3,1)</f>
        <v>V</v>
      </c>
      <c r="I6713" s="26" t="str">
        <f>Table132[[#This Row],[ÉTAT]]&amp;Table132[[#This Row],[next move]]</f>
        <v>MEMVVEVVV11</v>
      </c>
    </row>
    <row r="6714" spans="2:9" x14ac:dyDescent="0.25">
      <c r="B6714" t="s">
        <v>3535</v>
      </c>
      <c r="C6714" s="22" t="s">
        <v>22</v>
      </c>
      <c r="D6714">
        <v>1</v>
      </c>
      <c r="G6714" s="30">
        <f>Table132[[#This Row],[nb win]]/Table132[[#This Row],[nb play]]</f>
        <v>0</v>
      </c>
      <c r="H6714" s="26" t="str">
        <f>MID(Table132[[#This Row],[ÉTAT]],VALUE(RIGHT(Table132[[#This Row],[next move]],1))+1+VALUE(LEFT(Table132[[#This Row],[next move]],1))*3,1)</f>
        <v>V</v>
      </c>
      <c r="I6714" s="26" t="str">
        <f>Table132[[#This Row],[ÉTAT]]&amp;Table132[[#This Row],[next move]]</f>
        <v>EMEVEMVVV21</v>
      </c>
    </row>
    <row r="6715" spans="2:9" x14ac:dyDescent="0.25">
      <c r="B6715" t="s">
        <v>3184</v>
      </c>
      <c r="C6715" s="22" t="s">
        <v>30</v>
      </c>
      <c r="D6715">
        <v>1</v>
      </c>
      <c r="E6715">
        <v>1</v>
      </c>
      <c r="G6715" s="31">
        <f>Table132[[#This Row],[nb win]]/Table132[[#This Row],[nb play]]</f>
        <v>1</v>
      </c>
      <c r="H6715" s="26" t="str">
        <f>MID(Table132[[#This Row],[ÉTAT]],VALUE(RIGHT(Table132[[#This Row],[next move]],1))+1+VALUE(LEFT(Table132[[#This Row],[next move]],1))*3,1)</f>
        <v>V</v>
      </c>
      <c r="I6715" s="26" t="str">
        <f>Table132[[#This Row],[ÉTAT]]&amp;Table132[[#This Row],[next move]]</f>
        <v>MEMVMEVEV10</v>
      </c>
    </row>
    <row r="6716" spans="2:9" x14ac:dyDescent="0.25">
      <c r="B6716" t="s">
        <v>3536</v>
      </c>
      <c r="C6716" s="22" t="s">
        <v>35</v>
      </c>
      <c r="D6716">
        <v>1</v>
      </c>
      <c r="G6716" s="30">
        <f>Table132[[#This Row],[nb win]]/Table132[[#This Row],[nb play]]</f>
        <v>0</v>
      </c>
      <c r="H6716" s="26" t="str">
        <f>MID(Table132[[#This Row],[ÉTAT]],VALUE(RIGHT(Table132[[#This Row],[next move]],1))+1+VALUE(LEFT(Table132[[#This Row],[next move]],1))*3,1)</f>
        <v>V</v>
      </c>
      <c r="I6716" s="26" t="str">
        <f>Table132[[#This Row],[ÉTAT]]&amp;Table132[[#This Row],[next move]]</f>
        <v>EMEEEMVMV20</v>
      </c>
    </row>
    <row r="6717" spans="2:9" x14ac:dyDescent="0.25">
      <c r="B6717" t="s">
        <v>531</v>
      </c>
      <c r="C6717" s="22" t="s">
        <v>20</v>
      </c>
      <c r="D6717">
        <v>1</v>
      </c>
      <c r="G6717" s="30">
        <f>Table132[[#This Row],[nb win]]/Table132[[#This Row],[nb play]]</f>
        <v>0</v>
      </c>
      <c r="H6717" s="26" t="str">
        <f>MID(Table132[[#This Row],[ÉTAT]],VALUE(RIGHT(Table132[[#This Row],[next move]],1))+1+VALUE(LEFT(Table132[[#This Row],[next move]],1))*3,1)</f>
        <v>V</v>
      </c>
      <c r="I6717" s="26" t="str">
        <f>Table132[[#This Row],[ÉTAT]]&amp;Table132[[#This Row],[next move]]</f>
        <v>VVVVVVMEV02</v>
      </c>
    </row>
    <row r="6718" spans="2:9" x14ac:dyDescent="0.25">
      <c r="B6718" t="s">
        <v>326</v>
      </c>
      <c r="C6718" s="22" t="s">
        <v>29</v>
      </c>
      <c r="D6718">
        <v>1</v>
      </c>
      <c r="E6718">
        <v>1</v>
      </c>
      <c r="G6718" s="31">
        <f>Table132[[#This Row],[nb win]]/Table132[[#This Row],[nb play]]</f>
        <v>1</v>
      </c>
      <c r="H6718" s="26" t="str">
        <f>MID(Table132[[#This Row],[ÉTAT]],VALUE(RIGHT(Table132[[#This Row],[next move]],1))+1+VALUE(LEFT(Table132[[#This Row],[next move]],1))*3,1)</f>
        <v>V</v>
      </c>
      <c r="I6718" s="26" t="str">
        <f>Table132[[#This Row],[ÉTAT]]&amp;Table132[[#This Row],[next move]]</f>
        <v>VVEVVVEMV11</v>
      </c>
    </row>
    <row r="6719" spans="2:9" x14ac:dyDescent="0.25">
      <c r="B6719" t="s">
        <v>3537</v>
      </c>
      <c r="C6719" s="22" t="s">
        <v>31</v>
      </c>
      <c r="D6719">
        <v>2</v>
      </c>
      <c r="E6719">
        <v>1</v>
      </c>
      <c r="G6719" s="31">
        <f>Table132[[#This Row],[nb win]]/Table132[[#This Row],[nb play]]</f>
        <v>0.5</v>
      </c>
      <c r="H6719" s="26" t="str">
        <f>MID(Table132[[#This Row],[ÉTAT]],VALUE(RIGHT(Table132[[#This Row],[next move]],1))+1+VALUE(LEFT(Table132[[#This Row],[next move]],1))*3,1)</f>
        <v>V</v>
      </c>
      <c r="I6719" s="26" t="str">
        <f>Table132[[#This Row],[ÉTAT]]&amp;Table132[[#This Row],[next move]]</f>
        <v>VVMVEVMEV22</v>
      </c>
    </row>
    <row r="6720" spans="2:9" x14ac:dyDescent="0.25">
      <c r="B6720" t="s">
        <v>2727</v>
      </c>
      <c r="C6720" s="22" t="s">
        <v>28</v>
      </c>
      <c r="D6720">
        <v>1</v>
      </c>
      <c r="E6720">
        <v>1</v>
      </c>
      <c r="G6720" s="31">
        <f>Table132[[#This Row],[nb win]]/Table132[[#This Row],[nb play]]</f>
        <v>1</v>
      </c>
      <c r="H6720" s="26" t="str">
        <f>MID(Table132[[#This Row],[ÉTAT]],VALUE(RIGHT(Table132[[#This Row],[next move]],1))+1+VALUE(LEFT(Table132[[#This Row],[next move]],1))*3,1)</f>
        <v>V</v>
      </c>
      <c r="I6720" s="26" t="str">
        <f>Table132[[#This Row],[ÉTAT]]&amp;Table132[[#This Row],[next move]]</f>
        <v>VVEVMVEME12</v>
      </c>
    </row>
    <row r="6721" spans="2:9" x14ac:dyDescent="0.25">
      <c r="B6721" t="s">
        <v>3538</v>
      </c>
      <c r="C6721" s="22" t="s">
        <v>24</v>
      </c>
      <c r="D6721">
        <v>1</v>
      </c>
      <c r="G6721" s="30">
        <f>Table132[[#This Row],[nb win]]/Table132[[#This Row],[nb play]]</f>
        <v>0</v>
      </c>
      <c r="H6721" s="26" t="str">
        <f>MID(Table132[[#This Row],[ÉTAT]],VALUE(RIGHT(Table132[[#This Row],[next move]],1))+1+VALUE(LEFT(Table132[[#This Row],[next move]],1))*3,1)</f>
        <v>V</v>
      </c>
      <c r="I6721" s="26" t="str">
        <f>Table132[[#This Row],[ÉTAT]]&amp;Table132[[#This Row],[next move]]</f>
        <v>VVMVEEMEM00</v>
      </c>
    </row>
    <row r="6722" spans="2:9" x14ac:dyDescent="0.25">
      <c r="B6722" t="s">
        <v>3539</v>
      </c>
      <c r="C6722" s="22" t="s">
        <v>26</v>
      </c>
      <c r="D6722">
        <v>1</v>
      </c>
      <c r="E6722">
        <v>1</v>
      </c>
      <c r="G6722" s="31">
        <f>Table132[[#This Row],[nb win]]/Table132[[#This Row],[nb play]]</f>
        <v>1</v>
      </c>
      <c r="H6722" s="26" t="str">
        <f>MID(Table132[[#This Row],[ÉTAT]],VALUE(RIGHT(Table132[[#This Row],[next move]],1))+1+VALUE(LEFT(Table132[[#This Row],[next move]],1))*3,1)</f>
        <v>V</v>
      </c>
      <c r="I6722" s="26" t="str">
        <f>Table132[[#This Row],[ÉTAT]]&amp;Table132[[#This Row],[next move]]</f>
        <v>EVEVMMEME01</v>
      </c>
    </row>
    <row r="6723" spans="2:9" x14ac:dyDescent="0.25">
      <c r="B6723" t="s">
        <v>3231</v>
      </c>
      <c r="C6723" s="22" t="s">
        <v>31</v>
      </c>
      <c r="D6723">
        <v>1</v>
      </c>
      <c r="G6723" s="30">
        <f>Table132[[#This Row],[nb win]]/Table132[[#This Row],[nb play]]</f>
        <v>0</v>
      </c>
      <c r="H6723" s="26" t="str">
        <f>MID(Table132[[#This Row],[ÉTAT]],VALUE(RIGHT(Table132[[#This Row],[next move]],1))+1+VALUE(LEFT(Table132[[#This Row],[next move]],1))*3,1)</f>
        <v>V</v>
      </c>
      <c r="I6723" s="26" t="str">
        <f>Table132[[#This Row],[ÉTAT]]&amp;Table132[[#This Row],[next move]]</f>
        <v>VEVVEMVVV22</v>
      </c>
    </row>
    <row r="6724" spans="2:9" x14ac:dyDescent="0.25">
      <c r="B6724" t="s">
        <v>543</v>
      </c>
      <c r="C6724" s="22" t="s">
        <v>20</v>
      </c>
      <c r="D6724">
        <v>1</v>
      </c>
      <c r="E6724">
        <v>1</v>
      </c>
      <c r="G6724" s="31">
        <f>Table132[[#This Row],[nb win]]/Table132[[#This Row],[nb play]]</f>
        <v>1</v>
      </c>
      <c r="H6724" s="26" t="str">
        <f>MID(Table132[[#This Row],[ÉTAT]],VALUE(RIGHT(Table132[[#This Row],[next move]],1))+1+VALUE(LEFT(Table132[[#This Row],[next move]],1))*3,1)</f>
        <v>V</v>
      </c>
      <c r="I6724" s="26" t="str">
        <f>Table132[[#This Row],[ÉTAT]]&amp;Table132[[#This Row],[next move]]</f>
        <v>VMVVMEVVE02</v>
      </c>
    </row>
    <row r="6725" spans="2:9" x14ac:dyDescent="0.25">
      <c r="B6725" t="s">
        <v>3542</v>
      </c>
      <c r="C6725" s="22" t="s">
        <v>24</v>
      </c>
      <c r="D6725">
        <v>1</v>
      </c>
      <c r="G6725" s="30">
        <f>Table132[[#This Row],[nb win]]/Table132[[#This Row],[nb play]]</f>
        <v>0</v>
      </c>
      <c r="H6725" s="26" t="str">
        <f>MID(Table132[[#This Row],[ÉTAT]],VALUE(RIGHT(Table132[[#This Row],[next move]],1))+1+VALUE(LEFT(Table132[[#This Row],[next move]],1))*3,1)</f>
        <v>V</v>
      </c>
      <c r="I6725" s="26" t="str">
        <f>Table132[[#This Row],[ÉTAT]]&amp;Table132[[#This Row],[next move]]</f>
        <v>VEEVEMVVM00</v>
      </c>
    </row>
    <row r="6726" spans="2:9" x14ac:dyDescent="0.25">
      <c r="B6726" t="s">
        <v>534</v>
      </c>
      <c r="C6726" s="22" t="s">
        <v>22</v>
      </c>
      <c r="D6726">
        <v>1</v>
      </c>
      <c r="E6726">
        <v>1</v>
      </c>
      <c r="G6726" s="31">
        <f>Table132[[#This Row],[nb win]]/Table132[[#This Row],[nb play]]</f>
        <v>1</v>
      </c>
      <c r="H6726" s="26" t="str">
        <f>MID(Table132[[#This Row],[ÉTAT]],VALUE(RIGHT(Table132[[#This Row],[next move]],1))+1+VALUE(LEFT(Table132[[#This Row],[next move]],1))*3,1)</f>
        <v>V</v>
      </c>
      <c r="I6726" s="26" t="str">
        <f>Table132[[#This Row],[ÉTAT]]&amp;Table132[[#This Row],[next move]]</f>
        <v>EMMVMEVVE21</v>
      </c>
    </row>
    <row r="6727" spans="2:9" x14ac:dyDescent="0.25">
      <c r="B6727" t="s">
        <v>1540</v>
      </c>
      <c r="C6727" s="22" t="s">
        <v>35</v>
      </c>
      <c r="D6727">
        <v>1</v>
      </c>
      <c r="E6727">
        <v>1</v>
      </c>
      <c r="G6727" s="31">
        <f>Table132[[#This Row],[nb win]]/Table132[[#This Row],[nb play]]</f>
        <v>1</v>
      </c>
      <c r="H6727" s="26" t="str">
        <f>MID(Table132[[#This Row],[ÉTAT]],VALUE(RIGHT(Table132[[#This Row],[next move]],1))+1+VALUE(LEFT(Table132[[#This Row],[next move]],1))*3,1)</f>
        <v>V</v>
      </c>
      <c r="I6727" s="26" t="str">
        <f>Table132[[#This Row],[ÉTAT]]&amp;Table132[[#This Row],[next move]]</f>
        <v>MVVVVEVEV20</v>
      </c>
    </row>
    <row r="6728" spans="2:9" x14ac:dyDescent="0.25">
      <c r="B6728" t="s">
        <v>2490</v>
      </c>
      <c r="C6728" s="22" t="s">
        <v>31</v>
      </c>
      <c r="D6728">
        <v>1</v>
      </c>
      <c r="G6728" s="30">
        <f>Table132[[#This Row],[nb win]]/Table132[[#This Row],[nb play]]</f>
        <v>0</v>
      </c>
      <c r="H6728" s="26" t="str">
        <f>MID(Table132[[#This Row],[ÉTAT]],VALUE(RIGHT(Table132[[#This Row],[next move]],1))+1+VALUE(LEFT(Table132[[#This Row],[next move]],1))*3,1)</f>
        <v>V</v>
      </c>
      <c r="I6728" s="26" t="str">
        <f>Table132[[#This Row],[ÉTAT]]&amp;Table132[[#This Row],[next move]]</f>
        <v>EVVVVMEMV22</v>
      </c>
    </row>
    <row r="6729" spans="2:9" x14ac:dyDescent="0.25">
      <c r="B6729" t="s">
        <v>1761</v>
      </c>
      <c r="C6729" s="22" t="s">
        <v>20</v>
      </c>
      <c r="D6729">
        <v>1</v>
      </c>
      <c r="E6729">
        <v>1</v>
      </c>
      <c r="G6729" s="31">
        <f>Table132[[#This Row],[nb win]]/Table132[[#This Row],[nb play]]</f>
        <v>1</v>
      </c>
      <c r="H6729" s="26" t="str">
        <f>MID(Table132[[#This Row],[ÉTAT]],VALUE(RIGHT(Table132[[#This Row],[next move]],1))+1+VALUE(LEFT(Table132[[#This Row],[next move]],1))*3,1)</f>
        <v>V</v>
      </c>
      <c r="I6729" s="26" t="str">
        <f>Table132[[#This Row],[ÉTAT]]&amp;Table132[[#This Row],[next move]]</f>
        <v>MVVVVEMEE02</v>
      </c>
    </row>
    <row r="6730" spans="2:9" x14ac:dyDescent="0.25">
      <c r="B6730" t="s">
        <v>1021</v>
      </c>
      <c r="C6730" s="22" t="s">
        <v>30</v>
      </c>
      <c r="D6730">
        <v>1</v>
      </c>
      <c r="E6730">
        <v>1</v>
      </c>
      <c r="G6730" s="31">
        <f>Table132[[#This Row],[nb win]]/Table132[[#This Row],[nb play]]</f>
        <v>1</v>
      </c>
      <c r="H6730" s="26" t="str">
        <f>MID(Table132[[#This Row],[ÉTAT]],VALUE(RIGHT(Table132[[#This Row],[next move]],1))+1+VALUE(LEFT(Table132[[#This Row],[next move]],1))*3,1)</f>
        <v>V</v>
      </c>
      <c r="I6730" s="26" t="str">
        <f>Table132[[#This Row],[ÉTAT]]&amp;Table132[[#This Row],[next move]]</f>
        <v>MVMVEEMEE10</v>
      </c>
    </row>
    <row r="6731" spans="2:9" x14ac:dyDescent="0.25">
      <c r="B6731" t="s">
        <v>465</v>
      </c>
      <c r="C6731" s="22" t="s">
        <v>24</v>
      </c>
      <c r="D6731">
        <v>1</v>
      </c>
      <c r="E6731">
        <v>1</v>
      </c>
      <c r="G6731" s="31">
        <f>Table132[[#This Row],[nb win]]/Table132[[#This Row],[nb play]]</f>
        <v>1</v>
      </c>
      <c r="H6731" s="26" t="str">
        <f>MID(Table132[[#This Row],[ÉTAT]],VALUE(RIGHT(Table132[[#This Row],[next move]],1))+1+VALUE(LEFT(Table132[[#This Row],[next move]],1))*3,1)</f>
        <v>V</v>
      </c>
      <c r="I6731" s="26" t="str">
        <f>Table132[[#This Row],[ÉTAT]]&amp;Table132[[#This Row],[next move]]</f>
        <v>VVEVVVMVV00</v>
      </c>
    </row>
    <row r="6732" spans="2:9" x14ac:dyDescent="0.25">
      <c r="B6732" t="s">
        <v>578</v>
      </c>
      <c r="C6732" s="22" t="s">
        <v>26</v>
      </c>
      <c r="D6732">
        <v>1</v>
      </c>
      <c r="G6732" s="30">
        <f>Table132[[#This Row],[nb win]]/Table132[[#This Row],[nb play]]</f>
        <v>0</v>
      </c>
      <c r="H6732" s="26" t="str">
        <f>MID(Table132[[#This Row],[ÉTAT]],VALUE(RIGHT(Table132[[#This Row],[next move]],1))+1+VALUE(LEFT(Table132[[#This Row],[next move]],1))*3,1)</f>
        <v>V</v>
      </c>
      <c r="I6732" s="26" t="str">
        <f>Table132[[#This Row],[ÉTAT]]&amp;Table132[[#This Row],[next move]]</f>
        <v>EVMVVVEVV01</v>
      </c>
    </row>
    <row r="6733" spans="2:9" x14ac:dyDescent="0.25">
      <c r="B6733" t="s">
        <v>3543</v>
      </c>
      <c r="C6733" s="22" t="s">
        <v>30</v>
      </c>
      <c r="D6733">
        <v>1</v>
      </c>
      <c r="E6733">
        <v>1</v>
      </c>
      <c r="G6733" s="31">
        <f>Table132[[#This Row],[nb win]]/Table132[[#This Row],[nb play]]</f>
        <v>1</v>
      </c>
      <c r="H6733" s="26" t="str">
        <f>MID(Table132[[#This Row],[ÉTAT]],VALUE(RIGHT(Table132[[#This Row],[next move]],1))+1+VALUE(LEFT(Table132[[#This Row],[next move]],1))*3,1)</f>
        <v>V</v>
      </c>
      <c r="I6733" s="26" t="str">
        <f>Table132[[#This Row],[ÉTAT]]&amp;Table132[[#This Row],[next move]]</f>
        <v>MEEVVVMVV10</v>
      </c>
    </row>
    <row r="6734" spans="2:9" x14ac:dyDescent="0.25">
      <c r="B6734" t="s">
        <v>53</v>
      </c>
      <c r="C6734" s="22" t="s">
        <v>26</v>
      </c>
      <c r="D6734">
        <v>2</v>
      </c>
      <c r="E6734">
        <v>1</v>
      </c>
      <c r="G6734" s="30">
        <f>Table132[[#This Row],[nb win]]/Table132[[#This Row],[nb play]]</f>
        <v>0.5</v>
      </c>
      <c r="H6734" s="26" t="str">
        <f>MID(Table132[[#This Row],[ÉTAT]],VALUE(RIGHT(Table132[[#This Row],[next move]],1))+1+VALUE(LEFT(Table132[[#This Row],[next move]],1))*3,1)</f>
        <v>V</v>
      </c>
      <c r="I6734" s="26" t="str">
        <f>Table132[[#This Row],[ÉTAT]]&amp;Table132[[#This Row],[next move]]</f>
        <v>EVVMVVVVV01</v>
      </c>
    </row>
    <row r="6735" spans="2:9" x14ac:dyDescent="0.25">
      <c r="B6735" t="s">
        <v>965</v>
      </c>
      <c r="C6735" s="22" t="s">
        <v>28</v>
      </c>
      <c r="D6735">
        <v>1</v>
      </c>
      <c r="G6735" s="30">
        <f>Table132[[#This Row],[nb win]]/Table132[[#This Row],[nb play]]</f>
        <v>0</v>
      </c>
      <c r="H6735" s="26" t="str">
        <f>MID(Table132[[#This Row],[ÉTAT]],VALUE(RIGHT(Table132[[#This Row],[next move]],1))+1+VALUE(LEFT(Table132[[#This Row],[next move]],1))*3,1)</f>
        <v>V</v>
      </c>
      <c r="I6735" s="26" t="str">
        <f>Table132[[#This Row],[ÉTAT]]&amp;Table132[[#This Row],[next move]]</f>
        <v>MEVEVVVVV12</v>
      </c>
    </row>
    <row r="6736" spans="2:9" x14ac:dyDescent="0.25">
      <c r="B6736" t="s">
        <v>3544</v>
      </c>
      <c r="C6736" s="22" t="s">
        <v>20</v>
      </c>
      <c r="D6736">
        <v>1</v>
      </c>
      <c r="E6736">
        <v>1</v>
      </c>
      <c r="G6736" s="31">
        <f>Table132[[#This Row],[nb win]]/Table132[[#This Row],[nb play]]</f>
        <v>1</v>
      </c>
      <c r="H6736" s="26" t="str">
        <f>MID(Table132[[#This Row],[ÉTAT]],VALUE(RIGHT(Table132[[#This Row],[next move]],1))+1+VALUE(LEFT(Table132[[#This Row],[next move]],1))*3,1)</f>
        <v>V</v>
      </c>
      <c r="I6736" s="26" t="str">
        <f>Table132[[#This Row],[ÉTAT]]&amp;Table132[[#This Row],[next move]]</f>
        <v>EMVMVEVVV02</v>
      </c>
    </row>
    <row r="6737" spans="2:9" x14ac:dyDescent="0.25">
      <c r="B6737" t="s">
        <v>3545</v>
      </c>
      <c r="C6737" s="22" t="s">
        <v>31</v>
      </c>
      <c r="D6737">
        <v>1</v>
      </c>
      <c r="G6737" s="30">
        <f>Table132[[#This Row],[nb win]]/Table132[[#This Row],[nb play]]</f>
        <v>0</v>
      </c>
      <c r="H6737" s="26" t="str">
        <f>MID(Table132[[#This Row],[ÉTAT]],VALUE(RIGHT(Table132[[#This Row],[next move]],1))+1+VALUE(LEFT(Table132[[#This Row],[next move]],1))*3,1)</f>
        <v>V</v>
      </c>
      <c r="I6737" s="26" t="str">
        <f>Table132[[#This Row],[ÉTAT]]&amp;Table132[[#This Row],[next move]]</f>
        <v>MEEEVMVVV22</v>
      </c>
    </row>
    <row r="6738" spans="2:9" x14ac:dyDescent="0.25">
      <c r="B6738" t="s">
        <v>3546</v>
      </c>
      <c r="C6738" s="22" t="s">
        <v>29</v>
      </c>
      <c r="D6738">
        <v>1</v>
      </c>
      <c r="E6738">
        <v>1</v>
      </c>
      <c r="G6738" s="31">
        <f>Table132[[#This Row],[nb win]]/Table132[[#This Row],[nb play]]</f>
        <v>1</v>
      </c>
      <c r="H6738" s="26" t="str">
        <f>MID(Table132[[#This Row],[ÉTAT]],VALUE(RIGHT(Table132[[#This Row],[next move]],1))+1+VALUE(LEFT(Table132[[#This Row],[next move]],1))*3,1)</f>
        <v>V</v>
      </c>
      <c r="I6738" s="26" t="str">
        <f>Table132[[#This Row],[ÉTAT]]&amp;Table132[[#This Row],[next move]]</f>
        <v>EMMMVEVVE11</v>
      </c>
    </row>
    <row r="6739" spans="2:9" x14ac:dyDescent="0.25">
      <c r="B6739" t="s">
        <v>3087</v>
      </c>
      <c r="C6739" s="22" t="s">
        <v>28</v>
      </c>
      <c r="D6739">
        <v>1</v>
      </c>
      <c r="E6739">
        <v>1</v>
      </c>
      <c r="G6739" s="31">
        <f>Table132[[#This Row],[nb win]]/Table132[[#This Row],[nb play]]</f>
        <v>1</v>
      </c>
      <c r="H6739" s="26" t="str">
        <f>MID(Table132[[#This Row],[ÉTAT]],VALUE(RIGHT(Table132[[#This Row],[next move]],1))+1+VALUE(LEFT(Table132[[#This Row],[next move]],1))*3,1)</f>
        <v>V</v>
      </c>
      <c r="I6739" s="26" t="str">
        <f>Table132[[#This Row],[ÉTAT]]&amp;Table132[[#This Row],[next move]]</f>
        <v>VEMEVVVVM12</v>
      </c>
    </row>
    <row r="6740" spans="2:9" x14ac:dyDescent="0.25">
      <c r="B6740" t="s">
        <v>597</v>
      </c>
      <c r="C6740" s="22" t="s">
        <v>26</v>
      </c>
      <c r="D6740">
        <v>1</v>
      </c>
      <c r="G6740" s="30">
        <f>Table132[[#This Row],[nb win]]/Table132[[#This Row],[nb play]]</f>
        <v>0</v>
      </c>
      <c r="H6740" s="26" t="str">
        <f>MID(Table132[[#This Row],[ÉTAT]],VALUE(RIGHT(Table132[[#This Row],[next move]],1))+1+VALUE(LEFT(Table132[[#This Row],[next move]],1))*3,1)</f>
        <v>V</v>
      </c>
      <c r="I6740" s="26" t="str">
        <f>Table132[[#This Row],[ÉTAT]]&amp;Table132[[#This Row],[next move]]</f>
        <v>VVVVVEEVM01</v>
      </c>
    </row>
    <row r="6741" spans="2:9" x14ac:dyDescent="0.25">
      <c r="B6741" t="s">
        <v>3547</v>
      </c>
      <c r="C6741" s="22" t="s">
        <v>30</v>
      </c>
      <c r="D6741">
        <v>1</v>
      </c>
      <c r="E6741">
        <v>1</v>
      </c>
      <c r="G6741" s="31">
        <f>Table132[[#This Row],[nb win]]/Table132[[#This Row],[nb play]]</f>
        <v>1</v>
      </c>
      <c r="H6741" s="26" t="str">
        <f>MID(Table132[[#This Row],[ÉTAT]],VALUE(RIGHT(Table132[[#This Row],[next move]],1))+1+VALUE(LEFT(Table132[[#This Row],[next move]],1))*3,1)</f>
        <v>V</v>
      </c>
      <c r="I6741" s="26" t="str">
        <f>Table132[[#This Row],[ÉTAT]]&amp;Table132[[#This Row],[next move]]</f>
        <v>VEVVVMMVE10</v>
      </c>
    </row>
    <row r="6742" spans="2:9" x14ac:dyDescent="0.25">
      <c r="B6742" t="s">
        <v>3434</v>
      </c>
      <c r="C6742" s="22" t="s">
        <v>20</v>
      </c>
      <c r="D6742">
        <v>1</v>
      </c>
      <c r="G6742" s="30">
        <f>Table132[[#This Row],[nb win]]/Table132[[#This Row],[nb play]]</f>
        <v>0</v>
      </c>
      <c r="H6742" s="26" t="str">
        <f>MID(Table132[[#This Row],[ÉTAT]],VALUE(RIGHT(Table132[[#This Row],[next move]],1))+1+VALUE(LEFT(Table132[[#This Row],[next move]],1))*3,1)</f>
        <v>V</v>
      </c>
      <c r="I6742" s="26" t="str">
        <f>Table132[[#This Row],[ÉTAT]]&amp;Table132[[#This Row],[next move]]</f>
        <v>VMVEVEEVM02</v>
      </c>
    </row>
    <row r="6743" spans="2:9" x14ac:dyDescent="0.25">
      <c r="B6743" t="s">
        <v>1585</v>
      </c>
      <c r="C6743" s="22" t="s">
        <v>22</v>
      </c>
      <c r="D6743">
        <v>1</v>
      </c>
      <c r="E6743">
        <v>1</v>
      </c>
      <c r="G6743" s="31">
        <f>Table132[[#This Row],[nb win]]/Table132[[#This Row],[nb play]]</f>
        <v>1</v>
      </c>
      <c r="H6743" s="26" t="str">
        <f>MID(Table132[[#This Row],[ÉTAT]],VALUE(RIGHT(Table132[[#This Row],[next move]],1))+1+VALUE(LEFT(Table132[[#This Row],[next move]],1))*3,1)</f>
        <v>V</v>
      </c>
      <c r="I6743" s="26" t="str">
        <f>Table132[[#This Row],[ÉTAT]]&amp;Table132[[#This Row],[next move]]</f>
        <v>VEEMVMMVE21</v>
      </c>
    </row>
    <row r="6744" spans="2:9" x14ac:dyDescent="0.25">
      <c r="B6744" t="s">
        <v>2480</v>
      </c>
      <c r="C6744" s="22" t="s">
        <v>29</v>
      </c>
      <c r="D6744">
        <v>1</v>
      </c>
      <c r="G6744" s="30">
        <f>Table132[[#This Row],[nb win]]/Table132[[#This Row],[nb play]]</f>
        <v>0</v>
      </c>
      <c r="H6744" s="26" t="str">
        <f>MID(Table132[[#This Row],[ÉTAT]],VALUE(RIGHT(Table132[[#This Row],[next move]],1))+1+VALUE(LEFT(Table132[[#This Row],[next move]],1))*3,1)</f>
        <v>V</v>
      </c>
      <c r="I6744" s="26" t="str">
        <f>Table132[[#This Row],[ÉTAT]]&amp;Table132[[#This Row],[next move]]</f>
        <v>VMMEVEEEM11</v>
      </c>
    </row>
    <row r="6745" spans="2:9" x14ac:dyDescent="0.25">
      <c r="B6745" t="s">
        <v>358</v>
      </c>
      <c r="C6745" s="22" t="s">
        <v>31</v>
      </c>
      <c r="D6745">
        <v>1</v>
      </c>
      <c r="G6745" s="30">
        <f>Table132[[#This Row],[nb win]]/Table132[[#This Row],[nb play]]</f>
        <v>0</v>
      </c>
      <c r="H6745" s="26" t="str">
        <f>MID(Table132[[#This Row],[ÉTAT]],VALUE(RIGHT(Table132[[#This Row],[next move]],1))+1+VALUE(LEFT(Table132[[#This Row],[next move]],1))*3,1)</f>
        <v>V</v>
      </c>
      <c r="I6745" s="26" t="str">
        <f>Table132[[#This Row],[ÉTAT]]&amp;Table132[[#This Row],[next move]]</f>
        <v>VVEVVMVEV22</v>
      </c>
    </row>
    <row r="6746" spans="2:9" x14ac:dyDescent="0.25">
      <c r="B6746" t="s">
        <v>2144</v>
      </c>
      <c r="C6746" s="22" t="s">
        <v>29</v>
      </c>
      <c r="D6746">
        <v>1</v>
      </c>
      <c r="E6746">
        <v>1</v>
      </c>
      <c r="G6746" s="31">
        <f>Table132[[#This Row],[nb win]]/Table132[[#This Row],[nb play]]</f>
        <v>1</v>
      </c>
      <c r="H6746" s="26" t="str">
        <f>MID(Table132[[#This Row],[ÉTAT]],VALUE(RIGHT(Table132[[#This Row],[next move]],1))+1+VALUE(LEFT(Table132[[#This Row],[next move]],1))*3,1)</f>
        <v>V</v>
      </c>
      <c r="I6746" s="26" t="str">
        <f>Table132[[#This Row],[ÉTAT]]&amp;Table132[[#This Row],[next move]]</f>
        <v>VVMVVEVME11</v>
      </c>
    </row>
    <row r="6747" spans="2:9" x14ac:dyDescent="0.25">
      <c r="B6747" t="s">
        <v>3548</v>
      </c>
      <c r="C6747" s="22" t="s">
        <v>24</v>
      </c>
      <c r="D6747">
        <v>1</v>
      </c>
      <c r="G6747" s="30">
        <f>Table132[[#This Row],[nb win]]/Table132[[#This Row],[nb play]]</f>
        <v>0</v>
      </c>
      <c r="H6747" s="26" t="str">
        <f>MID(Table132[[#This Row],[ÉTAT]],VALUE(RIGHT(Table132[[#This Row],[next move]],1))+1+VALUE(LEFT(Table132[[#This Row],[next move]],1))*3,1)</f>
        <v>V</v>
      </c>
      <c r="I6747" s="26" t="str">
        <f>Table132[[#This Row],[ÉTAT]]&amp;Table132[[#This Row],[next move]]</f>
        <v>VVEVEMVEM00</v>
      </c>
    </row>
    <row r="6748" spans="2:9" x14ac:dyDescent="0.25">
      <c r="B6748" t="s">
        <v>2361</v>
      </c>
      <c r="C6748" s="22" t="s">
        <v>35</v>
      </c>
      <c r="D6748">
        <v>1</v>
      </c>
      <c r="E6748">
        <v>1</v>
      </c>
      <c r="G6748" s="31">
        <f>Table132[[#This Row],[nb win]]/Table132[[#This Row],[nb play]]</f>
        <v>1</v>
      </c>
      <c r="H6748" s="26" t="str">
        <f>MID(Table132[[#This Row],[ÉTAT]],VALUE(RIGHT(Table132[[#This Row],[next move]],1))+1+VALUE(LEFT(Table132[[#This Row],[next move]],1))*3,1)</f>
        <v>V</v>
      </c>
      <c r="I6748" s="26" t="str">
        <f>Table132[[#This Row],[ÉTAT]]&amp;Table132[[#This Row],[next move]]</f>
        <v>EVMVMEVME20</v>
      </c>
    </row>
    <row r="6749" spans="2:9" x14ac:dyDescent="0.25">
      <c r="B6749" t="s">
        <v>662</v>
      </c>
      <c r="C6749" s="22" t="s">
        <v>30</v>
      </c>
      <c r="D6749">
        <v>1</v>
      </c>
      <c r="E6749">
        <v>1</v>
      </c>
      <c r="G6749" s="31">
        <f>Table132[[#This Row],[nb win]]/Table132[[#This Row],[nb play]]</f>
        <v>1</v>
      </c>
      <c r="H6749" s="26" t="str">
        <f>MID(Table132[[#This Row],[ÉTAT]],VALUE(RIGHT(Table132[[#This Row],[next move]],1))+1+VALUE(LEFT(Table132[[#This Row],[next move]],1))*3,1)</f>
        <v>V</v>
      </c>
      <c r="I6749" s="26" t="str">
        <f>Table132[[#This Row],[ÉTAT]]&amp;Table132[[#This Row],[next move]]</f>
        <v>VVVVVMVVE10</v>
      </c>
    </row>
    <row r="6750" spans="2:9" x14ac:dyDescent="0.25">
      <c r="B6750" t="s">
        <v>1517</v>
      </c>
      <c r="C6750" s="22" t="s">
        <v>26</v>
      </c>
      <c r="D6750">
        <v>1</v>
      </c>
      <c r="G6750" s="30">
        <f>Table132[[#This Row],[nb win]]/Table132[[#This Row],[nb play]]</f>
        <v>0</v>
      </c>
      <c r="H6750" s="26" t="str">
        <f>MID(Table132[[#This Row],[ÉTAT]],VALUE(RIGHT(Table132[[#This Row],[next move]],1))+1+VALUE(LEFT(Table132[[#This Row],[next move]],1))*3,1)</f>
        <v>V</v>
      </c>
      <c r="I6750" s="26" t="str">
        <f>Table132[[#This Row],[ÉTAT]]&amp;Table132[[#This Row],[next move]]</f>
        <v>VVVEVEVVM01</v>
      </c>
    </row>
    <row r="6751" spans="2:9" x14ac:dyDescent="0.25">
      <c r="B6751" t="s">
        <v>3433</v>
      </c>
      <c r="C6751" s="22" t="s">
        <v>29</v>
      </c>
      <c r="D6751">
        <v>1</v>
      </c>
      <c r="E6751">
        <v>1</v>
      </c>
      <c r="G6751" s="31">
        <f>Table132[[#This Row],[nb win]]/Table132[[#This Row],[nb play]]</f>
        <v>1</v>
      </c>
      <c r="H6751" s="26" t="str">
        <f>MID(Table132[[#This Row],[ÉTAT]],VALUE(RIGHT(Table132[[#This Row],[next move]],1))+1+VALUE(LEFT(Table132[[#This Row],[next move]],1))*3,1)</f>
        <v>V</v>
      </c>
      <c r="I6751" s="26" t="str">
        <f>Table132[[#This Row],[ÉTAT]]&amp;Table132[[#This Row],[next move]]</f>
        <v>VEVMVMVVE11</v>
      </c>
    </row>
    <row r="6752" spans="2:9" x14ac:dyDescent="0.25">
      <c r="B6752" t="s">
        <v>32</v>
      </c>
      <c r="C6752" s="22" t="s">
        <v>20</v>
      </c>
      <c r="D6752">
        <v>1</v>
      </c>
      <c r="G6752" s="30">
        <f>Table132[[#This Row],[nb win]]/Table132[[#This Row],[nb play]]</f>
        <v>0</v>
      </c>
      <c r="H6752" s="26" t="str">
        <f>MID(Table132[[#This Row],[ÉTAT]],VALUE(RIGHT(Table132[[#This Row],[next move]],1))+1+VALUE(LEFT(Table132[[#This Row],[next move]],1))*3,1)</f>
        <v>V</v>
      </c>
      <c r="I6752" s="26" t="str">
        <f>Table132[[#This Row],[ÉTAT]]&amp;Table132[[#This Row],[next move]]</f>
        <v>MVVEVVVVV02</v>
      </c>
    </row>
    <row r="6753" spans="2:9" x14ac:dyDescent="0.25">
      <c r="B6753" t="s">
        <v>336</v>
      </c>
      <c r="C6753" s="22" t="s">
        <v>29</v>
      </c>
      <c r="D6753">
        <v>3</v>
      </c>
      <c r="E6753">
        <v>2</v>
      </c>
      <c r="G6753" s="30">
        <f>Table132[[#This Row],[nb win]]/Table132[[#This Row],[nb play]]</f>
        <v>0.66666666666666663</v>
      </c>
      <c r="H6753" s="26" t="str">
        <f>MID(Table132[[#This Row],[ÉTAT]],VALUE(RIGHT(Table132[[#This Row],[next move]],1))+1+VALUE(LEFT(Table132[[#This Row],[next move]],1))*3,1)</f>
        <v>V</v>
      </c>
      <c r="I6753" s="26" t="str">
        <f>Table132[[#This Row],[ÉTAT]]&amp;Table132[[#This Row],[next move]]</f>
        <v>EVEMVVVVV11</v>
      </c>
    </row>
    <row r="6754" spans="2:9" x14ac:dyDescent="0.25">
      <c r="B6754" t="s">
        <v>3549</v>
      </c>
      <c r="C6754" s="22" t="s">
        <v>22</v>
      </c>
      <c r="D6754">
        <v>1</v>
      </c>
      <c r="G6754" s="30">
        <f>Table132[[#This Row],[nb win]]/Table132[[#This Row],[nb play]]</f>
        <v>0</v>
      </c>
      <c r="H6754" s="26" t="str">
        <f>MID(Table132[[#This Row],[ÉTAT]],VALUE(RIGHT(Table132[[#This Row],[next move]],1))+1+VALUE(LEFT(Table132[[#This Row],[next move]],1))*3,1)</f>
        <v>V</v>
      </c>
      <c r="I6754" s="26" t="str">
        <f>Table132[[#This Row],[ÉTAT]]&amp;Table132[[#This Row],[next move]]</f>
        <v>MVMEEVVVV21</v>
      </c>
    </row>
    <row r="6755" spans="2:9" x14ac:dyDescent="0.25">
      <c r="B6755" t="s">
        <v>2973</v>
      </c>
      <c r="C6755" s="22" t="s">
        <v>35</v>
      </c>
      <c r="D6755">
        <v>1</v>
      </c>
      <c r="E6755">
        <v>1</v>
      </c>
      <c r="G6755" s="31">
        <f>Table132[[#This Row],[nb win]]/Table132[[#This Row],[nb play]]</f>
        <v>1</v>
      </c>
      <c r="H6755" s="26" t="str">
        <f>MID(Table132[[#This Row],[ÉTAT]],VALUE(RIGHT(Table132[[#This Row],[next move]],1))+1+VALUE(LEFT(Table132[[#This Row],[next move]],1))*3,1)</f>
        <v>V</v>
      </c>
      <c r="I6755" s="26" t="str">
        <f>Table132[[#This Row],[ÉTAT]]&amp;Table132[[#This Row],[next move]]</f>
        <v>EVEMMVVEV20</v>
      </c>
    </row>
    <row r="6756" spans="2:9" x14ac:dyDescent="0.25">
      <c r="B6756" t="s">
        <v>1096</v>
      </c>
      <c r="C6756" s="22" t="s">
        <v>31</v>
      </c>
      <c r="D6756">
        <v>1</v>
      </c>
      <c r="G6756" s="30">
        <f>Table132[[#This Row],[nb win]]/Table132[[#This Row],[nb play]]</f>
        <v>0</v>
      </c>
      <c r="H6756" s="26" t="str">
        <f>MID(Table132[[#This Row],[ÉTAT]],VALUE(RIGHT(Table132[[#This Row],[next move]],1))+1+VALUE(LEFT(Table132[[#This Row],[next move]],1))*3,1)</f>
        <v>V</v>
      </c>
      <c r="I6756" s="26" t="str">
        <f>Table132[[#This Row],[ÉTAT]]&amp;Table132[[#This Row],[next move]]</f>
        <v>MVMEEVEMV22</v>
      </c>
    </row>
    <row r="6757" spans="2:9" x14ac:dyDescent="0.25">
      <c r="B6757" t="s">
        <v>3550</v>
      </c>
      <c r="C6757" s="22" t="s">
        <v>28</v>
      </c>
      <c r="D6757">
        <v>2</v>
      </c>
      <c r="E6757">
        <v>2</v>
      </c>
      <c r="G6757" s="31">
        <f>Table132[[#This Row],[nb win]]/Table132[[#This Row],[nb play]]</f>
        <v>1</v>
      </c>
      <c r="H6757" s="26" t="str">
        <f>MID(Table132[[#This Row],[ÉTAT]],VALUE(RIGHT(Table132[[#This Row],[next move]],1))+1+VALUE(LEFT(Table132[[#This Row],[next move]],1))*3,1)</f>
        <v>V</v>
      </c>
      <c r="I6757" s="26" t="str">
        <f>Table132[[#This Row],[ÉTAT]]&amp;Table132[[#This Row],[next move]]</f>
        <v>EVEMMVMEE12</v>
      </c>
    </row>
    <row r="6758" spans="2:9" x14ac:dyDescent="0.25">
      <c r="B6758" t="s">
        <v>448</v>
      </c>
      <c r="C6758" s="22" t="s">
        <v>35</v>
      </c>
      <c r="D6758">
        <v>1</v>
      </c>
      <c r="G6758" s="30">
        <f>Table132[[#This Row],[nb win]]/Table132[[#This Row],[nb play]]</f>
        <v>0</v>
      </c>
      <c r="H6758" s="26" t="str">
        <f>MID(Table132[[#This Row],[ÉTAT]],VALUE(RIGHT(Table132[[#This Row],[next move]],1))+1+VALUE(LEFT(Table132[[#This Row],[next move]],1))*3,1)</f>
        <v>V</v>
      </c>
      <c r="I6758" s="26" t="str">
        <f>Table132[[#This Row],[ÉTAT]]&amp;Table132[[#This Row],[next move]]</f>
        <v>VVVMVEVVE20</v>
      </c>
    </row>
    <row r="6759" spans="2:9" x14ac:dyDescent="0.25">
      <c r="B6759" t="s">
        <v>1323</v>
      </c>
      <c r="C6759" s="22" t="s">
        <v>29</v>
      </c>
      <c r="D6759">
        <v>1</v>
      </c>
      <c r="E6759">
        <v>1</v>
      </c>
      <c r="G6759" s="31">
        <f>Table132[[#This Row],[nb win]]/Table132[[#This Row],[nb play]]</f>
        <v>1</v>
      </c>
      <c r="H6759" s="26" t="str">
        <f>MID(Table132[[#This Row],[ÉTAT]],VALUE(RIGHT(Table132[[#This Row],[next move]],1))+1+VALUE(LEFT(Table132[[#This Row],[next move]],1))*3,1)</f>
        <v>V</v>
      </c>
      <c r="I6759" s="26" t="str">
        <f>Table132[[#This Row],[ÉTAT]]&amp;Table132[[#This Row],[next move]]</f>
        <v>VVVEVMEVM11</v>
      </c>
    </row>
    <row r="6760" spans="2:9" x14ac:dyDescent="0.25">
      <c r="B6760" t="s">
        <v>2848</v>
      </c>
      <c r="C6760" s="22" t="s">
        <v>26</v>
      </c>
      <c r="D6760">
        <v>1</v>
      </c>
      <c r="G6760" s="30">
        <f>Table132[[#This Row],[nb win]]/Table132[[#This Row],[nb play]]</f>
        <v>0</v>
      </c>
      <c r="H6760" s="26" t="str">
        <f>MID(Table132[[#This Row],[ÉTAT]],VALUE(RIGHT(Table132[[#This Row],[next move]],1))+1+VALUE(LEFT(Table132[[#This Row],[next move]],1))*3,1)</f>
        <v>V</v>
      </c>
      <c r="I6760" s="26" t="str">
        <f>Table132[[#This Row],[ÉTAT]]&amp;Table132[[#This Row],[next move]]</f>
        <v>VVVMEEMVE01</v>
      </c>
    </row>
    <row r="6761" spans="2:9" x14ac:dyDescent="0.25">
      <c r="B6761" t="s">
        <v>3551</v>
      </c>
      <c r="C6761" s="22" t="s">
        <v>24</v>
      </c>
      <c r="D6761">
        <v>1</v>
      </c>
      <c r="E6761">
        <v>1</v>
      </c>
      <c r="G6761" s="31">
        <f>Table132[[#This Row],[nb win]]/Table132[[#This Row],[nb play]]</f>
        <v>1</v>
      </c>
      <c r="H6761" s="26" t="str">
        <f>MID(Table132[[#This Row],[ÉTAT]],VALUE(RIGHT(Table132[[#This Row],[next move]],1))+1+VALUE(LEFT(Table132[[#This Row],[next move]],1))*3,1)</f>
        <v>V</v>
      </c>
      <c r="I6761" s="26" t="str">
        <f>Table132[[#This Row],[ÉTAT]]&amp;Table132[[#This Row],[next move]]</f>
        <v>VEVEMMEVM00</v>
      </c>
    </row>
    <row r="6762" spans="2:9" x14ac:dyDescent="0.25">
      <c r="B6762" t="s">
        <v>2148</v>
      </c>
      <c r="C6762" s="22" t="s">
        <v>31</v>
      </c>
      <c r="D6762">
        <v>1</v>
      </c>
      <c r="G6762" s="30">
        <f>Table132[[#This Row],[nb win]]/Table132[[#This Row],[nb play]]</f>
        <v>0</v>
      </c>
      <c r="H6762" s="26" t="str">
        <f>MID(Table132[[#This Row],[ÉTAT]],VALUE(RIGHT(Table132[[#This Row],[next move]],1))+1+VALUE(LEFT(Table132[[#This Row],[next move]],1))*3,1)</f>
        <v>V</v>
      </c>
      <c r="I6762" s="26" t="str">
        <f>Table132[[#This Row],[ÉTAT]]&amp;Table132[[#This Row],[next move]]</f>
        <v>VVMEMVEVV22</v>
      </c>
    </row>
    <row r="6763" spans="2:9" x14ac:dyDescent="0.25">
      <c r="B6763" t="s">
        <v>3552</v>
      </c>
      <c r="C6763" s="22" t="s">
        <v>24</v>
      </c>
      <c r="D6763">
        <v>1</v>
      </c>
      <c r="E6763">
        <v>1</v>
      </c>
      <c r="G6763" s="31">
        <f>Table132[[#This Row],[nb win]]/Table132[[#This Row],[nb play]]</f>
        <v>1</v>
      </c>
      <c r="H6763" s="26" t="str">
        <f>MID(Table132[[#This Row],[ÉTAT]],VALUE(RIGHT(Table132[[#This Row],[next move]],1))+1+VALUE(LEFT(Table132[[#This Row],[next move]],1))*3,1)</f>
        <v>V</v>
      </c>
      <c r="I6763" s="26" t="str">
        <f>Table132[[#This Row],[ÉTAT]]&amp;Table132[[#This Row],[next move]]</f>
        <v>VVEMEVMVE00</v>
      </c>
    </row>
    <row r="6764" spans="2:9" x14ac:dyDescent="0.25">
      <c r="B6764" t="s">
        <v>121</v>
      </c>
      <c r="C6764" s="22" t="s">
        <v>31</v>
      </c>
      <c r="D6764">
        <v>2</v>
      </c>
      <c r="E6764">
        <v>2</v>
      </c>
      <c r="G6764" s="31">
        <f>Table132[[#This Row],[nb win]]/Table132[[#This Row],[nb play]]</f>
        <v>1</v>
      </c>
      <c r="H6764" s="26" t="str">
        <f>MID(Table132[[#This Row],[ÉTAT]],VALUE(RIGHT(Table132[[#This Row],[next move]],1))+1+VALUE(LEFT(Table132[[#This Row],[next move]],1))*3,1)</f>
        <v>V</v>
      </c>
      <c r="I6764" s="26" t="str">
        <f>Table132[[#This Row],[ÉTAT]]&amp;Table132[[#This Row],[next move]]</f>
        <v>MVEVVVVVV22</v>
      </c>
    </row>
    <row r="6765" spans="2:9" x14ac:dyDescent="0.25">
      <c r="B6765" t="s">
        <v>2920</v>
      </c>
      <c r="C6765" s="22" t="s">
        <v>28</v>
      </c>
      <c r="D6765">
        <v>1</v>
      </c>
      <c r="E6765">
        <v>1</v>
      </c>
      <c r="G6765" s="31">
        <f>Table132[[#This Row],[nb win]]/Table132[[#This Row],[nb play]]</f>
        <v>1</v>
      </c>
      <c r="H6765" s="26" t="str">
        <f>MID(Table132[[#This Row],[ÉTAT]],VALUE(RIGHT(Table132[[#This Row],[next move]],1))+1+VALUE(LEFT(Table132[[#This Row],[next move]],1))*3,1)</f>
        <v>V</v>
      </c>
      <c r="I6765" s="26" t="str">
        <f>Table132[[#This Row],[ÉTAT]]&amp;Table132[[#This Row],[next move]]</f>
        <v>MVEVVVVEM12</v>
      </c>
    </row>
    <row r="6766" spans="2:9" x14ac:dyDescent="0.25">
      <c r="B6766" t="s">
        <v>2187</v>
      </c>
      <c r="C6766" s="22" t="s">
        <v>30</v>
      </c>
      <c r="D6766">
        <v>1</v>
      </c>
      <c r="G6766" s="30">
        <f>Table132[[#This Row],[nb win]]/Table132[[#This Row],[nb play]]</f>
        <v>0</v>
      </c>
      <c r="H6766" s="26" t="str">
        <f>MID(Table132[[#This Row],[ÉTAT]],VALUE(RIGHT(Table132[[#This Row],[next move]],1))+1+VALUE(LEFT(Table132[[#This Row],[next move]],1))*3,1)</f>
        <v>V</v>
      </c>
      <c r="I6766" s="26" t="str">
        <f>Table132[[#This Row],[ÉTAT]]&amp;Table132[[#This Row],[next move]]</f>
        <v>EVMVVEVME10</v>
      </c>
    </row>
    <row r="6767" spans="2:9" x14ac:dyDescent="0.25">
      <c r="B6767" t="s">
        <v>3553</v>
      </c>
      <c r="C6767" s="22" t="s">
        <v>29</v>
      </c>
      <c r="D6767">
        <v>1</v>
      </c>
      <c r="E6767">
        <v>1</v>
      </c>
      <c r="G6767" s="31">
        <f>Table132[[#This Row],[nb win]]/Table132[[#This Row],[nb play]]</f>
        <v>1</v>
      </c>
      <c r="H6767" s="26" t="str">
        <f>MID(Table132[[#This Row],[ÉTAT]],VALUE(RIGHT(Table132[[#This Row],[next move]],1))+1+VALUE(LEFT(Table132[[#This Row],[next move]],1))*3,1)</f>
        <v>V</v>
      </c>
      <c r="I6767" s="26" t="str">
        <f>Table132[[#This Row],[ÉTAT]]&amp;Table132[[#This Row],[next move]]</f>
        <v>MVEEVMVEM11</v>
      </c>
    </row>
    <row r="6768" spans="2:9" x14ac:dyDescent="0.25">
      <c r="B6768" t="s">
        <v>367</v>
      </c>
      <c r="C6768" s="22" t="s">
        <v>35</v>
      </c>
      <c r="D6768">
        <v>1</v>
      </c>
      <c r="E6768">
        <v>1</v>
      </c>
      <c r="G6768" s="31">
        <f>Table132[[#This Row],[nb win]]/Table132[[#This Row],[nb play]]</f>
        <v>1</v>
      </c>
      <c r="H6768" s="26" t="str">
        <f>MID(Table132[[#This Row],[ÉTAT]],VALUE(RIGHT(Table132[[#This Row],[next move]],1))+1+VALUE(LEFT(Table132[[#This Row],[next move]],1))*3,1)</f>
        <v>V</v>
      </c>
      <c r="I6768" s="26" t="str">
        <f>Table132[[#This Row],[ÉTAT]]&amp;Table132[[#This Row],[next move]]</f>
        <v>VVVVVVVME20</v>
      </c>
    </row>
    <row r="6769" spans="2:9" x14ac:dyDescent="0.25">
      <c r="B6769" t="s">
        <v>1536</v>
      </c>
      <c r="C6769" s="22" t="s">
        <v>20</v>
      </c>
      <c r="D6769">
        <v>1</v>
      </c>
      <c r="G6769" s="30">
        <f>Table132[[#This Row],[nb win]]/Table132[[#This Row],[nb play]]</f>
        <v>0</v>
      </c>
      <c r="H6769" s="26" t="str">
        <f>MID(Table132[[#This Row],[ÉTAT]],VALUE(RIGHT(Table132[[#This Row],[next move]],1))+1+VALUE(LEFT(Table132[[#This Row],[next move]],1))*3,1)</f>
        <v>V</v>
      </c>
      <c r="I6769" s="26" t="str">
        <f>Table132[[#This Row],[ÉTAT]]&amp;Table132[[#This Row],[next move]]</f>
        <v>VVVVVVEEM02</v>
      </c>
    </row>
    <row r="6770" spans="2:9" x14ac:dyDescent="0.25">
      <c r="B6770" t="s">
        <v>2359</v>
      </c>
      <c r="C6770" s="22" t="s">
        <v>28</v>
      </c>
      <c r="D6770">
        <v>1</v>
      </c>
      <c r="E6770">
        <v>1</v>
      </c>
      <c r="G6770" s="31">
        <f>Table132[[#This Row],[nb win]]/Table132[[#This Row],[nb play]]</f>
        <v>1</v>
      </c>
      <c r="H6770" s="26" t="str">
        <f>MID(Table132[[#This Row],[ÉTAT]],VALUE(RIGHT(Table132[[#This Row],[next move]],1))+1+VALUE(LEFT(Table132[[#This Row],[next move]],1))*3,1)</f>
        <v>V</v>
      </c>
      <c r="I6770" s="26" t="str">
        <f>Table132[[#This Row],[ÉTAT]]&amp;Table132[[#This Row],[next move]]</f>
        <v>VVEVVVMME12</v>
      </c>
    </row>
    <row r="6771" spans="2:9" x14ac:dyDescent="0.25">
      <c r="B6771" t="s">
        <v>2322</v>
      </c>
      <c r="C6771" s="22" t="s">
        <v>24</v>
      </c>
      <c r="D6771">
        <v>1</v>
      </c>
      <c r="G6771" s="30">
        <f>Table132[[#This Row],[nb win]]/Table132[[#This Row],[nb play]]</f>
        <v>0</v>
      </c>
      <c r="H6771" s="26" t="str">
        <f>MID(Table132[[#This Row],[ÉTAT]],VALUE(RIGHT(Table132[[#This Row],[next move]],1))+1+VALUE(LEFT(Table132[[#This Row],[next move]],1))*3,1)</f>
        <v>V</v>
      </c>
      <c r="I6771" s="26" t="str">
        <f>Table132[[#This Row],[ÉTAT]]&amp;Table132[[#This Row],[next move]]</f>
        <v>VVMVVEEEM00</v>
      </c>
    </row>
    <row r="6772" spans="2:9" x14ac:dyDescent="0.25">
      <c r="B6772" t="s">
        <v>3554</v>
      </c>
      <c r="C6772" s="22" t="s">
        <v>26</v>
      </c>
      <c r="D6772">
        <v>1</v>
      </c>
      <c r="E6772">
        <v>1</v>
      </c>
      <c r="G6772" s="31">
        <f>Table132[[#This Row],[nb win]]/Table132[[#This Row],[nb play]]</f>
        <v>1</v>
      </c>
      <c r="H6772" s="26" t="str">
        <f>MID(Table132[[#This Row],[ÉTAT]],VALUE(RIGHT(Table132[[#This Row],[next move]],1))+1+VALUE(LEFT(Table132[[#This Row],[next move]],1))*3,1)</f>
        <v>V</v>
      </c>
      <c r="I6772" s="26" t="str">
        <f>Table132[[#This Row],[ÉTAT]]&amp;Table132[[#This Row],[next move]]</f>
        <v>EVEVVMMME01</v>
      </c>
    </row>
    <row r="6773" spans="2:9" x14ac:dyDescent="0.25">
      <c r="B6773" t="s">
        <v>1279</v>
      </c>
      <c r="C6773" s="22" t="s">
        <v>30</v>
      </c>
      <c r="D6773">
        <v>1</v>
      </c>
      <c r="G6773" s="30">
        <f>Table132[[#This Row],[nb win]]/Table132[[#This Row],[nb play]]</f>
        <v>0</v>
      </c>
      <c r="H6773" s="26" t="str">
        <f>MID(Table132[[#This Row],[ÉTAT]],VALUE(RIGHT(Table132[[#This Row],[next move]],1))+1+VALUE(LEFT(Table132[[#This Row],[next move]],1))*3,1)</f>
        <v>V</v>
      </c>
      <c r="I6773" s="26" t="str">
        <f>Table132[[#This Row],[ÉTAT]]&amp;Table132[[#This Row],[next move]]</f>
        <v>MEMVVEEEM10</v>
      </c>
    </row>
    <row r="6774" spans="2:9" x14ac:dyDescent="0.25">
      <c r="B6774" t="s">
        <v>1343</v>
      </c>
      <c r="C6774" s="22" t="s">
        <v>28</v>
      </c>
      <c r="D6774">
        <v>1</v>
      </c>
      <c r="G6774" s="30">
        <f>Table132[[#This Row],[nb win]]/Table132[[#This Row],[nb play]]</f>
        <v>0</v>
      </c>
      <c r="H6774" s="26" t="str">
        <f>MID(Table132[[#This Row],[ÉTAT]],VALUE(RIGHT(Table132[[#This Row],[next move]],1))+1+VALUE(LEFT(Table132[[#This Row],[next move]],1))*3,1)</f>
        <v>V</v>
      </c>
      <c r="I6774" s="26" t="str">
        <f>Table132[[#This Row],[ÉTAT]]&amp;Table132[[#This Row],[next move]]</f>
        <v>EVVVMVVME12</v>
      </c>
    </row>
    <row r="6775" spans="2:9" x14ac:dyDescent="0.25">
      <c r="B6775" t="s">
        <v>3376</v>
      </c>
      <c r="C6775" s="22" t="s">
        <v>30</v>
      </c>
      <c r="D6775">
        <v>2</v>
      </c>
      <c r="E6775">
        <v>1</v>
      </c>
      <c r="G6775" s="30">
        <f>Table132[[#This Row],[nb win]]/Table132[[#This Row],[nb play]]</f>
        <v>0.5</v>
      </c>
      <c r="H6775" s="26" t="str">
        <f>MID(Table132[[#This Row],[ÉTAT]],VALUE(RIGHT(Table132[[#This Row],[next move]],1))+1+VALUE(LEFT(Table132[[#This Row],[next move]],1))*3,1)</f>
        <v>V</v>
      </c>
      <c r="I6775" s="26" t="str">
        <f>Table132[[#This Row],[ÉTAT]]&amp;Table132[[#This Row],[next move]]</f>
        <v>MVVVEEVEM10</v>
      </c>
    </row>
    <row r="6776" spans="2:9" x14ac:dyDescent="0.25">
      <c r="B6776" t="s">
        <v>176</v>
      </c>
      <c r="C6776" s="22" t="s">
        <v>20</v>
      </c>
      <c r="D6776">
        <v>1</v>
      </c>
      <c r="G6776" s="30">
        <f>Table132[[#This Row],[nb win]]/Table132[[#This Row],[nb play]]</f>
        <v>0</v>
      </c>
      <c r="H6776" s="26" t="str">
        <f>MID(Table132[[#This Row],[ÉTAT]],VALUE(RIGHT(Table132[[#This Row],[next move]],1))+1+VALUE(LEFT(Table132[[#This Row],[next move]],1))*3,1)</f>
        <v>V</v>
      </c>
      <c r="I6776" s="26" t="str">
        <f>Table132[[#This Row],[ÉTAT]]&amp;Table132[[#This Row],[next move]]</f>
        <v>EVVEMMVME02</v>
      </c>
    </row>
    <row r="6777" spans="2:9" x14ac:dyDescent="0.25">
      <c r="B6777" t="s">
        <v>3555</v>
      </c>
      <c r="C6777" s="22" t="s">
        <v>35</v>
      </c>
      <c r="D6777">
        <v>1</v>
      </c>
      <c r="E6777">
        <v>1</v>
      </c>
      <c r="G6777" s="31">
        <f>Table132[[#This Row],[nb win]]/Table132[[#This Row],[nb play]]</f>
        <v>1</v>
      </c>
      <c r="H6777" s="26" t="str">
        <f>MID(Table132[[#This Row],[ÉTAT]],VALUE(RIGHT(Table132[[#This Row],[next move]],1))+1+VALUE(LEFT(Table132[[#This Row],[next move]],1))*3,1)</f>
        <v>V</v>
      </c>
      <c r="I6777" s="26" t="str">
        <f>Table132[[#This Row],[ÉTAT]]&amp;Table132[[#This Row],[next move]]</f>
        <v>MVEMEEVEM20</v>
      </c>
    </row>
    <row r="6778" spans="2:9" x14ac:dyDescent="0.25">
      <c r="B6778" t="s">
        <v>1935</v>
      </c>
      <c r="C6778" s="22" t="s">
        <v>28</v>
      </c>
      <c r="D6778">
        <v>1</v>
      </c>
      <c r="E6778">
        <v>1</v>
      </c>
      <c r="G6778" s="31">
        <f>Table132[[#This Row],[nb win]]/Table132[[#This Row],[nb play]]</f>
        <v>1</v>
      </c>
      <c r="H6778" s="26" t="str">
        <f>MID(Table132[[#This Row],[ÉTAT]],VALUE(RIGHT(Table132[[#This Row],[next move]],1))+1+VALUE(LEFT(Table132[[#This Row],[next move]],1))*3,1)</f>
        <v>V</v>
      </c>
      <c r="I6778" s="26" t="str">
        <f>Table132[[#This Row],[ÉTAT]]&amp;Table132[[#This Row],[next move]]</f>
        <v>EVMEVVVVM12</v>
      </c>
    </row>
    <row r="6779" spans="2:9" x14ac:dyDescent="0.25">
      <c r="B6779" t="s">
        <v>736</v>
      </c>
      <c r="C6779" s="22" t="s">
        <v>31</v>
      </c>
      <c r="D6779">
        <v>1</v>
      </c>
      <c r="G6779" s="30">
        <f>Table132[[#This Row],[nb win]]/Table132[[#This Row],[nb play]]</f>
        <v>0</v>
      </c>
      <c r="H6779" s="26" t="str">
        <f>MID(Table132[[#This Row],[ÉTAT]],VALUE(RIGHT(Table132[[#This Row],[next move]],1))+1+VALUE(LEFT(Table132[[#This Row],[next move]],1))*3,1)</f>
        <v>V</v>
      </c>
      <c r="I6779" s="26" t="str">
        <f>Table132[[#This Row],[ÉTAT]]&amp;Table132[[#This Row],[next move]]</f>
        <v>VMVVVVEVV22</v>
      </c>
    </row>
    <row r="6780" spans="2:9" x14ac:dyDescent="0.25">
      <c r="B6780" t="s">
        <v>283</v>
      </c>
      <c r="C6780" s="22" t="s">
        <v>20</v>
      </c>
      <c r="D6780">
        <v>1</v>
      </c>
      <c r="E6780">
        <v>1</v>
      </c>
      <c r="G6780" s="31">
        <f>Table132[[#This Row],[nb win]]/Table132[[#This Row],[nb play]]</f>
        <v>1</v>
      </c>
      <c r="H6780" s="26" t="str">
        <f>MID(Table132[[#This Row],[ÉTAT]],VALUE(RIGHT(Table132[[#This Row],[next move]],1))+1+VALUE(LEFT(Table132[[#This Row],[next move]],1))*3,1)</f>
        <v>V</v>
      </c>
      <c r="I6780" s="26" t="str">
        <f>Table132[[#This Row],[ÉTAT]]&amp;Table132[[#This Row],[next move]]</f>
        <v>VEVVVVMVE02</v>
      </c>
    </row>
    <row r="6781" spans="2:9" x14ac:dyDescent="0.25">
      <c r="B6781" t="s">
        <v>1608</v>
      </c>
      <c r="C6781" s="22" t="s">
        <v>22</v>
      </c>
      <c r="D6781">
        <v>1</v>
      </c>
      <c r="G6781" s="30">
        <f>Table132[[#This Row],[nb win]]/Table132[[#This Row],[nb play]]</f>
        <v>0</v>
      </c>
      <c r="H6781" s="26" t="str">
        <f>MID(Table132[[#This Row],[ÉTAT]],VALUE(RIGHT(Table132[[#This Row],[next move]],1))+1+VALUE(LEFT(Table132[[#This Row],[next move]],1))*3,1)</f>
        <v>V</v>
      </c>
      <c r="I6781" s="26" t="str">
        <f>Table132[[#This Row],[ÉTAT]]&amp;Table132[[#This Row],[next move]]</f>
        <v>VMEVVVEVM21</v>
      </c>
    </row>
    <row r="6782" spans="2:9" x14ac:dyDescent="0.25">
      <c r="B6782" t="s">
        <v>3556</v>
      </c>
      <c r="C6782" s="22" t="s">
        <v>29</v>
      </c>
      <c r="D6782">
        <v>2</v>
      </c>
      <c r="E6782">
        <v>2</v>
      </c>
      <c r="G6782" s="31">
        <f>Table132[[#This Row],[nb win]]/Table132[[#This Row],[nb play]]</f>
        <v>1</v>
      </c>
      <c r="H6782" s="26" t="str">
        <f>MID(Table132[[#This Row],[ÉTAT]],VALUE(RIGHT(Table132[[#This Row],[next move]],1))+1+VALUE(LEFT(Table132[[#This Row],[next move]],1))*3,1)</f>
        <v>V</v>
      </c>
      <c r="I6782" s="26" t="str">
        <f>Table132[[#This Row],[ÉTAT]]&amp;Table132[[#This Row],[next move]]</f>
        <v>VEMVVVMEE11</v>
      </c>
    </row>
    <row r="6783" spans="2:9" x14ac:dyDescent="0.25">
      <c r="B6783" t="s">
        <v>736</v>
      </c>
      <c r="C6783" s="22" t="s">
        <v>20</v>
      </c>
      <c r="D6783">
        <v>2</v>
      </c>
      <c r="E6783">
        <v>2</v>
      </c>
      <c r="G6783" s="31">
        <f>Table132[[#This Row],[nb win]]/Table132[[#This Row],[nb play]]</f>
        <v>1</v>
      </c>
      <c r="H6783" s="26" t="str">
        <f>MID(Table132[[#This Row],[ÉTAT]],VALUE(RIGHT(Table132[[#This Row],[next move]],1))+1+VALUE(LEFT(Table132[[#This Row],[next move]],1))*3,1)</f>
        <v>V</v>
      </c>
      <c r="I6783" s="26" t="str">
        <f>Table132[[#This Row],[ÉTAT]]&amp;Table132[[#This Row],[next move]]</f>
        <v>VMVVVVEVV02</v>
      </c>
    </row>
    <row r="6784" spans="2:9" x14ac:dyDescent="0.25">
      <c r="B6784" t="s">
        <v>1996</v>
      </c>
      <c r="C6784" s="22" t="s">
        <v>28</v>
      </c>
      <c r="D6784">
        <v>1</v>
      </c>
      <c r="G6784" s="30">
        <f>Table132[[#This Row],[nb win]]/Table132[[#This Row],[nb play]]</f>
        <v>0</v>
      </c>
      <c r="H6784" s="26" t="str">
        <f>MID(Table132[[#This Row],[ÉTAT]],VALUE(RIGHT(Table132[[#This Row],[next move]],1))+1+VALUE(LEFT(Table132[[#This Row],[next move]],1))*3,1)</f>
        <v>V</v>
      </c>
      <c r="I6784" s="26" t="str">
        <f>Table132[[#This Row],[ÉTAT]]&amp;Table132[[#This Row],[next move]]</f>
        <v>VEEVVVMVV12</v>
      </c>
    </row>
    <row r="6785" spans="2:9" x14ac:dyDescent="0.25">
      <c r="B6785" t="s">
        <v>3557</v>
      </c>
      <c r="C6785" s="22" t="s">
        <v>24</v>
      </c>
      <c r="D6785">
        <v>1</v>
      </c>
      <c r="E6785">
        <v>1</v>
      </c>
      <c r="G6785" s="31">
        <f>Table132[[#This Row],[nb win]]/Table132[[#This Row],[nb play]]</f>
        <v>1</v>
      </c>
      <c r="H6785" s="26" t="str">
        <f>MID(Table132[[#This Row],[ÉTAT]],VALUE(RIGHT(Table132[[#This Row],[next move]],1))+1+VALUE(LEFT(Table132[[#This Row],[next move]],1))*3,1)</f>
        <v>V</v>
      </c>
      <c r="I6785" s="26" t="str">
        <f>Table132[[#This Row],[ÉTAT]]&amp;Table132[[#This Row],[next move]]</f>
        <v>VMMVVEEVV00</v>
      </c>
    </row>
    <row r="6786" spans="2:9" x14ac:dyDescent="0.25">
      <c r="B6786" t="s">
        <v>1677</v>
      </c>
      <c r="C6786" s="22" t="s">
        <v>30</v>
      </c>
      <c r="D6786">
        <v>1</v>
      </c>
      <c r="G6786" s="30">
        <f>Table132[[#This Row],[nb win]]/Table132[[#This Row],[nb play]]</f>
        <v>0</v>
      </c>
      <c r="H6786" s="26" t="str">
        <f>MID(Table132[[#This Row],[ÉTAT]],VALUE(RIGHT(Table132[[#This Row],[next move]],1))+1+VALUE(LEFT(Table132[[#This Row],[next move]],1))*3,1)</f>
        <v>V</v>
      </c>
      <c r="I6786" s="26" t="str">
        <f>Table132[[#This Row],[ÉTAT]]&amp;Table132[[#This Row],[next move]]</f>
        <v>MEEVVVVVV10</v>
      </c>
    </row>
    <row r="6787" spans="2:9" x14ac:dyDescent="0.25">
      <c r="B6787" t="s">
        <v>3430</v>
      </c>
      <c r="C6787" s="22" t="s">
        <v>35</v>
      </c>
      <c r="D6787">
        <v>2</v>
      </c>
      <c r="E6787">
        <v>2</v>
      </c>
      <c r="G6787" s="31">
        <f>Table132[[#This Row],[nb win]]/Table132[[#This Row],[nb play]]</f>
        <v>1</v>
      </c>
      <c r="H6787" s="26" t="str">
        <f>MID(Table132[[#This Row],[ÉTAT]],VALUE(RIGHT(Table132[[#This Row],[next move]],1))+1+VALUE(LEFT(Table132[[#This Row],[next move]],1))*3,1)</f>
        <v>V</v>
      </c>
      <c r="I6787" s="26" t="str">
        <f>Table132[[#This Row],[ÉTAT]]&amp;Table132[[#This Row],[next move]]</f>
        <v>EMMEVVVVV20</v>
      </c>
    </row>
    <row r="6788" spans="2:9" x14ac:dyDescent="0.25">
      <c r="B6788" t="s">
        <v>2496</v>
      </c>
      <c r="C6788" s="22" t="s">
        <v>22</v>
      </c>
      <c r="D6788">
        <v>1</v>
      </c>
      <c r="G6788" s="30">
        <f>Table132[[#This Row],[nb win]]/Table132[[#This Row],[nb play]]</f>
        <v>0</v>
      </c>
      <c r="H6788" s="26" t="str">
        <f>MID(Table132[[#This Row],[ÉTAT]],VALUE(RIGHT(Table132[[#This Row],[next move]],1))+1+VALUE(LEFT(Table132[[#This Row],[next move]],1))*3,1)</f>
        <v>V</v>
      </c>
      <c r="I6788" s="26" t="str">
        <f>Table132[[#This Row],[ÉTAT]]&amp;Table132[[#This Row],[next move]]</f>
        <v>MEEMVVEVV21</v>
      </c>
    </row>
    <row r="6789" spans="2:9" x14ac:dyDescent="0.25">
      <c r="B6789" t="s">
        <v>3558</v>
      </c>
      <c r="C6789" s="22" t="s">
        <v>31</v>
      </c>
      <c r="D6789">
        <v>1</v>
      </c>
      <c r="E6789">
        <v>1</v>
      </c>
      <c r="G6789" s="31">
        <f>Table132[[#This Row],[nb win]]/Table132[[#This Row],[nb play]]</f>
        <v>1</v>
      </c>
      <c r="H6789" s="26" t="str">
        <f>MID(Table132[[#This Row],[ÉTAT]],VALUE(RIGHT(Table132[[#This Row],[next move]],1))+1+VALUE(LEFT(Table132[[#This Row],[next move]],1))*3,1)</f>
        <v>V</v>
      </c>
      <c r="I6789" s="26" t="str">
        <f>Table132[[#This Row],[ÉTAT]]&amp;Table132[[#This Row],[next move]]</f>
        <v>EMMEVVMEV22</v>
      </c>
    </row>
    <row r="6790" spans="2:9" x14ac:dyDescent="0.25">
      <c r="B6790" t="s">
        <v>281</v>
      </c>
      <c r="C6790" s="22" t="s">
        <v>24</v>
      </c>
      <c r="D6790">
        <v>1</v>
      </c>
      <c r="G6790" s="30">
        <f>Table132[[#This Row],[nb win]]/Table132[[#This Row],[nb play]]</f>
        <v>0</v>
      </c>
      <c r="H6790" s="26" t="str">
        <f>MID(Table132[[#This Row],[ÉTAT]],VALUE(RIGHT(Table132[[#This Row],[next move]],1))+1+VALUE(LEFT(Table132[[#This Row],[next move]],1))*3,1)</f>
        <v>V</v>
      </c>
      <c r="I6790" s="26" t="str">
        <f>Table132[[#This Row],[ÉTAT]]&amp;Table132[[#This Row],[next move]]</f>
        <v>VVVVVVEVM00</v>
      </c>
    </row>
    <row r="6791" spans="2:9" x14ac:dyDescent="0.25">
      <c r="B6791" t="s">
        <v>3559</v>
      </c>
      <c r="C6791" s="22" t="s">
        <v>22</v>
      </c>
      <c r="D6791">
        <v>2</v>
      </c>
      <c r="E6791">
        <v>1</v>
      </c>
      <c r="G6791" s="30">
        <f>Table132[[#This Row],[nb win]]/Table132[[#This Row],[nb play]]</f>
        <v>0.5</v>
      </c>
      <c r="H6791" s="26" t="str">
        <f>MID(Table132[[#This Row],[ÉTAT]],VALUE(RIGHT(Table132[[#This Row],[next move]],1))+1+VALUE(LEFT(Table132[[#This Row],[next move]],1))*3,1)</f>
        <v>V</v>
      </c>
      <c r="I6791" s="26" t="str">
        <f>Table132[[#This Row],[ÉTAT]]&amp;Table132[[#This Row],[next move]]</f>
        <v>EVVVVVMVE21</v>
      </c>
    </row>
    <row r="6792" spans="2:9" x14ac:dyDescent="0.25">
      <c r="B6792" t="s">
        <v>2976</v>
      </c>
      <c r="C6792" s="22" t="s">
        <v>30</v>
      </c>
      <c r="D6792">
        <v>1</v>
      </c>
      <c r="G6792" s="30">
        <f>Table132[[#This Row],[nb win]]/Table132[[#This Row],[nb play]]</f>
        <v>0</v>
      </c>
      <c r="H6792" s="26" t="str">
        <f>MID(Table132[[#This Row],[ÉTAT]],VALUE(RIGHT(Table132[[#This Row],[next move]],1))+1+VALUE(LEFT(Table132[[#This Row],[next move]],1))*3,1)</f>
        <v>V</v>
      </c>
      <c r="I6792" s="26" t="str">
        <f>Table132[[#This Row],[ÉTAT]]&amp;Table132[[#This Row],[next move]]</f>
        <v>MVVVVVEEM10</v>
      </c>
    </row>
    <row r="6793" spans="2:9" x14ac:dyDescent="0.25">
      <c r="B6793" t="s">
        <v>3325</v>
      </c>
      <c r="C6793" s="22" t="s">
        <v>20</v>
      </c>
      <c r="D6793">
        <v>2</v>
      </c>
      <c r="E6793">
        <v>2</v>
      </c>
      <c r="G6793" s="31">
        <f>Table132[[#This Row],[nb win]]/Table132[[#This Row],[nb play]]</f>
        <v>1</v>
      </c>
      <c r="H6793" s="26" t="str">
        <f>MID(Table132[[#This Row],[ÉTAT]],VALUE(RIGHT(Table132[[#This Row],[next move]],1))+1+VALUE(LEFT(Table132[[#This Row],[next move]],1))*3,1)</f>
        <v>V</v>
      </c>
      <c r="I6793" s="26" t="str">
        <f>Table132[[#This Row],[ÉTAT]]&amp;Table132[[#This Row],[next move]]</f>
        <v>EVVEVVMME02</v>
      </c>
    </row>
    <row r="6794" spans="2:9" x14ac:dyDescent="0.25">
      <c r="B6794" t="s">
        <v>3560</v>
      </c>
      <c r="C6794" s="22" t="s">
        <v>28</v>
      </c>
      <c r="D6794">
        <v>1</v>
      </c>
      <c r="G6794" s="30">
        <f>Table132[[#This Row],[nb win]]/Table132[[#This Row],[nb play]]</f>
        <v>0</v>
      </c>
      <c r="H6794" s="26" t="str">
        <f>MID(Table132[[#This Row],[ÉTAT]],VALUE(RIGHT(Table132[[#This Row],[next move]],1))+1+VALUE(LEFT(Table132[[#This Row],[next move]],1))*3,1)</f>
        <v>V</v>
      </c>
      <c r="I6794" s="26" t="str">
        <f>Table132[[#This Row],[ÉTAT]]&amp;Table132[[#This Row],[next move]]</f>
        <v>MVEMVVEEM12</v>
      </c>
    </row>
    <row r="6795" spans="2:9" x14ac:dyDescent="0.25">
      <c r="B6795" t="s">
        <v>3561</v>
      </c>
      <c r="C6795" s="22" t="s">
        <v>29</v>
      </c>
      <c r="D6795">
        <v>1</v>
      </c>
      <c r="E6795">
        <v>1</v>
      </c>
      <c r="G6795" s="31">
        <f>Table132[[#This Row],[nb win]]/Table132[[#This Row],[nb play]]</f>
        <v>1</v>
      </c>
      <c r="H6795" s="26" t="str">
        <f>MID(Table132[[#This Row],[ÉTAT]],VALUE(RIGHT(Table132[[#This Row],[next move]],1))+1+VALUE(LEFT(Table132[[#This Row],[next move]],1))*3,1)</f>
        <v>V</v>
      </c>
      <c r="I6795" s="26" t="str">
        <f>Table132[[#This Row],[ÉTAT]]&amp;Table132[[#This Row],[next move]]</f>
        <v>EVMEVEMME11</v>
      </c>
    </row>
    <row r="6796" spans="2:9" x14ac:dyDescent="0.25">
      <c r="B6796" t="s">
        <v>1347</v>
      </c>
      <c r="C6796" s="22" t="s">
        <v>30</v>
      </c>
      <c r="D6796">
        <v>2</v>
      </c>
      <c r="E6796">
        <v>1</v>
      </c>
      <c r="G6796" s="30">
        <f>Table132[[#This Row],[nb win]]/Table132[[#This Row],[nb play]]</f>
        <v>0.5</v>
      </c>
      <c r="H6796" s="26" t="str">
        <f>MID(Table132[[#This Row],[ÉTAT]],VALUE(RIGHT(Table132[[#This Row],[next move]],1))+1+VALUE(LEFT(Table132[[#This Row],[next move]],1))*3,1)</f>
        <v>V</v>
      </c>
      <c r="I6796" s="26" t="str">
        <f>Table132[[#This Row],[ÉTAT]]&amp;Table132[[#This Row],[next move]]</f>
        <v>VVEVMVEVV10</v>
      </c>
    </row>
    <row r="6797" spans="2:9" x14ac:dyDescent="0.25">
      <c r="B6797" t="s">
        <v>2034</v>
      </c>
      <c r="C6797" s="22" t="s">
        <v>28</v>
      </c>
      <c r="D6797">
        <v>1</v>
      </c>
      <c r="G6797" s="30">
        <f>Table132[[#This Row],[nb win]]/Table132[[#This Row],[nb play]]</f>
        <v>0</v>
      </c>
      <c r="H6797" s="26" t="str">
        <f>MID(Table132[[#This Row],[ÉTAT]],VALUE(RIGHT(Table132[[#This Row],[next move]],1))+1+VALUE(LEFT(Table132[[#This Row],[next move]],1))*3,1)</f>
        <v>V</v>
      </c>
      <c r="I6797" s="26" t="str">
        <f>Table132[[#This Row],[ÉTAT]]&amp;Table132[[#This Row],[next move]]</f>
        <v>VVMEEVMVV12</v>
      </c>
    </row>
    <row r="6798" spans="2:9" x14ac:dyDescent="0.25">
      <c r="B6798" t="s">
        <v>998</v>
      </c>
      <c r="C6798" s="22" t="s">
        <v>31</v>
      </c>
      <c r="D6798">
        <v>1</v>
      </c>
      <c r="E6798">
        <v>1</v>
      </c>
      <c r="G6798" s="31">
        <f>Table132[[#This Row],[nb win]]/Table132[[#This Row],[nb play]]</f>
        <v>1</v>
      </c>
      <c r="H6798" s="26" t="str">
        <f>MID(Table132[[#This Row],[ÉTAT]],VALUE(RIGHT(Table132[[#This Row],[next move]],1))+1+VALUE(LEFT(Table132[[#This Row],[next move]],1))*3,1)</f>
        <v>V</v>
      </c>
      <c r="I6798" s="26" t="str">
        <f>Table132[[#This Row],[ÉTAT]]&amp;Table132[[#This Row],[next move]]</f>
        <v>VVEMMEEVV22</v>
      </c>
    </row>
    <row r="6799" spans="2:9" x14ac:dyDescent="0.25">
      <c r="B6799" t="s">
        <v>456</v>
      </c>
      <c r="C6799" s="22" t="s">
        <v>26</v>
      </c>
      <c r="D6799">
        <v>1</v>
      </c>
      <c r="G6799" s="30">
        <f>Table132[[#This Row],[nb win]]/Table132[[#This Row],[nb play]]</f>
        <v>0</v>
      </c>
      <c r="H6799" s="26" t="str">
        <f>MID(Table132[[#This Row],[ÉTAT]],VALUE(RIGHT(Table132[[#This Row],[next move]],1))+1+VALUE(LEFT(Table132[[#This Row],[next move]],1))*3,1)</f>
        <v>V</v>
      </c>
      <c r="I6799" s="26" t="str">
        <f>Table132[[#This Row],[ÉTAT]]&amp;Table132[[#This Row],[next move]]</f>
        <v>VVMEEMMVE01</v>
      </c>
    </row>
    <row r="6800" spans="2:9" x14ac:dyDescent="0.25">
      <c r="B6800" t="s">
        <v>3562</v>
      </c>
      <c r="C6800" s="22" t="s">
        <v>24</v>
      </c>
      <c r="D6800">
        <v>1</v>
      </c>
      <c r="E6800">
        <v>1</v>
      </c>
      <c r="G6800" s="31">
        <f>Table132[[#This Row],[nb win]]/Table132[[#This Row],[nb play]]</f>
        <v>1</v>
      </c>
      <c r="H6800" s="26" t="str">
        <f>MID(Table132[[#This Row],[ÉTAT]],VALUE(RIGHT(Table132[[#This Row],[next move]],1))+1+VALUE(LEFT(Table132[[#This Row],[next move]],1))*3,1)</f>
        <v>V</v>
      </c>
      <c r="I6800" s="26" t="str">
        <f>Table132[[#This Row],[ÉTAT]]&amp;Table132[[#This Row],[next move]]</f>
        <v>VEEMMEEVM00</v>
      </c>
    </row>
    <row r="6801" spans="2:9" x14ac:dyDescent="0.25">
      <c r="B6801" t="s">
        <v>84</v>
      </c>
      <c r="C6801" s="22" t="s">
        <v>28</v>
      </c>
      <c r="D6801">
        <v>1</v>
      </c>
      <c r="G6801" s="30">
        <f>Table132[[#This Row],[nb win]]/Table132[[#This Row],[nb play]]</f>
        <v>0</v>
      </c>
      <c r="H6801" s="26" t="str">
        <f>MID(Table132[[#This Row],[ÉTAT]],VALUE(RIGHT(Table132[[#This Row],[next move]],1))+1+VALUE(LEFT(Table132[[#This Row],[next move]],1))*3,1)</f>
        <v>V</v>
      </c>
      <c r="I6801" s="26" t="str">
        <f>Table132[[#This Row],[ÉTAT]]&amp;Table132[[#This Row],[next move]]</f>
        <v>VEVVMVVVV12</v>
      </c>
    </row>
    <row r="6802" spans="2:9" x14ac:dyDescent="0.25">
      <c r="B6802" t="s">
        <v>1776</v>
      </c>
      <c r="C6802" s="22" t="s">
        <v>22</v>
      </c>
      <c r="D6802">
        <v>1</v>
      </c>
      <c r="G6802" s="30">
        <f>Table132[[#This Row],[nb win]]/Table132[[#This Row],[nb play]]</f>
        <v>0</v>
      </c>
      <c r="H6802" s="26" t="str">
        <f>MID(Table132[[#This Row],[ÉTAT]],VALUE(RIGHT(Table132[[#This Row],[next move]],1))+1+VALUE(LEFT(Table132[[#This Row],[next move]],1))*3,1)</f>
        <v>V</v>
      </c>
      <c r="I6802" s="26" t="str">
        <f>Table132[[#This Row],[ÉTAT]]&amp;Table132[[#This Row],[next move]]</f>
        <v>EEVVMMVVV21</v>
      </c>
    </row>
    <row r="6803" spans="2:9" x14ac:dyDescent="0.25">
      <c r="B6803" t="s">
        <v>1830</v>
      </c>
      <c r="C6803" s="22" t="s">
        <v>35</v>
      </c>
      <c r="D6803">
        <v>1</v>
      </c>
      <c r="E6803">
        <v>1</v>
      </c>
      <c r="G6803" s="31">
        <f>Table132[[#This Row],[nb win]]/Table132[[#This Row],[nb play]]</f>
        <v>1</v>
      </c>
      <c r="H6803" s="26" t="str">
        <f>MID(Table132[[#This Row],[ÉTAT]],VALUE(RIGHT(Table132[[#This Row],[next move]],1))+1+VALUE(LEFT(Table132[[#This Row],[next move]],1))*3,1)</f>
        <v>V</v>
      </c>
      <c r="I6803" s="26" t="str">
        <f>Table132[[#This Row],[ÉTAT]]&amp;Table132[[#This Row],[next move]]</f>
        <v>MMVVEEVEV20</v>
      </c>
    </row>
    <row r="6804" spans="2:9" x14ac:dyDescent="0.25">
      <c r="B6804" t="s">
        <v>3563</v>
      </c>
      <c r="C6804" s="22" t="s">
        <v>31</v>
      </c>
      <c r="D6804">
        <v>1</v>
      </c>
      <c r="G6804" s="30">
        <f>Table132[[#This Row],[nb win]]/Table132[[#This Row],[nb play]]</f>
        <v>0</v>
      </c>
      <c r="H6804" s="26" t="str">
        <f>MID(Table132[[#This Row],[ÉTAT]],VALUE(RIGHT(Table132[[#This Row],[next move]],1))+1+VALUE(LEFT(Table132[[#This Row],[next move]],1))*3,1)</f>
        <v>V</v>
      </c>
      <c r="I6804" s="26" t="str">
        <f>Table132[[#This Row],[ÉTAT]]&amp;Table132[[#This Row],[next move]]</f>
        <v>EEVVMMEMV22</v>
      </c>
    </row>
    <row r="6805" spans="2:9" x14ac:dyDescent="0.25">
      <c r="B6805" t="s">
        <v>1763</v>
      </c>
      <c r="C6805" s="22" t="s">
        <v>30</v>
      </c>
      <c r="D6805">
        <v>1</v>
      </c>
      <c r="E6805">
        <v>1</v>
      </c>
      <c r="G6805" s="31">
        <f>Table132[[#This Row],[nb win]]/Table132[[#This Row],[nb play]]</f>
        <v>1</v>
      </c>
      <c r="H6805" s="26" t="str">
        <f>MID(Table132[[#This Row],[ÉTAT]],VALUE(RIGHT(Table132[[#This Row],[next move]],1))+1+VALUE(LEFT(Table132[[#This Row],[next move]],1))*3,1)</f>
        <v>V</v>
      </c>
      <c r="I6805" s="26" t="str">
        <f>Table132[[#This Row],[ÉTAT]]&amp;Table132[[#This Row],[next move]]</f>
        <v>MMVVEEMEE10</v>
      </c>
    </row>
    <row r="6806" spans="2:9" x14ac:dyDescent="0.25">
      <c r="B6806" t="s">
        <v>367</v>
      </c>
      <c r="C6806" s="22" t="s">
        <v>28</v>
      </c>
      <c r="D6806">
        <v>2</v>
      </c>
      <c r="E6806">
        <v>2</v>
      </c>
      <c r="G6806" s="31">
        <f>Table132[[#This Row],[nb win]]/Table132[[#This Row],[nb play]]</f>
        <v>1</v>
      </c>
      <c r="H6806" s="26" t="str">
        <f>MID(Table132[[#This Row],[ÉTAT]],VALUE(RIGHT(Table132[[#This Row],[next move]],1))+1+VALUE(LEFT(Table132[[#This Row],[next move]],1))*3,1)</f>
        <v>V</v>
      </c>
      <c r="I6806" s="26" t="str">
        <f>Table132[[#This Row],[ÉTAT]]&amp;Table132[[#This Row],[next move]]</f>
        <v>VVVVVVVME12</v>
      </c>
    </row>
    <row r="6807" spans="2:9" x14ac:dyDescent="0.25">
      <c r="B6807" t="s">
        <v>663</v>
      </c>
      <c r="C6807" s="22" t="s">
        <v>20</v>
      </c>
      <c r="D6807">
        <v>1</v>
      </c>
      <c r="G6807" s="30">
        <f>Table132[[#This Row],[nb win]]/Table132[[#This Row],[nb play]]</f>
        <v>0</v>
      </c>
      <c r="H6807" s="26" t="str">
        <f>MID(Table132[[#This Row],[ÉTAT]],VALUE(RIGHT(Table132[[#This Row],[next move]],1))+1+VALUE(LEFT(Table132[[#This Row],[next move]],1))*3,1)</f>
        <v>V</v>
      </c>
      <c r="I6807" s="26" t="str">
        <f>Table132[[#This Row],[ÉTAT]]&amp;Table132[[#This Row],[next move]]</f>
        <v>VVVVVEVEM02</v>
      </c>
    </row>
    <row r="6808" spans="2:9" x14ac:dyDescent="0.25">
      <c r="B6808" t="s">
        <v>2321</v>
      </c>
      <c r="C6808" s="22" t="s">
        <v>26</v>
      </c>
      <c r="D6808">
        <v>1</v>
      </c>
      <c r="E6808">
        <v>1</v>
      </c>
      <c r="G6808" s="31">
        <f>Table132[[#This Row],[nb win]]/Table132[[#This Row],[nb play]]</f>
        <v>1</v>
      </c>
      <c r="H6808" s="26" t="str">
        <f>MID(Table132[[#This Row],[ÉTAT]],VALUE(RIGHT(Table132[[#This Row],[next move]],1))+1+VALUE(LEFT(Table132[[#This Row],[next move]],1))*3,1)</f>
        <v>V</v>
      </c>
      <c r="I6808" s="26" t="str">
        <f>Table132[[#This Row],[ÉTAT]]&amp;Table132[[#This Row],[next move]]</f>
        <v>VVEVVMVME01</v>
      </c>
    </row>
    <row r="6809" spans="2:9" x14ac:dyDescent="0.25">
      <c r="B6809" t="s">
        <v>3564</v>
      </c>
      <c r="C6809" s="22" t="s">
        <v>24</v>
      </c>
      <c r="D6809">
        <v>1</v>
      </c>
      <c r="G6809" s="30">
        <f>Table132[[#This Row],[nb win]]/Table132[[#This Row],[nb play]]</f>
        <v>0</v>
      </c>
      <c r="H6809" s="26" t="str">
        <f>MID(Table132[[#This Row],[ÉTAT]],VALUE(RIGHT(Table132[[#This Row],[next move]],1))+1+VALUE(LEFT(Table132[[#This Row],[next move]],1))*3,1)</f>
        <v>V</v>
      </c>
      <c r="I6809" s="26" t="str">
        <f>Table132[[#This Row],[ÉTAT]]&amp;Table132[[#This Row],[next move]]</f>
        <v>VEMVVEVEM00</v>
      </c>
    </row>
    <row r="6810" spans="2:9" x14ac:dyDescent="0.25">
      <c r="B6810" t="s">
        <v>1939</v>
      </c>
      <c r="C6810" s="22" t="s">
        <v>35</v>
      </c>
      <c r="D6810">
        <v>1</v>
      </c>
      <c r="E6810">
        <v>1</v>
      </c>
      <c r="G6810" s="31">
        <f>Table132[[#This Row],[nb win]]/Table132[[#This Row],[nb play]]</f>
        <v>1</v>
      </c>
      <c r="H6810" s="26" t="str">
        <f>MID(Table132[[#This Row],[ÉTAT]],VALUE(RIGHT(Table132[[#This Row],[next move]],1))+1+VALUE(LEFT(Table132[[#This Row],[next move]],1))*3,1)</f>
        <v>V</v>
      </c>
      <c r="I6810" s="26" t="str">
        <f>Table132[[#This Row],[ÉTAT]]&amp;Table132[[#This Row],[next move]]</f>
        <v>MEVVMVVVE20</v>
      </c>
    </row>
    <row r="6811" spans="2:9" x14ac:dyDescent="0.25">
      <c r="B6811" t="s">
        <v>3565</v>
      </c>
      <c r="C6811" s="22" t="s">
        <v>28</v>
      </c>
      <c r="D6811">
        <v>1</v>
      </c>
      <c r="G6811" s="30">
        <f>Table132[[#This Row],[nb win]]/Table132[[#This Row],[nb play]]</f>
        <v>0</v>
      </c>
      <c r="H6811" s="26" t="str">
        <f>MID(Table132[[#This Row],[ÉTAT]],VALUE(RIGHT(Table132[[#This Row],[next move]],1))+1+VALUE(LEFT(Table132[[#This Row],[next move]],1))*3,1)</f>
        <v>V</v>
      </c>
      <c r="I6811" s="26" t="str">
        <f>Table132[[#This Row],[ÉTAT]]&amp;Table132[[#This Row],[next move]]</f>
        <v>EMVVEVEVM12</v>
      </c>
    </row>
    <row r="6812" spans="2:9" x14ac:dyDescent="0.25">
      <c r="B6812" t="s">
        <v>2754</v>
      </c>
      <c r="C6812" s="22" t="s">
        <v>20</v>
      </c>
      <c r="D6812">
        <v>1</v>
      </c>
      <c r="E6812">
        <v>1</v>
      </c>
      <c r="G6812" s="31">
        <f>Table132[[#This Row],[nb win]]/Table132[[#This Row],[nb play]]</f>
        <v>1</v>
      </c>
      <c r="H6812" s="26" t="str">
        <f>MID(Table132[[#This Row],[ÉTAT]],VALUE(RIGHT(Table132[[#This Row],[next move]],1))+1+VALUE(LEFT(Table132[[#This Row],[next move]],1))*3,1)</f>
        <v>V</v>
      </c>
      <c r="I6812" s="26" t="str">
        <f>Table132[[#This Row],[ÉTAT]]&amp;Table132[[#This Row],[next move]]</f>
        <v>MEVVMEMVE02</v>
      </c>
    </row>
    <row r="6813" spans="2:9" x14ac:dyDescent="0.25">
      <c r="B6813" t="s">
        <v>188</v>
      </c>
      <c r="C6813" s="22" t="s">
        <v>35</v>
      </c>
      <c r="D6813">
        <v>3</v>
      </c>
      <c r="E6813">
        <v>1</v>
      </c>
      <c r="G6813" s="31">
        <f>Table132[[#This Row],[nb win]]/Table132[[#This Row],[nb play]]</f>
        <v>0.33333333333333331</v>
      </c>
      <c r="H6813" s="26" t="str">
        <f>MID(Table132[[#This Row],[ÉTAT]],VALUE(RIGHT(Table132[[#This Row],[next move]],1))+1+VALUE(LEFT(Table132[[#This Row],[next move]],1))*3,1)</f>
        <v>V</v>
      </c>
      <c r="I6813" s="26" t="str">
        <f>Table132[[#This Row],[ÉTAT]]&amp;Table132[[#This Row],[next move]]</f>
        <v>EVVVEVVMV20</v>
      </c>
    </row>
    <row r="6814" spans="2:9" x14ac:dyDescent="0.25">
      <c r="B6814" t="s">
        <v>225</v>
      </c>
      <c r="C6814" s="22" t="s">
        <v>35</v>
      </c>
      <c r="D6814">
        <v>1</v>
      </c>
      <c r="G6814" s="30">
        <f>Table132[[#This Row],[nb win]]/Table132[[#This Row],[nb play]]</f>
        <v>0</v>
      </c>
      <c r="H6814" s="26" t="str">
        <f>MID(Table132[[#This Row],[ÉTAT]],VALUE(RIGHT(Table132[[#This Row],[next move]],1))+1+VALUE(LEFT(Table132[[#This Row],[next move]],1))*3,1)</f>
        <v>V</v>
      </c>
      <c r="I6814" s="26" t="str">
        <f>Table132[[#This Row],[ÉTAT]]&amp;Table132[[#This Row],[next move]]</f>
        <v>EVVEMMVVV20</v>
      </c>
    </row>
    <row r="6815" spans="2:9" x14ac:dyDescent="0.25">
      <c r="B6815" t="s">
        <v>3566</v>
      </c>
      <c r="C6815" s="22" t="s">
        <v>20</v>
      </c>
      <c r="D6815">
        <v>1</v>
      </c>
      <c r="E6815">
        <v>1</v>
      </c>
      <c r="G6815" s="31">
        <f>Table132[[#This Row],[nb win]]/Table132[[#This Row],[nb play]]</f>
        <v>1</v>
      </c>
      <c r="H6815" s="26" t="str">
        <f>MID(Table132[[#This Row],[ÉTAT]],VALUE(RIGHT(Table132[[#This Row],[next move]],1))+1+VALUE(LEFT(Table132[[#This Row],[next move]],1))*3,1)</f>
        <v>V</v>
      </c>
      <c r="I6815" s="26" t="str">
        <f>Table132[[#This Row],[ÉTAT]]&amp;Table132[[#This Row],[next move]]</f>
        <v>MVVMEEEVV02</v>
      </c>
    </row>
    <row r="6816" spans="2:9" x14ac:dyDescent="0.25">
      <c r="B6816" t="s">
        <v>1722</v>
      </c>
      <c r="C6816" s="22" t="s">
        <v>31</v>
      </c>
      <c r="D6816">
        <v>1</v>
      </c>
      <c r="G6816" s="30">
        <f>Table132[[#This Row],[nb win]]/Table132[[#This Row],[nb play]]</f>
        <v>0</v>
      </c>
      <c r="H6816" s="26" t="str">
        <f>MID(Table132[[#This Row],[ÉTAT]],VALUE(RIGHT(Table132[[#This Row],[next move]],1))+1+VALUE(LEFT(Table132[[#This Row],[next move]],1))*3,1)</f>
        <v>V</v>
      </c>
      <c r="I6816" s="26" t="str">
        <f>Table132[[#This Row],[ÉTAT]]&amp;Table132[[#This Row],[next move]]</f>
        <v>EVEEMMMVV22</v>
      </c>
    </row>
    <row r="6817" spans="2:9" x14ac:dyDescent="0.25">
      <c r="B6817" t="s">
        <v>2660</v>
      </c>
      <c r="C6817" s="22" t="s">
        <v>22</v>
      </c>
      <c r="D6817">
        <v>1</v>
      </c>
      <c r="G6817" s="30">
        <f>Table132[[#This Row],[nb win]]/Table132[[#This Row],[nb play]]</f>
        <v>0</v>
      </c>
      <c r="H6817" s="26" t="str">
        <f>MID(Table132[[#This Row],[ÉTAT]],VALUE(RIGHT(Table132[[#This Row],[next move]],1))+1+VALUE(LEFT(Table132[[#This Row],[next move]],1))*3,1)</f>
        <v>V</v>
      </c>
      <c r="I6817" s="26" t="str">
        <f>Table132[[#This Row],[ÉTAT]]&amp;Table132[[#This Row],[next move]]</f>
        <v>EVMMEVVVV21</v>
      </c>
    </row>
    <row r="6818" spans="2:9" x14ac:dyDescent="0.25">
      <c r="B6818" t="s">
        <v>3567</v>
      </c>
      <c r="C6818" s="22" t="s">
        <v>31</v>
      </c>
      <c r="D6818">
        <v>1</v>
      </c>
      <c r="E6818">
        <v>1</v>
      </c>
      <c r="G6818" s="31">
        <f>Table132[[#This Row],[nb win]]/Table132[[#This Row],[nb play]]</f>
        <v>1</v>
      </c>
      <c r="H6818" s="26" t="str">
        <f>MID(Table132[[#This Row],[ÉTAT]],VALUE(RIGHT(Table132[[#This Row],[next move]],1))+1+VALUE(LEFT(Table132[[#This Row],[next move]],1))*3,1)</f>
        <v>V</v>
      </c>
      <c r="I6818" s="26" t="str">
        <f>Table132[[#This Row],[ÉTAT]]&amp;Table132[[#This Row],[next move]]</f>
        <v>MVEEMVVEV22</v>
      </c>
    </row>
    <row r="6819" spans="2:9" x14ac:dyDescent="0.25">
      <c r="B6819" t="s">
        <v>227</v>
      </c>
      <c r="C6819" s="22" t="s">
        <v>20</v>
      </c>
      <c r="D6819">
        <v>1</v>
      </c>
      <c r="G6819" s="30">
        <f>Table132[[#This Row],[nb win]]/Table132[[#This Row],[nb play]]</f>
        <v>0</v>
      </c>
      <c r="H6819" s="26" t="str">
        <f>MID(Table132[[#This Row],[ÉTAT]],VALUE(RIGHT(Table132[[#This Row],[next move]],1))+1+VALUE(LEFT(Table132[[#This Row],[next move]],1))*3,1)</f>
        <v>V</v>
      </c>
      <c r="I6819" s="26" t="str">
        <f>Table132[[#This Row],[ÉTAT]]&amp;Table132[[#This Row],[next move]]</f>
        <v>EVVVMVEVM02</v>
      </c>
    </row>
    <row r="6820" spans="2:9" x14ac:dyDescent="0.25">
      <c r="B6820" t="s">
        <v>3568</v>
      </c>
      <c r="C6820" s="22" t="s">
        <v>30</v>
      </c>
      <c r="D6820">
        <v>1</v>
      </c>
      <c r="E6820">
        <v>1</v>
      </c>
      <c r="G6820" s="31">
        <f>Table132[[#This Row],[nb win]]/Table132[[#This Row],[nb play]]</f>
        <v>1</v>
      </c>
      <c r="H6820" s="26" t="str">
        <f>MID(Table132[[#This Row],[ÉTAT]],VALUE(RIGHT(Table132[[#This Row],[next move]],1))+1+VALUE(LEFT(Table132[[#This Row],[next move]],1))*3,1)</f>
        <v>V</v>
      </c>
      <c r="I6820" s="26" t="str">
        <f>Table132[[#This Row],[ÉTAT]]&amp;Table132[[#This Row],[next move]]</f>
        <v>MVEVEVMVE10</v>
      </c>
    </row>
    <row r="6821" spans="2:9" x14ac:dyDescent="0.25">
      <c r="B6821" t="s">
        <v>1779</v>
      </c>
      <c r="C6821" s="22" t="s">
        <v>28</v>
      </c>
      <c r="D6821">
        <v>1</v>
      </c>
      <c r="G6821" s="30">
        <f>Table132[[#This Row],[nb win]]/Table132[[#This Row],[nb play]]</f>
        <v>0</v>
      </c>
      <c r="H6821" s="26" t="str">
        <f>MID(Table132[[#This Row],[ÉTAT]],VALUE(RIGHT(Table132[[#This Row],[next move]],1))+1+VALUE(LEFT(Table132[[#This Row],[next move]],1))*3,1)</f>
        <v>V</v>
      </c>
      <c r="I6821" s="26" t="str">
        <f>Table132[[#This Row],[ÉTAT]]&amp;Table132[[#This Row],[next move]]</f>
        <v>EMVMEVVVV12</v>
      </c>
    </row>
    <row r="6822" spans="2:9" x14ac:dyDescent="0.25">
      <c r="B6822" t="s">
        <v>60</v>
      </c>
      <c r="C6822" s="22" t="s">
        <v>31</v>
      </c>
      <c r="D6822">
        <v>1</v>
      </c>
      <c r="E6822">
        <v>1</v>
      </c>
      <c r="G6822" s="31">
        <f>Table132[[#This Row],[nb win]]/Table132[[#This Row],[nb play]]</f>
        <v>1</v>
      </c>
      <c r="H6822" s="26" t="str">
        <f>MID(Table132[[#This Row],[ÉTAT]],VALUE(RIGHT(Table132[[#This Row],[next move]],1))+1+VALUE(LEFT(Table132[[#This Row],[next move]],1))*3,1)</f>
        <v>V</v>
      </c>
      <c r="I6822" s="26" t="str">
        <f>Table132[[#This Row],[ÉTAT]]&amp;Table132[[#This Row],[next move]]</f>
        <v>MEVEMEVVV22</v>
      </c>
    </row>
    <row r="6823" spans="2:9" x14ac:dyDescent="0.25">
      <c r="B6823" t="s">
        <v>1463</v>
      </c>
      <c r="C6823" s="22" t="s">
        <v>31</v>
      </c>
      <c r="D6823">
        <v>1</v>
      </c>
      <c r="E6823">
        <v>1</v>
      </c>
      <c r="G6823" s="31">
        <f>Table132[[#This Row],[nb win]]/Table132[[#This Row],[nb play]]</f>
        <v>1</v>
      </c>
      <c r="H6823" s="26" t="str">
        <f>MID(Table132[[#This Row],[ÉTAT]],VALUE(RIGHT(Table132[[#This Row],[next move]],1))+1+VALUE(LEFT(Table132[[#This Row],[next move]],1))*3,1)</f>
        <v>V</v>
      </c>
      <c r="I6823" s="26" t="str">
        <f>Table132[[#This Row],[ÉTAT]]&amp;Table132[[#This Row],[next move]]</f>
        <v>MVEVMVEVV22</v>
      </c>
    </row>
    <row r="6824" spans="2:9" x14ac:dyDescent="0.25">
      <c r="B6824" t="s">
        <v>92</v>
      </c>
      <c r="C6824" s="22" t="s">
        <v>30</v>
      </c>
      <c r="D6824">
        <v>2</v>
      </c>
      <c r="E6824">
        <v>2</v>
      </c>
      <c r="G6824" s="31">
        <f>Table132[[#This Row],[nb win]]/Table132[[#This Row],[nb play]]</f>
        <v>1</v>
      </c>
      <c r="H6824" s="26" t="str">
        <f>MID(Table132[[#This Row],[ÉTAT]],VALUE(RIGHT(Table132[[#This Row],[next move]],1))+1+VALUE(LEFT(Table132[[#This Row],[next move]],1))*3,1)</f>
        <v>V</v>
      </c>
      <c r="I6824" s="26" t="str">
        <f>Table132[[#This Row],[ÉTAT]]&amp;Table132[[#This Row],[next move]]</f>
        <v>VVVVMVVEV10</v>
      </c>
    </row>
    <row r="6825" spans="2:9" x14ac:dyDescent="0.25">
      <c r="B6825" t="s">
        <v>93</v>
      </c>
      <c r="C6825" s="22" t="s">
        <v>31</v>
      </c>
      <c r="D6825">
        <v>1</v>
      </c>
      <c r="G6825" s="30">
        <f>Table132[[#This Row],[nb win]]/Table132[[#This Row],[nb play]]</f>
        <v>0</v>
      </c>
      <c r="H6825" s="26" t="str">
        <f>MID(Table132[[#This Row],[ÉTAT]],VALUE(RIGHT(Table132[[#This Row],[next move]],1))+1+VALUE(LEFT(Table132[[#This Row],[next move]],1))*3,1)</f>
        <v>V</v>
      </c>
      <c r="I6825" s="26" t="str">
        <f>Table132[[#This Row],[ÉTAT]]&amp;Table132[[#This Row],[next move]]</f>
        <v>VVVEEVVMV22</v>
      </c>
    </row>
    <row r="6826" spans="2:9" x14ac:dyDescent="0.25">
      <c r="B6826" t="s">
        <v>3244</v>
      </c>
      <c r="C6826" s="22" t="s">
        <v>28</v>
      </c>
      <c r="D6826">
        <v>1</v>
      </c>
      <c r="E6826">
        <v>1</v>
      </c>
      <c r="G6826" s="31">
        <f>Table132[[#This Row],[nb win]]/Table132[[#This Row],[nb play]]</f>
        <v>1</v>
      </c>
      <c r="H6826" s="26" t="str">
        <f>MID(Table132[[#This Row],[ÉTAT]],VALUE(RIGHT(Table132[[#This Row],[next move]],1))+1+VALUE(LEFT(Table132[[#This Row],[next move]],1))*3,1)</f>
        <v>V</v>
      </c>
      <c r="I6826" s="26" t="str">
        <f>Table132[[#This Row],[ÉTAT]]&amp;Table132[[#This Row],[next move]]</f>
        <v>VVVMMVVEE12</v>
      </c>
    </row>
    <row r="6827" spans="2:9" x14ac:dyDescent="0.25">
      <c r="B6827" t="s">
        <v>1305</v>
      </c>
      <c r="C6827" s="22" t="s">
        <v>31</v>
      </c>
      <c r="D6827">
        <v>1</v>
      </c>
      <c r="E6827">
        <v>1</v>
      </c>
      <c r="G6827" s="31">
        <f>Table132[[#This Row],[nb win]]/Table132[[#This Row],[nb play]]</f>
        <v>1</v>
      </c>
      <c r="H6827" s="26" t="str">
        <f>MID(Table132[[#This Row],[ÉTAT]],VALUE(RIGHT(Table132[[#This Row],[next move]],1))+1+VALUE(LEFT(Table132[[#This Row],[next move]],1))*3,1)</f>
        <v>V</v>
      </c>
      <c r="I6827" s="26" t="str">
        <f>Table132[[#This Row],[ÉTAT]]&amp;Table132[[#This Row],[next move]]</f>
        <v>MEVEMVVVV22</v>
      </c>
    </row>
    <row r="6828" spans="2:9" x14ac:dyDescent="0.25">
      <c r="B6828" t="s">
        <v>1247</v>
      </c>
      <c r="C6828" s="22" t="s">
        <v>20</v>
      </c>
      <c r="D6828">
        <v>1</v>
      </c>
      <c r="G6828" s="30">
        <f>Table132[[#This Row],[nb win]]/Table132[[#This Row],[nb play]]</f>
        <v>0</v>
      </c>
      <c r="H6828" s="26" t="str">
        <f>MID(Table132[[#This Row],[ÉTAT]],VALUE(RIGHT(Table132[[#This Row],[next move]],1))+1+VALUE(LEFT(Table132[[#This Row],[next move]],1))*3,1)</f>
        <v>V</v>
      </c>
      <c r="I6828" s="26" t="str">
        <f>Table132[[#This Row],[ÉTAT]]&amp;Table132[[#This Row],[next move]]</f>
        <v>EMVVEVEMM02</v>
      </c>
    </row>
    <row r="6829" spans="2:9" x14ac:dyDescent="0.25">
      <c r="B6829" t="s">
        <v>3569</v>
      </c>
      <c r="C6829" s="22" t="s">
        <v>30</v>
      </c>
      <c r="D6829">
        <v>1</v>
      </c>
      <c r="E6829">
        <v>1</v>
      </c>
      <c r="G6829" s="31">
        <f>Table132[[#This Row],[nb win]]/Table132[[#This Row],[nb play]]</f>
        <v>1</v>
      </c>
      <c r="H6829" s="26" t="str">
        <f>MID(Table132[[#This Row],[ÉTAT]],VALUE(RIGHT(Table132[[#This Row],[next move]],1))+1+VALUE(LEFT(Table132[[#This Row],[next move]],1))*3,1)</f>
        <v>V</v>
      </c>
      <c r="I6829" s="26" t="str">
        <f>Table132[[#This Row],[ÉTAT]]&amp;Table132[[#This Row],[next move]]</f>
        <v>MEEVMVMEE10</v>
      </c>
    </row>
    <row r="6830" spans="2:9" x14ac:dyDescent="0.25">
      <c r="B6830" t="s">
        <v>2084</v>
      </c>
      <c r="C6830" s="22" t="s">
        <v>24</v>
      </c>
      <c r="D6830">
        <v>1</v>
      </c>
      <c r="E6830">
        <v>1</v>
      </c>
      <c r="G6830" s="31">
        <f>Table132[[#This Row],[nb win]]/Table132[[#This Row],[nb play]]</f>
        <v>1</v>
      </c>
      <c r="H6830" s="26" t="str">
        <f>MID(Table132[[#This Row],[ÉTAT]],VALUE(RIGHT(Table132[[#This Row],[next move]],1))+1+VALUE(LEFT(Table132[[#This Row],[next move]],1))*3,1)</f>
        <v>V</v>
      </c>
      <c r="I6830" s="26" t="str">
        <f>Table132[[#This Row],[ÉTAT]]&amp;Table132[[#This Row],[next move]]</f>
        <v>VVVEMVEVM00</v>
      </c>
    </row>
    <row r="6831" spans="2:9" x14ac:dyDescent="0.25">
      <c r="B6831" t="s">
        <v>113</v>
      </c>
      <c r="C6831" s="22" t="s">
        <v>24</v>
      </c>
      <c r="D6831">
        <v>1</v>
      </c>
      <c r="E6831">
        <v>1</v>
      </c>
      <c r="G6831" s="31">
        <f>Table132[[#This Row],[nb win]]/Table132[[#This Row],[nb play]]</f>
        <v>1</v>
      </c>
      <c r="H6831" s="26" t="str">
        <f>MID(Table132[[#This Row],[ÉTAT]],VALUE(RIGHT(Table132[[#This Row],[next move]],1))+1+VALUE(LEFT(Table132[[#This Row],[next move]],1))*3,1)</f>
        <v>V</v>
      </c>
      <c r="I6831" s="26" t="str">
        <f>Table132[[#This Row],[ÉTAT]]&amp;Table132[[#This Row],[next move]]</f>
        <v>VVVVMEVVV00</v>
      </c>
    </row>
    <row r="6832" spans="2:9" x14ac:dyDescent="0.25">
      <c r="B6832" t="s">
        <v>190</v>
      </c>
      <c r="C6832" s="22" t="s">
        <v>20</v>
      </c>
      <c r="D6832">
        <v>2</v>
      </c>
      <c r="G6832" s="30">
        <f>Table132[[#This Row],[nb win]]/Table132[[#This Row],[nb play]]</f>
        <v>0</v>
      </c>
      <c r="H6832" s="26" t="str">
        <f>MID(Table132[[#This Row],[ÉTAT]],VALUE(RIGHT(Table132[[#This Row],[next move]],1))+1+VALUE(LEFT(Table132[[#This Row],[next move]],1))*3,1)</f>
        <v>V</v>
      </c>
      <c r="I6832" s="26" t="str">
        <f>Table132[[#This Row],[ÉTAT]]&amp;Table132[[#This Row],[next move]]</f>
        <v>EVVVEMVVV02</v>
      </c>
    </row>
    <row r="6833" spans="2:9" x14ac:dyDescent="0.25">
      <c r="B6833" t="s">
        <v>229</v>
      </c>
      <c r="C6833" s="22" t="s">
        <v>20</v>
      </c>
      <c r="D6833">
        <v>1</v>
      </c>
      <c r="E6833">
        <v>1</v>
      </c>
      <c r="G6833" s="31">
        <f>Table132[[#This Row],[nb win]]/Table132[[#This Row],[nb play]]</f>
        <v>1</v>
      </c>
      <c r="H6833" s="26" t="str">
        <f>MID(Table132[[#This Row],[ÉTAT]],VALUE(RIGHT(Table132[[#This Row],[next move]],1))+1+VALUE(LEFT(Table132[[#This Row],[next move]],1))*3,1)</f>
        <v>V</v>
      </c>
      <c r="I6833" s="26" t="str">
        <f>Table132[[#This Row],[ÉTAT]]&amp;Table132[[#This Row],[next move]]</f>
        <v>VVVVMEVEV02</v>
      </c>
    </row>
    <row r="6834" spans="2:9" x14ac:dyDescent="0.25">
      <c r="B6834" t="s">
        <v>492</v>
      </c>
      <c r="C6834" s="22" t="s">
        <v>20</v>
      </c>
      <c r="D6834">
        <v>1</v>
      </c>
      <c r="E6834">
        <v>1</v>
      </c>
      <c r="G6834" s="31">
        <f>Table132[[#This Row],[nb win]]/Table132[[#This Row],[nb play]]</f>
        <v>1</v>
      </c>
      <c r="H6834" s="26" t="str">
        <f>MID(Table132[[#This Row],[ÉTAT]],VALUE(RIGHT(Table132[[#This Row],[next move]],1))+1+VALUE(LEFT(Table132[[#This Row],[next move]],1))*3,1)</f>
        <v>V</v>
      </c>
      <c r="I6834" s="26" t="str">
        <f>Table132[[#This Row],[ÉTAT]]&amp;Table132[[#This Row],[next move]]</f>
        <v>EVVVMVMEV02</v>
      </c>
    </row>
    <row r="6835" spans="2:9" x14ac:dyDescent="0.25">
      <c r="B6835" t="s">
        <v>23</v>
      </c>
      <c r="C6835" s="22" t="s">
        <v>30</v>
      </c>
      <c r="D6835">
        <v>2</v>
      </c>
      <c r="E6835">
        <v>2</v>
      </c>
      <c r="G6835" s="31">
        <f>Table132[[#This Row],[nb win]]/Table132[[#This Row],[nb play]]</f>
        <v>1</v>
      </c>
      <c r="H6835" s="26" t="str">
        <f>MID(Table132[[#This Row],[ÉTAT]],VALUE(RIGHT(Table132[[#This Row],[next move]],1))+1+VALUE(LEFT(Table132[[#This Row],[next move]],1))*3,1)</f>
        <v>V</v>
      </c>
      <c r="I6835" s="26" t="str">
        <f>Table132[[#This Row],[ÉTAT]]&amp;Table132[[#This Row],[next move]]</f>
        <v>VVMVVVVEV10</v>
      </c>
    </row>
    <row r="6836" spans="2:9" x14ac:dyDescent="0.25">
      <c r="B6836" t="s">
        <v>1755</v>
      </c>
      <c r="C6836" s="22" t="s">
        <v>31</v>
      </c>
      <c r="D6836">
        <v>1</v>
      </c>
      <c r="G6836" s="30">
        <f>Table132[[#This Row],[nb win]]/Table132[[#This Row],[nb play]]</f>
        <v>0</v>
      </c>
      <c r="H6836" s="26" t="str">
        <f>MID(Table132[[#This Row],[ÉTAT]],VALUE(RIGHT(Table132[[#This Row],[next move]],1))+1+VALUE(LEFT(Table132[[#This Row],[next move]],1))*3,1)</f>
        <v>V</v>
      </c>
      <c r="I6836" s="26" t="str">
        <f>Table132[[#This Row],[ÉTAT]]&amp;Table132[[#This Row],[next move]]</f>
        <v>VVEEVVVMV22</v>
      </c>
    </row>
    <row r="6837" spans="2:9" x14ac:dyDescent="0.25">
      <c r="B6837" t="s">
        <v>1425</v>
      </c>
      <c r="C6837" s="22" t="s">
        <v>24</v>
      </c>
      <c r="D6837">
        <v>1</v>
      </c>
      <c r="E6837">
        <v>1</v>
      </c>
      <c r="G6837" s="31">
        <f>Table132[[#This Row],[nb win]]/Table132[[#This Row],[nb play]]</f>
        <v>1</v>
      </c>
      <c r="H6837" s="26" t="str">
        <f>MID(Table132[[#This Row],[ÉTAT]],VALUE(RIGHT(Table132[[#This Row],[next move]],1))+1+VALUE(LEFT(Table132[[#This Row],[next move]],1))*3,1)</f>
        <v>V</v>
      </c>
      <c r="I6837" s="26" t="str">
        <f>Table132[[#This Row],[ÉTAT]]&amp;Table132[[#This Row],[next move]]</f>
        <v>VVMMVVVEE00</v>
      </c>
    </row>
    <row r="6838" spans="2:9" x14ac:dyDescent="0.25">
      <c r="B6838" t="s">
        <v>2231</v>
      </c>
      <c r="C6838" s="22" t="s">
        <v>29</v>
      </c>
      <c r="D6838">
        <v>1</v>
      </c>
      <c r="G6838" s="30">
        <f>Table132[[#This Row],[nb win]]/Table132[[#This Row],[nb play]]</f>
        <v>0</v>
      </c>
      <c r="H6838" s="26" t="str">
        <f>MID(Table132[[#This Row],[ÉTAT]],VALUE(RIGHT(Table132[[#This Row],[next move]],1))+1+VALUE(LEFT(Table132[[#This Row],[next move]],1))*3,1)</f>
        <v>V</v>
      </c>
      <c r="I6838" s="26" t="str">
        <f>Table132[[#This Row],[ÉTAT]]&amp;Table132[[#This Row],[next move]]</f>
        <v>EVEEVVVMM11</v>
      </c>
    </row>
    <row r="6839" spans="2:9" x14ac:dyDescent="0.25">
      <c r="B6839" t="s">
        <v>2657</v>
      </c>
      <c r="C6839" s="22" t="s">
        <v>26</v>
      </c>
      <c r="D6839">
        <v>1</v>
      </c>
      <c r="E6839">
        <v>1</v>
      </c>
      <c r="G6839" s="31">
        <f>Table132[[#This Row],[nb win]]/Table132[[#This Row],[nb play]]</f>
        <v>1</v>
      </c>
      <c r="H6839" s="26" t="str">
        <f>MID(Table132[[#This Row],[ÉTAT]],VALUE(RIGHT(Table132[[#This Row],[next move]],1))+1+VALUE(LEFT(Table132[[#This Row],[next move]],1))*3,1)</f>
        <v>V</v>
      </c>
      <c r="I6839" s="26" t="str">
        <f>Table132[[#This Row],[ÉTAT]]&amp;Table132[[#This Row],[next move]]</f>
        <v>MVMMEVVEE01</v>
      </c>
    </row>
    <row r="6840" spans="2:9" x14ac:dyDescent="0.25">
      <c r="B6840" t="s">
        <v>3015</v>
      </c>
      <c r="C6840" s="22" t="s">
        <v>28</v>
      </c>
      <c r="D6840">
        <v>1</v>
      </c>
      <c r="G6840" s="30">
        <f>Table132[[#This Row],[nb win]]/Table132[[#This Row],[nb play]]</f>
        <v>0</v>
      </c>
      <c r="H6840" s="26" t="str">
        <f>MID(Table132[[#This Row],[ÉTAT]],VALUE(RIGHT(Table132[[#This Row],[next move]],1))+1+VALUE(LEFT(Table132[[#This Row],[next move]],1))*3,1)</f>
        <v>V</v>
      </c>
      <c r="I6840" s="26" t="str">
        <f>Table132[[#This Row],[ÉTAT]]&amp;Table132[[#This Row],[next move]]</f>
        <v>EVVMEVVMV12</v>
      </c>
    </row>
    <row r="6841" spans="2:9" x14ac:dyDescent="0.25">
      <c r="B6841" t="s">
        <v>1192</v>
      </c>
      <c r="C6841" s="22" t="s">
        <v>31</v>
      </c>
      <c r="D6841">
        <v>1</v>
      </c>
      <c r="E6841">
        <v>1</v>
      </c>
      <c r="G6841" s="31">
        <f>Table132[[#This Row],[nb win]]/Table132[[#This Row],[nb play]]</f>
        <v>1</v>
      </c>
      <c r="H6841" s="26" t="str">
        <f>MID(Table132[[#This Row],[ÉTAT]],VALUE(RIGHT(Table132[[#This Row],[next move]],1))+1+VALUE(LEFT(Table132[[#This Row],[next move]],1))*3,1)</f>
        <v>V</v>
      </c>
      <c r="I6841" s="26" t="str">
        <f>Table132[[#This Row],[ÉTAT]]&amp;Table132[[#This Row],[next move]]</f>
        <v>MVVEMEVEV22</v>
      </c>
    </row>
    <row r="6842" spans="2:9" x14ac:dyDescent="0.25">
      <c r="B6842" t="s">
        <v>1742</v>
      </c>
      <c r="C6842" s="22" t="s">
        <v>30</v>
      </c>
      <c r="D6842">
        <v>1</v>
      </c>
      <c r="G6842" s="30">
        <f>Table132[[#This Row],[nb win]]/Table132[[#This Row],[nb play]]</f>
        <v>0</v>
      </c>
      <c r="H6842" s="26" t="str">
        <f>MID(Table132[[#This Row],[ÉTAT]],VALUE(RIGHT(Table132[[#This Row],[next move]],1))+1+VALUE(LEFT(Table132[[#This Row],[next move]],1))*3,1)</f>
        <v>V</v>
      </c>
      <c r="I6842" s="26" t="str">
        <f>Table132[[#This Row],[ÉTAT]]&amp;Table132[[#This Row],[next move]]</f>
        <v>VEEVVVVVM10</v>
      </c>
    </row>
    <row r="6843" spans="2:9" x14ac:dyDescent="0.25">
      <c r="B6843" t="s">
        <v>3520</v>
      </c>
      <c r="C6843" s="22" t="s">
        <v>24</v>
      </c>
      <c r="D6843">
        <v>1</v>
      </c>
      <c r="E6843">
        <v>1</v>
      </c>
      <c r="G6843" s="31">
        <f>Table132[[#This Row],[nb win]]/Table132[[#This Row],[nb play]]</f>
        <v>1</v>
      </c>
      <c r="H6843" s="26" t="str">
        <f>MID(Table132[[#This Row],[ÉTAT]],VALUE(RIGHT(Table132[[#This Row],[next move]],1))+1+VALUE(LEFT(Table132[[#This Row],[next move]],1))*3,1)</f>
        <v>V</v>
      </c>
      <c r="I6843" s="26" t="str">
        <f>Table132[[#This Row],[ÉTAT]]&amp;Table132[[#This Row],[next move]]</f>
        <v>VMMEVVVVE00</v>
      </c>
    </row>
    <row r="6844" spans="2:9" x14ac:dyDescent="0.25">
      <c r="B6844" t="s">
        <v>1755</v>
      </c>
      <c r="C6844" s="22" t="s">
        <v>35</v>
      </c>
      <c r="D6844">
        <v>1</v>
      </c>
      <c r="E6844">
        <v>1</v>
      </c>
      <c r="G6844" s="31">
        <f>Table132[[#This Row],[nb win]]/Table132[[#This Row],[nb play]]</f>
        <v>1</v>
      </c>
      <c r="H6844" s="26" t="str">
        <f>MID(Table132[[#This Row],[ÉTAT]],VALUE(RIGHT(Table132[[#This Row],[next move]],1))+1+VALUE(LEFT(Table132[[#This Row],[next move]],1))*3,1)</f>
        <v>V</v>
      </c>
      <c r="I6844" s="26" t="str">
        <f>Table132[[#This Row],[ÉTAT]]&amp;Table132[[#This Row],[next move]]</f>
        <v>VVEEVVVMV20</v>
      </c>
    </row>
    <row r="6845" spans="2:9" x14ac:dyDescent="0.25">
      <c r="B6845" t="s">
        <v>3400</v>
      </c>
      <c r="C6845" s="22" t="s">
        <v>26</v>
      </c>
      <c r="D6845">
        <v>1</v>
      </c>
      <c r="G6845" s="30">
        <f>Table132[[#This Row],[nb win]]/Table132[[#This Row],[nb play]]</f>
        <v>0</v>
      </c>
      <c r="H6845" s="26" t="str">
        <f>MID(Table132[[#This Row],[ÉTAT]],VALUE(RIGHT(Table132[[#This Row],[next move]],1))+1+VALUE(LEFT(Table132[[#This Row],[next move]],1))*3,1)</f>
        <v>V</v>
      </c>
      <c r="I6845" s="26" t="str">
        <f>Table132[[#This Row],[ÉTAT]]&amp;Table132[[#This Row],[next move]]</f>
        <v>VVMMVVEEV01</v>
      </c>
    </row>
    <row r="6846" spans="2:9" x14ac:dyDescent="0.25">
      <c r="B6846" t="s">
        <v>3570</v>
      </c>
      <c r="C6846" s="22" t="s">
        <v>29</v>
      </c>
      <c r="D6846">
        <v>1</v>
      </c>
      <c r="E6846">
        <v>1</v>
      </c>
      <c r="G6846" s="31">
        <f>Table132[[#This Row],[nb win]]/Table132[[#This Row],[nb play]]</f>
        <v>1</v>
      </c>
      <c r="H6846" s="26" t="str">
        <f>MID(Table132[[#This Row],[ÉTAT]],VALUE(RIGHT(Table132[[#This Row],[next move]],1))+1+VALUE(LEFT(Table132[[#This Row],[next move]],1))*3,1)</f>
        <v>V</v>
      </c>
      <c r="I6846" s="26" t="str">
        <f>Table132[[#This Row],[ÉTAT]]&amp;Table132[[#This Row],[next move]]</f>
        <v>VEEEVVMMV11</v>
      </c>
    </row>
    <row r="6847" spans="2:9" x14ac:dyDescent="0.25">
      <c r="B6847" t="s">
        <v>2407</v>
      </c>
      <c r="C6847" s="22" t="s">
        <v>28</v>
      </c>
      <c r="D6847">
        <v>1</v>
      </c>
      <c r="G6847" s="30">
        <f>Table132[[#This Row],[nb win]]/Table132[[#This Row],[nb play]]</f>
        <v>0</v>
      </c>
      <c r="H6847" s="26" t="str">
        <f>MID(Table132[[#This Row],[ÉTAT]],VALUE(RIGHT(Table132[[#This Row],[next move]],1))+1+VALUE(LEFT(Table132[[#This Row],[next move]],1))*3,1)</f>
        <v>V</v>
      </c>
      <c r="I6847" s="26" t="str">
        <f>Table132[[#This Row],[ÉTAT]]&amp;Table132[[#This Row],[next move]]</f>
        <v>VMMMEVEEV12</v>
      </c>
    </row>
    <row r="6848" spans="2:9" x14ac:dyDescent="0.25">
      <c r="B6848" t="s">
        <v>410</v>
      </c>
      <c r="C6848" s="22" t="s">
        <v>31</v>
      </c>
      <c r="D6848">
        <v>1</v>
      </c>
      <c r="E6848">
        <v>1</v>
      </c>
      <c r="G6848" s="31">
        <f>Table132[[#This Row],[nb win]]/Table132[[#This Row],[nb play]]</f>
        <v>1</v>
      </c>
      <c r="H6848" s="26" t="str">
        <f>MID(Table132[[#This Row],[ÉTAT]],VALUE(RIGHT(Table132[[#This Row],[next move]],1))+1+VALUE(LEFT(Table132[[#This Row],[next move]],1))*3,1)</f>
        <v>V</v>
      </c>
      <c r="I6848" s="26" t="str">
        <f>Table132[[#This Row],[ÉTAT]]&amp;Table132[[#This Row],[next move]]</f>
        <v>VEEEMEMMV22</v>
      </c>
    </row>
    <row r="6849" spans="2:9" x14ac:dyDescent="0.25">
      <c r="B6849" t="s">
        <v>36</v>
      </c>
      <c r="C6849" s="22" t="s">
        <v>20</v>
      </c>
      <c r="D6849">
        <v>2</v>
      </c>
      <c r="E6849">
        <v>1</v>
      </c>
      <c r="G6849" s="31">
        <f>Table132[[#This Row],[nb win]]/Table132[[#This Row],[nb play]]</f>
        <v>0.5</v>
      </c>
      <c r="H6849" s="26" t="str">
        <f>MID(Table132[[#This Row],[ÉTAT]],VALUE(RIGHT(Table132[[#This Row],[next move]],1))+1+VALUE(LEFT(Table132[[#This Row],[next move]],1))*3,1)</f>
        <v>V</v>
      </c>
      <c r="I6849" s="26" t="str">
        <f>Table132[[#This Row],[ÉTAT]]&amp;Table132[[#This Row],[next move]]</f>
        <v>MVVVVVVEV02</v>
      </c>
    </row>
    <row r="6850" spans="2:9" x14ac:dyDescent="0.25">
      <c r="B6850" t="s">
        <v>1840</v>
      </c>
      <c r="C6850" s="22" t="s">
        <v>26</v>
      </c>
      <c r="D6850">
        <v>1</v>
      </c>
      <c r="E6850">
        <v>1</v>
      </c>
      <c r="G6850" s="31">
        <f>Table132[[#This Row],[nb win]]/Table132[[#This Row],[nb play]]</f>
        <v>1</v>
      </c>
      <c r="H6850" s="26" t="str">
        <f>MID(Table132[[#This Row],[ÉTAT]],VALUE(RIGHT(Table132[[#This Row],[next move]],1))+1+VALUE(LEFT(Table132[[#This Row],[next move]],1))*3,1)</f>
        <v>V</v>
      </c>
      <c r="I6850" s="26" t="str">
        <f>Table132[[#This Row],[ÉTAT]]&amp;Table132[[#This Row],[next move]]</f>
        <v>EVEVVVVMV01</v>
      </c>
    </row>
    <row r="6851" spans="2:9" x14ac:dyDescent="0.25">
      <c r="B6851" t="s">
        <v>1045</v>
      </c>
      <c r="C6851" s="22" t="s">
        <v>31</v>
      </c>
      <c r="D6851">
        <v>1</v>
      </c>
      <c r="G6851" s="30">
        <f>Table132[[#This Row],[nb win]]/Table132[[#This Row],[nb play]]</f>
        <v>0</v>
      </c>
      <c r="H6851" s="26" t="str">
        <f>MID(Table132[[#This Row],[ÉTAT]],VALUE(RIGHT(Table132[[#This Row],[next move]],1))+1+VALUE(LEFT(Table132[[#This Row],[next move]],1))*3,1)</f>
        <v>V</v>
      </c>
      <c r="I6851" s="26" t="str">
        <f>Table132[[#This Row],[ÉTAT]]&amp;Table132[[#This Row],[next move]]</f>
        <v>MEMVVVVEV22</v>
      </c>
    </row>
    <row r="6852" spans="2:9" x14ac:dyDescent="0.25">
      <c r="B6852" t="s">
        <v>1433</v>
      </c>
      <c r="C6852" s="22" t="s">
        <v>20</v>
      </c>
      <c r="D6852">
        <v>1</v>
      </c>
      <c r="G6852" s="30">
        <f>Table132[[#This Row],[nb win]]/Table132[[#This Row],[nb play]]</f>
        <v>0</v>
      </c>
      <c r="H6852" s="26" t="str">
        <f>MID(Table132[[#This Row],[ÉTAT]],VALUE(RIGHT(Table132[[#This Row],[next move]],1))+1+VALUE(LEFT(Table132[[#This Row],[next move]],1))*3,1)</f>
        <v>V</v>
      </c>
      <c r="I6852" s="26" t="str">
        <f>Table132[[#This Row],[ÉTAT]]&amp;Table132[[#This Row],[next move]]</f>
        <v>EVVMVVVVE02</v>
      </c>
    </row>
    <row r="6853" spans="2:9" x14ac:dyDescent="0.25">
      <c r="B6853" t="s">
        <v>2883</v>
      </c>
      <c r="C6853" s="22" t="s">
        <v>29</v>
      </c>
      <c r="D6853">
        <v>2</v>
      </c>
      <c r="E6853">
        <v>2</v>
      </c>
      <c r="G6853" s="31">
        <f>Table132[[#This Row],[nb win]]/Table132[[#This Row],[nb play]]</f>
        <v>1</v>
      </c>
      <c r="H6853" s="26" t="str">
        <f>MID(Table132[[#This Row],[ÉTAT]],VALUE(RIGHT(Table132[[#This Row],[next move]],1))+1+VALUE(LEFT(Table132[[#This Row],[next move]],1))*3,1)</f>
        <v>V</v>
      </c>
      <c r="I6853" s="26" t="str">
        <f>Table132[[#This Row],[ÉTAT]]&amp;Table132[[#This Row],[next move]]</f>
        <v>MVEEVVVVM11</v>
      </c>
    </row>
    <row r="6854" spans="2:9" x14ac:dyDescent="0.25">
      <c r="B6854" t="s">
        <v>531</v>
      </c>
      <c r="C6854" s="22" t="s">
        <v>31</v>
      </c>
      <c r="D6854">
        <v>2</v>
      </c>
      <c r="E6854">
        <v>1</v>
      </c>
      <c r="G6854" s="30">
        <f>Table132[[#This Row],[nb win]]/Table132[[#This Row],[nb play]]</f>
        <v>0.5</v>
      </c>
      <c r="H6854" s="26" t="str">
        <f>MID(Table132[[#This Row],[ÉTAT]],VALUE(RIGHT(Table132[[#This Row],[next move]],1))+1+VALUE(LEFT(Table132[[#This Row],[next move]],1))*3,1)</f>
        <v>V</v>
      </c>
      <c r="I6854" s="26" t="str">
        <f>Table132[[#This Row],[ÉTAT]]&amp;Table132[[#This Row],[next move]]</f>
        <v>VVVVVVMEV22</v>
      </c>
    </row>
    <row r="6855" spans="2:9" x14ac:dyDescent="0.25">
      <c r="B6855" t="s">
        <v>3164</v>
      </c>
      <c r="C6855" s="22" t="s">
        <v>26</v>
      </c>
      <c r="D6855">
        <v>1</v>
      </c>
      <c r="G6855" s="30">
        <f>Table132[[#This Row],[nb win]]/Table132[[#This Row],[nb play]]</f>
        <v>0</v>
      </c>
      <c r="H6855" s="26" t="str">
        <f>MID(Table132[[#This Row],[ÉTAT]],VALUE(RIGHT(Table132[[#This Row],[next move]],1))+1+VALUE(LEFT(Table132[[#This Row],[next move]],1))*3,1)</f>
        <v>V</v>
      </c>
      <c r="I6855" s="26" t="str">
        <f>Table132[[#This Row],[ÉTAT]]&amp;Table132[[#This Row],[next move]]</f>
        <v>VVVVVVEME01</v>
      </c>
    </row>
    <row r="6856" spans="2:9" x14ac:dyDescent="0.25">
      <c r="B6856" t="s">
        <v>2385</v>
      </c>
      <c r="C6856" s="22" t="s">
        <v>24</v>
      </c>
      <c r="D6856">
        <v>1</v>
      </c>
      <c r="E6856">
        <v>1</v>
      </c>
      <c r="G6856" s="31">
        <f>Table132[[#This Row],[nb win]]/Table132[[#This Row],[nb play]]</f>
        <v>1</v>
      </c>
      <c r="H6856" s="26" t="str">
        <f>MID(Table132[[#This Row],[ÉTAT]],VALUE(RIGHT(Table132[[#This Row],[next move]],1))+1+VALUE(LEFT(Table132[[#This Row],[next move]],1))*3,1)</f>
        <v>V</v>
      </c>
      <c r="I6856" s="26" t="str">
        <f>Table132[[#This Row],[ÉTAT]]&amp;Table132[[#This Row],[next move]]</f>
        <v>VEVVVVMEM00</v>
      </c>
    </row>
    <row r="6857" spans="2:9" x14ac:dyDescent="0.25">
      <c r="B6857" t="s">
        <v>3572</v>
      </c>
      <c r="C6857" s="22" t="s">
        <v>30</v>
      </c>
      <c r="D6857">
        <v>1</v>
      </c>
      <c r="G6857" s="30">
        <f>Table132[[#This Row],[nb win]]/Table132[[#This Row],[nb play]]</f>
        <v>0</v>
      </c>
      <c r="H6857" s="26" t="str">
        <f>MID(Table132[[#This Row],[ÉTAT]],VALUE(RIGHT(Table132[[#This Row],[next move]],1))+1+VALUE(LEFT(Table132[[#This Row],[next move]],1))*3,1)</f>
        <v>V</v>
      </c>
      <c r="I6857" s="26" t="str">
        <f>Table132[[#This Row],[ÉTAT]]&amp;Table132[[#This Row],[next move]]</f>
        <v>EMVVVVEME10</v>
      </c>
    </row>
    <row r="6858" spans="2:9" x14ac:dyDescent="0.25">
      <c r="B6858" t="s">
        <v>3573</v>
      </c>
      <c r="C6858" s="22" t="s">
        <v>28</v>
      </c>
      <c r="D6858">
        <v>1</v>
      </c>
      <c r="E6858">
        <v>1</v>
      </c>
      <c r="G6858" s="31">
        <f>Table132[[#This Row],[nb win]]/Table132[[#This Row],[nb play]]</f>
        <v>1</v>
      </c>
      <c r="H6858" s="26" t="str">
        <f>MID(Table132[[#This Row],[ÉTAT]],VALUE(RIGHT(Table132[[#This Row],[next move]],1))+1+VALUE(LEFT(Table132[[#This Row],[next move]],1))*3,1)</f>
        <v>V</v>
      </c>
      <c r="I6858" s="26" t="str">
        <f>Table132[[#This Row],[ÉTAT]]&amp;Table132[[#This Row],[next move]]</f>
        <v>MEVEVVMEM12</v>
      </c>
    </row>
    <row r="6859" spans="2:9" x14ac:dyDescent="0.25">
      <c r="B6859" t="s">
        <v>2794</v>
      </c>
      <c r="C6859" s="22" t="s">
        <v>20</v>
      </c>
      <c r="D6859">
        <v>1</v>
      </c>
      <c r="G6859" s="30">
        <f>Table132[[#This Row],[nb win]]/Table132[[#This Row],[nb play]]</f>
        <v>0</v>
      </c>
      <c r="H6859" s="26" t="str">
        <f>MID(Table132[[#This Row],[ÉTAT]],VALUE(RIGHT(Table132[[#This Row],[next move]],1))+1+VALUE(LEFT(Table132[[#This Row],[next move]],1))*3,1)</f>
        <v>V</v>
      </c>
      <c r="I6859" s="26" t="str">
        <f>Table132[[#This Row],[ÉTAT]]&amp;Table132[[#This Row],[next move]]</f>
        <v>EMVMVEEME02</v>
      </c>
    </row>
    <row r="6860" spans="2:9" x14ac:dyDescent="0.25">
      <c r="B6860" t="s">
        <v>3438</v>
      </c>
      <c r="C6860" s="22" t="s">
        <v>30</v>
      </c>
      <c r="D6860">
        <v>1</v>
      </c>
      <c r="G6860" s="30">
        <f>Table132[[#This Row],[nb win]]/Table132[[#This Row],[nb play]]</f>
        <v>0</v>
      </c>
      <c r="H6860" s="26" t="str">
        <f>MID(Table132[[#This Row],[ÉTAT]],VALUE(RIGHT(Table132[[#This Row],[next move]],1))+1+VALUE(LEFT(Table132[[#This Row],[next move]],1))*3,1)</f>
        <v>V</v>
      </c>
      <c r="I6860" s="26" t="str">
        <f>Table132[[#This Row],[ÉTAT]]&amp;Table132[[#This Row],[next move]]</f>
        <v>EVVVVVEMV10</v>
      </c>
    </row>
    <row r="6861" spans="2:9" x14ac:dyDescent="0.25">
      <c r="B6861" t="s">
        <v>595</v>
      </c>
      <c r="C6861" s="22" t="s">
        <v>20</v>
      </c>
      <c r="D6861">
        <v>1</v>
      </c>
      <c r="E6861">
        <v>1</v>
      </c>
      <c r="G6861" s="31">
        <f>Table132[[#This Row],[nb win]]/Table132[[#This Row],[nb play]]</f>
        <v>1</v>
      </c>
      <c r="H6861" s="26" t="str">
        <f>MID(Table132[[#This Row],[ÉTAT]],VALUE(RIGHT(Table132[[#This Row],[next move]],1))+1+VALUE(LEFT(Table132[[#This Row],[next move]],1))*3,1)</f>
        <v>V</v>
      </c>
      <c r="I6861" s="26" t="str">
        <f>Table132[[#This Row],[ÉTAT]]&amp;Table132[[#This Row],[next move]]</f>
        <v>MVVEVVMEV02</v>
      </c>
    </row>
    <row r="6862" spans="2:9" x14ac:dyDescent="0.25">
      <c r="B6862" t="s">
        <v>3574</v>
      </c>
      <c r="C6862" s="22" t="s">
        <v>31</v>
      </c>
      <c r="D6862">
        <v>1</v>
      </c>
      <c r="G6862" s="30">
        <f>Table132[[#This Row],[nb win]]/Table132[[#This Row],[nb play]]</f>
        <v>0</v>
      </c>
      <c r="H6862" s="26" t="str">
        <f>MID(Table132[[#This Row],[ÉTAT]],VALUE(RIGHT(Table132[[#This Row],[next move]],1))+1+VALUE(LEFT(Table132[[#This Row],[next move]],1))*3,1)</f>
        <v>V</v>
      </c>
      <c r="I6862" s="26" t="str">
        <f>Table132[[#This Row],[ÉTAT]]&amp;Table132[[#This Row],[next move]]</f>
        <v>EVEMVVEMV22</v>
      </c>
    </row>
    <row r="6863" spans="2:9" x14ac:dyDescent="0.25">
      <c r="B6863" t="s">
        <v>3575</v>
      </c>
      <c r="C6863" s="22" t="s">
        <v>29</v>
      </c>
      <c r="D6863">
        <v>1</v>
      </c>
      <c r="E6863">
        <v>1</v>
      </c>
      <c r="G6863" s="31">
        <f>Table132[[#This Row],[nb win]]/Table132[[#This Row],[nb play]]</f>
        <v>1</v>
      </c>
      <c r="H6863" s="26" t="str">
        <f>MID(Table132[[#This Row],[ÉTAT]],VALUE(RIGHT(Table132[[#This Row],[next move]],1))+1+VALUE(LEFT(Table132[[#This Row],[next move]],1))*3,1)</f>
        <v>V</v>
      </c>
      <c r="I6863" s="26" t="str">
        <f>Table132[[#This Row],[ÉTAT]]&amp;Table132[[#This Row],[next move]]</f>
        <v>MVMEVVMEE11</v>
      </c>
    </row>
    <row r="6864" spans="2:9" x14ac:dyDescent="0.25">
      <c r="B6864" t="s">
        <v>621</v>
      </c>
      <c r="C6864" s="22" t="s">
        <v>24</v>
      </c>
      <c r="D6864">
        <v>1</v>
      </c>
      <c r="E6864">
        <v>1</v>
      </c>
      <c r="G6864" s="31">
        <f>Table132[[#This Row],[nb win]]/Table132[[#This Row],[nb play]]</f>
        <v>1</v>
      </c>
      <c r="H6864" s="26" t="str">
        <f>MID(Table132[[#This Row],[ÉTAT]],VALUE(RIGHT(Table132[[#This Row],[next move]],1))+1+VALUE(LEFT(Table132[[#This Row],[next move]],1))*3,1)</f>
        <v>V</v>
      </c>
      <c r="I6864" s="26" t="str">
        <f>Table132[[#This Row],[ÉTAT]]&amp;Table132[[#This Row],[next move]]</f>
        <v>VEVVMVEVM00</v>
      </c>
    </row>
    <row r="6865" spans="2:9" x14ac:dyDescent="0.25">
      <c r="B6865" t="s">
        <v>1788</v>
      </c>
      <c r="C6865" s="22" t="s">
        <v>20</v>
      </c>
      <c r="D6865">
        <v>1</v>
      </c>
      <c r="G6865" s="30">
        <f>Table132[[#This Row],[nb win]]/Table132[[#This Row],[nb play]]</f>
        <v>0</v>
      </c>
      <c r="H6865" s="26" t="str">
        <f>MID(Table132[[#This Row],[ÉTAT]],VALUE(RIGHT(Table132[[#This Row],[next move]],1))+1+VALUE(LEFT(Table132[[#This Row],[next move]],1))*3,1)</f>
        <v>V</v>
      </c>
      <c r="I6865" s="26" t="str">
        <f>Table132[[#This Row],[ÉTAT]]&amp;Table132[[#This Row],[next move]]</f>
        <v>VEVVVEVMV02</v>
      </c>
    </row>
    <row r="6866" spans="2:9" x14ac:dyDescent="0.25">
      <c r="B6866" t="s">
        <v>2787</v>
      </c>
      <c r="C6866" s="22" t="s">
        <v>31</v>
      </c>
      <c r="D6866">
        <v>1</v>
      </c>
      <c r="E6866">
        <v>1</v>
      </c>
      <c r="G6866" s="31">
        <f>Table132[[#This Row],[nb win]]/Table132[[#This Row],[nb play]]</f>
        <v>1</v>
      </c>
      <c r="H6866" s="26" t="str">
        <f>MID(Table132[[#This Row],[ÉTAT]],VALUE(RIGHT(Table132[[#This Row],[next move]],1))+1+VALUE(LEFT(Table132[[#This Row],[next move]],1))*3,1)</f>
        <v>V</v>
      </c>
      <c r="I6866" s="26" t="str">
        <f>Table132[[#This Row],[ÉTAT]]&amp;Table132[[#This Row],[next move]]</f>
        <v>VMEVVMVEV22</v>
      </c>
    </row>
    <row r="6867" spans="2:9" x14ac:dyDescent="0.25">
      <c r="B6867" t="s">
        <v>3576</v>
      </c>
      <c r="C6867" s="22" t="s">
        <v>35</v>
      </c>
      <c r="D6867">
        <v>1</v>
      </c>
      <c r="G6867" s="30">
        <f>Table132[[#This Row],[nb win]]/Table132[[#This Row],[nb play]]</f>
        <v>0</v>
      </c>
      <c r="H6867" s="26" t="str">
        <f>MID(Table132[[#This Row],[ÉTAT]],VALUE(RIGHT(Table132[[#This Row],[next move]],1))+1+VALUE(LEFT(Table132[[#This Row],[next move]],1))*3,1)</f>
        <v>V</v>
      </c>
      <c r="I6867" s="26" t="str">
        <f>Table132[[#This Row],[ÉTAT]]&amp;Table132[[#This Row],[next move]]</f>
        <v>VEMVVEVME20</v>
      </c>
    </row>
    <row r="6868" spans="2:9" x14ac:dyDescent="0.25">
      <c r="B6868" t="s">
        <v>3577</v>
      </c>
      <c r="C6868" s="22" t="s">
        <v>29</v>
      </c>
      <c r="D6868">
        <v>1</v>
      </c>
      <c r="E6868">
        <v>1</v>
      </c>
      <c r="G6868" s="31">
        <f>Table132[[#This Row],[nb win]]/Table132[[#This Row],[nb play]]</f>
        <v>1</v>
      </c>
      <c r="H6868" s="26" t="str">
        <f>MID(Table132[[#This Row],[ÉTAT]],VALUE(RIGHT(Table132[[#This Row],[next move]],1))+1+VALUE(LEFT(Table132[[#This Row],[next move]],1))*3,1)</f>
        <v>V</v>
      </c>
      <c r="I6868" s="26" t="str">
        <f>Table132[[#This Row],[ÉTAT]]&amp;Table132[[#This Row],[next move]]</f>
        <v>VMEVVMEEM11</v>
      </c>
    </row>
    <row r="6869" spans="2:9" x14ac:dyDescent="0.25">
      <c r="B6869" t="s">
        <v>3343</v>
      </c>
      <c r="C6869" s="22" t="s">
        <v>30</v>
      </c>
      <c r="D6869">
        <v>1</v>
      </c>
      <c r="G6869" s="30">
        <f>Table132[[#This Row],[nb win]]/Table132[[#This Row],[nb play]]</f>
        <v>0</v>
      </c>
      <c r="H6869" s="26" t="str">
        <f>MID(Table132[[#This Row],[ÉTAT]],VALUE(RIGHT(Table132[[#This Row],[next move]],1))+1+VALUE(LEFT(Table132[[#This Row],[next move]],1))*3,1)</f>
        <v>V</v>
      </c>
      <c r="I6869" s="26" t="str">
        <f>Table132[[#This Row],[ÉTAT]]&amp;Table132[[#This Row],[next move]]</f>
        <v>VEMVEEMME10</v>
      </c>
    </row>
    <row r="6870" spans="2:9" x14ac:dyDescent="0.25">
      <c r="B6870" t="s">
        <v>2768</v>
      </c>
      <c r="C6870" s="22" t="s">
        <v>30</v>
      </c>
      <c r="D6870">
        <v>1</v>
      </c>
      <c r="E6870">
        <v>1</v>
      </c>
      <c r="G6870" s="31">
        <f>Table132[[#This Row],[nb win]]/Table132[[#This Row],[nb play]]</f>
        <v>1</v>
      </c>
      <c r="H6870" s="26" t="str">
        <f>MID(Table132[[#This Row],[ÉTAT]],VALUE(RIGHT(Table132[[#This Row],[next move]],1))+1+VALUE(LEFT(Table132[[#This Row],[next move]],1))*3,1)</f>
        <v>V</v>
      </c>
      <c r="I6870" s="26" t="str">
        <f>Table132[[#This Row],[ÉTAT]]&amp;Table132[[#This Row],[next move]]</f>
        <v>VVVVEEMMV10</v>
      </c>
    </row>
    <row r="6871" spans="2:9" x14ac:dyDescent="0.25">
      <c r="B6871" t="s">
        <v>2173</v>
      </c>
      <c r="C6871" s="22" t="s">
        <v>20</v>
      </c>
      <c r="D6871">
        <v>1</v>
      </c>
      <c r="G6871" s="30">
        <f>Table132[[#This Row],[nb win]]/Table132[[#This Row],[nb play]]</f>
        <v>0</v>
      </c>
      <c r="H6871" s="26" t="str">
        <f>MID(Table132[[#This Row],[ÉTAT]],VALUE(RIGHT(Table132[[#This Row],[next move]],1))+1+VALUE(LEFT(Table132[[#This Row],[next move]],1))*3,1)</f>
        <v>V</v>
      </c>
      <c r="I6871" s="26" t="str">
        <f>Table132[[#This Row],[ÉTAT]]&amp;Table132[[#This Row],[next move]]</f>
        <v>VVVEMMEEV02</v>
      </c>
    </row>
    <row r="6872" spans="2:9" x14ac:dyDescent="0.25">
      <c r="B6872" t="s">
        <v>3578</v>
      </c>
      <c r="C6872" s="22" t="s">
        <v>31</v>
      </c>
      <c r="D6872">
        <v>1</v>
      </c>
      <c r="E6872">
        <v>1</v>
      </c>
      <c r="G6872" s="31">
        <f>Table132[[#This Row],[nb win]]/Table132[[#This Row],[nb play]]</f>
        <v>1</v>
      </c>
      <c r="H6872" s="26" t="str">
        <f>MID(Table132[[#This Row],[ÉTAT]],VALUE(RIGHT(Table132[[#This Row],[next move]],1))+1+VALUE(LEFT(Table132[[#This Row],[next move]],1))*3,1)</f>
        <v>V</v>
      </c>
      <c r="I6872" s="26" t="str">
        <f>Table132[[#This Row],[ÉTAT]]&amp;Table132[[#This Row],[next move]]</f>
        <v>VVEMEEMMV22</v>
      </c>
    </row>
    <row r="6873" spans="2:9" x14ac:dyDescent="0.25">
      <c r="B6873" t="s">
        <v>1109</v>
      </c>
      <c r="C6873" s="22" t="s">
        <v>29</v>
      </c>
      <c r="D6873">
        <v>1</v>
      </c>
      <c r="E6873">
        <v>1</v>
      </c>
      <c r="G6873" s="31">
        <f>Table132[[#This Row],[nb win]]/Table132[[#This Row],[nb play]]</f>
        <v>1</v>
      </c>
      <c r="H6873" s="26" t="str">
        <f>MID(Table132[[#This Row],[ÉTAT]],VALUE(RIGHT(Table132[[#This Row],[next move]],1))+1+VALUE(LEFT(Table132[[#This Row],[next move]],1))*3,1)</f>
        <v>V</v>
      </c>
      <c r="I6873" s="26" t="str">
        <f>Table132[[#This Row],[ÉTAT]]&amp;Table132[[#This Row],[next move]]</f>
        <v>EEMVVVVMV11</v>
      </c>
    </row>
    <row r="6874" spans="2:9" x14ac:dyDescent="0.25">
      <c r="B6874" t="s">
        <v>1138</v>
      </c>
      <c r="C6874" s="22" t="s">
        <v>28</v>
      </c>
      <c r="D6874">
        <v>1</v>
      </c>
      <c r="G6874" s="30">
        <f>Table132[[#This Row],[nb win]]/Table132[[#This Row],[nb play]]</f>
        <v>0</v>
      </c>
      <c r="H6874" s="26" t="str">
        <f>MID(Table132[[#This Row],[ÉTAT]],VALUE(RIGHT(Table132[[#This Row],[next move]],1))+1+VALUE(LEFT(Table132[[#This Row],[next move]],1))*3,1)</f>
        <v>V</v>
      </c>
      <c r="I6874" s="26" t="str">
        <f>Table132[[#This Row],[ÉTAT]]&amp;Table132[[#This Row],[next move]]</f>
        <v>MMEVEVVEV12</v>
      </c>
    </row>
    <row r="6875" spans="2:9" x14ac:dyDescent="0.25">
      <c r="B6875" t="s">
        <v>2119</v>
      </c>
      <c r="C6875" s="22" t="s">
        <v>35</v>
      </c>
      <c r="D6875">
        <v>1</v>
      </c>
      <c r="E6875">
        <v>1</v>
      </c>
      <c r="G6875" s="31">
        <f>Table132[[#This Row],[nb win]]/Table132[[#This Row],[nb play]]</f>
        <v>1</v>
      </c>
      <c r="H6875" s="26" t="str">
        <f>MID(Table132[[#This Row],[ÉTAT]],VALUE(RIGHT(Table132[[#This Row],[next move]],1))+1+VALUE(LEFT(Table132[[#This Row],[next move]],1))*3,1)</f>
        <v>V</v>
      </c>
      <c r="I6875" s="26" t="str">
        <f>Table132[[#This Row],[ÉTAT]]&amp;Table132[[#This Row],[next move]]</f>
        <v>EEMVMEVMV20</v>
      </c>
    </row>
    <row r="6876" spans="2:9" x14ac:dyDescent="0.25">
      <c r="B6876" t="s">
        <v>1634</v>
      </c>
      <c r="C6876" s="22" t="s">
        <v>31</v>
      </c>
      <c r="D6876">
        <v>1</v>
      </c>
      <c r="G6876" s="30">
        <f>Table132[[#This Row],[nb win]]/Table132[[#This Row],[nb play]]</f>
        <v>0</v>
      </c>
      <c r="H6876" s="26" t="str">
        <f>MID(Table132[[#This Row],[ÉTAT]],VALUE(RIGHT(Table132[[#This Row],[next move]],1))+1+VALUE(LEFT(Table132[[#This Row],[next move]],1))*3,1)</f>
        <v>V</v>
      </c>
      <c r="I6876" s="26" t="str">
        <f>Table132[[#This Row],[ÉTAT]]&amp;Table132[[#This Row],[next move]]</f>
        <v>EVVVVMVEV22</v>
      </c>
    </row>
    <row r="6877" spans="2:9" x14ac:dyDescent="0.25">
      <c r="B6877" t="s">
        <v>2931</v>
      </c>
      <c r="C6877" s="22" t="s">
        <v>29</v>
      </c>
      <c r="D6877">
        <v>1</v>
      </c>
      <c r="E6877">
        <v>1</v>
      </c>
      <c r="G6877" s="31">
        <f>Table132[[#This Row],[nb win]]/Table132[[#This Row],[nb play]]</f>
        <v>1</v>
      </c>
      <c r="H6877" s="26" t="str">
        <f>MID(Table132[[#This Row],[ÉTAT]],VALUE(RIGHT(Table132[[#This Row],[next move]],1))+1+VALUE(LEFT(Table132[[#This Row],[next move]],1))*3,1)</f>
        <v>V</v>
      </c>
      <c r="I6877" s="26" t="str">
        <f>Table132[[#This Row],[ÉTAT]]&amp;Table132[[#This Row],[next move]]</f>
        <v>MVVVVEVME11</v>
      </c>
    </row>
    <row r="6878" spans="2:9" x14ac:dyDescent="0.25">
      <c r="B6878" t="s">
        <v>921</v>
      </c>
      <c r="C6878" s="22" t="s">
        <v>26</v>
      </c>
      <c r="D6878">
        <v>1</v>
      </c>
      <c r="G6878" s="30">
        <f>Table132[[#This Row],[nb win]]/Table132[[#This Row],[nb play]]</f>
        <v>0</v>
      </c>
      <c r="H6878" s="26" t="str">
        <f>MID(Table132[[#This Row],[ÉTAT]],VALUE(RIGHT(Table132[[#This Row],[next move]],1))+1+VALUE(LEFT(Table132[[#This Row],[next move]],1))*3,1)</f>
        <v>V</v>
      </c>
      <c r="I6878" s="26" t="str">
        <f>Table132[[#This Row],[ÉTAT]]&amp;Table132[[#This Row],[next move]]</f>
        <v>EVVVEMVEM01</v>
      </c>
    </row>
    <row r="6879" spans="2:9" x14ac:dyDescent="0.25">
      <c r="B6879" t="s">
        <v>3579</v>
      </c>
      <c r="C6879" s="22" t="s">
        <v>35</v>
      </c>
      <c r="D6879">
        <v>1</v>
      </c>
      <c r="E6879">
        <v>1</v>
      </c>
      <c r="G6879" s="31">
        <f>Table132[[#This Row],[nb win]]/Table132[[#This Row],[nb play]]</f>
        <v>1</v>
      </c>
      <c r="H6879" s="26" t="str">
        <f>MID(Table132[[#This Row],[ÉTAT]],VALUE(RIGHT(Table132[[#This Row],[next move]],1))+1+VALUE(LEFT(Table132[[#This Row],[next move]],1))*3,1)</f>
        <v>V</v>
      </c>
      <c r="I6879" s="26" t="str">
        <f>Table132[[#This Row],[ÉTAT]]&amp;Table132[[#This Row],[next move]]</f>
        <v>MEVVMEVME20</v>
      </c>
    </row>
    <row r="6880" spans="2:9" x14ac:dyDescent="0.25">
      <c r="B6880" t="s">
        <v>2755</v>
      </c>
      <c r="C6880" s="22" t="s">
        <v>30</v>
      </c>
      <c r="D6880">
        <v>1</v>
      </c>
      <c r="G6880" s="30">
        <f>Table132[[#This Row],[nb win]]/Table132[[#This Row],[nb play]]</f>
        <v>0</v>
      </c>
      <c r="H6880" s="26" t="str">
        <f>MID(Table132[[#This Row],[ÉTAT]],VALUE(RIGHT(Table132[[#This Row],[next move]],1))+1+VALUE(LEFT(Table132[[#This Row],[next move]],1))*3,1)</f>
        <v>V</v>
      </c>
      <c r="I6880" s="26" t="str">
        <f>Table132[[#This Row],[ÉTAT]]&amp;Table132[[#This Row],[next move]]</f>
        <v>EMVVEMEEM10</v>
      </c>
    </row>
    <row r="6881" spans="2:9" x14ac:dyDescent="0.25">
      <c r="B6881" t="s">
        <v>2618</v>
      </c>
      <c r="C6881" s="22" t="s">
        <v>22</v>
      </c>
      <c r="D6881">
        <v>1</v>
      </c>
      <c r="G6881" s="30">
        <f>Table132[[#This Row],[nb win]]/Table132[[#This Row],[nb play]]</f>
        <v>0</v>
      </c>
      <c r="H6881" s="26" t="str">
        <f>MID(Table132[[#This Row],[ÉTAT]],VALUE(RIGHT(Table132[[#This Row],[next move]],1))+1+VALUE(LEFT(Table132[[#This Row],[next move]],1))*3,1)</f>
        <v>V</v>
      </c>
      <c r="I6881" s="26" t="str">
        <f>Table132[[#This Row],[ÉTAT]]&amp;Table132[[#This Row],[next move]]</f>
        <v>EMVVVEVVV21</v>
      </c>
    </row>
    <row r="6882" spans="2:9" x14ac:dyDescent="0.25">
      <c r="B6882" t="s">
        <v>3580</v>
      </c>
      <c r="C6882" s="22" t="s">
        <v>29</v>
      </c>
      <c r="D6882">
        <v>1</v>
      </c>
      <c r="E6882">
        <v>1</v>
      </c>
      <c r="G6882" s="31">
        <f>Table132[[#This Row],[nb win]]/Table132[[#This Row],[nb play]]</f>
        <v>1</v>
      </c>
      <c r="H6882" s="26" t="str">
        <f>MID(Table132[[#This Row],[ÉTAT]],VALUE(RIGHT(Table132[[#This Row],[next move]],1))+1+VALUE(LEFT(Table132[[#This Row],[next move]],1))*3,1)</f>
        <v>V</v>
      </c>
      <c r="I6882" s="26" t="str">
        <f>Table132[[#This Row],[ÉTAT]]&amp;Table132[[#This Row],[next move]]</f>
        <v>MEVVVMVEV11</v>
      </c>
    </row>
    <row r="6883" spans="2:9" x14ac:dyDescent="0.25">
      <c r="B6883" t="s">
        <v>3581</v>
      </c>
      <c r="C6883" s="22" t="s">
        <v>20</v>
      </c>
      <c r="D6883">
        <v>1</v>
      </c>
      <c r="G6883" s="30">
        <f>Table132[[#This Row],[nb win]]/Table132[[#This Row],[nb play]]</f>
        <v>0</v>
      </c>
      <c r="H6883" s="26" t="str">
        <f>MID(Table132[[#This Row],[ÉTAT]],VALUE(RIGHT(Table132[[#This Row],[next move]],1))+1+VALUE(LEFT(Table132[[#This Row],[next move]],1))*3,1)</f>
        <v>V</v>
      </c>
      <c r="I6883" s="26" t="str">
        <f>Table132[[#This Row],[ÉTAT]]&amp;Table132[[#This Row],[next move]]</f>
        <v>EMVVEEVMV02</v>
      </c>
    </row>
    <row r="6884" spans="2:9" x14ac:dyDescent="0.25">
      <c r="B6884" t="s">
        <v>2429</v>
      </c>
      <c r="C6884" s="22" t="s">
        <v>31</v>
      </c>
      <c r="D6884">
        <v>1</v>
      </c>
      <c r="E6884">
        <v>1</v>
      </c>
      <c r="G6884" s="31">
        <f>Table132[[#This Row],[nb win]]/Table132[[#This Row],[nb play]]</f>
        <v>1</v>
      </c>
      <c r="H6884" s="26" t="str">
        <f>MID(Table132[[#This Row],[ÉTAT]],VALUE(RIGHT(Table132[[#This Row],[next move]],1))+1+VALUE(LEFT(Table132[[#This Row],[next move]],1))*3,1)</f>
        <v>V</v>
      </c>
      <c r="I6884" s="26" t="str">
        <f>Table132[[#This Row],[ÉTAT]]&amp;Table132[[#This Row],[next move]]</f>
        <v>MEEVMMVEV22</v>
      </c>
    </row>
    <row r="6885" spans="2:9" x14ac:dyDescent="0.25">
      <c r="B6885" t="s">
        <v>2671</v>
      </c>
      <c r="C6885" s="22" t="s">
        <v>31</v>
      </c>
      <c r="D6885">
        <v>1</v>
      </c>
      <c r="E6885">
        <v>1</v>
      </c>
      <c r="G6885" s="31">
        <f>Table132[[#This Row],[nb win]]/Table132[[#This Row],[nb play]]</f>
        <v>1</v>
      </c>
      <c r="H6885" s="26" t="str">
        <f>MID(Table132[[#This Row],[ÉTAT]],VALUE(RIGHT(Table132[[#This Row],[next move]],1))+1+VALUE(LEFT(Table132[[#This Row],[next move]],1))*3,1)</f>
        <v>V</v>
      </c>
      <c r="I6885" s="26" t="str">
        <f>Table132[[#This Row],[ÉTAT]]&amp;Table132[[#This Row],[next move]]</f>
        <v>MEVVVEMVV22</v>
      </c>
    </row>
    <row r="6886" spans="2:9" x14ac:dyDescent="0.25">
      <c r="B6886" t="s">
        <v>2789</v>
      </c>
      <c r="C6886" s="22" t="s">
        <v>30</v>
      </c>
      <c r="D6886">
        <v>1</v>
      </c>
      <c r="E6886">
        <v>1</v>
      </c>
      <c r="G6886" s="31">
        <f>Table132[[#This Row],[nb win]]/Table132[[#This Row],[nb play]]</f>
        <v>1</v>
      </c>
      <c r="H6886" s="26" t="str">
        <f>MID(Table132[[#This Row],[ÉTAT]],VALUE(RIGHT(Table132[[#This Row],[next move]],1))+1+VALUE(LEFT(Table132[[#This Row],[next move]],1))*3,1)</f>
        <v>V</v>
      </c>
      <c r="I6886" s="26" t="str">
        <f>Table132[[#This Row],[ÉTAT]]&amp;Table132[[#This Row],[next move]]</f>
        <v>MEVVEEMVM10</v>
      </c>
    </row>
    <row r="6887" spans="2:9" x14ac:dyDescent="0.25">
      <c r="B6887" t="s">
        <v>1955</v>
      </c>
      <c r="C6887" s="22" t="s">
        <v>24</v>
      </c>
      <c r="D6887">
        <v>1</v>
      </c>
      <c r="G6887" s="30">
        <f>Table132[[#This Row],[nb win]]/Table132[[#This Row],[nb play]]</f>
        <v>0</v>
      </c>
      <c r="H6887" s="26" t="str">
        <f>MID(Table132[[#This Row],[ÉTAT]],VALUE(RIGHT(Table132[[#This Row],[next move]],1))+1+VALUE(LEFT(Table132[[#This Row],[next move]],1))*3,1)</f>
        <v>V</v>
      </c>
      <c r="I6887" s="26" t="str">
        <f>Table132[[#This Row],[ÉTAT]]&amp;Table132[[#This Row],[next move]]</f>
        <v>VVMEEVMEV00</v>
      </c>
    </row>
    <row r="6888" spans="2:9" x14ac:dyDescent="0.25">
      <c r="B6888" t="s">
        <v>3582</v>
      </c>
      <c r="C6888" s="22" t="s">
        <v>28</v>
      </c>
      <c r="D6888">
        <v>1</v>
      </c>
      <c r="E6888">
        <v>1</v>
      </c>
      <c r="G6888" s="31">
        <f>Table132[[#This Row],[nb win]]/Table132[[#This Row],[nb play]]</f>
        <v>1</v>
      </c>
      <c r="H6888" s="26" t="str">
        <f>MID(Table132[[#This Row],[ÉTAT]],VALUE(RIGHT(Table132[[#This Row],[next move]],1))+1+VALUE(LEFT(Table132[[#This Row],[next move]],1))*3,1)</f>
        <v>V</v>
      </c>
      <c r="I6888" s="26" t="str">
        <f>Table132[[#This Row],[ÉTAT]]&amp;Table132[[#This Row],[next move]]</f>
        <v>EVEMMVEMV12</v>
      </c>
    </row>
    <row r="6889" spans="2:9" x14ac:dyDescent="0.25">
      <c r="B6889" t="s">
        <v>3142</v>
      </c>
      <c r="C6889" s="22" t="s">
        <v>24</v>
      </c>
      <c r="D6889">
        <v>1</v>
      </c>
      <c r="E6889">
        <v>1</v>
      </c>
      <c r="G6889" s="31">
        <f>Table132[[#This Row],[nb win]]/Table132[[#This Row],[nb play]]</f>
        <v>1</v>
      </c>
      <c r="H6889" s="26" t="str">
        <f>MID(Table132[[#This Row],[ÉTAT]],VALUE(RIGHT(Table132[[#This Row],[next move]],1))+1+VALUE(LEFT(Table132[[#This Row],[next move]],1))*3,1)</f>
        <v>V</v>
      </c>
      <c r="I6889" s="26" t="str">
        <f>Table132[[#This Row],[ÉTAT]]&amp;Table132[[#This Row],[next move]]</f>
        <v>VMVEVVEMV00</v>
      </c>
    </row>
    <row r="6890" spans="2:9" x14ac:dyDescent="0.25">
      <c r="B6890" t="s">
        <v>989</v>
      </c>
      <c r="C6890" s="22" t="s">
        <v>29</v>
      </c>
      <c r="D6890">
        <v>1</v>
      </c>
      <c r="G6890" s="30">
        <f>Table132[[#This Row],[nb win]]/Table132[[#This Row],[nb play]]</f>
        <v>0</v>
      </c>
      <c r="H6890" s="26" t="str">
        <f>MID(Table132[[#This Row],[ÉTAT]],VALUE(RIGHT(Table132[[#This Row],[next move]],1))+1+VALUE(LEFT(Table132[[#This Row],[next move]],1))*3,1)</f>
        <v>V</v>
      </c>
      <c r="I6890" s="26" t="str">
        <f>Table132[[#This Row],[ÉTAT]]&amp;Table132[[#This Row],[next move]]</f>
        <v>EEVMVVMEV11</v>
      </c>
    </row>
    <row r="6891" spans="2:9" x14ac:dyDescent="0.25">
      <c r="B6891" t="s">
        <v>3442</v>
      </c>
      <c r="C6891" s="22" t="s">
        <v>20</v>
      </c>
      <c r="D6891">
        <v>1</v>
      </c>
      <c r="E6891">
        <v>1</v>
      </c>
      <c r="G6891" s="31">
        <f>Table132[[#This Row],[nb win]]/Table132[[#This Row],[nb play]]</f>
        <v>1</v>
      </c>
      <c r="H6891" s="26" t="str">
        <f>MID(Table132[[#This Row],[ÉTAT]],VALUE(RIGHT(Table132[[#This Row],[next move]],1))+1+VALUE(LEFT(Table132[[#This Row],[next move]],1))*3,1)</f>
        <v>V</v>
      </c>
      <c r="I6891" s="26" t="str">
        <f>Table132[[#This Row],[ÉTAT]]&amp;Table132[[#This Row],[next move]]</f>
        <v>MMVEEVEMV02</v>
      </c>
    </row>
    <row r="6892" spans="2:9" x14ac:dyDescent="0.25">
      <c r="B6892" t="s">
        <v>1328</v>
      </c>
      <c r="C6892" s="22" t="s">
        <v>31</v>
      </c>
      <c r="D6892">
        <v>4</v>
      </c>
      <c r="E6892">
        <v>4</v>
      </c>
      <c r="G6892" s="31">
        <f>Table132[[#This Row],[nb win]]/Table132[[#This Row],[nb play]]</f>
        <v>1</v>
      </c>
      <c r="H6892" s="26" t="str">
        <f>MID(Table132[[#This Row],[ÉTAT]],VALUE(RIGHT(Table132[[#This Row],[next move]],1))+1+VALUE(LEFT(Table132[[#This Row],[next move]],1))*3,1)</f>
        <v>V</v>
      </c>
      <c r="I6892" s="26" t="str">
        <f>Table132[[#This Row],[ÉTAT]]&amp;Table132[[#This Row],[next move]]</f>
        <v>VVEVMVEMV22</v>
      </c>
    </row>
    <row r="6893" spans="2:9" x14ac:dyDescent="0.25">
      <c r="B6893" t="s">
        <v>2795</v>
      </c>
      <c r="C6893" s="22" t="s">
        <v>28</v>
      </c>
      <c r="D6893">
        <v>1</v>
      </c>
      <c r="G6893" s="30">
        <f>Table132[[#This Row],[nb win]]/Table132[[#This Row],[nb play]]</f>
        <v>0</v>
      </c>
      <c r="H6893" s="26" t="str">
        <f>MID(Table132[[#This Row],[ÉTAT]],VALUE(RIGHT(Table132[[#This Row],[next move]],1))+1+VALUE(LEFT(Table132[[#This Row],[next move]],1))*3,1)</f>
        <v>V</v>
      </c>
      <c r="I6893" s="26" t="str">
        <f>Table132[[#This Row],[ÉTAT]]&amp;Table132[[#This Row],[next move]]</f>
        <v>VVMVEVMEE12</v>
      </c>
    </row>
    <row r="6894" spans="2:9" x14ac:dyDescent="0.25">
      <c r="B6894" t="s">
        <v>3583</v>
      </c>
      <c r="C6894" s="22" t="s">
        <v>30</v>
      </c>
      <c r="D6894">
        <v>1</v>
      </c>
      <c r="E6894">
        <v>1</v>
      </c>
      <c r="G6894" s="31">
        <f>Table132[[#This Row],[nb win]]/Table132[[#This Row],[nb play]]</f>
        <v>1</v>
      </c>
      <c r="H6894" s="26" t="str">
        <f>MID(Table132[[#This Row],[ÉTAT]],VALUE(RIGHT(Table132[[#This Row],[next move]],1))+1+VALUE(LEFT(Table132[[#This Row],[next move]],1))*3,1)</f>
        <v>V</v>
      </c>
      <c r="I6894" s="26" t="str">
        <f>Table132[[#This Row],[ÉTAT]]&amp;Table132[[#This Row],[next move]]</f>
        <v>VVEVMEEMM10</v>
      </c>
    </row>
    <row r="6895" spans="2:9" x14ac:dyDescent="0.25">
      <c r="B6895" t="s">
        <v>261</v>
      </c>
      <c r="C6895" s="22" t="s">
        <v>35</v>
      </c>
      <c r="D6895">
        <v>3</v>
      </c>
      <c r="E6895">
        <v>3</v>
      </c>
      <c r="G6895" s="31">
        <f>Table132[[#This Row],[nb win]]/Table132[[#This Row],[nb play]]</f>
        <v>1</v>
      </c>
      <c r="H6895" s="26" t="str">
        <f>MID(Table132[[#This Row],[ÉTAT]],VALUE(RIGHT(Table132[[#This Row],[next move]],1))+1+VALUE(LEFT(Table132[[#This Row],[next move]],1))*3,1)</f>
        <v>V</v>
      </c>
      <c r="I6895" s="26" t="str">
        <f>Table132[[#This Row],[ÉTAT]]&amp;Table132[[#This Row],[next move]]</f>
        <v>VVVVVEVVM20</v>
      </c>
    </row>
    <row r="6896" spans="2:9" x14ac:dyDescent="0.25">
      <c r="B6896" t="s">
        <v>437</v>
      </c>
      <c r="C6896" s="22" t="s">
        <v>20</v>
      </c>
      <c r="D6896">
        <v>2</v>
      </c>
      <c r="E6896">
        <v>2</v>
      </c>
      <c r="G6896" s="31">
        <f>Table132[[#This Row],[nb win]]/Table132[[#This Row],[nb play]]</f>
        <v>1</v>
      </c>
      <c r="H6896" s="26" t="str">
        <f>MID(Table132[[#This Row],[ÉTAT]],VALUE(RIGHT(Table132[[#This Row],[next move]],1))+1+VALUE(LEFT(Table132[[#This Row],[next move]],1))*3,1)</f>
        <v>V</v>
      </c>
      <c r="I6896" s="26" t="str">
        <f>Table132[[#This Row],[ÉTAT]]&amp;Table132[[#This Row],[next move]]</f>
        <v>VVVVVEMEM02</v>
      </c>
    </row>
    <row r="6897" spans="2:9" x14ac:dyDescent="0.25">
      <c r="B6897" t="s">
        <v>3584</v>
      </c>
      <c r="C6897" s="22" t="s">
        <v>30</v>
      </c>
      <c r="D6897">
        <v>1</v>
      </c>
      <c r="G6897" s="30">
        <f>Table132[[#This Row],[nb win]]/Table132[[#This Row],[nb play]]</f>
        <v>0</v>
      </c>
      <c r="H6897" s="26" t="str">
        <f>MID(Table132[[#This Row],[ÉTAT]],VALUE(RIGHT(Table132[[#This Row],[next move]],1))+1+VALUE(LEFT(Table132[[#This Row],[next move]],1))*3,1)</f>
        <v>V</v>
      </c>
      <c r="I6897" s="26" t="str">
        <f>Table132[[#This Row],[ÉTAT]]&amp;Table132[[#This Row],[next move]]</f>
        <v>VVEVVMEME10</v>
      </c>
    </row>
    <row r="6898" spans="2:9" x14ac:dyDescent="0.25">
      <c r="B6898" t="s">
        <v>1595</v>
      </c>
      <c r="C6898" s="22" t="s">
        <v>26</v>
      </c>
      <c r="D6898">
        <v>1</v>
      </c>
      <c r="E6898">
        <v>1</v>
      </c>
      <c r="G6898" s="31">
        <f>Table132[[#This Row],[nb win]]/Table132[[#This Row],[nb play]]</f>
        <v>1</v>
      </c>
      <c r="H6898" s="26" t="str">
        <f>MID(Table132[[#This Row],[ÉTAT]],VALUE(RIGHT(Table132[[#This Row],[next move]],1))+1+VALUE(LEFT(Table132[[#This Row],[next move]],1))*3,1)</f>
        <v>V</v>
      </c>
      <c r="I6898" s="26" t="str">
        <f>Table132[[#This Row],[ÉTAT]]&amp;Table132[[#This Row],[next move]]</f>
        <v>VVMEVEMEM01</v>
      </c>
    </row>
    <row r="6899" spans="2:9" x14ac:dyDescent="0.25">
      <c r="B6899" t="s">
        <v>3585</v>
      </c>
      <c r="C6899" s="22" t="s">
        <v>24</v>
      </c>
      <c r="D6899">
        <v>1</v>
      </c>
      <c r="G6899" s="30">
        <f>Table132[[#This Row],[nb win]]/Table132[[#This Row],[nb play]]</f>
        <v>0</v>
      </c>
      <c r="H6899" s="26" t="str">
        <f>MID(Table132[[#This Row],[ÉTAT]],VALUE(RIGHT(Table132[[#This Row],[next move]],1))+1+VALUE(LEFT(Table132[[#This Row],[next move]],1))*3,1)</f>
        <v>V</v>
      </c>
      <c r="I6899" s="26" t="str">
        <f>Table132[[#This Row],[ÉTAT]]&amp;Table132[[#This Row],[next move]]</f>
        <v>VEEMVMEME00</v>
      </c>
    </row>
    <row r="6900" spans="2:9" x14ac:dyDescent="0.25">
      <c r="B6900" t="s">
        <v>55</v>
      </c>
      <c r="C6900" s="22" t="s">
        <v>26</v>
      </c>
      <c r="D6900">
        <v>1</v>
      </c>
      <c r="E6900">
        <v>1</v>
      </c>
      <c r="G6900" s="31">
        <f>Table132[[#This Row],[nb win]]/Table132[[#This Row],[nb play]]</f>
        <v>1</v>
      </c>
      <c r="H6900" s="26" t="str">
        <f>MID(Table132[[#This Row],[ÉTAT]],VALUE(RIGHT(Table132[[#This Row],[next move]],1))+1+VALUE(LEFT(Table132[[#This Row],[next move]],1))*3,1)</f>
        <v>V</v>
      </c>
      <c r="I6900" s="26" t="str">
        <f>Table132[[#This Row],[ÉTAT]]&amp;Table132[[#This Row],[next move]]</f>
        <v>VVVMVEVVV01</v>
      </c>
    </row>
    <row r="6901" spans="2:9" x14ac:dyDescent="0.25">
      <c r="B6901" t="s">
        <v>3462</v>
      </c>
      <c r="C6901" s="22" t="s">
        <v>24</v>
      </c>
      <c r="D6901">
        <v>1</v>
      </c>
      <c r="G6901" s="30">
        <f>Table132[[#This Row],[nb win]]/Table132[[#This Row],[nb play]]</f>
        <v>0</v>
      </c>
      <c r="H6901" s="26" t="str">
        <f>MID(Table132[[#This Row],[ÉTAT]],VALUE(RIGHT(Table132[[#This Row],[next move]],1))+1+VALUE(LEFT(Table132[[#This Row],[next move]],1))*3,1)</f>
        <v>V</v>
      </c>
      <c r="I6901" s="26" t="str">
        <f>Table132[[#This Row],[ÉTAT]]&amp;Table132[[#This Row],[next move]]</f>
        <v>VEVEVMVVV00</v>
      </c>
    </row>
    <row r="6902" spans="2:9" x14ac:dyDescent="0.25">
      <c r="B6902" t="s">
        <v>3544</v>
      </c>
      <c r="C6902" s="22" t="s">
        <v>22</v>
      </c>
      <c r="D6902">
        <v>1</v>
      </c>
      <c r="E6902">
        <v>1</v>
      </c>
      <c r="G6902" s="31">
        <f>Table132[[#This Row],[nb win]]/Table132[[#This Row],[nb play]]</f>
        <v>1</v>
      </c>
      <c r="H6902" s="26" t="str">
        <f>MID(Table132[[#This Row],[ÉTAT]],VALUE(RIGHT(Table132[[#This Row],[next move]],1))+1+VALUE(LEFT(Table132[[#This Row],[next move]],1))*3,1)</f>
        <v>V</v>
      </c>
      <c r="I6902" s="26" t="str">
        <f>Table132[[#This Row],[ÉTAT]]&amp;Table132[[#This Row],[next move]]</f>
        <v>EMVMVEVVV21</v>
      </c>
    </row>
    <row r="6903" spans="2:9" x14ac:dyDescent="0.25">
      <c r="B6903" t="s">
        <v>1053</v>
      </c>
      <c r="C6903" s="22" t="s">
        <v>35</v>
      </c>
      <c r="D6903">
        <v>1</v>
      </c>
      <c r="G6903" s="30">
        <f>Table132[[#This Row],[nb win]]/Table132[[#This Row],[nb play]]</f>
        <v>0</v>
      </c>
      <c r="H6903" s="26" t="str">
        <f>MID(Table132[[#This Row],[ÉTAT]],VALUE(RIGHT(Table132[[#This Row],[next move]],1))+1+VALUE(LEFT(Table132[[#This Row],[next move]],1))*3,1)</f>
        <v>V</v>
      </c>
      <c r="I6903" s="26" t="str">
        <f>Table132[[#This Row],[ÉTAT]]&amp;Table132[[#This Row],[next move]]</f>
        <v>MEVEVMVEV20</v>
      </c>
    </row>
    <row r="6904" spans="2:9" x14ac:dyDescent="0.25">
      <c r="B6904" t="s">
        <v>2953</v>
      </c>
      <c r="C6904" s="22" t="s">
        <v>29</v>
      </c>
      <c r="D6904">
        <v>1</v>
      </c>
      <c r="E6904">
        <v>1</v>
      </c>
      <c r="G6904" s="31">
        <f>Table132[[#This Row],[nb win]]/Table132[[#This Row],[nb play]]</f>
        <v>1</v>
      </c>
      <c r="H6904" s="26" t="str">
        <f>MID(Table132[[#This Row],[ÉTAT]],VALUE(RIGHT(Table132[[#This Row],[next move]],1))+1+VALUE(LEFT(Table132[[#This Row],[next move]],1))*3,1)</f>
        <v>V</v>
      </c>
      <c r="I6904" s="26" t="str">
        <f>Table132[[#This Row],[ÉTAT]]&amp;Table132[[#This Row],[next move]]</f>
        <v>EMVMVEEMV11</v>
      </c>
    </row>
    <row r="6905" spans="2:9" x14ac:dyDescent="0.25">
      <c r="B6905" t="s">
        <v>2691</v>
      </c>
      <c r="C6905" s="22" t="s">
        <v>28</v>
      </c>
      <c r="D6905">
        <v>1</v>
      </c>
      <c r="E6905">
        <v>1</v>
      </c>
      <c r="G6905" s="31">
        <f>Table132[[#This Row],[nb win]]/Table132[[#This Row],[nb play]]</f>
        <v>1</v>
      </c>
      <c r="H6905" s="26" t="str">
        <f>MID(Table132[[#This Row],[ÉTAT]],VALUE(RIGHT(Table132[[#This Row],[next move]],1))+1+VALUE(LEFT(Table132[[#This Row],[next move]],1))*3,1)</f>
        <v>V</v>
      </c>
      <c r="I6905" s="26" t="str">
        <f>Table132[[#This Row],[ÉTAT]]&amp;Table132[[#This Row],[next move]]</f>
        <v>VMMVVVVEE12</v>
      </c>
    </row>
    <row r="6906" spans="2:9" x14ac:dyDescent="0.25">
      <c r="B6906" t="s">
        <v>2591</v>
      </c>
      <c r="C6906" s="22" t="s">
        <v>30</v>
      </c>
      <c r="D6906">
        <v>1</v>
      </c>
      <c r="G6906" s="30">
        <f>Table132[[#This Row],[nb win]]/Table132[[#This Row],[nb play]]</f>
        <v>0</v>
      </c>
      <c r="H6906" s="26" t="str">
        <f>MID(Table132[[#This Row],[ÉTAT]],VALUE(RIGHT(Table132[[#This Row],[next move]],1))+1+VALUE(LEFT(Table132[[#This Row],[next move]],1))*3,1)</f>
        <v>V</v>
      </c>
      <c r="I6906" s="26" t="str">
        <f>Table132[[#This Row],[ÉTAT]]&amp;Table132[[#This Row],[next move]]</f>
        <v>VEEVVEVMM10</v>
      </c>
    </row>
    <row r="6907" spans="2:9" x14ac:dyDescent="0.25">
      <c r="B6907" t="s">
        <v>3586</v>
      </c>
      <c r="C6907" s="22" t="s">
        <v>29</v>
      </c>
      <c r="D6907">
        <v>1</v>
      </c>
      <c r="E6907">
        <v>1</v>
      </c>
      <c r="G6907" s="31">
        <f>Table132[[#This Row],[nb win]]/Table132[[#This Row],[nb play]]</f>
        <v>1</v>
      </c>
      <c r="H6907" s="26" t="str">
        <f>MID(Table132[[#This Row],[ÉTAT]],VALUE(RIGHT(Table132[[#This Row],[next move]],1))+1+VALUE(LEFT(Table132[[#This Row],[next move]],1))*3,1)</f>
        <v>V</v>
      </c>
      <c r="I6907" s="26" t="str">
        <f>Table132[[#This Row],[ÉTAT]]&amp;Table132[[#This Row],[next move]]</f>
        <v>VMMEVMVEE11</v>
      </c>
    </row>
    <row r="6908" spans="2:9" x14ac:dyDescent="0.25">
      <c r="B6908" t="s">
        <v>3401</v>
      </c>
      <c r="C6908" s="22" t="s">
        <v>24</v>
      </c>
      <c r="D6908">
        <v>1</v>
      </c>
      <c r="G6908" s="30">
        <f>Table132[[#This Row],[nb win]]/Table132[[#This Row],[nb play]]</f>
        <v>0</v>
      </c>
      <c r="H6908" s="26" t="str">
        <f>MID(Table132[[#This Row],[ÉTAT]],VALUE(RIGHT(Table132[[#This Row],[next move]],1))+1+VALUE(LEFT(Table132[[#This Row],[next move]],1))*3,1)</f>
        <v>V</v>
      </c>
      <c r="I6908" s="26" t="str">
        <f>Table132[[#This Row],[ÉTAT]]&amp;Table132[[#This Row],[next move]]</f>
        <v>VEEMEEVMM00</v>
      </c>
    </row>
    <row r="6909" spans="2:9" x14ac:dyDescent="0.25">
      <c r="B6909" t="s">
        <v>1258</v>
      </c>
      <c r="C6909" s="22" t="s">
        <v>35</v>
      </c>
      <c r="D6909">
        <v>1</v>
      </c>
      <c r="E6909">
        <v>1</v>
      </c>
      <c r="G6909" s="31">
        <f>Table132[[#This Row],[nb win]]/Table132[[#This Row],[nb play]]</f>
        <v>1</v>
      </c>
      <c r="H6909" s="26" t="str">
        <f>MID(Table132[[#This Row],[ÉTAT]],VALUE(RIGHT(Table132[[#This Row],[next move]],1))+1+VALUE(LEFT(Table132[[#This Row],[next move]],1))*3,1)</f>
        <v>V</v>
      </c>
      <c r="I6909" s="26" t="str">
        <f>Table132[[#This Row],[ÉTAT]]&amp;Table132[[#This Row],[next move]]</f>
        <v>EEMVVVVVM20</v>
      </c>
    </row>
    <row r="6910" spans="2:9" x14ac:dyDescent="0.25">
      <c r="B6910" t="s">
        <v>2335</v>
      </c>
      <c r="C6910" s="22" t="s">
        <v>30</v>
      </c>
      <c r="D6910">
        <v>1</v>
      </c>
      <c r="G6910" s="30">
        <f>Table132[[#This Row],[nb win]]/Table132[[#This Row],[nb play]]</f>
        <v>0</v>
      </c>
      <c r="H6910" s="26" t="str">
        <f>MID(Table132[[#This Row],[ÉTAT]],VALUE(RIGHT(Table132[[#This Row],[next move]],1))+1+VALUE(LEFT(Table132[[#This Row],[next move]],1))*3,1)</f>
        <v>V</v>
      </c>
      <c r="I6910" s="26" t="str">
        <f>Table132[[#This Row],[ÉTAT]]&amp;Table132[[#This Row],[next move]]</f>
        <v>MMEVVVEVE10</v>
      </c>
    </row>
    <row r="6911" spans="2:9" x14ac:dyDescent="0.25">
      <c r="B6911" t="s">
        <v>2313</v>
      </c>
      <c r="C6911" s="22" t="s">
        <v>22</v>
      </c>
      <c r="D6911">
        <v>1</v>
      </c>
      <c r="E6911">
        <v>1</v>
      </c>
      <c r="G6911" s="31">
        <f>Table132[[#This Row],[nb win]]/Table132[[#This Row],[nb play]]</f>
        <v>1</v>
      </c>
      <c r="H6911" s="26" t="str">
        <f>MID(Table132[[#This Row],[ÉTAT]],VALUE(RIGHT(Table132[[#This Row],[next move]],1))+1+VALUE(LEFT(Table132[[#This Row],[next move]],1))*3,1)</f>
        <v>V</v>
      </c>
      <c r="I6911" s="26" t="str">
        <f>Table132[[#This Row],[ÉTAT]]&amp;Table132[[#This Row],[next move]]</f>
        <v>EEMEVVMVM21</v>
      </c>
    </row>
    <row r="6912" spans="2:9" x14ac:dyDescent="0.25">
      <c r="B6912" t="s">
        <v>280</v>
      </c>
      <c r="C6912" s="22" t="s">
        <v>29</v>
      </c>
      <c r="D6912">
        <v>1</v>
      </c>
      <c r="G6912" s="30">
        <f>Table132[[#This Row],[nb win]]/Table132[[#This Row],[nb play]]</f>
        <v>0</v>
      </c>
      <c r="H6912" s="26" t="str">
        <f>MID(Table132[[#This Row],[ÉTAT]],VALUE(RIGHT(Table132[[#This Row],[next move]],1))+1+VALUE(LEFT(Table132[[#This Row],[next move]],1))*3,1)</f>
        <v>V</v>
      </c>
      <c r="I6912" s="26" t="str">
        <f>Table132[[#This Row],[ÉTAT]]&amp;Table132[[#This Row],[next move]]</f>
        <v>MEVVVVVVE11</v>
      </c>
    </row>
    <row r="6913" spans="2:9" x14ac:dyDescent="0.25">
      <c r="B6913" t="s">
        <v>3107</v>
      </c>
      <c r="C6913" s="22" t="s">
        <v>20</v>
      </c>
      <c r="D6913">
        <v>1</v>
      </c>
      <c r="E6913">
        <v>1</v>
      </c>
      <c r="G6913" s="31">
        <f>Table132[[#This Row],[nb win]]/Table132[[#This Row],[nb play]]</f>
        <v>1</v>
      </c>
      <c r="H6913" s="26" t="str">
        <f>MID(Table132[[#This Row],[ÉTAT]],VALUE(RIGHT(Table132[[#This Row],[next move]],1))+1+VALUE(LEFT(Table132[[#This Row],[next move]],1))*3,1)</f>
        <v>V</v>
      </c>
      <c r="I6913" s="26" t="str">
        <f>Table132[[#This Row],[ÉTAT]]&amp;Table132[[#This Row],[next move]]</f>
        <v>EMVVEVVVM02</v>
      </c>
    </row>
    <row r="6914" spans="2:9" x14ac:dyDescent="0.25">
      <c r="B6914" t="s">
        <v>2900</v>
      </c>
      <c r="C6914" s="22" t="s">
        <v>35</v>
      </c>
      <c r="D6914">
        <v>1</v>
      </c>
      <c r="G6914" s="30">
        <f>Table132[[#This Row],[nb win]]/Table132[[#This Row],[nb play]]</f>
        <v>0</v>
      </c>
      <c r="H6914" s="26" t="str">
        <f>MID(Table132[[#This Row],[ÉTAT]],VALUE(RIGHT(Table132[[#This Row],[next move]],1))+1+VALUE(LEFT(Table132[[#This Row],[next move]],1))*3,1)</f>
        <v>V</v>
      </c>
      <c r="I6914" s="26" t="str">
        <f>Table132[[#This Row],[ÉTAT]]&amp;Table132[[#This Row],[next move]]</f>
        <v>MEEVMVVVE20</v>
      </c>
    </row>
    <row r="6915" spans="2:9" x14ac:dyDescent="0.25">
      <c r="B6915" t="s">
        <v>2290</v>
      </c>
      <c r="C6915" s="22" t="s">
        <v>28</v>
      </c>
      <c r="D6915">
        <v>1</v>
      </c>
      <c r="E6915">
        <v>1</v>
      </c>
      <c r="G6915" s="31">
        <f>Table132[[#This Row],[nb win]]/Table132[[#This Row],[nb play]]</f>
        <v>1</v>
      </c>
      <c r="H6915" s="26" t="str">
        <f>MID(Table132[[#This Row],[ÉTAT]],VALUE(RIGHT(Table132[[#This Row],[next move]],1))+1+VALUE(LEFT(Table132[[#This Row],[next move]],1))*3,1)</f>
        <v>V</v>
      </c>
      <c r="I6915" s="26" t="str">
        <f>Table132[[#This Row],[ÉTAT]]&amp;Table132[[#This Row],[next move]]</f>
        <v>EMMVEVEVM12</v>
      </c>
    </row>
    <row r="6916" spans="2:9" x14ac:dyDescent="0.25">
      <c r="B6916" t="s">
        <v>2084</v>
      </c>
      <c r="C6916" s="22" t="s">
        <v>22</v>
      </c>
      <c r="D6916">
        <v>1</v>
      </c>
      <c r="E6916">
        <v>1</v>
      </c>
      <c r="G6916" s="31">
        <f>Table132[[#This Row],[nb win]]/Table132[[#This Row],[nb play]]</f>
        <v>1</v>
      </c>
      <c r="H6916" s="26" t="str">
        <f>MID(Table132[[#This Row],[ÉTAT]],VALUE(RIGHT(Table132[[#This Row],[next move]],1))+1+VALUE(LEFT(Table132[[#This Row],[next move]],1))*3,1)</f>
        <v>V</v>
      </c>
      <c r="I6916" s="26" t="str">
        <f>Table132[[#This Row],[ÉTAT]]&amp;Table132[[#This Row],[next move]]</f>
        <v>VVVEMVEVM21</v>
      </c>
    </row>
    <row r="6917" spans="2:9" x14ac:dyDescent="0.25">
      <c r="B6917" t="s">
        <v>3587</v>
      </c>
      <c r="C6917" s="22" t="s">
        <v>28</v>
      </c>
      <c r="D6917">
        <v>1</v>
      </c>
      <c r="G6917" s="30">
        <f>Table132[[#This Row],[nb win]]/Table132[[#This Row],[nb play]]</f>
        <v>0</v>
      </c>
      <c r="H6917" s="26" t="str">
        <f>MID(Table132[[#This Row],[ÉTAT]],VALUE(RIGHT(Table132[[#This Row],[next move]],1))+1+VALUE(LEFT(Table132[[#This Row],[next move]],1))*3,1)</f>
        <v>V</v>
      </c>
      <c r="I6917" s="26" t="str">
        <f>Table132[[#This Row],[ÉTAT]]&amp;Table132[[#This Row],[next move]]</f>
        <v>VVVMEVMEE12</v>
      </c>
    </row>
    <row r="6918" spans="2:9" x14ac:dyDescent="0.25">
      <c r="B6918" t="s">
        <v>2122</v>
      </c>
      <c r="C6918" s="22" t="s">
        <v>26</v>
      </c>
      <c r="D6918">
        <v>1</v>
      </c>
      <c r="E6918">
        <v>1</v>
      </c>
      <c r="G6918" s="31">
        <f>Table132[[#This Row],[nb win]]/Table132[[#This Row],[nb play]]</f>
        <v>1</v>
      </c>
      <c r="H6918" s="26" t="str">
        <f>MID(Table132[[#This Row],[ÉTAT]],VALUE(RIGHT(Table132[[#This Row],[next move]],1))+1+VALUE(LEFT(Table132[[#This Row],[next move]],1))*3,1)</f>
        <v>V</v>
      </c>
      <c r="I6918" s="26" t="str">
        <f>Table132[[#This Row],[ÉTAT]]&amp;Table132[[#This Row],[next move]]</f>
        <v>VVVEMEEMM01</v>
      </c>
    </row>
    <row r="6919" spans="2:9" x14ac:dyDescent="0.25">
      <c r="B6919" t="s">
        <v>119</v>
      </c>
      <c r="C6919" s="22" t="s">
        <v>30</v>
      </c>
      <c r="D6919">
        <v>1</v>
      </c>
      <c r="G6919" s="30">
        <f>Table132[[#This Row],[nb win]]/Table132[[#This Row],[nb play]]</f>
        <v>0</v>
      </c>
      <c r="H6919" s="26" t="str">
        <f>MID(Table132[[#This Row],[ÉTAT]],VALUE(RIGHT(Table132[[#This Row],[next move]],1))+1+VALUE(LEFT(Table132[[#This Row],[next move]],1))*3,1)</f>
        <v>V</v>
      </c>
      <c r="I6919" s="26" t="str">
        <f>Table132[[#This Row],[ÉTAT]]&amp;Table132[[#This Row],[next move]]</f>
        <v>MVEVEVVVM10</v>
      </c>
    </row>
    <row r="6920" spans="2:9" x14ac:dyDescent="0.25">
      <c r="B6920" t="s">
        <v>3588</v>
      </c>
      <c r="C6920" s="22" t="s">
        <v>26</v>
      </c>
      <c r="D6920">
        <v>1</v>
      </c>
      <c r="E6920">
        <v>1</v>
      </c>
      <c r="G6920" s="31">
        <f>Table132[[#This Row],[nb win]]/Table132[[#This Row],[nb play]]</f>
        <v>1</v>
      </c>
      <c r="H6920" s="26" t="str">
        <f>MID(Table132[[#This Row],[ÉTAT]],VALUE(RIGHT(Table132[[#This Row],[next move]],1))+1+VALUE(LEFT(Table132[[#This Row],[next move]],1))*3,1)</f>
        <v>V</v>
      </c>
      <c r="I6920" s="26" t="str">
        <f>Table132[[#This Row],[ÉTAT]]&amp;Table132[[#This Row],[next move]]</f>
        <v>EVMEMVVVE01</v>
      </c>
    </row>
    <row r="6921" spans="2:9" x14ac:dyDescent="0.25">
      <c r="B6921" t="s">
        <v>3589</v>
      </c>
      <c r="C6921" s="22" t="s">
        <v>28</v>
      </c>
      <c r="D6921">
        <v>1</v>
      </c>
      <c r="G6921" s="30">
        <f>Table132[[#This Row],[nb win]]/Table132[[#This Row],[nb play]]</f>
        <v>0</v>
      </c>
      <c r="H6921" s="26" t="str">
        <f>MID(Table132[[#This Row],[ÉTAT]],VALUE(RIGHT(Table132[[#This Row],[next move]],1))+1+VALUE(LEFT(Table132[[#This Row],[next move]],1))*3,1)</f>
        <v>V</v>
      </c>
      <c r="I6921" s="26" t="str">
        <f>Table132[[#This Row],[ÉTAT]]&amp;Table132[[#This Row],[next move]]</f>
        <v>MEEMEVVVM12</v>
      </c>
    </row>
    <row r="6922" spans="2:9" x14ac:dyDescent="0.25">
      <c r="B6922" t="s">
        <v>3590</v>
      </c>
      <c r="C6922" s="22" t="s">
        <v>35</v>
      </c>
      <c r="D6922">
        <v>1</v>
      </c>
      <c r="E6922">
        <v>1</v>
      </c>
      <c r="G6922" s="31">
        <f>Table132[[#This Row],[nb win]]/Table132[[#This Row],[nb play]]</f>
        <v>1</v>
      </c>
      <c r="H6922" s="26" t="str">
        <f>MID(Table132[[#This Row],[ÉTAT]],VALUE(RIGHT(Table132[[#This Row],[next move]],1))+1+VALUE(LEFT(Table132[[#This Row],[next move]],1))*3,1)</f>
        <v>V</v>
      </c>
      <c r="I6922" s="26" t="str">
        <f>Table132[[#This Row],[ÉTAT]]&amp;Table132[[#This Row],[next move]]</f>
        <v>EMMEMEVVE20</v>
      </c>
    </row>
    <row r="6923" spans="2:9" x14ac:dyDescent="0.25">
      <c r="B6923" t="s">
        <v>2859</v>
      </c>
      <c r="C6923" s="22" t="s">
        <v>31</v>
      </c>
      <c r="D6923">
        <v>2</v>
      </c>
      <c r="E6923">
        <v>1</v>
      </c>
      <c r="G6923" s="30">
        <f>Table132[[#This Row],[nb win]]/Table132[[#This Row],[nb play]]</f>
        <v>0.5</v>
      </c>
      <c r="H6923" s="26" t="str">
        <f>MID(Table132[[#This Row],[ÉTAT]],VALUE(RIGHT(Table132[[#This Row],[next move]],1))+1+VALUE(LEFT(Table132[[#This Row],[next move]],1))*3,1)</f>
        <v>V</v>
      </c>
      <c r="I6923" s="26" t="str">
        <f>Table132[[#This Row],[ÉTAT]]&amp;Table132[[#This Row],[next move]]</f>
        <v>EVMVEVVMV22</v>
      </c>
    </row>
    <row r="6924" spans="2:9" x14ac:dyDescent="0.25">
      <c r="B6924" t="s">
        <v>652</v>
      </c>
      <c r="C6924" s="22" t="s">
        <v>35</v>
      </c>
      <c r="D6924">
        <v>1</v>
      </c>
      <c r="G6924" s="30">
        <f>Table132[[#This Row],[nb win]]/Table132[[#This Row],[nb play]]</f>
        <v>0</v>
      </c>
      <c r="H6924" s="26" t="str">
        <f>MID(Table132[[#This Row],[ÉTAT]],VALUE(RIGHT(Table132[[#This Row],[next move]],1))+1+VALUE(LEFT(Table132[[#This Row],[next move]],1))*3,1)</f>
        <v>V</v>
      </c>
      <c r="I6924" s="26" t="str">
        <f>Table132[[#This Row],[ÉTAT]]&amp;Table132[[#This Row],[next move]]</f>
        <v>MVEVMVVEE20</v>
      </c>
    </row>
    <row r="6925" spans="2:9" x14ac:dyDescent="0.25">
      <c r="B6925" t="s">
        <v>3591</v>
      </c>
      <c r="C6925" s="22" t="s">
        <v>28</v>
      </c>
      <c r="D6925">
        <v>2</v>
      </c>
      <c r="E6925">
        <v>2</v>
      </c>
      <c r="G6925" s="31">
        <f>Table132[[#This Row],[nb win]]/Table132[[#This Row],[nb play]]</f>
        <v>1</v>
      </c>
      <c r="H6925" s="26" t="str">
        <f>MID(Table132[[#This Row],[ÉTAT]],VALUE(RIGHT(Table132[[#This Row],[next move]],1))+1+VALUE(LEFT(Table132[[#This Row],[next move]],1))*3,1)</f>
        <v>V</v>
      </c>
      <c r="I6925" s="26" t="str">
        <f>Table132[[#This Row],[ÉTAT]]&amp;Table132[[#This Row],[next move]]</f>
        <v>EVMVEVEMM12</v>
      </c>
    </row>
    <row r="6926" spans="2:9" x14ac:dyDescent="0.25">
      <c r="B6926" t="s">
        <v>2931</v>
      </c>
      <c r="C6926" s="22" t="s">
        <v>26</v>
      </c>
      <c r="D6926">
        <v>1</v>
      </c>
      <c r="G6926" s="30">
        <f>Table132[[#This Row],[nb win]]/Table132[[#This Row],[nb play]]</f>
        <v>0</v>
      </c>
      <c r="H6926" s="26" t="str">
        <f>MID(Table132[[#This Row],[ÉTAT]],VALUE(RIGHT(Table132[[#This Row],[next move]],1))+1+VALUE(LEFT(Table132[[#This Row],[next move]],1))*3,1)</f>
        <v>V</v>
      </c>
      <c r="I6926" s="26" t="str">
        <f>Table132[[#This Row],[ÉTAT]]&amp;Table132[[#This Row],[next move]]</f>
        <v>MVVVVEVME01</v>
      </c>
    </row>
    <row r="6927" spans="2:9" x14ac:dyDescent="0.25">
      <c r="B6927" t="s">
        <v>3592</v>
      </c>
      <c r="C6927" s="22" t="s">
        <v>20</v>
      </c>
      <c r="D6927">
        <v>1</v>
      </c>
      <c r="E6927">
        <v>1</v>
      </c>
      <c r="G6927" s="31">
        <f>Table132[[#This Row],[nb win]]/Table132[[#This Row],[nb play]]</f>
        <v>1</v>
      </c>
      <c r="H6927" s="26" t="str">
        <f>MID(Table132[[#This Row],[ÉTAT]],VALUE(RIGHT(Table132[[#This Row],[next move]],1))+1+VALUE(LEFT(Table132[[#This Row],[next move]],1))*3,1)</f>
        <v>V</v>
      </c>
      <c r="I6927" s="26" t="str">
        <f>Table132[[#This Row],[ÉTAT]]&amp;Table132[[#This Row],[next move]]</f>
        <v>EEVVVMVEM02</v>
      </c>
    </row>
    <row r="6928" spans="2:9" x14ac:dyDescent="0.25">
      <c r="B6928" t="s">
        <v>570</v>
      </c>
      <c r="C6928" s="22" t="s">
        <v>22</v>
      </c>
      <c r="D6928">
        <v>1</v>
      </c>
      <c r="G6928" s="30">
        <f>Table132[[#This Row],[nb win]]/Table132[[#This Row],[nb play]]</f>
        <v>0</v>
      </c>
      <c r="H6928" s="26" t="str">
        <f>MID(Table132[[#This Row],[ÉTAT]],VALUE(RIGHT(Table132[[#This Row],[next move]],1))+1+VALUE(LEFT(Table132[[#This Row],[next move]],1))*3,1)</f>
        <v>V</v>
      </c>
      <c r="I6928" s="26" t="str">
        <f>Table132[[#This Row],[ÉTAT]]&amp;Table132[[#This Row],[next move]]</f>
        <v>VVVEVMVVV21</v>
      </c>
    </row>
    <row r="6929" spans="2:9" x14ac:dyDescent="0.25">
      <c r="B6929" t="s">
        <v>2046</v>
      </c>
      <c r="C6929" s="22" t="s">
        <v>24</v>
      </c>
      <c r="D6929">
        <v>1</v>
      </c>
      <c r="E6929">
        <v>1</v>
      </c>
      <c r="G6929" s="31">
        <f>Table132[[#This Row],[nb win]]/Table132[[#This Row],[nb play]]</f>
        <v>1</v>
      </c>
      <c r="H6929" s="26" t="str">
        <f>MID(Table132[[#This Row],[ÉTAT]],VALUE(RIGHT(Table132[[#This Row],[next move]],1))+1+VALUE(LEFT(Table132[[#This Row],[next move]],1))*3,1)</f>
        <v>V</v>
      </c>
      <c r="I6929" s="26" t="str">
        <f>Table132[[#This Row],[ÉTAT]]&amp;Table132[[#This Row],[next move]]</f>
        <v>VVVMVEVEV00</v>
      </c>
    </row>
    <row r="6930" spans="2:9" x14ac:dyDescent="0.25">
      <c r="B6930" t="s">
        <v>1541</v>
      </c>
      <c r="C6930" s="22" t="s">
        <v>20</v>
      </c>
      <c r="D6930">
        <v>1</v>
      </c>
      <c r="G6930" s="30">
        <f>Table132[[#This Row],[nb win]]/Table132[[#This Row],[nb play]]</f>
        <v>0</v>
      </c>
      <c r="H6930" s="26" t="str">
        <f>MID(Table132[[#This Row],[ÉTAT]],VALUE(RIGHT(Table132[[#This Row],[next move]],1))+1+VALUE(LEFT(Table132[[#This Row],[next move]],1))*3,1)</f>
        <v>V</v>
      </c>
      <c r="I6930" s="26" t="str">
        <f>Table132[[#This Row],[ÉTAT]]&amp;Table132[[#This Row],[next move]]</f>
        <v>EVVEVMVMV02</v>
      </c>
    </row>
    <row r="6931" spans="2:9" x14ac:dyDescent="0.25">
      <c r="B6931" t="s">
        <v>3593</v>
      </c>
      <c r="C6931" s="22" t="s">
        <v>35</v>
      </c>
      <c r="D6931">
        <v>1</v>
      </c>
      <c r="E6931">
        <v>1</v>
      </c>
      <c r="G6931" s="31">
        <f>Table132[[#This Row],[nb win]]/Table132[[#This Row],[nb play]]</f>
        <v>1</v>
      </c>
      <c r="H6931" s="26" t="str">
        <f>MID(Table132[[#This Row],[ÉTAT]],VALUE(RIGHT(Table132[[#This Row],[next move]],1))+1+VALUE(LEFT(Table132[[#This Row],[next move]],1))*3,1)</f>
        <v>V</v>
      </c>
      <c r="I6931" s="26" t="str">
        <f>Table132[[#This Row],[ÉTAT]]&amp;Table132[[#This Row],[next move]]</f>
        <v>MVEMVEVEV20</v>
      </c>
    </row>
    <row r="6932" spans="2:9" x14ac:dyDescent="0.25">
      <c r="B6932" t="s">
        <v>839</v>
      </c>
      <c r="C6932" s="22" t="s">
        <v>24</v>
      </c>
      <c r="D6932">
        <v>2</v>
      </c>
      <c r="E6932">
        <v>2</v>
      </c>
      <c r="G6932" s="31">
        <f>Table132[[#This Row],[nb win]]/Table132[[#This Row],[nb play]]</f>
        <v>1</v>
      </c>
      <c r="H6932" s="26" t="str">
        <f>MID(Table132[[#This Row],[ÉTAT]],VALUE(RIGHT(Table132[[#This Row],[next move]],1))+1+VALUE(LEFT(Table132[[#This Row],[next move]],1))*3,1)</f>
        <v>V</v>
      </c>
      <c r="I6932" s="26" t="str">
        <f>Table132[[#This Row],[ÉTAT]]&amp;Table132[[#This Row],[next move]]</f>
        <v>VVMEVEVMV00</v>
      </c>
    </row>
    <row r="6933" spans="2:9" x14ac:dyDescent="0.25">
      <c r="B6933" t="s">
        <v>2464</v>
      </c>
      <c r="C6933" s="22" t="s">
        <v>26</v>
      </c>
      <c r="D6933">
        <v>1</v>
      </c>
      <c r="G6933" s="30">
        <f>Table132[[#This Row],[nb win]]/Table132[[#This Row],[nb play]]</f>
        <v>0</v>
      </c>
      <c r="H6933" s="26" t="str">
        <f>MID(Table132[[#This Row],[ÉTAT]],VALUE(RIGHT(Table132[[#This Row],[next move]],1))+1+VALUE(LEFT(Table132[[#This Row],[next move]],1))*3,1)</f>
        <v>V</v>
      </c>
      <c r="I6933" s="26" t="str">
        <f>Table132[[#This Row],[ÉTAT]]&amp;Table132[[#This Row],[next move]]</f>
        <v>EVEMVMVEV01</v>
      </c>
    </row>
    <row r="6934" spans="2:9" x14ac:dyDescent="0.25">
      <c r="B6934" t="s">
        <v>3594</v>
      </c>
      <c r="C6934" s="22" t="s">
        <v>29</v>
      </c>
      <c r="D6934">
        <v>1</v>
      </c>
      <c r="E6934">
        <v>1</v>
      </c>
      <c r="G6934" s="31">
        <f>Table132[[#This Row],[nb win]]/Table132[[#This Row],[nb play]]</f>
        <v>1</v>
      </c>
      <c r="H6934" s="26" t="str">
        <f>MID(Table132[[#This Row],[ÉTAT]],VALUE(RIGHT(Table132[[#This Row],[next move]],1))+1+VALUE(LEFT(Table132[[#This Row],[next move]],1))*3,1)</f>
        <v>V</v>
      </c>
      <c r="I6934" s="26" t="str">
        <f>Table132[[#This Row],[ÉTAT]]&amp;Table132[[#This Row],[next move]]</f>
        <v>MEMEVEVMV11</v>
      </c>
    </row>
    <row r="6935" spans="2:9" x14ac:dyDescent="0.25">
      <c r="B6935" t="s">
        <v>84</v>
      </c>
      <c r="C6935" s="22" t="s">
        <v>22</v>
      </c>
      <c r="D6935">
        <v>2</v>
      </c>
      <c r="E6935">
        <v>1</v>
      </c>
      <c r="G6935" s="30">
        <f>Table132[[#This Row],[nb win]]/Table132[[#This Row],[nb play]]</f>
        <v>0.5</v>
      </c>
      <c r="H6935" s="26" t="str">
        <f>MID(Table132[[#This Row],[ÉTAT]],VALUE(RIGHT(Table132[[#This Row],[next move]],1))+1+VALUE(LEFT(Table132[[#This Row],[next move]],1))*3,1)</f>
        <v>V</v>
      </c>
      <c r="I6935" s="26" t="str">
        <f>Table132[[#This Row],[ÉTAT]]&amp;Table132[[#This Row],[next move]]</f>
        <v>VEVVMVVVV21</v>
      </c>
    </row>
    <row r="6936" spans="2:9" x14ac:dyDescent="0.25">
      <c r="B6936" t="s">
        <v>2306</v>
      </c>
      <c r="C6936" s="22" t="s">
        <v>35</v>
      </c>
      <c r="D6936">
        <v>1</v>
      </c>
      <c r="G6936" s="30">
        <f>Table132[[#This Row],[nb win]]/Table132[[#This Row],[nb play]]</f>
        <v>0</v>
      </c>
      <c r="H6936" s="26" t="str">
        <f>MID(Table132[[#This Row],[ÉTAT]],VALUE(RIGHT(Table132[[#This Row],[next move]],1))+1+VALUE(LEFT(Table132[[#This Row],[next move]],1))*3,1)</f>
        <v>V</v>
      </c>
      <c r="I6936" s="26" t="str">
        <f>Table132[[#This Row],[ÉTAT]]&amp;Table132[[#This Row],[next move]]</f>
        <v>VMVVEVVEV20</v>
      </c>
    </row>
    <row r="6937" spans="2:9" x14ac:dyDescent="0.25">
      <c r="B6937" t="s">
        <v>510</v>
      </c>
      <c r="C6937" s="22" t="s">
        <v>24</v>
      </c>
      <c r="D6937">
        <v>2</v>
      </c>
      <c r="E6937">
        <v>2</v>
      </c>
      <c r="G6937" s="31">
        <f>Table132[[#This Row],[nb win]]/Table132[[#This Row],[nb play]]</f>
        <v>1</v>
      </c>
      <c r="H6937" s="26" t="str">
        <f>MID(Table132[[#This Row],[ÉTAT]],VALUE(RIGHT(Table132[[#This Row],[next move]],1))+1+VALUE(LEFT(Table132[[#This Row],[next move]],1))*3,1)</f>
        <v>V</v>
      </c>
      <c r="I6937" s="26" t="str">
        <f>Table132[[#This Row],[ÉTAT]]&amp;Table132[[#This Row],[next move]]</f>
        <v>VEVVMVEMV00</v>
      </c>
    </row>
    <row r="6938" spans="2:9" x14ac:dyDescent="0.25">
      <c r="B6938" t="s">
        <v>3595</v>
      </c>
      <c r="C6938" s="22" t="s">
        <v>20</v>
      </c>
      <c r="D6938">
        <v>1</v>
      </c>
      <c r="G6938" s="30">
        <f>Table132[[#This Row],[nb win]]/Table132[[#This Row],[nb play]]</f>
        <v>0</v>
      </c>
      <c r="H6938" s="26" t="str">
        <f>MID(Table132[[#This Row],[ÉTAT]],VALUE(RIGHT(Table132[[#This Row],[next move]],1))+1+VALUE(LEFT(Table132[[#This Row],[next move]],1))*3,1)</f>
        <v>V</v>
      </c>
      <c r="I6938" s="26" t="str">
        <f>Table132[[#This Row],[ÉTAT]]&amp;Table132[[#This Row],[next move]]</f>
        <v>EMVVEVMEV02</v>
      </c>
    </row>
    <row r="6939" spans="2:9" x14ac:dyDescent="0.25">
      <c r="B6939" t="s">
        <v>3596</v>
      </c>
      <c r="C6939" s="22" t="s">
        <v>31</v>
      </c>
      <c r="D6939">
        <v>1</v>
      </c>
      <c r="E6939">
        <v>1</v>
      </c>
      <c r="G6939" s="31">
        <f>Table132[[#This Row],[nb win]]/Table132[[#This Row],[nb play]]</f>
        <v>1</v>
      </c>
      <c r="H6939" s="26" t="str">
        <f>MID(Table132[[#This Row],[ÉTAT]],VALUE(RIGHT(Table132[[#This Row],[next move]],1))+1+VALUE(LEFT(Table132[[#This Row],[next move]],1))*3,1)</f>
        <v>V</v>
      </c>
      <c r="I6939" s="26" t="str">
        <f>Table132[[#This Row],[ÉTAT]]&amp;Table132[[#This Row],[next move]]</f>
        <v>MEEVMVEMV22</v>
      </c>
    </row>
    <row r="6940" spans="2:9" x14ac:dyDescent="0.25">
      <c r="B6940" t="s">
        <v>138</v>
      </c>
      <c r="C6940" s="22" t="s">
        <v>30</v>
      </c>
      <c r="D6940">
        <v>1</v>
      </c>
      <c r="E6940">
        <v>1</v>
      </c>
      <c r="G6940" s="31">
        <f>Table132[[#This Row],[nb win]]/Table132[[#This Row],[nb play]]</f>
        <v>1</v>
      </c>
      <c r="H6940" s="26" t="str">
        <f>MID(Table132[[#This Row],[ÉTAT]],VALUE(RIGHT(Table132[[#This Row],[next move]],1))+1+VALUE(LEFT(Table132[[#This Row],[next move]],1))*3,1)</f>
        <v>V</v>
      </c>
      <c r="I6940" s="26" t="str">
        <f>Table132[[#This Row],[ÉTAT]]&amp;Table132[[#This Row],[next move]]</f>
        <v>VEMVMVVVE10</v>
      </c>
    </row>
    <row r="6941" spans="2:9" x14ac:dyDescent="0.25">
      <c r="B6941" t="s">
        <v>3597</v>
      </c>
      <c r="C6941" s="22" t="s">
        <v>22</v>
      </c>
      <c r="D6941">
        <v>1</v>
      </c>
      <c r="G6941" s="30">
        <f>Table132[[#This Row],[nb win]]/Table132[[#This Row],[nb play]]</f>
        <v>0</v>
      </c>
      <c r="H6941" s="26" t="str">
        <f>MID(Table132[[#This Row],[ÉTAT]],VALUE(RIGHT(Table132[[#This Row],[next move]],1))+1+VALUE(LEFT(Table132[[#This Row],[next move]],1))*3,1)</f>
        <v>V</v>
      </c>
      <c r="I6941" s="26" t="str">
        <f>Table132[[#This Row],[ÉTAT]]&amp;Table132[[#This Row],[next move]]</f>
        <v>VMEEEVVVM21</v>
      </c>
    </row>
    <row r="6942" spans="2:9" x14ac:dyDescent="0.25">
      <c r="B6942" t="s">
        <v>3598</v>
      </c>
      <c r="C6942" s="22" t="s">
        <v>35</v>
      </c>
      <c r="D6942">
        <v>1</v>
      </c>
      <c r="E6942">
        <v>1</v>
      </c>
      <c r="G6942" s="31">
        <f>Table132[[#This Row],[nb win]]/Table132[[#This Row],[nb play]]</f>
        <v>1</v>
      </c>
      <c r="H6942" s="26" t="str">
        <f>MID(Table132[[#This Row],[ÉTAT]],VALUE(RIGHT(Table132[[#This Row],[next move]],1))+1+VALUE(LEFT(Table132[[#This Row],[next move]],1))*3,1)</f>
        <v>V</v>
      </c>
      <c r="I6942" s="26" t="str">
        <f>Table132[[#This Row],[ÉTAT]]&amp;Table132[[#This Row],[next move]]</f>
        <v>VEMMMVVEE20</v>
      </c>
    </row>
    <row r="6943" spans="2:9" x14ac:dyDescent="0.25">
      <c r="B6943" t="s">
        <v>478</v>
      </c>
      <c r="C6943" s="22" t="s">
        <v>31</v>
      </c>
      <c r="D6943">
        <v>1</v>
      </c>
      <c r="E6943">
        <v>1</v>
      </c>
      <c r="G6943" s="31">
        <f>Table132[[#This Row],[nb win]]/Table132[[#This Row],[nb play]]</f>
        <v>1</v>
      </c>
      <c r="H6943" s="26" t="str">
        <f>MID(Table132[[#This Row],[ÉTAT]],VALUE(RIGHT(Table132[[#This Row],[next move]],1))+1+VALUE(LEFT(Table132[[#This Row],[next move]],1))*3,1)</f>
        <v>V</v>
      </c>
      <c r="I6943" s="26" t="str">
        <f>Table132[[#This Row],[ÉTAT]]&amp;Table132[[#This Row],[next move]]</f>
        <v>VVVVVMEVV22</v>
      </c>
    </row>
    <row r="6944" spans="2:9" x14ac:dyDescent="0.25">
      <c r="B6944" t="s">
        <v>620</v>
      </c>
      <c r="C6944" s="22" t="s">
        <v>26</v>
      </c>
      <c r="D6944">
        <v>1</v>
      </c>
      <c r="G6944" s="30">
        <f>Table132[[#This Row],[nb win]]/Table132[[#This Row],[nb play]]</f>
        <v>0</v>
      </c>
      <c r="H6944" s="26" t="str">
        <f>MID(Table132[[#This Row],[ÉTAT]],VALUE(RIGHT(Table132[[#This Row],[next move]],1))+1+VALUE(LEFT(Table132[[#This Row],[next move]],1))*3,1)</f>
        <v>V</v>
      </c>
      <c r="I6944" s="26" t="str">
        <f>Table132[[#This Row],[ÉTAT]]&amp;Table132[[#This Row],[next move]]</f>
        <v>VVVVVEMVE01</v>
      </c>
    </row>
    <row r="6945" spans="2:9" x14ac:dyDescent="0.25">
      <c r="B6945" t="s">
        <v>1866</v>
      </c>
      <c r="C6945" s="22" t="s">
        <v>24</v>
      </c>
      <c r="D6945">
        <v>1</v>
      </c>
      <c r="E6945">
        <v>1</v>
      </c>
      <c r="G6945" s="31">
        <f>Table132[[#This Row],[nb win]]/Table132[[#This Row],[nb play]]</f>
        <v>1</v>
      </c>
      <c r="H6945" s="26" t="str">
        <f>MID(Table132[[#This Row],[ÉTAT]],VALUE(RIGHT(Table132[[#This Row],[next move]],1))+1+VALUE(LEFT(Table132[[#This Row],[next move]],1))*3,1)</f>
        <v>V</v>
      </c>
      <c r="I6945" s="26" t="str">
        <f>Table132[[#This Row],[ÉTAT]]&amp;Table132[[#This Row],[next move]]</f>
        <v>VEVVVMEVM00</v>
      </c>
    </row>
    <row r="6946" spans="2:9" x14ac:dyDescent="0.25">
      <c r="B6946" t="s">
        <v>3599</v>
      </c>
      <c r="C6946" s="22" t="s">
        <v>20</v>
      </c>
      <c r="D6946">
        <v>1</v>
      </c>
      <c r="G6946" s="30">
        <f>Table132[[#This Row],[nb win]]/Table132[[#This Row],[nb play]]</f>
        <v>0</v>
      </c>
      <c r="H6946" s="26" t="str">
        <f>MID(Table132[[#This Row],[ÉTAT]],VALUE(RIGHT(Table132[[#This Row],[next move]],1))+1+VALUE(LEFT(Table132[[#This Row],[next move]],1))*3,1)</f>
        <v>V</v>
      </c>
      <c r="I6946" s="26" t="str">
        <f>Table132[[#This Row],[ÉTAT]]&amp;Table132[[#This Row],[next move]]</f>
        <v>EMVVVEMVE02</v>
      </c>
    </row>
    <row r="6947" spans="2:9" x14ac:dyDescent="0.25">
      <c r="B6947" t="s">
        <v>2707</v>
      </c>
      <c r="C6947" s="22" t="s">
        <v>29</v>
      </c>
      <c r="D6947">
        <v>1</v>
      </c>
      <c r="E6947">
        <v>1</v>
      </c>
      <c r="G6947" s="31">
        <f>Table132[[#This Row],[nb win]]/Table132[[#This Row],[nb play]]</f>
        <v>1</v>
      </c>
      <c r="H6947" s="26" t="str">
        <f>MID(Table132[[#This Row],[ÉTAT]],VALUE(RIGHT(Table132[[#This Row],[next move]],1))+1+VALUE(LEFT(Table132[[#This Row],[next move]],1))*3,1)</f>
        <v>V</v>
      </c>
      <c r="I6947" s="26" t="str">
        <f>Table132[[#This Row],[ÉTAT]]&amp;Table132[[#This Row],[next move]]</f>
        <v>MEEVVMEVM11</v>
      </c>
    </row>
    <row r="6948" spans="2:9" x14ac:dyDescent="0.25">
      <c r="B6948" t="s">
        <v>3207</v>
      </c>
      <c r="C6948" s="22" t="s">
        <v>35</v>
      </c>
      <c r="D6948">
        <v>3</v>
      </c>
      <c r="E6948">
        <v>2</v>
      </c>
      <c r="G6948" s="30">
        <f>Table132[[#This Row],[nb win]]/Table132[[#This Row],[nb play]]</f>
        <v>0.66666666666666663</v>
      </c>
      <c r="H6948" s="26" t="str">
        <f>MID(Table132[[#This Row],[ÉTAT]],VALUE(RIGHT(Table132[[#This Row],[next move]],1))+1+VALUE(LEFT(Table132[[#This Row],[next move]],1))*3,1)</f>
        <v>V</v>
      </c>
      <c r="I6948" s="26" t="str">
        <f>Table132[[#This Row],[ÉTAT]]&amp;Table132[[#This Row],[next move]]</f>
        <v>VEVVEMVVM20</v>
      </c>
    </row>
    <row r="6949" spans="2:9" x14ac:dyDescent="0.25">
      <c r="B6949" t="s">
        <v>3600</v>
      </c>
      <c r="C6949" s="22" t="s">
        <v>24</v>
      </c>
      <c r="D6949">
        <v>1</v>
      </c>
      <c r="G6949" s="30">
        <f>Table132[[#This Row],[nb win]]/Table132[[#This Row],[nb play]]</f>
        <v>0</v>
      </c>
      <c r="H6949" s="26" t="str">
        <f>MID(Table132[[#This Row],[ÉTAT]],VALUE(RIGHT(Table132[[#This Row],[next move]],1))+1+VALUE(LEFT(Table132[[#This Row],[next move]],1))*3,1)</f>
        <v>V</v>
      </c>
      <c r="I6949" s="26" t="str">
        <f>Table132[[#This Row],[ÉTAT]]&amp;Table132[[#This Row],[next move]]</f>
        <v>VMVVMEEVE00</v>
      </c>
    </row>
    <row r="6950" spans="2:9" x14ac:dyDescent="0.25">
      <c r="B6950" t="s">
        <v>3228</v>
      </c>
      <c r="C6950" s="22" t="s">
        <v>22</v>
      </c>
      <c r="D6950">
        <v>2</v>
      </c>
      <c r="E6950">
        <v>2</v>
      </c>
      <c r="G6950" s="31">
        <f>Table132[[#This Row],[nb win]]/Table132[[#This Row],[nb play]]</f>
        <v>1</v>
      </c>
      <c r="H6950" s="26" t="str">
        <f>MID(Table132[[#This Row],[ÉTAT]],VALUE(RIGHT(Table132[[#This Row],[next move]],1))+1+VALUE(LEFT(Table132[[#This Row],[next move]],1))*3,1)</f>
        <v>V</v>
      </c>
      <c r="I6950" s="26" t="str">
        <f>Table132[[#This Row],[ÉTAT]]&amp;Table132[[#This Row],[next move]]</f>
        <v>EEVVEMMVM21</v>
      </c>
    </row>
    <row r="6951" spans="2:9" x14ac:dyDescent="0.25">
      <c r="B6951" t="s">
        <v>3138</v>
      </c>
      <c r="C6951" s="22" t="s">
        <v>20</v>
      </c>
      <c r="D6951">
        <v>1</v>
      </c>
      <c r="G6951" s="30">
        <f>Table132[[#This Row],[nb win]]/Table132[[#This Row],[nb play]]</f>
        <v>0</v>
      </c>
      <c r="H6951" s="26" t="str">
        <f>MID(Table132[[#This Row],[ÉTAT]],VALUE(RIGHT(Table132[[#This Row],[next move]],1))+1+VALUE(LEFT(Table132[[#This Row],[next move]],1))*3,1)</f>
        <v>V</v>
      </c>
      <c r="I6951" s="26" t="str">
        <f>Table132[[#This Row],[ÉTAT]]&amp;Table132[[#This Row],[next move]]</f>
        <v>VEVMVVVEV02</v>
      </c>
    </row>
    <row r="6952" spans="2:9" x14ac:dyDescent="0.25">
      <c r="B6952" t="s">
        <v>3601</v>
      </c>
      <c r="C6952" s="22" t="s">
        <v>31</v>
      </c>
      <c r="D6952">
        <v>1</v>
      </c>
      <c r="E6952">
        <v>1</v>
      </c>
      <c r="G6952" s="31">
        <f>Table132[[#This Row],[nb win]]/Table132[[#This Row],[nb play]]</f>
        <v>1</v>
      </c>
      <c r="H6952" s="26" t="str">
        <f>MID(Table132[[#This Row],[ÉTAT]],VALUE(RIGHT(Table132[[#This Row],[next move]],1))+1+VALUE(LEFT(Table132[[#This Row],[next move]],1))*3,1)</f>
        <v>V</v>
      </c>
      <c r="I6952" s="26" t="str">
        <f>Table132[[#This Row],[ÉTAT]]&amp;Table132[[#This Row],[next move]]</f>
        <v>VMEEVVVMV22</v>
      </c>
    </row>
    <row r="6953" spans="2:9" x14ac:dyDescent="0.25">
      <c r="B6953" t="s">
        <v>3602</v>
      </c>
      <c r="C6953" s="22" t="s">
        <v>28</v>
      </c>
      <c r="D6953">
        <v>1</v>
      </c>
      <c r="G6953" s="30">
        <f>Table132[[#This Row],[nb win]]/Table132[[#This Row],[nb play]]</f>
        <v>0</v>
      </c>
      <c r="H6953" s="26" t="str">
        <f>MID(Table132[[#This Row],[ÉTAT]],VALUE(RIGHT(Table132[[#This Row],[next move]],1))+1+VALUE(LEFT(Table132[[#This Row],[next move]],1))*3,1)</f>
        <v>V</v>
      </c>
      <c r="I6953" s="26" t="str">
        <f>Table132[[#This Row],[ÉTAT]]&amp;Table132[[#This Row],[next move]]</f>
        <v>VEMMVVVEE12</v>
      </c>
    </row>
    <row r="6954" spans="2:9" x14ac:dyDescent="0.25">
      <c r="B6954" t="s">
        <v>1157</v>
      </c>
      <c r="C6954" s="22" t="s">
        <v>29</v>
      </c>
      <c r="D6954">
        <v>1</v>
      </c>
      <c r="E6954">
        <v>1</v>
      </c>
      <c r="G6954" s="31">
        <f>Table132[[#This Row],[nb win]]/Table132[[#This Row],[nb play]]</f>
        <v>1</v>
      </c>
      <c r="H6954" s="26" t="str">
        <f>MID(Table132[[#This Row],[ÉTAT]],VALUE(RIGHT(Table132[[#This Row],[next move]],1))+1+VALUE(LEFT(Table132[[#This Row],[next move]],1))*3,1)</f>
        <v>V</v>
      </c>
      <c r="I6954" s="26" t="str">
        <f>Table132[[#This Row],[ÉTAT]]&amp;Table132[[#This Row],[next move]]</f>
        <v>VMEEVEVMM11</v>
      </c>
    </row>
    <row r="6955" spans="2:9" x14ac:dyDescent="0.25">
      <c r="B6955" t="s">
        <v>1840</v>
      </c>
      <c r="C6955" s="22" t="s">
        <v>30</v>
      </c>
      <c r="D6955">
        <v>1</v>
      </c>
      <c r="G6955" s="30">
        <f>Table132[[#This Row],[nb win]]/Table132[[#This Row],[nb play]]</f>
        <v>0</v>
      </c>
      <c r="H6955" s="26" t="str">
        <f>MID(Table132[[#This Row],[ÉTAT]],VALUE(RIGHT(Table132[[#This Row],[next move]],1))+1+VALUE(LEFT(Table132[[#This Row],[next move]],1))*3,1)</f>
        <v>V</v>
      </c>
      <c r="I6955" s="26" t="str">
        <f>Table132[[#This Row],[ÉTAT]]&amp;Table132[[#This Row],[next move]]</f>
        <v>EVEVVVVMV10</v>
      </c>
    </row>
    <row r="6956" spans="2:9" x14ac:dyDescent="0.25">
      <c r="B6956" t="s">
        <v>2599</v>
      </c>
      <c r="C6956" s="22" t="s">
        <v>31</v>
      </c>
      <c r="D6956">
        <v>1</v>
      </c>
      <c r="E6956">
        <v>1</v>
      </c>
      <c r="G6956" s="31">
        <f>Table132[[#This Row],[nb win]]/Table132[[#This Row],[nb play]]</f>
        <v>1</v>
      </c>
      <c r="H6956" s="26" t="str">
        <f>MID(Table132[[#This Row],[ÉTAT]],VALUE(RIGHT(Table132[[#This Row],[next move]],1))+1+VALUE(LEFT(Table132[[#This Row],[next move]],1))*3,1)</f>
        <v>V</v>
      </c>
      <c r="I6956" s="26" t="str">
        <f>Table132[[#This Row],[ÉTAT]]&amp;Table132[[#This Row],[next move]]</f>
        <v>MVMEVVVEV22</v>
      </c>
    </row>
    <row r="6957" spans="2:9" x14ac:dyDescent="0.25">
      <c r="B6957" t="s">
        <v>1435</v>
      </c>
      <c r="C6957" s="22" t="s">
        <v>26</v>
      </c>
      <c r="D6957">
        <v>1</v>
      </c>
      <c r="G6957" s="30">
        <f>Table132[[#This Row],[nb win]]/Table132[[#This Row],[nb play]]</f>
        <v>0</v>
      </c>
      <c r="H6957" s="26" t="str">
        <f>MID(Table132[[#This Row],[ÉTAT]],VALUE(RIGHT(Table132[[#This Row],[next move]],1))+1+VALUE(LEFT(Table132[[#This Row],[next move]],1))*3,1)</f>
        <v>V</v>
      </c>
      <c r="I6957" s="26" t="str">
        <f>Table132[[#This Row],[ÉTAT]]&amp;Table132[[#This Row],[next move]]</f>
        <v>EVEMVVVME01</v>
      </c>
    </row>
    <row r="6958" spans="2:9" x14ac:dyDescent="0.25">
      <c r="B6958" t="s">
        <v>2194</v>
      </c>
      <c r="C6958" s="22" t="s">
        <v>35</v>
      </c>
      <c r="D6958">
        <v>1</v>
      </c>
      <c r="E6958">
        <v>1</v>
      </c>
      <c r="G6958" s="31">
        <f>Table132[[#This Row],[nb win]]/Table132[[#This Row],[nb play]]</f>
        <v>1</v>
      </c>
      <c r="H6958" s="26" t="str">
        <f>MID(Table132[[#This Row],[ÉTAT]],VALUE(RIGHT(Table132[[#This Row],[next move]],1))+1+VALUE(LEFT(Table132[[#This Row],[next move]],1))*3,1)</f>
        <v>V</v>
      </c>
      <c r="I6958" s="26" t="str">
        <f>Table132[[#This Row],[ÉTAT]]&amp;Table132[[#This Row],[next move]]</f>
        <v>MEMEVVVEM20</v>
      </c>
    </row>
    <row r="6959" spans="2:9" x14ac:dyDescent="0.25">
      <c r="B6959" t="s">
        <v>367</v>
      </c>
      <c r="C6959" s="22" t="s">
        <v>26</v>
      </c>
      <c r="D6959">
        <v>2</v>
      </c>
      <c r="E6959">
        <v>2</v>
      </c>
      <c r="G6959" s="31">
        <f>Table132[[#This Row],[nb win]]/Table132[[#This Row],[nb play]]</f>
        <v>1</v>
      </c>
      <c r="H6959" s="26" t="str">
        <f>MID(Table132[[#This Row],[ÉTAT]],VALUE(RIGHT(Table132[[#This Row],[next move]],1))+1+VALUE(LEFT(Table132[[#This Row],[next move]],1))*3,1)</f>
        <v>V</v>
      </c>
      <c r="I6959" s="26" t="str">
        <f>Table132[[#This Row],[ÉTAT]]&amp;Table132[[#This Row],[next move]]</f>
        <v>VVVVVVVME01</v>
      </c>
    </row>
    <row r="6960" spans="2:9" x14ac:dyDescent="0.25">
      <c r="B6960" t="s">
        <v>2759</v>
      </c>
      <c r="C6960" s="22" t="s">
        <v>20</v>
      </c>
      <c r="D6960">
        <v>1</v>
      </c>
      <c r="E6960">
        <v>1</v>
      </c>
      <c r="G6960" s="31">
        <f>Table132[[#This Row],[nb win]]/Table132[[#This Row],[nb play]]</f>
        <v>1</v>
      </c>
      <c r="H6960" s="26" t="str">
        <f>MID(Table132[[#This Row],[ÉTAT]],VALUE(RIGHT(Table132[[#This Row],[next move]],1))+1+VALUE(LEFT(Table132[[#This Row],[next move]],1))*3,1)</f>
        <v>V</v>
      </c>
      <c r="I6960" s="26" t="str">
        <f>Table132[[#This Row],[ÉTAT]]&amp;Table132[[#This Row],[next move]]</f>
        <v>VMVEVVVME02</v>
      </c>
    </row>
    <row r="6961" spans="2:9" x14ac:dyDescent="0.25">
      <c r="B6961" t="s">
        <v>3603</v>
      </c>
      <c r="C6961" s="22" t="s">
        <v>35</v>
      </c>
      <c r="D6961">
        <v>1</v>
      </c>
      <c r="G6961" s="30">
        <f>Table132[[#This Row],[nb win]]/Table132[[#This Row],[nb play]]</f>
        <v>0</v>
      </c>
      <c r="H6961" s="26" t="str">
        <f>MID(Table132[[#This Row],[ÉTAT]],VALUE(RIGHT(Table132[[#This Row],[next move]],1))+1+VALUE(LEFT(Table132[[#This Row],[next move]],1))*3,1)</f>
        <v>V</v>
      </c>
      <c r="I6961" s="26" t="str">
        <f>Table132[[#This Row],[ÉTAT]]&amp;Table132[[#This Row],[next move]]</f>
        <v>VEEMVVVEM20</v>
      </c>
    </row>
    <row r="6962" spans="2:9" x14ac:dyDescent="0.25">
      <c r="B6962" t="s">
        <v>2613</v>
      </c>
      <c r="C6962" s="22" t="s">
        <v>28</v>
      </c>
      <c r="D6962">
        <v>1</v>
      </c>
      <c r="E6962">
        <v>1</v>
      </c>
      <c r="G6962" s="31">
        <f>Table132[[#This Row],[nb win]]/Table132[[#This Row],[nb play]]</f>
        <v>1</v>
      </c>
      <c r="H6962" s="26" t="str">
        <f>MID(Table132[[#This Row],[ÉTAT]],VALUE(RIGHT(Table132[[#This Row],[next move]],1))+1+VALUE(LEFT(Table132[[#This Row],[next move]],1))*3,1)</f>
        <v>V</v>
      </c>
      <c r="I6962" s="26" t="str">
        <f>Table132[[#This Row],[ÉTAT]]&amp;Table132[[#This Row],[next move]]</f>
        <v>VMMEVVEME12</v>
      </c>
    </row>
    <row r="6963" spans="2:9" x14ac:dyDescent="0.25">
      <c r="B6963" t="s">
        <v>1996</v>
      </c>
      <c r="C6963" s="22" t="s">
        <v>31</v>
      </c>
      <c r="D6963">
        <v>1</v>
      </c>
      <c r="G6963" s="30">
        <f>Table132[[#This Row],[nb win]]/Table132[[#This Row],[nb play]]</f>
        <v>0</v>
      </c>
      <c r="H6963" s="26" t="str">
        <f>MID(Table132[[#This Row],[ÉTAT]],VALUE(RIGHT(Table132[[#This Row],[next move]],1))+1+VALUE(LEFT(Table132[[#This Row],[next move]],1))*3,1)</f>
        <v>V</v>
      </c>
      <c r="I6963" s="26" t="str">
        <f>Table132[[#This Row],[ÉTAT]]&amp;Table132[[#This Row],[next move]]</f>
        <v>VEEVVVMVV22</v>
      </c>
    </row>
    <row r="6964" spans="2:9" x14ac:dyDescent="0.25">
      <c r="B6964" t="s">
        <v>3604</v>
      </c>
      <c r="C6964" s="22" t="s">
        <v>28</v>
      </c>
      <c r="D6964">
        <v>1</v>
      </c>
      <c r="E6964">
        <v>1</v>
      </c>
      <c r="G6964" s="31">
        <f>Table132[[#This Row],[nb win]]/Table132[[#This Row],[nb play]]</f>
        <v>1</v>
      </c>
      <c r="H6964" s="26" t="str">
        <f>MID(Table132[[#This Row],[ÉTAT]],VALUE(RIGHT(Table132[[#This Row],[next move]],1))+1+VALUE(LEFT(Table132[[#This Row],[next move]],1))*3,1)</f>
        <v>V</v>
      </c>
      <c r="I6964" s="26" t="str">
        <f>Table132[[#This Row],[ÉTAT]]&amp;Table132[[#This Row],[next move]]</f>
        <v>VMMVVVEVE12</v>
      </c>
    </row>
    <row r="6965" spans="2:9" x14ac:dyDescent="0.25">
      <c r="B6965" t="s">
        <v>3345</v>
      </c>
      <c r="C6965" s="22" t="s">
        <v>30</v>
      </c>
      <c r="D6965">
        <v>1</v>
      </c>
      <c r="G6965" s="30">
        <f>Table132[[#This Row],[nb win]]/Table132[[#This Row],[nb play]]</f>
        <v>0</v>
      </c>
      <c r="H6965" s="26" t="str">
        <f>MID(Table132[[#This Row],[ÉTAT]],VALUE(RIGHT(Table132[[#This Row],[next move]],1))+1+VALUE(LEFT(Table132[[#This Row],[next move]],1))*3,1)</f>
        <v>V</v>
      </c>
      <c r="I6965" s="26" t="str">
        <f>Table132[[#This Row],[ÉTAT]]&amp;Table132[[#This Row],[next move]]</f>
        <v>VEEVVEMVM10</v>
      </c>
    </row>
    <row r="6966" spans="2:9" x14ac:dyDescent="0.25">
      <c r="B6966" t="s">
        <v>3605</v>
      </c>
      <c r="C6966" s="22" t="s">
        <v>22</v>
      </c>
      <c r="D6966">
        <v>1</v>
      </c>
      <c r="E6966">
        <v>1</v>
      </c>
      <c r="G6966" s="31">
        <f>Table132[[#This Row],[nb win]]/Table132[[#This Row],[nb play]]</f>
        <v>1</v>
      </c>
      <c r="H6966" s="26" t="str">
        <f>MID(Table132[[#This Row],[ÉTAT]],VALUE(RIGHT(Table132[[#This Row],[next move]],1))+1+VALUE(LEFT(Table132[[#This Row],[next move]],1))*3,1)</f>
        <v>V</v>
      </c>
      <c r="I6966" s="26" t="str">
        <f>Table132[[#This Row],[ÉTAT]]&amp;Table132[[#This Row],[next move]]</f>
        <v>VMMEVMEVE21</v>
      </c>
    </row>
    <row r="6967" spans="2:9" x14ac:dyDescent="0.25">
      <c r="B6967" t="s">
        <v>279</v>
      </c>
      <c r="C6967" s="22" t="s">
        <v>35</v>
      </c>
      <c r="D6967">
        <v>2</v>
      </c>
      <c r="E6967">
        <v>2</v>
      </c>
      <c r="G6967" s="31">
        <f>Table132[[#This Row],[nb win]]/Table132[[#This Row],[nb play]]</f>
        <v>1</v>
      </c>
      <c r="H6967" s="26" t="str">
        <f>MID(Table132[[#This Row],[ÉTAT]],VALUE(RIGHT(Table132[[#This Row],[next move]],1))+1+VALUE(LEFT(Table132[[#This Row],[next move]],1))*3,1)</f>
        <v>V</v>
      </c>
      <c r="I6967" s="26" t="str">
        <f>Table132[[#This Row],[ÉTAT]]&amp;Table132[[#This Row],[next move]]</f>
        <v>EVVVVVVVM20</v>
      </c>
    </row>
    <row r="6968" spans="2:9" x14ac:dyDescent="0.25">
      <c r="B6968" t="s">
        <v>3238</v>
      </c>
      <c r="C6968" s="22" t="s">
        <v>20</v>
      </c>
      <c r="D6968">
        <v>1</v>
      </c>
      <c r="G6968" s="30">
        <f>Table132[[#This Row],[nb win]]/Table132[[#This Row],[nb play]]</f>
        <v>0</v>
      </c>
      <c r="H6968" s="26" t="str">
        <f>MID(Table132[[#This Row],[ÉTAT]],VALUE(RIGHT(Table132[[#This Row],[next move]],1))+1+VALUE(LEFT(Table132[[#This Row],[next move]],1))*3,1)</f>
        <v>V</v>
      </c>
      <c r="I6968" s="26" t="str">
        <f>Table132[[#This Row],[ÉTAT]]&amp;Table132[[#This Row],[next move]]</f>
        <v>MVVVVVEVE02</v>
      </c>
    </row>
    <row r="6969" spans="2:9" x14ac:dyDescent="0.25">
      <c r="B6969" t="s">
        <v>254</v>
      </c>
      <c r="C6969" s="22" t="s">
        <v>30</v>
      </c>
      <c r="D6969">
        <v>1</v>
      </c>
      <c r="E6969">
        <v>1</v>
      </c>
      <c r="G6969" s="31">
        <f>Table132[[#This Row],[nb win]]/Table132[[#This Row],[nb play]]</f>
        <v>1</v>
      </c>
      <c r="H6969" s="26" t="str">
        <f>MID(Table132[[#This Row],[ÉTAT]],VALUE(RIGHT(Table132[[#This Row],[next move]],1))+1+VALUE(LEFT(Table132[[#This Row],[next move]],1))*3,1)</f>
        <v>V</v>
      </c>
      <c r="I6969" s="26" t="str">
        <f>Table132[[#This Row],[ÉTAT]]&amp;Table132[[#This Row],[next move]]</f>
        <v>EVEVVVMVM10</v>
      </c>
    </row>
    <row r="6970" spans="2:9" x14ac:dyDescent="0.25">
      <c r="B6970" t="s">
        <v>2404</v>
      </c>
      <c r="C6970" s="22" t="s">
        <v>28</v>
      </c>
      <c r="D6970">
        <v>1</v>
      </c>
      <c r="G6970" s="30">
        <f>Table132[[#This Row],[nb win]]/Table132[[#This Row],[nb play]]</f>
        <v>0</v>
      </c>
      <c r="H6970" s="26" t="str">
        <f>MID(Table132[[#This Row],[ÉTAT]],VALUE(RIGHT(Table132[[#This Row],[next move]],1))+1+VALUE(LEFT(Table132[[#This Row],[next move]],1))*3,1)</f>
        <v>V</v>
      </c>
      <c r="I6970" s="26" t="str">
        <f>Table132[[#This Row],[ÉTAT]]&amp;Table132[[#This Row],[next move]]</f>
        <v>MVMEVVEVE12</v>
      </c>
    </row>
    <row r="6971" spans="2:9" x14ac:dyDescent="0.25">
      <c r="B6971" t="s">
        <v>3606</v>
      </c>
      <c r="C6971" s="22" t="s">
        <v>26</v>
      </c>
      <c r="D6971">
        <v>1</v>
      </c>
      <c r="E6971">
        <v>1</v>
      </c>
      <c r="G6971" s="31">
        <f>Table132[[#This Row],[nb win]]/Table132[[#This Row],[nb play]]</f>
        <v>1</v>
      </c>
      <c r="H6971" s="26" t="str">
        <f>MID(Table132[[#This Row],[ÉTAT]],VALUE(RIGHT(Table132[[#This Row],[next move]],1))+1+VALUE(LEFT(Table132[[#This Row],[next move]],1))*3,1)</f>
        <v>V</v>
      </c>
      <c r="I6971" s="26" t="str">
        <f>Table132[[#This Row],[ÉTAT]]&amp;Table132[[#This Row],[next move]]</f>
        <v>EVEMVEMVM01</v>
      </c>
    </row>
    <row r="6972" spans="2:9" x14ac:dyDescent="0.25">
      <c r="B6972" t="s">
        <v>3607</v>
      </c>
      <c r="C6972" s="22" t="s">
        <v>29</v>
      </c>
      <c r="D6972">
        <v>1</v>
      </c>
      <c r="G6972" s="30">
        <f>Table132[[#This Row],[nb win]]/Table132[[#This Row],[nb play]]</f>
        <v>0</v>
      </c>
      <c r="H6972" s="26" t="str">
        <f>MID(Table132[[#This Row],[ÉTAT]],VALUE(RIGHT(Table132[[#This Row],[next move]],1))+1+VALUE(LEFT(Table132[[#This Row],[next move]],1))*3,1)</f>
        <v>V</v>
      </c>
      <c r="I6972" s="26" t="str">
        <f>Table132[[#This Row],[ÉTAT]]&amp;Table132[[#This Row],[next move]]</f>
        <v>MEMEVMEVE11</v>
      </c>
    </row>
    <row r="6973" spans="2:9" x14ac:dyDescent="0.25">
      <c r="B6973" t="s">
        <v>171</v>
      </c>
      <c r="C6973" s="22" t="s">
        <v>35</v>
      </c>
      <c r="D6973">
        <v>2</v>
      </c>
      <c r="E6973">
        <v>1</v>
      </c>
      <c r="G6973" s="30">
        <f>Table132[[#This Row],[nb win]]/Table132[[#This Row],[nb play]]</f>
        <v>0.5</v>
      </c>
      <c r="H6973" s="26" t="str">
        <f>MID(Table132[[#This Row],[ÉTAT]],VALUE(RIGHT(Table132[[#This Row],[next move]],1))+1+VALUE(LEFT(Table132[[#This Row],[next move]],1))*3,1)</f>
        <v>V</v>
      </c>
      <c r="I6973" s="26" t="str">
        <f>Table132[[#This Row],[ÉTAT]]&amp;Table132[[#This Row],[next move]]</f>
        <v>VVVVMEVME20</v>
      </c>
    </row>
    <row r="6974" spans="2:9" x14ac:dyDescent="0.25">
      <c r="B6974" t="s">
        <v>3608</v>
      </c>
      <c r="C6974" s="22" t="s">
        <v>24</v>
      </c>
      <c r="D6974">
        <v>1</v>
      </c>
      <c r="G6974" s="30">
        <f>Table132[[#This Row],[nb win]]/Table132[[#This Row],[nb play]]</f>
        <v>0</v>
      </c>
      <c r="H6974" s="26" t="str">
        <f>MID(Table132[[#This Row],[ÉTAT]],VALUE(RIGHT(Table132[[#This Row],[next move]],1))+1+VALUE(LEFT(Table132[[#This Row],[next move]],1))*3,1)</f>
        <v>V</v>
      </c>
      <c r="I6974" s="26" t="str">
        <f>Table132[[#This Row],[ÉTAT]]&amp;Table132[[#This Row],[next move]]</f>
        <v>VVVVEMEEM00</v>
      </c>
    </row>
    <row r="6975" spans="2:9" x14ac:dyDescent="0.25">
      <c r="B6975" t="s">
        <v>2763</v>
      </c>
      <c r="C6975" s="22" t="s">
        <v>20</v>
      </c>
      <c r="D6975">
        <v>1</v>
      </c>
      <c r="E6975">
        <v>1</v>
      </c>
      <c r="G6975" s="31">
        <f>Table132[[#This Row],[nb win]]/Table132[[#This Row],[nb play]]</f>
        <v>1</v>
      </c>
      <c r="H6975" s="26" t="str">
        <f>MID(Table132[[#This Row],[ÉTAT]],VALUE(RIGHT(Table132[[#This Row],[next move]],1))+1+VALUE(LEFT(Table132[[#This Row],[next move]],1))*3,1)</f>
        <v>V</v>
      </c>
      <c r="I6975" s="26" t="str">
        <f>Table132[[#This Row],[ÉTAT]]&amp;Table132[[#This Row],[next move]]</f>
        <v>EVVVMEMME02</v>
      </c>
    </row>
    <row r="6976" spans="2:9" x14ac:dyDescent="0.25">
      <c r="B6976" t="s">
        <v>1275</v>
      </c>
      <c r="C6976" s="22" t="s">
        <v>26</v>
      </c>
      <c r="D6976">
        <v>1</v>
      </c>
      <c r="E6976">
        <v>1</v>
      </c>
      <c r="G6976" s="31">
        <f>Table132[[#This Row],[nb win]]/Table132[[#This Row],[nb play]]</f>
        <v>1</v>
      </c>
      <c r="H6976" s="26" t="str">
        <f>MID(Table132[[#This Row],[ÉTAT]],VALUE(RIGHT(Table132[[#This Row],[next move]],1))+1+VALUE(LEFT(Table132[[#This Row],[next move]],1))*3,1)</f>
        <v>V</v>
      </c>
      <c r="I6976" s="26" t="str">
        <f>Table132[[#This Row],[ÉTAT]]&amp;Table132[[#This Row],[next move]]</f>
        <v>VVEVMMEVV01</v>
      </c>
    </row>
    <row r="6977" spans="2:9" x14ac:dyDescent="0.25">
      <c r="B6977" t="s">
        <v>3148</v>
      </c>
      <c r="C6977" s="22" t="s">
        <v>31</v>
      </c>
      <c r="D6977">
        <v>1</v>
      </c>
      <c r="G6977" s="30">
        <f>Table132[[#This Row],[nb win]]/Table132[[#This Row],[nb play]]</f>
        <v>0</v>
      </c>
      <c r="H6977" s="26" t="str">
        <f>MID(Table132[[#This Row],[ÉTAT]],VALUE(RIGHT(Table132[[#This Row],[next move]],1))+1+VALUE(LEFT(Table132[[#This Row],[next move]],1))*3,1)</f>
        <v>V</v>
      </c>
      <c r="I6977" s="26" t="str">
        <f>Table132[[#This Row],[ÉTAT]]&amp;Table132[[#This Row],[next move]]</f>
        <v>VEMVEEMVV22</v>
      </c>
    </row>
    <row r="6978" spans="2:9" x14ac:dyDescent="0.25">
      <c r="B6978" t="s">
        <v>3466</v>
      </c>
      <c r="C6978" s="22" t="s">
        <v>30</v>
      </c>
      <c r="D6978">
        <v>1</v>
      </c>
      <c r="E6978">
        <v>1</v>
      </c>
      <c r="G6978" s="31">
        <f>Table132[[#This Row],[nb win]]/Table132[[#This Row],[nb play]]</f>
        <v>1</v>
      </c>
      <c r="H6978" s="26" t="str">
        <f>MID(Table132[[#This Row],[ÉTAT]],VALUE(RIGHT(Table132[[#This Row],[next move]],1))+1+VALUE(LEFT(Table132[[#This Row],[next move]],1))*3,1)</f>
        <v>V</v>
      </c>
      <c r="I6978" s="26" t="str">
        <f>Table132[[#This Row],[ÉTAT]]&amp;Table132[[#This Row],[next move]]</f>
        <v>VMEVMMEVE10</v>
      </c>
    </row>
    <row r="6979" spans="2:9" x14ac:dyDescent="0.25">
      <c r="B6979" t="s">
        <v>32</v>
      </c>
      <c r="C6979" s="22" t="s">
        <v>31</v>
      </c>
      <c r="D6979">
        <v>2</v>
      </c>
      <c r="E6979">
        <v>1</v>
      </c>
      <c r="G6979" s="30">
        <f>Table132[[#This Row],[nb win]]/Table132[[#This Row],[nb play]]</f>
        <v>0.5</v>
      </c>
      <c r="H6979" s="26" t="str">
        <f>MID(Table132[[#This Row],[ÉTAT]],VALUE(RIGHT(Table132[[#This Row],[next move]],1))+1+VALUE(LEFT(Table132[[#This Row],[next move]],1))*3,1)</f>
        <v>V</v>
      </c>
      <c r="I6979" s="26" t="str">
        <f>Table132[[#This Row],[ÉTAT]]&amp;Table132[[#This Row],[next move]]</f>
        <v>MVVEVVVVV22</v>
      </c>
    </row>
    <row r="6980" spans="2:9" x14ac:dyDescent="0.25">
      <c r="B6980" t="s">
        <v>1433</v>
      </c>
      <c r="C6980" s="22" t="s">
        <v>35</v>
      </c>
      <c r="D6980">
        <v>1</v>
      </c>
      <c r="G6980" s="30">
        <f>Table132[[#This Row],[nb win]]/Table132[[#This Row],[nb play]]</f>
        <v>0</v>
      </c>
      <c r="H6980" s="26" t="str">
        <f>MID(Table132[[#This Row],[ÉTAT]],VALUE(RIGHT(Table132[[#This Row],[next move]],1))+1+VALUE(LEFT(Table132[[#This Row],[next move]],1))*3,1)</f>
        <v>V</v>
      </c>
      <c r="I6980" s="26" t="str">
        <f>Table132[[#This Row],[ÉTAT]]&amp;Table132[[#This Row],[next move]]</f>
        <v>EVVMVVVVE20</v>
      </c>
    </row>
    <row r="6981" spans="2:9" x14ac:dyDescent="0.25">
      <c r="B6981" t="s">
        <v>3609</v>
      </c>
      <c r="C6981" s="22" t="s">
        <v>20</v>
      </c>
      <c r="D6981">
        <v>2</v>
      </c>
      <c r="E6981">
        <v>2</v>
      </c>
      <c r="G6981" s="31">
        <f>Table132[[#This Row],[nb win]]/Table132[[#This Row],[nb play]]</f>
        <v>1</v>
      </c>
      <c r="H6981" s="26" t="str">
        <f>MID(Table132[[#This Row],[ÉTAT]],VALUE(RIGHT(Table132[[#This Row],[next move]],1))+1+VALUE(LEFT(Table132[[#This Row],[next move]],1))*3,1)</f>
        <v>V</v>
      </c>
      <c r="I6981" s="26" t="str">
        <f>Table132[[#This Row],[ÉTAT]]&amp;Table132[[#This Row],[next move]]</f>
        <v>MVVEVVEVM02</v>
      </c>
    </row>
    <row r="6982" spans="2:9" x14ac:dyDescent="0.25">
      <c r="B6982" t="s">
        <v>3610</v>
      </c>
      <c r="C6982" s="22" t="s">
        <v>28</v>
      </c>
      <c r="D6982">
        <v>1</v>
      </c>
      <c r="G6982" s="30">
        <f>Table132[[#This Row],[nb win]]/Table132[[#This Row],[nb play]]</f>
        <v>0</v>
      </c>
      <c r="H6982" s="26" t="str">
        <f>MID(Table132[[#This Row],[ÉTAT]],VALUE(RIGHT(Table132[[#This Row],[next move]],1))+1+VALUE(LEFT(Table132[[#This Row],[next move]],1))*3,1)</f>
        <v>V</v>
      </c>
      <c r="I6982" s="26" t="str">
        <f>Table132[[#This Row],[ÉTAT]]&amp;Table132[[#This Row],[next move]]</f>
        <v>EVEMVVMVE12</v>
      </c>
    </row>
    <row r="6983" spans="2:9" x14ac:dyDescent="0.25">
      <c r="B6983" t="s">
        <v>3611</v>
      </c>
      <c r="C6983" s="22" t="s">
        <v>22</v>
      </c>
      <c r="D6983">
        <v>1</v>
      </c>
      <c r="E6983">
        <v>1</v>
      </c>
      <c r="G6983" s="31">
        <f>Table132[[#This Row],[nb win]]/Table132[[#This Row],[nb play]]</f>
        <v>1</v>
      </c>
      <c r="H6983" s="26" t="str">
        <f>MID(Table132[[#This Row],[ÉTAT]],VALUE(RIGHT(Table132[[#This Row],[next move]],1))+1+VALUE(LEFT(Table132[[#This Row],[next move]],1))*3,1)</f>
        <v>V</v>
      </c>
      <c r="I6983" s="26" t="str">
        <f>Table132[[#This Row],[ÉTAT]]&amp;Table132[[#This Row],[next move]]</f>
        <v>MVMEVEEVM21</v>
      </c>
    </row>
    <row r="6984" spans="2:9" x14ac:dyDescent="0.25">
      <c r="B6984" t="s">
        <v>444</v>
      </c>
      <c r="C6984" s="22" t="s">
        <v>26</v>
      </c>
      <c r="D6984">
        <v>1</v>
      </c>
      <c r="G6984" s="30">
        <f>Table132[[#This Row],[nb win]]/Table132[[#This Row],[nb play]]</f>
        <v>0</v>
      </c>
      <c r="H6984" s="26" t="str">
        <f>MID(Table132[[#This Row],[ÉTAT]],VALUE(RIGHT(Table132[[#This Row],[next move]],1))+1+VALUE(LEFT(Table132[[#This Row],[next move]],1))*3,1)</f>
        <v>V</v>
      </c>
      <c r="I6984" s="26" t="str">
        <f>Table132[[#This Row],[ÉTAT]]&amp;Table132[[#This Row],[next move]]</f>
        <v>EVEMVMMEE01</v>
      </c>
    </row>
    <row r="6985" spans="2:9" x14ac:dyDescent="0.25">
      <c r="B6985" t="s">
        <v>2629</v>
      </c>
      <c r="C6985" s="22" t="s">
        <v>22</v>
      </c>
      <c r="D6985">
        <v>1</v>
      </c>
      <c r="E6985">
        <v>1</v>
      </c>
      <c r="G6985" s="31">
        <f>Table132[[#This Row],[nb win]]/Table132[[#This Row],[nb play]]</f>
        <v>1</v>
      </c>
      <c r="H6985" s="26" t="str">
        <f>MID(Table132[[#This Row],[ÉTAT]],VALUE(RIGHT(Table132[[#This Row],[next move]],1))+1+VALUE(LEFT(Table132[[#This Row],[next move]],1))*3,1)</f>
        <v>V</v>
      </c>
      <c r="I6985" s="26" t="str">
        <f>Table132[[#This Row],[ÉTAT]]&amp;Table132[[#This Row],[next move]]</f>
        <v>EMEVMVVVV21</v>
      </c>
    </row>
    <row r="6986" spans="2:9" x14ac:dyDescent="0.25">
      <c r="B6986" t="s">
        <v>813</v>
      </c>
      <c r="C6986" s="22" t="s">
        <v>31</v>
      </c>
      <c r="D6986">
        <v>1</v>
      </c>
      <c r="G6986" s="30">
        <f>Table132[[#This Row],[nb win]]/Table132[[#This Row],[nb play]]</f>
        <v>0</v>
      </c>
      <c r="H6986" s="26" t="str">
        <f>MID(Table132[[#This Row],[ÉTAT]],VALUE(RIGHT(Table132[[#This Row],[next move]],1))+1+VALUE(LEFT(Table132[[#This Row],[next move]],1))*3,1)</f>
        <v>V</v>
      </c>
      <c r="I6986" s="26" t="str">
        <f>Table132[[#This Row],[ÉTAT]]&amp;Table132[[#This Row],[next move]]</f>
        <v>VVMEVEVVV22</v>
      </c>
    </row>
    <row r="6987" spans="2:9" x14ac:dyDescent="0.25">
      <c r="B6987" t="s">
        <v>1518</v>
      </c>
      <c r="C6987" s="22" t="s">
        <v>29</v>
      </c>
      <c r="D6987">
        <v>1</v>
      </c>
      <c r="E6987">
        <v>1</v>
      </c>
      <c r="G6987" s="31">
        <f>Table132[[#This Row],[nb win]]/Table132[[#This Row],[nb play]]</f>
        <v>1</v>
      </c>
      <c r="H6987" s="26" t="str">
        <f>MID(Table132[[#This Row],[ÉTAT]],VALUE(RIGHT(Table132[[#This Row],[next move]],1))+1+VALUE(LEFT(Table132[[#This Row],[next move]],1))*3,1)</f>
        <v>V</v>
      </c>
      <c r="I6987" s="26" t="str">
        <f>Table132[[#This Row],[ÉTAT]]&amp;Table132[[#This Row],[next move]]</f>
        <v>VVEMVMVVE11</v>
      </c>
    </row>
    <row r="6988" spans="2:9" x14ac:dyDescent="0.25">
      <c r="B6988" t="s">
        <v>421</v>
      </c>
      <c r="C6988" s="22" t="s">
        <v>29</v>
      </c>
      <c r="D6988">
        <v>1</v>
      </c>
      <c r="G6988" s="30">
        <f>Table132[[#This Row],[nb win]]/Table132[[#This Row],[nb play]]</f>
        <v>0</v>
      </c>
      <c r="H6988" s="26" t="str">
        <f>MID(Table132[[#This Row],[ÉTAT]],VALUE(RIGHT(Table132[[#This Row],[next move]],1))+1+VALUE(LEFT(Table132[[#This Row],[next move]],1))*3,1)</f>
        <v>V</v>
      </c>
      <c r="I6988" s="26" t="str">
        <f>Table132[[#This Row],[ÉTAT]]&amp;Table132[[#This Row],[next move]]</f>
        <v>VEEMVVVVV11</v>
      </c>
    </row>
    <row r="6989" spans="2:9" x14ac:dyDescent="0.25">
      <c r="B6989" t="s">
        <v>3612</v>
      </c>
      <c r="C6989" s="22" t="s">
        <v>28</v>
      </c>
      <c r="D6989">
        <v>1</v>
      </c>
      <c r="E6989">
        <v>1</v>
      </c>
      <c r="G6989" s="31">
        <f>Table132[[#This Row],[nb win]]/Table132[[#This Row],[nb play]]</f>
        <v>1</v>
      </c>
      <c r="H6989" s="26" t="str">
        <f>MID(Table132[[#This Row],[ÉTAT]],VALUE(RIGHT(Table132[[#This Row],[next move]],1))+1+VALUE(LEFT(Table132[[#This Row],[next move]],1))*3,1)</f>
        <v>V</v>
      </c>
      <c r="I6989" s="26" t="str">
        <f>Table132[[#This Row],[ÉTAT]]&amp;Table132[[#This Row],[next move]]</f>
        <v>VMMEEVVVV12</v>
      </c>
    </row>
    <row r="6990" spans="2:9" x14ac:dyDescent="0.25">
      <c r="B6990" t="s">
        <v>402</v>
      </c>
      <c r="C6990" s="22" t="s">
        <v>22</v>
      </c>
      <c r="D6990">
        <v>1</v>
      </c>
      <c r="G6990" s="30">
        <f>Table132[[#This Row],[nb win]]/Table132[[#This Row],[nb play]]</f>
        <v>0</v>
      </c>
      <c r="H6990" s="26" t="str">
        <f>MID(Table132[[#This Row],[ÉTAT]],VALUE(RIGHT(Table132[[#This Row],[next move]],1))+1+VALUE(LEFT(Table132[[#This Row],[next move]],1))*3,1)</f>
        <v>V</v>
      </c>
      <c r="I6990" s="26" t="str">
        <f>Table132[[#This Row],[ÉTAT]]&amp;Table132[[#This Row],[next move]]</f>
        <v>VEEMMEVVV21</v>
      </c>
    </row>
    <row r="6991" spans="2:9" x14ac:dyDescent="0.25">
      <c r="B6991" t="s">
        <v>459</v>
      </c>
      <c r="C6991" s="22" t="s">
        <v>24</v>
      </c>
      <c r="D6991">
        <v>1</v>
      </c>
      <c r="E6991">
        <v>1</v>
      </c>
      <c r="G6991" s="31">
        <f>Table132[[#This Row],[nb win]]/Table132[[#This Row],[nb play]]</f>
        <v>1</v>
      </c>
      <c r="H6991" s="26" t="str">
        <f>MID(Table132[[#This Row],[ÉTAT]],VALUE(RIGHT(Table132[[#This Row],[next move]],1))+1+VALUE(LEFT(Table132[[#This Row],[next move]],1))*3,1)</f>
        <v>V</v>
      </c>
      <c r="I6991" s="26" t="str">
        <f>Table132[[#This Row],[ÉTAT]]&amp;Table132[[#This Row],[next move]]</f>
        <v>VMMEEMVEV00</v>
      </c>
    </row>
    <row r="6992" spans="2:9" x14ac:dyDescent="0.25">
      <c r="B6992" t="s">
        <v>58</v>
      </c>
      <c r="C6992" s="22" t="s">
        <v>22</v>
      </c>
      <c r="D6992">
        <v>1</v>
      </c>
      <c r="E6992">
        <v>1</v>
      </c>
      <c r="G6992" s="31">
        <f>Table132[[#This Row],[nb win]]/Table132[[#This Row],[nb play]]</f>
        <v>1</v>
      </c>
      <c r="H6992" s="26" t="str">
        <f>MID(Table132[[#This Row],[ÉTAT]],VALUE(RIGHT(Table132[[#This Row],[next move]],1))+1+VALUE(LEFT(Table132[[#This Row],[next move]],1))*3,1)</f>
        <v>V</v>
      </c>
      <c r="I6992" s="26" t="str">
        <f>Table132[[#This Row],[ÉTAT]]&amp;Table132[[#This Row],[next move]]</f>
        <v>VVVMVVEVV21</v>
      </c>
    </row>
    <row r="6993" spans="2:9" x14ac:dyDescent="0.25">
      <c r="B6993" t="s">
        <v>590</v>
      </c>
      <c r="C6993" s="22" t="s">
        <v>20</v>
      </c>
      <c r="D6993">
        <v>1</v>
      </c>
      <c r="G6993" s="30">
        <f>Table132[[#This Row],[nb win]]/Table132[[#This Row],[nb play]]</f>
        <v>0</v>
      </c>
      <c r="H6993" s="26" t="str">
        <f>MID(Table132[[#This Row],[ÉTAT]],VALUE(RIGHT(Table132[[#This Row],[next move]],1))+1+VALUE(LEFT(Table132[[#This Row],[next move]],1))*3,1)</f>
        <v>V</v>
      </c>
      <c r="I6993" s="26" t="str">
        <f>Table132[[#This Row],[ÉTAT]]&amp;Table132[[#This Row],[next move]]</f>
        <v>VVVEVVMEV02</v>
      </c>
    </row>
    <row r="6994" spans="2:9" x14ac:dyDescent="0.25">
      <c r="B6994" t="s">
        <v>1955</v>
      </c>
      <c r="C6994" s="22" t="s">
        <v>31</v>
      </c>
      <c r="D6994">
        <v>1</v>
      </c>
      <c r="G6994" s="30">
        <f>Table132[[#This Row],[nb win]]/Table132[[#This Row],[nb play]]</f>
        <v>0</v>
      </c>
      <c r="H6994" s="26" t="str">
        <f>MID(Table132[[#This Row],[ÉTAT]],VALUE(RIGHT(Table132[[#This Row],[next move]],1))+1+VALUE(LEFT(Table132[[#This Row],[next move]],1))*3,1)</f>
        <v>V</v>
      </c>
      <c r="I6994" s="26" t="str">
        <f>Table132[[#This Row],[ÉTAT]]&amp;Table132[[#This Row],[next move]]</f>
        <v>VVMEEVMEV22</v>
      </c>
    </row>
    <row r="6995" spans="2:9" x14ac:dyDescent="0.25">
      <c r="B6995" t="s">
        <v>173</v>
      </c>
      <c r="C6995" s="22" t="s">
        <v>26</v>
      </c>
      <c r="D6995">
        <v>1</v>
      </c>
      <c r="E6995">
        <v>1</v>
      </c>
      <c r="G6995" s="31">
        <f>Table132[[#This Row],[nb win]]/Table132[[#This Row],[nb play]]</f>
        <v>1</v>
      </c>
      <c r="H6995" s="26" t="str">
        <f>MID(Table132[[#This Row],[ÉTAT]],VALUE(RIGHT(Table132[[#This Row],[next move]],1))+1+VALUE(LEFT(Table132[[#This Row],[next move]],1))*3,1)</f>
        <v>V</v>
      </c>
      <c r="I6995" s="26" t="str">
        <f>Table132[[#This Row],[ÉTAT]]&amp;Table132[[#This Row],[next move]]</f>
        <v>VVEMMVEME01</v>
      </c>
    </row>
    <row r="6996" spans="2:9" x14ac:dyDescent="0.25">
      <c r="B6996" t="s">
        <v>252</v>
      </c>
      <c r="C6996" s="22" t="s">
        <v>28</v>
      </c>
      <c r="D6996">
        <v>2</v>
      </c>
      <c r="E6996">
        <v>1</v>
      </c>
      <c r="G6996" s="30">
        <f>Table132[[#This Row],[nb win]]/Table132[[#This Row],[nb play]]</f>
        <v>0.5</v>
      </c>
      <c r="H6996" s="26" t="str">
        <f>MID(Table132[[#This Row],[ÉTAT]],VALUE(RIGHT(Table132[[#This Row],[next move]],1))+1+VALUE(LEFT(Table132[[#This Row],[next move]],1))*3,1)</f>
        <v>V</v>
      </c>
      <c r="I6996" s="26" t="str">
        <f>Table132[[#This Row],[ÉTAT]]&amp;Table132[[#This Row],[next move]]</f>
        <v>VVEVVVVVM12</v>
      </c>
    </row>
    <row r="6997" spans="2:9" x14ac:dyDescent="0.25">
      <c r="B6997" t="s">
        <v>758</v>
      </c>
      <c r="C6997" s="22" t="s">
        <v>35</v>
      </c>
      <c r="D6997">
        <v>1</v>
      </c>
      <c r="G6997" s="30">
        <f>Table132[[#This Row],[nb win]]/Table132[[#This Row],[nb play]]</f>
        <v>0</v>
      </c>
      <c r="H6997" s="26" t="str">
        <f>MID(Table132[[#This Row],[ÉTAT]],VALUE(RIGHT(Table132[[#This Row],[next move]],1))+1+VALUE(LEFT(Table132[[#This Row],[next move]],1))*3,1)</f>
        <v>V</v>
      </c>
      <c r="I6997" s="26" t="str">
        <f>Table132[[#This Row],[ÉTAT]]&amp;Table132[[#This Row],[next move]]</f>
        <v>VVMVVEVVE20</v>
      </c>
    </row>
    <row r="6998" spans="2:9" x14ac:dyDescent="0.25">
      <c r="B6998" t="s">
        <v>2705</v>
      </c>
      <c r="C6998" s="22" t="s">
        <v>26</v>
      </c>
      <c r="D6998">
        <v>1</v>
      </c>
      <c r="E6998">
        <v>1</v>
      </c>
      <c r="G6998" s="31">
        <f>Table132[[#This Row],[nb win]]/Table132[[#This Row],[nb play]]</f>
        <v>1</v>
      </c>
      <c r="H6998" s="26" t="str">
        <f>MID(Table132[[#This Row],[ÉTAT]],VALUE(RIGHT(Table132[[#This Row],[next move]],1))+1+VALUE(LEFT(Table132[[#This Row],[next move]],1))*3,1)</f>
        <v>V</v>
      </c>
      <c r="I6998" s="26" t="str">
        <f>Table132[[#This Row],[ÉTAT]]&amp;Table132[[#This Row],[next move]]</f>
        <v>VVEVVMEVM01</v>
      </c>
    </row>
    <row r="6999" spans="2:9" x14ac:dyDescent="0.25">
      <c r="B6999" t="s">
        <v>1609</v>
      </c>
      <c r="C6999" s="22" t="s">
        <v>24</v>
      </c>
      <c r="D6999">
        <v>1</v>
      </c>
      <c r="G6999" s="30">
        <f>Table132[[#This Row],[nb win]]/Table132[[#This Row],[nb play]]</f>
        <v>0</v>
      </c>
      <c r="H6999" s="26" t="str">
        <f>MID(Table132[[#This Row],[ÉTAT]],VALUE(RIGHT(Table132[[#This Row],[next move]],1))+1+VALUE(LEFT(Table132[[#This Row],[next move]],1))*3,1)</f>
        <v>V</v>
      </c>
      <c r="I6999" s="26" t="str">
        <f>Table132[[#This Row],[ÉTAT]]&amp;Table132[[#This Row],[next move]]</f>
        <v>VEMVVEMVE00</v>
      </c>
    </row>
    <row r="7000" spans="2:9" x14ac:dyDescent="0.25">
      <c r="B7000" t="s">
        <v>2745</v>
      </c>
      <c r="C7000" s="22" t="s">
        <v>30</v>
      </c>
      <c r="D7000">
        <v>1</v>
      </c>
      <c r="E7000">
        <v>1</v>
      </c>
      <c r="G7000" s="31">
        <f>Table132[[#This Row],[nb win]]/Table132[[#This Row],[nb play]]</f>
        <v>1</v>
      </c>
      <c r="H7000" s="26" t="str">
        <f>MID(Table132[[#This Row],[ÉTAT]],VALUE(RIGHT(Table132[[#This Row],[next move]],1))+1+VALUE(LEFT(Table132[[#This Row],[next move]],1))*3,1)</f>
        <v>V</v>
      </c>
      <c r="I7000" s="26" t="str">
        <f>Table132[[#This Row],[ÉTAT]]&amp;Table132[[#This Row],[next move]]</f>
        <v>EMEVVMEVM10</v>
      </c>
    </row>
    <row r="7001" spans="2:9" x14ac:dyDescent="0.25">
      <c r="B7001" t="s">
        <v>1220</v>
      </c>
      <c r="C7001" s="22" t="s">
        <v>22</v>
      </c>
      <c r="D7001">
        <v>1</v>
      </c>
      <c r="G7001" s="30">
        <f>Table132[[#This Row],[nb win]]/Table132[[#This Row],[nb play]]</f>
        <v>0</v>
      </c>
      <c r="H7001" s="26" t="str">
        <f>MID(Table132[[#This Row],[ÉTAT]],VALUE(RIGHT(Table132[[#This Row],[next move]],1))+1+VALUE(LEFT(Table132[[#This Row],[next move]],1))*3,1)</f>
        <v>V</v>
      </c>
      <c r="I7001" s="26" t="str">
        <f>Table132[[#This Row],[ÉTAT]]&amp;Table132[[#This Row],[next move]]</f>
        <v>MEMEVEMVE21</v>
      </c>
    </row>
    <row r="7002" spans="2:9" x14ac:dyDescent="0.25">
      <c r="B7002" t="s">
        <v>238</v>
      </c>
      <c r="C7002" s="22" t="s">
        <v>26</v>
      </c>
      <c r="D7002">
        <v>1</v>
      </c>
      <c r="G7002" s="30">
        <f>Table132[[#This Row],[nb win]]/Table132[[#This Row],[nb play]]</f>
        <v>0</v>
      </c>
      <c r="H7002" s="26" t="str">
        <f>MID(Table132[[#This Row],[ÉTAT]],VALUE(RIGHT(Table132[[#This Row],[next move]],1))+1+VALUE(LEFT(Table132[[#This Row],[next move]],1))*3,1)</f>
        <v>V</v>
      </c>
      <c r="I7002" s="26" t="str">
        <f>Table132[[#This Row],[ÉTAT]]&amp;Table132[[#This Row],[next move]]</f>
        <v>VVVVEMMVE01</v>
      </c>
    </row>
    <row r="7003" spans="2:9" x14ac:dyDescent="0.25">
      <c r="B7003" t="s">
        <v>2939</v>
      </c>
      <c r="C7003" s="22" t="s">
        <v>24</v>
      </c>
      <c r="D7003">
        <v>1</v>
      </c>
      <c r="E7003">
        <v>1</v>
      </c>
      <c r="G7003" s="31">
        <f>Table132[[#This Row],[nb win]]/Table132[[#This Row],[nb play]]</f>
        <v>1</v>
      </c>
      <c r="H7003" s="26" t="str">
        <f>MID(Table132[[#This Row],[ÉTAT]],VALUE(RIGHT(Table132[[#This Row],[next move]],1))+1+VALUE(LEFT(Table132[[#This Row],[next move]],1))*3,1)</f>
        <v>V</v>
      </c>
      <c r="I7003" s="26" t="str">
        <f>Table132[[#This Row],[ÉTAT]]&amp;Table132[[#This Row],[next move]]</f>
        <v>VEVVMEEVM00</v>
      </c>
    </row>
    <row r="7004" spans="2:9" x14ac:dyDescent="0.25">
      <c r="B7004" t="s">
        <v>371</v>
      </c>
      <c r="C7004" s="22" t="s">
        <v>26</v>
      </c>
      <c r="D7004">
        <v>1</v>
      </c>
      <c r="G7004" s="30">
        <f>Table132[[#This Row],[nb win]]/Table132[[#This Row],[nb play]]</f>
        <v>0</v>
      </c>
      <c r="H7004" s="26" t="str">
        <f>MID(Table132[[#This Row],[ÉTAT]],VALUE(RIGHT(Table132[[#This Row],[next move]],1))+1+VALUE(LEFT(Table132[[#This Row],[next move]],1))*3,1)</f>
        <v>V</v>
      </c>
      <c r="I7004" s="26" t="str">
        <f>Table132[[#This Row],[ÉTAT]]&amp;Table132[[#This Row],[next move]]</f>
        <v>VVEVVVMEV01</v>
      </c>
    </row>
    <row r="7005" spans="2:9" x14ac:dyDescent="0.25">
      <c r="B7005" t="s">
        <v>1149</v>
      </c>
      <c r="C7005" s="22" t="s">
        <v>28</v>
      </c>
      <c r="D7005">
        <v>1</v>
      </c>
      <c r="E7005">
        <v>1</v>
      </c>
      <c r="G7005" s="31">
        <f>Table132[[#This Row],[nb win]]/Table132[[#This Row],[nb play]]</f>
        <v>1</v>
      </c>
      <c r="H7005" s="26" t="str">
        <f>MID(Table132[[#This Row],[ÉTAT]],VALUE(RIGHT(Table132[[#This Row],[next move]],1))+1+VALUE(LEFT(Table132[[#This Row],[next move]],1))*3,1)</f>
        <v>V</v>
      </c>
      <c r="I7005" s="26" t="str">
        <f>Table132[[#This Row],[ÉTAT]]&amp;Table132[[#This Row],[next move]]</f>
        <v>VEMVVVEMV12</v>
      </c>
    </row>
    <row r="7006" spans="2:9" x14ac:dyDescent="0.25">
      <c r="B7006" t="s">
        <v>2250</v>
      </c>
      <c r="C7006" s="22" t="s">
        <v>29</v>
      </c>
      <c r="D7006">
        <v>1</v>
      </c>
      <c r="G7006" s="30">
        <f>Table132[[#This Row],[nb win]]/Table132[[#This Row],[nb play]]</f>
        <v>0</v>
      </c>
      <c r="H7006" s="26" t="str">
        <f>MID(Table132[[#This Row],[ÉTAT]],VALUE(RIGHT(Table132[[#This Row],[next move]],1))+1+VALUE(LEFT(Table132[[#This Row],[next move]],1))*3,1)</f>
        <v>V</v>
      </c>
      <c r="I7006" s="26" t="str">
        <f>Table132[[#This Row],[ÉTAT]]&amp;Table132[[#This Row],[next move]]</f>
        <v>VMEVVEMEV11</v>
      </c>
    </row>
    <row r="7007" spans="2:9" x14ac:dyDescent="0.25">
      <c r="B7007" t="s">
        <v>1251</v>
      </c>
      <c r="C7007" s="22" t="s">
        <v>31</v>
      </c>
      <c r="D7007">
        <v>1</v>
      </c>
      <c r="E7007">
        <v>1</v>
      </c>
      <c r="G7007" s="31">
        <f>Table132[[#This Row],[nb win]]/Table132[[#This Row],[nb play]]</f>
        <v>1</v>
      </c>
      <c r="H7007" s="26" t="str">
        <f>MID(Table132[[#This Row],[ÉTAT]],VALUE(RIGHT(Table132[[#This Row],[next move]],1))+1+VALUE(LEFT(Table132[[#This Row],[next move]],1))*3,1)</f>
        <v>V</v>
      </c>
      <c r="I7007" s="26" t="str">
        <f>Table132[[#This Row],[ÉTAT]]&amp;Table132[[#This Row],[next move]]</f>
        <v>VEMVEMEMV22</v>
      </c>
    </row>
    <row r="7008" spans="2:9" x14ac:dyDescent="0.25">
      <c r="B7008" t="s">
        <v>751</v>
      </c>
      <c r="C7008" s="22" t="s">
        <v>22</v>
      </c>
      <c r="D7008">
        <v>1</v>
      </c>
      <c r="G7008" s="30">
        <f>Table132[[#This Row],[nb win]]/Table132[[#This Row],[nb play]]</f>
        <v>0</v>
      </c>
      <c r="H7008" s="26" t="str">
        <f>MID(Table132[[#This Row],[ÉTAT]],VALUE(RIGHT(Table132[[#This Row],[next move]],1))+1+VALUE(LEFT(Table132[[#This Row],[next move]],1))*3,1)</f>
        <v>V</v>
      </c>
      <c r="I7008" s="26" t="str">
        <f>Table132[[#This Row],[ÉTAT]]&amp;Table132[[#This Row],[next move]]</f>
        <v>VMVEVVVVV21</v>
      </c>
    </row>
    <row r="7009" spans="2:9" x14ac:dyDescent="0.25">
      <c r="B7009" t="s">
        <v>3138</v>
      </c>
      <c r="C7009" s="22" t="s">
        <v>24</v>
      </c>
      <c r="D7009">
        <v>1</v>
      </c>
      <c r="E7009">
        <v>1</v>
      </c>
      <c r="G7009" s="31">
        <f>Table132[[#This Row],[nb win]]/Table132[[#This Row],[nb play]]</f>
        <v>1</v>
      </c>
      <c r="H7009" s="26" t="str">
        <f>MID(Table132[[#This Row],[ÉTAT]],VALUE(RIGHT(Table132[[#This Row],[next move]],1))+1+VALUE(LEFT(Table132[[#This Row],[next move]],1))*3,1)</f>
        <v>V</v>
      </c>
      <c r="I7009" s="26" t="str">
        <f>Table132[[#This Row],[ÉTAT]]&amp;Table132[[#This Row],[next move]]</f>
        <v>VEVMVVVEV00</v>
      </c>
    </row>
    <row r="7010" spans="2:9" x14ac:dyDescent="0.25">
      <c r="B7010" t="s">
        <v>1862</v>
      </c>
      <c r="C7010" s="22" t="s">
        <v>31</v>
      </c>
      <c r="D7010">
        <v>1</v>
      </c>
      <c r="G7010" s="30">
        <f>Table132[[#This Row],[nb win]]/Table132[[#This Row],[nb play]]</f>
        <v>0</v>
      </c>
      <c r="H7010" s="26" t="str">
        <f>MID(Table132[[#This Row],[ÉTAT]],VALUE(RIGHT(Table132[[#This Row],[next move]],1))+1+VALUE(LEFT(Table132[[#This Row],[next move]],1))*3,1)</f>
        <v>V</v>
      </c>
      <c r="I7010" s="26" t="str">
        <f>Table132[[#This Row],[ÉTAT]]&amp;Table132[[#This Row],[next move]]</f>
        <v>EMVEVVVMV22</v>
      </c>
    </row>
    <row r="7011" spans="2:9" x14ac:dyDescent="0.25">
      <c r="B7011" t="s">
        <v>3613</v>
      </c>
      <c r="C7011" s="22" t="s">
        <v>35</v>
      </c>
      <c r="D7011">
        <v>1</v>
      </c>
      <c r="E7011">
        <v>1</v>
      </c>
      <c r="G7011" s="31">
        <f>Table132[[#This Row],[nb win]]/Table132[[#This Row],[nb play]]</f>
        <v>1</v>
      </c>
      <c r="H7011" s="26" t="str">
        <f>MID(Table132[[#This Row],[ÉTAT]],VALUE(RIGHT(Table132[[#This Row],[next move]],1))+1+VALUE(LEFT(Table132[[#This Row],[next move]],1))*3,1)</f>
        <v>V</v>
      </c>
      <c r="I7011" s="26" t="str">
        <f>Table132[[#This Row],[ÉTAT]]&amp;Table132[[#This Row],[next move]]</f>
        <v>MEVMVVVEE20</v>
      </c>
    </row>
    <row r="7012" spans="2:9" x14ac:dyDescent="0.25">
      <c r="B7012" t="s">
        <v>86</v>
      </c>
      <c r="C7012" s="22" t="s">
        <v>26</v>
      </c>
      <c r="D7012">
        <v>1</v>
      </c>
      <c r="E7012">
        <v>1</v>
      </c>
      <c r="G7012" s="31">
        <f>Table132[[#This Row],[nb win]]/Table132[[#This Row],[nb play]]</f>
        <v>1</v>
      </c>
      <c r="H7012" s="26" t="str">
        <f>MID(Table132[[#This Row],[ÉTAT]],VALUE(RIGHT(Table132[[#This Row],[next move]],1))+1+VALUE(LEFT(Table132[[#This Row],[next move]],1))*3,1)</f>
        <v>V</v>
      </c>
      <c r="I7012" s="26" t="str">
        <f>Table132[[#This Row],[ÉTAT]]&amp;Table132[[#This Row],[next move]]</f>
        <v>VVVEMVVVV01</v>
      </c>
    </row>
    <row r="7013" spans="2:9" x14ac:dyDescent="0.25">
      <c r="B7013" t="s">
        <v>1022</v>
      </c>
      <c r="C7013" s="22" t="s">
        <v>24</v>
      </c>
      <c r="D7013">
        <v>1</v>
      </c>
      <c r="E7013">
        <v>1</v>
      </c>
      <c r="G7013" s="31">
        <f>Table132[[#This Row],[nb win]]/Table132[[#This Row],[nb play]]</f>
        <v>1</v>
      </c>
      <c r="H7013" s="26" t="str">
        <f>MID(Table132[[#This Row],[ÉTAT]],VALUE(RIGHT(Table132[[#This Row],[next move]],1))+1+VALUE(LEFT(Table132[[#This Row],[next move]],1))*3,1)</f>
        <v>V</v>
      </c>
      <c r="I7013" s="26" t="str">
        <f>Table132[[#This Row],[ÉTAT]]&amp;Table132[[#This Row],[next move]]</f>
        <v>VMVEMVVEV00</v>
      </c>
    </row>
    <row r="7014" spans="2:9" x14ac:dyDescent="0.25">
      <c r="B7014" t="s">
        <v>3614</v>
      </c>
      <c r="C7014" s="22" t="s">
        <v>35</v>
      </c>
      <c r="D7014">
        <v>1</v>
      </c>
      <c r="G7014" s="30">
        <f>Table132[[#This Row],[nb win]]/Table132[[#This Row],[nb play]]</f>
        <v>0</v>
      </c>
      <c r="H7014" s="26" t="str">
        <f>MID(Table132[[#This Row],[ÉTAT]],VALUE(RIGHT(Table132[[#This Row],[next move]],1))+1+VALUE(LEFT(Table132[[#This Row],[next move]],1))*3,1)</f>
        <v>V</v>
      </c>
      <c r="I7014" s="26" t="str">
        <f>Table132[[#This Row],[ÉTAT]]&amp;Table132[[#This Row],[next move]]</f>
        <v>EEVMEVVMV20</v>
      </c>
    </row>
    <row r="7015" spans="2:9" x14ac:dyDescent="0.25">
      <c r="B7015" t="s">
        <v>1441</v>
      </c>
      <c r="C7015" s="22" t="s">
        <v>20</v>
      </c>
      <c r="D7015">
        <v>1</v>
      </c>
      <c r="E7015">
        <v>1</v>
      </c>
      <c r="G7015" s="31">
        <f>Table132[[#This Row],[nb win]]/Table132[[#This Row],[nb play]]</f>
        <v>1</v>
      </c>
      <c r="H7015" s="26" t="str">
        <f>MID(Table132[[#This Row],[ÉTAT]],VALUE(RIGHT(Table132[[#This Row],[next move]],1))+1+VALUE(LEFT(Table132[[#This Row],[next move]],1))*3,1)</f>
        <v>V</v>
      </c>
      <c r="I7015" s="26" t="str">
        <f>Table132[[#This Row],[ÉTAT]]&amp;Table132[[#This Row],[next move]]</f>
        <v>MMVEMVEEV02</v>
      </c>
    </row>
    <row r="7016" spans="2:9" x14ac:dyDescent="0.25">
      <c r="B7016" t="s">
        <v>471</v>
      </c>
      <c r="C7016" s="22" t="s">
        <v>28</v>
      </c>
      <c r="D7016">
        <v>3</v>
      </c>
      <c r="E7016">
        <v>2</v>
      </c>
      <c r="G7016" s="30">
        <f>Table132[[#This Row],[nb win]]/Table132[[#This Row],[nb play]]</f>
        <v>0.66666666666666663</v>
      </c>
      <c r="H7016" s="26" t="str">
        <f>MID(Table132[[#This Row],[ÉTAT]],VALUE(RIGHT(Table132[[#This Row],[next move]],1))+1+VALUE(LEFT(Table132[[#This Row],[next move]],1))*3,1)</f>
        <v>V</v>
      </c>
      <c r="I7016" s="26" t="str">
        <f>Table132[[#This Row],[ÉTAT]]&amp;Table132[[#This Row],[next move]]</f>
        <v>EVVVVVMVV12</v>
      </c>
    </row>
    <row r="7017" spans="2:9" x14ac:dyDescent="0.25">
      <c r="B7017" t="s">
        <v>3615</v>
      </c>
      <c r="C7017" s="22" t="s">
        <v>30</v>
      </c>
      <c r="D7017">
        <v>1</v>
      </c>
      <c r="G7017" s="30">
        <f>Table132[[#This Row],[nb win]]/Table132[[#This Row],[nb play]]</f>
        <v>0</v>
      </c>
      <c r="H7017" s="26" t="str">
        <f>MID(Table132[[#This Row],[ÉTAT]],VALUE(RIGHT(Table132[[#This Row],[next move]],1))+1+VALUE(LEFT(Table132[[#This Row],[next move]],1))*3,1)</f>
        <v>V</v>
      </c>
      <c r="I7017" s="26" t="str">
        <f>Table132[[#This Row],[ÉTAT]]&amp;Table132[[#This Row],[next move]]</f>
        <v>MVVVVEEVV10</v>
      </c>
    </row>
    <row r="7018" spans="2:9" x14ac:dyDescent="0.25">
      <c r="B7018" t="s">
        <v>1236</v>
      </c>
      <c r="C7018" s="22" t="s">
        <v>29</v>
      </c>
      <c r="D7018">
        <v>1</v>
      </c>
      <c r="E7018">
        <v>1</v>
      </c>
      <c r="G7018" s="31">
        <f>Table132[[#This Row],[nb win]]/Table132[[#This Row],[nb play]]</f>
        <v>1</v>
      </c>
      <c r="H7018" s="26" t="str">
        <f>MID(Table132[[#This Row],[ÉTAT]],VALUE(RIGHT(Table132[[#This Row],[next move]],1))+1+VALUE(LEFT(Table132[[#This Row],[next move]],1))*3,1)</f>
        <v>V</v>
      </c>
      <c r="I7018" s="26" t="str">
        <f>Table132[[#This Row],[ÉTAT]]&amp;Table132[[#This Row],[next move]]</f>
        <v>EVVEVMMVV11</v>
      </c>
    </row>
    <row r="7019" spans="2:9" x14ac:dyDescent="0.25">
      <c r="B7019" t="s">
        <v>3566</v>
      </c>
      <c r="C7019" s="22" t="s">
        <v>31</v>
      </c>
      <c r="D7019">
        <v>1</v>
      </c>
      <c r="G7019" s="30">
        <f>Table132[[#This Row],[nb win]]/Table132[[#This Row],[nb play]]</f>
        <v>0</v>
      </c>
      <c r="H7019" s="26" t="str">
        <f>MID(Table132[[#This Row],[ÉTAT]],VALUE(RIGHT(Table132[[#This Row],[next move]],1))+1+VALUE(LEFT(Table132[[#This Row],[next move]],1))*3,1)</f>
        <v>V</v>
      </c>
      <c r="I7019" s="26" t="str">
        <f>Table132[[#This Row],[ÉTAT]]&amp;Table132[[#This Row],[next move]]</f>
        <v>MVVMEEEVV22</v>
      </c>
    </row>
    <row r="7020" spans="2:9" x14ac:dyDescent="0.25">
      <c r="B7020" t="s">
        <v>1630</v>
      </c>
      <c r="C7020" s="22" t="s">
        <v>26</v>
      </c>
      <c r="D7020">
        <v>1</v>
      </c>
      <c r="E7020">
        <v>1</v>
      </c>
      <c r="G7020" s="31">
        <f>Table132[[#This Row],[nb win]]/Table132[[#This Row],[nb play]]</f>
        <v>1</v>
      </c>
      <c r="H7020" s="26" t="str">
        <f>MID(Table132[[#This Row],[ÉTAT]],VALUE(RIGHT(Table132[[#This Row],[next move]],1))+1+VALUE(LEFT(Table132[[#This Row],[next move]],1))*3,1)</f>
        <v>V</v>
      </c>
      <c r="I7020" s="26" t="str">
        <f>Table132[[#This Row],[ÉTAT]]&amp;Table132[[#This Row],[next move]]</f>
        <v>EVVEMMMVE01</v>
      </c>
    </row>
    <row r="7021" spans="2:9" x14ac:dyDescent="0.25">
      <c r="B7021" t="s">
        <v>1147</v>
      </c>
      <c r="C7021" s="22" t="s">
        <v>20</v>
      </c>
      <c r="D7021">
        <v>1</v>
      </c>
      <c r="G7021" s="30">
        <f>Table132[[#This Row],[nb win]]/Table132[[#This Row],[nb play]]</f>
        <v>0</v>
      </c>
      <c r="H7021" s="26" t="str">
        <f>MID(Table132[[#This Row],[ÉTAT]],VALUE(RIGHT(Table132[[#This Row],[next move]],1))+1+VALUE(LEFT(Table132[[#This Row],[next move]],1))*3,1)</f>
        <v>V</v>
      </c>
      <c r="I7021" s="26" t="str">
        <f>Table132[[#This Row],[ÉTAT]]&amp;Table132[[#This Row],[next move]]</f>
        <v>MEVMEEEVM02</v>
      </c>
    </row>
    <row r="7022" spans="2:9" x14ac:dyDescent="0.25">
      <c r="B7022" t="s">
        <v>466</v>
      </c>
      <c r="C7022" s="22" t="s">
        <v>26</v>
      </c>
      <c r="D7022">
        <v>2</v>
      </c>
      <c r="E7022">
        <v>1</v>
      </c>
      <c r="G7022" s="30">
        <f>Table132[[#This Row],[nb win]]/Table132[[#This Row],[nb play]]</f>
        <v>0.5</v>
      </c>
      <c r="H7022" s="26" t="str">
        <f>MID(Table132[[#This Row],[ÉTAT]],VALUE(RIGHT(Table132[[#This Row],[next move]],1))+1+VALUE(LEFT(Table132[[#This Row],[next move]],1))*3,1)</f>
        <v>V</v>
      </c>
      <c r="I7022" s="26" t="str">
        <f>Table132[[#This Row],[ÉTAT]]&amp;Table132[[#This Row],[next move]]</f>
        <v>VVMVEVEVV01</v>
      </c>
    </row>
    <row r="7023" spans="2:9" x14ac:dyDescent="0.25">
      <c r="B7023" t="s">
        <v>3616</v>
      </c>
      <c r="C7023" s="22" t="s">
        <v>22</v>
      </c>
      <c r="D7023">
        <v>1</v>
      </c>
      <c r="G7023" s="30">
        <f>Table132[[#This Row],[nb win]]/Table132[[#This Row],[nb play]]</f>
        <v>0</v>
      </c>
      <c r="H7023" s="26" t="str">
        <f>MID(Table132[[#This Row],[ÉTAT]],VALUE(RIGHT(Table132[[#This Row],[next move]],1))+1+VALUE(LEFT(Table132[[#This Row],[next move]],1))*3,1)</f>
        <v>V</v>
      </c>
      <c r="I7023" s="26" t="str">
        <f>Table132[[#This Row],[ÉTAT]]&amp;Table132[[#This Row],[next move]]</f>
        <v>VEEVMVMVV21</v>
      </c>
    </row>
    <row r="7024" spans="2:9" x14ac:dyDescent="0.25">
      <c r="B7024" t="s">
        <v>2783</v>
      </c>
      <c r="C7024" s="22" t="s">
        <v>31</v>
      </c>
      <c r="D7024">
        <v>1</v>
      </c>
      <c r="E7024">
        <v>1</v>
      </c>
      <c r="G7024" s="31">
        <f>Table132[[#This Row],[nb win]]/Table132[[#This Row],[nb play]]</f>
        <v>1</v>
      </c>
      <c r="H7024" s="26" t="str">
        <f>MID(Table132[[#This Row],[ÉTAT]],VALUE(RIGHT(Table132[[#This Row],[next move]],1))+1+VALUE(LEFT(Table132[[#This Row],[next move]],1))*3,1)</f>
        <v>V</v>
      </c>
      <c r="I7024" s="26" t="str">
        <f>Table132[[#This Row],[ÉTAT]]&amp;Table132[[#This Row],[next move]]</f>
        <v>VMMVEVEEV22</v>
      </c>
    </row>
    <row r="7025" spans="2:9" x14ac:dyDescent="0.25">
      <c r="B7025" t="s">
        <v>3617</v>
      </c>
      <c r="C7025" s="22" t="s">
        <v>30</v>
      </c>
      <c r="D7025">
        <v>1</v>
      </c>
      <c r="G7025" s="30">
        <f>Table132[[#This Row],[nb win]]/Table132[[#This Row],[nb play]]</f>
        <v>0</v>
      </c>
      <c r="H7025" s="26" t="str">
        <f>MID(Table132[[#This Row],[ÉTAT]],VALUE(RIGHT(Table132[[#This Row],[next move]],1))+1+VALUE(LEFT(Table132[[#This Row],[next move]],1))*3,1)</f>
        <v>V</v>
      </c>
      <c r="I7025" s="26" t="str">
        <f>Table132[[#This Row],[ÉTAT]]&amp;Table132[[#This Row],[next move]]</f>
        <v>VEEVMVMME10</v>
      </c>
    </row>
    <row r="7026" spans="2:9" x14ac:dyDescent="0.25">
      <c r="B7026" t="s">
        <v>146</v>
      </c>
      <c r="C7026" s="22" t="s">
        <v>24</v>
      </c>
      <c r="D7026">
        <v>1</v>
      </c>
      <c r="E7026">
        <v>1</v>
      </c>
      <c r="G7026" s="31">
        <f>Table132[[#This Row],[nb win]]/Table132[[#This Row],[nb play]]</f>
        <v>1</v>
      </c>
      <c r="H7026" s="26" t="str">
        <f>MID(Table132[[#This Row],[ÉTAT]],VALUE(RIGHT(Table132[[#This Row],[next move]],1))+1+VALUE(LEFT(Table132[[#This Row],[next move]],1))*3,1)</f>
        <v>V</v>
      </c>
      <c r="I7026" s="26" t="str">
        <f>Table132[[#This Row],[ÉTAT]]&amp;Table132[[#This Row],[next move]]</f>
        <v>VMMEEVEEM00</v>
      </c>
    </row>
    <row r="7027" spans="2:9" x14ac:dyDescent="0.25">
      <c r="B7027" t="s">
        <v>1439</v>
      </c>
      <c r="C7027" s="22" t="s">
        <v>26</v>
      </c>
      <c r="D7027">
        <v>1</v>
      </c>
      <c r="G7027" s="30">
        <f>Table132[[#This Row],[nb win]]/Table132[[#This Row],[nb play]]</f>
        <v>0</v>
      </c>
      <c r="H7027" s="26" t="str">
        <f>MID(Table132[[#This Row],[ÉTAT]],VALUE(RIGHT(Table132[[#This Row],[next move]],1))+1+VALUE(LEFT(Table132[[#This Row],[next move]],1))*3,1)</f>
        <v>V</v>
      </c>
      <c r="I7027" s="26" t="str">
        <f>Table132[[#This Row],[ÉTAT]]&amp;Table132[[#This Row],[next move]]</f>
        <v>MVVVMVEEV01</v>
      </c>
    </row>
    <row r="7028" spans="2:9" x14ac:dyDescent="0.25">
      <c r="B7028" t="s">
        <v>808</v>
      </c>
      <c r="C7028" s="22" t="s">
        <v>26</v>
      </c>
      <c r="D7028">
        <v>1</v>
      </c>
      <c r="G7028" s="30">
        <f>Table132[[#This Row],[nb win]]/Table132[[#This Row],[nb play]]</f>
        <v>0</v>
      </c>
      <c r="H7028" s="26" t="str">
        <f>MID(Table132[[#This Row],[ÉTAT]],VALUE(RIGHT(Table132[[#This Row],[next move]],1))+1+VALUE(LEFT(Table132[[#This Row],[next move]],1))*3,1)</f>
        <v>V</v>
      </c>
      <c r="I7028" s="26" t="str">
        <f>Table132[[#This Row],[ÉTAT]]&amp;Table132[[#This Row],[next move]]</f>
        <v>EVMVEVVVM01</v>
      </c>
    </row>
    <row r="7029" spans="2:9" x14ac:dyDescent="0.25">
      <c r="B7029" t="s">
        <v>2900</v>
      </c>
      <c r="C7029" s="22" t="s">
        <v>30</v>
      </c>
      <c r="D7029">
        <v>2</v>
      </c>
      <c r="E7029">
        <v>1</v>
      </c>
      <c r="G7029" s="30">
        <f>Table132[[#This Row],[nb win]]/Table132[[#This Row],[nb play]]</f>
        <v>0.5</v>
      </c>
      <c r="H7029" s="26" t="str">
        <f>MID(Table132[[#This Row],[ÉTAT]],VALUE(RIGHT(Table132[[#This Row],[next move]],1))+1+VALUE(LEFT(Table132[[#This Row],[next move]],1))*3,1)</f>
        <v>V</v>
      </c>
      <c r="I7029" s="26" t="str">
        <f>Table132[[#This Row],[ÉTAT]]&amp;Table132[[#This Row],[next move]]</f>
        <v>MEEVMVVVE10</v>
      </c>
    </row>
    <row r="7030" spans="2:9" x14ac:dyDescent="0.25">
      <c r="B7030" t="s">
        <v>3151</v>
      </c>
      <c r="C7030" s="22" t="s">
        <v>35</v>
      </c>
      <c r="D7030">
        <v>1</v>
      </c>
      <c r="G7030" s="30">
        <f>Table132[[#This Row],[nb win]]/Table132[[#This Row],[nb play]]</f>
        <v>0</v>
      </c>
      <c r="H7030" s="26" t="str">
        <f>MID(Table132[[#This Row],[ÉTAT]],VALUE(RIGHT(Table132[[#This Row],[next move]],1))+1+VALUE(LEFT(Table132[[#This Row],[next move]],1))*3,1)</f>
        <v>V</v>
      </c>
      <c r="I7030" s="26" t="str">
        <f>Table132[[#This Row],[ÉTAT]]&amp;Table132[[#This Row],[next move]]</f>
        <v>EMMEEVVVM20</v>
      </c>
    </row>
    <row r="7031" spans="2:9" x14ac:dyDescent="0.25">
      <c r="B7031" t="s">
        <v>2865</v>
      </c>
      <c r="C7031" s="22" t="s">
        <v>28</v>
      </c>
      <c r="D7031">
        <v>1</v>
      </c>
      <c r="E7031">
        <v>1</v>
      </c>
      <c r="G7031" s="31">
        <f>Table132[[#This Row],[nb win]]/Table132[[#This Row],[nb play]]</f>
        <v>1</v>
      </c>
      <c r="H7031" s="26" t="str">
        <f>MID(Table132[[#This Row],[ÉTAT]],VALUE(RIGHT(Table132[[#This Row],[next move]],1))+1+VALUE(LEFT(Table132[[#This Row],[next move]],1))*3,1)</f>
        <v>V</v>
      </c>
      <c r="I7031" s="26" t="str">
        <f>Table132[[#This Row],[ÉTAT]]&amp;Table132[[#This Row],[next move]]</f>
        <v>MEEMMVEVE12</v>
      </c>
    </row>
    <row r="7032" spans="2:9" x14ac:dyDescent="0.25">
      <c r="B7032" t="s">
        <v>53</v>
      </c>
      <c r="C7032" s="22" t="s">
        <v>22</v>
      </c>
      <c r="D7032">
        <v>1</v>
      </c>
      <c r="G7032" s="30">
        <f>Table132[[#This Row],[nb win]]/Table132[[#This Row],[nb play]]</f>
        <v>0</v>
      </c>
      <c r="H7032" s="26" t="str">
        <f>MID(Table132[[#This Row],[ÉTAT]],VALUE(RIGHT(Table132[[#This Row],[next move]],1))+1+VALUE(LEFT(Table132[[#This Row],[next move]],1))*3,1)</f>
        <v>V</v>
      </c>
      <c r="I7032" s="26" t="str">
        <f>Table132[[#This Row],[ÉTAT]]&amp;Table132[[#This Row],[next move]]</f>
        <v>EVVMVVVVV21</v>
      </c>
    </row>
    <row r="7033" spans="2:9" x14ac:dyDescent="0.25">
      <c r="B7033" t="s">
        <v>43</v>
      </c>
      <c r="C7033" s="22" t="s">
        <v>20</v>
      </c>
      <c r="D7033">
        <v>1</v>
      </c>
      <c r="E7033">
        <v>1</v>
      </c>
      <c r="G7033" s="31">
        <f>Table132[[#This Row],[nb win]]/Table132[[#This Row],[nb play]]</f>
        <v>1</v>
      </c>
      <c r="H7033" s="26" t="str">
        <f>MID(Table132[[#This Row],[ÉTAT]],VALUE(RIGHT(Table132[[#This Row],[next move]],1))+1+VALUE(LEFT(Table132[[#This Row],[next move]],1))*3,1)</f>
        <v>V</v>
      </c>
      <c r="I7033" s="26" t="str">
        <f>Table132[[#This Row],[ÉTAT]]&amp;Table132[[#This Row],[next move]]</f>
        <v>MVVEVVVEV02</v>
      </c>
    </row>
    <row r="7034" spans="2:9" x14ac:dyDescent="0.25">
      <c r="B7034" t="s">
        <v>3229</v>
      </c>
      <c r="C7034" s="22" t="s">
        <v>28</v>
      </c>
      <c r="D7034">
        <v>1</v>
      </c>
      <c r="G7034" s="30">
        <f>Table132[[#This Row],[nb win]]/Table132[[#This Row],[nb play]]</f>
        <v>0</v>
      </c>
      <c r="H7034" s="26" t="str">
        <f>MID(Table132[[#This Row],[ÉTAT]],VALUE(RIGHT(Table132[[#This Row],[next move]],1))+1+VALUE(LEFT(Table132[[#This Row],[next move]],1))*3,1)</f>
        <v>V</v>
      </c>
      <c r="I7034" s="26" t="str">
        <f>Table132[[#This Row],[ÉTAT]]&amp;Table132[[#This Row],[next move]]</f>
        <v>EVEMVVVMV12</v>
      </c>
    </row>
    <row r="7035" spans="2:9" x14ac:dyDescent="0.25">
      <c r="B7035" t="s">
        <v>2399</v>
      </c>
      <c r="C7035" s="22" t="s">
        <v>31</v>
      </c>
      <c r="D7035">
        <v>1</v>
      </c>
      <c r="E7035">
        <v>1</v>
      </c>
      <c r="G7035" s="31">
        <f>Table132[[#This Row],[nb win]]/Table132[[#This Row],[nb play]]</f>
        <v>1</v>
      </c>
      <c r="H7035" s="26" t="str">
        <f>MID(Table132[[#This Row],[ÉTAT]],VALUE(RIGHT(Table132[[#This Row],[next move]],1))+1+VALUE(LEFT(Table132[[#This Row],[next move]],1))*3,1)</f>
        <v>V</v>
      </c>
      <c r="I7035" s="26" t="str">
        <f>Table132[[#This Row],[ÉTAT]]&amp;Table132[[#This Row],[next move]]</f>
        <v>MVMEVEVEV22</v>
      </c>
    </row>
    <row r="7036" spans="2:9" x14ac:dyDescent="0.25">
      <c r="B7036" t="s">
        <v>1520</v>
      </c>
      <c r="C7036" s="22" t="s">
        <v>26</v>
      </c>
      <c r="D7036">
        <v>1</v>
      </c>
      <c r="G7036" s="30">
        <f>Table132[[#This Row],[nb win]]/Table132[[#This Row],[nb play]]</f>
        <v>0</v>
      </c>
      <c r="H7036" s="26" t="str">
        <f>MID(Table132[[#This Row],[ÉTAT]],VALUE(RIGHT(Table132[[#This Row],[next move]],1))+1+VALUE(LEFT(Table132[[#This Row],[next move]],1))*3,1)</f>
        <v>V</v>
      </c>
      <c r="I7036" s="26" t="str">
        <f>Table132[[#This Row],[ÉTAT]]&amp;Table132[[#This Row],[next move]]</f>
        <v>EVEMVMVME01</v>
      </c>
    </row>
    <row r="7037" spans="2:9" x14ac:dyDescent="0.25">
      <c r="B7037" t="s">
        <v>1718</v>
      </c>
      <c r="C7037" s="22" t="s">
        <v>26</v>
      </c>
      <c r="D7037">
        <v>1</v>
      </c>
      <c r="E7037">
        <v>1</v>
      </c>
      <c r="G7037" s="31">
        <f>Table132[[#This Row],[nb win]]/Table132[[#This Row],[nb play]]</f>
        <v>1</v>
      </c>
      <c r="H7037" s="26" t="str">
        <f>MID(Table132[[#This Row],[ÉTAT]],VALUE(RIGHT(Table132[[#This Row],[next move]],1))+1+VALUE(LEFT(Table132[[#This Row],[next move]],1))*3,1)</f>
        <v>V</v>
      </c>
      <c r="I7037" s="26" t="str">
        <f>Table132[[#This Row],[ÉTAT]]&amp;Table132[[#This Row],[next move]]</f>
        <v>VVVEMVVME01</v>
      </c>
    </row>
    <row r="7038" spans="2:9" x14ac:dyDescent="0.25">
      <c r="B7038" t="s">
        <v>478</v>
      </c>
      <c r="C7038" s="22" t="s">
        <v>22</v>
      </c>
      <c r="D7038">
        <v>1</v>
      </c>
      <c r="G7038" s="30">
        <f>Table132[[#This Row],[nb win]]/Table132[[#This Row],[nb play]]</f>
        <v>0</v>
      </c>
      <c r="H7038" s="26" t="str">
        <f>MID(Table132[[#This Row],[ÉTAT]],VALUE(RIGHT(Table132[[#This Row],[next move]],1))+1+VALUE(LEFT(Table132[[#This Row],[next move]],1))*3,1)</f>
        <v>V</v>
      </c>
      <c r="I7038" s="26" t="str">
        <f>Table132[[#This Row],[ÉTAT]]&amp;Table132[[#This Row],[next move]]</f>
        <v>VVVVVMEVV21</v>
      </c>
    </row>
    <row r="7039" spans="2:9" x14ac:dyDescent="0.25">
      <c r="B7039" t="s">
        <v>1453</v>
      </c>
      <c r="C7039" s="22" t="s">
        <v>31</v>
      </c>
      <c r="D7039">
        <v>1</v>
      </c>
      <c r="E7039">
        <v>1</v>
      </c>
      <c r="G7039" s="31">
        <f>Table132[[#This Row],[nb win]]/Table132[[#This Row],[nb play]]</f>
        <v>1</v>
      </c>
      <c r="H7039" s="26" t="str">
        <f>MID(Table132[[#This Row],[ÉTAT]],VALUE(RIGHT(Table132[[#This Row],[next move]],1))+1+VALUE(LEFT(Table132[[#This Row],[next move]],1))*3,1)</f>
        <v>V</v>
      </c>
      <c r="I7039" s="26" t="str">
        <f>Table132[[#This Row],[ÉTAT]]&amp;Table132[[#This Row],[next move]]</f>
        <v>VVVVVEMEV22</v>
      </c>
    </row>
    <row r="7040" spans="2:9" x14ac:dyDescent="0.25">
      <c r="B7040" t="s">
        <v>664</v>
      </c>
      <c r="C7040" s="22" t="s">
        <v>30</v>
      </c>
      <c r="D7040">
        <v>1</v>
      </c>
      <c r="G7040" s="30">
        <f>Table132[[#This Row],[nb win]]/Table132[[#This Row],[nb play]]</f>
        <v>0</v>
      </c>
      <c r="H7040" s="26" t="str">
        <f>MID(Table132[[#This Row],[ÉTAT]],VALUE(RIGHT(Table132[[#This Row],[next move]],1))+1+VALUE(LEFT(Table132[[#This Row],[next move]],1))*3,1)</f>
        <v>V</v>
      </c>
      <c r="I7040" s="26" t="str">
        <f>Table132[[#This Row],[ÉTAT]]&amp;Table132[[#This Row],[next move]]</f>
        <v>VVVVVMEME10</v>
      </c>
    </row>
    <row r="7041" spans="2:9" x14ac:dyDescent="0.25">
      <c r="B7041" t="s">
        <v>3619</v>
      </c>
      <c r="C7041" s="22" t="s">
        <v>29</v>
      </c>
      <c r="D7041">
        <v>1</v>
      </c>
      <c r="E7041">
        <v>1</v>
      </c>
      <c r="G7041" s="31">
        <f>Table132[[#This Row],[nb win]]/Table132[[#This Row],[nb play]]</f>
        <v>1</v>
      </c>
      <c r="H7041" s="26" t="str">
        <f>MID(Table132[[#This Row],[ÉTAT]],VALUE(RIGHT(Table132[[#This Row],[next move]],1))+1+VALUE(LEFT(Table132[[#This Row],[next move]],1))*3,1)</f>
        <v>V</v>
      </c>
      <c r="I7041" s="26" t="str">
        <f>Table132[[#This Row],[ÉTAT]]&amp;Table132[[#This Row],[next move]]</f>
        <v>VVVEVEMEM11</v>
      </c>
    </row>
    <row r="7042" spans="2:9" x14ac:dyDescent="0.25">
      <c r="B7042" t="s">
        <v>3308</v>
      </c>
      <c r="C7042" s="22" t="s">
        <v>26</v>
      </c>
      <c r="D7042">
        <v>1</v>
      </c>
      <c r="G7042" s="30">
        <f>Table132[[#This Row],[nb win]]/Table132[[#This Row],[nb play]]</f>
        <v>0</v>
      </c>
      <c r="H7042" s="26" t="str">
        <f>MID(Table132[[#This Row],[ÉTAT]],VALUE(RIGHT(Table132[[#This Row],[next move]],1))+1+VALUE(LEFT(Table132[[#This Row],[next move]],1))*3,1)</f>
        <v>V</v>
      </c>
      <c r="I7042" s="26" t="str">
        <f>Table132[[#This Row],[ÉTAT]]&amp;Table132[[#This Row],[next move]]</f>
        <v>VVVMEMEME01</v>
      </c>
    </row>
    <row r="7043" spans="2:9" x14ac:dyDescent="0.25">
      <c r="B7043" t="s">
        <v>1067</v>
      </c>
      <c r="C7043" s="22" t="s">
        <v>20</v>
      </c>
      <c r="D7043">
        <v>1</v>
      </c>
      <c r="E7043">
        <v>1</v>
      </c>
      <c r="G7043" s="31">
        <f>Table132[[#This Row],[nb win]]/Table132[[#This Row],[nb play]]</f>
        <v>1</v>
      </c>
      <c r="H7043" s="26" t="str">
        <f>MID(Table132[[#This Row],[ÉTAT]],VALUE(RIGHT(Table132[[#This Row],[next move]],1))+1+VALUE(LEFT(Table132[[#This Row],[next move]],1))*3,1)</f>
        <v>V</v>
      </c>
      <c r="I7043" s="26" t="str">
        <f>Table132[[#This Row],[ÉTAT]]&amp;Table132[[#This Row],[next move]]</f>
        <v>VEVEMEMEM02</v>
      </c>
    </row>
    <row r="7044" spans="2:9" x14ac:dyDescent="0.25">
      <c r="B7044" t="s">
        <v>2306</v>
      </c>
      <c r="C7044" s="22" t="s">
        <v>24</v>
      </c>
      <c r="D7044">
        <v>2</v>
      </c>
      <c r="E7044">
        <v>2</v>
      </c>
      <c r="G7044" s="31">
        <f>Table132[[#This Row],[nb win]]/Table132[[#This Row],[nb play]]</f>
        <v>1</v>
      </c>
      <c r="H7044" s="26" t="str">
        <f>MID(Table132[[#This Row],[ÉTAT]],VALUE(RIGHT(Table132[[#This Row],[next move]],1))+1+VALUE(LEFT(Table132[[#This Row],[next move]],1))*3,1)</f>
        <v>V</v>
      </c>
      <c r="I7044" s="26" t="str">
        <f>Table132[[#This Row],[ÉTAT]]&amp;Table132[[#This Row],[next move]]</f>
        <v>VMVVEVVEV00</v>
      </c>
    </row>
    <row r="7045" spans="2:9" x14ac:dyDescent="0.25">
      <c r="B7045" t="s">
        <v>1527</v>
      </c>
      <c r="C7045" s="22" t="s">
        <v>31</v>
      </c>
      <c r="D7045">
        <v>1</v>
      </c>
      <c r="G7045" s="30">
        <f>Table132[[#This Row],[nb win]]/Table132[[#This Row],[nb play]]</f>
        <v>0</v>
      </c>
      <c r="H7045" s="26" t="str">
        <f>MID(Table132[[#This Row],[ÉTAT]],VALUE(RIGHT(Table132[[#This Row],[next move]],1))+1+VALUE(LEFT(Table132[[#This Row],[next move]],1))*3,1)</f>
        <v>V</v>
      </c>
      <c r="I7045" s="26" t="str">
        <f>Table132[[#This Row],[ÉTAT]]&amp;Table132[[#This Row],[next move]]</f>
        <v>EEVVMVVMV22</v>
      </c>
    </row>
    <row r="7046" spans="2:9" x14ac:dyDescent="0.25">
      <c r="B7046" t="s">
        <v>3620</v>
      </c>
      <c r="C7046" s="22" t="s">
        <v>30</v>
      </c>
      <c r="D7046">
        <v>1</v>
      </c>
      <c r="E7046">
        <v>1</v>
      </c>
      <c r="G7046" s="31">
        <f>Table132[[#This Row],[nb win]]/Table132[[#This Row],[nb play]]</f>
        <v>1</v>
      </c>
      <c r="H7046" s="26" t="str">
        <f>MID(Table132[[#This Row],[ÉTAT]],VALUE(RIGHT(Table132[[#This Row],[next move]],1))+1+VALUE(LEFT(Table132[[#This Row],[next move]],1))*3,1)</f>
        <v>V</v>
      </c>
      <c r="I7046" s="26" t="str">
        <f>Table132[[#This Row],[ÉTAT]]&amp;Table132[[#This Row],[next move]]</f>
        <v>MMVVEVVEE10</v>
      </c>
    </row>
    <row r="7047" spans="2:9" x14ac:dyDescent="0.25">
      <c r="B7047" t="s">
        <v>1362</v>
      </c>
      <c r="C7047" s="22" t="s">
        <v>28</v>
      </c>
      <c r="D7047">
        <v>1</v>
      </c>
      <c r="G7047" s="30">
        <f>Table132[[#This Row],[nb win]]/Table132[[#This Row],[nb play]]</f>
        <v>0</v>
      </c>
      <c r="H7047" s="26" t="str">
        <f>MID(Table132[[#This Row],[ÉTAT]],VALUE(RIGHT(Table132[[#This Row],[next move]],1))+1+VALUE(LEFT(Table132[[#This Row],[next move]],1))*3,1)</f>
        <v>V</v>
      </c>
      <c r="I7047" s="26" t="str">
        <f>Table132[[#This Row],[ÉTAT]]&amp;Table132[[#This Row],[next move]]</f>
        <v>EEVEMVVMM12</v>
      </c>
    </row>
    <row r="7048" spans="2:9" x14ac:dyDescent="0.25">
      <c r="B7048" t="s">
        <v>3621</v>
      </c>
      <c r="C7048" s="22" t="s">
        <v>20</v>
      </c>
      <c r="D7048">
        <v>1</v>
      </c>
      <c r="E7048">
        <v>1</v>
      </c>
      <c r="G7048" s="31">
        <f>Table132[[#This Row],[nb win]]/Table132[[#This Row],[nb play]]</f>
        <v>1</v>
      </c>
      <c r="H7048" s="26" t="str">
        <f>MID(Table132[[#This Row],[ÉTAT]],VALUE(RIGHT(Table132[[#This Row],[next move]],1))+1+VALUE(LEFT(Table132[[#This Row],[next move]],1))*3,1)</f>
        <v>V</v>
      </c>
      <c r="I7048" s="26" t="str">
        <f>Table132[[#This Row],[ÉTAT]]&amp;Table132[[#This Row],[next move]]</f>
        <v>MMVMEEVEE02</v>
      </c>
    </row>
    <row r="7049" spans="2:9" x14ac:dyDescent="0.25">
      <c r="B7049" t="s">
        <v>3199</v>
      </c>
      <c r="C7049" s="22" t="s">
        <v>35</v>
      </c>
      <c r="D7049">
        <v>1</v>
      </c>
      <c r="G7049" s="30">
        <f>Table132[[#This Row],[nb win]]/Table132[[#This Row],[nb play]]</f>
        <v>0</v>
      </c>
      <c r="H7049" s="26" t="str">
        <f>MID(Table132[[#This Row],[ÉTAT]],VALUE(RIGHT(Table132[[#This Row],[next move]],1))+1+VALUE(LEFT(Table132[[#This Row],[next move]],1))*3,1)</f>
        <v>V</v>
      </c>
      <c r="I7049" s="26" t="str">
        <f>Table132[[#This Row],[ÉTAT]]&amp;Table132[[#This Row],[next move]]</f>
        <v>VMEVVEVVV20</v>
      </c>
    </row>
    <row r="7050" spans="2:9" x14ac:dyDescent="0.25">
      <c r="B7050" t="s">
        <v>2249</v>
      </c>
      <c r="C7050" s="22" t="s">
        <v>31</v>
      </c>
      <c r="D7050">
        <v>1</v>
      </c>
      <c r="E7050">
        <v>1</v>
      </c>
      <c r="G7050" s="31">
        <f>Table132[[#This Row],[nb win]]/Table132[[#This Row],[nb play]]</f>
        <v>1</v>
      </c>
      <c r="H7050" s="26" t="str">
        <f>MID(Table132[[#This Row],[ÉTAT]],VALUE(RIGHT(Table132[[#This Row],[next move]],1))+1+VALUE(LEFT(Table132[[#This Row],[next move]],1))*3,1)</f>
        <v>V</v>
      </c>
      <c r="I7050" s="26" t="str">
        <f>Table132[[#This Row],[ÉTAT]]&amp;Table132[[#This Row],[next move]]</f>
        <v>VEMVVMEVV22</v>
      </c>
    </row>
    <row r="7051" spans="2:9" x14ac:dyDescent="0.25">
      <c r="B7051" t="s">
        <v>2584</v>
      </c>
      <c r="C7051" s="22" t="s">
        <v>30</v>
      </c>
      <c r="D7051">
        <v>1</v>
      </c>
      <c r="E7051">
        <v>1</v>
      </c>
      <c r="G7051" s="31">
        <f>Table132[[#This Row],[nb win]]/Table132[[#This Row],[nb play]]</f>
        <v>1</v>
      </c>
      <c r="H7051" s="26" t="str">
        <f>MID(Table132[[#This Row],[ÉTAT]],VALUE(RIGHT(Table132[[#This Row],[next move]],1))+1+VALUE(LEFT(Table132[[#This Row],[next move]],1))*3,1)</f>
        <v>V</v>
      </c>
      <c r="I7051" s="26" t="str">
        <f>Table132[[#This Row],[ÉTAT]]&amp;Table132[[#This Row],[next move]]</f>
        <v>VVMVMVVEE10</v>
      </c>
    </row>
    <row r="7052" spans="2:9" x14ac:dyDescent="0.25">
      <c r="B7052" t="s">
        <v>1426</v>
      </c>
      <c r="C7052" s="22" t="s">
        <v>24</v>
      </c>
      <c r="D7052">
        <v>1</v>
      </c>
      <c r="G7052" s="30">
        <f>Table132[[#This Row],[nb win]]/Table132[[#This Row],[nb play]]</f>
        <v>0</v>
      </c>
      <c r="H7052" s="26" t="str">
        <f>MID(Table132[[#This Row],[ÉTAT]],VALUE(RIGHT(Table132[[#This Row],[next move]],1))+1+VALUE(LEFT(Table132[[#This Row],[next move]],1))*3,1)</f>
        <v>V</v>
      </c>
      <c r="I7052" s="26" t="str">
        <f>Table132[[#This Row],[ÉTAT]]&amp;Table132[[#This Row],[next move]]</f>
        <v>VVEEEVVMM00</v>
      </c>
    </row>
    <row r="7053" spans="2:9" x14ac:dyDescent="0.25">
      <c r="B7053" t="s">
        <v>1758</v>
      </c>
      <c r="C7053" s="22" t="s">
        <v>35</v>
      </c>
      <c r="D7053">
        <v>1</v>
      </c>
      <c r="E7053">
        <v>1</v>
      </c>
      <c r="G7053" s="31">
        <f>Table132[[#This Row],[nb win]]/Table132[[#This Row],[nb play]]</f>
        <v>1</v>
      </c>
      <c r="H7053" s="26" t="str">
        <f>MID(Table132[[#This Row],[ÉTAT]],VALUE(RIGHT(Table132[[#This Row],[next move]],1))+1+VALUE(LEFT(Table132[[#This Row],[next move]],1))*3,1)</f>
        <v>V</v>
      </c>
      <c r="I7053" s="26" t="str">
        <f>Table132[[#This Row],[ÉTAT]]&amp;Table132[[#This Row],[next move]]</f>
        <v>EVMMMVVEE20</v>
      </c>
    </row>
    <row r="7054" spans="2:9" x14ac:dyDescent="0.25">
      <c r="B7054" t="s">
        <v>3615</v>
      </c>
      <c r="C7054" s="22" t="s">
        <v>31</v>
      </c>
      <c r="D7054">
        <v>1</v>
      </c>
      <c r="G7054" s="30">
        <f>Table132[[#This Row],[nb win]]/Table132[[#This Row],[nb play]]</f>
        <v>0</v>
      </c>
      <c r="H7054" s="26" t="str">
        <f>MID(Table132[[#This Row],[ÉTAT]],VALUE(RIGHT(Table132[[#This Row],[next move]],1))+1+VALUE(LEFT(Table132[[#This Row],[next move]],1))*3,1)</f>
        <v>V</v>
      </c>
      <c r="I7054" s="26" t="str">
        <f>Table132[[#This Row],[ÉTAT]]&amp;Table132[[#This Row],[next move]]</f>
        <v>MVVVVEEVV22</v>
      </c>
    </row>
    <row r="7055" spans="2:9" x14ac:dyDescent="0.25">
      <c r="B7055" t="s">
        <v>593</v>
      </c>
      <c r="C7055" s="22" t="s">
        <v>20</v>
      </c>
      <c r="D7055">
        <v>1</v>
      </c>
      <c r="E7055">
        <v>1</v>
      </c>
      <c r="G7055" s="31">
        <f>Table132[[#This Row],[nb win]]/Table132[[#This Row],[nb play]]</f>
        <v>1</v>
      </c>
      <c r="H7055" s="26" t="str">
        <f>MID(Table132[[#This Row],[ÉTAT]],VALUE(RIGHT(Table132[[#This Row],[next move]],1))+1+VALUE(LEFT(Table132[[#This Row],[next move]],1))*3,1)</f>
        <v>V</v>
      </c>
      <c r="I7055" s="26" t="str">
        <f>Table132[[#This Row],[ÉTAT]]&amp;Table132[[#This Row],[next move]]</f>
        <v>EVVVVMMVE02</v>
      </c>
    </row>
    <row r="7056" spans="2:9" x14ac:dyDescent="0.25">
      <c r="B7056" t="s">
        <v>3622</v>
      </c>
      <c r="C7056" s="22" t="s">
        <v>26</v>
      </c>
      <c r="D7056">
        <v>1</v>
      </c>
      <c r="G7056" s="30">
        <f>Table132[[#This Row],[nb win]]/Table132[[#This Row],[nb play]]</f>
        <v>0</v>
      </c>
      <c r="H7056" s="26" t="str">
        <f>MID(Table132[[#This Row],[ÉTAT]],VALUE(RIGHT(Table132[[#This Row],[next move]],1))+1+VALUE(LEFT(Table132[[#This Row],[next move]],1))*3,1)</f>
        <v>V</v>
      </c>
      <c r="I7056" s="26" t="str">
        <f>Table132[[#This Row],[ÉTAT]]&amp;Table132[[#This Row],[next move]]</f>
        <v>MVEVVEEVM01</v>
      </c>
    </row>
    <row r="7057" spans="2:9" x14ac:dyDescent="0.25">
      <c r="B7057" t="s">
        <v>3623</v>
      </c>
      <c r="C7057" s="22" t="s">
        <v>29</v>
      </c>
      <c r="D7057">
        <v>1</v>
      </c>
      <c r="E7057">
        <v>1</v>
      </c>
      <c r="G7057" s="31">
        <f>Table132[[#This Row],[nb win]]/Table132[[#This Row],[nb play]]</f>
        <v>1</v>
      </c>
      <c r="H7057" s="26" t="str">
        <f>MID(Table132[[#This Row],[ÉTAT]],VALUE(RIGHT(Table132[[#This Row],[next move]],1))+1+VALUE(LEFT(Table132[[#This Row],[next move]],1))*3,1)</f>
        <v>V</v>
      </c>
      <c r="I7057" s="26" t="str">
        <f>Table132[[#This Row],[ÉTAT]]&amp;Table132[[#This Row],[next move]]</f>
        <v>EEMVVMMVE11</v>
      </c>
    </row>
    <row r="7058" spans="2:9" x14ac:dyDescent="0.25">
      <c r="B7058" t="s">
        <v>2985</v>
      </c>
      <c r="C7058" s="22" t="s">
        <v>29</v>
      </c>
      <c r="D7058">
        <v>1</v>
      </c>
      <c r="E7058">
        <v>1</v>
      </c>
      <c r="G7058" s="31">
        <f>Table132[[#This Row],[nb win]]/Table132[[#This Row],[nb play]]</f>
        <v>1</v>
      </c>
      <c r="H7058" s="26" t="str">
        <f>MID(Table132[[#This Row],[ÉTAT]],VALUE(RIGHT(Table132[[#This Row],[next move]],1))+1+VALUE(LEFT(Table132[[#This Row],[next move]],1))*3,1)</f>
        <v>V</v>
      </c>
      <c r="I7058" s="26" t="str">
        <f>Table132[[#This Row],[ÉTAT]]&amp;Table132[[#This Row],[next move]]</f>
        <v>MVEMVVVEV11</v>
      </c>
    </row>
    <row r="7059" spans="2:9" x14ac:dyDescent="0.25">
      <c r="B7059" t="s">
        <v>3625</v>
      </c>
      <c r="C7059" s="22" t="s">
        <v>26</v>
      </c>
      <c r="D7059">
        <v>1</v>
      </c>
      <c r="G7059" s="30">
        <f>Table132[[#This Row],[nb win]]/Table132[[#This Row],[nb play]]</f>
        <v>0</v>
      </c>
      <c r="H7059" s="26" t="str">
        <f>MID(Table132[[#This Row],[ÉTAT]],VALUE(RIGHT(Table132[[#This Row],[next move]],1))+1+VALUE(LEFT(Table132[[#This Row],[next move]],1))*3,1)</f>
        <v>V</v>
      </c>
      <c r="I7059" s="26" t="str">
        <f>Table132[[#This Row],[ÉTAT]]&amp;Table132[[#This Row],[next move]]</f>
        <v>EVMEEVVMV01</v>
      </c>
    </row>
    <row r="7060" spans="2:9" x14ac:dyDescent="0.25">
      <c r="B7060" t="s">
        <v>1980</v>
      </c>
      <c r="C7060" s="22" t="s">
        <v>31</v>
      </c>
      <c r="D7060">
        <v>1</v>
      </c>
      <c r="E7060">
        <v>1</v>
      </c>
      <c r="G7060" s="31">
        <f>Table132[[#This Row],[nb win]]/Table132[[#This Row],[nb play]]</f>
        <v>1</v>
      </c>
      <c r="H7060" s="26" t="str">
        <f>MID(Table132[[#This Row],[ÉTAT]],VALUE(RIGHT(Table132[[#This Row],[next move]],1))+1+VALUE(LEFT(Table132[[#This Row],[next move]],1))*3,1)</f>
        <v>V</v>
      </c>
      <c r="I7060" s="26" t="str">
        <f>Table132[[#This Row],[ÉTAT]]&amp;Table132[[#This Row],[next move]]</f>
        <v>MEEMMVVEV22</v>
      </c>
    </row>
    <row r="7061" spans="2:9" x14ac:dyDescent="0.25">
      <c r="B7061" t="s">
        <v>199</v>
      </c>
      <c r="C7061" s="22" t="s">
        <v>31</v>
      </c>
      <c r="D7061">
        <v>4</v>
      </c>
      <c r="E7061">
        <v>4</v>
      </c>
      <c r="G7061" s="31">
        <f>Table132[[#This Row],[nb win]]/Table132[[#This Row],[nb play]]</f>
        <v>1</v>
      </c>
      <c r="H7061" s="26" t="str">
        <f>MID(Table132[[#This Row],[ÉTAT]],VALUE(RIGHT(Table132[[#This Row],[next move]],1))+1+VALUE(LEFT(Table132[[#This Row],[next move]],1))*3,1)</f>
        <v>V</v>
      </c>
      <c r="I7061" s="26" t="str">
        <f>Table132[[#This Row],[ÉTAT]]&amp;Table132[[#This Row],[next move]]</f>
        <v>MVVVVVEVV22</v>
      </c>
    </row>
    <row r="7062" spans="2:9" x14ac:dyDescent="0.25">
      <c r="B7062" t="s">
        <v>3559</v>
      </c>
      <c r="C7062" s="22" t="s">
        <v>29</v>
      </c>
      <c r="D7062">
        <v>1</v>
      </c>
      <c r="G7062" s="30">
        <f>Table132[[#This Row],[nb win]]/Table132[[#This Row],[nb play]]</f>
        <v>0</v>
      </c>
      <c r="H7062" s="26" t="str">
        <f>MID(Table132[[#This Row],[ÉTAT]],VALUE(RIGHT(Table132[[#This Row],[next move]],1))+1+VALUE(LEFT(Table132[[#This Row],[next move]],1))*3,1)</f>
        <v>V</v>
      </c>
      <c r="I7062" s="26" t="str">
        <f>Table132[[#This Row],[ÉTAT]]&amp;Table132[[#This Row],[next move]]</f>
        <v>EVVVVVMVE11</v>
      </c>
    </row>
    <row r="7063" spans="2:9" x14ac:dyDescent="0.25">
      <c r="B7063" t="s">
        <v>2003</v>
      </c>
      <c r="C7063" s="22" t="s">
        <v>26</v>
      </c>
      <c r="D7063">
        <v>2</v>
      </c>
      <c r="E7063">
        <v>1</v>
      </c>
      <c r="G7063" s="30">
        <f>Table132[[#This Row],[nb win]]/Table132[[#This Row],[nb play]]</f>
        <v>0.5</v>
      </c>
      <c r="H7063" s="26" t="str">
        <f>MID(Table132[[#This Row],[ÉTAT]],VALUE(RIGHT(Table132[[#This Row],[next move]],1))+1+VALUE(LEFT(Table132[[#This Row],[next move]],1))*3,1)</f>
        <v>V</v>
      </c>
      <c r="I7063" s="26" t="str">
        <f>Table132[[#This Row],[ÉTAT]]&amp;Table132[[#This Row],[next move]]</f>
        <v>MVVVEVEVM01</v>
      </c>
    </row>
    <row r="7064" spans="2:9" x14ac:dyDescent="0.25">
      <c r="B7064" t="s">
        <v>3626</v>
      </c>
      <c r="C7064" s="22" t="s">
        <v>22</v>
      </c>
      <c r="D7064">
        <v>1</v>
      </c>
      <c r="G7064" s="30">
        <f>Table132[[#This Row],[nb win]]/Table132[[#This Row],[nb play]]</f>
        <v>0</v>
      </c>
      <c r="H7064" s="26" t="str">
        <f>MID(Table132[[#This Row],[ÉTAT]],VALUE(RIGHT(Table132[[#This Row],[next move]],1))+1+VALUE(LEFT(Table132[[#This Row],[next move]],1))*3,1)</f>
        <v>V</v>
      </c>
      <c r="I7064" s="26" t="str">
        <f>Table132[[#This Row],[ÉTAT]]&amp;Table132[[#This Row],[next move]]</f>
        <v>EEVVMVMVE21</v>
      </c>
    </row>
    <row r="7065" spans="2:9" x14ac:dyDescent="0.25">
      <c r="B7065" t="s">
        <v>2498</v>
      </c>
      <c r="C7065" s="22" t="s">
        <v>20</v>
      </c>
      <c r="D7065">
        <v>2</v>
      </c>
      <c r="E7065">
        <v>2</v>
      </c>
      <c r="G7065" s="31">
        <f>Table132[[#This Row],[nb win]]/Table132[[#This Row],[nb play]]</f>
        <v>1</v>
      </c>
      <c r="H7065" s="26" t="str">
        <f>MID(Table132[[#This Row],[ÉTAT]],VALUE(RIGHT(Table132[[#This Row],[next move]],1))+1+VALUE(LEFT(Table132[[#This Row],[next move]],1))*3,1)</f>
        <v>V</v>
      </c>
      <c r="I7065" s="26" t="str">
        <f>Table132[[#This Row],[ÉTAT]]&amp;Table132[[#This Row],[next move]]</f>
        <v>MMVVEVEEM02</v>
      </c>
    </row>
    <row r="7066" spans="2:9" x14ac:dyDescent="0.25">
      <c r="B7066" t="s">
        <v>1802</v>
      </c>
      <c r="C7066" s="22" t="s">
        <v>22</v>
      </c>
      <c r="D7066">
        <v>3</v>
      </c>
      <c r="E7066">
        <v>2</v>
      </c>
      <c r="G7066" s="30">
        <f>Table132[[#This Row],[nb win]]/Table132[[#This Row],[nb play]]</f>
        <v>0.66666666666666663</v>
      </c>
      <c r="H7066" s="26" t="str">
        <f>MID(Table132[[#This Row],[ÉTAT]],VALUE(RIGHT(Table132[[#This Row],[next move]],1))+1+VALUE(LEFT(Table132[[#This Row],[next move]],1))*3,1)</f>
        <v>V</v>
      </c>
      <c r="I7066" s="26" t="str">
        <f>Table132[[#This Row],[ÉTAT]]&amp;Table132[[#This Row],[next move]]</f>
        <v>EMEVVVVVM21</v>
      </c>
    </row>
    <row r="7067" spans="2:9" x14ac:dyDescent="0.25">
      <c r="B7067" t="s">
        <v>3627</v>
      </c>
      <c r="C7067" s="22" t="s">
        <v>30</v>
      </c>
      <c r="D7067">
        <v>1</v>
      </c>
      <c r="G7067" s="30">
        <f>Table132[[#This Row],[nb win]]/Table132[[#This Row],[nb play]]</f>
        <v>0</v>
      </c>
      <c r="H7067" s="26" t="str">
        <f>MID(Table132[[#This Row],[ÉTAT]],VALUE(RIGHT(Table132[[#This Row],[next move]],1))+1+VALUE(LEFT(Table132[[#This Row],[next move]],1))*3,1)</f>
        <v>V</v>
      </c>
      <c r="I7067" s="26" t="str">
        <f>Table132[[#This Row],[ÉTAT]]&amp;Table132[[#This Row],[next move]]</f>
        <v>MEMVVVVEE10</v>
      </c>
    </row>
    <row r="7068" spans="2:9" x14ac:dyDescent="0.25">
      <c r="B7068" t="s">
        <v>3628</v>
      </c>
      <c r="C7068" s="22" t="s">
        <v>35</v>
      </c>
      <c r="D7068">
        <v>1</v>
      </c>
      <c r="E7068">
        <v>1</v>
      </c>
      <c r="G7068" s="31">
        <f>Table132[[#This Row],[nb win]]/Table132[[#This Row],[nb play]]</f>
        <v>1</v>
      </c>
      <c r="H7068" s="26" t="str">
        <f>MID(Table132[[#This Row],[ÉTAT]],VALUE(RIGHT(Table132[[#This Row],[next move]],1))+1+VALUE(LEFT(Table132[[#This Row],[next move]],1))*3,1)</f>
        <v>V</v>
      </c>
      <c r="I7068" s="26" t="str">
        <f>Table132[[#This Row],[ÉTAT]]&amp;Table132[[#This Row],[next move]]</f>
        <v>EMEEVVVMM20</v>
      </c>
    </row>
    <row r="7069" spans="2:9" x14ac:dyDescent="0.25">
      <c r="B7069" t="s">
        <v>2308</v>
      </c>
      <c r="C7069" s="22" t="s">
        <v>26</v>
      </c>
      <c r="D7069">
        <v>1</v>
      </c>
      <c r="G7069" s="30">
        <f>Table132[[#This Row],[nb win]]/Table132[[#This Row],[nb play]]</f>
        <v>0</v>
      </c>
      <c r="H7069" s="26" t="str">
        <f>MID(Table132[[#This Row],[ÉTAT]],VALUE(RIGHT(Table132[[#This Row],[next move]],1))+1+VALUE(LEFT(Table132[[#This Row],[next move]],1))*3,1)</f>
        <v>V</v>
      </c>
      <c r="I7069" s="26" t="str">
        <f>Table132[[#This Row],[ÉTAT]]&amp;Table132[[#This Row],[next move]]</f>
        <v>VVVVEVEMM01</v>
      </c>
    </row>
    <row r="7070" spans="2:9" x14ac:dyDescent="0.25">
      <c r="B7070" t="s">
        <v>1246</v>
      </c>
      <c r="C7070" s="22" t="s">
        <v>28</v>
      </c>
      <c r="D7070">
        <v>1</v>
      </c>
      <c r="E7070">
        <v>1</v>
      </c>
      <c r="G7070" s="31">
        <f>Table132[[#This Row],[nb win]]/Table132[[#This Row],[nb play]]</f>
        <v>1</v>
      </c>
      <c r="H7070" s="26" t="str">
        <f>MID(Table132[[#This Row],[ÉTAT]],VALUE(RIGHT(Table132[[#This Row],[next move]],1))+1+VALUE(LEFT(Table132[[#This Row],[next move]],1))*3,1)</f>
        <v>V</v>
      </c>
      <c r="I7070" s="26" t="str">
        <f>Table132[[#This Row],[ÉTAT]]&amp;Table132[[#This Row],[next move]]</f>
        <v>VEVVMVMEE12</v>
      </c>
    </row>
    <row r="7071" spans="2:9" x14ac:dyDescent="0.25">
      <c r="B7071" t="s">
        <v>2072</v>
      </c>
      <c r="C7071" s="22" t="s">
        <v>30</v>
      </c>
      <c r="D7071">
        <v>1</v>
      </c>
      <c r="E7071">
        <v>1</v>
      </c>
      <c r="G7071" s="31">
        <f>Table132[[#This Row],[nb win]]/Table132[[#This Row],[nb play]]</f>
        <v>1</v>
      </c>
      <c r="H7071" s="26" t="str">
        <f>MID(Table132[[#This Row],[ÉTAT]],VALUE(RIGHT(Table132[[#This Row],[next move]],1))+1+VALUE(LEFT(Table132[[#This Row],[next move]],1))*3,1)</f>
        <v>V</v>
      </c>
      <c r="I7071" s="26" t="str">
        <f>Table132[[#This Row],[ÉTAT]]&amp;Table132[[#This Row],[next move]]</f>
        <v>EEVVMMMEE10</v>
      </c>
    </row>
    <row r="7072" spans="2:9" x14ac:dyDescent="0.25">
      <c r="B7072" t="s">
        <v>1347</v>
      </c>
      <c r="C7072" s="22" t="s">
        <v>28</v>
      </c>
      <c r="D7072">
        <v>1</v>
      </c>
      <c r="G7072" s="30">
        <f>Table132[[#This Row],[nb win]]/Table132[[#This Row],[nb play]]</f>
        <v>0</v>
      </c>
      <c r="H7072" s="26" t="str">
        <f>MID(Table132[[#This Row],[ÉTAT]],VALUE(RIGHT(Table132[[#This Row],[next move]],1))+1+VALUE(LEFT(Table132[[#This Row],[next move]],1))*3,1)</f>
        <v>V</v>
      </c>
      <c r="I7072" s="26" t="str">
        <f>Table132[[#This Row],[ÉTAT]]&amp;Table132[[#This Row],[next move]]</f>
        <v>VVEVMVEVV12</v>
      </c>
    </row>
    <row r="7073" spans="2:9" x14ac:dyDescent="0.25">
      <c r="B7073" t="s">
        <v>3629</v>
      </c>
      <c r="C7073" s="22" t="s">
        <v>30</v>
      </c>
      <c r="D7073">
        <v>1</v>
      </c>
      <c r="E7073">
        <v>1</v>
      </c>
      <c r="G7073" s="31">
        <f>Table132[[#This Row],[nb win]]/Table132[[#This Row],[nb play]]</f>
        <v>1</v>
      </c>
      <c r="H7073" s="26" t="str">
        <f>MID(Table132[[#This Row],[ÉTAT]],VALUE(RIGHT(Table132[[#This Row],[next move]],1))+1+VALUE(LEFT(Table132[[#This Row],[next move]],1))*3,1)</f>
        <v>V</v>
      </c>
      <c r="I7073" s="26" t="str">
        <f>Table132[[#This Row],[ÉTAT]]&amp;Table132[[#This Row],[next move]]</f>
        <v>VVMVEEMVV10</v>
      </c>
    </row>
    <row r="7074" spans="2:9" x14ac:dyDescent="0.25">
      <c r="B7074" t="s">
        <v>3630</v>
      </c>
      <c r="C7074" s="22" t="s">
        <v>24</v>
      </c>
      <c r="D7074">
        <v>1</v>
      </c>
      <c r="G7074" s="30">
        <f>Table132[[#This Row],[nb win]]/Table132[[#This Row],[nb play]]</f>
        <v>0</v>
      </c>
      <c r="H7074" s="26" t="str">
        <f>MID(Table132[[#This Row],[ÉTAT]],VALUE(RIGHT(Table132[[#This Row],[next move]],1))+1+VALUE(LEFT(Table132[[#This Row],[next move]],1))*3,1)</f>
        <v>V</v>
      </c>
      <c r="I7074" s="26" t="str">
        <f>Table132[[#This Row],[ÉTAT]]&amp;Table132[[#This Row],[next move]]</f>
        <v>VVEEMMEVV00</v>
      </c>
    </row>
    <row r="7075" spans="2:9" x14ac:dyDescent="0.25">
      <c r="B7075" t="s">
        <v>2735</v>
      </c>
      <c r="C7075" s="22" t="s">
        <v>22</v>
      </c>
      <c r="D7075">
        <v>1</v>
      </c>
      <c r="E7075">
        <v>1</v>
      </c>
      <c r="G7075" s="31">
        <f>Table132[[#This Row],[nb win]]/Table132[[#This Row],[nb play]]</f>
        <v>1</v>
      </c>
      <c r="H7075" s="26" t="str">
        <f>MID(Table132[[#This Row],[ÉTAT]],VALUE(RIGHT(Table132[[#This Row],[next move]],1))+1+VALUE(LEFT(Table132[[#This Row],[next move]],1))*3,1)</f>
        <v>V</v>
      </c>
      <c r="I7075" s="26" t="str">
        <f>Table132[[#This Row],[ÉTAT]]&amp;Table132[[#This Row],[next move]]</f>
        <v>EVMMEEMVV21</v>
      </c>
    </row>
    <row r="7076" spans="2:9" x14ac:dyDescent="0.25">
      <c r="B7076" t="s">
        <v>3631</v>
      </c>
      <c r="C7076" s="22" t="s">
        <v>26</v>
      </c>
      <c r="D7076">
        <v>1</v>
      </c>
      <c r="G7076" s="30">
        <f>Table132[[#This Row],[nb win]]/Table132[[#This Row],[nb play]]</f>
        <v>0</v>
      </c>
      <c r="H7076" s="26" t="str">
        <f>MID(Table132[[#This Row],[ÉTAT]],VALUE(RIGHT(Table132[[#This Row],[next move]],1))+1+VALUE(LEFT(Table132[[#This Row],[next move]],1))*3,1)</f>
        <v>V</v>
      </c>
      <c r="I7076" s="26" t="str">
        <f>Table132[[#This Row],[ÉTAT]]&amp;Table132[[#This Row],[next move]]</f>
        <v>MVEEMMEEV01</v>
      </c>
    </row>
    <row r="7077" spans="2:9" x14ac:dyDescent="0.25">
      <c r="B7077" t="s">
        <v>382</v>
      </c>
      <c r="C7077" s="22" t="s">
        <v>29</v>
      </c>
      <c r="D7077">
        <v>1</v>
      </c>
      <c r="E7077">
        <v>1</v>
      </c>
      <c r="G7077" s="31">
        <f>Table132[[#This Row],[nb win]]/Table132[[#This Row],[nb play]]</f>
        <v>1</v>
      </c>
      <c r="H7077" s="26" t="str">
        <f>MID(Table132[[#This Row],[ÉTAT]],VALUE(RIGHT(Table132[[#This Row],[next move]],1))+1+VALUE(LEFT(Table132[[#This Row],[next move]],1))*3,1)</f>
        <v>V</v>
      </c>
      <c r="I7077" s="26" t="str">
        <f>Table132[[#This Row],[ÉTAT]]&amp;Table132[[#This Row],[next move]]</f>
        <v>VEVVVVEVM11</v>
      </c>
    </row>
    <row r="7078" spans="2:9" x14ac:dyDescent="0.25">
      <c r="B7078" t="s">
        <v>1358</v>
      </c>
      <c r="C7078" s="22" t="s">
        <v>28</v>
      </c>
      <c r="D7078">
        <v>1</v>
      </c>
      <c r="E7078">
        <v>1</v>
      </c>
      <c r="G7078" s="31">
        <f>Table132[[#This Row],[nb win]]/Table132[[#This Row],[nb play]]</f>
        <v>1</v>
      </c>
      <c r="H7078" s="26" t="str">
        <f>MID(Table132[[#This Row],[ÉTAT]],VALUE(RIGHT(Table132[[#This Row],[next move]],1))+1+VALUE(LEFT(Table132[[#This Row],[next move]],1))*3,1)</f>
        <v>V</v>
      </c>
      <c r="I7078" s="26" t="str">
        <f>Table132[[#This Row],[ÉTAT]]&amp;Table132[[#This Row],[next move]]</f>
        <v>VEVVMVEEM12</v>
      </c>
    </row>
    <row r="7079" spans="2:9" x14ac:dyDescent="0.25">
      <c r="B7079" t="s">
        <v>1638</v>
      </c>
      <c r="C7079" s="22" t="s">
        <v>30</v>
      </c>
      <c r="D7079">
        <v>1</v>
      </c>
      <c r="G7079" s="30">
        <f>Table132[[#This Row],[nb win]]/Table132[[#This Row],[nb play]]</f>
        <v>0</v>
      </c>
      <c r="H7079" s="26" t="str">
        <f>MID(Table132[[#This Row],[ÉTAT]],VALUE(RIGHT(Table132[[#This Row],[next move]],1))+1+VALUE(LEFT(Table132[[#This Row],[next move]],1))*3,1)</f>
        <v>V</v>
      </c>
      <c r="I7079" s="26" t="str">
        <f>Table132[[#This Row],[ÉTAT]]&amp;Table132[[#This Row],[next move]]</f>
        <v>VMVVEEMME10</v>
      </c>
    </row>
    <row r="7080" spans="2:9" x14ac:dyDescent="0.25">
      <c r="B7080" t="s">
        <v>2462</v>
      </c>
      <c r="C7080" s="22" t="s">
        <v>24</v>
      </c>
      <c r="D7080">
        <v>1</v>
      </c>
      <c r="E7080">
        <v>1</v>
      </c>
      <c r="G7080" s="31">
        <f>Table132[[#This Row],[nb win]]/Table132[[#This Row],[nb play]]</f>
        <v>1</v>
      </c>
      <c r="H7080" s="26" t="str">
        <f>MID(Table132[[#This Row],[ÉTAT]],VALUE(RIGHT(Table132[[#This Row],[next move]],1))+1+VALUE(LEFT(Table132[[#This Row],[next move]],1))*3,1)</f>
        <v>V</v>
      </c>
      <c r="I7080" s="26" t="str">
        <f>Table132[[#This Row],[ÉTAT]]&amp;Table132[[#This Row],[next move]]</f>
        <v>VEVEMMEEM00</v>
      </c>
    </row>
    <row r="7081" spans="2:9" x14ac:dyDescent="0.25">
      <c r="B7081" t="s">
        <v>588</v>
      </c>
      <c r="C7081" s="22" t="s">
        <v>31</v>
      </c>
      <c r="D7081">
        <v>1</v>
      </c>
      <c r="E7081">
        <v>1</v>
      </c>
      <c r="G7081" s="31">
        <f>Table132[[#This Row],[nb win]]/Table132[[#This Row],[nb play]]</f>
        <v>1</v>
      </c>
      <c r="H7081" s="26" t="str">
        <f>MID(Table132[[#This Row],[ÉTAT]],VALUE(RIGHT(Table132[[#This Row],[next move]],1))+1+VALUE(LEFT(Table132[[#This Row],[next move]],1))*3,1)</f>
        <v>V</v>
      </c>
      <c r="I7081" s="26" t="str">
        <f>Table132[[#This Row],[ÉTAT]]&amp;Table132[[#This Row],[next move]]</f>
        <v>MEEMVVVVV22</v>
      </c>
    </row>
    <row r="7082" spans="2:9" x14ac:dyDescent="0.25">
      <c r="B7082" t="s">
        <v>3439</v>
      </c>
      <c r="C7082" s="22" t="s">
        <v>28</v>
      </c>
      <c r="D7082">
        <v>1</v>
      </c>
      <c r="G7082" s="30">
        <f>Table132[[#This Row],[nb win]]/Table132[[#This Row],[nb play]]</f>
        <v>0</v>
      </c>
      <c r="H7082" s="26" t="str">
        <f>MID(Table132[[#This Row],[ÉTAT]],VALUE(RIGHT(Table132[[#This Row],[next move]],1))+1+VALUE(LEFT(Table132[[#This Row],[next move]],1))*3,1)</f>
        <v>V</v>
      </c>
      <c r="I7082" s="26" t="str">
        <f>Table132[[#This Row],[ÉTAT]]&amp;Table132[[#This Row],[next move]]</f>
        <v>EMMEVVVVE12</v>
      </c>
    </row>
    <row r="7083" spans="2:9" x14ac:dyDescent="0.25">
      <c r="B7083" t="s">
        <v>3420</v>
      </c>
      <c r="C7083" s="22" t="s">
        <v>22</v>
      </c>
      <c r="D7083">
        <v>1</v>
      </c>
      <c r="E7083">
        <v>1</v>
      </c>
      <c r="G7083" s="31">
        <f>Table132[[#This Row],[nb win]]/Table132[[#This Row],[nb play]]</f>
        <v>1</v>
      </c>
      <c r="H7083" s="26" t="str">
        <f>MID(Table132[[#This Row],[ÉTAT]],VALUE(RIGHT(Table132[[#This Row],[next move]],1))+1+VALUE(LEFT(Table132[[#This Row],[next move]],1))*3,1)</f>
        <v>V</v>
      </c>
      <c r="I7083" s="26" t="str">
        <f>Table132[[#This Row],[ÉTAT]]&amp;Table132[[#This Row],[next move]]</f>
        <v>MEEMVEVVM21</v>
      </c>
    </row>
    <row r="7084" spans="2:9" x14ac:dyDescent="0.25">
      <c r="B7084" t="s">
        <v>1869</v>
      </c>
      <c r="C7084" s="22" t="s">
        <v>31</v>
      </c>
      <c r="D7084">
        <v>1</v>
      </c>
      <c r="E7084">
        <v>1</v>
      </c>
      <c r="G7084" s="31">
        <f>Table132[[#This Row],[nb win]]/Table132[[#This Row],[nb play]]</f>
        <v>1</v>
      </c>
      <c r="H7084" s="26" t="str">
        <f>MID(Table132[[#This Row],[ÉTAT]],VALUE(RIGHT(Table132[[#This Row],[next move]],1))+1+VALUE(LEFT(Table132[[#This Row],[next move]],1))*3,1)</f>
        <v>V</v>
      </c>
      <c r="I7084" s="26" t="str">
        <f>Table132[[#This Row],[ÉTAT]]&amp;Table132[[#This Row],[next move]]</f>
        <v>EVVVVEMMV22</v>
      </c>
    </row>
    <row r="7085" spans="2:9" x14ac:dyDescent="0.25">
      <c r="B7085" t="s">
        <v>1864</v>
      </c>
      <c r="C7085" s="22" t="s">
        <v>30</v>
      </c>
      <c r="D7085">
        <v>2</v>
      </c>
      <c r="E7085">
        <v>2</v>
      </c>
      <c r="G7085" s="31">
        <f>Table132[[#This Row],[nb win]]/Table132[[#This Row],[nb play]]</f>
        <v>1</v>
      </c>
      <c r="H7085" s="26" t="str">
        <f>MID(Table132[[#This Row],[ÉTAT]],VALUE(RIGHT(Table132[[#This Row],[next move]],1))+1+VALUE(LEFT(Table132[[#This Row],[next move]],1))*3,1)</f>
        <v>V</v>
      </c>
      <c r="I7085" s="26" t="str">
        <f>Table132[[#This Row],[ÉTAT]]&amp;Table132[[#This Row],[next move]]</f>
        <v>VVMVEEVMV10</v>
      </c>
    </row>
    <row r="7086" spans="2:9" x14ac:dyDescent="0.25">
      <c r="B7086" t="s">
        <v>3632</v>
      </c>
      <c r="C7086" s="22" t="s">
        <v>26</v>
      </c>
      <c r="D7086">
        <v>1</v>
      </c>
      <c r="G7086" s="30">
        <f>Table132[[#This Row],[nb win]]/Table132[[#This Row],[nb play]]</f>
        <v>0</v>
      </c>
      <c r="H7086" s="26" t="str">
        <f>MID(Table132[[#This Row],[ÉTAT]],VALUE(RIGHT(Table132[[#This Row],[next move]],1))+1+VALUE(LEFT(Table132[[#This Row],[next move]],1))*3,1)</f>
        <v>V</v>
      </c>
      <c r="I7086" s="26" t="str">
        <f>Table132[[#This Row],[ÉTAT]]&amp;Table132[[#This Row],[next move]]</f>
        <v>VVEEMMVEV01</v>
      </c>
    </row>
    <row r="7087" spans="2:9" x14ac:dyDescent="0.25">
      <c r="B7087" t="s">
        <v>1785</v>
      </c>
      <c r="C7087" s="22" t="s">
        <v>35</v>
      </c>
      <c r="D7087">
        <v>1</v>
      </c>
      <c r="E7087">
        <v>1</v>
      </c>
      <c r="G7087" s="31">
        <f>Table132[[#This Row],[nb win]]/Table132[[#This Row],[nb play]]</f>
        <v>1</v>
      </c>
      <c r="H7087" s="26" t="str">
        <f>MID(Table132[[#This Row],[ÉTAT]],VALUE(RIGHT(Table132[[#This Row],[next move]],1))+1+VALUE(LEFT(Table132[[#This Row],[next move]],1))*3,1)</f>
        <v>V</v>
      </c>
      <c r="I7087" s="26" t="str">
        <f>Table132[[#This Row],[ÉTAT]]&amp;Table132[[#This Row],[next move]]</f>
        <v>VEMMEEVMV20</v>
      </c>
    </row>
    <row r="7088" spans="2:9" x14ac:dyDescent="0.25">
      <c r="B7088" t="s">
        <v>3451</v>
      </c>
      <c r="C7088" s="22" t="s">
        <v>20</v>
      </c>
      <c r="D7088">
        <v>1</v>
      </c>
      <c r="G7088" s="30">
        <f>Table132[[#This Row],[nb win]]/Table132[[#This Row],[nb play]]</f>
        <v>0</v>
      </c>
      <c r="H7088" s="26" t="str">
        <f>MID(Table132[[#This Row],[ÉTAT]],VALUE(RIGHT(Table132[[#This Row],[next move]],1))+1+VALUE(LEFT(Table132[[#This Row],[next move]],1))*3,1)</f>
        <v>V</v>
      </c>
      <c r="I7088" s="26" t="str">
        <f>Table132[[#This Row],[ÉTAT]]&amp;Table132[[#This Row],[next move]]</f>
        <v>VVVEVVMVE02</v>
      </c>
    </row>
    <row r="7089" spans="2:9" x14ac:dyDescent="0.25">
      <c r="B7089" t="s">
        <v>1124</v>
      </c>
      <c r="C7089" s="22" t="s">
        <v>29</v>
      </c>
      <c r="D7089">
        <v>1</v>
      </c>
      <c r="E7089">
        <v>1</v>
      </c>
      <c r="G7089" s="31">
        <f>Table132[[#This Row],[nb win]]/Table132[[#This Row],[nb play]]</f>
        <v>1</v>
      </c>
      <c r="H7089" s="26" t="str">
        <f>MID(Table132[[#This Row],[ÉTAT]],VALUE(RIGHT(Table132[[#This Row],[next move]],1))+1+VALUE(LEFT(Table132[[#This Row],[next move]],1))*3,1)</f>
        <v>V</v>
      </c>
      <c r="I7089" s="26" t="str">
        <f>Table132[[#This Row],[ÉTAT]]&amp;Table132[[#This Row],[next move]]</f>
        <v>VVEMVVEVM11</v>
      </c>
    </row>
    <row r="7090" spans="2:9" x14ac:dyDescent="0.25">
      <c r="B7090" t="s">
        <v>2847</v>
      </c>
      <c r="C7090" s="22" t="s">
        <v>22</v>
      </c>
      <c r="D7090">
        <v>1</v>
      </c>
      <c r="G7090" s="30">
        <f>Table132[[#This Row],[nb win]]/Table132[[#This Row],[nb play]]</f>
        <v>0</v>
      </c>
      <c r="H7090" s="26" t="str">
        <f>MID(Table132[[#This Row],[ÉTAT]],VALUE(RIGHT(Table132[[#This Row],[next move]],1))+1+VALUE(LEFT(Table132[[#This Row],[next move]],1))*3,1)</f>
        <v>V</v>
      </c>
      <c r="I7090" s="26" t="str">
        <f>Table132[[#This Row],[ÉTAT]]&amp;Table132[[#This Row],[next move]]</f>
        <v>VVMEEVMVE21</v>
      </c>
    </row>
    <row r="7091" spans="2:9" x14ac:dyDescent="0.25">
      <c r="B7091" t="s">
        <v>2731</v>
      </c>
      <c r="C7091" s="22" t="s">
        <v>26</v>
      </c>
      <c r="D7091">
        <v>1</v>
      </c>
      <c r="E7091">
        <v>1</v>
      </c>
      <c r="G7091" s="31">
        <f>Table132[[#This Row],[nb win]]/Table132[[#This Row],[nb play]]</f>
        <v>1</v>
      </c>
      <c r="H7091" s="26" t="str">
        <f>MID(Table132[[#This Row],[ÉTAT]],VALUE(RIGHT(Table132[[#This Row],[next move]],1))+1+VALUE(LEFT(Table132[[#This Row],[next move]],1))*3,1)</f>
        <v>V</v>
      </c>
      <c r="I7091" s="26" t="str">
        <f>Table132[[#This Row],[ÉTAT]]&amp;Table132[[#This Row],[next move]]</f>
        <v>VVEMMVEEM01</v>
      </c>
    </row>
    <row r="7092" spans="2:9" x14ac:dyDescent="0.25">
      <c r="B7092" t="s">
        <v>3633</v>
      </c>
      <c r="C7092" s="22" t="s">
        <v>28</v>
      </c>
      <c r="D7092">
        <v>1</v>
      </c>
      <c r="G7092" s="30">
        <f>Table132[[#This Row],[nb win]]/Table132[[#This Row],[nb play]]</f>
        <v>0</v>
      </c>
      <c r="H7092" s="26" t="str">
        <f>MID(Table132[[#This Row],[ÉTAT]],VALUE(RIGHT(Table132[[#This Row],[next move]],1))+1+VALUE(LEFT(Table132[[#This Row],[next move]],1))*3,1)</f>
        <v>V</v>
      </c>
      <c r="I7092" s="26" t="str">
        <f>Table132[[#This Row],[ÉTAT]]&amp;Table132[[#This Row],[next move]]</f>
        <v>VEMEEVMME12</v>
      </c>
    </row>
    <row r="7093" spans="2:9" x14ac:dyDescent="0.25">
      <c r="B7093" t="s">
        <v>127</v>
      </c>
      <c r="C7093" s="22" t="s">
        <v>24</v>
      </c>
      <c r="D7093">
        <v>3</v>
      </c>
      <c r="E7093">
        <v>3</v>
      </c>
      <c r="G7093" s="31">
        <f>Table132[[#This Row],[nb win]]/Table132[[#This Row],[nb play]]</f>
        <v>1</v>
      </c>
      <c r="H7093" s="26" t="str">
        <f>MID(Table132[[#This Row],[ÉTAT]],VALUE(RIGHT(Table132[[#This Row],[next move]],1))+1+VALUE(LEFT(Table132[[#This Row],[next move]],1))*3,1)</f>
        <v>V</v>
      </c>
      <c r="I7093" s="26" t="str">
        <f>Table132[[#This Row],[ÉTAT]]&amp;Table132[[#This Row],[next move]]</f>
        <v>VEVMVVVVV00</v>
      </c>
    </row>
    <row r="7094" spans="2:9" x14ac:dyDescent="0.25">
      <c r="B7094" t="s">
        <v>1029</v>
      </c>
      <c r="C7094" s="22" t="s">
        <v>35</v>
      </c>
      <c r="D7094">
        <v>1</v>
      </c>
      <c r="E7094">
        <v>1</v>
      </c>
      <c r="G7094" s="31">
        <f>Table132[[#This Row],[nb win]]/Table132[[#This Row],[nb play]]</f>
        <v>1</v>
      </c>
      <c r="H7094" s="26" t="str">
        <f>MID(Table132[[#This Row],[ÉTAT]],VALUE(RIGHT(Table132[[#This Row],[next move]],1))+1+VALUE(LEFT(Table132[[#This Row],[next move]],1))*3,1)</f>
        <v>V</v>
      </c>
      <c r="I7094" s="26" t="str">
        <f>Table132[[#This Row],[ÉTAT]]&amp;Table132[[#This Row],[next move]]</f>
        <v>MEVMVVVVE20</v>
      </c>
    </row>
    <row r="7095" spans="2:9" x14ac:dyDescent="0.25">
      <c r="B7095" t="s">
        <v>1442</v>
      </c>
      <c r="C7095" s="22" t="s">
        <v>20</v>
      </c>
      <c r="D7095">
        <v>1</v>
      </c>
      <c r="G7095" s="30">
        <f>Table132[[#This Row],[nb win]]/Table132[[#This Row],[nb play]]</f>
        <v>0</v>
      </c>
      <c r="H7095" s="26" t="str">
        <f>MID(Table132[[#This Row],[ÉTAT]],VALUE(RIGHT(Table132[[#This Row],[next move]],1))+1+VALUE(LEFT(Table132[[#This Row],[next move]],1))*3,1)</f>
        <v>V</v>
      </c>
      <c r="I7095" s="26" t="str">
        <f>Table132[[#This Row],[ÉTAT]]&amp;Table132[[#This Row],[next move]]</f>
        <v>VEVEMVVVV02</v>
      </c>
    </row>
    <row r="7096" spans="2:9" x14ac:dyDescent="0.25">
      <c r="B7096" t="s">
        <v>2129</v>
      </c>
      <c r="C7096" s="22" t="s">
        <v>31</v>
      </c>
      <c r="D7096">
        <v>2</v>
      </c>
      <c r="E7096">
        <v>1</v>
      </c>
      <c r="G7096" s="30">
        <f>Table132[[#This Row],[nb win]]/Table132[[#This Row],[nb play]]</f>
        <v>0.5</v>
      </c>
      <c r="H7096" s="26" t="str">
        <f>MID(Table132[[#This Row],[ÉTAT]],VALUE(RIGHT(Table132[[#This Row],[next move]],1))+1+VALUE(LEFT(Table132[[#This Row],[next move]],1))*3,1)</f>
        <v>V</v>
      </c>
      <c r="I7096" s="26" t="str">
        <f>Table132[[#This Row],[ÉTAT]]&amp;Table132[[#This Row],[next move]]</f>
        <v>VMEMEVVVV22</v>
      </c>
    </row>
    <row r="7097" spans="2:9" x14ac:dyDescent="0.25">
      <c r="B7097" t="s">
        <v>482</v>
      </c>
      <c r="C7097" s="22" t="s">
        <v>28</v>
      </c>
      <c r="D7097">
        <v>1</v>
      </c>
      <c r="G7097" s="30">
        <f>Table132[[#This Row],[nb win]]/Table132[[#This Row],[nb play]]</f>
        <v>0</v>
      </c>
      <c r="H7097" s="26" t="str">
        <f>MID(Table132[[#This Row],[ÉTAT]],VALUE(RIGHT(Table132[[#This Row],[next move]],1))+1+VALUE(LEFT(Table132[[#This Row],[next move]],1))*3,1)</f>
        <v>V</v>
      </c>
      <c r="I7097" s="26" t="str">
        <f>Table132[[#This Row],[ÉTAT]]&amp;Table132[[#This Row],[next move]]</f>
        <v>VEMEMVVVE12</v>
      </c>
    </row>
    <row r="7098" spans="2:9" x14ac:dyDescent="0.25">
      <c r="B7098" t="s">
        <v>2850</v>
      </c>
      <c r="C7098" s="22" t="s">
        <v>24</v>
      </c>
      <c r="D7098">
        <v>1</v>
      </c>
      <c r="E7098">
        <v>1</v>
      </c>
      <c r="G7098" s="31">
        <f>Table132[[#This Row],[nb win]]/Table132[[#This Row],[nb play]]</f>
        <v>1</v>
      </c>
      <c r="H7098" s="26" t="str">
        <f>MID(Table132[[#This Row],[ÉTAT]],VALUE(RIGHT(Table132[[#This Row],[next move]],1))+1+VALUE(LEFT(Table132[[#This Row],[next move]],1))*3,1)</f>
        <v>V</v>
      </c>
      <c r="I7098" s="26" t="str">
        <f>Table132[[#This Row],[ÉTAT]]&amp;Table132[[#This Row],[next move]]</f>
        <v>VMEMEEVVM00</v>
      </c>
    </row>
    <row r="7099" spans="2:9" x14ac:dyDescent="0.25">
      <c r="B7099" t="s">
        <v>3285</v>
      </c>
      <c r="C7099" s="22" t="s">
        <v>22</v>
      </c>
      <c r="D7099">
        <v>1</v>
      </c>
      <c r="G7099" s="30">
        <f>Table132[[#This Row],[nb win]]/Table132[[#This Row],[nb play]]</f>
        <v>0</v>
      </c>
      <c r="H7099" s="26" t="str">
        <f>MID(Table132[[#This Row],[ÉTAT]],VALUE(RIGHT(Table132[[#This Row],[next move]],1))+1+VALUE(LEFT(Table132[[#This Row],[next move]],1))*3,1)</f>
        <v>V</v>
      </c>
      <c r="I7099" s="26" t="str">
        <f>Table132[[#This Row],[ÉTAT]]&amp;Table132[[#This Row],[next move]]</f>
        <v>EEMEMMVVE21</v>
      </c>
    </row>
    <row r="7100" spans="2:9" x14ac:dyDescent="0.25">
      <c r="B7100" t="s">
        <v>3430</v>
      </c>
      <c r="C7100" s="22" t="s">
        <v>28</v>
      </c>
      <c r="D7100">
        <v>1</v>
      </c>
      <c r="G7100" s="30">
        <f>Table132[[#This Row],[nb win]]/Table132[[#This Row],[nb play]]</f>
        <v>0</v>
      </c>
      <c r="H7100" s="26" t="str">
        <f>MID(Table132[[#This Row],[ÉTAT]],VALUE(RIGHT(Table132[[#This Row],[next move]],1))+1+VALUE(LEFT(Table132[[#This Row],[next move]],1))*3,1)</f>
        <v>V</v>
      </c>
      <c r="I7100" s="26" t="str">
        <f>Table132[[#This Row],[ÉTAT]]&amp;Table132[[#This Row],[next move]]</f>
        <v>EMMEVVVVV12</v>
      </c>
    </row>
    <row r="7101" spans="2:9" x14ac:dyDescent="0.25">
      <c r="B7101" t="s">
        <v>2803</v>
      </c>
      <c r="C7101" s="22" t="s">
        <v>29</v>
      </c>
      <c r="D7101">
        <v>1</v>
      </c>
      <c r="E7101">
        <v>1</v>
      </c>
      <c r="G7101" s="31">
        <f>Table132[[#This Row],[nb win]]/Table132[[#This Row],[nb play]]</f>
        <v>1</v>
      </c>
      <c r="H7101" s="26" t="str">
        <f>MID(Table132[[#This Row],[ÉTAT]],VALUE(RIGHT(Table132[[#This Row],[next move]],1))+1+VALUE(LEFT(Table132[[#This Row],[next move]],1))*3,1)</f>
        <v>V</v>
      </c>
      <c r="I7101" s="26" t="str">
        <f>Table132[[#This Row],[ÉTAT]]&amp;Table132[[#This Row],[next move]]</f>
        <v>MEEMVEVVV11</v>
      </c>
    </row>
    <row r="7102" spans="2:9" x14ac:dyDescent="0.25">
      <c r="B7102" t="s">
        <v>1437</v>
      </c>
      <c r="C7102" s="22" t="s">
        <v>22</v>
      </c>
      <c r="D7102">
        <v>1</v>
      </c>
      <c r="G7102" s="30">
        <f>Table132[[#This Row],[nb win]]/Table132[[#This Row],[nb play]]</f>
        <v>0</v>
      </c>
      <c r="H7102" s="26" t="str">
        <f>MID(Table132[[#This Row],[ÉTAT]],VALUE(RIGHT(Table132[[#This Row],[next move]],1))+1+VALUE(LEFT(Table132[[#This Row],[next move]],1))*3,1)</f>
        <v>V</v>
      </c>
      <c r="I7102" s="26" t="str">
        <f>Table132[[#This Row],[ÉTAT]]&amp;Table132[[#This Row],[next move]]</f>
        <v>EMMEEMVVV21</v>
      </c>
    </row>
    <row r="7103" spans="2:9" x14ac:dyDescent="0.25">
      <c r="B7103" t="s">
        <v>2550</v>
      </c>
      <c r="C7103" s="22" t="s">
        <v>31</v>
      </c>
      <c r="D7103">
        <v>1</v>
      </c>
      <c r="E7103">
        <v>1</v>
      </c>
      <c r="G7103" s="31">
        <f>Table132[[#This Row],[nb win]]/Table132[[#This Row],[nb play]]</f>
        <v>1</v>
      </c>
      <c r="H7103" s="26" t="str">
        <f>MID(Table132[[#This Row],[ÉTAT]],VALUE(RIGHT(Table132[[#This Row],[next move]],1))+1+VALUE(LEFT(Table132[[#This Row],[next move]],1))*3,1)</f>
        <v>V</v>
      </c>
      <c r="I7103" s="26" t="str">
        <f>Table132[[#This Row],[ÉTAT]]&amp;Table132[[#This Row],[next move]]</f>
        <v>MEEMMEVEV22</v>
      </c>
    </row>
    <row r="7104" spans="2:9" x14ac:dyDescent="0.25">
      <c r="B7104" t="s">
        <v>2014</v>
      </c>
      <c r="C7104" s="22" t="s">
        <v>30</v>
      </c>
      <c r="D7104">
        <v>1</v>
      </c>
      <c r="G7104" s="30">
        <f>Table132[[#This Row],[nb win]]/Table132[[#This Row],[nb play]]</f>
        <v>0</v>
      </c>
      <c r="H7104" s="26" t="str">
        <f>MID(Table132[[#This Row],[ÉTAT]],VALUE(RIGHT(Table132[[#This Row],[next move]],1))+1+VALUE(LEFT(Table132[[#This Row],[next move]],1))*3,1)</f>
        <v>V</v>
      </c>
      <c r="I7104" s="26" t="str">
        <f>Table132[[#This Row],[ÉTAT]]&amp;Table132[[#This Row],[next move]]</f>
        <v>VVMVVVVEE10</v>
      </c>
    </row>
    <row r="7105" spans="2:9" x14ac:dyDescent="0.25">
      <c r="B7105" t="s">
        <v>256</v>
      </c>
      <c r="C7105" s="22" t="s">
        <v>28</v>
      </c>
      <c r="D7105">
        <v>1</v>
      </c>
      <c r="E7105">
        <v>1</v>
      </c>
      <c r="G7105" s="31">
        <f>Table132[[#This Row],[nb win]]/Table132[[#This Row],[nb play]]</f>
        <v>1</v>
      </c>
      <c r="H7105" s="26" t="str">
        <f>MID(Table132[[#This Row],[ÉTAT]],VALUE(RIGHT(Table132[[#This Row],[next move]],1))+1+VALUE(LEFT(Table132[[#This Row],[next move]],1))*3,1)</f>
        <v>V</v>
      </c>
      <c r="I7105" s="26" t="str">
        <f>Table132[[#This Row],[ÉTAT]]&amp;Table132[[#This Row],[next move]]</f>
        <v>VVEEVVVMM12</v>
      </c>
    </row>
    <row r="7106" spans="2:9" x14ac:dyDescent="0.25">
      <c r="B7106" t="s">
        <v>3330</v>
      </c>
      <c r="C7106" s="22" t="s">
        <v>29</v>
      </c>
      <c r="D7106">
        <v>1</v>
      </c>
      <c r="G7106" s="30">
        <f>Table132[[#This Row],[nb win]]/Table132[[#This Row],[nb play]]</f>
        <v>0</v>
      </c>
      <c r="H7106" s="26" t="str">
        <f>MID(Table132[[#This Row],[ÉTAT]],VALUE(RIGHT(Table132[[#This Row],[next move]],1))+1+VALUE(LEFT(Table132[[#This Row],[next move]],1))*3,1)</f>
        <v>V</v>
      </c>
      <c r="I7106" s="26" t="str">
        <f>Table132[[#This Row],[ÉTAT]]&amp;Table132[[#This Row],[next move]]</f>
        <v>VVMMVEVEE11</v>
      </c>
    </row>
    <row r="7107" spans="2:9" x14ac:dyDescent="0.25">
      <c r="B7107" t="s">
        <v>3634</v>
      </c>
      <c r="C7107" s="22" t="s">
        <v>26</v>
      </c>
      <c r="D7107">
        <v>1</v>
      </c>
      <c r="E7107">
        <v>1</v>
      </c>
      <c r="G7107" s="31">
        <f>Table132[[#This Row],[nb win]]/Table132[[#This Row],[nb play]]</f>
        <v>1</v>
      </c>
      <c r="H7107" s="26" t="str">
        <f>MID(Table132[[#This Row],[ÉTAT]],VALUE(RIGHT(Table132[[#This Row],[next move]],1))+1+VALUE(LEFT(Table132[[#This Row],[next move]],1))*3,1)</f>
        <v>V</v>
      </c>
      <c r="I7107" s="26" t="str">
        <f>Table132[[#This Row],[ÉTAT]]&amp;Table132[[#This Row],[next move]]</f>
        <v>VVEEEMVMM01</v>
      </c>
    </row>
    <row r="7108" spans="2:9" x14ac:dyDescent="0.25">
      <c r="B7108" t="s">
        <v>3635</v>
      </c>
      <c r="C7108" s="22" t="s">
        <v>24</v>
      </c>
      <c r="D7108">
        <v>1</v>
      </c>
      <c r="G7108" s="30">
        <f>Table132[[#This Row],[nb win]]/Table132[[#This Row],[nb play]]</f>
        <v>0</v>
      </c>
      <c r="H7108" s="26" t="str">
        <f>MID(Table132[[#This Row],[ÉTAT]],VALUE(RIGHT(Table132[[#This Row],[next move]],1))+1+VALUE(LEFT(Table132[[#This Row],[next move]],1))*3,1)</f>
        <v>V</v>
      </c>
      <c r="I7108" s="26" t="str">
        <f>Table132[[#This Row],[ÉTAT]]&amp;Table132[[#This Row],[next move]]</f>
        <v>VEMMMEVEE00</v>
      </c>
    </row>
    <row r="7109" spans="2:9" x14ac:dyDescent="0.25">
      <c r="B7109" t="s">
        <v>3636</v>
      </c>
      <c r="C7109" s="22" t="s">
        <v>35</v>
      </c>
      <c r="D7109">
        <v>2</v>
      </c>
      <c r="E7109">
        <v>2</v>
      </c>
      <c r="G7109" s="31">
        <f>Table132[[#This Row],[nb win]]/Table132[[#This Row],[nb play]]</f>
        <v>1</v>
      </c>
      <c r="H7109" s="26" t="str">
        <f>MID(Table132[[#This Row],[ÉTAT]],VALUE(RIGHT(Table132[[#This Row],[next move]],1))+1+VALUE(LEFT(Table132[[#This Row],[next move]],1))*3,1)</f>
        <v>V</v>
      </c>
      <c r="I7109" s="26" t="str">
        <f>Table132[[#This Row],[ÉTAT]]&amp;Table132[[#This Row],[next move]]</f>
        <v>EMEEEMVMM20</v>
      </c>
    </row>
    <row r="7110" spans="2:9" x14ac:dyDescent="0.25">
      <c r="B7110" t="s">
        <v>46</v>
      </c>
      <c r="C7110" s="22" t="s">
        <v>35</v>
      </c>
      <c r="D7110">
        <v>2</v>
      </c>
      <c r="E7110">
        <v>2</v>
      </c>
      <c r="G7110" s="31">
        <f>Table132[[#This Row],[nb win]]/Table132[[#This Row],[nb play]]</f>
        <v>1</v>
      </c>
      <c r="H7110" s="26" t="str">
        <f>MID(Table132[[#This Row],[ÉTAT]],VALUE(RIGHT(Table132[[#This Row],[next move]],1))+1+VALUE(LEFT(Table132[[#This Row],[next move]],1))*3,1)</f>
        <v>V</v>
      </c>
      <c r="I7110" s="26" t="str">
        <f>Table132[[#This Row],[ÉTAT]]&amp;Table132[[#This Row],[next move]]</f>
        <v>EVVVVMVVV20</v>
      </c>
    </row>
    <row r="7111" spans="2:9" x14ac:dyDescent="0.25">
      <c r="B7111" t="s">
        <v>3615</v>
      </c>
      <c r="C7111" s="22" t="s">
        <v>26</v>
      </c>
      <c r="D7111">
        <v>1</v>
      </c>
      <c r="G7111" s="30">
        <f>Table132[[#This Row],[nb win]]/Table132[[#This Row],[nb play]]</f>
        <v>0</v>
      </c>
      <c r="H7111" s="26" t="str">
        <f>MID(Table132[[#This Row],[ÉTAT]],VALUE(RIGHT(Table132[[#This Row],[next move]],1))+1+VALUE(LEFT(Table132[[#This Row],[next move]],1))*3,1)</f>
        <v>V</v>
      </c>
      <c r="I7111" s="26" t="str">
        <f>Table132[[#This Row],[ÉTAT]]&amp;Table132[[#This Row],[next move]]</f>
        <v>MVVVVEEVV01</v>
      </c>
    </row>
    <row r="7112" spans="2:9" x14ac:dyDescent="0.25">
      <c r="B7112" t="s">
        <v>3637</v>
      </c>
      <c r="C7112" s="22" t="s">
        <v>30</v>
      </c>
      <c r="D7112">
        <v>1</v>
      </c>
      <c r="E7112">
        <v>1</v>
      </c>
      <c r="G7112" s="31">
        <f>Table132[[#This Row],[nb win]]/Table132[[#This Row],[nb play]]</f>
        <v>1</v>
      </c>
      <c r="H7112" s="26" t="str">
        <f>MID(Table132[[#This Row],[ÉTAT]],VALUE(RIGHT(Table132[[#This Row],[next move]],1))+1+VALUE(LEFT(Table132[[#This Row],[next move]],1))*3,1)</f>
        <v>V</v>
      </c>
      <c r="I7112" s="26" t="str">
        <f>Table132[[#This Row],[ÉTAT]]&amp;Table132[[#This Row],[next move]]</f>
        <v>EEVVVMMVV10</v>
      </c>
    </row>
    <row r="7113" spans="2:9" x14ac:dyDescent="0.25">
      <c r="B7113" t="s">
        <v>1113</v>
      </c>
      <c r="C7113" s="22" t="s">
        <v>31</v>
      </c>
      <c r="D7113">
        <v>1</v>
      </c>
      <c r="G7113" s="30">
        <f>Table132[[#This Row],[nb win]]/Table132[[#This Row],[nb play]]</f>
        <v>0</v>
      </c>
      <c r="H7113" s="26" t="str">
        <f>MID(Table132[[#This Row],[ÉTAT]],VALUE(RIGHT(Table132[[#This Row],[next move]],1))+1+VALUE(LEFT(Table132[[#This Row],[next move]],1))*3,1)</f>
        <v>V</v>
      </c>
      <c r="I7113" s="26" t="str">
        <f>Table132[[#This Row],[ÉTAT]]&amp;Table132[[#This Row],[next move]]</f>
        <v>MMVEVEEVV22</v>
      </c>
    </row>
    <row r="7114" spans="2:9" x14ac:dyDescent="0.25">
      <c r="B7114" t="s">
        <v>1973</v>
      </c>
      <c r="C7114" s="22" t="s">
        <v>29</v>
      </c>
      <c r="D7114">
        <v>1</v>
      </c>
      <c r="E7114">
        <v>1</v>
      </c>
      <c r="G7114" s="31">
        <f>Table132[[#This Row],[nb win]]/Table132[[#This Row],[nb play]]</f>
        <v>1</v>
      </c>
      <c r="H7114" s="26" t="str">
        <f>MID(Table132[[#This Row],[ÉTAT]],VALUE(RIGHT(Table132[[#This Row],[next move]],1))+1+VALUE(LEFT(Table132[[#This Row],[next move]],1))*3,1)</f>
        <v>V</v>
      </c>
      <c r="I7114" s="26" t="str">
        <f>Table132[[#This Row],[ÉTAT]]&amp;Table132[[#This Row],[next move]]</f>
        <v>EEVMVMMVE11</v>
      </c>
    </row>
    <row r="7115" spans="2:9" x14ac:dyDescent="0.25">
      <c r="B7115" t="s">
        <v>1896</v>
      </c>
      <c r="C7115" s="22" t="s">
        <v>31</v>
      </c>
      <c r="D7115">
        <v>1</v>
      </c>
      <c r="G7115" s="30">
        <f>Table132[[#This Row],[nb win]]/Table132[[#This Row],[nb play]]</f>
        <v>0</v>
      </c>
      <c r="H7115" s="26" t="str">
        <f>MID(Table132[[#This Row],[ÉTAT]],VALUE(RIGHT(Table132[[#This Row],[next move]],1))+1+VALUE(LEFT(Table132[[#This Row],[next move]],1))*3,1)</f>
        <v>V</v>
      </c>
      <c r="I7115" s="26" t="str">
        <f>Table132[[#This Row],[ÉTAT]]&amp;Table132[[#This Row],[next move]]</f>
        <v>EVVVMVVEV22</v>
      </c>
    </row>
    <row r="7116" spans="2:9" x14ac:dyDescent="0.25">
      <c r="B7116" t="s">
        <v>2519</v>
      </c>
      <c r="C7116" s="22" t="s">
        <v>26</v>
      </c>
      <c r="D7116">
        <v>1</v>
      </c>
      <c r="E7116">
        <v>1</v>
      </c>
      <c r="G7116" s="31">
        <f>Table132[[#This Row],[nb win]]/Table132[[#This Row],[nb play]]</f>
        <v>1</v>
      </c>
      <c r="H7116" s="26" t="str">
        <f>MID(Table132[[#This Row],[ÉTAT]],VALUE(RIGHT(Table132[[#This Row],[next move]],1))+1+VALUE(LEFT(Table132[[#This Row],[next move]],1))*3,1)</f>
        <v>V</v>
      </c>
      <c r="I7116" s="26" t="str">
        <f>Table132[[#This Row],[ÉTAT]]&amp;Table132[[#This Row],[next move]]</f>
        <v>MVVVEVVME01</v>
      </c>
    </row>
    <row r="7117" spans="2:9" x14ac:dyDescent="0.25">
      <c r="B7117" t="s">
        <v>1511</v>
      </c>
      <c r="C7117" s="22" t="s">
        <v>30</v>
      </c>
      <c r="D7117">
        <v>1</v>
      </c>
      <c r="G7117" s="30">
        <f>Table132[[#This Row],[nb win]]/Table132[[#This Row],[nb play]]</f>
        <v>0</v>
      </c>
      <c r="H7117" s="26" t="str">
        <f>MID(Table132[[#This Row],[ÉTAT]],VALUE(RIGHT(Table132[[#This Row],[next move]],1))+1+VALUE(LEFT(Table132[[#This Row],[next move]],1))*3,1)</f>
        <v>V</v>
      </c>
      <c r="I7117" s="26" t="str">
        <f>Table132[[#This Row],[ÉTAT]]&amp;Table132[[#This Row],[next move]]</f>
        <v>EEVVMVVEM10</v>
      </c>
    </row>
    <row r="7118" spans="2:9" x14ac:dyDescent="0.25">
      <c r="B7118" t="s">
        <v>3638</v>
      </c>
      <c r="C7118" s="22" t="s">
        <v>20</v>
      </c>
      <c r="D7118">
        <v>2</v>
      </c>
      <c r="E7118">
        <v>2</v>
      </c>
      <c r="G7118" s="31">
        <f>Table132[[#This Row],[nb win]]/Table132[[#This Row],[nb play]]</f>
        <v>1</v>
      </c>
      <c r="H7118" s="26" t="str">
        <f>MID(Table132[[#This Row],[ÉTAT]],VALUE(RIGHT(Table132[[#This Row],[next move]],1))+1+VALUE(LEFT(Table132[[#This Row],[next move]],1))*3,1)</f>
        <v>V</v>
      </c>
      <c r="I7118" s="26" t="str">
        <f>Table132[[#This Row],[ÉTAT]]&amp;Table132[[#This Row],[next move]]</f>
        <v>MMVEEVVME02</v>
      </c>
    </row>
    <row r="7119" spans="2:9" x14ac:dyDescent="0.25">
      <c r="B7119" t="s">
        <v>1797</v>
      </c>
      <c r="C7119" s="22" t="s">
        <v>24</v>
      </c>
      <c r="D7119">
        <v>1</v>
      </c>
      <c r="G7119" s="30">
        <f>Table132[[#This Row],[nb win]]/Table132[[#This Row],[nb play]]</f>
        <v>0</v>
      </c>
      <c r="H7119" s="26" t="str">
        <f>MID(Table132[[#This Row],[ÉTAT]],VALUE(RIGHT(Table132[[#This Row],[next move]],1))+1+VALUE(LEFT(Table132[[#This Row],[next move]],1))*3,1)</f>
        <v>V</v>
      </c>
      <c r="I7119" s="26" t="str">
        <f>Table132[[#This Row],[ÉTAT]]&amp;Table132[[#This Row],[next move]]</f>
        <v>VVEVVEMMV00</v>
      </c>
    </row>
    <row r="7120" spans="2:9" x14ac:dyDescent="0.25">
      <c r="B7120" t="s">
        <v>623</v>
      </c>
      <c r="C7120" s="22" t="s">
        <v>31</v>
      </c>
      <c r="D7120">
        <v>1</v>
      </c>
      <c r="E7120">
        <v>1</v>
      </c>
      <c r="G7120" s="31">
        <f>Table132[[#This Row],[nb win]]/Table132[[#This Row],[nb play]]</f>
        <v>1</v>
      </c>
      <c r="H7120" s="26" t="str">
        <f>MID(Table132[[#This Row],[ÉTAT]],VALUE(RIGHT(Table132[[#This Row],[next move]],1))+1+VALUE(LEFT(Table132[[#This Row],[next move]],1))*3,1)</f>
        <v>V</v>
      </c>
      <c r="I7120" s="26" t="str">
        <f>Table132[[#This Row],[ÉTAT]]&amp;Table132[[#This Row],[next move]]</f>
        <v>EVMVVMEEV22</v>
      </c>
    </row>
    <row r="7121" spans="2:9" x14ac:dyDescent="0.25">
      <c r="B7121" t="s">
        <v>1338</v>
      </c>
      <c r="C7121" s="22" t="s">
        <v>30</v>
      </c>
      <c r="D7121">
        <v>1</v>
      </c>
      <c r="G7121" s="30">
        <f>Table132[[#This Row],[nb win]]/Table132[[#This Row],[nb play]]</f>
        <v>0</v>
      </c>
      <c r="H7121" s="26" t="str">
        <f>MID(Table132[[#This Row],[ÉTAT]],VALUE(RIGHT(Table132[[#This Row],[next move]],1))+1+VALUE(LEFT(Table132[[#This Row],[next move]],1))*3,1)</f>
        <v>V</v>
      </c>
      <c r="I7121" s="26" t="str">
        <f>Table132[[#This Row],[ÉTAT]]&amp;Table132[[#This Row],[next move]]</f>
        <v>VVEVMEVVV10</v>
      </c>
    </row>
    <row r="7122" spans="2:9" x14ac:dyDescent="0.25">
      <c r="B7122" t="s">
        <v>401</v>
      </c>
      <c r="C7122" s="22" t="s">
        <v>26</v>
      </c>
      <c r="D7122">
        <v>1</v>
      </c>
      <c r="E7122">
        <v>1</v>
      </c>
      <c r="G7122" s="31">
        <f>Table132[[#This Row],[nb win]]/Table132[[#This Row],[nb play]]</f>
        <v>1</v>
      </c>
      <c r="H7122" s="26" t="str">
        <f>MID(Table132[[#This Row],[ÉTAT]],VALUE(RIGHT(Table132[[#This Row],[next move]],1))+1+VALUE(LEFT(Table132[[#This Row],[next move]],1))*3,1)</f>
        <v>V</v>
      </c>
      <c r="I7122" s="26" t="str">
        <f>Table132[[#This Row],[ÉTAT]]&amp;Table132[[#This Row],[next move]]</f>
        <v>VVMEEMVVV01</v>
      </c>
    </row>
    <row r="7123" spans="2:9" x14ac:dyDescent="0.25">
      <c r="B7123" t="s">
        <v>402</v>
      </c>
      <c r="C7123" s="22" t="s">
        <v>31</v>
      </c>
      <c r="D7123">
        <v>1</v>
      </c>
      <c r="G7123" s="30">
        <f>Table132[[#This Row],[nb win]]/Table132[[#This Row],[nb play]]</f>
        <v>0</v>
      </c>
      <c r="H7123" s="26" t="str">
        <f>MID(Table132[[#This Row],[ÉTAT]],VALUE(RIGHT(Table132[[#This Row],[next move]],1))+1+VALUE(LEFT(Table132[[#This Row],[next move]],1))*3,1)</f>
        <v>V</v>
      </c>
      <c r="I7123" s="26" t="str">
        <f>Table132[[#This Row],[ÉTAT]]&amp;Table132[[#This Row],[next move]]</f>
        <v>VEEMMEVVV22</v>
      </c>
    </row>
    <row r="7124" spans="2:9" x14ac:dyDescent="0.25">
      <c r="B7124" t="s">
        <v>3522</v>
      </c>
      <c r="C7124" s="22" t="s">
        <v>24</v>
      </c>
      <c r="D7124">
        <v>1</v>
      </c>
      <c r="E7124">
        <v>1</v>
      </c>
      <c r="G7124" s="31">
        <f>Table132[[#This Row],[nb win]]/Table132[[#This Row],[nb play]]</f>
        <v>1</v>
      </c>
      <c r="H7124" s="26" t="str">
        <f>MID(Table132[[#This Row],[ÉTAT]],VALUE(RIGHT(Table132[[#This Row],[next move]],1))+1+VALUE(LEFT(Table132[[#This Row],[next move]],1))*3,1)</f>
        <v>V</v>
      </c>
      <c r="I7124" s="26" t="str">
        <f>Table132[[#This Row],[ÉTAT]]&amp;Table132[[#This Row],[next move]]</f>
        <v>VMMEEMVVE00</v>
      </c>
    </row>
    <row r="7125" spans="2:9" x14ac:dyDescent="0.25">
      <c r="B7125" t="s">
        <v>466</v>
      </c>
      <c r="C7125" s="22" t="s">
        <v>30</v>
      </c>
      <c r="D7125">
        <v>1</v>
      </c>
      <c r="G7125" s="30">
        <f>Table132[[#This Row],[nb win]]/Table132[[#This Row],[nb play]]</f>
        <v>0</v>
      </c>
      <c r="H7125" s="26" t="str">
        <f>MID(Table132[[#This Row],[ÉTAT]],VALUE(RIGHT(Table132[[#This Row],[next move]],1))+1+VALUE(LEFT(Table132[[#This Row],[next move]],1))*3,1)</f>
        <v>V</v>
      </c>
      <c r="I7125" s="26" t="str">
        <f>Table132[[#This Row],[ÉTAT]]&amp;Table132[[#This Row],[next move]]</f>
        <v>VVMVEVEVV10</v>
      </c>
    </row>
    <row r="7126" spans="2:9" x14ac:dyDescent="0.25">
      <c r="B7126" t="s">
        <v>2236</v>
      </c>
      <c r="C7126" s="22" t="s">
        <v>28</v>
      </c>
      <c r="D7126">
        <v>1</v>
      </c>
      <c r="E7126">
        <v>1</v>
      </c>
      <c r="G7126" s="31">
        <f>Table132[[#This Row],[nb win]]/Table132[[#This Row],[nb play]]</f>
        <v>1</v>
      </c>
      <c r="H7126" s="26" t="str">
        <f>MID(Table132[[#This Row],[ÉTAT]],VALUE(RIGHT(Table132[[#This Row],[next move]],1))+1+VALUE(LEFT(Table132[[#This Row],[next move]],1))*3,1)</f>
        <v>V</v>
      </c>
      <c r="I7126" s="26" t="str">
        <f>Table132[[#This Row],[ÉTAT]]&amp;Table132[[#This Row],[next move]]</f>
        <v>VVEEMVMVV12</v>
      </c>
    </row>
    <row r="7127" spans="2:9" x14ac:dyDescent="0.25">
      <c r="B7127" t="s">
        <v>675</v>
      </c>
      <c r="C7127" s="22" t="s">
        <v>24</v>
      </c>
      <c r="D7127">
        <v>1</v>
      </c>
      <c r="G7127" s="30">
        <f>Table132[[#This Row],[nb win]]/Table132[[#This Row],[nb play]]</f>
        <v>0</v>
      </c>
      <c r="H7127" s="26" t="str">
        <f>MID(Table132[[#This Row],[ÉTAT]],VALUE(RIGHT(Table132[[#This Row],[next move]],1))+1+VALUE(LEFT(Table132[[#This Row],[next move]],1))*3,1)</f>
        <v>V</v>
      </c>
      <c r="I7127" s="26" t="str">
        <f>Table132[[#This Row],[ÉTAT]]&amp;Table132[[#This Row],[next move]]</f>
        <v>VVMMEEEVV00</v>
      </c>
    </row>
    <row r="7128" spans="2:9" x14ac:dyDescent="0.25">
      <c r="B7128" t="s">
        <v>1722</v>
      </c>
      <c r="C7128" s="22" t="s">
        <v>22</v>
      </c>
      <c r="D7128">
        <v>1</v>
      </c>
      <c r="E7128">
        <v>1</v>
      </c>
      <c r="G7128" s="31">
        <f>Table132[[#This Row],[nb win]]/Table132[[#This Row],[nb play]]</f>
        <v>1</v>
      </c>
      <c r="H7128" s="26" t="str">
        <f>MID(Table132[[#This Row],[ÉTAT]],VALUE(RIGHT(Table132[[#This Row],[next move]],1))+1+VALUE(LEFT(Table132[[#This Row],[next move]],1))*3,1)</f>
        <v>V</v>
      </c>
      <c r="I7128" s="26" t="str">
        <f>Table132[[#This Row],[ÉTAT]]&amp;Table132[[#This Row],[next move]]</f>
        <v>EVEEMMMVV21</v>
      </c>
    </row>
    <row r="7129" spans="2:9" x14ac:dyDescent="0.25">
      <c r="B7129" t="s">
        <v>2142</v>
      </c>
      <c r="C7129" s="22" t="s">
        <v>31</v>
      </c>
      <c r="D7129">
        <v>1</v>
      </c>
      <c r="G7129" s="30">
        <f>Table132[[#This Row],[nb win]]/Table132[[#This Row],[nb play]]</f>
        <v>0</v>
      </c>
      <c r="H7129" s="26" t="str">
        <f>MID(Table132[[#This Row],[ÉTAT]],VALUE(RIGHT(Table132[[#This Row],[next move]],1))+1+VALUE(LEFT(Table132[[#This Row],[next move]],1))*3,1)</f>
        <v>V</v>
      </c>
      <c r="I7129" s="26" t="str">
        <f>Table132[[#This Row],[ÉTAT]]&amp;Table132[[#This Row],[next move]]</f>
        <v>MVMMEEEEV22</v>
      </c>
    </row>
    <row r="7130" spans="2:9" x14ac:dyDescent="0.25">
      <c r="B7130" t="s">
        <v>2495</v>
      </c>
      <c r="C7130" s="22" t="s">
        <v>22</v>
      </c>
      <c r="D7130">
        <v>1</v>
      </c>
      <c r="E7130">
        <v>1</v>
      </c>
      <c r="G7130" s="31">
        <f>Table132[[#This Row],[nb win]]/Table132[[#This Row],[nb play]]</f>
        <v>1</v>
      </c>
      <c r="H7130" s="26" t="str">
        <f>MID(Table132[[#This Row],[ÉTAT]],VALUE(RIGHT(Table132[[#This Row],[next move]],1))+1+VALUE(LEFT(Table132[[#This Row],[next move]],1))*3,1)</f>
        <v>V</v>
      </c>
      <c r="I7130" s="26" t="str">
        <f>Table132[[#This Row],[ÉTAT]]&amp;Table132[[#This Row],[next move]]</f>
        <v>EMVEVVMVV21</v>
      </c>
    </row>
    <row r="7131" spans="2:9" x14ac:dyDescent="0.25">
      <c r="B7131" t="s">
        <v>3639</v>
      </c>
      <c r="C7131" s="22" t="s">
        <v>28</v>
      </c>
      <c r="D7131">
        <v>1</v>
      </c>
      <c r="G7131" s="30">
        <f>Table132[[#This Row],[nb win]]/Table132[[#This Row],[nb play]]</f>
        <v>0</v>
      </c>
      <c r="H7131" s="26" t="str">
        <f>MID(Table132[[#This Row],[ÉTAT]],VALUE(RIGHT(Table132[[#This Row],[next move]],1))+1+VALUE(LEFT(Table132[[#This Row],[next move]],1))*3,1)</f>
        <v>V</v>
      </c>
      <c r="I7131" s="26" t="str">
        <f>Table132[[#This Row],[ÉTAT]]&amp;Table132[[#This Row],[next move]]</f>
        <v>MEVMVVEEV12</v>
      </c>
    </row>
    <row r="7132" spans="2:9" x14ac:dyDescent="0.25">
      <c r="B7132" t="s">
        <v>1240</v>
      </c>
      <c r="C7132" s="22" t="s">
        <v>20</v>
      </c>
      <c r="D7132">
        <v>1</v>
      </c>
      <c r="E7132">
        <v>1</v>
      </c>
      <c r="G7132" s="31">
        <f>Table132[[#This Row],[nb win]]/Table132[[#This Row],[nb play]]</f>
        <v>1</v>
      </c>
      <c r="H7132" s="26" t="str">
        <f>MID(Table132[[#This Row],[ÉTAT]],VALUE(RIGHT(Table132[[#This Row],[next move]],1))+1+VALUE(LEFT(Table132[[#This Row],[next move]],1))*3,1)</f>
        <v>V</v>
      </c>
      <c r="I7132" s="26" t="str">
        <f>Table132[[#This Row],[ÉTAT]]&amp;Table132[[#This Row],[next move]]</f>
        <v>EMVEVEMMV02</v>
      </c>
    </row>
    <row r="7133" spans="2:9" x14ac:dyDescent="0.25">
      <c r="B7133" t="s">
        <v>2802</v>
      </c>
      <c r="C7133" s="22" t="s">
        <v>31</v>
      </c>
      <c r="D7133">
        <v>1</v>
      </c>
      <c r="G7133" s="30">
        <f>Table132[[#This Row],[nb win]]/Table132[[#This Row],[nb play]]</f>
        <v>0</v>
      </c>
      <c r="H7133" s="26" t="str">
        <f>MID(Table132[[#This Row],[ÉTAT]],VALUE(RIGHT(Table132[[#This Row],[next move]],1))+1+VALUE(LEFT(Table132[[#This Row],[next move]],1))*3,1)</f>
        <v>V</v>
      </c>
      <c r="I7133" s="26" t="str">
        <f>Table132[[#This Row],[ÉTAT]]&amp;Table132[[#This Row],[next move]]</f>
        <v>MEEMVMEEV22</v>
      </c>
    </row>
    <row r="7134" spans="2:9" x14ac:dyDescent="0.25">
      <c r="B7134" t="s">
        <v>3640</v>
      </c>
      <c r="C7134" s="22" t="s">
        <v>29</v>
      </c>
      <c r="D7134">
        <v>1</v>
      </c>
      <c r="E7134">
        <v>1</v>
      </c>
      <c r="G7134" s="31">
        <f>Table132[[#This Row],[nb win]]/Table132[[#This Row],[nb play]]</f>
        <v>1</v>
      </c>
      <c r="H7134" s="26" t="str">
        <f>MID(Table132[[#This Row],[ÉTAT]],VALUE(RIGHT(Table132[[#This Row],[next move]],1))+1+VALUE(LEFT(Table132[[#This Row],[next move]],1))*3,1)</f>
        <v>V</v>
      </c>
      <c r="I7134" s="26" t="str">
        <f>Table132[[#This Row],[ÉTAT]]&amp;Table132[[#This Row],[next move]]</f>
        <v>EMMEVEMME11</v>
      </c>
    </row>
    <row r="7135" spans="2:9" x14ac:dyDescent="0.25">
      <c r="B7135" t="s">
        <v>638</v>
      </c>
      <c r="C7135" s="22" t="s">
        <v>22</v>
      </c>
      <c r="D7135">
        <v>1</v>
      </c>
      <c r="E7135">
        <v>1</v>
      </c>
      <c r="G7135" s="31">
        <f>Table132[[#This Row],[nb win]]/Table132[[#This Row],[nb play]]</f>
        <v>1</v>
      </c>
      <c r="H7135" s="26" t="str">
        <f>MID(Table132[[#This Row],[ÉTAT]],VALUE(RIGHT(Table132[[#This Row],[next move]],1))+1+VALUE(LEFT(Table132[[#This Row],[next move]],1))*3,1)</f>
        <v>V</v>
      </c>
      <c r="I7135" s="26" t="str">
        <f>Table132[[#This Row],[ÉTAT]]&amp;Table132[[#This Row],[next move]]</f>
        <v>VVVEVEMVM21</v>
      </c>
    </row>
    <row r="7136" spans="2:9" x14ac:dyDescent="0.25">
      <c r="B7136" t="s">
        <v>3103</v>
      </c>
      <c r="C7136" s="22" t="s">
        <v>28</v>
      </c>
      <c r="D7136">
        <v>2</v>
      </c>
      <c r="E7136">
        <v>1</v>
      </c>
      <c r="G7136" s="30">
        <f>Table132[[#This Row],[nb win]]/Table132[[#This Row],[nb play]]</f>
        <v>0.5</v>
      </c>
      <c r="H7136" s="26" t="str">
        <f>MID(Table132[[#This Row],[ÉTAT]],VALUE(RIGHT(Table132[[#This Row],[next move]],1))+1+VALUE(LEFT(Table132[[#This Row],[next move]],1))*3,1)</f>
        <v>V</v>
      </c>
      <c r="I7136" s="26" t="str">
        <f>Table132[[#This Row],[ÉTAT]]&amp;Table132[[#This Row],[next move]]</f>
        <v>EMVVMVEVV12</v>
      </c>
    </row>
    <row r="7137" spans="2:9" x14ac:dyDescent="0.25">
      <c r="B7137" t="s">
        <v>3641</v>
      </c>
      <c r="C7137" s="22" t="s">
        <v>20</v>
      </c>
      <c r="D7137">
        <v>1</v>
      </c>
      <c r="G7137" s="30">
        <f>Table132[[#This Row],[nb win]]/Table132[[#This Row],[nb play]]</f>
        <v>0</v>
      </c>
      <c r="H7137" s="26" t="str">
        <f>MID(Table132[[#This Row],[ÉTAT]],VALUE(RIGHT(Table132[[#This Row],[next move]],1))+1+VALUE(LEFT(Table132[[#This Row],[next move]],1))*3,1)</f>
        <v>V</v>
      </c>
      <c r="I7137" s="26" t="str">
        <f>Table132[[#This Row],[ÉTAT]]&amp;Table132[[#This Row],[next move]]</f>
        <v>MEVVEEMVV02</v>
      </c>
    </row>
    <row r="7138" spans="2:9" x14ac:dyDescent="0.25">
      <c r="B7138" t="s">
        <v>3642</v>
      </c>
      <c r="C7138" s="22" t="s">
        <v>30</v>
      </c>
      <c r="D7138">
        <v>1</v>
      </c>
      <c r="E7138">
        <v>1</v>
      </c>
      <c r="G7138" s="31">
        <f>Table132[[#This Row],[nb win]]/Table132[[#This Row],[nb play]]</f>
        <v>1</v>
      </c>
      <c r="H7138" s="26" t="str">
        <f>MID(Table132[[#This Row],[ÉTAT]],VALUE(RIGHT(Table132[[#This Row],[next move]],1))+1+VALUE(LEFT(Table132[[#This Row],[next move]],1))*3,1)</f>
        <v>V</v>
      </c>
      <c r="I7138" s="26" t="str">
        <f>Table132[[#This Row],[ÉTAT]]&amp;Table132[[#This Row],[next move]]</f>
        <v>EMEVMMEVV10</v>
      </c>
    </row>
    <row r="7139" spans="2:9" x14ac:dyDescent="0.25">
      <c r="B7139" t="s">
        <v>177</v>
      </c>
      <c r="C7139" s="22" t="s">
        <v>35</v>
      </c>
      <c r="D7139">
        <v>1</v>
      </c>
      <c r="E7139">
        <v>1</v>
      </c>
      <c r="G7139" s="31">
        <f>Table132[[#This Row],[nb win]]/Table132[[#This Row],[nb play]]</f>
        <v>1</v>
      </c>
      <c r="H7139" s="26" t="str">
        <f>MID(Table132[[#This Row],[ÉTAT]],VALUE(RIGHT(Table132[[#This Row],[next move]],1))+1+VALUE(LEFT(Table132[[#This Row],[next move]],1))*3,1)</f>
        <v>V</v>
      </c>
      <c r="I7139" s="26" t="str">
        <f>Table132[[#This Row],[ÉTAT]]&amp;Table132[[#This Row],[next move]]</f>
        <v>VEVVEVVVM20</v>
      </c>
    </row>
    <row r="7140" spans="2:9" x14ac:dyDescent="0.25">
      <c r="B7140" t="s">
        <v>3643</v>
      </c>
      <c r="C7140" s="22" t="s">
        <v>24</v>
      </c>
      <c r="D7140">
        <v>1</v>
      </c>
      <c r="G7140" s="30">
        <f>Table132[[#This Row],[nb win]]/Table132[[#This Row],[nb play]]</f>
        <v>0</v>
      </c>
      <c r="H7140" s="26" t="str">
        <f>MID(Table132[[#This Row],[ÉTAT]],VALUE(RIGHT(Table132[[#This Row],[next move]],1))+1+VALUE(LEFT(Table132[[#This Row],[next move]],1))*3,1)</f>
        <v>V</v>
      </c>
      <c r="I7140" s="26" t="str">
        <f>Table132[[#This Row],[ÉTAT]]&amp;Table132[[#This Row],[next move]]</f>
        <v>VMVVMVEVE00</v>
      </c>
    </row>
    <row r="7141" spans="2:9" x14ac:dyDescent="0.25">
      <c r="B7141" t="s">
        <v>1966</v>
      </c>
      <c r="C7141" s="22" t="s">
        <v>28</v>
      </c>
      <c r="D7141">
        <v>1</v>
      </c>
      <c r="E7141">
        <v>1</v>
      </c>
      <c r="G7141" s="31">
        <f>Table132[[#This Row],[nb win]]/Table132[[#This Row],[nb play]]</f>
        <v>1</v>
      </c>
      <c r="H7141" s="26" t="str">
        <f>MID(Table132[[#This Row],[ÉTAT]],VALUE(RIGHT(Table132[[#This Row],[next move]],1))+1+VALUE(LEFT(Table132[[#This Row],[next move]],1))*3,1)</f>
        <v>V</v>
      </c>
      <c r="I7141" s="26" t="str">
        <f>Table132[[#This Row],[ÉTAT]]&amp;Table132[[#This Row],[next move]]</f>
        <v>EEVVEVMVM12</v>
      </c>
    </row>
    <row r="7142" spans="2:9" x14ac:dyDescent="0.25">
      <c r="B7142" t="s">
        <v>3644</v>
      </c>
      <c r="C7142" s="22" t="s">
        <v>30</v>
      </c>
      <c r="D7142">
        <v>1</v>
      </c>
      <c r="G7142" s="30">
        <f>Table132[[#This Row],[nb win]]/Table132[[#This Row],[nb play]]</f>
        <v>0</v>
      </c>
      <c r="H7142" s="26" t="str">
        <f>MID(Table132[[#This Row],[ÉTAT]],VALUE(RIGHT(Table132[[#This Row],[next move]],1))+1+VALUE(LEFT(Table132[[#This Row],[next move]],1))*3,1)</f>
        <v>V</v>
      </c>
      <c r="I7142" s="26" t="str">
        <f>Table132[[#This Row],[ÉTAT]]&amp;Table132[[#This Row],[next move]]</f>
        <v>MMVVMEEVE10</v>
      </c>
    </row>
    <row r="7143" spans="2:9" x14ac:dyDescent="0.25">
      <c r="B7143" t="s">
        <v>2343</v>
      </c>
      <c r="C7143" s="22" t="s">
        <v>20</v>
      </c>
      <c r="D7143">
        <v>1</v>
      </c>
      <c r="E7143">
        <v>1</v>
      </c>
      <c r="G7143" s="31">
        <f>Table132[[#This Row],[nb win]]/Table132[[#This Row],[nb play]]</f>
        <v>1</v>
      </c>
      <c r="H7143" s="26" t="str">
        <f>MID(Table132[[#This Row],[ÉTAT]],VALUE(RIGHT(Table132[[#This Row],[next move]],1))+1+VALUE(LEFT(Table132[[#This Row],[next move]],1))*3,1)</f>
        <v>V</v>
      </c>
      <c r="I7143" s="26" t="str">
        <f>Table132[[#This Row],[ÉTAT]]&amp;Table132[[#This Row],[next move]]</f>
        <v>EEVEEMMVM02</v>
      </c>
    </row>
    <row r="7144" spans="2:9" x14ac:dyDescent="0.25">
      <c r="B7144" t="s">
        <v>541</v>
      </c>
      <c r="C7144" s="22" t="s">
        <v>30</v>
      </c>
      <c r="D7144">
        <v>1</v>
      </c>
      <c r="E7144">
        <v>1</v>
      </c>
      <c r="G7144" s="31">
        <f>Table132[[#This Row],[nb win]]/Table132[[#This Row],[nb play]]</f>
        <v>1</v>
      </c>
      <c r="H7144" s="26" t="str">
        <f>MID(Table132[[#This Row],[ÉTAT]],VALUE(RIGHT(Table132[[#This Row],[next move]],1))+1+VALUE(LEFT(Table132[[#This Row],[next move]],1))*3,1)</f>
        <v>V</v>
      </c>
      <c r="I7144" s="26" t="str">
        <f>Table132[[#This Row],[ÉTAT]]&amp;Table132[[#This Row],[next move]]</f>
        <v>VVVVMMVEE10</v>
      </c>
    </row>
    <row r="7145" spans="2:9" x14ac:dyDescent="0.25">
      <c r="B7145" t="s">
        <v>190</v>
      </c>
      <c r="C7145" s="22" t="s">
        <v>31</v>
      </c>
      <c r="D7145">
        <v>1</v>
      </c>
      <c r="E7145">
        <v>1</v>
      </c>
      <c r="G7145" s="31">
        <f>Table132[[#This Row],[nb win]]/Table132[[#This Row],[nb play]]</f>
        <v>1</v>
      </c>
      <c r="H7145" s="26" t="str">
        <f>MID(Table132[[#This Row],[ÉTAT]],VALUE(RIGHT(Table132[[#This Row],[next move]],1))+1+VALUE(LEFT(Table132[[#This Row],[next move]],1))*3,1)</f>
        <v>V</v>
      </c>
      <c r="I7145" s="26" t="str">
        <f>Table132[[#This Row],[ÉTAT]]&amp;Table132[[#This Row],[next move]]</f>
        <v>EVVVEMVVV22</v>
      </c>
    </row>
    <row r="7146" spans="2:9" x14ac:dyDescent="0.25">
      <c r="B7146" t="s">
        <v>3417</v>
      </c>
      <c r="C7146" s="22" t="s">
        <v>26</v>
      </c>
      <c r="D7146">
        <v>1</v>
      </c>
      <c r="G7146" s="30">
        <f>Table132[[#This Row],[nb win]]/Table132[[#This Row],[nb play]]</f>
        <v>0</v>
      </c>
      <c r="H7146" s="26" t="str">
        <f>MID(Table132[[#This Row],[ÉTAT]],VALUE(RIGHT(Table132[[#This Row],[next move]],1))+1+VALUE(LEFT(Table132[[#This Row],[next move]],1))*3,1)</f>
        <v>V</v>
      </c>
      <c r="I7146" s="26" t="str">
        <f>Table132[[#This Row],[ÉTAT]]&amp;Table132[[#This Row],[next move]]</f>
        <v>MVVVMEVVE01</v>
      </c>
    </row>
    <row r="7147" spans="2:9" x14ac:dyDescent="0.25">
      <c r="B7147" t="s">
        <v>1655</v>
      </c>
      <c r="C7147" s="22" t="s">
        <v>22</v>
      </c>
      <c r="D7147">
        <v>1</v>
      </c>
      <c r="E7147">
        <v>1</v>
      </c>
      <c r="G7147" s="31">
        <f>Table132[[#This Row],[nb win]]/Table132[[#This Row],[nb play]]</f>
        <v>1</v>
      </c>
      <c r="H7147" s="26" t="str">
        <f>MID(Table132[[#This Row],[ÉTAT]],VALUE(RIGHT(Table132[[#This Row],[next move]],1))+1+VALUE(LEFT(Table132[[#This Row],[next move]],1))*3,1)</f>
        <v>V</v>
      </c>
      <c r="I7147" s="26" t="str">
        <f>Table132[[#This Row],[ÉTAT]]&amp;Table132[[#This Row],[next move]]</f>
        <v>EEVVEMVVM21</v>
      </c>
    </row>
    <row r="7148" spans="2:9" x14ac:dyDescent="0.25">
      <c r="B7148" t="s">
        <v>3645</v>
      </c>
      <c r="C7148" s="22" t="s">
        <v>30</v>
      </c>
      <c r="D7148">
        <v>1</v>
      </c>
      <c r="G7148" s="30">
        <f>Table132[[#This Row],[nb win]]/Table132[[#This Row],[nb play]]</f>
        <v>0</v>
      </c>
      <c r="H7148" s="26" t="str">
        <f>MID(Table132[[#This Row],[ÉTAT]],VALUE(RIGHT(Table132[[#This Row],[next move]],1))+1+VALUE(LEFT(Table132[[#This Row],[next move]],1))*3,1)</f>
        <v>V</v>
      </c>
      <c r="I7148" s="26" t="str">
        <f>Table132[[#This Row],[ÉTAT]]&amp;Table132[[#This Row],[next move]]</f>
        <v>MMVVMEVEE10</v>
      </c>
    </row>
    <row r="7149" spans="2:9" x14ac:dyDescent="0.25">
      <c r="B7149" t="s">
        <v>645</v>
      </c>
      <c r="C7149" s="22" t="s">
        <v>35</v>
      </c>
      <c r="D7149">
        <v>1</v>
      </c>
      <c r="E7149">
        <v>1</v>
      </c>
      <c r="G7149" s="31">
        <f>Table132[[#This Row],[nb win]]/Table132[[#This Row],[nb play]]</f>
        <v>1</v>
      </c>
      <c r="H7149" s="26" t="str">
        <f>MID(Table132[[#This Row],[ÉTAT]],VALUE(RIGHT(Table132[[#This Row],[next move]],1))+1+VALUE(LEFT(Table132[[#This Row],[next move]],1))*3,1)</f>
        <v>V</v>
      </c>
      <c r="I7149" s="26" t="str">
        <f>Table132[[#This Row],[ÉTAT]]&amp;Table132[[#This Row],[next move]]</f>
        <v>EEVEEMVMM20</v>
      </c>
    </row>
    <row r="7150" spans="2:9" x14ac:dyDescent="0.25">
      <c r="B7150" t="s">
        <v>1804</v>
      </c>
      <c r="C7150" s="22" t="s">
        <v>30</v>
      </c>
      <c r="D7150">
        <v>1</v>
      </c>
      <c r="E7150">
        <v>1</v>
      </c>
      <c r="G7150" s="31">
        <f>Table132[[#This Row],[nb win]]/Table132[[#This Row],[nb play]]</f>
        <v>1</v>
      </c>
      <c r="H7150" s="26" t="str">
        <f>MID(Table132[[#This Row],[ÉTAT]],VALUE(RIGHT(Table132[[#This Row],[next move]],1))+1+VALUE(LEFT(Table132[[#This Row],[next move]],1))*3,1)</f>
        <v>V</v>
      </c>
      <c r="I7150" s="26" t="str">
        <f>Table132[[#This Row],[ÉTAT]]&amp;Table132[[#This Row],[next move]]</f>
        <v>VVVVEMVEV10</v>
      </c>
    </row>
    <row r="7151" spans="2:9" x14ac:dyDescent="0.25">
      <c r="B7151" t="s">
        <v>2392</v>
      </c>
      <c r="C7151" s="22" t="s">
        <v>35</v>
      </c>
      <c r="D7151">
        <v>1</v>
      </c>
      <c r="G7151" s="30">
        <f>Table132[[#This Row],[nb win]]/Table132[[#This Row],[nb play]]</f>
        <v>0</v>
      </c>
      <c r="H7151" s="26" t="str">
        <f>MID(Table132[[#This Row],[ÉTAT]],VALUE(RIGHT(Table132[[#This Row],[next move]],1))+1+VALUE(LEFT(Table132[[#This Row],[next move]],1))*3,1)</f>
        <v>V</v>
      </c>
      <c r="I7151" s="26" t="str">
        <f>Table132[[#This Row],[ÉTAT]]&amp;Table132[[#This Row],[next move]]</f>
        <v>VVVEMEVMV20</v>
      </c>
    </row>
    <row r="7152" spans="2:9" x14ac:dyDescent="0.25">
      <c r="B7152" t="s">
        <v>3646</v>
      </c>
      <c r="C7152" s="22" t="s">
        <v>20</v>
      </c>
      <c r="D7152">
        <v>1</v>
      </c>
      <c r="E7152">
        <v>1</v>
      </c>
      <c r="G7152" s="31">
        <f>Table132[[#This Row],[nb win]]/Table132[[#This Row],[nb play]]</f>
        <v>1</v>
      </c>
      <c r="H7152" s="26" t="str">
        <f>MID(Table132[[#This Row],[ÉTAT]],VALUE(RIGHT(Table132[[#This Row],[next move]],1))+1+VALUE(LEFT(Table132[[#This Row],[next move]],1))*3,1)</f>
        <v>V</v>
      </c>
      <c r="I7152" s="26" t="str">
        <f>Table132[[#This Row],[ÉTAT]]&amp;Table132[[#This Row],[next move]]</f>
        <v>VVVMEMEEV02</v>
      </c>
    </row>
    <row r="7153" spans="2:9" x14ac:dyDescent="0.25">
      <c r="B7153" t="s">
        <v>2106</v>
      </c>
      <c r="C7153" s="22" t="s">
        <v>24</v>
      </c>
      <c r="D7153">
        <v>1</v>
      </c>
      <c r="G7153" s="30">
        <f>Table132[[#This Row],[nb win]]/Table132[[#This Row],[nb play]]</f>
        <v>0</v>
      </c>
      <c r="H7153" s="26" t="str">
        <f>MID(Table132[[#This Row],[ÉTAT]],VALUE(RIGHT(Table132[[#This Row],[next move]],1))+1+VALUE(LEFT(Table132[[#This Row],[next move]],1))*3,1)</f>
        <v>V</v>
      </c>
      <c r="I7153" s="26" t="str">
        <f>Table132[[#This Row],[ÉTAT]]&amp;Table132[[#This Row],[next move]]</f>
        <v>VVEEMEMMV00</v>
      </c>
    </row>
    <row r="7154" spans="2:9" x14ac:dyDescent="0.25">
      <c r="B7154" t="s">
        <v>3647</v>
      </c>
      <c r="C7154" s="22" t="s">
        <v>31</v>
      </c>
      <c r="D7154">
        <v>1</v>
      </c>
      <c r="E7154">
        <v>1</v>
      </c>
      <c r="G7154" s="31">
        <f>Table132[[#This Row],[nb win]]/Table132[[#This Row],[nb play]]</f>
        <v>1</v>
      </c>
      <c r="H7154" s="26" t="str">
        <f>MID(Table132[[#This Row],[ÉTAT]],VALUE(RIGHT(Table132[[#This Row],[next move]],1))+1+VALUE(LEFT(Table132[[#This Row],[next move]],1))*3,1)</f>
        <v>V</v>
      </c>
      <c r="I7154" s="26" t="str">
        <f>Table132[[#This Row],[ÉTAT]]&amp;Table132[[#This Row],[next move]]</f>
        <v>EVMMEMEEV22</v>
      </c>
    </row>
    <row r="7155" spans="2:9" x14ac:dyDescent="0.25">
      <c r="B7155" t="s">
        <v>452</v>
      </c>
      <c r="C7155" s="22" t="s">
        <v>26</v>
      </c>
      <c r="D7155">
        <v>1</v>
      </c>
      <c r="G7155" s="30">
        <f>Table132[[#This Row],[nb win]]/Table132[[#This Row],[nb play]]</f>
        <v>0</v>
      </c>
      <c r="H7155" s="26" t="str">
        <f>MID(Table132[[#This Row],[ÉTAT]],VALUE(RIGHT(Table132[[#This Row],[next move]],1))+1+VALUE(LEFT(Table132[[#This Row],[next move]],1))*3,1)</f>
        <v>V</v>
      </c>
      <c r="I7155" s="26" t="str">
        <f>Table132[[#This Row],[ÉTAT]]&amp;Table132[[#This Row],[next move]]</f>
        <v>VVVEEVVMM01</v>
      </c>
    </row>
    <row r="7156" spans="2:9" x14ac:dyDescent="0.25">
      <c r="B7156" t="s">
        <v>3648</v>
      </c>
      <c r="C7156" s="22" t="s">
        <v>28</v>
      </c>
      <c r="D7156">
        <v>1</v>
      </c>
      <c r="E7156">
        <v>1</v>
      </c>
      <c r="G7156" s="31">
        <f>Table132[[#This Row],[nb win]]/Table132[[#This Row],[nb play]]</f>
        <v>1</v>
      </c>
      <c r="H7156" s="26" t="str">
        <f>MID(Table132[[#This Row],[ÉTAT]],VALUE(RIGHT(Table132[[#This Row],[next move]],1))+1+VALUE(LEFT(Table132[[#This Row],[next move]],1))*3,1)</f>
        <v>V</v>
      </c>
      <c r="I7156" s="26" t="str">
        <f>Table132[[#This Row],[ÉTAT]]&amp;Table132[[#This Row],[next move]]</f>
        <v>VEVMMVVEE12</v>
      </c>
    </row>
    <row r="7157" spans="2:9" x14ac:dyDescent="0.25">
      <c r="B7157" t="s">
        <v>1987</v>
      </c>
      <c r="C7157" s="22" t="s">
        <v>30</v>
      </c>
      <c r="D7157">
        <v>1</v>
      </c>
      <c r="G7157" s="30">
        <f>Table132[[#This Row],[nb win]]/Table132[[#This Row],[nb play]]</f>
        <v>0</v>
      </c>
      <c r="H7157" s="26" t="str">
        <f>MID(Table132[[#This Row],[ÉTAT]],VALUE(RIGHT(Table132[[#This Row],[next move]],1))+1+VALUE(LEFT(Table132[[#This Row],[next move]],1))*3,1)</f>
        <v>V</v>
      </c>
      <c r="I7157" s="26" t="str">
        <f>Table132[[#This Row],[ÉTAT]]&amp;Table132[[#This Row],[next move]]</f>
        <v>EMVVMVVEE10</v>
      </c>
    </row>
    <row r="7158" spans="2:9" x14ac:dyDescent="0.25">
      <c r="B7158" t="s">
        <v>3649</v>
      </c>
      <c r="C7158" s="22" t="s">
        <v>35</v>
      </c>
      <c r="D7158">
        <v>1</v>
      </c>
      <c r="E7158">
        <v>1</v>
      </c>
      <c r="G7158" s="31">
        <f>Table132[[#This Row],[nb win]]/Table132[[#This Row],[nb play]]</f>
        <v>1</v>
      </c>
      <c r="H7158" s="26" t="str">
        <f>MID(Table132[[#This Row],[ÉTAT]],VALUE(RIGHT(Table132[[#This Row],[next move]],1))+1+VALUE(LEFT(Table132[[#This Row],[next move]],1))*3,1)</f>
        <v>V</v>
      </c>
      <c r="I7158" s="26" t="str">
        <f>Table132[[#This Row],[ÉTAT]]&amp;Table132[[#This Row],[next move]]</f>
        <v>MEVEEVVMM20</v>
      </c>
    </row>
    <row r="7159" spans="2:9" x14ac:dyDescent="0.25">
      <c r="B7159" t="s">
        <v>3616</v>
      </c>
      <c r="C7159" s="22" t="s">
        <v>24</v>
      </c>
      <c r="D7159">
        <v>1</v>
      </c>
      <c r="E7159">
        <v>1</v>
      </c>
      <c r="G7159" s="31">
        <f>Table132[[#This Row],[nb win]]/Table132[[#This Row],[nb play]]</f>
        <v>1</v>
      </c>
      <c r="H7159" s="26" t="str">
        <f>MID(Table132[[#This Row],[ÉTAT]],VALUE(RIGHT(Table132[[#This Row],[next move]],1))+1+VALUE(LEFT(Table132[[#This Row],[next move]],1))*3,1)</f>
        <v>V</v>
      </c>
      <c r="I7159" s="26" t="str">
        <f>Table132[[#This Row],[ÉTAT]]&amp;Table132[[#This Row],[next move]]</f>
        <v>VEEVMVMVV00</v>
      </c>
    </row>
    <row r="7160" spans="2:9" x14ac:dyDescent="0.25">
      <c r="B7160" t="s">
        <v>3650</v>
      </c>
      <c r="C7160" s="22" t="s">
        <v>30</v>
      </c>
      <c r="D7160">
        <v>1</v>
      </c>
      <c r="G7160" s="30">
        <f>Table132[[#This Row],[nb win]]/Table132[[#This Row],[nb play]]</f>
        <v>0</v>
      </c>
      <c r="H7160" s="26" t="str">
        <f>MID(Table132[[#This Row],[ÉTAT]],VALUE(RIGHT(Table132[[#This Row],[next move]],1))+1+VALUE(LEFT(Table132[[#This Row],[next move]],1))*3,1)</f>
        <v>V</v>
      </c>
      <c r="I7160" s="26" t="str">
        <f>Table132[[#This Row],[ÉTAT]]&amp;Table132[[#This Row],[next move]]</f>
        <v>EMMVEVEVV10</v>
      </c>
    </row>
    <row r="7161" spans="2:9" x14ac:dyDescent="0.25">
      <c r="B7161" t="s">
        <v>2238</v>
      </c>
      <c r="C7161" s="22" t="s">
        <v>31</v>
      </c>
      <c r="D7161">
        <v>1</v>
      </c>
      <c r="E7161">
        <v>1</v>
      </c>
      <c r="G7161" s="31">
        <f>Table132[[#This Row],[nb win]]/Table132[[#This Row],[nb play]]</f>
        <v>1</v>
      </c>
      <c r="H7161" s="26" t="str">
        <f>MID(Table132[[#This Row],[ÉTAT]],VALUE(RIGHT(Table132[[#This Row],[next move]],1))+1+VALUE(LEFT(Table132[[#This Row],[next move]],1))*3,1)</f>
        <v>V</v>
      </c>
      <c r="I7161" s="26" t="str">
        <f>Table132[[#This Row],[ÉTAT]]&amp;Table132[[#This Row],[next move]]</f>
        <v>MEEEMVMVV22</v>
      </c>
    </row>
    <row r="7162" spans="2:9" x14ac:dyDescent="0.25">
      <c r="B7162" t="s">
        <v>1116</v>
      </c>
      <c r="C7162" s="22" t="s">
        <v>30</v>
      </c>
      <c r="D7162">
        <v>1</v>
      </c>
      <c r="G7162" s="30">
        <f>Table132[[#This Row],[nb win]]/Table132[[#This Row],[nb play]]</f>
        <v>0</v>
      </c>
      <c r="H7162" s="26" t="str">
        <f>MID(Table132[[#This Row],[ÉTAT]],VALUE(RIGHT(Table132[[#This Row],[next move]],1))+1+VALUE(LEFT(Table132[[#This Row],[next move]],1))*3,1)</f>
        <v>V</v>
      </c>
      <c r="I7162" s="26" t="str">
        <f>Table132[[#This Row],[ÉTAT]]&amp;Table132[[#This Row],[next move]]</f>
        <v>VVMVEVVVE10</v>
      </c>
    </row>
    <row r="7163" spans="2:9" x14ac:dyDescent="0.25">
      <c r="B7163" t="s">
        <v>285</v>
      </c>
      <c r="C7163" s="22" t="s">
        <v>24</v>
      </c>
      <c r="D7163">
        <v>1</v>
      </c>
      <c r="E7163">
        <v>1</v>
      </c>
      <c r="G7163" s="31">
        <f>Table132[[#This Row],[nb win]]/Table132[[#This Row],[nb play]]</f>
        <v>1</v>
      </c>
      <c r="H7163" s="26" t="str">
        <f>MID(Table132[[#This Row],[ÉTAT]],VALUE(RIGHT(Table132[[#This Row],[next move]],1))+1+VALUE(LEFT(Table132[[#This Row],[next move]],1))*3,1)</f>
        <v>V</v>
      </c>
      <c r="I7163" s="26" t="str">
        <f>Table132[[#This Row],[ÉTAT]]&amp;Table132[[#This Row],[next move]]</f>
        <v>VVEEMVVVM00</v>
      </c>
    </row>
    <row r="7164" spans="2:9" x14ac:dyDescent="0.25">
      <c r="B7164" t="s">
        <v>3203</v>
      </c>
      <c r="C7164" s="22" t="s">
        <v>28</v>
      </c>
      <c r="D7164">
        <v>1</v>
      </c>
      <c r="G7164" s="30">
        <f>Table132[[#This Row],[nb win]]/Table132[[#This Row],[nb play]]</f>
        <v>0</v>
      </c>
      <c r="H7164" s="26" t="str">
        <f>MID(Table132[[#This Row],[ÉTAT]],VALUE(RIGHT(Table132[[#This Row],[next move]],1))+1+VALUE(LEFT(Table132[[#This Row],[next move]],1))*3,1)</f>
        <v>V</v>
      </c>
      <c r="I7164" s="26" t="str">
        <f>Table132[[#This Row],[ÉTAT]]&amp;Table132[[#This Row],[next move]]</f>
        <v>EVEVMVEVM12</v>
      </c>
    </row>
    <row r="7165" spans="2:9" x14ac:dyDescent="0.25">
      <c r="B7165" t="s">
        <v>3651</v>
      </c>
      <c r="C7165" s="22" t="s">
        <v>30</v>
      </c>
      <c r="D7165">
        <v>1</v>
      </c>
      <c r="E7165">
        <v>1</v>
      </c>
      <c r="G7165" s="31">
        <f>Table132[[#This Row],[nb win]]/Table132[[#This Row],[nb play]]</f>
        <v>1</v>
      </c>
      <c r="H7165" s="26" t="str">
        <f>MID(Table132[[#This Row],[ÉTAT]],VALUE(RIGHT(Table132[[#This Row],[next move]],1))+1+VALUE(LEFT(Table132[[#This Row],[next move]],1))*3,1)</f>
        <v>V</v>
      </c>
      <c r="I7165" s="26" t="str">
        <f>Table132[[#This Row],[ÉTAT]]&amp;Table132[[#This Row],[next move]]</f>
        <v>MVMVEEMVE10</v>
      </c>
    </row>
    <row r="7166" spans="2:9" x14ac:dyDescent="0.25">
      <c r="B7166" t="s">
        <v>2610</v>
      </c>
      <c r="C7166" s="22" t="s">
        <v>30</v>
      </c>
      <c r="D7166">
        <v>1</v>
      </c>
      <c r="E7166">
        <v>1</v>
      </c>
      <c r="G7166" s="31">
        <f>Table132[[#This Row],[nb win]]/Table132[[#This Row],[nb play]]</f>
        <v>1</v>
      </c>
      <c r="H7166" s="26" t="str">
        <f>MID(Table132[[#This Row],[ÉTAT]],VALUE(RIGHT(Table132[[#This Row],[next move]],1))+1+VALUE(LEFT(Table132[[#This Row],[next move]],1))*3,1)</f>
        <v>V</v>
      </c>
      <c r="I7166" s="26" t="str">
        <f>Table132[[#This Row],[ÉTAT]]&amp;Table132[[#This Row],[next move]]</f>
        <v>VVVVMVEEM10</v>
      </c>
    </row>
    <row r="7167" spans="2:9" x14ac:dyDescent="0.25">
      <c r="B7167" t="s">
        <v>3608</v>
      </c>
      <c r="C7167" s="22" t="s">
        <v>20</v>
      </c>
      <c r="D7167">
        <v>1</v>
      </c>
      <c r="E7167">
        <v>1</v>
      </c>
      <c r="G7167" s="31">
        <f>Table132[[#This Row],[nb win]]/Table132[[#This Row],[nb play]]</f>
        <v>1</v>
      </c>
      <c r="H7167" s="26" t="str">
        <f>MID(Table132[[#This Row],[ÉTAT]],VALUE(RIGHT(Table132[[#This Row],[next move]],1))+1+VALUE(LEFT(Table132[[#This Row],[next move]],1))*3,1)</f>
        <v>V</v>
      </c>
      <c r="I7167" s="26" t="str">
        <f>Table132[[#This Row],[ÉTAT]]&amp;Table132[[#This Row],[next move]]</f>
        <v>VVVVEMEEM02</v>
      </c>
    </row>
    <row r="7168" spans="2:9" x14ac:dyDescent="0.25">
      <c r="B7168" t="s">
        <v>1918</v>
      </c>
      <c r="C7168" s="22" t="s">
        <v>26</v>
      </c>
      <c r="D7168">
        <v>1</v>
      </c>
      <c r="G7168" s="30">
        <f>Table132[[#This Row],[nb win]]/Table132[[#This Row],[nb play]]</f>
        <v>0</v>
      </c>
      <c r="H7168" s="26" t="str">
        <f>MID(Table132[[#This Row],[ÉTAT]],VALUE(RIGHT(Table132[[#This Row],[next move]],1))+1+VALUE(LEFT(Table132[[#This Row],[next move]],1))*3,1)</f>
        <v>V</v>
      </c>
      <c r="I7168" s="26" t="str">
        <f>Table132[[#This Row],[ÉTAT]]&amp;Table132[[#This Row],[next move]]</f>
        <v>VVVVEVMEM01</v>
      </c>
    </row>
    <row r="7169" spans="2:9" x14ac:dyDescent="0.25">
      <c r="B7169" t="s">
        <v>3098</v>
      </c>
      <c r="C7169" s="22" t="s">
        <v>28</v>
      </c>
      <c r="D7169">
        <v>1</v>
      </c>
      <c r="E7169">
        <v>1</v>
      </c>
      <c r="G7169" s="31">
        <f>Table132[[#This Row],[nb win]]/Table132[[#This Row],[nb play]]</f>
        <v>1</v>
      </c>
      <c r="H7169" s="26" t="str">
        <f>MID(Table132[[#This Row],[ÉTAT]],VALUE(RIGHT(Table132[[#This Row],[next move]],1))+1+VALUE(LEFT(Table132[[#This Row],[next move]],1))*3,1)</f>
        <v>V</v>
      </c>
      <c r="I7169" s="26" t="str">
        <f>Table132[[#This Row],[ÉTAT]]&amp;Table132[[#This Row],[next move]]</f>
        <v>VEVVMVEME12</v>
      </c>
    </row>
    <row r="7170" spans="2:9" x14ac:dyDescent="0.25">
      <c r="B7170" t="s">
        <v>3283</v>
      </c>
      <c r="C7170" s="22" t="s">
        <v>20</v>
      </c>
      <c r="D7170">
        <v>2</v>
      </c>
      <c r="E7170">
        <v>2</v>
      </c>
      <c r="G7170" s="31">
        <f>Table132[[#This Row],[nb win]]/Table132[[#This Row],[nb play]]</f>
        <v>1</v>
      </c>
      <c r="H7170" s="26" t="str">
        <f>MID(Table132[[#This Row],[ÉTAT]],VALUE(RIGHT(Table132[[#This Row],[next move]],1))+1+VALUE(LEFT(Table132[[#This Row],[next move]],1))*3,1)</f>
        <v>V</v>
      </c>
      <c r="I7170" s="26" t="str">
        <f>Table132[[#This Row],[ÉTAT]]&amp;Table132[[#This Row],[next move]]</f>
        <v>MMVVEEVVV02</v>
      </c>
    </row>
    <row r="7171" spans="2:9" x14ac:dyDescent="0.25">
      <c r="B7171" t="s">
        <v>1116</v>
      </c>
      <c r="C7171" s="22" t="s">
        <v>22</v>
      </c>
      <c r="D7171">
        <v>1</v>
      </c>
      <c r="G7171" s="30">
        <f>Table132[[#This Row],[nb win]]/Table132[[#This Row],[nb play]]</f>
        <v>0</v>
      </c>
      <c r="H7171" s="26" t="str">
        <f>MID(Table132[[#This Row],[ÉTAT]],VALUE(RIGHT(Table132[[#This Row],[next move]],1))+1+VALUE(LEFT(Table132[[#This Row],[next move]],1))*3,1)</f>
        <v>V</v>
      </c>
      <c r="I7171" s="26" t="str">
        <f>Table132[[#This Row],[ÉTAT]]&amp;Table132[[#This Row],[next move]]</f>
        <v>VVMVEVVVE21</v>
      </c>
    </row>
    <row r="7172" spans="2:9" x14ac:dyDescent="0.25">
      <c r="B7172" t="s">
        <v>1398</v>
      </c>
      <c r="C7172" s="22" t="s">
        <v>22</v>
      </c>
      <c r="D7172">
        <v>1</v>
      </c>
      <c r="G7172" s="30">
        <f>Table132[[#This Row],[nb win]]/Table132[[#This Row],[nb play]]</f>
        <v>0</v>
      </c>
      <c r="H7172" s="26" t="str">
        <f>MID(Table132[[#This Row],[ÉTAT]],VALUE(RIGHT(Table132[[#This Row],[next move]],1))+1+VALUE(LEFT(Table132[[#This Row],[next move]],1))*3,1)</f>
        <v>V</v>
      </c>
      <c r="I7172" s="26" t="str">
        <f>Table132[[#This Row],[ÉTAT]]&amp;Table132[[#This Row],[next move]]</f>
        <v>VEVVMVVVE21</v>
      </c>
    </row>
    <row r="7173" spans="2:9" x14ac:dyDescent="0.25">
      <c r="B7173" t="s">
        <v>1196</v>
      </c>
      <c r="C7173" s="22" t="s">
        <v>28</v>
      </c>
      <c r="D7173">
        <v>1</v>
      </c>
      <c r="E7173">
        <v>1</v>
      </c>
      <c r="G7173" s="31">
        <f>Table132[[#This Row],[nb win]]/Table132[[#This Row],[nb play]]</f>
        <v>1</v>
      </c>
      <c r="H7173" s="26" t="str">
        <f>MID(Table132[[#This Row],[ÉTAT]],VALUE(RIGHT(Table132[[#This Row],[next move]],1))+1+VALUE(LEFT(Table132[[#This Row],[next move]],1))*3,1)</f>
        <v>V</v>
      </c>
      <c r="I7173" s="26" t="str">
        <f>Table132[[#This Row],[ÉTAT]]&amp;Table132[[#This Row],[next move]]</f>
        <v>VMVVEVVEM12</v>
      </c>
    </row>
    <row r="7174" spans="2:9" x14ac:dyDescent="0.25">
      <c r="B7174" t="s">
        <v>3652</v>
      </c>
      <c r="C7174" s="22" t="s">
        <v>30</v>
      </c>
      <c r="D7174">
        <v>1</v>
      </c>
      <c r="G7174" s="30">
        <f>Table132[[#This Row],[nb win]]/Table132[[#This Row],[nb play]]</f>
        <v>0</v>
      </c>
      <c r="H7174" s="26" t="str">
        <f>MID(Table132[[#This Row],[ÉTAT]],VALUE(RIGHT(Table132[[#This Row],[next move]],1))+1+VALUE(LEFT(Table132[[#This Row],[next move]],1))*3,1)</f>
        <v>V</v>
      </c>
      <c r="I7174" s="26" t="str">
        <f>Table132[[#This Row],[ÉTAT]]&amp;Table132[[#This Row],[next move]]</f>
        <v>VEVVMEVME10</v>
      </c>
    </row>
    <row r="7175" spans="2:9" x14ac:dyDescent="0.25">
      <c r="B7175" t="s">
        <v>2795</v>
      </c>
      <c r="C7175" s="22" t="s">
        <v>24</v>
      </c>
      <c r="D7175">
        <v>2</v>
      </c>
      <c r="G7175" s="30">
        <f>Table132[[#This Row],[nb win]]/Table132[[#This Row],[nb play]]</f>
        <v>0</v>
      </c>
      <c r="H7175" s="26" t="str">
        <f>MID(Table132[[#This Row],[ÉTAT]],VALUE(RIGHT(Table132[[#This Row],[next move]],1))+1+VALUE(LEFT(Table132[[#This Row],[next move]],1))*3,1)</f>
        <v>V</v>
      </c>
      <c r="I7175" s="26" t="str">
        <f>Table132[[#This Row],[ÉTAT]]&amp;Table132[[#This Row],[next move]]</f>
        <v>VVMVEVMEE00</v>
      </c>
    </row>
    <row r="7176" spans="2:9" x14ac:dyDescent="0.25">
      <c r="B7176" t="s">
        <v>3595</v>
      </c>
      <c r="C7176" s="22" t="s">
        <v>28</v>
      </c>
      <c r="D7176">
        <v>1</v>
      </c>
      <c r="G7176" s="30">
        <f>Table132[[#This Row],[nb win]]/Table132[[#This Row],[nb play]]</f>
        <v>0</v>
      </c>
      <c r="H7176" s="26" t="str">
        <f>MID(Table132[[#This Row],[ÉTAT]],VALUE(RIGHT(Table132[[#This Row],[next move]],1))+1+VALUE(LEFT(Table132[[#This Row],[next move]],1))*3,1)</f>
        <v>V</v>
      </c>
      <c r="I7176" s="26" t="str">
        <f>Table132[[#This Row],[ÉTAT]]&amp;Table132[[#This Row],[next move]]</f>
        <v>EMVVEVMEV12</v>
      </c>
    </row>
    <row r="7177" spans="2:9" x14ac:dyDescent="0.25">
      <c r="B7177" t="s">
        <v>3653</v>
      </c>
      <c r="C7177" s="22" t="s">
        <v>31</v>
      </c>
      <c r="D7177">
        <v>1</v>
      </c>
      <c r="E7177">
        <v>1</v>
      </c>
      <c r="G7177" s="31">
        <f>Table132[[#This Row],[nb win]]/Table132[[#This Row],[nb play]]</f>
        <v>1</v>
      </c>
      <c r="H7177" s="26" t="str">
        <f>MID(Table132[[#This Row],[ÉTAT]],VALUE(RIGHT(Table132[[#This Row],[next move]],1))+1+VALUE(LEFT(Table132[[#This Row],[next move]],1))*3,1)</f>
        <v>V</v>
      </c>
      <c r="I7177" s="26" t="str">
        <f>Table132[[#This Row],[ÉTAT]]&amp;Table132[[#This Row],[next move]]</f>
        <v>MEVVMEEMV22</v>
      </c>
    </row>
    <row r="7178" spans="2:9" x14ac:dyDescent="0.25">
      <c r="B7178" t="s">
        <v>155</v>
      </c>
      <c r="C7178" s="22" t="s">
        <v>28</v>
      </c>
      <c r="D7178">
        <v>2</v>
      </c>
      <c r="E7178">
        <v>2</v>
      </c>
      <c r="G7178" s="31">
        <f>Table132[[#This Row],[nb win]]/Table132[[#This Row],[nb play]]</f>
        <v>1</v>
      </c>
      <c r="H7178" s="26" t="str">
        <f>MID(Table132[[#This Row],[ÉTAT]],VALUE(RIGHT(Table132[[#This Row],[next move]],1))+1+VALUE(LEFT(Table132[[#This Row],[next move]],1))*3,1)</f>
        <v>V</v>
      </c>
      <c r="I7178" s="26" t="str">
        <f>Table132[[#This Row],[ÉTAT]]&amp;Table132[[#This Row],[next move]]</f>
        <v>EVVMMVVEV12</v>
      </c>
    </row>
    <row r="7179" spans="2:9" x14ac:dyDescent="0.25">
      <c r="B7179" t="s">
        <v>710</v>
      </c>
      <c r="C7179" s="22" t="s">
        <v>35</v>
      </c>
      <c r="D7179">
        <v>2</v>
      </c>
      <c r="E7179">
        <v>2</v>
      </c>
      <c r="G7179" s="31">
        <f>Table132[[#This Row],[nb win]]/Table132[[#This Row],[nb play]]</f>
        <v>1</v>
      </c>
      <c r="H7179" s="26" t="str">
        <f>MID(Table132[[#This Row],[ÉTAT]],VALUE(RIGHT(Table132[[#This Row],[next move]],1))+1+VALUE(LEFT(Table132[[#This Row],[next move]],1))*3,1)</f>
        <v>V</v>
      </c>
      <c r="I7179" s="26" t="str">
        <f>Table132[[#This Row],[ÉTAT]]&amp;Table132[[#This Row],[next move]]</f>
        <v>VVVVEEVMM20</v>
      </c>
    </row>
    <row r="7180" spans="2:9" x14ac:dyDescent="0.25">
      <c r="B7180" t="s">
        <v>462</v>
      </c>
      <c r="C7180" s="22" t="s">
        <v>20</v>
      </c>
      <c r="D7180">
        <v>1</v>
      </c>
      <c r="G7180" s="30">
        <f>Table132[[#This Row],[nb win]]/Table132[[#This Row],[nb play]]</f>
        <v>0</v>
      </c>
      <c r="H7180" s="26" t="str">
        <f>MID(Table132[[#This Row],[ÉTAT]],VALUE(RIGHT(Table132[[#This Row],[next move]],1))+1+VALUE(LEFT(Table132[[#This Row],[next move]],1))*3,1)</f>
        <v>V</v>
      </c>
      <c r="I7180" s="26" t="str">
        <f>Table132[[#This Row],[ÉTAT]]&amp;Table132[[#This Row],[next move]]</f>
        <v>EVVVEVMEM02</v>
      </c>
    </row>
    <row r="7181" spans="2:9" x14ac:dyDescent="0.25">
      <c r="B7181" t="s">
        <v>1701</v>
      </c>
      <c r="C7181" s="22" t="s">
        <v>26</v>
      </c>
      <c r="D7181">
        <v>1</v>
      </c>
      <c r="E7181">
        <v>1</v>
      </c>
      <c r="G7181" s="31">
        <f>Table132[[#This Row],[nb win]]/Table132[[#This Row],[nb play]]</f>
        <v>1</v>
      </c>
      <c r="H7181" s="26" t="str">
        <f>MID(Table132[[#This Row],[ÉTAT]],VALUE(RIGHT(Table132[[#This Row],[next move]],1))+1+VALUE(LEFT(Table132[[#This Row],[next move]],1))*3,1)</f>
        <v>V</v>
      </c>
      <c r="I7181" s="26" t="str">
        <f>Table132[[#This Row],[ÉTAT]]&amp;Table132[[#This Row],[next move]]</f>
        <v>MVEVMVEME01</v>
      </c>
    </row>
    <row r="7182" spans="2:9" x14ac:dyDescent="0.25">
      <c r="B7182" t="s">
        <v>1846</v>
      </c>
      <c r="C7182" s="22" t="s">
        <v>35</v>
      </c>
      <c r="D7182">
        <v>2</v>
      </c>
      <c r="G7182" s="30">
        <f>Table132[[#This Row],[nb win]]/Table132[[#This Row],[nb play]]</f>
        <v>0</v>
      </c>
      <c r="H7182" s="26" t="str">
        <f>MID(Table132[[#This Row],[ÉTAT]],VALUE(RIGHT(Table132[[#This Row],[next move]],1))+1+VALUE(LEFT(Table132[[#This Row],[next move]],1))*3,1)</f>
        <v>V</v>
      </c>
      <c r="I7182" s="26" t="str">
        <f>Table132[[#This Row],[ÉTAT]]&amp;Table132[[#This Row],[next move]]</f>
        <v>MVVVEEVVM20</v>
      </c>
    </row>
    <row r="7183" spans="2:9" x14ac:dyDescent="0.25">
      <c r="B7183" t="s">
        <v>2036</v>
      </c>
      <c r="C7183" s="22" t="s">
        <v>28</v>
      </c>
      <c r="D7183">
        <v>1</v>
      </c>
      <c r="E7183">
        <v>1</v>
      </c>
      <c r="G7183" s="31">
        <f>Table132[[#This Row],[nb win]]/Table132[[#This Row],[nb play]]</f>
        <v>1</v>
      </c>
      <c r="H7183" s="26" t="str">
        <f>MID(Table132[[#This Row],[ÉTAT]],VALUE(RIGHT(Table132[[#This Row],[next move]],1))+1+VALUE(LEFT(Table132[[#This Row],[next move]],1))*3,1)</f>
        <v>V</v>
      </c>
      <c r="I7183" s="26" t="str">
        <f>Table132[[#This Row],[ÉTAT]]&amp;Table132[[#This Row],[next move]]</f>
        <v>VEMEEVMVM12</v>
      </c>
    </row>
    <row r="7184" spans="2:9" x14ac:dyDescent="0.25">
      <c r="B7184" t="s">
        <v>1532</v>
      </c>
      <c r="C7184" s="22" t="s">
        <v>30</v>
      </c>
      <c r="D7184">
        <v>1</v>
      </c>
      <c r="G7184" s="30">
        <f>Table132[[#This Row],[nb win]]/Table132[[#This Row],[nb play]]</f>
        <v>0</v>
      </c>
      <c r="H7184" s="26" t="str">
        <f>MID(Table132[[#This Row],[ÉTAT]],VALUE(RIGHT(Table132[[#This Row],[next move]],1))+1+VALUE(LEFT(Table132[[#This Row],[next move]],1))*3,1)</f>
        <v>V</v>
      </c>
      <c r="I7184" s="26" t="str">
        <f>Table132[[#This Row],[ÉTAT]]&amp;Table132[[#This Row],[next move]]</f>
        <v>VVEVEVMEM10</v>
      </c>
    </row>
    <row r="7185" spans="2:9" x14ac:dyDescent="0.25">
      <c r="B7185" t="s">
        <v>186</v>
      </c>
      <c r="C7185" s="22" t="s">
        <v>20</v>
      </c>
      <c r="D7185">
        <v>1</v>
      </c>
      <c r="G7185" s="30">
        <f>Table132[[#This Row],[nb win]]/Table132[[#This Row],[nb play]]</f>
        <v>0</v>
      </c>
      <c r="H7185" s="26" t="str">
        <f>MID(Table132[[#This Row],[ÉTAT]],VALUE(RIGHT(Table132[[#This Row],[next move]],1))+1+VALUE(LEFT(Table132[[#This Row],[next move]],1))*3,1)</f>
        <v>V</v>
      </c>
      <c r="I7185" s="26" t="str">
        <f>Table132[[#This Row],[ÉTAT]]&amp;Table132[[#This Row],[next move]]</f>
        <v>VVVEEMVME02</v>
      </c>
    </row>
    <row r="7186" spans="2:9" x14ac:dyDescent="0.25">
      <c r="B7186" t="s">
        <v>1347</v>
      </c>
      <c r="C7186" s="22" t="s">
        <v>22</v>
      </c>
      <c r="D7186">
        <v>1</v>
      </c>
      <c r="G7186" s="30">
        <f>Table132[[#This Row],[nb win]]/Table132[[#This Row],[nb play]]</f>
        <v>0</v>
      </c>
      <c r="H7186" s="26" t="str">
        <f>MID(Table132[[#This Row],[ÉTAT]],VALUE(RIGHT(Table132[[#This Row],[next move]],1))+1+VALUE(LEFT(Table132[[#This Row],[next move]],1))*3,1)</f>
        <v>V</v>
      </c>
      <c r="I7186" s="26" t="str">
        <f>Table132[[#This Row],[ÉTAT]]&amp;Table132[[#This Row],[next move]]</f>
        <v>VVEVMVEVV21</v>
      </c>
    </row>
    <row r="7187" spans="2:9" x14ac:dyDescent="0.25">
      <c r="B7187" t="s">
        <v>2728</v>
      </c>
      <c r="C7187" s="22" t="s">
        <v>28</v>
      </c>
      <c r="D7187">
        <v>2</v>
      </c>
      <c r="E7187">
        <v>2</v>
      </c>
      <c r="G7187" s="31">
        <f>Table132[[#This Row],[nb win]]/Table132[[#This Row],[nb play]]</f>
        <v>1</v>
      </c>
      <c r="H7187" s="26" t="str">
        <f>MID(Table132[[#This Row],[ÉTAT]],VALUE(RIGHT(Table132[[#This Row],[next move]],1))+1+VALUE(LEFT(Table132[[#This Row],[next move]],1))*3,1)</f>
        <v>V</v>
      </c>
      <c r="I7187" s="26" t="str">
        <f>Table132[[#This Row],[ÉTAT]]&amp;Table132[[#This Row],[next move]]</f>
        <v>EVMVEVMEM12</v>
      </c>
    </row>
    <row r="7188" spans="2:9" x14ac:dyDescent="0.25">
      <c r="B7188" t="s">
        <v>572</v>
      </c>
      <c r="C7188" s="22" t="s">
        <v>20</v>
      </c>
      <c r="D7188">
        <v>1</v>
      </c>
      <c r="G7188" s="30">
        <f>Table132[[#This Row],[nb win]]/Table132[[#This Row],[nb play]]</f>
        <v>0</v>
      </c>
      <c r="H7188" s="26" t="str">
        <f>MID(Table132[[#This Row],[ÉTAT]],VALUE(RIGHT(Table132[[#This Row],[next move]],1))+1+VALUE(LEFT(Table132[[#This Row],[next move]],1))*3,1)</f>
        <v>V</v>
      </c>
      <c r="I7188" s="26" t="str">
        <f>Table132[[#This Row],[ÉTAT]]&amp;Table132[[#This Row],[next move]]</f>
        <v>VVVEMEVVV02</v>
      </c>
    </row>
    <row r="7189" spans="2:9" x14ac:dyDescent="0.25">
      <c r="B7189" t="s">
        <v>2430</v>
      </c>
      <c r="C7189" s="22" t="s">
        <v>31</v>
      </c>
      <c r="D7189">
        <v>1</v>
      </c>
      <c r="G7189" s="30">
        <f>Table132[[#This Row],[nb win]]/Table132[[#This Row],[nb play]]</f>
        <v>0</v>
      </c>
      <c r="H7189" s="26" t="str">
        <f>MID(Table132[[#This Row],[ÉTAT]],VALUE(RIGHT(Table132[[#This Row],[next move]],1))+1+VALUE(LEFT(Table132[[#This Row],[next move]],1))*3,1)</f>
        <v>V</v>
      </c>
      <c r="I7189" s="26" t="str">
        <f>Table132[[#This Row],[ÉTAT]]&amp;Table132[[#This Row],[next move]]</f>
        <v>VVMEMEEVV22</v>
      </c>
    </row>
    <row r="7190" spans="2:9" x14ac:dyDescent="0.25">
      <c r="B7190" t="s">
        <v>3654</v>
      </c>
      <c r="C7190" s="22" t="s">
        <v>24</v>
      </c>
      <c r="D7190">
        <v>1</v>
      </c>
      <c r="E7190">
        <v>1</v>
      </c>
      <c r="G7190" s="31">
        <f>Table132[[#This Row],[nb win]]/Table132[[#This Row],[nb play]]</f>
        <v>1</v>
      </c>
      <c r="H7190" s="26" t="str">
        <f>MID(Table132[[#This Row],[ÉTAT]],VALUE(RIGHT(Table132[[#This Row],[next move]],1))+1+VALUE(LEFT(Table132[[#This Row],[next move]],1))*3,1)</f>
        <v>V</v>
      </c>
      <c r="I7190" s="26" t="str">
        <f>Table132[[#This Row],[ÉTAT]]&amp;Table132[[#This Row],[next move]]</f>
        <v>VVEMEMMVE00</v>
      </c>
    </row>
    <row r="7191" spans="2:9" x14ac:dyDescent="0.25">
      <c r="B7191" t="s">
        <v>1662</v>
      </c>
      <c r="C7191" s="22" t="s">
        <v>30</v>
      </c>
      <c r="D7191">
        <v>1</v>
      </c>
      <c r="G7191" s="30">
        <f>Table132[[#This Row],[nb win]]/Table132[[#This Row],[nb play]]</f>
        <v>0</v>
      </c>
      <c r="H7191" s="26" t="str">
        <f>MID(Table132[[#This Row],[ÉTAT]],VALUE(RIGHT(Table132[[#This Row],[next move]],1))+1+VALUE(LEFT(Table132[[#This Row],[next move]],1))*3,1)</f>
        <v>V</v>
      </c>
      <c r="I7191" s="26" t="str">
        <f>Table132[[#This Row],[ÉTAT]]&amp;Table132[[#This Row],[next move]]</f>
        <v>VEVVMVVME10</v>
      </c>
    </row>
    <row r="7192" spans="2:9" x14ac:dyDescent="0.25">
      <c r="B7192" t="s">
        <v>3655</v>
      </c>
      <c r="C7192" s="22" t="s">
        <v>28</v>
      </c>
      <c r="D7192">
        <v>1</v>
      </c>
      <c r="E7192">
        <v>1</v>
      </c>
      <c r="G7192" s="31">
        <f>Table132[[#This Row],[nb win]]/Table132[[#This Row],[nb play]]</f>
        <v>1</v>
      </c>
      <c r="H7192" s="26" t="str">
        <f>MID(Table132[[#This Row],[ÉTAT]],VALUE(RIGHT(Table132[[#This Row],[next move]],1))+1+VALUE(LEFT(Table132[[#This Row],[next move]],1))*3,1)</f>
        <v>V</v>
      </c>
      <c r="I7192" s="26" t="str">
        <f>Table132[[#This Row],[ÉTAT]]&amp;Table132[[#This Row],[next move]]</f>
        <v>VMVEEVVEM12</v>
      </c>
    </row>
    <row r="7193" spans="2:9" x14ac:dyDescent="0.25">
      <c r="B7193" t="s">
        <v>3656</v>
      </c>
      <c r="C7193" s="22" t="s">
        <v>35</v>
      </c>
      <c r="D7193">
        <v>1</v>
      </c>
      <c r="G7193" s="30">
        <f>Table132[[#This Row],[nb win]]/Table132[[#This Row],[nb play]]</f>
        <v>0</v>
      </c>
      <c r="H7193" s="26" t="str">
        <f>MID(Table132[[#This Row],[ÉTAT]],VALUE(RIGHT(Table132[[#This Row],[next move]],1))+1+VALUE(LEFT(Table132[[#This Row],[next move]],1))*3,1)</f>
        <v>V</v>
      </c>
      <c r="I7193" s="26" t="str">
        <f>Table132[[#This Row],[ÉTAT]]&amp;Table132[[#This Row],[next move]]</f>
        <v>VEVMMEVME20</v>
      </c>
    </row>
    <row r="7194" spans="2:9" x14ac:dyDescent="0.25">
      <c r="B7194" t="s">
        <v>2294</v>
      </c>
      <c r="C7194" s="22" t="s">
        <v>31</v>
      </c>
      <c r="D7194">
        <v>1</v>
      </c>
      <c r="E7194">
        <v>1</v>
      </c>
      <c r="G7194" s="31">
        <f>Table132[[#This Row],[nb win]]/Table132[[#This Row],[nb play]]</f>
        <v>1</v>
      </c>
      <c r="H7194" s="26" t="str">
        <f>MID(Table132[[#This Row],[ÉTAT]],VALUE(RIGHT(Table132[[#This Row],[next move]],1))+1+VALUE(LEFT(Table132[[#This Row],[next move]],1))*3,1)</f>
        <v>V</v>
      </c>
      <c r="I7194" s="26" t="str">
        <f>Table132[[#This Row],[ÉTAT]]&amp;Table132[[#This Row],[next move]]</f>
        <v>VEEVVVMMV22</v>
      </c>
    </row>
    <row r="7195" spans="2:9" x14ac:dyDescent="0.25">
      <c r="B7195" t="s">
        <v>1068</v>
      </c>
      <c r="C7195" s="22" t="s">
        <v>24</v>
      </c>
      <c r="D7195">
        <v>2</v>
      </c>
      <c r="E7195">
        <v>2</v>
      </c>
      <c r="G7195" s="31">
        <f>Table132[[#This Row],[nb win]]/Table132[[#This Row],[nb play]]</f>
        <v>1</v>
      </c>
      <c r="H7195" s="26" t="str">
        <f>MID(Table132[[#This Row],[ÉTAT]],VALUE(RIGHT(Table132[[#This Row],[next move]],1))+1+VALUE(LEFT(Table132[[#This Row],[next move]],1))*3,1)</f>
        <v>V</v>
      </c>
      <c r="I7195" s="26" t="str">
        <f>Table132[[#This Row],[ÉTAT]]&amp;Table132[[#This Row],[next move]]</f>
        <v>VMMVEEVVV00</v>
      </c>
    </row>
    <row r="7196" spans="2:9" x14ac:dyDescent="0.25">
      <c r="B7196" t="s">
        <v>793</v>
      </c>
      <c r="C7196" s="22" t="s">
        <v>30</v>
      </c>
      <c r="D7196">
        <v>1</v>
      </c>
      <c r="G7196" s="30">
        <f>Table132[[#This Row],[nb win]]/Table132[[#This Row],[nb play]]</f>
        <v>0</v>
      </c>
      <c r="H7196" s="26" t="str">
        <f>MID(Table132[[#This Row],[ÉTAT]],VALUE(RIGHT(Table132[[#This Row],[next move]],1))+1+VALUE(LEFT(Table132[[#This Row],[next move]],1))*3,1)</f>
        <v>V</v>
      </c>
      <c r="I7196" s="26" t="str">
        <f>Table132[[#This Row],[ÉTAT]]&amp;Table132[[#This Row],[next move]]</f>
        <v>VEEVMVVVV10</v>
      </c>
    </row>
    <row r="7197" spans="2:9" x14ac:dyDescent="0.25">
      <c r="B7197" t="s">
        <v>3612</v>
      </c>
      <c r="C7197" s="22" t="s">
        <v>24</v>
      </c>
      <c r="D7197">
        <v>1</v>
      </c>
      <c r="E7197">
        <v>1</v>
      </c>
      <c r="G7197" s="31">
        <f>Table132[[#This Row],[nb win]]/Table132[[#This Row],[nb play]]</f>
        <v>1</v>
      </c>
      <c r="H7197" s="26" t="str">
        <f>MID(Table132[[#This Row],[ÉTAT]],VALUE(RIGHT(Table132[[#This Row],[next move]],1))+1+VALUE(LEFT(Table132[[#This Row],[next move]],1))*3,1)</f>
        <v>V</v>
      </c>
      <c r="I7197" s="26" t="str">
        <f>Table132[[#This Row],[ÉTAT]]&amp;Table132[[#This Row],[next move]]</f>
        <v>VMMEEVVVV00</v>
      </c>
    </row>
    <row r="7198" spans="2:9" x14ac:dyDescent="0.25">
      <c r="B7198" t="s">
        <v>220</v>
      </c>
      <c r="C7198" s="22" t="s">
        <v>35</v>
      </c>
      <c r="D7198">
        <v>1</v>
      </c>
      <c r="G7198" s="30">
        <f>Table132[[#This Row],[nb win]]/Table132[[#This Row],[nb play]]</f>
        <v>0</v>
      </c>
      <c r="H7198" s="26" t="str">
        <f>MID(Table132[[#This Row],[ÉTAT]],VALUE(RIGHT(Table132[[#This Row],[next move]],1))+1+VALUE(LEFT(Table132[[#This Row],[next move]],1))*3,1)</f>
        <v>V</v>
      </c>
      <c r="I7198" s="26" t="str">
        <f>Table132[[#This Row],[ÉTAT]]&amp;Table132[[#This Row],[next move]]</f>
        <v>EEVVMVVVV20</v>
      </c>
    </row>
    <row r="7199" spans="2:9" x14ac:dyDescent="0.25">
      <c r="B7199" t="s">
        <v>3127</v>
      </c>
      <c r="C7199" s="22" t="s">
        <v>29</v>
      </c>
      <c r="D7199">
        <v>1</v>
      </c>
      <c r="E7199">
        <v>1</v>
      </c>
      <c r="G7199" s="31">
        <f>Table132[[#This Row],[nb win]]/Table132[[#This Row],[nb play]]</f>
        <v>1</v>
      </c>
      <c r="H7199" s="26" t="str">
        <f>MID(Table132[[#This Row],[ÉTAT]],VALUE(RIGHT(Table132[[#This Row],[next move]],1))+1+VALUE(LEFT(Table132[[#This Row],[next move]],1))*3,1)</f>
        <v>V</v>
      </c>
      <c r="I7199" s="26" t="str">
        <f>Table132[[#This Row],[ÉTAT]]&amp;Table132[[#This Row],[next move]]</f>
        <v>EMMVVEVVV11</v>
      </c>
    </row>
    <row r="7200" spans="2:9" x14ac:dyDescent="0.25">
      <c r="B7200" t="s">
        <v>1593</v>
      </c>
      <c r="C7200" s="22" t="s">
        <v>22</v>
      </c>
      <c r="D7200">
        <v>1</v>
      </c>
      <c r="E7200">
        <v>1</v>
      </c>
      <c r="G7200" s="31">
        <f>Table132[[#This Row],[nb win]]/Table132[[#This Row],[nb play]]</f>
        <v>1</v>
      </c>
      <c r="H7200" s="26" t="str">
        <f>MID(Table132[[#This Row],[ÉTAT]],VALUE(RIGHT(Table132[[#This Row],[next move]],1))+1+VALUE(LEFT(Table132[[#This Row],[next move]],1))*3,1)</f>
        <v>V</v>
      </c>
      <c r="I7200" s="26" t="str">
        <f>Table132[[#This Row],[ÉTAT]]&amp;Table132[[#This Row],[next move]]</f>
        <v>EMMEMEVVV21</v>
      </c>
    </row>
    <row r="7201" spans="2:9" x14ac:dyDescent="0.25">
      <c r="B7201" t="s">
        <v>2634</v>
      </c>
      <c r="C7201" s="22" t="s">
        <v>28</v>
      </c>
      <c r="D7201">
        <v>4</v>
      </c>
      <c r="E7201">
        <v>3</v>
      </c>
      <c r="G7201" s="31">
        <f>Table132[[#This Row],[nb win]]/Table132[[#This Row],[nb play]]</f>
        <v>0.75</v>
      </c>
      <c r="H7201" s="26" t="str">
        <f>MID(Table132[[#This Row],[ÉTAT]],VALUE(RIGHT(Table132[[#This Row],[next move]],1))+1+VALUE(LEFT(Table132[[#This Row],[next move]],1))*3,1)</f>
        <v>V</v>
      </c>
      <c r="I7201" s="26" t="str">
        <f>Table132[[#This Row],[ÉTAT]]&amp;Table132[[#This Row],[next move]]</f>
        <v>VMEVMVVEV12</v>
      </c>
    </row>
    <row r="7202" spans="2:9" x14ac:dyDescent="0.25">
      <c r="B7202" t="s">
        <v>3657</v>
      </c>
      <c r="C7202" s="22" t="s">
        <v>30</v>
      </c>
      <c r="D7202">
        <v>1</v>
      </c>
      <c r="G7202" s="30">
        <f>Table132[[#This Row],[nb win]]/Table132[[#This Row],[nb play]]</f>
        <v>0</v>
      </c>
      <c r="H7202" s="26" t="str">
        <f>MID(Table132[[#This Row],[ÉTAT]],VALUE(RIGHT(Table132[[#This Row],[next move]],1))+1+VALUE(LEFT(Table132[[#This Row],[next move]],1))*3,1)</f>
        <v>V</v>
      </c>
      <c r="I7202" s="26" t="str">
        <f>Table132[[#This Row],[ÉTAT]]&amp;Table132[[#This Row],[next move]]</f>
        <v>VEMVEEVMV10</v>
      </c>
    </row>
    <row r="7203" spans="2:9" x14ac:dyDescent="0.25">
      <c r="B7203" t="s">
        <v>3658</v>
      </c>
      <c r="C7203" s="22" t="s">
        <v>24</v>
      </c>
      <c r="D7203">
        <v>1</v>
      </c>
      <c r="E7203">
        <v>1</v>
      </c>
      <c r="G7203" s="31">
        <f>Table132[[#This Row],[nb win]]/Table132[[#This Row],[nb play]]</f>
        <v>1</v>
      </c>
      <c r="H7203" s="26" t="str">
        <f>MID(Table132[[#This Row],[ÉTAT]],VALUE(RIGHT(Table132[[#This Row],[next move]],1))+1+VALUE(LEFT(Table132[[#This Row],[next move]],1))*3,1)</f>
        <v>V</v>
      </c>
      <c r="I7203" s="26" t="str">
        <f>Table132[[#This Row],[ÉTAT]]&amp;Table132[[#This Row],[next move]]</f>
        <v>VMEEMMVEV00</v>
      </c>
    </row>
    <row r="7204" spans="2:9" x14ac:dyDescent="0.25">
      <c r="B7204" t="s">
        <v>3659</v>
      </c>
      <c r="C7204" s="22" t="s">
        <v>35</v>
      </c>
      <c r="D7204">
        <v>1</v>
      </c>
      <c r="G7204" s="30">
        <f>Table132[[#This Row],[nb win]]/Table132[[#This Row],[nb play]]</f>
        <v>0</v>
      </c>
      <c r="H7204" s="26" t="str">
        <f>MID(Table132[[#This Row],[ÉTAT]],VALUE(RIGHT(Table132[[#This Row],[next move]],1))+1+VALUE(LEFT(Table132[[#This Row],[next move]],1))*3,1)</f>
        <v>V</v>
      </c>
      <c r="I7204" s="26" t="str">
        <f>Table132[[#This Row],[ÉTAT]]&amp;Table132[[#This Row],[next move]]</f>
        <v>EEMMEEVMV20</v>
      </c>
    </row>
    <row r="7205" spans="2:9" x14ac:dyDescent="0.25">
      <c r="B7205" t="s">
        <v>2377</v>
      </c>
      <c r="C7205" s="22" t="s">
        <v>31</v>
      </c>
      <c r="D7205">
        <v>1</v>
      </c>
      <c r="G7205" s="30">
        <f>Table132[[#This Row],[nb win]]/Table132[[#This Row],[nb play]]</f>
        <v>0</v>
      </c>
      <c r="H7205" s="26" t="str">
        <f>MID(Table132[[#This Row],[ÉTAT]],VALUE(RIGHT(Table132[[#This Row],[next move]],1))+1+VALUE(LEFT(Table132[[#This Row],[next move]],1))*3,1)</f>
        <v>V</v>
      </c>
      <c r="I7205" s="26" t="str">
        <f>Table132[[#This Row],[ÉTAT]]&amp;Table132[[#This Row],[next move]]</f>
        <v>MEVMEVEVV22</v>
      </c>
    </row>
    <row r="7206" spans="2:9" x14ac:dyDescent="0.25">
      <c r="B7206" t="s">
        <v>3660</v>
      </c>
      <c r="C7206" s="22" t="s">
        <v>22</v>
      </c>
      <c r="D7206">
        <v>1</v>
      </c>
      <c r="E7206">
        <v>1</v>
      </c>
      <c r="G7206" s="31">
        <f>Table132[[#This Row],[nb win]]/Table132[[#This Row],[nb play]]</f>
        <v>1</v>
      </c>
      <c r="H7206" s="26" t="str">
        <f>MID(Table132[[#This Row],[ÉTAT]],VALUE(RIGHT(Table132[[#This Row],[next move]],1))+1+VALUE(LEFT(Table132[[#This Row],[next move]],1))*3,1)</f>
        <v>V</v>
      </c>
      <c r="I7206" s="26" t="str">
        <f>Table132[[#This Row],[ÉTAT]]&amp;Table132[[#This Row],[next move]]</f>
        <v>EMVEMVMVE21</v>
      </c>
    </row>
    <row r="7207" spans="2:9" x14ac:dyDescent="0.25">
      <c r="B7207" t="s">
        <v>3408</v>
      </c>
      <c r="C7207" s="22" t="s">
        <v>22</v>
      </c>
      <c r="D7207">
        <v>2</v>
      </c>
      <c r="G7207" s="30">
        <f>Table132[[#This Row],[nb win]]/Table132[[#This Row],[nb play]]</f>
        <v>0</v>
      </c>
      <c r="H7207" s="26" t="str">
        <f>MID(Table132[[#This Row],[ÉTAT]],VALUE(RIGHT(Table132[[#This Row],[next move]],1))+1+VALUE(LEFT(Table132[[#This Row],[next move]],1))*3,1)</f>
        <v>V</v>
      </c>
      <c r="I7207" s="26" t="str">
        <f>Table132[[#This Row],[ÉTAT]]&amp;Table132[[#This Row],[next move]]</f>
        <v>MEVMEMEVE21</v>
      </c>
    </row>
    <row r="7208" spans="2:9" x14ac:dyDescent="0.25">
      <c r="B7208" t="s">
        <v>3657</v>
      </c>
      <c r="C7208" s="22" t="s">
        <v>35</v>
      </c>
      <c r="D7208">
        <v>1</v>
      </c>
      <c r="G7208" s="30">
        <f>Table132[[#This Row],[nb win]]/Table132[[#This Row],[nb play]]</f>
        <v>0</v>
      </c>
      <c r="H7208" s="26" t="str">
        <f>MID(Table132[[#This Row],[ÉTAT]],VALUE(RIGHT(Table132[[#This Row],[next move]],1))+1+VALUE(LEFT(Table132[[#This Row],[next move]],1))*3,1)</f>
        <v>V</v>
      </c>
      <c r="I7208" s="26" t="str">
        <f>Table132[[#This Row],[ÉTAT]]&amp;Table132[[#This Row],[next move]]</f>
        <v>VEMVEEVMV20</v>
      </c>
    </row>
    <row r="7209" spans="2:9" x14ac:dyDescent="0.25">
      <c r="B7209" t="s">
        <v>3657</v>
      </c>
      <c r="C7209" s="22" t="s">
        <v>31</v>
      </c>
      <c r="D7209">
        <v>2</v>
      </c>
      <c r="E7209">
        <v>1</v>
      </c>
      <c r="G7209" s="30">
        <f>Table132[[#This Row],[nb win]]/Table132[[#This Row],[nb play]]</f>
        <v>0.5</v>
      </c>
      <c r="H7209" s="26" t="str">
        <f>MID(Table132[[#This Row],[ÉTAT]],VALUE(RIGHT(Table132[[#This Row],[next move]],1))+1+VALUE(LEFT(Table132[[#This Row],[next move]],1))*3,1)</f>
        <v>V</v>
      </c>
      <c r="I7209" s="26" t="str">
        <f>Table132[[#This Row],[ÉTAT]]&amp;Table132[[#This Row],[next move]]</f>
        <v>VEMVEEVMV22</v>
      </c>
    </row>
    <row r="7210" spans="2:9" x14ac:dyDescent="0.25">
      <c r="B7210" t="s">
        <v>3661</v>
      </c>
      <c r="C7210" s="22" t="s">
        <v>24</v>
      </c>
      <c r="D7210">
        <v>1</v>
      </c>
      <c r="G7210" s="30">
        <f>Table132[[#This Row],[nb win]]/Table132[[#This Row],[nb play]]</f>
        <v>0</v>
      </c>
      <c r="H7210" s="26" t="str">
        <f>MID(Table132[[#This Row],[ÉTAT]],VALUE(RIGHT(Table132[[#This Row],[next move]],1))+1+VALUE(LEFT(Table132[[#This Row],[next move]],1))*3,1)</f>
        <v>V</v>
      </c>
      <c r="I7210" s="26" t="str">
        <f>Table132[[#This Row],[ÉTAT]]&amp;Table132[[#This Row],[next move]]</f>
        <v>VMEVMMVEE00</v>
      </c>
    </row>
    <row r="7211" spans="2:9" x14ac:dyDescent="0.25">
      <c r="B7211" t="s">
        <v>3044</v>
      </c>
      <c r="C7211" s="22" t="s">
        <v>35</v>
      </c>
      <c r="D7211">
        <v>2</v>
      </c>
      <c r="E7211">
        <v>1</v>
      </c>
      <c r="G7211" s="30">
        <f>Table132[[#This Row],[nb win]]/Table132[[#This Row],[nb play]]</f>
        <v>0.5</v>
      </c>
      <c r="H7211" s="26" t="str">
        <f>MID(Table132[[#This Row],[ÉTAT]],VALUE(RIGHT(Table132[[#This Row],[next move]],1))+1+VALUE(LEFT(Table132[[#This Row],[next move]],1))*3,1)</f>
        <v>V</v>
      </c>
      <c r="I7211" s="26" t="str">
        <f>Table132[[#This Row],[ÉTAT]]&amp;Table132[[#This Row],[next move]]</f>
        <v>MEVVEMVVV20</v>
      </c>
    </row>
    <row r="7212" spans="2:9" x14ac:dyDescent="0.25">
      <c r="B7212" t="s">
        <v>3662</v>
      </c>
      <c r="C7212" s="22" t="s">
        <v>31</v>
      </c>
      <c r="D7212">
        <v>1</v>
      </c>
      <c r="G7212" s="30">
        <f>Table132[[#This Row],[nb win]]/Table132[[#This Row],[nb play]]</f>
        <v>0</v>
      </c>
      <c r="H7212" s="26" t="str">
        <f>MID(Table132[[#This Row],[ÉTAT]],VALUE(RIGHT(Table132[[#This Row],[next move]],1))+1+VALUE(LEFT(Table132[[#This Row],[next move]],1))*3,1)</f>
        <v>V</v>
      </c>
      <c r="I7212" s="26" t="str">
        <f>Table132[[#This Row],[ÉTAT]]&amp;Table132[[#This Row],[next move]]</f>
        <v>EMVVMEEVV22</v>
      </c>
    </row>
    <row r="7213" spans="2:9" x14ac:dyDescent="0.25">
      <c r="B7213" t="s">
        <v>3661</v>
      </c>
      <c r="C7213" s="22" t="s">
        <v>30</v>
      </c>
      <c r="D7213">
        <v>1</v>
      </c>
      <c r="E7213">
        <v>1</v>
      </c>
      <c r="G7213" s="31">
        <f>Table132[[#This Row],[nb win]]/Table132[[#This Row],[nb play]]</f>
        <v>1</v>
      </c>
      <c r="H7213" s="26" t="str">
        <f>MID(Table132[[#This Row],[ÉTAT]],VALUE(RIGHT(Table132[[#This Row],[next move]],1))+1+VALUE(LEFT(Table132[[#This Row],[next move]],1))*3,1)</f>
        <v>V</v>
      </c>
      <c r="I7213" s="26" t="str">
        <f>Table132[[#This Row],[ÉTAT]]&amp;Table132[[#This Row],[next move]]</f>
        <v>VMEVMMVEE10</v>
      </c>
    </row>
    <row r="7214" spans="2:9" x14ac:dyDescent="0.25">
      <c r="B7214" t="s">
        <v>2493</v>
      </c>
      <c r="C7214" s="22" t="s">
        <v>22</v>
      </c>
      <c r="D7214">
        <v>1</v>
      </c>
      <c r="G7214" s="30">
        <f>Table132[[#This Row],[nb win]]/Table132[[#This Row],[nb play]]</f>
        <v>0</v>
      </c>
      <c r="H7214" s="26" t="str">
        <f>MID(Table132[[#This Row],[ÉTAT]],VALUE(RIGHT(Table132[[#This Row],[next move]],1))+1+VALUE(LEFT(Table132[[#This Row],[next move]],1))*3,1)</f>
        <v>V</v>
      </c>
      <c r="I7214" s="26" t="str">
        <f>Table132[[#This Row],[ÉTAT]]&amp;Table132[[#This Row],[next move]]</f>
        <v>EVEEMVVVM21</v>
      </c>
    </row>
    <row r="7215" spans="2:9" x14ac:dyDescent="0.25">
      <c r="B7215" t="s">
        <v>3600</v>
      </c>
      <c r="C7215" s="22" t="s">
        <v>30</v>
      </c>
      <c r="D7215">
        <v>1</v>
      </c>
      <c r="G7215" s="30">
        <f>Table132[[#This Row],[nb win]]/Table132[[#This Row],[nb play]]</f>
        <v>0</v>
      </c>
      <c r="H7215" s="26" t="str">
        <f>MID(Table132[[#This Row],[ÉTAT]],VALUE(RIGHT(Table132[[#This Row],[next move]],1))+1+VALUE(LEFT(Table132[[#This Row],[next move]],1))*3,1)</f>
        <v>V</v>
      </c>
      <c r="I7215" s="26" t="str">
        <f>Table132[[#This Row],[ÉTAT]]&amp;Table132[[#This Row],[next move]]</f>
        <v>VMVVMEEVE10</v>
      </c>
    </row>
    <row r="7216" spans="2:9" x14ac:dyDescent="0.25">
      <c r="B7216" t="s">
        <v>2195</v>
      </c>
      <c r="C7216" s="22" t="s">
        <v>29</v>
      </c>
      <c r="D7216">
        <v>2</v>
      </c>
      <c r="G7216" s="30">
        <f>Table132[[#This Row],[nb win]]/Table132[[#This Row],[nb play]]</f>
        <v>0</v>
      </c>
      <c r="H7216" s="26" t="str">
        <f>MID(Table132[[#This Row],[ÉTAT]],VALUE(RIGHT(Table132[[#This Row],[next move]],1))+1+VALUE(LEFT(Table132[[#This Row],[next move]],1))*3,1)</f>
        <v>V</v>
      </c>
      <c r="I7216" s="26" t="str">
        <f>Table132[[#This Row],[ÉTAT]]&amp;Table132[[#This Row],[next move]]</f>
        <v>VVMEVEEMV11</v>
      </c>
    </row>
    <row r="7217" spans="2:9" x14ac:dyDescent="0.25">
      <c r="B7217" t="s">
        <v>1400</v>
      </c>
      <c r="C7217" s="22" t="s">
        <v>20</v>
      </c>
      <c r="D7217">
        <v>1</v>
      </c>
      <c r="E7217">
        <v>1</v>
      </c>
      <c r="G7217" s="31">
        <f>Table132[[#This Row],[nb win]]/Table132[[#This Row],[nb play]]</f>
        <v>1</v>
      </c>
      <c r="H7217" s="26" t="str">
        <f>MID(Table132[[#This Row],[ÉTAT]],VALUE(RIGHT(Table132[[#This Row],[next move]],1))+1+VALUE(LEFT(Table132[[#This Row],[next move]],1))*3,1)</f>
        <v>V</v>
      </c>
      <c r="I7217" s="26" t="str">
        <f>Table132[[#This Row],[ÉTAT]]&amp;Table132[[#This Row],[next move]]</f>
        <v>VEVEMVMVE02</v>
      </c>
    </row>
    <row r="7218" spans="2:9" x14ac:dyDescent="0.25">
      <c r="B7218" t="s">
        <v>2897</v>
      </c>
      <c r="C7218" s="22" t="s">
        <v>28</v>
      </c>
      <c r="D7218">
        <v>1</v>
      </c>
      <c r="E7218">
        <v>1</v>
      </c>
      <c r="G7218" s="31">
        <f>Table132[[#This Row],[nb win]]/Table132[[#This Row],[nb play]]</f>
        <v>1</v>
      </c>
      <c r="H7218" s="26" t="str">
        <f>MID(Table132[[#This Row],[ÉTAT]],VALUE(RIGHT(Table132[[#This Row],[next move]],1))+1+VALUE(LEFT(Table132[[#This Row],[next move]],1))*3,1)</f>
        <v>V</v>
      </c>
      <c r="I7218" s="26" t="str">
        <f>Table132[[#This Row],[ÉTAT]]&amp;Table132[[#This Row],[next move]]</f>
        <v>VEVEEVMVM12</v>
      </c>
    </row>
    <row r="7219" spans="2:9" x14ac:dyDescent="0.25">
      <c r="B7219" t="s">
        <v>3663</v>
      </c>
      <c r="C7219" s="22" t="s">
        <v>24</v>
      </c>
      <c r="D7219">
        <v>1</v>
      </c>
      <c r="G7219" s="30">
        <f>Table132[[#This Row],[nb win]]/Table132[[#This Row],[nb play]]</f>
        <v>0</v>
      </c>
      <c r="H7219" s="26" t="str">
        <f>MID(Table132[[#This Row],[ÉTAT]],VALUE(RIGHT(Table132[[#This Row],[next move]],1))+1+VALUE(LEFT(Table132[[#This Row],[next move]],1))*3,1)</f>
        <v>V</v>
      </c>
      <c r="I7219" s="26" t="str">
        <f>Table132[[#This Row],[ÉTAT]]&amp;Table132[[#This Row],[next move]]</f>
        <v>VMVMMEEVE00</v>
      </c>
    </row>
    <row r="7220" spans="2:9" x14ac:dyDescent="0.25">
      <c r="B7220" t="s">
        <v>1918</v>
      </c>
      <c r="C7220" s="22" t="s">
        <v>28</v>
      </c>
      <c r="D7220">
        <v>8</v>
      </c>
      <c r="E7220">
        <v>1</v>
      </c>
      <c r="G7220" s="30">
        <f>Table132[[#This Row],[nb win]]/Table132[[#This Row],[nb play]]</f>
        <v>0.125</v>
      </c>
      <c r="H7220" s="26" t="str">
        <f>MID(Table132[[#This Row],[ÉTAT]],VALUE(RIGHT(Table132[[#This Row],[next move]],1))+1+VALUE(LEFT(Table132[[#This Row],[next move]],1))*3,1)</f>
        <v>V</v>
      </c>
      <c r="I7220" s="26" t="str">
        <f>Table132[[#This Row],[ÉTAT]]&amp;Table132[[#This Row],[next move]]</f>
        <v>VVVVEVMEM12</v>
      </c>
    </row>
    <row r="7221" spans="2:9" x14ac:dyDescent="0.25">
      <c r="B7221" t="s">
        <v>3664</v>
      </c>
      <c r="C7221" s="22" t="s">
        <v>24</v>
      </c>
      <c r="D7221">
        <v>1</v>
      </c>
      <c r="G7221" s="30">
        <f>Table132[[#This Row],[nb win]]/Table132[[#This Row],[nb play]]</f>
        <v>0</v>
      </c>
      <c r="H7221" s="26" t="str">
        <f>MID(Table132[[#This Row],[ÉTAT]],VALUE(RIGHT(Table132[[#This Row],[next move]],1))+1+VALUE(LEFT(Table132[[#This Row],[next move]],1))*3,1)</f>
        <v>V</v>
      </c>
      <c r="I7221" s="26" t="str">
        <f>Table132[[#This Row],[ÉTAT]]&amp;Table132[[#This Row],[next move]]</f>
        <v>VVVVMEEME00</v>
      </c>
    </row>
    <row r="7222" spans="2:9" x14ac:dyDescent="0.25">
      <c r="B7222" t="s">
        <v>1765</v>
      </c>
      <c r="C7222" s="22" t="s">
        <v>28</v>
      </c>
      <c r="D7222">
        <v>1</v>
      </c>
      <c r="G7222" s="30">
        <f>Table132[[#This Row],[nb win]]/Table132[[#This Row],[nb play]]</f>
        <v>0</v>
      </c>
      <c r="H7222" s="26" t="str">
        <f>MID(Table132[[#This Row],[ÉTAT]],VALUE(RIGHT(Table132[[#This Row],[next move]],1))+1+VALUE(LEFT(Table132[[#This Row],[next move]],1))*3,1)</f>
        <v>V</v>
      </c>
      <c r="I7222" s="26" t="str">
        <f>Table132[[#This Row],[ÉTAT]]&amp;Table132[[#This Row],[next move]]</f>
        <v>EMEMEVMVV12</v>
      </c>
    </row>
    <row r="7223" spans="2:9" x14ac:dyDescent="0.25">
      <c r="B7223" t="s">
        <v>516</v>
      </c>
      <c r="C7223" s="22" t="s">
        <v>20</v>
      </c>
      <c r="D7223">
        <v>1</v>
      </c>
      <c r="E7223">
        <v>1</v>
      </c>
      <c r="G7223" s="31">
        <f>Table132[[#This Row],[nb win]]/Table132[[#This Row],[nb play]]</f>
        <v>1</v>
      </c>
      <c r="H7223" s="26" t="str">
        <f>MID(Table132[[#This Row],[ÉTAT]],VALUE(RIGHT(Table132[[#This Row],[next move]],1))+1+VALUE(LEFT(Table132[[#This Row],[next move]],1))*3,1)</f>
        <v>V</v>
      </c>
      <c r="I7223" s="26" t="str">
        <f>Table132[[#This Row],[ÉTAT]]&amp;Table132[[#This Row],[next move]]</f>
        <v>VVVMEVEVM02</v>
      </c>
    </row>
    <row r="7224" spans="2:9" x14ac:dyDescent="0.25">
      <c r="B7224" t="s">
        <v>3665</v>
      </c>
      <c r="C7224" s="22" t="s">
        <v>24</v>
      </c>
      <c r="D7224">
        <v>1</v>
      </c>
      <c r="G7224" s="30">
        <f>Table132[[#This Row],[nb win]]/Table132[[#This Row],[nb play]]</f>
        <v>0</v>
      </c>
      <c r="H7224" s="26" t="str">
        <f>MID(Table132[[#This Row],[ÉTAT]],VALUE(RIGHT(Table132[[#This Row],[next move]],1))+1+VALUE(LEFT(Table132[[#This Row],[next move]],1))*3,1)</f>
        <v>V</v>
      </c>
      <c r="I7224" s="26" t="str">
        <f>Table132[[#This Row],[ÉTAT]]&amp;Table132[[#This Row],[next move]]</f>
        <v>VVEEMVMVE00</v>
      </c>
    </row>
    <row r="7225" spans="2:9" x14ac:dyDescent="0.25">
      <c r="B7225" t="s">
        <v>1365</v>
      </c>
      <c r="C7225" s="22" t="s">
        <v>20</v>
      </c>
      <c r="D7225">
        <v>1</v>
      </c>
      <c r="G7225" s="30">
        <f>Table132[[#This Row],[nb win]]/Table132[[#This Row],[nb play]]</f>
        <v>0</v>
      </c>
      <c r="H7225" s="26" t="str">
        <f>MID(Table132[[#This Row],[ÉTAT]],VALUE(RIGHT(Table132[[#This Row],[next move]],1))+1+VALUE(LEFT(Table132[[#This Row],[next move]],1))*3,1)</f>
        <v>V</v>
      </c>
      <c r="I7225" s="26" t="str">
        <f>Table132[[#This Row],[ÉTAT]]&amp;Table132[[#This Row],[next move]]</f>
        <v>VVVVMVEVE02</v>
      </c>
    </row>
    <row r="7226" spans="2:9" x14ac:dyDescent="0.25">
      <c r="B7226" t="s">
        <v>3627</v>
      </c>
      <c r="C7226" s="22" t="s">
        <v>29</v>
      </c>
      <c r="D7226">
        <v>1</v>
      </c>
      <c r="G7226" s="30">
        <f>Table132[[#This Row],[nb win]]/Table132[[#This Row],[nb play]]</f>
        <v>0</v>
      </c>
      <c r="H7226" s="26" t="str">
        <f>MID(Table132[[#This Row],[ÉTAT]],VALUE(RIGHT(Table132[[#This Row],[next move]],1))+1+VALUE(LEFT(Table132[[#This Row],[next move]],1))*3,1)</f>
        <v>V</v>
      </c>
      <c r="I7226" s="26" t="str">
        <f>Table132[[#This Row],[ÉTAT]]&amp;Table132[[#This Row],[next move]]</f>
        <v>MEMVVVVEE11</v>
      </c>
    </row>
    <row r="7227" spans="2:9" x14ac:dyDescent="0.25">
      <c r="B7227" t="s">
        <v>3666</v>
      </c>
      <c r="C7227" s="22" t="s">
        <v>28</v>
      </c>
      <c r="D7227">
        <v>1</v>
      </c>
      <c r="E7227">
        <v>1</v>
      </c>
      <c r="G7227" s="31">
        <f>Table132[[#This Row],[nb win]]/Table132[[#This Row],[nb play]]</f>
        <v>1</v>
      </c>
      <c r="H7227" s="26" t="str">
        <f>MID(Table132[[#This Row],[ÉTAT]],VALUE(RIGHT(Table132[[#This Row],[next move]],1))+1+VALUE(LEFT(Table132[[#This Row],[next move]],1))*3,1)</f>
        <v>V</v>
      </c>
      <c r="I7227" s="26" t="str">
        <f>Table132[[#This Row],[ÉTAT]]&amp;Table132[[#This Row],[next move]]</f>
        <v>EMEVEVVMM12</v>
      </c>
    </row>
    <row r="7228" spans="2:9" x14ac:dyDescent="0.25">
      <c r="B7228" t="s">
        <v>3667</v>
      </c>
      <c r="C7228" s="22" t="s">
        <v>30</v>
      </c>
      <c r="D7228">
        <v>1</v>
      </c>
      <c r="G7228" s="30">
        <f>Table132[[#This Row],[nb win]]/Table132[[#This Row],[nb play]]</f>
        <v>0</v>
      </c>
      <c r="H7228" s="26" t="str">
        <f>MID(Table132[[#This Row],[ÉTAT]],VALUE(RIGHT(Table132[[#This Row],[next move]],1))+1+VALUE(LEFT(Table132[[#This Row],[next move]],1))*3,1)</f>
        <v>V</v>
      </c>
      <c r="I7228" s="26" t="str">
        <f>Table132[[#This Row],[ÉTAT]]&amp;Table132[[#This Row],[next move]]</f>
        <v>MEMVMEVEE10</v>
      </c>
    </row>
    <row r="7229" spans="2:9" x14ac:dyDescent="0.25">
      <c r="B7229" t="s">
        <v>897</v>
      </c>
      <c r="C7229" s="22" t="s">
        <v>28</v>
      </c>
      <c r="D7229">
        <v>1</v>
      </c>
      <c r="G7229" s="30">
        <f>Table132[[#This Row],[nb win]]/Table132[[#This Row],[nb play]]</f>
        <v>0</v>
      </c>
      <c r="H7229" s="26" t="str">
        <f>MID(Table132[[#This Row],[ÉTAT]],VALUE(RIGHT(Table132[[#This Row],[next move]],1))+1+VALUE(LEFT(Table132[[#This Row],[next move]],1))*3,1)</f>
        <v>V</v>
      </c>
      <c r="I7229" s="26" t="str">
        <f>Table132[[#This Row],[ÉTAT]]&amp;Table132[[#This Row],[next move]]</f>
        <v>EMVVVVMEV12</v>
      </c>
    </row>
    <row r="7230" spans="2:9" x14ac:dyDescent="0.25">
      <c r="B7230" t="s">
        <v>3668</v>
      </c>
      <c r="C7230" s="22" t="s">
        <v>31</v>
      </c>
      <c r="D7230">
        <v>1</v>
      </c>
      <c r="E7230">
        <v>1</v>
      </c>
      <c r="G7230" s="31">
        <f>Table132[[#This Row],[nb win]]/Table132[[#This Row],[nb play]]</f>
        <v>1</v>
      </c>
      <c r="H7230" s="26" t="str">
        <f>MID(Table132[[#This Row],[ÉTAT]],VALUE(RIGHT(Table132[[#This Row],[next move]],1))+1+VALUE(LEFT(Table132[[#This Row],[next move]],1))*3,1)</f>
        <v>V</v>
      </c>
      <c r="I7230" s="26" t="str">
        <f>Table132[[#This Row],[ÉTAT]]&amp;Table132[[#This Row],[next move]]</f>
        <v>MEVVVEEMV22</v>
      </c>
    </row>
    <row r="7231" spans="2:9" x14ac:dyDescent="0.25">
      <c r="B7231" t="s">
        <v>3669</v>
      </c>
      <c r="C7231" s="22" t="s">
        <v>30</v>
      </c>
      <c r="D7231">
        <v>1</v>
      </c>
      <c r="G7231" s="30">
        <f>Table132[[#This Row],[nb win]]/Table132[[#This Row],[nb play]]</f>
        <v>0</v>
      </c>
      <c r="H7231" s="26" t="str">
        <f>MID(Table132[[#This Row],[ÉTAT]],VALUE(RIGHT(Table132[[#This Row],[next move]],1))+1+VALUE(LEFT(Table132[[#This Row],[next move]],1))*3,1)</f>
        <v>V</v>
      </c>
      <c r="I7231" s="26" t="str">
        <f>Table132[[#This Row],[ÉTAT]]&amp;Table132[[#This Row],[next move]]</f>
        <v>EMVVVMMEE10</v>
      </c>
    </row>
    <row r="7232" spans="2:9" x14ac:dyDescent="0.25">
      <c r="B7232" t="s">
        <v>3670</v>
      </c>
      <c r="C7232" s="22" t="s">
        <v>29</v>
      </c>
      <c r="D7232">
        <v>1</v>
      </c>
      <c r="E7232">
        <v>1</v>
      </c>
      <c r="G7232" s="31">
        <f>Table132[[#This Row],[nb win]]/Table132[[#This Row],[nb play]]</f>
        <v>1</v>
      </c>
      <c r="H7232" s="26" t="str">
        <f>MID(Table132[[#This Row],[ÉTAT]],VALUE(RIGHT(Table132[[#This Row],[next move]],1))+1+VALUE(LEFT(Table132[[#This Row],[next move]],1))*3,1)</f>
        <v>V</v>
      </c>
      <c r="I7232" s="26" t="str">
        <f>Table132[[#This Row],[ÉTAT]]&amp;Table132[[#This Row],[next move]]</f>
        <v>MEVEVEEMM11</v>
      </c>
    </row>
    <row r="7233" spans="2:9" x14ac:dyDescent="0.25">
      <c r="B7233" t="s">
        <v>3615</v>
      </c>
      <c r="C7233" s="22" t="s">
        <v>22</v>
      </c>
      <c r="D7233">
        <v>1</v>
      </c>
      <c r="G7233" s="30">
        <f>Table132[[#This Row],[nb win]]/Table132[[#This Row],[nb play]]</f>
        <v>0</v>
      </c>
      <c r="H7233" s="26" t="str">
        <f>MID(Table132[[#This Row],[ÉTAT]],VALUE(RIGHT(Table132[[#This Row],[next move]],1))+1+VALUE(LEFT(Table132[[#This Row],[next move]],1))*3,1)</f>
        <v>V</v>
      </c>
      <c r="I7233" s="26" t="str">
        <f>Table132[[#This Row],[ÉTAT]]&amp;Table132[[#This Row],[next move]]</f>
        <v>MVVVVEEVV21</v>
      </c>
    </row>
    <row r="7234" spans="2:9" x14ac:dyDescent="0.25">
      <c r="B7234" t="s">
        <v>2906</v>
      </c>
      <c r="C7234" s="22" t="s">
        <v>29</v>
      </c>
      <c r="D7234">
        <v>1</v>
      </c>
      <c r="E7234">
        <v>1</v>
      </c>
      <c r="G7234" s="31">
        <f>Table132[[#This Row],[nb win]]/Table132[[#This Row],[nb play]]</f>
        <v>1</v>
      </c>
      <c r="H7234" s="26" t="str">
        <f>MID(Table132[[#This Row],[ÉTAT]],VALUE(RIGHT(Table132[[#This Row],[next move]],1))+1+VALUE(LEFT(Table132[[#This Row],[next move]],1))*3,1)</f>
        <v>V</v>
      </c>
      <c r="I7234" s="26" t="str">
        <f>Table132[[#This Row],[ÉTAT]]&amp;Table132[[#This Row],[next move]]</f>
        <v>EVVVVMMEV11</v>
      </c>
    </row>
    <row r="7235" spans="2:9" x14ac:dyDescent="0.25">
      <c r="B7235" t="s">
        <v>3671</v>
      </c>
      <c r="C7235" s="22" t="s">
        <v>31</v>
      </c>
      <c r="D7235">
        <v>1</v>
      </c>
      <c r="G7235" s="30">
        <f>Table132[[#This Row],[nb win]]/Table132[[#This Row],[nb play]]</f>
        <v>0</v>
      </c>
      <c r="H7235" s="26" t="str">
        <f>MID(Table132[[#This Row],[ÉTAT]],VALUE(RIGHT(Table132[[#This Row],[next move]],1))+1+VALUE(LEFT(Table132[[#This Row],[next move]],1))*3,1)</f>
        <v>V</v>
      </c>
      <c r="I7235" s="26" t="str">
        <f>Table132[[#This Row],[ÉTAT]]&amp;Table132[[#This Row],[next move]]</f>
        <v>MVVVEEEMV22</v>
      </c>
    </row>
    <row r="7236" spans="2:9" x14ac:dyDescent="0.25">
      <c r="B7236" t="s">
        <v>3164</v>
      </c>
      <c r="C7236" s="22" t="s">
        <v>24</v>
      </c>
      <c r="D7236">
        <v>1</v>
      </c>
      <c r="G7236" s="30">
        <f>Table132[[#This Row],[nb win]]/Table132[[#This Row],[nb play]]</f>
        <v>0</v>
      </c>
      <c r="H7236" s="26" t="str">
        <f>MID(Table132[[#This Row],[ÉTAT]],VALUE(RIGHT(Table132[[#This Row],[next move]],1))+1+VALUE(LEFT(Table132[[#This Row],[next move]],1))*3,1)</f>
        <v>V</v>
      </c>
      <c r="I7236" s="26" t="str">
        <f>Table132[[#This Row],[ÉTAT]]&amp;Table132[[#This Row],[next move]]</f>
        <v>VVVVVVEME00</v>
      </c>
    </row>
    <row r="7237" spans="2:9" x14ac:dyDescent="0.25">
      <c r="B7237" t="s">
        <v>3672</v>
      </c>
      <c r="C7237" s="22" t="s">
        <v>20</v>
      </c>
      <c r="D7237">
        <v>2</v>
      </c>
      <c r="E7237">
        <v>2</v>
      </c>
      <c r="G7237" s="31">
        <f>Table132[[#This Row],[nb win]]/Table132[[#This Row],[nb play]]</f>
        <v>1</v>
      </c>
      <c r="H7237" s="26" t="str">
        <f>MID(Table132[[#This Row],[ÉTAT]],VALUE(RIGHT(Table132[[#This Row],[next move]],1))+1+VALUE(LEFT(Table132[[#This Row],[next move]],1))*3,1)</f>
        <v>V</v>
      </c>
      <c r="I7237" s="26" t="str">
        <f>Table132[[#This Row],[ÉTAT]]&amp;Table132[[#This Row],[next move]]</f>
        <v>EVVVVVMEM02</v>
      </c>
    </row>
    <row r="7238" spans="2:9" x14ac:dyDescent="0.25">
      <c r="B7238" t="s">
        <v>3673</v>
      </c>
      <c r="C7238" s="22" t="s">
        <v>26</v>
      </c>
      <c r="D7238">
        <v>1</v>
      </c>
      <c r="G7238" s="30">
        <f>Table132[[#This Row],[nb win]]/Table132[[#This Row],[nb play]]</f>
        <v>0</v>
      </c>
      <c r="H7238" s="26" t="str">
        <f>MID(Table132[[#This Row],[ÉTAT]],VALUE(RIGHT(Table132[[#This Row],[next move]],1))+1+VALUE(LEFT(Table132[[#This Row],[next move]],1))*3,1)</f>
        <v>V</v>
      </c>
      <c r="I7238" s="26" t="str">
        <f>Table132[[#This Row],[ÉTAT]]&amp;Table132[[#This Row],[next move]]</f>
        <v>MVEVVVEME01</v>
      </c>
    </row>
    <row r="7239" spans="2:9" x14ac:dyDescent="0.25">
      <c r="B7239" t="s">
        <v>2555</v>
      </c>
      <c r="C7239" s="22" t="s">
        <v>28</v>
      </c>
      <c r="D7239">
        <v>1</v>
      </c>
      <c r="E7239">
        <v>1</v>
      </c>
      <c r="G7239" s="31">
        <f>Table132[[#This Row],[nb win]]/Table132[[#This Row],[nb play]]</f>
        <v>1</v>
      </c>
      <c r="H7239" s="26" t="str">
        <f>MID(Table132[[#This Row],[ÉTAT]],VALUE(RIGHT(Table132[[#This Row],[next move]],1))+1+VALUE(LEFT(Table132[[#This Row],[next move]],1))*3,1)</f>
        <v>V</v>
      </c>
      <c r="I7239" s="26" t="str">
        <f>Table132[[#This Row],[ÉTAT]]&amp;Table132[[#This Row],[next move]]</f>
        <v>EEMVVVMEM12</v>
      </c>
    </row>
    <row r="7240" spans="2:9" x14ac:dyDescent="0.25">
      <c r="B7240" t="s">
        <v>2618</v>
      </c>
      <c r="C7240" s="22" t="s">
        <v>31</v>
      </c>
      <c r="D7240">
        <v>1</v>
      </c>
      <c r="G7240" s="30">
        <f>Table132[[#This Row],[nb win]]/Table132[[#This Row],[nb play]]</f>
        <v>0</v>
      </c>
      <c r="H7240" s="26" t="str">
        <f>MID(Table132[[#This Row],[ÉTAT]],VALUE(RIGHT(Table132[[#This Row],[next move]],1))+1+VALUE(LEFT(Table132[[#This Row],[next move]],1))*3,1)</f>
        <v>V</v>
      </c>
      <c r="I7240" s="26" t="str">
        <f>Table132[[#This Row],[ÉTAT]]&amp;Table132[[#This Row],[next move]]</f>
        <v>EMVVVEVVV22</v>
      </c>
    </row>
    <row r="7241" spans="2:9" x14ac:dyDescent="0.25">
      <c r="B7241" t="s">
        <v>876</v>
      </c>
      <c r="C7241" s="22" t="s">
        <v>22</v>
      </c>
      <c r="D7241">
        <v>1</v>
      </c>
      <c r="G7241" s="30">
        <f>Table132[[#This Row],[nb win]]/Table132[[#This Row],[nb play]]</f>
        <v>0</v>
      </c>
      <c r="H7241" s="26" t="str">
        <f>MID(Table132[[#This Row],[ÉTAT]],VALUE(RIGHT(Table132[[#This Row],[next move]],1))+1+VALUE(LEFT(Table132[[#This Row],[next move]],1))*3,1)</f>
        <v>V</v>
      </c>
      <c r="I7241" s="26" t="str">
        <f>Table132[[#This Row],[ÉTAT]]&amp;Table132[[#This Row],[next move]]</f>
        <v>EMVVVEEVM21</v>
      </c>
    </row>
    <row r="7242" spans="2:9" x14ac:dyDescent="0.25">
      <c r="B7242" t="s">
        <v>3674</v>
      </c>
      <c r="C7242" s="22" t="s">
        <v>29</v>
      </c>
      <c r="D7242">
        <v>1</v>
      </c>
      <c r="E7242">
        <v>1</v>
      </c>
      <c r="G7242" s="31">
        <f>Table132[[#This Row],[nb win]]/Table132[[#This Row],[nb play]]</f>
        <v>1</v>
      </c>
      <c r="H7242" s="26" t="str">
        <f>MID(Table132[[#This Row],[ÉTAT]],VALUE(RIGHT(Table132[[#This Row],[next move]],1))+1+VALUE(LEFT(Table132[[#This Row],[next move]],1))*3,1)</f>
        <v>V</v>
      </c>
      <c r="I7242" s="26" t="str">
        <f>Table132[[#This Row],[ÉTAT]]&amp;Table132[[#This Row],[next move]]</f>
        <v>MEVVVMMEE11</v>
      </c>
    </row>
    <row r="7243" spans="2:9" x14ac:dyDescent="0.25">
      <c r="B7243" t="s">
        <v>3675</v>
      </c>
      <c r="C7243" s="22" t="s">
        <v>30</v>
      </c>
      <c r="D7243">
        <v>1</v>
      </c>
      <c r="G7243" s="30">
        <f>Table132[[#This Row],[nb win]]/Table132[[#This Row],[nb play]]</f>
        <v>0</v>
      </c>
      <c r="H7243" s="26" t="str">
        <f>MID(Table132[[#This Row],[ÉTAT]],VALUE(RIGHT(Table132[[#This Row],[next move]],1))+1+VALUE(LEFT(Table132[[#This Row],[next move]],1))*3,1)</f>
        <v>V</v>
      </c>
      <c r="I7243" s="26" t="str">
        <f>Table132[[#This Row],[ÉTAT]]&amp;Table132[[#This Row],[next move]]</f>
        <v>EMVVEEEMM10</v>
      </c>
    </row>
    <row r="7244" spans="2:9" x14ac:dyDescent="0.25">
      <c r="B7244" t="s">
        <v>3238</v>
      </c>
      <c r="C7244" s="22" t="s">
        <v>22</v>
      </c>
      <c r="D7244">
        <v>1</v>
      </c>
      <c r="G7244" s="30">
        <f>Table132[[#This Row],[nb win]]/Table132[[#This Row],[nb play]]</f>
        <v>0</v>
      </c>
      <c r="H7244" s="26" t="str">
        <f>MID(Table132[[#This Row],[ÉTAT]],VALUE(RIGHT(Table132[[#This Row],[next move]],1))+1+VALUE(LEFT(Table132[[#This Row],[next move]],1))*3,1)</f>
        <v>V</v>
      </c>
      <c r="I7244" s="26" t="str">
        <f>Table132[[#This Row],[ÉTAT]]&amp;Table132[[#This Row],[next move]]</f>
        <v>MVVVVVEVE21</v>
      </c>
    </row>
    <row r="7245" spans="2:9" x14ac:dyDescent="0.25">
      <c r="B7245" t="s">
        <v>3673</v>
      </c>
      <c r="C7245" s="22" t="s">
        <v>29</v>
      </c>
      <c r="D7245">
        <v>1</v>
      </c>
      <c r="G7245" s="30">
        <f>Table132[[#This Row],[nb win]]/Table132[[#This Row],[nb play]]</f>
        <v>0</v>
      </c>
      <c r="H7245" s="26" t="str">
        <f>MID(Table132[[#This Row],[ÉTAT]],VALUE(RIGHT(Table132[[#This Row],[next move]],1))+1+VALUE(LEFT(Table132[[#This Row],[next move]],1))*3,1)</f>
        <v>V</v>
      </c>
      <c r="I7245" s="26" t="str">
        <f>Table132[[#This Row],[ÉTAT]]&amp;Table132[[#This Row],[next move]]</f>
        <v>MVEVVVEME11</v>
      </c>
    </row>
    <row r="7246" spans="2:9" x14ac:dyDescent="0.25">
      <c r="B7246" t="s">
        <v>3664</v>
      </c>
      <c r="C7246" s="22" t="s">
        <v>26</v>
      </c>
      <c r="D7246">
        <v>7</v>
      </c>
      <c r="E7246">
        <v>7</v>
      </c>
      <c r="G7246" s="31">
        <f>Table132[[#This Row],[nb win]]/Table132[[#This Row],[nb play]]</f>
        <v>1</v>
      </c>
      <c r="H7246" s="26" t="str">
        <f>MID(Table132[[#This Row],[ÉTAT]],VALUE(RIGHT(Table132[[#This Row],[next move]],1))+1+VALUE(LEFT(Table132[[#This Row],[next move]],1))*3,1)</f>
        <v>V</v>
      </c>
      <c r="I7246" s="26" t="str">
        <f>Table132[[#This Row],[ÉTAT]]&amp;Table132[[#This Row],[next move]]</f>
        <v>VVVVMEEME01</v>
      </c>
    </row>
    <row r="7247" spans="2:9" x14ac:dyDescent="0.25">
      <c r="B7247" t="s">
        <v>3422</v>
      </c>
      <c r="C7247" s="22" t="s">
        <v>31</v>
      </c>
      <c r="D7247">
        <v>1</v>
      </c>
      <c r="G7247" s="30">
        <f>Table132[[#This Row],[nb win]]/Table132[[#This Row],[nb play]]</f>
        <v>0</v>
      </c>
      <c r="H7247" s="26" t="str">
        <f>MID(Table132[[#This Row],[ÉTAT]],VALUE(RIGHT(Table132[[#This Row],[next move]],1))+1+VALUE(LEFT(Table132[[#This Row],[next move]],1))*3,1)</f>
        <v>V</v>
      </c>
      <c r="I7247" s="26" t="str">
        <f>Table132[[#This Row],[ÉTAT]]&amp;Table132[[#This Row],[next move]]</f>
        <v>VEEEMVVMV22</v>
      </c>
    </row>
    <row r="7248" spans="2:9" x14ac:dyDescent="0.25">
      <c r="B7248" t="s">
        <v>2829</v>
      </c>
      <c r="C7248" s="22" t="s">
        <v>20</v>
      </c>
      <c r="D7248">
        <v>1</v>
      </c>
      <c r="G7248" s="30">
        <f>Table132[[#This Row],[nb win]]/Table132[[#This Row],[nb play]]</f>
        <v>0</v>
      </c>
      <c r="H7248" s="26" t="str">
        <f>MID(Table132[[#This Row],[ÉTAT]],VALUE(RIGHT(Table132[[#This Row],[next move]],1))+1+VALUE(LEFT(Table132[[#This Row],[next move]],1))*3,1)</f>
        <v>V</v>
      </c>
      <c r="I7248" s="26" t="str">
        <f>Table132[[#This Row],[ÉTAT]]&amp;Table132[[#This Row],[next move]]</f>
        <v>MEVVVMEEV02</v>
      </c>
    </row>
    <row r="7249" spans="2:9" x14ac:dyDescent="0.25">
      <c r="B7249" t="s">
        <v>3662</v>
      </c>
      <c r="C7249" s="22" t="s">
        <v>22</v>
      </c>
      <c r="D7249">
        <v>1</v>
      </c>
      <c r="E7249">
        <v>1</v>
      </c>
      <c r="G7249" s="31">
        <f>Table132[[#This Row],[nb win]]/Table132[[#This Row],[nb play]]</f>
        <v>1</v>
      </c>
      <c r="H7249" s="26" t="str">
        <f>MID(Table132[[#This Row],[ÉTAT]],VALUE(RIGHT(Table132[[#This Row],[next move]],1))+1+VALUE(LEFT(Table132[[#This Row],[next move]],1))*3,1)</f>
        <v>V</v>
      </c>
      <c r="I7249" s="26" t="str">
        <f>Table132[[#This Row],[ÉTAT]]&amp;Table132[[#This Row],[next move]]</f>
        <v>EMVVMEEVV21</v>
      </c>
    </row>
    <row r="7250" spans="2:9" x14ac:dyDescent="0.25">
      <c r="B7250" t="s">
        <v>1944</v>
      </c>
      <c r="C7250" s="22" t="s">
        <v>28</v>
      </c>
      <c r="D7250">
        <v>1</v>
      </c>
      <c r="G7250" s="30">
        <f>Table132[[#This Row],[nb win]]/Table132[[#This Row],[nb play]]</f>
        <v>0</v>
      </c>
      <c r="H7250" s="26" t="str">
        <f>MID(Table132[[#This Row],[ÉTAT]],VALUE(RIGHT(Table132[[#This Row],[next move]],1))+1+VALUE(LEFT(Table132[[#This Row],[next move]],1))*3,1)</f>
        <v>V</v>
      </c>
      <c r="I7250" s="26" t="str">
        <f>Table132[[#This Row],[ÉTAT]]&amp;Table132[[#This Row],[next move]]</f>
        <v>MVVEEVVMV12</v>
      </c>
    </row>
    <row r="7251" spans="2:9" x14ac:dyDescent="0.25">
      <c r="B7251" t="s">
        <v>1945</v>
      </c>
      <c r="C7251" s="22" t="s">
        <v>20</v>
      </c>
      <c r="D7251">
        <v>1</v>
      </c>
      <c r="E7251">
        <v>1</v>
      </c>
      <c r="G7251" s="31">
        <f>Table132[[#This Row],[nb win]]/Table132[[#This Row],[nb play]]</f>
        <v>1</v>
      </c>
      <c r="H7251" s="26" t="str">
        <f>MID(Table132[[#This Row],[ÉTAT]],VALUE(RIGHT(Table132[[#This Row],[next move]],1))+1+VALUE(LEFT(Table132[[#This Row],[next move]],1))*3,1)</f>
        <v>V</v>
      </c>
      <c r="I7251" s="26" t="str">
        <f>Table132[[#This Row],[ÉTAT]]&amp;Table132[[#This Row],[next move]]</f>
        <v>EVVMMEVEV02</v>
      </c>
    </row>
    <row r="7252" spans="2:9" x14ac:dyDescent="0.25">
      <c r="B7252" t="s">
        <v>3255</v>
      </c>
      <c r="C7252" s="22" t="s">
        <v>35</v>
      </c>
      <c r="D7252">
        <v>1</v>
      </c>
      <c r="E7252">
        <v>1</v>
      </c>
      <c r="G7252" s="31">
        <f>Table132[[#This Row],[nb win]]/Table132[[#This Row],[nb play]]</f>
        <v>1</v>
      </c>
      <c r="H7252" s="26" t="str">
        <f>MID(Table132[[#This Row],[ÉTAT]],VALUE(RIGHT(Table132[[#This Row],[next move]],1))+1+VALUE(LEFT(Table132[[#This Row],[next move]],1))*3,1)</f>
        <v>V</v>
      </c>
      <c r="I7252" s="26" t="str">
        <f>Table132[[#This Row],[ÉTAT]]&amp;Table132[[#This Row],[next move]]</f>
        <v>EVMMMEVEE20</v>
      </c>
    </row>
    <row r="7253" spans="2:9" x14ac:dyDescent="0.25">
      <c r="B7253" t="s">
        <v>2232</v>
      </c>
      <c r="C7253" s="22" t="s">
        <v>26</v>
      </c>
      <c r="D7253">
        <v>2</v>
      </c>
      <c r="E7253">
        <v>1</v>
      </c>
      <c r="G7253" s="30">
        <f>Table132[[#This Row],[nb win]]/Table132[[#This Row],[nb play]]</f>
        <v>0.5</v>
      </c>
      <c r="H7253" s="26" t="str">
        <f>MID(Table132[[#This Row],[ÉTAT]],VALUE(RIGHT(Table132[[#This Row],[next move]],1))+1+VALUE(LEFT(Table132[[#This Row],[next move]],1))*3,1)</f>
        <v>V</v>
      </c>
      <c r="I7253" s="26" t="str">
        <f>Table132[[#This Row],[ÉTAT]]&amp;Table132[[#This Row],[next move]]</f>
        <v>MVEEVVVVV01</v>
      </c>
    </row>
    <row r="7254" spans="2:9" x14ac:dyDescent="0.25">
      <c r="B7254" t="s">
        <v>2839</v>
      </c>
      <c r="C7254" s="22" t="s">
        <v>22</v>
      </c>
      <c r="D7254">
        <v>1</v>
      </c>
      <c r="E7254">
        <v>1</v>
      </c>
      <c r="G7254" s="31">
        <f>Table132[[#This Row],[nb win]]/Table132[[#This Row],[nb play]]</f>
        <v>1</v>
      </c>
      <c r="H7254" s="26" t="str">
        <f>MID(Table132[[#This Row],[ÉTAT]],VALUE(RIGHT(Table132[[#This Row],[next move]],1))+1+VALUE(LEFT(Table132[[#This Row],[next move]],1))*3,1)</f>
        <v>V</v>
      </c>
      <c r="I7254" s="26" t="str">
        <f>Table132[[#This Row],[ÉTAT]]&amp;Table132[[#This Row],[next move]]</f>
        <v>MMEEVVVVE21</v>
      </c>
    </row>
    <row r="7255" spans="2:9" x14ac:dyDescent="0.25">
      <c r="B7255" t="s">
        <v>3678</v>
      </c>
      <c r="C7255" s="22" t="s">
        <v>35</v>
      </c>
      <c r="D7255">
        <v>1</v>
      </c>
      <c r="G7255" s="30">
        <f>Table132[[#This Row],[nb win]]/Table132[[#This Row],[nb play]]</f>
        <v>0</v>
      </c>
      <c r="H7255" s="26" t="str">
        <f>MID(Table132[[#This Row],[ÉTAT]],VALUE(RIGHT(Table132[[#This Row],[next move]],1))+1+VALUE(LEFT(Table132[[#This Row],[next move]],1))*3,1)</f>
        <v>V</v>
      </c>
      <c r="I7255" s="26" t="str">
        <f>Table132[[#This Row],[ÉTAT]]&amp;Table132[[#This Row],[next move]]</f>
        <v>EEMMVVVEM20</v>
      </c>
    </row>
    <row r="7256" spans="2:9" x14ac:dyDescent="0.25">
      <c r="B7256" t="s">
        <v>3632</v>
      </c>
      <c r="C7256" s="22" t="s">
        <v>31</v>
      </c>
      <c r="D7256">
        <v>1</v>
      </c>
      <c r="G7256" s="30">
        <f>Table132[[#This Row],[nb win]]/Table132[[#This Row],[nb play]]</f>
        <v>0</v>
      </c>
      <c r="H7256" s="26" t="str">
        <f>MID(Table132[[#This Row],[ÉTAT]],VALUE(RIGHT(Table132[[#This Row],[next move]],1))+1+VALUE(LEFT(Table132[[#This Row],[next move]],1))*3,1)</f>
        <v>V</v>
      </c>
      <c r="I7256" s="26" t="str">
        <f>Table132[[#This Row],[ÉTAT]]&amp;Table132[[#This Row],[next move]]</f>
        <v>VVEEMMVEV22</v>
      </c>
    </row>
    <row r="7257" spans="2:9" x14ac:dyDescent="0.25">
      <c r="B7257" t="s">
        <v>3402</v>
      </c>
      <c r="C7257" s="22" t="s">
        <v>24</v>
      </c>
      <c r="D7257">
        <v>1</v>
      </c>
      <c r="E7257">
        <v>1</v>
      </c>
      <c r="G7257" s="31">
        <f>Table132[[#This Row],[nb win]]/Table132[[#This Row],[nb play]]</f>
        <v>1</v>
      </c>
      <c r="H7257" s="26" t="str">
        <f>MID(Table132[[#This Row],[ÉTAT]],VALUE(RIGHT(Table132[[#This Row],[next move]],1))+1+VALUE(LEFT(Table132[[#This Row],[next move]],1))*3,1)</f>
        <v>V</v>
      </c>
      <c r="I7257" s="26" t="str">
        <f>Table132[[#This Row],[ÉTAT]]&amp;Table132[[#This Row],[next move]]</f>
        <v>VVMMEEVME00</v>
      </c>
    </row>
    <row r="7258" spans="2:9" x14ac:dyDescent="0.25">
      <c r="B7258" t="s">
        <v>3679</v>
      </c>
      <c r="C7258" s="22" t="s">
        <v>35</v>
      </c>
      <c r="D7258">
        <v>1</v>
      </c>
      <c r="G7258" s="30">
        <f>Table132[[#This Row],[nb win]]/Table132[[#This Row],[nb play]]</f>
        <v>0</v>
      </c>
      <c r="H7258" s="26" t="str">
        <f>MID(Table132[[#This Row],[ÉTAT]],VALUE(RIGHT(Table132[[#This Row],[next move]],1))+1+VALUE(LEFT(Table132[[#This Row],[next move]],1))*3,1)</f>
        <v>V</v>
      </c>
      <c r="I7258" s="26" t="str">
        <f>Table132[[#This Row],[ÉTAT]]&amp;Table132[[#This Row],[next move]]</f>
        <v>EVEEMMVEM20</v>
      </c>
    </row>
    <row r="7259" spans="2:9" x14ac:dyDescent="0.25">
      <c r="B7259" t="s">
        <v>1399</v>
      </c>
      <c r="C7259" s="22" t="s">
        <v>28</v>
      </c>
      <c r="D7259">
        <v>5</v>
      </c>
      <c r="E7259">
        <v>2</v>
      </c>
      <c r="G7259" s="30">
        <f>Table132[[#This Row],[nb win]]/Table132[[#This Row],[nb play]]</f>
        <v>0.4</v>
      </c>
      <c r="H7259" s="26" t="str">
        <f>MID(Table132[[#This Row],[ÉTAT]],VALUE(RIGHT(Table132[[#This Row],[next move]],1))+1+VALUE(LEFT(Table132[[#This Row],[next move]],1))*3,1)</f>
        <v>V</v>
      </c>
      <c r="I7259" s="26" t="str">
        <f>Table132[[#This Row],[ÉTAT]]&amp;Table132[[#This Row],[next move]]</f>
        <v>VMVVEVEVM12</v>
      </c>
    </row>
    <row r="7260" spans="2:9" x14ac:dyDescent="0.25">
      <c r="B7260" t="s">
        <v>3247</v>
      </c>
      <c r="C7260" s="22" t="s">
        <v>20</v>
      </c>
      <c r="D7260">
        <v>1</v>
      </c>
      <c r="E7260">
        <v>1</v>
      </c>
      <c r="G7260" s="31">
        <f>Table132[[#This Row],[nb win]]/Table132[[#This Row],[nb play]]</f>
        <v>1</v>
      </c>
      <c r="H7260" s="26" t="str">
        <f>MID(Table132[[#This Row],[ÉTAT]],VALUE(RIGHT(Table132[[#This Row],[next move]],1))+1+VALUE(LEFT(Table132[[#This Row],[next move]],1))*3,1)</f>
        <v>V</v>
      </c>
      <c r="I7260" s="26" t="str">
        <f>Table132[[#This Row],[ÉTAT]]&amp;Table132[[#This Row],[next move]]</f>
        <v>VMVVEMEEM02</v>
      </c>
    </row>
    <row r="7261" spans="2:9" x14ac:dyDescent="0.25">
      <c r="B7261" t="s">
        <v>204</v>
      </c>
      <c r="C7261" s="22" t="s">
        <v>22</v>
      </c>
      <c r="D7261">
        <v>3</v>
      </c>
      <c r="E7261">
        <v>3</v>
      </c>
      <c r="G7261" s="31">
        <f>Table132[[#This Row],[nb win]]/Table132[[#This Row],[nb play]]</f>
        <v>1</v>
      </c>
      <c r="H7261" s="26" t="str">
        <f>MID(Table132[[#This Row],[ÉTAT]],VALUE(RIGHT(Table132[[#This Row],[next move]],1))+1+VALUE(LEFT(Table132[[#This Row],[next move]],1))*3,1)</f>
        <v>V</v>
      </c>
      <c r="I7261" s="26" t="str">
        <f>Table132[[#This Row],[ÉTAT]]&amp;Table132[[#This Row],[next move]]</f>
        <v>VVVEMVVVE21</v>
      </c>
    </row>
    <row r="7262" spans="2:9" x14ac:dyDescent="0.25">
      <c r="B7262" t="s">
        <v>3680</v>
      </c>
      <c r="C7262" s="22" t="s">
        <v>35</v>
      </c>
      <c r="D7262">
        <v>1</v>
      </c>
      <c r="G7262" s="30">
        <f>Table132[[#This Row],[nb win]]/Table132[[#This Row],[nb play]]</f>
        <v>0</v>
      </c>
      <c r="H7262" s="26" t="str">
        <f>MID(Table132[[#This Row],[ÉTAT]],VALUE(RIGHT(Table132[[#This Row],[next move]],1))+1+VALUE(LEFT(Table132[[#This Row],[next move]],1))*3,1)</f>
        <v>V</v>
      </c>
      <c r="I7262" s="26" t="str">
        <f>Table132[[#This Row],[ÉTAT]]&amp;Table132[[#This Row],[next move]]</f>
        <v>VVVMEVVEM20</v>
      </c>
    </row>
    <row r="7263" spans="2:9" x14ac:dyDescent="0.25">
      <c r="B7263" t="s">
        <v>3118</v>
      </c>
      <c r="C7263" s="22" t="s">
        <v>30</v>
      </c>
      <c r="D7263">
        <v>1</v>
      </c>
      <c r="G7263" s="30">
        <f>Table132[[#This Row],[nb win]]/Table132[[#This Row],[nb play]]</f>
        <v>0</v>
      </c>
      <c r="H7263" s="26" t="str">
        <f>MID(Table132[[#This Row],[ÉTAT]],VALUE(RIGHT(Table132[[#This Row],[next move]],1))+1+VALUE(LEFT(Table132[[#This Row],[next move]],1))*3,1)</f>
        <v>V</v>
      </c>
      <c r="I7263" s="26" t="str">
        <f>Table132[[#This Row],[ÉTAT]]&amp;Table132[[#This Row],[next move]]</f>
        <v>VVVVMEVVE10</v>
      </c>
    </row>
    <row r="7264" spans="2:9" x14ac:dyDescent="0.25">
      <c r="B7264" t="s">
        <v>3680</v>
      </c>
      <c r="C7264" s="22" t="s">
        <v>20</v>
      </c>
      <c r="D7264">
        <v>1</v>
      </c>
      <c r="G7264" s="30">
        <f>Table132[[#This Row],[nb win]]/Table132[[#This Row],[nb play]]</f>
        <v>0</v>
      </c>
      <c r="H7264" s="26" t="str">
        <f>MID(Table132[[#This Row],[ÉTAT]],VALUE(RIGHT(Table132[[#This Row],[next move]],1))+1+VALUE(LEFT(Table132[[#This Row],[next move]],1))*3,1)</f>
        <v>V</v>
      </c>
      <c r="I7264" s="26" t="str">
        <f>Table132[[#This Row],[ÉTAT]]&amp;Table132[[#This Row],[next move]]</f>
        <v>VVVMEVVEM02</v>
      </c>
    </row>
    <row r="7265" spans="2:9" x14ac:dyDescent="0.25">
      <c r="B7265" t="s">
        <v>697</v>
      </c>
      <c r="C7265" s="22" t="s">
        <v>28</v>
      </c>
      <c r="D7265">
        <v>1</v>
      </c>
      <c r="G7265" s="30">
        <f>Table132[[#This Row],[nb win]]/Table132[[#This Row],[nb play]]</f>
        <v>0</v>
      </c>
      <c r="H7265" s="26" t="str">
        <f>MID(Table132[[#This Row],[ÉTAT]],VALUE(RIGHT(Table132[[#This Row],[next move]],1))+1+VALUE(LEFT(Table132[[#This Row],[next move]],1))*3,1)</f>
        <v>V</v>
      </c>
      <c r="I7265" s="26" t="str">
        <f>Table132[[#This Row],[ÉTAT]]&amp;Table132[[#This Row],[next move]]</f>
        <v>VVMMEVVEE12</v>
      </c>
    </row>
    <row r="7266" spans="2:9" x14ac:dyDescent="0.25">
      <c r="B7266" t="s">
        <v>2551</v>
      </c>
      <c r="C7266" s="22" t="s">
        <v>30</v>
      </c>
      <c r="D7266">
        <v>2</v>
      </c>
      <c r="E7266">
        <v>2</v>
      </c>
      <c r="G7266" s="31">
        <f>Table132[[#This Row],[nb win]]/Table132[[#This Row],[nb play]]</f>
        <v>1</v>
      </c>
      <c r="H7266" s="26" t="str">
        <f>MID(Table132[[#This Row],[ÉTAT]],VALUE(RIGHT(Table132[[#This Row],[next move]],1))+1+VALUE(LEFT(Table132[[#This Row],[next move]],1))*3,1)</f>
        <v>V</v>
      </c>
      <c r="I7266" s="26" t="str">
        <f>Table132[[#This Row],[ÉTAT]]&amp;Table132[[#This Row],[next move]]</f>
        <v>VEVVMMEVE10</v>
      </c>
    </row>
    <row r="7267" spans="2:9" x14ac:dyDescent="0.25">
      <c r="B7267" t="s">
        <v>2493</v>
      </c>
      <c r="C7267" s="22" t="s">
        <v>26</v>
      </c>
      <c r="D7267">
        <v>2</v>
      </c>
      <c r="G7267" s="30">
        <f>Table132[[#This Row],[nb win]]/Table132[[#This Row],[nb play]]</f>
        <v>0</v>
      </c>
      <c r="H7267" s="26" t="str">
        <f>MID(Table132[[#This Row],[ÉTAT]],VALUE(RIGHT(Table132[[#This Row],[next move]],1))+1+VALUE(LEFT(Table132[[#This Row],[next move]],1))*3,1)</f>
        <v>V</v>
      </c>
      <c r="I7267" s="26" t="str">
        <f>Table132[[#This Row],[ÉTAT]]&amp;Table132[[#This Row],[next move]]</f>
        <v>EVEEMVVVM01</v>
      </c>
    </row>
    <row r="7268" spans="2:9" x14ac:dyDescent="0.25">
      <c r="B7268" t="s">
        <v>2430</v>
      </c>
      <c r="C7268" s="22" t="s">
        <v>26</v>
      </c>
      <c r="D7268">
        <v>1</v>
      </c>
      <c r="E7268">
        <v>1</v>
      </c>
      <c r="G7268" s="31">
        <f>Table132[[#This Row],[nb win]]/Table132[[#This Row],[nb play]]</f>
        <v>1</v>
      </c>
      <c r="H7268" s="26" t="str">
        <f>MID(Table132[[#This Row],[ÉTAT]],VALUE(RIGHT(Table132[[#This Row],[next move]],1))+1+VALUE(LEFT(Table132[[#This Row],[next move]],1))*3,1)</f>
        <v>V</v>
      </c>
      <c r="I7268" s="26" t="str">
        <f>Table132[[#This Row],[ÉTAT]]&amp;Table132[[#This Row],[next move]]</f>
        <v>VVMEMEEVV01</v>
      </c>
    </row>
    <row r="7269" spans="2:9" x14ac:dyDescent="0.25">
      <c r="B7269" t="s">
        <v>3681</v>
      </c>
      <c r="C7269" s="22" t="s">
        <v>22</v>
      </c>
      <c r="D7269">
        <v>1</v>
      </c>
      <c r="G7269" s="30">
        <f>Table132[[#This Row],[nb win]]/Table132[[#This Row],[nb play]]</f>
        <v>0</v>
      </c>
      <c r="H7269" s="26" t="str">
        <f>MID(Table132[[#This Row],[ÉTAT]],VALUE(RIGHT(Table132[[#This Row],[next move]],1))+1+VALUE(LEFT(Table132[[#This Row],[next move]],1))*3,1)</f>
        <v>V</v>
      </c>
      <c r="I7269" s="26" t="str">
        <f>Table132[[#This Row],[ÉTAT]]&amp;Table132[[#This Row],[next move]]</f>
        <v>VEEMEMMVV21</v>
      </c>
    </row>
    <row r="7270" spans="2:9" x14ac:dyDescent="0.25">
      <c r="B7270" t="s">
        <v>3682</v>
      </c>
      <c r="C7270" s="22" t="s">
        <v>24</v>
      </c>
      <c r="D7270">
        <v>1</v>
      </c>
      <c r="E7270">
        <v>1</v>
      </c>
      <c r="G7270" s="31">
        <f>Table132[[#This Row],[nb win]]/Table132[[#This Row],[nb play]]</f>
        <v>1</v>
      </c>
      <c r="H7270" s="26" t="str">
        <f>MID(Table132[[#This Row],[ÉTAT]],VALUE(RIGHT(Table132[[#This Row],[next move]],1))+1+VALUE(LEFT(Table132[[#This Row],[next move]],1))*3,1)</f>
        <v>V</v>
      </c>
      <c r="I7270" s="26" t="str">
        <f>Table132[[#This Row],[ÉTAT]]&amp;Table132[[#This Row],[next move]]</f>
        <v>VMMEMEEEV00</v>
      </c>
    </row>
    <row r="7271" spans="2:9" x14ac:dyDescent="0.25">
      <c r="B7271" t="s">
        <v>3463</v>
      </c>
      <c r="C7271" s="22" t="s">
        <v>31</v>
      </c>
      <c r="D7271">
        <v>1</v>
      </c>
      <c r="G7271" s="30">
        <f>Table132[[#This Row],[nb win]]/Table132[[#This Row],[nb play]]</f>
        <v>0</v>
      </c>
      <c r="H7271" s="26" t="str">
        <f>MID(Table132[[#This Row],[ÉTAT]],VALUE(RIGHT(Table132[[#This Row],[next move]],1))+1+VALUE(LEFT(Table132[[#This Row],[next move]],1))*3,1)</f>
        <v>V</v>
      </c>
      <c r="I7271" s="26" t="str">
        <f>Table132[[#This Row],[ÉTAT]]&amp;Table132[[#This Row],[next move]]</f>
        <v>MEMMEVEVV22</v>
      </c>
    </row>
    <row r="7272" spans="2:9" x14ac:dyDescent="0.25">
      <c r="B7272" t="s">
        <v>1944</v>
      </c>
      <c r="C7272" s="22" t="s">
        <v>26</v>
      </c>
      <c r="D7272">
        <v>11</v>
      </c>
      <c r="E7272">
        <v>1</v>
      </c>
      <c r="G7272" s="30">
        <f>Table132[[#This Row],[nb win]]/Table132[[#This Row],[nb play]]</f>
        <v>9.0909090909090912E-2</v>
      </c>
      <c r="H7272" s="26" t="str">
        <f>MID(Table132[[#This Row],[ÉTAT]],VALUE(RIGHT(Table132[[#This Row],[next move]],1))+1+VALUE(LEFT(Table132[[#This Row],[next move]],1))*3,1)</f>
        <v>V</v>
      </c>
      <c r="I7272" s="26" t="str">
        <f>Table132[[#This Row],[ÉTAT]]&amp;Table132[[#This Row],[next move]]</f>
        <v>MVVEEVVMV01</v>
      </c>
    </row>
    <row r="7273" spans="2:9" x14ac:dyDescent="0.25">
      <c r="B7273" t="s">
        <v>3441</v>
      </c>
      <c r="C7273" s="22" t="s">
        <v>31</v>
      </c>
      <c r="D7273">
        <v>1</v>
      </c>
      <c r="G7273" s="30">
        <f>Table132[[#This Row],[nb win]]/Table132[[#This Row],[nb play]]</f>
        <v>0</v>
      </c>
      <c r="H7273" s="26" t="str">
        <f>MID(Table132[[#This Row],[ÉTAT]],VALUE(RIGHT(Table132[[#This Row],[next move]],1))+1+VALUE(LEFT(Table132[[#This Row],[next move]],1))*3,1)</f>
        <v>V</v>
      </c>
      <c r="I7273" s="26" t="str">
        <f>Table132[[#This Row],[ÉTAT]]&amp;Table132[[#This Row],[next move]]</f>
        <v>EEVMMVVEV22</v>
      </c>
    </row>
    <row r="7274" spans="2:9" x14ac:dyDescent="0.25">
      <c r="B7274" t="s">
        <v>3422</v>
      </c>
      <c r="C7274" s="22" t="s">
        <v>28</v>
      </c>
      <c r="D7274">
        <v>2</v>
      </c>
      <c r="G7274" s="30">
        <f>Table132[[#This Row],[nb win]]/Table132[[#This Row],[nb play]]</f>
        <v>0</v>
      </c>
      <c r="H7274" s="26" t="str">
        <f>MID(Table132[[#This Row],[ÉTAT]],VALUE(RIGHT(Table132[[#This Row],[next move]],1))+1+VALUE(LEFT(Table132[[#This Row],[next move]],1))*3,1)</f>
        <v>V</v>
      </c>
      <c r="I7274" s="26" t="str">
        <f>Table132[[#This Row],[ÉTAT]]&amp;Table132[[#This Row],[next move]]</f>
        <v>VEEEMVVMV12</v>
      </c>
    </row>
    <row r="7275" spans="2:9" x14ac:dyDescent="0.25">
      <c r="B7275" t="s">
        <v>3044</v>
      </c>
      <c r="C7275" s="22" t="s">
        <v>30</v>
      </c>
      <c r="D7275">
        <v>1</v>
      </c>
      <c r="G7275" s="30">
        <f>Table132[[#This Row],[nb win]]/Table132[[#This Row],[nb play]]</f>
        <v>0</v>
      </c>
      <c r="H7275" s="26" t="str">
        <f>MID(Table132[[#This Row],[ÉTAT]],VALUE(RIGHT(Table132[[#This Row],[next move]],1))+1+VALUE(LEFT(Table132[[#This Row],[next move]],1))*3,1)</f>
        <v>V</v>
      </c>
      <c r="I7275" s="26" t="str">
        <f>Table132[[#This Row],[ÉTAT]]&amp;Table132[[#This Row],[next move]]</f>
        <v>MEVVEMVVV10</v>
      </c>
    </row>
    <row r="7276" spans="2:9" x14ac:dyDescent="0.25">
      <c r="B7276" t="s">
        <v>3683</v>
      </c>
      <c r="C7276" s="22" t="s">
        <v>22</v>
      </c>
      <c r="D7276">
        <v>1</v>
      </c>
      <c r="E7276">
        <v>1</v>
      </c>
      <c r="G7276" s="31">
        <f>Table132[[#This Row],[nb win]]/Table132[[#This Row],[nb play]]</f>
        <v>1</v>
      </c>
      <c r="H7276" s="26" t="str">
        <f>MID(Table132[[#This Row],[ÉTAT]],VALUE(RIGHT(Table132[[#This Row],[next move]],1))+1+VALUE(LEFT(Table132[[#This Row],[next move]],1))*3,1)</f>
        <v>V</v>
      </c>
      <c r="I7276" s="26" t="str">
        <f>Table132[[#This Row],[ÉTAT]]&amp;Table132[[#This Row],[next move]]</f>
        <v>EMVEMEVVV21</v>
      </c>
    </row>
    <row r="7277" spans="2:9" x14ac:dyDescent="0.25">
      <c r="B7277" t="s">
        <v>3390</v>
      </c>
      <c r="C7277" s="22" t="s">
        <v>30</v>
      </c>
      <c r="D7277">
        <v>1</v>
      </c>
      <c r="G7277" s="30">
        <f>Table132[[#This Row],[nb win]]/Table132[[#This Row],[nb play]]</f>
        <v>0</v>
      </c>
      <c r="H7277" s="26" t="str">
        <f>MID(Table132[[#This Row],[ÉTAT]],VALUE(RIGHT(Table132[[#This Row],[next move]],1))+1+VALUE(LEFT(Table132[[#This Row],[next move]],1))*3,1)</f>
        <v>V</v>
      </c>
      <c r="I7277" s="26" t="str">
        <f>Table132[[#This Row],[ÉTAT]]&amp;Table132[[#This Row],[next move]]</f>
        <v>VVVVEMEVV10</v>
      </c>
    </row>
    <row r="7278" spans="2:9" x14ac:dyDescent="0.25">
      <c r="B7278" t="s">
        <v>373</v>
      </c>
      <c r="C7278" s="22" t="s">
        <v>24</v>
      </c>
      <c r="D7278">
        <v>2</v>
      </c>
      <c r="E7278">
        <v>2</v>
      </c>
      <c r="G7278" s="31">
        <f>Table132[[#This Row],[nb win]]/Table132[[#This Row],[nb play]]</f>
        <v>1</v>
      </c>
      <c r="H7278" s="26" t="str">
        <f>MID(Table132[[#This Row],[ÉTAT]],VALUE(RIGHT(Table132[[#This Row],[next move]],1))+1+VALUE(LEFT(Table132[[#This Row],[next move]],1))*3,1)</f>
        <v>V</v>
      </c>
      <c r="I7278" s="26" t="str">
        <f>Table132[[#This Row],[ÉTAT]]&amp;Table132[[#This Row],[next move]]</f>
        <v>VVEVMVVEV00</v>
      </c>
    </row>
    <row r="7279" spans="2:9" x14ac:dyDescent="0.25">
      <c r="B7279" t="s">
        <v>652</v>
      </c>
      <c r="C7279" s="22" t="s">
        <v>28</v>
      </c>
      <c r="D7279">
        <v>1</v>
      </c>
      <c r="E7279">
        <v>1</v>
      </c>
      <c r="G7279" s="31">
        <f>Table132[[#This Row],[nb win]]/Table132[[#This Row],[nb play]]</f>
        <v>1</v>
      </c>
      <c r="H7279" s="26" t="str">
        <f>MID(Table132[[#This Row],[ÉTAT]],VALUE(RIGHT(Table132[[#This Row],[next move]],1))+1+VALUE(LEFT(Table132[[#This Row],[next move]],1))*3,1)</f>
        <v>V</v>
      </c>
      <c r="I7279" s="26" t="str">
        <f>Table132[[#This Row],[ÉTAT]]&amp;Table132[[#This Row],[next move]]</f>
        <v>MVEVMVVEE12</v>
      </c>
    </row>
    <row r="7280" spans="2:9" x14ac:dyDescent="0.25">
      <c r="B7280" t="s">
        <v>3684</v>
      </c>
      <c r="C7280" s="22" t="s">
        <v>26</v>
      </c>
      <c r="D7280">
        <v>1</v>
      </c>
      <c r="G7280" s="30">
        <f>Table132[[#This Row],[nb win]]/Table132[[#This Row],[nb play]]</f>
        <v>0</v>
      </c>
      <c r="H7280" s="26" t="str">
        <f>MID(Table132[[#This Row],[ÉTAT]],VALUE(RIGHT(Table132[[#This Row],[next move]],1))+1+VALUE(LEFT(Table132[[#This Row],[next move]],1))*3,1)</f>
        <v>V</v>
      </c>
      <c r="I7280" s="26" t="str">
        <f>Table132[[#This Row],[ÉTAT]]&amp;Table132[[#This Row],[next move]]</f>
        <v>EVMVEEVMM01</v>
      </c>
    </row>
    <row r="7281" spans="2:9" x14ac:dyDescent="0.25">
      <c r="B7281" t="s">
        <v>814</v>
      </c>
      <c r="C7281" s="22" t="s">
        <v>24</v>
      </c>
      <c r="D7281">
        <v>1</v>
      </c>
      <c r="G7281" s="30">
        <f>Table132[[#This Row],[nb win]]/Table132[[#This Row],[nb play]]</f>
        <v>0</v>
      </c>
      <c r="H7281" s="26" t="str">
        <f>MID(Table132[[#This Row],[ÉTAT]],VALUE(RIGHT(Table132[[#This Row],[next move]],1))+1+VALUE(LEFT(Table132[[#This Row],[next move]],1))*3,1)</f>
        <v>V</v>
      </c>
      <c r="I7281" s="26" t="str">
        <f>Table132[[#This Row],[ÉTAT]]&amp;Table132[[#This Row],[next move]]</f>
        <v>VVEMEMVVV00</v>
      </c>
    </row>
    <row r="7282" spans="2:9" x14ac:dyDescent="0.25">
      <c r="B7282" t="s">
        <v>3284</v>
      </c>
      <c r="C7282" s="22" t="s">
        <v>35</v>
      </c>
      <c r="D7282">
        <v>1</v>
      </c>
      <c r="G7282" s="30">
        <f>Table132[[#This Row],[nb win]]/Table132[[#This Row],[nb play]]</f>
        <v>0</v>
      </c>
      <c r="H7282" s="26" t="str">
        <f>MID(Table132[[#This Row],[ÉTAT]],VALUE(RIGHT(Table132[[#This Row],[next move]],1))+1+VALUE(LEFT(Table132[[#This Row],[next move]],1))*3,1)</f>
        <v>V</v>
      </c>
      <c r="I7282" s="26" t="str">
        <f>Table132[[#This Row],[ÉTAT]]&amp;Table132[[#This Row],[next move]]</f>
        <v>MMEVEEVVM20</v>
      </c>
    </row>
    <row r="7283" spans="2:9" x14ac:dyDescent="0.25">
      <c r="B7283" t="s">
        <v>3685</v>
      </c>
      <c r="C7283" s="22" t="s">
        <v>30</v>
      </c>
      <c r="D7283">
        <v>1</v>
      </c>
      <c r="E7283">
        <v>1</v>
      </c>
      <c r="G7283" s="31">
        <f>Table132[[#This Row],[nb win]]/Table132[[#This Row],[nb play]]</f>
        <v>1</v>
      </c>
      <c r="H7283" s="26" t="str">
        <f>MID(Table132[[#This Row],[ÉTAT]],VALUE(RIGHT(Table132[[#This Row],[next move]],1))+1+VALUE(LEFT(Table132[[#This Row],[next move]],1))*3,1)</f>
        <v>V</v>
      </c>
      <c r="I7283" s="26" t="str">
        <f>Table132[[#This Row],[ÉTAT]]&amp;Table132[[#This Row],[next move]]</f>
        <v>EEMVMMEVE10</v>
      </c>
    </row>
    <row r="7284" spans="2:9" x14ac:dyDescent="0.25">
      <c r="B7284" t="s">
        <v>2977</v>
      </c>
      <c r="C7284" s="22" t="s">
        <v>29</v>
      </c>
      <c r="D7284">
        <v>1</v>
      </c>
      <c r="G7284" s="30">
        <f>Table132[[#This Row],[nb win]]/Table132[[#This Row],[nb play]]</f>
        <v>0</v>
      </c>
      <c r="H7284" s="26" t="str">
        <f>MID(Table132[[#This Row],[ÉTAT]],VALUE(RIGHT(Table132[[#This Row],[next move]],1))+1+VALUE(LEFT(Table132[[#This Row],[next move]],1))*3,1)</f>
        <v>V</v>
      </c>
      <c r="I7284" s="26" t="str">
        <f>Table132[[#This Row],[ÉTAT]]&amp;Table132[[#This Row],[next move]]</f>
        <v>EEVVVVMME11</v>
      </c>
    </row>
    <row r="7285" spans="2:9" x14ac:dyDescent="0.25">
      <c r="B7285" t="s">
        <v>758</v>
      </c>
      <c r="C7285" s="22" t="s">
        <v>26</v>
      </c>
      <c r="D7285">
        <v>1</v>
      </c>
      <c r="E7285">
        <v>1</v>
      </c>
      <c r="G7285" s="31">
        <f>Table132[[#This Row],[nb win]]/Table132[[#This Row],[nb play]]</f>
        <v>1</v>
      </c>
      <c r="H7285" s="26" t="str">
        <f>MID(Table132[[#This Row],[ÉTAT]],VALUE(RIGHT(Table132[[#This Row],[next move]],1))+1+VALUE(LEFT(Table132[[#This Row],[next move]],1))*3,1)</f>
        <v>V</v>
      </c>
      <c r="I7285" s="26" t="str">
        <f>Table132[[#This Row],[ÉTAT]]&amp;Table132[[#This Row],[next move]]</f>
        <v>VVMVVEVVE01</v>
      </c>
    </row>
    <row r="7286" spans="2:9" x14ac:dyDescent="0.25">
      <c r="B7286" t="s">
        <v>1184</v>
      </c>
      <c r="C7286" s="22" t="s">
        <v>24</v>
      </c>
      <c r="D7286">
        <v>1</v>
      </c>
      <c r="E7286">
        <v>1</v>
      </c>
      <c r="G7286" s="31">
        <f>Table132[[#This Row],[nb win]]/Table132[[#This Row],[nb play]]</f>
        <v>1</v>
      </c>
      <c r="H7286" s="26" t="str">
        <f>MID(Table132[[#This Row],[ÉTAT]],VALUE(RIGHT(Table132[[#This Row],[next move]],1))+1+VALUE(LEFT(Table132[[#This Row],[next move]],1))*3,1)</f>
        <v>V</v>
      </c>
      <c r="I7286" s="26" t="str">
        <f>Table132[[#This Row],[ÉTAT]]&amp;Table132[[#This Row],[next move]]</f>
        <v>VMMEVEVVE00</v>
      </c>
    </row>
    <row r="7287" spans="2:9" x14ac:dyDescent="0.25">
      <c r="B7287" t="s">
        <v>1566</v>
      </c>
      <c r="C7287" s="22" t="s">
        <v>20</v>
      </c>
      <c r="D7287">
        <v>1</v>
      </c>
      <c r="G7287" s="30">
        <f>Table132[[#This Row],[nb win]]/Table132[[#This Row],[nb play]]</f>
        <v>0</v>
      </c>
      <c r="H7287" s="26" t="str">
        <f>MID(Table132[[#This Row],[ÉTAT]],VALUE(RIGHT(Table132[[#This Row],[next move]],1))+1+VALUE(LEFT(Table132[[#This Row],[next move]],1))*3,1)</f>
        <v>V</v>
      </c>
      <c r="I7287" s="26" t="str">
        <f>Table132[[#This Row],[ÉTAT]]&amp;Table132[[#This Row],[next move]]</f>
        <v>VVVEMVEEM02</v>
      </c>
    </row>
    <row r="7288" spans="2:9" x14ac:dyDescent="0.25">
      <c r="B7288" t="s">
        <v>1712</v>
      </c>
      <c r="C7288" s="22" t="s">
        <v>30</v>
      </c>
      <c r="D7288">
        <v>2</v>
      </c>
      <c r="E7288">
        <v>2</v>
      </c>
      <c r="G7288" s="31">
        <f>Table132[[#This Row],[nb win]]/Table132[[#This Row],[nb play]]</f>
        <v>1</v>
      </c>
      <c r="H7288" s="26" t="str">
        <f>MID(Table132[[#This Row],[ÉTAT]],VALUE(RIGHT(Table132[[#This Row],[next move]],1))+1+VALUE(LEFT(Table132[[#This Row],[next move]],1))*3,1)</f>
        <v>V</v>
      </c>
      <c r="I7288" s="26" t="str">
        <f>Table132[[#This Row],[ÉTAT]]&amp;Table132[[#This Row],[next move]]</f>
        <v>VMVVEEVVM10</v>
      </c>
    </row>
    <row r="7289" spans="2:9" x14ac:dyDescent="0.25">
      <c r="B7289" t="s">
        <v>3676</v>
      </c>
      <c r="C7289" s="22" t="s">
        <v>20</v>
      </c>
      <c r="D7289">
        <v>1</v>
      </c>
      <c r="G7289" s="30">
        <f>Table132[[#This Row],[nb win]]/Table132[[#This Row],[nb play]]</f>
        <v>0</v>
      </c>
      <c r="H7289" s="26" t="str">
        <f>MID(Table132[[#This Row],[ÉTAT]],VALUE(RIGHT(Table132[[#This Row],[next move]],1))+1+VALUE(LEFT(Table132[[#This Row],[next move]],1))*3,1)</f>
        <v>V</v>
      </c>
      <c r="I7289" s="26" t="str">
        <f>Table132[[#This Row],[ÉTAT]]&amp;Table132[[#This Row],[next move]]</f>
        <v>VEVEMMVVE02</v>
      </c>
    </row>
    <row r="7290" spans="2:9" x14ac:dyDescent="0.25">
      <c r="B7290" t="s">
        <v>2851</v>
      </c>
      <c r="C7290" s="22" t="s">
        <v>24</v>
      </c>
      <c r="D7290">
        <v>1</v>
      </c>
      <c r="G7290" s="30">
        <f>Table132[[#This Row],[nb win]]/Table132[[#This Row],[nb play]]</f>
        <v>0</v>
      </c>
      <c r="H7290" s="26" t="str">
        <f>MID(Table132[[#This Row],[ÉTAT]],VALUE(RIGHT(Table132[[#This Row],[next move]],1))+1+VALUE(LEFT(Table132[[#This Row],[next move]],1))*3,1)</f>
        <v>V</v>
      </c>
      <c r="I7290" s="26" t="str">
        <f>Table132[[#This Row],[ÉTAT]]&amp;Table132[[#This Row],[next move]]</f>
        <v>VEMEMMEVE00</v>
      </c>
    </row>
    <row r="7291" spans="2:9" x14ac:dyDescent="0.25">
      <c r="B7291" t="s">
        <v>2353</v>
      </c>
      <c r="C7291" s="22" t="s">
        <v>31</v>
      </c>
      <c r="D7291">
        <v>1</v>
      </c>
      <c r="G7291" s="30">
        <f>Table132[[#This Row],[nb win]]/Table132[[#This Row],[nb play]]</f>
        <v>0</v>
      </c>
      <c r="H7291" s="26" t="str">
        <f>MID(Table132[[#This Row],[ÉTAT]],VALUE(RIGHT(Table132[[#This Row],[next move]],1))+1+VALUE(LEFT(Table132[[#This Row],[next move]],1))*3,1)</f>
        <v>V</v>
      </c>
      <c r="I7291" s="26" t="str">
        <f>Table132[[#This Row],[ÉTAT]]&amp;Table132[[#This Row],[next move]]</f>
        <v>VVMMEVVEV22</v>
      </c>
    </row>
    <row r="7292" spans="2:9" x14ac:dyDescent="0.25">
      <c r="B7292" t="s">
        <v>1566</v>
      </c>
      <c r="C7292" s="22" t="s">
        <v>24</v>
      </c>
      <c r="D7292">
        <v>9</v>
      </c>
      <c r="E7292">
        <v>9</v>
      </c>
      <c r="G7292" s="31">
        <f>Table132[[#This Row],[nb win]]/Table132[[#This Row],[nb play]]</f>
        <v>1</v>
      </c>
      <c r="H7292" s="26" t="str">
        <f>MID(Table132[[#This Row],[ÉTAT]],VALUE(RIGHT(Table132[[#This Row],[next move]],1))+1+VALUE(LEFT(Table132[[#This Row],[next move]],1))*3,1)</f>
        <v>V</v>
      </c>
      <c r="I7292" s="26" t="str">
        <f>Table132[[#This Row],[ÉTAT]]&amp;Table132[[#This Row],[next move]]</f>
        <v>VVVEMVEEM00</v>
      </c>
    </row>
    <row r="7293" spans="2:9" x14ac:dyDescent="0.25">
      <c r="B7293" t="s">
        <v>3284</v>
      </c>
      <c r="C7293" s="22" t="s">
        <v>22</v>
      </c>
      <c r="D7293">
        <v>1</v>
      </c>
      <c r="G7293" s="30">
        <f>Table132[[#This Row],[nb win]]/Table132[[#This Row],[nb play]]</f>
        <v>0</v>
      </c>
      <c r="H7293" s="26" t="str">
        <f>MID(Table132[[#This Row],[ÉTAT]],VALUE(RIGHT(Table132[[#This Row],[next move]],1))+1+VALUE(LEFT(Table132[[#This Row],[next move]],1))*3,1)</f>
        <v>V</v>
      </c>
      <c r="I7293" s="26" t="str">
        <f>Table132[[#This Row],[ÉTAT]]&amp;Table132[[#This Row],[next move]]</f>
        <v>MMEVEEVVM21</v>
      </c>
    </row>
    <row r="7294" spans="2:9" x14ac:dyDescent="0.25">
      <c r="B7294" t="s">
        <v>2860</v>
      </c>
      <c r="C7294" s="22" t="s">
        <v>35</v>
      </c>
      <c r="D7294">
        <v>1</v>
      </c>
      <c r="E7294">
        <v>1</v>
      </c>
      <c r="G7294" s="31">
        <f>Table132[[#This Row],[nb win]]/Table132[[#This Row],[nb play]]</f>
        <v>1</v>
      </c>
      <c r="H7294" s="26" t="str">
        <f>MID(Table132[[#This Row],[ÉTAT]],VALUE(RIGHT(Table132[[#This Row],[next move]],1))+1+VALUE(LEFT(Table132[[#This Row],[next move]],1))*3,1)</f>
        <v>V</v>
      </c>
      <c r="I7294" s="26" t="str">
        <f>Table132[[#This Row],[ÉTAT]]&amp;Table132[[#This Row],[next move]]</f>
        <v>MVEVMEVEV20</v>
      </c>
    </row>
    <row r="7295" spans="2:9" x14ac:dyDescent="0.25">
      <c r="B7295" t="s">
        <v>619</v>
      </c>
      <c r="C7295" s="22" t="s">
        <v>30</v>
      </c>
      <c r="D7295">
        <v>1</v>
      </c>
      <c r="G7295" s="30">
        <f>Table132[[#This Row],[nb win]]/Table132[[#This Row],[nb play]]</f>
        <v>0</v>
      </c>
      <c r="H7295" s="26" t="str">
        <f>MID(Table132[[#This Row],[ÉTAT]],VALUE(RIGHT(Table132[[#This Row],[next move]],1))+1+VALUE(LEFT(Table132[[#This Row],[next move]],1))*3,1)</f>
        <v>V</v>
      </c>
      <c r="I7295" s="26" t="str">
        <f>Table132[[#This Row],[ÉTAT]]&amp;Table132[[#This Row],[next move]]</f>
        <v>VEVVMEMVE10</v>
      </c>
    </row>
    <row r="7296" spans="2:9" x14ac:dyDescent="0.25">
      <c r="B7296" t="s">
        <v>2877</v>
      </c>
      <c r="C7296" s="22" t="s">
        <v>35</v>
      </c>
      <c r="D7296">
        <v>1</v>
      </c>
      <c r="E7296">
        <v>1</v>
      </c>
      <c r="G7296" s="31">
        <f>Table132[[#This Row],[nb win]]/Table132[[#This Row],[nb play]]</f>
        <v>1</v>
      </c>
      <c r="H7296" s="26" t="str">
        <f>MID(Table132[[#This Row],[ÉTAT]],VALUE(RIGHT(Table132[[#This Row],[next move]],1))+1+VALUE(LEFT(Table132[[#This Row],[next move]],1))*3,1)</f>
        <v>V</v>
      </c>
      <c r="I7296" s="26" t="str">
        <f>Table132[[#This Row],[ÉTAT]]&amp;Table132[[#This Row],[next move]]</f>
        <v>MEVEMVVVE20</v>
      </c>
    </row>
    <row r="7297" spans="2:9" x14ac:dyDescent="0.25">
      <c r="B7297" t="s">
        <v>3687</v>
      </c>
      <c r="C7297" s="22" t="s">
        <v>22</v>
      </c>
      <c r="D7297">
        <v>1</v>
      </c>
      <c r="G7297" s="30">
        <f>Table132[[#This Row],[nb win]]/Table132[[#This Row],[nb play]]</f>
        <v>0</v>
      </c>
      <c r="H7297" s="26" t="str">
        <f>MID(Table132[[#This Row],[ÉTAT]],VALUE(RIGHT(Table132[[#This Row],[next move]],1))+1+VALUE(LEFT(Table132[[#This Row],[next move]],1))*3,1)</f>
        <v>V</v>
      </c>
      <c r="I7297" s="26" t="str">
        <f>Table132[[#This Row],[ÉTAT]]&amp;Table132[[#This Row],[next move]]</f>
        <v>EMVMEVEVM21</v>
      </c>
    </row>
    <row r="7298" spans="2:9" x14ac:dyDescent="0.25">
      <c r="B7298" t="s">
        <v>1896</v>
      </c>
      <c r="C7298" s="22" t="s">
        <v>26</v>
      </c>
      <c r="D7298">
        <v>1</v>
      </c>
      <c r="G7298" s="30">
        <f>Table132[[#This Row],[nb win]]/Table132[[#This Row],[nb play]]</f>
        <v>0</v>
      </c>
      <c r="H7298" s="26" t="str">
        <f>MID(Table132[[#This Row],[ÉTAT]],VALUE(RIGHT(Table132[[#This Row],[next move]],1))+1+VALUE(LEFT(Table132[[#This Row],[next move]],1))*3,1)</f>
        <v>V</v>
      </c>
      <c r="I7298" s="26" t="str">
        <f>Table132[[#This Row],[ÉTAT]]&amp;Table132[[#This Row],[next move]]</f>
        <v>EVVVMVVEV01</v>
      </c>
    </row>
    <row r="7299" spans="2:9" x14ac:dyDescent="0.25">
      <c r="B7299" t="s">
        <v>3688</v>
      </c>
      <c r="C7299" s="22" t="s">
        <v>31</v>
      </c>
      <c r="D7299">
        <v>1</v>
      </c>
      <c r="E7299">
        <v>1</v>
      </c>
      <c r="G7299" s="31">
        <f>Table132[[#This Row],[nb win]]/Table132[[#This Row],[nb play]]</f>
        <v>1</v>
      </c>
      <c r="H7299" s="26" t="str">
        <f>MID(Table132[[#This Row],[ÉTAT]],VALUE(RIGHT(Table132[[#This Row],[next move]],1))+1+VALUE(LEFT(Table132[[#This Row],[next move]],1))*3,1)</f>
        <v>V</v>
      </c>
      <c r="I7299" s="26" t="str">
        <f>Table132[[#This Row],[ÉTAT]]&amp;Table132[[#This Row],[next move]]</f>
        <v>MEVVEVVMV22</v>
      </c>
    </row>
    <row r="7300" spans="2:9" x14ac:dyDescent="0.25">
      <c r="B7300" t="s">
        <v>1987</v>
      </c>
      <c r="C7300" s="22" t="s">
        <v>28</v>
      </c>
      <c r="D7300">
        <v>1</v>
      </c>
      <c r="G7300" s="30">
        <f>Table132[[#This Row],[nb win]]/Table132[[#This Row],[nb play]]</f>
        <v>0</v>
      </c>
      <c r="H7300" s="26" t="str">
        <f>MID(Table132[[#This Row],[ÉTAT]],VALUE(RIGHT(Table132[[#This Row],[next move]],1))+1+VALUE(LEFT(Table132[[#This Row],[next move]],1))*3,1)</f>
        <v>V</v>
      </c>
      <c r="I7300" s="26" t="str">
        <f>Table132[[#This Row],[ÉTAT]]&amp;Table132[[#This Row],[next move]]</f>
        <v>EMVVMVVEE12</v>
      </c>
    </row>
    <row r="7301" spans="2:9" x14ac:dyDescent="0.25">
      <c r="B7301" t="s">
        <v>833</v>
      </c>
      <c r="C7301" s="22" t="s">
        <v>35</v>
      </c>
      <c r="D7301">
        <v>1</v>
      </c>
      <c r="G7301" s="30">
        <f>Table132[[#This Row],[nb win]]/Table132[[#This Row],[nb play]]</f>
        <v>0</v>
      </c>
      <c r="H7301" s="26" t="str">
        <f>MID(Table132[[#This Row],[ÉTAT]],VALUE(RIGHT(Table132[[#This Row],[next move]],1))+1+VALUE(LEFT(Table132[[#This Row],[next move]],1))*3,1)</f>
        <v>V</v>
      </c>
      <c r="I7301" s="26" t="str">
        <f>Table132[[#This Row],[ÉTAT]]&amp;Table132[[#This Row],[next move]]</f>
        <v>EMMMEVVEV20</v>
      </c>
    </row>
    <row r="7302" spans="2:9" x14ac:dyDescent="0.25">
      <c r="B7302" t="s">
        <v>3278</v>
      </c>
      <c r="C7302" s="22" t="s">
        <v>31</v>
      </c>
      <c r="D7302">
        <v>1</v>
      </c>
      <c r="G7302" s="30">
        <f>Table132[[#This Row],[nb win]]/Table132[[#This Row],[nb play]]</f>
        <v>0</v>
      </c>
      <c r="H7302" s="26" t="str">
        <f>MID(Table132[[#This Row],[ÉTAT]],VALUE(RIGHT(Table132[[#This Row],[next move]],1))+1+VALUE(LEFT(Table132[[#This Row],[next move]],1))*3,1)</f>
        <v>V</v>
      </c>
      <c r="I7302" s="26" t="str">
        <f>Table132[[#This Row],[ÉTAT]]&amp;Table132[[#This Row],[next move]]</f>
        <v>VMMEVVEEV22</v>
      </c>
    </row>
    <row r="7303" spans="2:9" x14ac:dyDescent="0.25">
      <c r="B7303" t="s">
        <v>3470</v>
      </c>
      <c r="C7303" s="22" t="s">
        <v>24</v>
      </c>
      <c r="D7303">
        <v>1</v>
      </c>
      <c r="E7303">
        <v>1</v>
      </c>
      <c r="G7303" s="31">
        <f>Table132[[#This Row],[nb win]]/Table132[[#This Row],[nb play]]</f>
        <v>1</v>
      </c>
      <c r="H7303" s="26" t="str">
        <f>MID(Table132[[#This Row],[ÉTAT]],VALUE(RIGHT(Table132[[#This Row],[next move]],1))+1+VALUE(LEFT(Table132[[#This Row],[next move]],1))*3,1)</f>
        <v>V</v>
      </c>
      <c r="I7303" s="26" t="str">
        <f>Table132[[#This Row],[ÉTAT]]&amp;Table132[[#This Row],[next move]]</f>
        <v>VEEMVVMME00</v>
      </c>
    </row>
    <row r="7304" spans="2:9" x14ac:dyDescent="0.25">
      <c r="B7304" t="s">
        <v>3600</v>
      </c>
      <c r="C7304" s="22" t="s">
        <v>20</v>
      </c>
      <c r="D7304">
        <v>1</v>
      </c>
      <c r="E7304">
        <v>1</v>
      </c>
      <c r="G7304" s="31">
        <f>Table132[[#This Row],[nb win]]/Table132[[#This Row],[nb play]]</f>
        <v>1</v>
      </c>
      <c r="H7304" s="26" t="str">
        <f>MID(Table132[[#This Row],[ÉTAT]],VALUE(RIGHT(Table132[[#This Row],[next move]],1))+1+VALUE(LEFT(Table132[[#This Row],[next move]],1))*3,1)</f>
        <v>V</v>
      </c>
      <c r="I7304" s="26" t="str">
        <f>Table132[[#This Row],[ÉTAT]]&amp;Table132[[#This Row],[next move]]</f>
        <v>VMVVMEEVE02</v>
      </c>
    </row>
    <row r="7305" spans="2:9" x14ac:dyDescent="0.25">
      <c r="B7305" t="s">
        <v>3689</v>
      </c>
      <c r="C7305" s="22" t="s">
        <v>30</v>
      </c>
      <c r="D7305">
        <v>1</v>
      </c>
      <c r="G7305" s="30">
        <f>Table132[[#This Row],[nb win]]/Table132[[#This Row],[nb play]]</f>
        <v>0</v>
      </c>
      <c r="H7305" s="26" t="str">
        <f>MID(Table132[[#This Row],[ÉTAT]],VALUE(RIGHT(Table132[[#This Row],[next move]],1))+1+VALUE(LEFT(Table132[[#This Row],[next move]],1))*3,1)</f>
        <v>V</v>
      </c>
      <c r="I7305" s="26" t="str">
        <f>Table132[[#This Row],[ÉTAT]]&amp;Table132[[#This Row],[next move]]</f>
        <v>VEEVEMMVM10</v>
      </c>
    </row>
    <row r="7306" spans="2:9" x14ac:dyDescent="0.25">
      <c r="B7306" t="s">
        <v>3690</v>
      </c>
      <c r="C7306" s="22" t="s">
        <v>22</v>
      </c>
      <c r="D7306">
        <v>1</v>
      </c>
      <c r="E7306">
        <v>1</v>
      </c>
      <c r="G7306" s="31">
        <f>Table132[[#This Row],[nb win]]/Table132[[#This Row],[nb play]]</f>
        <v>1</v>
      </c>
      <c r="H7306" s="26" t="str">
        <f>MID(Table132[[#This Row],[ÉTAT]],VALUE(RIGHT(Table132[[#This Row],[next move]],1))+1+VALUE(LEFT(Table132[[#This Row],[next move]],1))*3,1)</f>
        <v>V</v>
      </c>
      <c r="I7306" s="26" t="str">
        <f>Table132[[#This Row],[ÉTAT]]&amp;Table132[[#This Row],[next move]]</f>
        <v>VMMEMEEVE21</v>
      </c>
    </row>
    <row r="7307" spans="2:9" x14ac:dyDescent="0.25">
      <c r="B7307" t="s">
        <v>3676</v>
      </c>
      <c r="C7307" s="22" t="s">
        <v>22</v>
      </c>
      <c r="D7307">
        <v>1</v>
      </c>
      <c r="G7307" s="30">
        <f>Table132[[#This Row],[nb win]]/Table132[[#This Row],[nb play]]</f>
        <v>0</v>
      </c>
      <c r="H7307" s="26" t="str">
        <f>MID(Table132[[#This Row],[ÉTAT]],VALUE(RIGHT(Table132[[#This Row],[next move]],1))+1+VALUE(LEFT(Table132[[#This Row],[next move]],1))*3,1)</f>
        <v>V</v>
      </c>
      <c r="I7307" s="26" t="str">
        <f>Table132[[#This Row],[ÉTAT]]&amp;Table132[[#This Row],[next move]]</f>
        <v>VEVEMMVVE21</v>
      </c>
    </row>
    <row r="7308" spans="2:9" x14ac:dyDescent="0.25">
      <c r="B7308" t="s">
        <v>3677</v>
      </c>
      <c r="C7308" s="22" t="s">
        <v>24</v>
      </c>
      <c r="D7308">
        <v>1</v>
      </c>
      <c r="E7308">
        <v>1</v>
      </c>
      <c r="G7308" s="31">
        <f>Table132[[#This Row],[nb win]]/Table132[[#This Row],[nb play]]</f>
        <v>1</v>
      </c>
      <c r="H7308" s="26" t="str">
        <f>MID(Table132[[#This Row],[ÉTAT]],VALUE(RIGHT(Table132[[#This Row],[next move]],1))+1+VALUE(LEFT(Table132[[#This Row],[next move]],1))*3,1)</f>
        <v>V</v>
      </c>
      <c r="I7308" s="26" t="str">
        <f>Table132[[#This Row],[ÉTAT]]&amp;Table132[[#This Row],[next move]]</f>
        <v>VMVMEEVEM00</v>
      </c>
    </row>
    <row r="7309" spans="2:9" x14ac:dyDescent="0.25">
      <c r="B7309" t="s">
        <v>2151</v>
      </c>
      <c r="C7309" s="22" t="s">
        <v>20</v>
      </c>
      <c r="D7309">
        <v>1</v>
      </c>
      <c r="E7309">
        <v>1</v>
      </c>
      <c r="G7309" s="31">
        <f>Table132[[#This Row],[nb win]]/Table132[[#This Row],[nb play]]</f>
        <v>1</v>
      </c>
      <c r="H7309" s="26" t="str">
        <f>MID(Table132[[#This Row],[ÉTAT]],VALUE(RIGHT(Table132[[#This Row],[next move]],1))+1+VALUE(LEFT(Table132[[#This Row],[next move]],1))*3,1)</f>
        <v>V</v>
      </c>
      <c r="I7309" s="26" t="str">
        <f>Table132[[#This Row],[ÉTAT]]&amp;Table132[[#This Row],[next move]]</f>
        <v>VEVVEMMVV02</v>
      </c>
    </row>
    <row r="7310" spans="2:9" x14ac:dyDescent="0.25">
      <c r="B7310" t="s">
        <v>3691</v>
      </c>
      <c r="C7310" s="22" t="s">
        <v>30</v>
      </c>
      <c r="D7310">
        <v>1</v>
      </c>
      <c r="G7310" s="30">
        <f>Table132[[#This Row],[nb win]]/Table132[[#This Row],[nb play]]</f>
        <v>0</v>
      </c>
      <c r="H7310" s="26" t="str">
        <f>MID(Table132[[#This Row],[ÉTAT]],VALUE(RIGHT(Table132[[#This Row],[next move]],1))+1+VALUE(LEFT(Table132[[#This Row],[next move]],1))*3,1)</f>
        <v>V</v>
      </c>
      <c r="I7310" s="26" t="str">
        <f>Table132[[#This Row],[ÉTAT]]&amp;Table132[[#This Row],[next move]]</f>
        <v>VMEVMEEVV10</v>
      </c>
    </row>
    <row r="7311" spans="2:9" x14ac:dyDescent="0.25">
      <c r="B7311" t="s">
        <v>2390</v>
      </c>
      <c r="C7311" s="22" t="s">
        <v>28</v>
      </c>
      <c r="D7311">
        <v>1</v>
      </c>
      <c r="G7311" s="30">
        <f>Table132[[#This Row],[nb win]]/Table132[[#This Row],[nb play]]</f>
        <v>0</v>
      </c>
      <c r="H7311" s="26" t="str">
        <f>MID(Table132[[#This Row],[ÉTAT]],VALUE(RIGHT(Table132[[#This Row],[next move]],1))+1+VALUE(LEFT(Table132[[#This Row],[next move]],1))*3,1)</f>
        <v>V</v>
      </c>
      <c r="I7311" s="26" t="str">
        <f>Table132[[#This Row],[ÉTAT]]&amp;Table132[[#This Row],[next move]]</f>
        <v>MVEMVVEEV12</v>
      </c>
    </row>
    <row r="7312" spans="2:9" x14ac:dyDescent="0.25">
      <c r="B7312" t="s">
        <v>3692</v>
      </c>
      <c r="C7312" s="22" t="s">
        <v>29</v>
      </c>
      <c r="D7312">
        <v>1</v>
      </c>
      <c r="E7312">
        <v>1</v>
      </c>
      <c r="G7312" s="31">
        <f>Table132[[#This Row],[nb win]]/Table132[[#This Row],[nb play]]</f>
        <v>1</v>
      </c>
      <c r="H7312" s="26" t="str">
        <f>MID(Table132[[#This Row],[ÉTAT]],VALUE(RIGHT(Table132[[#This Row],[next move]],1))+1+VALUE(LEFT(Table132[[#This Row],[next move]],1))*3,1)</f>
        <v>V</v>
      </c>
      <c r="I7312" s="26" t="str">
        <f>Table132[[#This Row],[ÉTAT]]&amp;Table132[[#This Row],[next move]]</f>
        <v>EVMEVEMMV11</v>
      </c>
    </row>
    <row r="7313" spans="2:9" x14ac:dyDescent="0.25">
      <c r="B7313" t="s">
        <v>1838</v>
      </c>
      <c r="C7313" s="22" t="s">
        <v>29</v>
      </c>
      <c r="D7313">
        <v>1</v>
      </c>
      <c r="E7313">
        <v>1</v>
      </c>
      <c r="G7313" s="31">
        <f>Table132[[#This Row],[nb win]]/Table132[[#This Row],[nb play]]</f>
        <v>1</v>
      </c>
      <c r="H7313" s="26" t="str">
        <f>MID(Table132[[#This Row],[ÉTAT]],VALUE(RIGHT(Table132[[#This Row],[next move]],1))+1+VALUE(LEFT(Table132[[#This Row],[next move]],1))*3,1)</f>
        <v>V</v>
      </c>
      <c r="I7313" s="26" t="str">
        <f>Table132[[#This Row],[ÉTAT]]&amp;Table132[[#This Row],[next move]]</f>
        <v>MVEEVVEVM11</v>
      </c>
    </row>
    <row r="7314" spans="2:9" x14ac:dyDescent="0.25">
      <c r="B7314" t="s">
        <v>3207</v>
      </c>
      <c r="C7314" s="22" t="s">
        <v>20</v>
      </c>
      <c r="D7314">
        <v>4</v>
      </c>
      <c r="E7314">
        <v>4</v>
      </c>
      <c r="G7314" s="31">
        <f>Table132[[#This Row],[nb win]]/Table132[[#This Row],[nb play]]</f>
        <v>1</v>
      </c>
      <c r="H7314" s="26" t="str">
        <f>MID(Table132[[#This Row],[ÉTAT]],VALUE(RIGHT(Table132[[#This Row],[next move]],1))+1+VALUE(LEFT(Table132[[#This Row],[next move]],1))*3,1)</f>
        <v>V</v>
      </c>
      <c r="I7314" s="26" t="str">
        <f>Table132[[#This Row],[ÉTAT]]&amp;Table132[[#This Row],[next move]]</f>
        <v>VEVVEMVVM02</v>
      </c>
    </row>
    <row r="7315" spans="2:9" x14ac:dyDescent="0.25">
      <c r="B7315" t="s">
        <v>3627</v>
      </c>
      <c r="C7315" s="22" t="s">
        <v>35</v>
      </c>
      <c r="D7315">
        <v>1</v>
      </c>
      <c r="E7315">
        <v>1</v>
      </c>
      <c r="G7315" s="31">
        <f>Table132[[#This Row],[nb win]]/Table132[[#This Row],[nb play]]</f>
        <v>1</v>
      </c>
      <c r="H7315" s="26" t="str">
        <f>MID(Table132[[#This Row],[ÉTAT]],VALUE(RIGHT(Table132[[#This Row],[next move]],1))+1+VALUE(LEFT(Table132[[#This Row],[next move]],1))*3,1)</f>
        <v>V</v>
      </c>
      <c r="I7315" s="26" t="str">
        <f>Table132[[#This Row],[ÉTAT]]&amp;Table132[[#This Row],[next move]]</f>
        <v>MEMVVVVEE20</v>
      </c>
    </row>
    <row r="7316" spans="2:9" x14ac:dyDescent="0.25">
      <c r="B7316" t="s">
        <v>3693</v>
      </c>
      <c r="C7316" s="22" t="s">
        <v>30</v>
      </c>
      <c r="D7316">
        <v>1</v>
      </c>
      <c r="G7316" s="30">
        <f>Table132[[#This Row],[nb win]]/Table132[[#This Row],[nb play]]</f>
        <v>0</v>
      </c>
      <c r="H7316" s="26" t="str">
        <f>MID(Table132[[#This Row],[ÉTAT]],VALUE(RIGHT(Table132[[#This Row],[next move]],1))+1+VALUE(LEFT(Table132[[#This Row],[next move]],1))*3,1)</f>
        <v>V</v>
      </c>
      <c r="I7316" s="26" t="str">
        <f>Table132[[#This Row],[ÉTAT]]&amp;Table132[[#This Row],[next move]]</f>
        <v>EMEVVVEMM10</v>
      </c>
    </row>
    <row r="7317" spans="2:9" x14ac:dyDescent="0.25">
      <c r="B7317" t="s">
        <v>619</v>
      </c>
      <c r="C7317" s="22" t="s">
        <v>20</v>
      </c>
      <c r="D7317">
        <v>3</v>
      </c>
      <c r="E7317">
        <v>3</v>
      </c>
      <c r="G7317" s="31">
        <f>Table132[[#This Row],[nb win]]/Table132[[#This Row],[nb play]]</f>
        <v>1</v>
      </c>
      <c r="H7317" s="26" t="str">
        <f>MID(Table132[[#This Row],[ÉTAT]],VALUE(RIGHT(Table132[[#This Row],[next move]],1))+1+VALUE(LEFT(Table132[[#This Row],[next move]],1))*3,1)</f>
        <v>V</v>
      </c>
      <c r="I7317" s="26" t="str">
        <f>Table132[[#This Row],[ÉTAT]]&amp;Table132[[#This Row],[next move]]</f>
        <v>VEVVMEMVE02</v>
      </c>
    </row>
    <row r="7318" spans="2:9" x14ac:dyDescent="0.25">
      <c r="B7318" t="s">
        <v>2838</v>
      </c>
      <c r="C7318" s="22" t="s">
        <v>29</v>
      </c>
      <c r="D7318">
        <v>1</v>
      </c>
      <c r="E7318">
        <v>1</v>
      </c>
      <c r="G7318" s="31">
        <f>Table132[[#This Row],[nb win]]/Table132[[#This Row],[nb play]]</f>
        <v>1</v>
      </c>
      <c r="H7318" s="26" t="str">
        <f>MID(Table132[[#This Row],[ÉTAT]],VALUE(RIGHT(Table132[[#This Row],[next move]],1))+1+VALUE(LEFT(Table132[[#This Row],[next move]],1))*3,1)</f>
        <v>V</v>
      </c>
      <c r="I7318" s="26" t="str">
        <f>Table132[[#This Row],[ÉTAT]]&amp;Table132[[#This Row],[next move]]</f>
        <v>EEMMVVVVV11</v>
      </c>
    </row>
    <row r="7319" spans="2:9" x14ac:dyDescent="0.25">
      <c r="B7319" t="s">
        <v>3694</v>
      </c>
      <c r="C7319" s="22" t="s">
        <v>22</v>
      </c>
      <c r="D7319">
        <v>1</v>
      </c>
      <c r="G7319" s="30">
        <f>Table132[[#This Row],[nb win]]/Table132[[#This Row],[nb play]]</f>
        <v>0</v>
      </c>
      <c r="H7319" s="26" t="str">
        <f>MID(Table132[[#This Row],[ÉTAT]],VALUE(RIGHT(Table132[[#This Row],[next move]],1))+1+VALUE(LEFT(Table132[[#This Row],[next move]],1))*3,1)</f>
        <v>V</v>
      </c>
      <c r="I7319" s="26" t="str">
        <f>Table132[[#This Row],[ÉTAT]]&amp;Table132[[#This Row],[next move]]</f>
        <v>MMEEEVVVV21</v>
      </c>
    </row>
    <row r="7320" spans="2:9" x14ac:dyDescent="0.25">
      <c r="B7320" t="s">
        <v>1399</v>
      </c>
      <c r="C7320" s="22" t="s">
        <v>24</v>
      </c>
      <c r="D7320">
        <v>1</v>
      </c>
      <c r="G7320" s="30">
        <f>Table132[[#This Row],[nb win]]/Table132[[#This Row],[nb play]]</f>
        <v>0</v>
      </c>
      <c r="H7320" s="26" t="str">
        <f>MID(Table132[[#This Row],[ÉTAT]],VALUE(RIGHT(Table132[[#This Row],[next move]],1))+1+VALUE(LEFT(Table132[[#This Row],[next move]],1))*3,1)</f>
        <v>V</v>
      </c>
      <c r="I7320" s="26" t="str">
        <f>Table132[[#This Row],[ÉTAT]]&amp;Table132[[#This Row],[next move]]</f>
        <v>VMVVEVEVM00</v>
      </c>
    </row>
    <row r="7321" spans="2:9" x14ac:dyDescent="0.25">
      <c r="B7321" t="s">
        <v>3626</v>
      </c>
      <c r="C7321" s="22" t="s">
        <v>20</v>
      </c>
      <c r="D7321">
        <v>2</v>
      </c>
      <c r="E7321">
        <v>2</v>
      </c>
      <c r="G7321" s="31">
        <f>Table132[[#This Row],[nb win]]/Table132[[#This Row],[nb play]]</f>
        <v>1</v>
      </c>
      <c r="H7321" s="26" t="str">
        <f>MID(Table132[[#This Row],[ÉTAT]],VALUE(RIGHT(Table132[[#This Row],[next move]],1))+1+VALUE(LEFT(Table132[[#This Row],[next move]],1))*3,1)</f>
        <v>V</v>
      </c>
      <c r="I7321" s="26" t="str">
        <f>Table132[[#This Row],[ÉTAT]]&amp;Table132[[#This Row],[next move]]</f>
        <v>EEVVMVMVE02</v>
      </c>
    </row>
    <row r="7322" spans="2:9" x14ac:dyDescent="0.25">
      <c r="B7322" t="s">
        <v>220</v>
      </c>
      <c r="C7322" s="22" t="s">
        <v>30</v>
      </c>
      <c r="D7322">
        <v>1</v>
      </c>
      <c r="E7322">
        <v>1</v>
      </c>
      <c r="G7322" s="31">
        <f>Table132[[#This Row],[nb win]]/Table132[[#This Row],[nb play]]</f>
        <v>1</v>
      </c>
      <c r="H7322" s="26" t="str">
        <f>MID(Table132[[#This Row],[ÉTAT]],VALUE(RIGHT(Table132[[#This Row],[next move]],1))+1+VALUE(LEFT(Table132[[#This Row],[next move]],1))*3,1)</f>
        <v>V</v>
      </c>
      <c r="I7322" s="26" t="str">
        <f>Table132[[#This Row],[ÉTAT]]&amp;Table132[[#This Row],[next move]]</f>
        <v>EEVVMVVVV10</v>
      </c>
    </row>
    <row r="7323" spans="2:9" x14ac:dyDescent="0.25">
      <c r="B7323" t="s">
        <v>3221</v>
      </c>
      <c r="C7323" s="22" t="s">
        <v>20</v>
      </c>
      <c r="D7323">
        <v>2</v>
      </c>
      <c r="E7323">
        <v>2</v>
      </c>
      <c r="G7323" s="31">
        <f>Table132[[#This Row],[nb win]]/Table132[[#This Row],[nb play]]</f>
        <v>1</v>
      </c>
      <c r="H7323" s="26" t="str">
        <f>MID(Table132[[#This Row],[ÉTAT]],VALUE(RIGHT(Table132[[#This Row],[next move]],1))+1+VALUE(LEFT(Table132[[#This Row],[next move]],1))*3,1)</f>
        <v>V</v>
      </c>
      <c r="I7323" s="26" t="str">
        <f>Table132[[#This Row],[ÉTAT]]&amp;Table132[[#This Row],[next move]]</f>
        <v>EEVMMVVVE02</v>
      </c>
    </row>
    <row r="7324" spans="2:9" x14ac:dyDescent="0.25">
      <c r="B7324" t="s">
        <v>3695</v>
      </c>
      <c r="C7324" s="22" t="s">
        <v>35</v>
      </c>
      <c r="D7324">
        <v>1</v>
      </c>
      <c r="G7324" s="30">
        <f>Table132[[#This Row],[nb win]]/Table132[[#This Row],[nb play]]</f>
        <v>0</v>
      </c>
      <c r="H7324" s="26" t="str">
        <f>MID(Table132[[#This Row],[ÉTAT]],VALUE(RIGHT(Table132[[#This Row],[next move]],1))+1+VALUE(LEFT(Table132[[#This Row],[next move]],1))*3,1)</f>
        <v>V</v>
      </c>
      <c r="I7324" s="26" t="str">
        <f>Table132[[#This Row],[ÉTAT]]&amp;Table132[[#This Row],[next move]]</f>
        <v>MMEEEVVVM20</v>
      </c>
    </row>
    <row r="7325" spans="2:9" x14ac:dyDescent="0.25">
      <c r="B7325" t="s">
        <v>3696</v>
      </c>
      <c r="C7325" s="22" t="s">
        <v>28</v>
      </c>
      <c r="D7325">
        <v>1</v>
      </c>
      <c r="E7325">
        <v>1</v>
      </c>
      <c r="G7325" s="31">
        <f>Table132[[#This Row],[nb win]]/Table132[[#This Row],[nb play]]</f>
        <v>1</v>
      </c>
      <c r="H7325" s="26" t="str">
        <f>MID(Table132[[#This Row],[ÉTAT]],VALUE(RIGHT(Table132[[#This Row],[next move]],1))+1+VALUE(LEFT(Table132[[#This Row],[next move]],1))*3,1)</f>
        <v>V</v>
      </c>
      <c r="I7325" s="26" t="str">
        <f>Table132[[#This Row],[ÉTAT]]&amp;Table132[[#This Row],[next move]]</f>
        <v>EEMMMVEVE12</v>
      </c>
    </row>
    <row r="7326" spans="2:9" x14ac:dyDescent="0.25">
      <c r="B7326" t="s">
        <v>2601</v>
      </c>
      <c r="C7326" s="22" t="s">
        <v>22</v>
      </c>
      <c r="D7326">
        <v>2</v>
      </c>
      <c r="E7326">
        <v>1</v>
      </c>
      <c r="G7326" s="30">
        <f>Table132[[#This Row],[nb win]]/Table132[[#This Row],[nb play]]</f>
        <v>0.5</v>
      </c>
      <c r="H7326" s="26" t="str">
        <f>MID(Table132[[#This Row],[ÉTAT]],VALUE(RIGHT(Table132[[#This Row],[next move]],1))+1+VALUE(LEFT(Table132[[#This Row],[next move]],1))*3,1)</f>
        <v>V</v>
      </c>
      <c r="I7326" s="26" t="str">
        <f>Table132[[#This Row],[ÉTAT]]&amp;Table132[[#This Row],[next move]]</f>
        <v>MVVMVVEVE21</v>
      </c>
    </row>
    <row r="7327" spans="2:9" x14ac:dyDescent="0.25">
      <c r="B7327" t="s">
        <v>3359</v>
      </c>
      <c r="C7327" s="22" t="s">
        <v>26</v>
      </c>
      <c r="D7327">
        <v>1</v>
      </c>
      <c r="E7327">
        <v>1</v>
      </c>
      <c r="G7327" s="31">
        <f>Table132[[#This Row],[nb win]]/Table132[[#This Row],[nb play]]</f>
        <v>1</v>
      </c>
      <c r="H7327" s="26" t="str">
        <f>MID(Table132[[#This Row],[ÉTAT]],VALUE(RIGHT(Table132[[#This Row],[next move]],1))+1+VALUE(LEFT(Table132[[#This Row],[next move]],1))*3,1)</f>
        <v>V</v>
      </c>
      <c r="I7327" s="26" t="str">
        <f>Table132[[#This Row],[ÉTAT]]&amp;Table132[[#This Row],[next move]]</f>
        <v>MVVMVEEME01</v>
      </c>
    </row>
    <row r="7328" spans="2:9" x14ac:dyDescent="0.25">
      <c r="B7328" t="s">
        <v>3698</v>
      </c>
      <c r="C7328" s="22" t="s">
        <v>29</v>
      </c>
      <c r="D7328">
        <v>1</v>
      </c>
      <c r="G7328" s="30">
        <f>Table132[[#This Row],[nb win]]/Table132[[#This Row],[nb play]]</f>
        <v>0</v>
      </c>
      <c r="H7328" s="26" t="str">
        <f>MID(Table132[[#This Row],[ÉTAT]],VALUE(RIGHT(Table132[[#This Row],[next move]],1))+1+VALUE(LEFT(Table132[[#This Row],[next move]],1))*3,1)</f>
        <v>V</v>
      </c>
      <c r="I7328" s="26" t="str">
        <f>Table132[[#This Row],[ÉTAT]]&amp;Table132[[#This Row],[next move]]</f>
        <v>EEVEVMMEM11</v>
      </c>
    </row>
    <row r="7329" spans="2:9" x14ac:dyDescent="0.25">
      <c r="B7329" t="s">
        <v>3699</v>
      </c>
      <c r="C7329" s="22" t="s">
        <v>20</v>
      </c>
      <c r="D7329">
        <v>1</v>
      </c>
      <c r="E7329">
        <v>1</v>
      </c>
      <c r="G7329" s="31">
        <f>Table132[[#This Row],[nb win]]/Table132[[#This Row],[nb play]]</f>
        <v>1</v>
      </c>
      <c r="H7329" s="26" t="str">
        <f>MID(Table132[[#This Row],[ÉTAT]],VALUE(RIGHT(Table132[[#This Row],[next move]],1))+1+VALUE(LEFT(Table132[[#This Row],[next move]],1))*3,1)</f>
        <v>V</v>
      </c>
      <c r="I7329" s="26" t="str">
        <f>Table132[[#This Row],[ÉTAT]]&amp;Table132[[#This Row],[next move]]</f>
        <v>MMVMEEEME02</v>
      </c>
    </row>
    <row r="7330" spans="2:9" x14ac:dyDescent="0.25">
      <c r="B7330" t="s">
        <v>1399</v>
      </c>
      <c r="C7330" s="22" t="s">
        <v>22</v>
      </c>
      <c r="D7330">
        <v>1</v>
      </c>
      <c r="G7330" s="30">
        <f>Table132[[#This Row],[nb win]]/Table132[[#This Row],[nb play]]</f>
        <v>0</v>
      </c>
      <c r="H7330" s="26" t="str">
        <f>MID(Table132[[#This Row],[ÉTAT]],VALUE(RIGHT(Table132[[#This Row],[next move]],1))+1+VALUE(LEFT(Table132[[#This Row],[next move]],1))*3,1)</f>
        <v>V</v>
      </c>
      <c r="I7330" s="26" t="str">
        <f>Table132[[#This Row],[ÉTAT]]&amp;Table132[[#This Row],[next move]]</f>
        <v>VMVVEVEVM21</v>
      </c>
    </row>
    <row r="7331" spans="2:9" x14ac:dyDescent="0.25">
      <c r="B7331" t="s">
        <v>3475</v>
      </c>
      <c r="C7331" s="22" t="s">
        <v>22</v>
      </c>
      <c r="D7331">
        <v>1</v>
      </c>
      <c r="G7331" s="30">
        <f>Table132[[#This Row],[nb win]]/Table132[[#This Row],[nb play]]</f>
        <v>0</v>
      </c>
      <c r="H7331" s="26" t="str">
        <f>MID(Table132[[#This Row],[ÉTAT]],VALUE(RIGHT(Table132[[#This Row],[next move]],1))+1+VALUE(LEFT(Table132[[#This Row],[next move]],1))*3,1)</f>
        <v>V</v>
      </c>
      <c r="I7331" s="26" t="str">
        <f>Table132[[#This Row],[ÉTAT]]&amp;Table132[[#This Row],[next move]]</f>
        <v>VVMEEVVVM21</v>
      </c>
    </row>
    <row r="7332" spans="2:9" x14ac:dyDescent="0.25">
      <c r="B7332" t="s">
        <v>3700</v>
      </c>
      <c r="C7332" s="22" t="s">
        <v>28</v>
      </c>
      <c r="D7332">
        <v>1</v>
      </c>
      <c r="E7332">
        <v>1</v>
      </c>
      <c r="G7332" s="31">
        <f>Table132[[#This Row],[nb win]]/Table132[[#This Row],[nb play]]</f>
        <v>1</v>
      </c>
      <c r="H7332" s="26" t="str">
        <f>MID(Table132[[#This Row],[ÉTAT]],VALUE(RIGHT(Table132[[#This Row],[next move]],1))+1+VALUE(LEFT(Table132[[#This Row],[next move]],1))*3,1)</f>
        <v>V</v>
      </c>
      <c r="I7332" s="26" t="str">
        <f>Table132[[#This Row],[ÉTAT]]&amp;Table132[[#This Row],[next move]]</f>
        <v>VVEMMVVEE12</v>
      </c>
    </row>
    <row r="7333" spans="2:9" x14ac:dyDescent="0.25">
      <c r="B7333" t="s">
        <v>2933</v>
      </c>
      <c r="C7333" s="22" t="s">
        <v>26</v>
      </c>
      <c r="D7333">
        <v>1</v>
      </c>
      <c r="G7333" s="30">
        <f>Table132[[#This Row],[nb win]]/Table132[[#This Row],[nb play]]</f>
        <v>0</v>
      </c>
      <c r="H7333" s="26" t="str">
        <f>MID(Table132[[#This Row],[ÉTAT]],VALUE(RIGHT(Table132[[#This Row],[next move]],1))+1+VALUE(LEFT(Table132[[#This Row],[next move]],1))*3,1)</f>
        <v>V</v>
      </c>
      <c r="I7333" s="26" t="str">
        <f>Table132[[#This Row],[ÉTAT]]&amp;Table132[[#This Row],[next move]]</f>
        <v>EVEMEMVEM01</v>
      </c>
    </row>
    <row r="7334" spans="2:9" x14ac:dyDescent="0.25">
      <c r="B7334" t="s">
        <v>1896</v>
      </c>
      <c r="C7334" s="22" t="s">
        <v>35</v>
      </c>
      <c r="D7334">
        <v>1</v>
      </c>
      <c r="G7334" s="30">
        <f>Table132[[#This Row],[nb win]]/Table132[[#This Row],[nb play]]</f>
        <v>0</v>
      </c>
      <c r="H7334" s="26" t="str">
        <f>MID(Table132[[#This Row],[ÉTAT]],VALUE(RIGHT(Table132[[#This Row],[next move]],1))+1+VALUE(LEFT(Table132[[#This Row],[next move]],1))*3,1)</f>
        <v>V</v>
      </c>
      <c r="I7334" s="26" t="str">
        <f>Table132[[#This Row],[ÉTAT]]&amp;Table132[[#This Row],[next move]]</f>
        <v>EVVVMVVEV20</v>
      </c>
    </row>
    <row r="7335" spans="2:9" x14ac:dyDescent="0.25">
      <c r="B7335" t="s">
        <v>1623</v>
      </c>
      <c r="C7335" s="22" t="s">
        <v>20</v>
      </c>
      <c r="D7335">
        <v>1</v>
      </c>
      <c r="E7335">
        <v>1</v>
      </c>
      <c r="G7335" s="31">
        <f>Table132[[#This Row],[nb win]]/Table132[[#This Row],[nb play]]</f>
        <v>1</v>
      </c>
      <c r="H7335" s="26" t="str">
        <f>MID(Table132[[#This Row],[ÉTAT]],VALUE(RIGHT(Table132[[#This Row],[next move]],1))+1+VALUE(LEFT(Table132[[#This Row],[next move]],1))*3,1)</f>
        <v>V</v>
      </c>
      <c r="I7335" s="26" t="str">
        <f>Table132[[#This Row],[ÉTAT]]&amp;Table132[[#This Row],[next move]]</f>
        <v>MVVVEVEMV02</v>
      </c>
    </row>
    <row r="7336" spans="2:9" x14ac:dyDescent="0.25">
      <c r="B7336" t="s">
        <v>1095</v>
      </c>
      <c r="C7336" s="22" t="s">
        <v>31</v>
      </c>
      <c r="D7336">
        <v>1</v>
      </c>
      <c r="G7336" s="30">
        <f>Table132[[#This Row],[nb win]]/Table132[[#This Row],[nb play]]</f>
        <v>0</v>
      </c>
      <c r="H7336" s="26" t="str">
        <f>MID(Table132[[#This Row],[ÉTAT]],VALUE(RIGHT(Table132[[#This Row],[next move]],1))+1+VALUE(LEFT(Table132[[#This Row],[next move]],1))*3,1)</f>
        <v>V</v>
      </c>
      <c r="I7336" s="26" t="str">
        <f>Table132[[#This Row],[ÉTAT]]&amp;Table132[[#This Row],[next move]]</f>
        <v>EVEVMVMEV22</v>
      </c>
    </row>
    <row r="7337" spans="2:9" x14ac:dyDescent="0.25">
      <c r="B7337" t="s">
        <v>3686</v>
      </c>
      <c r="C7337" s="22" t="s">
        <v>26</v>
      </c>
      <c r="D7337">
        <v>1</v>
      </c>
      <c r="E7337">
        <v>1</v>
      </c>
      <c r="G7337" s="31">
        <f>Table132[[#This Row],[nb win]]/Table132[[#This Row],[nb play]]</f>
        <v>1</v>
      </c>
      <c r="H7337" s="26" t="str">
        <f>MID(Table132[[#This Row],[ÉTAT]],VALUE(RIGHT(Table132[[#This Row],[next move]],1))+1+VALUE(LEFT(Table132[[#This Row],[next move]],1))*3,1)</f>
        <v>V</v>
      </c>
      <c r="I7337" s="26" t="str">
        <f>Table132[[#This Row],[ÉTAT]]&amp;Table132[[#This Row],[next move]]</f>
        <v>MVMVEVEME01</v>
      </c>
    </row>
    <row r="7338" spans="2:9" x14ac:dyDescent="0.25">
      <c r="B7338" t="s">
        <v>3390</v>
      </c>
      <c r="C7338" s="22" t="s">
        <v>24</v>
      </c>
      <c r="D7338">
        <v>1</v>
      </c>
      <c r="G7338" s="30">
        <f>Table132[[#This Row],[nb win]]/Table132[[#This Row],[nb play]]</f>
        <v>0</v>
      </c>
      <c r="H7338" s="26" t="str">
        <f>MID(Table132[[#This Row],[ÉTAT]],VALUE(RIGHT(Table132[[#This Row],[next move]],1))+1+VALUE(LEFT(Table132[[#This Row],[next move]],1))*3,1)</f>
        <v>V</v>
      </c>
      <c r="I7338" s="26" t="str">
        <f>Table132[[#This Row],[ÉTAT]]&amp;Table132[[#This Row],[next move]]</f>
        <v>VVVVEMEVV00</v>
      </c>
    </row>
    <row r="7339" spans="2:9" x14ac:dyDescent="0.25">
      <c r="B7339" t="s">
        <v>2308</v>
      </c>
      <c r="C7339" s="22" t="s">
        <v>24</v>
      </c>
      <c r="D7339">
        <v>1</v>
      </c>
      <c r="G7339" s="30">
        <f>Table132[[#This Row],[nb win]]/Table132[[#This Row],[nb play]]</f>
        <v>0</v>
      </c>
      <c r="H7339" s="26" t="str">
        <f>MID(Table132[[#This Row],[ÉTAT]],VALUE(RIGHT(Table132[[#This Row],[next move]],1))+1+VALUE(LEFT(Table132[[#This Row],[next move]],1))*3,1)</f>
        <v>V</v>
      </c>
      <c r="I7339" s="26" t="str">
        <f>Table132[[#This Row],[ÉTAT]]&amp;Table132[[#This Row],[next move]]</f>
        <v>VVVVEVEMM00</v>
      </c>
    </row>
    <row r="7340" spans="2:9" x14ac:dyDescent="0.25">
      <c r="B7340" t="s">
        <v>1508</v>
      </c>
      <c r="C7340" s="22" t="s">
        <v>24</v>
      </c>
      <c r="D7340">
        <v>1</v>
      </c>
      <c r="G7340" s="30">
        <f>Table132[[#This Row],[nb win]]/Table132[[#This Row],[nb play]]</f>
        <v>0</v>
      </c>
      <c r="H7340" s="26" t="str">
        <f>MID(Table132[[#This Row],[ÉTAT]],VALUE(RIGHT(Table132[[#This Row],[next move]],1))+1+VALUE(LEFT(Table132[[#This Row],[next move]],1))*3,1)</f>
        <v>V</v>
      </c>
      <c r="I7340" s="26" t="str">
        <f>Table132[[#This Row],[ÉTAT]]&amp;Table132[[#This Row],[next move]]</f>
        <v>VEMMEEVVV00</v>
      </c>
    </row>
    <row r="7341" spans="2:9" x14ac:dyDescent="0.25">
      <c r="B7341" t="s">
        <v>3697</v>
      </c>
      <c r="C7341" s="22" t="s">
        <v>22</v>
      </c>
      <c r="D7341">
        <v>1</v>
      </c>
      <c r="E7341">
        <v>1</v>
      </c>
      <c r="G7341" s="31">
        <f>Table132[[#This Row],[nb win]]/Table132[[#This Row],[nb play]]</f>
        <v>1</v>
      </c>
      <c r="H7341" s="26" t="str">
        <f>MID(Table132[[#This Row],[ÉTAT]],VALUE(RIGHT(Table132[[#This Row],[next move]],1))+1+VALUE(LEFT(Table132[[#This Row],[next move]],1))*3,1)</f>
        <v>V</v>
      </c>
      <c r="I7341" s="26" t="str">
        <f>Table132[[#This Row],[ÉTAT]]&amp;Table132[[#This Row],[next move]]</f>
        <v>EMEEMMVVV21</v>
      </c>
    </row>
    <row r="7342" spans="2:9" x14ac:dyDescent="0.25">
      <c r="B7342" t="s">
        <v>3441</v>
      </c>
      <c r="C7342" s="22" t="s">
        <v>20</v>
      </c>
      <c r="D7342">
        <v>10</v>
      </c>
      <c r="E7342">
        <v>10</v>
      </c>
      <c r="G7342" s="31">
        <f>Table132[[#This Row],[nb win]]/Table132[[#This Row],[nb play]]</f>
        <v>1</v>
      </c>
      <c r="H7342" s="26" t="str">
        <f>MID(Table132[[#This Row],[ÉTAT]],VALUE(RIGHT(Table132[[#This Row],[next move]],1))+1+VALUE(LEFT(Table132[[#This Row],[next move]],1))*3,1)</f>
        <v>V</v>
      </c>
      <c r="I7342" s="26" t="str">
        <f>Table132[[#This Row],[ÉTAT]]&amp;Table132[[#This Row],[next move]]</f>
        <v>EEVMMVVEV02</v>
      </c>
    </row>
    <row r="7343" spans="2:9" x14ac:dyDescent="0.25">
      <c r="B7343" t="s">
        <v>3618</v>
      </c>
      <c r="C7343" s="22" t="s">
        <v>31</v>
      </c>
      <c r="D7343">
        <v>4</v>
      </c>
      <c r="G7343" s="30">
        <f>Table132[[#This Row],[nb win]]/Table132[[#This Row],[nb play]]</f>
        <v>0</v>
      </c>
      <c r="H7343" s="26" t="str">
        <f>MID(Table132[[#This Row],[ÉTAT]],VALUE(RIGHT(Table132[[#This Row],[next move]],1))+1+VALUE(LEFT(Table132[[#This Row],[next move]],1))*3,1)</f>
        <v>V</v>
      </c>
      <c r="I7343" s="26" t="str">
        <f>Table132[[#This Row],[ÉTAT]]&amp;Table132[[#This Row],[next move]]</f>
        <v>MMEEEVVMV22</v>
      </c>
    </row>
    <row r="7344" spans="2:9" x14ac:dyDescent="0.25">
      <c r="B7344" t="s">
        <v>348</v>
      </c>
      <c r="C7344" s="22" t="s">
        <v>22</v>
      </c>
      <c r="D7344">
        <v>1</v>
      </c>
      <c r="E7344">
        <v>1</v>
      </c>
      <c r="G7344" s="31">
        <f>Table132[[#This Row],[nb win]]/Table132[[#This Row],[nb play]]</f>
        <v>1</v>
      </c>
      <c r="H7344" s="26" t="str">
        <f>MID(Table132[[#This Row],[ÉTAT]],VALUE(RIGHT(Table132[[#This Row],[next move]],1))+1+VALUE(LEFT(Table132[[#This Row],[next move]],1))*3,1)</f>
        <v>V</v>
      </c>
      <c r="I7344" s="26" t="str">
        <f>Table132[[#This Row],[ÉTAT]]&amp;Table132[[#This Row],[next move]]</f>
        <v>VEVEVVVVM21</v>
      </c>
    </row>
    <row r="7345" spans="2:9" x14ac:dyDescent="0.25">
      <c r="B7345" t="s">
        <v>2308</v>
      </c>
      <c r="C7345" s="22" t="s">
        <v>30</v>
      </c>
      <c r="D7345">
        <v>1</v>
      </c>
      <c r="G7345" s="30">
        <f>Table132[[#This Row],[nb win]]/Table132[[#This Row],[nb play]]</f>
        <v>0</v>
      </c>
      <c r="H7345" s="26" t="str">
        <f>MID(Table132[[#This Row],[ÉTAT]],VALUE(RIGHT(Table132[[#This Row],[next move]],1))+1+VALUE(LEFT(Table132[[#This Row],[next move]],1))*3,1)</f>
        <v>V</v>
      </c>
      <c r="I7345" s="26" t="str">
        <f>Table132[[#This Row],[ÉTAT]]&amp;Table132[[#This Row],[next move]]</f>
        <v>VVVVEVEMM10</v>
      </c>
    </row>
    <row r="7346" spans="2:9" x14ac:dyDescent="0.25">
      <c r="B7346" t="s">
        <v>3618</v>
      </c>
      <c r="C7346" s="22" t="s">
        <v>28</v>
      </c>
      <c r="D7346">
        <v>4</v>
      </c>
      <c r="G7346" s="30">
        <f>Table132[[#This Row],[nb win]]/Table132[[#This Row],[nb play]]</f>
        <v>0</v>
      </c>
      <c r="H7346" s="26" t="str">
        <f>MID(Table132[[#This Row],[ÉTAT]],VALUE(RIGHT(Table132[[#This Row],[next move]],1))+1+VALUE(LEFT(Table132[[#This Row],[next move]],1))*3,1)</f>
        <v>V</v>
      </c>
      <c r="I7346" s="26" t="str">
        <f>Table132[[#This Row],[ÉTAT]]&amp;Table132[[#This Row],[next move]]</f>
        <v>MMEEEVVMV12</v>
      </c>
    </row>
    <row r="7347" spans="2:9" x14ac:dyDescent="0.25">
      <c r="B7347" t="s">
        <v>1647</v>
      </c>
      <c r="C7347" s="22" t="s">
        <v>22</v>
      </c>
      <c r="D7347">
        <v>1</v>
      </c>
      <c r="E7347">
        <v>1</v>
      </c>
      <c r="G7347" s="31">
        <f>Table132[[#This Row],[nb win]]/Table132[[#This Row],[nb play]]</f>
        <v>1</v>
      </c>
      <c r="H7347" s="26" t="str">
        <f>MID(Table132[[#This Row],[ÉTAT]],VALUE(RIGHT(Table132[[#This Row],[next move]],1))+1+VALUE(LEFT(Table132[[#This Row],[next move]],1))*3,1)</f>
        <v>V</v>
      </c>
      <c r="I7347" s="26" t="str">
        <f>Table132[[#This Row],[ÉTAT]]&amp;Table132[[#This Row],[next move]]</f>
        <v>VEEVEVMVM21</v>
      </c>
    </row>
    <row r="7348" spans="2:9" x14ac:dyDescent="0.25">
      <c r="B7348" t="s">
        <v>2232</v>
      </c>
      <c r="C7348" s="22" t="s">
        <v>29</v>
      </c>
      <c r="D7348">
        <v>1</v>
      </c>
      <c r="G7348" s="30">
        <f>Table132[[#This Row],[nb win]]/Table132[[#This Row],[nb play]]</f>
        <v>0</v>
      </c>
      <c r="H7348" s="26" t="str">
        <f>MID(Table132[[#This Row],[ÉTAT]],VALUE(RIGHT(Table132[[#This Row],[next move]],1))+1+VALUE(LEFT(Table132[[#This Row],[next move]],1))*3,1)</f>
        <v>V</v>
      </c>
      <c r="I7348" s="26" t="str">
        <f>Table132[[#This Row],[ÉTAT]]&amp;Table132[[#This Row],[next move]]</f>
        <v>MVEEVVVVV11</v>
      </c>
    </row>
    <row r="7349" spans="2:9" x14ac:dyDescent="0.25">
      <c r="B7349" t="s">
        <v>3680</v>
      </c>
      <c r="C7349" s="22" t="s">
        <v>28</v>
      </c>
      <c r="D7349">
        <v>1</v>
      </c>
      <c r="G7349" s="30">
        <f>Table132[[#This Row],[nb win]]/Table132[[#This Row],[nb play]]</f>
        <v>0</v>
      </c>
      <c r="H7349" s="26" t="str">
        <f>MID(Table132[[#This Row],[ÉTAT]],VALUE(RIGHT(Table132[[#This Row],[next move]],1))+1+VALUE(LEFT(Table132[[#This Row],[next move]],1))*3,1)</f>
        <v>V</v>
      </c>
      <c r="I7349" s="26" t="str">
        <f>Table132[[#This Row],[ÉTAT]]&amp;Table132[[#This Row],[next move]]</f>
        <v>VVVMEVVEM12</v>
      </c>
    </row>
    <row r="7350" spans="2:9" x14ac:dyDescent="0.25">
      <c r="B7350" t="s">
        <v>2308</v>
      </c>
      <c r="C7350" s="22" t="s">
        <v>20</v>
      </c>
      <c r="D7350">
        <v>6</v>
      </c>
      <c r="E7350">
        <v>2</v>
      </c>
      <c r="G7350" s="30">
        <f>Table132[[#This Row],[nb win]]/Table132[[#This Row],[nb play]]</f>
        <v>0.33333333333333331</v>
      </c>
      <c r="H7350" s="26" t="str">
        <f>MID(Table132[[#This Row],[ÉTAT]],VALUE(RIGHT(Table132[[#This Row],[next move]],1))+1+VALUE(LEFT(Table132[[#This Row],[next move]],1))*3,1)</f>
        <v>V</v>
      </c>
      <c r="I7350" s="26" t="str">
        <f>Table132[[#This Row],[ÉTAT]]&amp;Table132[[#This Row],[next move]]</f>
        <v>VVVVEVEMM02</v>
      </c>
    </row>
    <row r="7351" spans="2:9" x14ac:dyDescent="0.25">
      <c r="B7351" t="s">
        <v>3540</v>
      </c>
      <c r="C7351" s="22" t="s">
        <v>24</v>
      </c>
      <c r="D7351">
        <v>1</v>
      </c>
      <c r="G7351" s="30">
        <f>Table132[[#This Row],[nb win]]/Table132[[#This Row],[nb play]]</f>
        <v>0</v>
      </c>
      <c r="H7351" s="26" t="str">
        <f>MID(Table132[[#This Row],[ÉTAT]],VALUE(RIGHT(Table132[[#This Row],[next move]],1))+1+VALUE(LEFT(Table132[[#This Row],[next move]],1))*3,1)</f>
        <v>V</v>
      </c>
      <c r="I7351" s="26" t="str">
        <f>Table132[[#This Row],[ÉTAT]]&amp;Table132[[#This Row],[next move]]</f>
        <v>VVEVMVMEE00</v>
      </c>
    </row>
    <row r="7352" spans="2:9" x14ac:dyDescent="0.25">
      <c r="B7352" t="s">
        <v>3618</v>
      </c>
      <c r="C7352" s="22" t="s">
        <v>35</v>
      </c>
      <c r="D7352">
        <v>2</v>
      </c>
      <c r="G7352" s="30">
        <f>Table132[[#This Row],[nb win]]/Table132[[#This Row],[nb play]]</f>
        <v>0</v>
      </c>
      <c r="H7352" s="26" t="str">
        <f>MID(Table132[[#This Row],[ÉTAT]],VALUE(RIGHT(Table132[[#This Row],[next move]],1))+1+VALUE(LEFT(Table132[[#This Row],[next move]],1))*3,1)</f>
        <v>V</v>
      </c>
      <c r="I7352" s="26" t="str">
        <f>Table132[[#This Row],[ÉTAT]]&amp;Table132[[#This Row],[next move]]</f>
        <v>MMEEEVVMV20</v>
      </c>
    </row>
    <row r="7353" spans="2:9" x14ac:dyDescent="0.25">
      <c r="B7353" t="s">
        <v>1302</v>
      </c>
      <c r="C7353" s="22" t="s">
        <v>26</v>
      </c>
      <c r="D7353">
        <v>1</v>
      </c>
      <c r="G7353" s="30">
        <f>Table132[[#This Row],[nb win]]/Table132[[#This Row],[nb play]]</f>
        <v>0</v>
      </c>
      <c r="H7353" s="26" t="str">
        <f>MID(Table132[[#This Row],[ÉTAT]],VALUE(RIGHT(Table132[[#This Row],[next move]],1))+1+VALUE(LEFT(Table132[[#This Row],[next move]],1))*3,1)</f>
        <v>V</v>
      </c>
      <c r="I7353" s="26" t="str">
        <f>Table132[[#This Row],[ÉTAT]]&amp;Table132[[#This Row],[next move]]</f>
        <v>MVVEEVVVM01</v>
      </c>
    </row>
    <row r="7354" spans="2:9" x14ac:dyDescent="0.25">
      <c r="B7354" t="s">
        <v>3695</v>
      </c>
      <c r="C7354" s="22" t="s">
        <v>28</v>
      </c>
      <c r="D7354">
        <v>1</v>
      </c>
      <c r="G7354" s="30">
        <f>Table132[[#This Row],[nb win]]/Table132[[#This Row],[nb play]]</f>
        <v>0</v>
      </c>
      <c r="H7354" s="26" t="str">
        <f>MID(Table132[[#This Row],[ÉTAT]],VALUE(RIGHT(Table132[[#This Row],[next move]],1))+1+VALUE(LEFT(Table132[[#This Row],[next move]],1))*3,1)</f>
        <v>V</v>
      </c>
      <c r="I7354" s="26" t="str">
        <f>Table132[[#This Row],[ÉTAT]]&amp;Table132[[#This Row],[next move]]</f>
        <v>MMEEEVVVM12</v>
      </c>
    </row>
    <row r="7355" spans="2:9" x14ac:dyDescent="0.25">
      <c r="B7355" t="s">
        <v>2947</v>
      </c>
      <c r="C7355" s="22" t="s">
        <v>22</v>
      </c>
      <c r="D7355">
        <v>1</v>
      </c>
      <c r="G7355" s="30">
        <f>Table132[[#This Row],[nb win]]/Table132[[#This Row],[nb play]]</f>
        <v>0</v>
      </c>
      <c r="H7355" s="26" t="str">
        <f>MID(Table132[[#This Row],[ÉTAT]],VALUE(RIGHT(Table132[[#This Row],[next move]],1))+1+VALUE(LEFT(Table132[[#This Row],[next move]],1))*3,1)</f>
        <v>V</v>
      </c>
      <c r="I7355" s="26" t="str">
        <f>Table132[[#This Row],[ÉTAT]]&amp;Table132[[#This Row],[next move]]</f>
        <v>VEVEMVEVM21</v>
      </c>
    </row>
    <row r="7356" spans="2:9" x14ac:dyDescent="0.25">
      <c r="B7356" t="s">
        <v>2796</v>
      </c>
      <c r="C7356" s="22" t="s">
        <v>24</v>
      </c>
      <c r="D7356">
        <v>1</v>
      </c>
      <c r="E7356">
        <v>1</v>
      </c>
      <c r="G7356" s="31">
        <f>Table132[[#This Row],[nb win]]/Table132[[#This Row],[nb play]]</f>
        <v>1</v>
      </c>
      <c r="H7356" s="26" t="str">
        <f>MID(Table132[[#This Row],[ÉTAT]],VALUE(RIGHT(Table132[[#This Row],[next move]],1))+1+VALUE(LEFT(Table132[[#This Row],[next move]],1))*3,1)</f>
        <v>V</v>
      </c>
      <c r="I7356" s="26" t="str">
        <f>Table132[[#This Row],[ÉTAT]]&amp;Table132[[#This Row],[next move]]</f>
        <v>VMVMEVMEE00</v>
      </c>
    </row>
    <row r="7357" spans="2:9" x14ac:dyDescent="0.25">
      <c r="B7357" t="s">
        <v>3549</v>
      </c>
      <c r="C7357" s="22" t="s">
        <v>35</v>
      </c>
      <c r="D7357">
        <v>1</v>
      </c>
      <c r="G7357" s="30">
        <f>Table132[[#This Row],[nb win]]/Table132[[#This Row],[nb play]]</f>
        <v>0</v>
      </c>
      <c r="H7357" s="26" t="str">
        <f>MID(Table132[[#This Row],[ÉTAT]],VALUE(RIGHT(Table132[[#This Row],[next move]],1))+1+VALUE(LEFT(Table132[[#This Row],[next move]],1))*3,1)</f>
        <v>V</v>
      </c>
      <c r="I7357" s="26" t="str">
        <f>Table132[[#This Row],[ÉTAT]]&amp;Table132[[#This Row],[next move]]</f>
        <v>MVMEEVVVV20</v>
      </c>
    </row>
    <row r="7358" spans="2:9" x14ac:dyDescent="0.25">
      <c r="B7358" t="s">
        <v>2440</v>
      </c>
      <c r="C7358" s="22" t="s">
        <v>28</v>
      </c>
      <c r="D7358">
        <v>1</v>
      </c>
      <c r="E7358">
        <v>1</v>
      </c>
      <c r="G7358" s="31">
        <f>Table132[[#This Row],[nb win]]/Table132[[#This Row],[nb play]]</f>
        <v>1</v>
      </c>
      <c r="H7358" s="26" t="str">
        <f>MID(Table132[[#This Row],[ÉTAT]],VALUE(RIGHT(Table132[[#This Row],[next move]],1))+1+VALUE(LEFT(Table132[[#This Row],[next move]],1))*3,1)</f>
        <v>V</v>
      </c>
      <c r="I7358" s="26" t="str">
        <f>Table132[[#This Row],[ÉTAT]]&amp;Table132[[#This Row],[next move]]</f>
        <v>EVEMMVEVV12</v>
      </c>
    </row>
    <row r="7359" spans="2:9" x14ac:dyDescent="0.25">
      <c r="B7359" t="s">
        <v>3615</v>
      </c>
      <c r="C7359" s="22" t="s">
        <v>20</v>
      </c>
      <c r="D7359">
        <v>1</v>
      </c>
      <c r="E7359">
        <v>1</v>
      </c>
      <c r="G7359" s="31">
        <f>Table132[[#This Row],[nb win]]/Table132[[#This Row],[nb play]]</f>
        <v>1</v>
      </c>
      <c r="H7359" s="26" t="str">
        <f>MID(Table132[[#This Row],[ÉTAT]],VALUE(RIGHT(Table132[[#This Row],[next move]],1))+1+VALUE(LEFT(Table132[[#This Row],[next move]],1))*3,1)</f>
        <v>V</v>
      </c>
      <c r="I7359" s="26" t="str">
        <f>Table132[[#This Row],[ÉTAT]]&amp;Table132[[#This Row],[next move]]</f>
        <v>MVVVVEEVV02</v>
      </c>
    </row>
    <row r="7360" spans="2:9" x14ac:dyDescent="0.25">
      <c r="B7360" t="s">
        <v>1720</v>
      </c>
      <c r="C7360" s="22" t="s">
        <v>22</v>
      </c>
      <c r="D7360">
        <v>1</v>
      </c>
      <c r="G7360" s="30">
        <f>Table132[[#This Row],[nb win]]/Table132[[#This Row],[nb play]]</f>
        <v>0</v>
      </c>
      <c r="H7360" s="26" t="str">
        <f>MID(Table132[[#This Row],[ÉTAT]],VALUE(RIGHT(Table132[[#This Row],[next move]],1))+1+VALUE(LEFT(Table132[[#This Row],[next move]],1))*3,1)</f>
        <v>V</v>
      </c>
      <c r="I7360" s="26" t="str">
        <f>Table132[[#This Row],[ÉTAT]]&amp;Table132[[#This Row],[next move]]</f>
        <v>EVEVVMMVV21</v>
      </c>
    </row>
    <row r="7361" spans="2:9" x14ac:dyDescent="0.25">
      <c r="B7361" t="s">
        <v>2108</v>
      </c>
      <c r="C7361" s="22" t="s">
        <v>26</v>
      </c>
      <c r="D7361">
        <v>1</v>
      </c>
      <c r="E7361">
        <v>1</v>
      </c>
      <c r="G7361" s="31">
        <f>Table132[[#This Row],[nb win]]/Table132[[#This Row],[nb play]]</f>
        <v>1</v>
      </c>
      <c r="H7361" s="26" t="str">
        <f>MID(Table132[[#This Row],[ÉTAT]],VALUE(RIGHT(Table132[[#This Row],[next move]],1))+1+VALUE(LEFT(Table132[[#This Row],[next move]],1))*3,1)</f>
        <v>V</v>
      </c>
      <c r="I7361" s="26" t="str">
        <f>Table132[[#This Row],[ÉTAT]]&amp;Table132[[#This Row],[next move]]</f>
        <v>MVMVVEEEV01</v>
      </c>
    </row>
    <row r="7362" spans="2:9" x14ac:dyDescent="0.25">
      <c r="B7362" t="s">
        <v>1130</v>
      </c>
      <c r="C7362" s="22" t="s">
        <v>31</v>
      </c>
      <c r="D7362">
        <v>1</v>
      </c>
      <c r="E7362">
        <v>1</v>
      </c>
      <c r="G7362" s="31">
        <f>Table132[[#This Row],[nb win]]/Table132[[#This Row],[nb play]]</f>
        <v>1</v>
      </c>
      <c r="H7362" s="26" t="str">
        <f>MID(Table132[[#This Row],[ÉTAT]],VALUE(RIGHT(Table132[[#This Row],[next move]],1))+1+VALUE(LEFT(Table132[[#This Row],[next move]],1))*3,1)</f>
        <v>V</v>
      </c>
      <c r="I7362" s="26" t="str">
        <f>Table132[[#This Row],[ÉTAT]]&amp;Table132[[#This Row],[next move]]</f>
        <v>EMEVVVVMV22</v>
      </c>
    </row>
    <row r="7363" spans="2:9" x14ac:dyDescent="0.25">
      <c r="B7363" t="s">
        <v>3627</v>
      </c>
      <c r="C7363" s="22" t="s">
        <v>28</v>
      </c>
      <c r="D7363">
        <v>1</v>
      </c>
      <c r="G7363" s="30">
        <f>Table132[[#This Row],[nb win]]/Table132[[#This Row],[nb play]]</f>
        <v>0</v>
      </c>
      <c r="H7363" s="26" t="str">
        <f>MID(Table132[[#This Row],[ÉTAT]],VALUE(RIGHT(Table132[[#This Row],[next move]],1))+1+VALUE(LEFT(Table132[[#This Row],[next move]],1))*3,1)</f>
        <v>V</v>
      </c>
      <c r="I7363" s="26" t="str">
        <f>Table132[[#This Row],[ÉTAT]]&amp;Table132[[#This Row],[next move]]</f>
        <v>MEMVVVVEE12</v>
      </c>
    </row>
    <row r="7364" spans="2:9" x14ac:dyDescent="0.25">
      <c r="B7364" t="s">
        <v>782</v>
      </c>
      <c r="C7364" s="22" t="s">
        <v>30</v>
      </c>
      <c r="D7364">
        <v>1</v>
      </c>
      <c r="E7364">
        <v>1</v>
      </c>
      <c r="G7364" s="31">
        <f>Table132[[#This Row],[nb win]]/Table132[[#This Row],[nb play]]</f>
        <v>1</v>
      </c>
      <c r="H7364" s="26" t="str">
        <f>MID(Table132[[#This Row],[ÉTAT]],VALUE(RIGHT(Table132[[#This Row],[next move]],1))+1+VALUE(LEFT(Table132[[#This Row],[next move]],1))*3,1)</f>
        <v>V</v>
      </c>
      <c r="I7364" s="26" t="str">
        <f>Table132[[#This Row],[ÉTAT]]&amp;Table132[[#This Row],[next move]]</f>
        <v>EMEVVEVMM10</v>
      </c>
    </row>
    <row r="7365" spans="2:9" x14ac:dyDescent="0.25">
      <c r="B7365" t="s">
        <v>1502</v>
      </c>
      <c r="C7365" s="22" t="s">
        <v>31</v>
      </c>
      <c r="D7365">
        <v>1</v>
      </c>
      <c r="E7365">
        <v>1</v>
      </c>
      <c r="G7365" s="31">
        <f>Table132[[#This Row],[nb win]]/Table132[[#This Row],[nb play]]</f>
        <v>1</v>
      </c>
      <c r="H7365" s="26" t="str">
        <f>MID(Table132[[#This Row],[ÉTAT]],VALUE(RIGHT(Table132[[#This Row],[next move]],1))+1+VALUE(LEFT(Table132[[#This Row],[next move]],1))*3,1)</f>
        <v>V</v>
      </c>
      <c r="I7365" s="26" t="str">
        <f>Table132[[#This Row],[ÉTAT]]&amp;Table132[[#This Row],[next move]]</f>
        <v>VVVMVEMEV22</v>
      </c>
    </row>
    <row r="7366" spans="2:9" x14ac:dyDescent="0.25">
      <c r="B7366" t="s">
        <v>3624</v>
      </c>
      <c r="C7366" s="22" t="s">
        <v>29</v>
      </c>
      <c r="D7366">
        <v>1</v>
      </c>
      <c r="G7366" s="30">
        <f>Table132[[#This Row],[nb win]]/Table132[[#This Row],[nb play]]</f>
        <v>0</v>
      </c>
      <c r="H7366" s="26" t="str">
        <f>MID(Table132[[#This Row],[ÉTAT]],VALUE(RIGHT(Table132[[#This Row],[next move]],1))+1+VALUE(LEFT(Table132[[#This Row],[next move]],1))*3,1)</f>
        <v>V</v>
      </c>
      <c r="I7366" s="26" t="str">
        <f>Table132[[#This Row],[ÉTAT]]&amp;Table132[[#This Row],[next move]]</f>
        <v>VVVEVMEME11</v>
      </c>
    </row>
    <row r="7367" spans="2:9" x14ac:dyDescent="0.25">
      <c r="B7367" t="s">
        <v>3701</v>
      </c>
      <c r="C7367" s="22" t="s">
        <v>24</v>
      </c>
      <c r="D7367">
        <v>1</v>
      </c>
      <c r="E7367">
        <v>1</v>
      </c>
      <c r="G7367" s="31">
        <f>Table132[[#This Row],[nb win]]/Table132[[#This Row],[nb play]]</f>
        <v>1</v>
      </c>
      <c r="H7367" s="26" t="str">
        <f>MID(Table132[[#This Row],[ÉTAT]],VALUE(RIGHT(Table132[[#This Row],[next move]],1))+1+VALUE(LEFT(Table132[[#This Row],[next move]],1))*3,1)</f>
        <v>V</v>
      </c>
      <c r="I7367" s="26" t="str">
        <f>Table132[[#This Row],[ÉTAT]]&amp;Table132[[#This Row],[next move]]</f>
        <v>VVVMEEMEM00</v>
      </c>
    </row>
    <row r="7368" spans="2:9" x14ac:dyDescent="0.25">
      <c r="B7368" t="s">
        <v>1320</v>
      </c>
      <c r="C7368" s="22" t="s">
        <v>22</v>
      </c>
      <c r="D7368">
        <v>1</v>
      </c>
      <c r="E7368">
        <v>1</v>
      </c>
      <c r="G7368" s="31">
        <f>Table132[[#This Row],[nb win]]/Table132[[#This Row],[nb play]]</f>
        <v>1</v>
      </c>
      <c r="H7368" s="26" t="str">
        <f>MID(Table132[[#This Row],[ÉTAT]],VALUE(RIGHT(Table132[[#This Row],[next move]],1))+1+VALUE(LEFT(Table132[[#This Row],[next move]],1))*3,1)</f>
        <v>V</v>
      </c>
      <c r="I7368" s="26" t="str">
        <f>Table132[[#This Row],[ÉTAT]]&amp;Table132[[#This Row],[next move]]</f>
        <v>MVEVMEVVV21</v>
      </c>
    </row>
    <row r="7369" spans="2:9" x14ac:dyDescent="0.25">
      <c r="B7369" t="s">
        <v>1636</v>
      </c>
      <c r="C7369" s="22" t="s">
        <v>30</v>
      </c>
      <c r="D7369">
        <v>1</v>
      </c>
      <c r="G7369" s="30">
        <f>Table132[[#This Row],[nb win]]/Table132[[#This Row],[nb play]]</f>
        <v>0</v>
      </c>
      <c r="H7369" s="26" t="str">
        <f>MID(Table132[[#This Row],[ÉTAT]],VALUE(RIGHT(Table132[[#This Row],[next move]],1))+1+VALUE(LEFT(Table132[[#This Row],[next move]],1))*3,1)</f>
        <v>V</v>
      </c>
      <c r="I7369" s="26" t="str">
        <f>Table132[[#This Row],[ÉTAT]]&amp;Table132[[#This Row],[next move]]</f>
        <v>EVMVEMVEV10</v>
      </c>
    </row>
    <row r="7370" spans="2:9" x14ac:dyDescent="0.25">
      <c r="B7370" t="s">
        <v>3067</v>
      </c>
      <c r="C7370" s="22" t="s">
        <v>35</v>
      </c>
      <c r="D7370">
        <v>1</v>
      </c>
      <c r="E7370">
        <v>1</v>
      </c>
      <c r="G7370" s="31">
        <f>Table132[[#This Row],[nb win]]/Table132[[#This Row],[nb play]]</f>
        <v>1</v>
      </c>
      <c r="H7370" s="26" t="str">
        <f>MID(Table132[[#This Row],[ÉTAT]],VALUE(RIGHT(Table132[[#This Row],[next move]],1))+1+VALUE(LEFT(Table132[[#This Row],[next move]],1))*3,1)</f>
        <v>V</v>
      </c>
      <c r="I7370" s="26" t="str">
        <f>Table132[[#This Row],[ÉTAT]]&amp;Table132[[#This Row],[next move]]</f>
        <v>MVEEMEVMV20</v>
      </c>
    </row>
    <row r="7371" spans="2:9" x14ac:dyDescent="0.25">
      <c r="B7371" t="s">
        <v>3647</v>
      </c>
      <c r="C7371" s="22" t="s">
        <v>26</v>
      </c>
      <c r="D7371">
        <v>1</v>
      </c>
      <c r="G7371" s="30">
        <f>Table132[[#This Row],[nb win]]/Table132[[#This Row],[nb play]]</f>
        <v>0</v>
      </c>
      <c r="H7371" s="26" t="str">
        <f>MID(Table132[[#This Row],[ÉTAT]],VALUE(RIGHT(Table132[[#This Row],[next move]],1))+1+VALUE(LEFT(Table132[[#This Row],[next move]],1))*3,1)</f>
        <v>V</v>
      </c>
      <c r="I7371" s="26" t="str">
        <f>Table132[[#This Row],[ÉTAT]]&amp;Table132[[#This Row],[next move]]</f>
        <v>EVMMEMEEV01</v>
      </c>
    </row>
    <row r="7372" spans="2:9" x14ac:dyDescent="0.25">
      <c r="B7372" t="s">
        <v>1755</v>
      </c>
      <c r="C7372" s="22" t="s">
        <v>26</v>
      </c>
      <c r="D7372">
        <v>1</v>
      </c>
      <c r="G7372" s="30">
        <f>Table132[[#This Row],[nb win]]/Table132[[#This Row],[nb play]]</f>
        <v>0</v>
      </c>
      <c r="H7372" s="26" t="str">
        <f>MID(Table132[[#This Row],[ÉTAT]],VALUE(RIGHT(Table132[[#This Row],[next move]],1))+1+VALUE(LEFT(Table132[[#This Row],[next move]],1))*3,1)</f>
        <v>V</v>
      </c>
      <c r="I7372" s="26" t="str">
        <f>Table132[[#This Row],[ÉTAT]]&amp;Table132[[#This Row],[next move]]</f>
        <v>VVEEVVVMV01</v>
      </c>
    </row>
    <row r="7373" spans="2:9" x14ac:dyDescent="0.25">
      <c r="B7373" t="s">
        <v>3324</v>
      </c>
      <c r="C7373" s="22" t="s">
        <v>29</v>
      </c>
      <c r="D7373">
        <v>1</v>
      </c>
      <c r="E7373">
        <v>1</v>
      </c>
      <c r="G7373" s="31">
        <f>Table132[[#This Row],[nb win]]/Table132[[#This Row],[nb play]]</f>
        <v>1</v>
      </c>
      <c r="H7373" s="26" t="str">
        <f>MID(Table132[[#This Row],[ÉTAT]],VALUE(RIGHT(Table132[[#This Row],[next move]],1))+1+VALUE(LEFT(Table132[[#This Row],[next move]],1))*3,1)</f>
        <v>V</v>
      </c>
      <c r="I7373" s="26" t="str">
        <f>Table132[[#This Row],[ÉTAT]]&amp;Table132[[#This Row],[next move]]</f>
        <v>VEMMVVVEV11</v>
      </c>
    </row>
    <row r="7374" spans="2:9" x14ac:dyDescent="0.25">
      <c r="B7374" t="s">
        <v>3702</v>
      </c>
      <c r="C7374" s="22" t="s">
        <v>31</v>
      </c>
      <c r="D7374">
        <v>1</v>
      </c>
      <c r="G7374" s="30">
        <f>Table132[[#This Row],[nb win]]/Table132[[#This Row],[nb play]]</f>
        <v>0</v>
      </c>
      <c r="H7374" s="26" t="str">
        <f>MID(Table132[[#This Row],[ÉTAT]],VALUE(RIGHT(Table132[[#This Row],[next move]],1))+1+VALUE(LEFT(Table132[[#This Row],[next move]],1))*3,1)</f>
        <v>V</v>
      </c>
      <c r="I7374" s="26" t="str">
        <f>Table132[[#This Row],[ÉTAT]]&amp;Table132[[#This Row],[next move]]</f>
        <v>VMEEEVVMV22</v>
      </c>
    </row>
    <row r="7375" spans="2:9" x14ac:dyDescent="0.25">
      <c r="B7375" t="s">
        <v>3598</v>
      </c>
      <c r="C7375" s="22" t="s">
        <v>28</v>
      </c>
      <c r="D7375">
        <v>1</v>
      </c>
      <c r="E7375">
        <v>1</v>
      </c>
      <c r="G7375" s="31">
        <f>Table132[[#This Row],[nb win]]/Table132[[#This Row],[nb play]]</f>
        <v>1</v>
      </c>
      <c r="H7375" s="26" t="str">
        <f>MID(Table132[[#This Row],[ÉTAT]],VALUE(RIGHT(Table132[[#This Row],[next move]],1))+1+VALUE(LEFT(Table132[[#This Row],[next move]],1))*3,1)</f>
        <v>V</v>
      </c>
      <c r="I7375" s="26" t="str">
        <f>Table132[[#This Row],[ÉTAT]]&amp;Table132[[#This Row],[next move]]</f>
        <v>VEMMMVVEE12</v>
      </c>
    </row>
    <row r="7376" spans="2:9" x14ac:dyDescent="0.25">
      <c r="B7376" t="s">
        <v>485</v>
      </c>
      <c r="C7376" s="22" t="s">
        <v>22</v>
      </c>
      <c r="D7376">
        <v>1</v>
      </c>
      <c r="G7376" s="30">
        <f>Table132[[#This Row],[nb win]]/Table132[[#This Row],[nb play]]</f>
        <v>0</v>
      </c>
      <c r="H7376" s="26" t="str">
        <f>MID(Table132[[#This Row],[ÉTAT]],VALUE(RIGHT(Table132[[#This Row],[next move]],1))+1+VALUE(LEFT(Table132[[#This Row],[next move]],1))*3,1)</f>
        <v>V</v>
      </c>
      <c r="I7376" s="26" t="str">
        <f>Table132[[#This Row],[ÉTAT]]&amp;Table132[[#This Row],[next move]]</f>
        <v>VEVVMEVVV21</v>
      </c>
    </row>
    <row r="7377" spans="2:9" x14ac:dyDescent="0.25">
      <c r="B7377" t="s">
        <v>1789</v>
      </c>
      <c r="C7377" s="22" t="s">
        <v>24</v>
      </c>
      <c r="D7377">
        <v>1</v>
      </c>
      <c r="E7377">
        <v>1</v>
      </c>
      <c r="G7377" s="31">
        <f>Table132[[#This Row],[nb win]]/Table132[[#This Row],[nb play]]</f>
        <v>1</v>
      </c>
      <c r="H7377" s="26" t="str">
        <f>MID(Table132[[#This Row],[ÉTAT]],VALUE(RIGHT(Table132[[#This Row],[next move]],1))+1+VALUE(LEFT(Table132[[#This Row],[next move]],1))*3,1)</f>
        <v>V</v>
      </c>
      <c r="I7377" s="26" t="str">
        <f>Table132[[#This Row],[ÉTAT]]&amp;Table132[[#This Row],[next move]]</f>
        <v>VMVVEMVEV00</v>
      </c>
    </row>
    <row r="7378" spans="2:9" x14ac:dyDescent="0.25">
      <c r="B7378" t="s">
        <v>3703</v>
      </c>
      <c r="C7378" s="22" t="s">
        <v>31</v>
      </c>
      <c r="D7378">
        <v>1</v>
      </c>
      <c r="G7378" s="30">
        <f>Table132[[#This Row],[nb win]]/Table132[[#This Row],[nb play]]</f>
        <v>0</v>
      </c>
      <c r="H7378" s="26" t="str">
        <f>MID(Table132[[#This Row],[ÉTAT]],VALUE(RIGHT(Table132[[#This Row],[next move]],1))+1+VALUE(LEFT(Table132[[#This Row],[next move]],1))*3,1)</f>
        <v>V</v>
      </c>
      <c r="I7378" s="26" t="str">
        <f>Table132[[#This Row],[ÉTAT]]&amp;Table132[[#This Row],[next move]]</f>
        <v>EEVVMEVMV22</v>
      </c>
    </row>
    <row r="7379" spans="2:9" x14ac:dyDescent="0.25">
      <c r="B7379" t="s">
        <v>3704</v>
      </c>
      <c r="C7379" s="22" t="s">
        <v>35</v>
      </c>
      <c r="D7379">
        <v>1</v>
      </c>
      <c r="E7379">
        <v>1</v>
      </c>
      <c r="G7379" s="31">
        <f>Table132[[#This Row],[nb win]]/Table132[[#This Row],[nb play]]</f>
        <v>1</v>
      </c>
      <c r="H7379" s="26" t="str">
        <f>MID(Table132[[#This Row],[ÉTAT]],VALUE(RIGHT(Table132[[#This Row],[next move]],1))+1+VALUE(LEFT(Table132[[#This Row],[next move]],1))*3,1)</f>
        <v>V</v>
      </c>
      <c r="I7379" s="26" t="str">
        <f>Table132[[#This Row],[ÉTAT]]&amp;Table132[[#This Row],[next move]]</f>
        <v>MMVVEMVEE20</v>
      </c>
    </row>
    <row r="7380" spans="2:9" x14ac:dyDescent="0.25">
      <c r="B7380" t="s">
        <v>382</v>
      </c>
      <c r="C7380" s="22" t="s">
        <v>30</v>
      </c>
      <c r="D7380">
        <v>1</v>
      </c>
      <c r="G7380" s="30">
        <f>Table132[[#This Row],[nb win]]/Table132[[#This Row],[nb play]]</f>
        <v>0</v>
      </c>
      <c r="H7380" s="26" t="str">
        <f>MID(Table132[[#This Row],[ÉTAT]],VALUE(RIGHT(Table132[[#This Row],[next move]],1))+1+VALUE(LEFT(Table132[[#This Row],[next move]],1))*3,1)</f>
        <v>V</v>
      </c>
      <c r="I7380" s="26" t="str">
        <f>Table132[[#This Row],[ÉTAT]]&amp;Table132[[#This Row],[next move]]</f>
        <v>VEVVVVEVM10</v>
      </c>
    </row>
    <row r="7381" spans="2:9" x14ac:dyDescent="0.25">
      <c r="B7381" t="s">
        <v>2536</v>
      </c>
      <c r="C7381" s="22" t="s">
        <v>28</v>
      </c>
      <c r="D7381">
        <v>1</v>
      </c>
      <c r="E7381">
        <v>1</v>
      </c>
      <c r="G7381" s="31">
        <f>Table132[[#This Row],[nb win]]/Table132[[#This Row],[nb play]]</f>
        <v>1</v>
      </c>
      <c r="H7381" s="26" t="str">
        <f>MID(Table132[[#This Row],[ÉTAT]],VALUE(RIGHT(Table132[[#This Row],[next move]],1))+1+VALUE(LEFT(Table132[[#This Row],[next move]],1))*3,1)</f>
        <v>V</v>
      </c>
      <c r="I7381" s="26" t="str">
        <f>Table132[[#This Row],[ÉTAT]]&amp;Table132[[#This Row],[next move]]</f>
        <v>VMVEVVMVE12</v>
      </c>
    </row>
    <row r="7382" spans="2:9" x14ac:dyDescent="0.25">
      <c r="B7382" t="s">
        <v>3705</v>
      </c>
      <c r="C7382" s="22" t="s">
        <v>24</v>
      </c>
      <c r="D7382">
        <v>1</v>
      </c>
      <c r="G7382" s="30">
        <f>Table132[[#This Row],[nb win]]/Table132[[#This Row],[nb play]]</f>
        <v>0</v>
      </c>
      <c r="H7382" s="26" t="str">
        <f>MID(Table132[[#This Row],[ÉTAT]],VALUE(RIGHT(Table132[[#This Row],[next move]],1))+1+VALUE(LEFT(Table132[[#This Row],[next move]],1))*3,1)</f>
        <v>V</v>
      </c>
      <c r="I7382" s="26" t="str">
        <f>Table132[[#This Row],[ÉTAT]]&amp;Table132[[#This Row],[next move]]</f>
        <v>VEVMVEEVM00</v>
      </c>
    </row>
    <row r="7383" spans="2:9" x14ac:dyDescent="0.25">
      <c r="B7383" t="s">
        <v>1146</v>
      </c>
      <c r="C7383" s="22" t="s">
        <v>20</v>
      </c>
      <c r="D7383">
        <v>1</v>
      </c>
      <c r="E7383">
        <v>1</v>
      </c>
      <c r="G7383" s="31">
        <f>Table132[[#This Row],[nb win]]/Table132[[#This Row],[nb play]]</f>
        <v>1</v>
      </c>
      <c r="H7383" s="26" t="str">
        <f>MID(Table132[[#This Row],[ÉTAT]],VALUE(RIGHT(Table132[[#This Row],[next move]],1))+1+VALUE(LEFT(Table132[[#This Row],[next move]],1))*3,1)</f>
        <v>V</v>
      </c>
      <c r="I7383" s="26" t="str">
        <f>Table132[[#This Row],[ÉTAT]]&amp;Table132[[#This Row],[next move]]</f>
        <v>EMVEVMMVE02</v>
      </c>
    </row>
    <row r="7384" spans="2:9" x14ac:dyDescent="0.25">
      <c r="B7384" t="s">
        <v>2805</v>
      </c>
      <c r="C7384" s="22" t="s">
        <v>22</v>
      </c>
      <c r="D7384">
        <v>1</v>
      </c>
      <c r="G7384" s="30">
        <f>Table132[[#This Row],[nb win]]/Table132[[#This Row],[nb play]]</f>
        <v>0</v>
      </c>
      <c r="H7384" s="26" t="str">
        <f>MID(Table132[[#This Row],[ÉTAT]],VALUE(RIGHT(Table132[[#This Row],[next move]],1))+1+VALUE(LEFT(Table132[[#This Row],[next move]],1))*3,1)</f>
        <v>V</v>
      </c>
      <c r="I7384" s="26" t="str">
        <f>Table132[[#This Row],[ÉTAT]]&amp;Table132[[#This Row],[next move]]</f>
        <v>MEEMVEEVM21</v>
      </c>
    </row>
    <row r="7385" spans="2:9" x14ac:dyDescent="0.25">
      <c r="B7385" t="s">
        <v>1883</v>
      </c>
      <c r="C7385" s="22" t="s">
        <v>31</v>
      </c>
      <c r="D7385">
        <v>1</v>
      </c>
      <c r="G7385" s="30">
        <f>Table132[[#This Row],[nb win]]/Table132[[#This Row],[nb play]]</f>
        <v>0</v>
      </c>
      <c r="H7385" s="26" t="str">
        <f>MID(Table132[[#This Row],[ÉTAT]],VALUE(RIGHT(Table132[[#This Row],[next move]],1))+1+VALUE(LEFT(Table132[[#This Row],[next move]],1))*3,1)</f>
        <v>V</v>
      </c>
      <c r="I7385" s="26" t="str">
        <f>Table132[[#This Row],[ÉTAT]]&amp;Table132[[#This Row],[next move]]</f>
        <v>VEVVVMEVV22</v>
      </c>
    </row>
    <row r="7386" spans="2:9" x14ac:dyDescent="0.25">
      <c r="B7386" t="s">
        <v>892</v>
      </c>
      <c r="C7386" s="22" t="s">
        <v>20</v>
      </c>
      <c r="D7386">
        <v>1</v>
      </c>
      <c r="E7386">
        <v>1</v>
      </c>
      <c r="G7386" s="31">
        <f>Table132[[#This Row],[nb win]]/Table132[[#This Row],[nb play]]</f>
        <v>1</v>
      </c>
      <c r="H7386" s="26" t="str">
        <f>MID(Table132[[#This Row],[ÉTAT]],VALUE(RIGHT(Table132[[#This Row],[next move]],1))+1+VALUE(LEFT(Table132[[#This Row],[next move]],1))*3,1)</f>
        <v>V</v>
      </c>
      <c r="I7386" s="26" t="str">
        <f>Table132[[#This Row],[ÉTAT]]&amp;Table132[[#This Row],[next move]]</f>
        <v>VMVVVEMVE02</v>
      </c>
    </row>
    <row r="7387" spans="2:9" x14ac:dyDescent="0.25">
      <c r="B7387" t="s">
        <v>3706</v>
      </c>
      <c r="C7387" s="22" t="s">
        <v>30</v>
      </c>
      <c r="D7387">
        <v>1</v>
      </c>
      <c r="G7387" s="30">
        <f>Table132[[#This Row],[nb win]]/Table132[[#This Row],[nb play]]</f>
        <v>0</v>
      </c>
      <c r="H7387" s="26" t="str">
        <f>MID(Table132[[#This Row],[ÉTAT]],VALUE(RIGHT(Table132[[#This Row],[next move]],1))+1+VALUE(LEFT(Table132[[#This Row],[next move]],1))*3,1)</f>
        <v>V</v>
      </c>
      <c r="I7387" s="26" t="str">
        <f>Table132[[#This Row],[ÉTAT]]&amp;Table132[[#This Row],[next move]]</f>
        <v>VEEVVMEVM10</v>
      </c>
    </row>
    <row r="7388" spans="2:9" x14ac:dyDescent="0.25">
      <c r="B7388" t="s">
        <v>3189</v>
      </c>
      <c r="C7388" s="22" t="s">
        <v>29</v>
      </c>
      <c r="D7388">
        <v>1</v>
      </c>
      <c r="E7388">
        <v>1</v>
      </c>
      <c r="G7388" s="31">
        <f>Table132[[#This Row],[nb win]]/Table132[[#This Row],[nb play]]</f>
        <v>1</v>
      </c>
      <c r="H7388" s="26" t="str">
        <f>MID(Table132[[#This Row],[ÉTAT]],VALUE(RIGHT(Table132[[#This Row],[next move]],1))+1+VALUE(LEFT(Table132[[#This Row],[next move]],1))*3,1)</f>
        <v>V</v>
      </c>
      <c r="I7388" s="26" t="str">
        <f>Table132[[#This Row],[ÉTAT]]&amp;Table132[[#This Row],[next move]]</f>
        <v>VMMEVEMVE11</v>
      </c>
    </row>
    <row r="7389" spans="2:9" x14ac:dyDescent="0.25">
      <c r="B7389" t="s">
        <v>46</v>
      </c>
      <c r="C7389" s="22" t="s">
        <v>29</v>
      </c>
      <c r="D7389">
        <v>1</v>
      </c>
      <c r="E7389">
        <v>1</v>
      </c>
      <c r="G7389" s="31">
        <f>Table132[[#This Row],[nb win]]/Table132[[#This Row],[nb play]]</f>
        <v>1</v>
      </c>
      <c r="H7389" s="26" t="str">
        <f>MID(Table132[[#This Row],[ÉTAT]],VALUE(RIGHT(Table132[[#This Row],[next move]],1))+1+VALUE(LEFT(Table132[[#This Row],[next move]],1))*3,1)</f>
        <v>V</v>
      </c>
      <c r="I7389" s="26" t="str">
        <f>Table132[[#This Row],[ÉTAT]]&amp;Table132[[#This Row],[next move]]</f>
        <v>EVVVVMVVV11</v>
      </c>
    </row>
    <row r="7390" spans="2:9" x14ac:dyDescent="0.25">
      <c r="B7390" t="s">
        <v>1644</v>
      </c>
      <c r="C7390" s="22" t="s">
        <v>31</v>
      </c>
      <c r="D7390">
        <v>1</v>
      </c>
      <c r="G7390" s="30">
        <f>Table132[[#This Row],[nb win]]/Table132[[#This Row],[nb play]]</f>
        <v>0</v>
      </c>
      <c r="H7390" s="26" t="str">
        <f>MID(Table132[[#This Row],[ÉTAT]],VALUE(RIGHT(Table132[[#This Row],[next move]],1))+1+VALUE(LEFT(Table132[[#This Row],[next move]],1))*3,1)</f>
        <v>V</v>
      </c>
      <c r="I7390" s="26" t="str">
        <f>Table132[[#This Row],[ÉTAT]]&amp;Table132[[#This Row],[next move]]</f>
        <v>MVVVEEVVV22</v>
      </c>
    </row>
    <row r="7391" spans="2:9" x14ac:dyDescent="0.25">
      <c r="B7391" t="s">
        <v>1472</v>
      </c>
      <c r="C7391" s="22" t="s">
        <v>20</v>
      </c>
      <c r="D7391">
        <v>1</v>
      </c>
      <c r="E7391">
        <v>1</v>
      </c>
      <c r="G7391" s="31">
        <f>Table132[[#This Row],[nb win]]/Table132[[#This Row],[nb play]]</f>
        <v>1</v>
      </c>
      <c r="H7391" s="26" t="str">
        <f>MID(Table132[[#This Row],[ÉTAT]],VALUE(RIGHT(Table132[[#This Row],[next move]],1))+1+VALUE(LEFT(Table132[[#This Row],[next move]],1))*3,1)</f>
        <v>V</v>
      </c>
      <c r="I7391" s="26" t="str">
        <f>Table132[[#This Row],[ÉTAT]]&amp;Table132[[#This Row],[next move]]</f>
        <v>EVVVMMVVE02</v>
      </c>
    </row>
    <row r="7392" spans="2:9" x14ac:dyDescent="0.25">
      <c r="B7392" t="s">
        <v>3707</v>
      </c>
      <c r="C7392" s="22" t="s">
        <v>30</v>
      </c>
      <c r="D7392">
        <v>1</v>
      </c>
      <c r="G7392" s="30">
        <f>Table132[[#This Row],[nb win]]/Table132[[#This Row],[nb play]]</f>
        <v>0</v>
      </c>
      <c r="H7392" s="26" t="str">
        <f>MID(Table132[[#This Row],[ÉTAT]],VALUE(RIGHT(Table132[[#This Row],[next move]],1))+1+VALUE(LEFT(Table132[[#This Row],[next move]],1))*3,1)</f>
        <v>V</v>
      </c>
      <c r="I7392" s="26" t="str">
        <f>Table132[[#This Row],[ÉTAT]]&amp;Table132[[#This Row],[next move]]</f>
        <v>MVEVEEVVM10</v>
      </c>
    </row>
    <row r="7393" spans="2:9" x14ac:dyDescent="0.25">
      <c r="B7393" t="s">
        <v>2655</v>
      </c>
      <c r="C7393" s="22" t="s">
        <v>26</v>
      </c>
      <c r="D7393">
        <v>1</v>
      </c>
      <c r="E7393">
        <v>1</v>
      </c>
      <c r="G7393" s="31">
        <f>Table132[[#This Row],[nb win]]/Table132[[#This Row],[nb play]]</f>
        <v>1</v>
      </c>
      <c r="H7393" s="26" t="str">
        <f>MID(Table132[[#This Row],[ÉTAT]],VALUE(RIGHT(Table132[[#This Row],[next move]],1))+1+VALUE(LEFT(Table132[[#This Row],[next move]],1))*3,1)</f>
        <v>V</v>
      </c>
      <c r="I7393" s="26" t="str">
        <f>Table132[[#This Row],[ÉTAT]]&amp;Table132[[#This Row],[next move]]</f>
        <v>EVMEMMVVE01</v>
      </c>
    </row>
    <row r="7394" spans="2:9" x14ac:dyDescent="0.25">
      <c r="B7394" t="s">
        <v>3436</v>
      </c>
      <c r="C7394" s="22" t="s">
        <v>22</v>
      </c>
      <c r="D7394">
        <v>1</v>
      </c>
      <c r="G7394" s="30">
        <f>Table132[[#This Row],[nb win]]/Table132[[#This Row],[nb play]]</f>
        <v>0</v>
      </c>
      <c r="H7394" s="26" t="str">
        <f>MID(Table132[[#This Row],[ÉTAT]],VALUE(RIGHT(Table132[[#This Row],[next move]],1))+1+VALUE(LEFT(Table132[[#This Row],[next move]],1))*3,1)</f>
        <v>V</v>
      </c>
      <c r="I7394" s="26" t="str">
        <f>Table132[[#This Row],[ÉTAT]]&amp;Table132[[#This Row],[next move]]</f>
        <v>MEEMEEVVM21</v>
      </c>
    </row>
    <row r="7395" spans="2:9" x14ac:dyDescent="0.25">
      <c r="B7395" t="s">
        <v>1253</v>
      </c>
      <c r="C7395" s="22" t="s">
        <v>31</v>
      </c>
      <c r="D7395">
        <v>1</v>
      </c>
      <c r="E7395">
        <v>1</v>
      </c>
      <c r="G7395" s="31">
        <f>Table132[[#This Row],[nb win]]/Table132[[#This Row],[nb play]]</f>
        <v>1</v>
      </c>
      <c r="H7395" s="26" t="str">
        <f>MID(Table132[[#This Row],[ÉTAT]],VALUE(RIGHT(Table132[[#This Row],[next move]],1))+1+VALUE(LEFT(Table132[[#This Row],[next move]],1))*3,1)</f>
        <v>V</v>
      </c>
      <c r="I7395" s="26" t="str">
        <f>Table132[[#This Row],[ÉTAT]]&amp;Table132[[#This Row],[next move]]</f>
        <v>VVEEVVMMV22</v>
      </c>
    </row>
    <row r="7396" spans="2:9" x14ac:dyDescent="0.25">
      <c r="B7396" t="s">
        <v>1424</v>
      </c>
      <c r="C7396" s="22" t="s">
        <v>29</v>
      </c>
      <c r="D7396">
        <v>1</v>
      </c>
      <c r="G7396" s="30">
        <f>Table132[[#This Row],[nb win]]/Table132[[#This Row],[nb play]]</f>
        <v>0</v>
      </c>
      <c r="H7396" s="26" t="str">
        <f>MID(Table132[[#This Row],[ÉTAT]],VALUE(RIGHT(Table132[[#This Row],[next move]],1))+1+VALUE(LEFT(Table132[[#This Row],[next move]],1))*3,1)</f>
        <v>V</v>
      </c>
      <c r="I7396" s="26" t="str">
        <f>Table132[[#This Row],[ÉTAT]]&amp;Table132[[#This Row],[next move]]</f>
        <v>VVEEVVVVM11</v>
      </c>
    </row>
    <row r="7397" spans="2:9" x14ac:dyDescent="0.25">
      <c r="B7397" t="s">
        <v>1668</v>
      </c>
      <c r="C7397" s="22" t="s">
        <v>35</v>
      </c>
      <c r="D7397">
        <v>1</v>
      </c>
      <c r="E7397">
        <v>1</v>
      </c>
      <c r="G7397" s="31">
        <f>Table132[[#This Row],[nb win]]/Table132[[#This Row],[nb play]]</f>
        <v>1</v>
      </c>
      <c r="H7397" s="26" t="str">
        <f>MID(Table132[[#This Row],[ÉTAT]],VALUE(RIGHT(Table132[[#This Row],[next move]],1))+1+VALUE(LEFT(Table132[[#This Row],[next move]],1))*3,1)</f>
        <v>V</v>
      </c>
      <c r="I7397" s="26" t="str">
        <f>Table132[[#This Row],[ÉTAT]]&amp;Table132[[#This Row],[next move]]</f>
        <v>VVMMEVVVE20</v>
      </c>
    </row>
    <row r="7398" spans="2:9" x14ac:dyDescent="0.25">
      <c r="B7398" t="s">
        <v>3708</v>
      </c>
      <c r="C7398" s="22" t="s">
        <v>26</v>
      </c>
      <c r="D7398">
        <v>1</v>
      </c>
      <c r="G7398" s="30">
        <f>Table132[[#This Row],[nb win]]/Table132[[#This Row],[nb play]]</f>
        <v>0</v>
      </c>
      <c r="H7398" s="26" t="str">
        <f>MID(Table132[[#This Row],[ÉTAT]],VALUE(RIGHT(Table132[[#This Row],[next move]],1))+1+VALUE(LEFT(Table132[[#This Row],[next move]],1))*3,1)</f>
        <v>V</v>
      </c>
      <c r="I7398" s="26" t="str">
        <f>Table132[[#This Row],[ÉTAT]]&amp;Table132[[#This Row],[next move]]</f>
        <v>VVEEMVEVM01</v>
      </c>
    </row>
    <row r="7399" spans="2:9" x14ac:dyDescent="0.25">
      <c r="B7399" t="s">
        <v>1827</v>
      </c>
      <c r="C7399" s="22" t="s">
        <v>24</v>
      </c>
      <c r="D7399">
        <v>1</v>
      </c>
      <c r="E7399">
        <v>1</v>
      </c>
      <c r="G7399" s="31">
        <f>Table132[[#This Row],[nb win]]/Table132[[#This Row],[nb play]]</f>
        <v>1</v>
      </c>
      <c r="H7399" s="26" t="str">
        <f>MID(Table132[[#This Row],[ÉTAT]],VALUE(RIGHT(Table132[[#This Row],[next move]],1))+1+VALUE(LEFT(Table132[[#This Row],[next move]],1))*3,1)</f>
        <v>V</v>
      </c>
      <c r="I7399" s="26" t="str">
        <f>Table132[[#This Row],[ÉTAT]]&amp;Table132[[#This Row],[next move]]</f>
        <v>VEMMEVMVE00</v>
      </c>
    </row>
    <row r="7400" spans="2:9" x14ac:dyDescent="0.25">
      <c r="B7400" t="s">
        <v>3344</v>
      </c>
      <c r="C7400" s="22" t="s">
        <v>29</v>
      </c>
      <c r="D7400">
        <v>1</v>
      </c>
      <c r="G7400" s="30">
        <f>Table132[[#This Row],[nb win]]/Table132[[#This Row],[nb play]]</f>
        <v>0</v>
      </c>
      <c r="H7400" s="26" t="str">
        <f>MID(Table132[[#This Row],[ÉTAT]],VALUE(RIGHT(Table132[[#This Row],[next move]],1))+1+VALUE(LEFT(Table132[[#This Row],[next move]],1))*3,1)</f>
        <v>V</v>
      </c>
      <c r="I7400" s="26" t="str">
        <f>Table132[[#This Row],[ÉTAT]]&amp;Table132[[#This Row],[next move]]</f>
        <v>VMVVVMEVE11</v>
      </c>
    </row>
    <row r="7401" spans="2:9" x14ac:dyDescent="0.25">
      <c r="B7401" t="s">
        <v>2424</v>
      </c>
      <c r="C7401" s="22" t="s">
        <v>22</v>
      </c>
      <c r="D7401">
        <v>1</v>
      </c>
      <c r="E7401">
        <v>1</v>
      </c>
      <c r="G7401" s="31">
        <f>Table132[[#This Row],[nb win]]/Table132[[#This Row],[nb play]]</f>
        <v>1</v>
      </c>
      <c r="H7401" s="26" t="str">
        <f>MID(Table132[[#This Row],[ÉTAT]],VALUE(RIGHT(Table132[[#This Row],[next move]],1))+1+VALUE(LEFT(Table132[[#This Row],[next move]],1))*3,1)</f>
        <v>V</v>
      </c>
      <c r="I7401" s="26" t="str">
        <f>Table132[[#This Row],[ÉTAT]]&amp;Table132[[#This Row],[next move]]</f>
        <v>VEVVEEMVM21</v>
      </c>
    </row>
    <row r="7402" spans="2:9" x14ac:dyDescent="0.25">
      <c r="B7402" t="s">
        <v>914</v>
      </c>
      <c r="C7402" s="22" t="s">
        <v>30</v>
      </c>
      <c r="D7402">
        <v>1</v>
      </c>
      <c r="G7402" s="30">
        <f>Table132[[#This Row],[nb win]]/Table132[[#This Row],[nb play]]</f>
        <v>0</v>
      </c>
      <c r="H7402" s="26" t="str">
        <f>MID(Table132[[#This Row],[ÉTAT]],VALUE(RIGHT(Table132[[#This Row],[next move]],1))+1+VALUE(LEFT(Table132[[#This Row],[next move]],1))*3,1)</f>
        <v>V</v>
      </c>
      <c r="I7402" s="26" t="str">
        <f>Table132[[#This Row],[ÉTAT]]&amp;Table132[[#This Row],[next move]]</f>
        <v>VEVVVVVME10</v>
      </c>
    </row>
    <row r="7403" spans="2:9" x14ac:dyDescent="0.25">
      <c r="B7403" t="s">
        <v>3265</v>
      </c>
      <c r="C7403" s="22" t="s">
        <v>20</v>
      </c>
      <c r="D7403">
        <v>1</v>
      </c>
      <c r="E7403">
        <v>1</v>
      </c>
      <c r="G7403" s="31">
        <f>Table132[[#This Row],[nb win]]/Table132[[#This Row],[nb play]]</f>
        <v>1</v>
      </c>
      <c r="H7403" s="26" t="str">
        <f>MID(Table132[[#This Row],[ÉTAT]],VALUE(RIGHT(Table132[[#This Row],[next move]],1))+1+VALUE(LEFT(Table132[[#This Row],[next move]],1))*3,1)</f>
        <v>V</v>
      </c>
      <c r="I7403" s="26" t="str">
        <f>Table132[[#This Row],[ÉTAT]]&amp;Table132[[#This Row],[next move]]</f>
        <v>VMVEVVVEM02</v>
      </c>
    </row>
    <row r="7404" spans="2:9" x14ac:dyDescent="0.25">
      <c r="B7404" t="s">
        <v>3709</v>
      </c>
      <c r="C7404" s="22" t="s">
        <v>35</v>
      </c>
      <c r="D7404">
        <v>1</v>
      </c>
      <c r="G7404" s="30">
        <f>Table132[[#This Row],[nb win]]/Table132[[#This Row],[nb play]]</f>
        <v>0</v>
      </c>
      <c r="H7404" s="26" t="str">
        <f>MID(Table132[[#This Row],[ÉTAT]],VALUE(RIGHT(Table132[[#This Row],[next move]],1))+1+VALUE(LEFT(Table132[[#This Row],[next move]],1))*3,1)</f>
        <v>V</v>
      </c>
      <c r="I7404" s="26" t="str">
        <f>Table132[[#This Row],[ÉTAT]]&amp;Table132[[#This Row],[next move]]</f>
        <v>VEEMVVVME20</v>
      </c>
    </row>
    <row r="7405" spans="2:9" x14ac:dyDescent="0.25">
      <c r="B7405" t="s">
        <v>3710</v>
      </c>
      <c r="C7405" s="22" t="s">
        <v>28</v>
      </c>
      <c r="D7405">
        <v>1</v>
      </c>
      <c r="E7405">
        <v>1</v>
      </c>
      <c r="G7405" s="31">
        <f>Table132[[#This Row],[nb win]]/Table132[[#This Row],[nb play]]</f>
        <v>1</v>
      </c>
      <c r="H7405" s="26" t="str">
        <f>MID(Table132[[#This Row],[ÉTAT]],VALUE(RIGHT(Table132[[#This Row],[next move]],1))+1+VALUE(LEFT(Table132[[#This Row],[next move]],1))*3,1)</f>
        <v>V</v>
      </c>
      <c r="I7405" s="26" t="str">
        <f>Table132[[#This Row],[ÉTAT]]&amp;Table132[[#This Row],[next move]]</f>
        <v>VMMEVVEEM12</v>
      </c>
    </row>
    <row r="7406" spans="2:9" x14ac:dyDescent="0.25">
      <c r="B7406" t="s">
        <v>1389</v>
      </c>
      <c r="C7406" s="22" t="s">
        <v>35</v>
      </c>
      <c r="D7406">
        <v>1</v>
      </c>
      <c r="E7406">
        <v>1</v>
      </c>
      <c r="G7406" s="31">
        <f>Table132[[#This Row],[nb win]]/Table132[[#This Row],[nb play]]</f>
        <v>1</v>
      </c>
      <c r="H7406" s="26" t="str">
        <f>MID(Table132[[#This Row],[ÉTAT]],VALUE(RIGHT(Table132[[#This Row],[next move]],1))+1+VALUE(LEFT(Table132[[#This Row],[next move]],1))*3,1)</f>
        <v>V</v>
      </c>
      <c r="I7406" s="26" t="str">
        <f>Table132[[#This Row],[ÉTAT]]&amp;Table132[[#This Row],[next move]]</f>
        <v>MVVMEVVVE20</v>
      </c>
    </row>
    <row r="7407" spans="2:9" x14ac:dyDescent="0.25">
      <c r="B7407" t="s">
        <v>657</v>
      </c>
      <c r="C7407" s="22" t="s">
        <v>30</v>
      </c>
      <c r="D7407">
        <v>1</v>
      </c>
      <c r="E7407">
        <v>1</v>
      </c>
      <c r="G7407" s="31">
        <f>Table132[[#This Row],[nb win]]/Table132[[#This Row],[nb play]]</f>
        <v>1</v>
      </c>
      <c r="H7407" s="26" t="str">
        <f>MID(Table132[[#This Row],[ÉTAT]],VALUE(RIGHT(Table132[[#This Row],[next move]],1))+1+VALUE(LEFT(Table132[[#This Row],[next move]],1))*3,1)</f>
        <v>V</v>
      </c>
      <c r="I7407" s="26" t="str">
        <f>Table132[[#This Row],[ÉTAT]]&amp;Table132[[#This Row],[next move]]</f>
        <v>VVEVVEMVM10</v>
      </c>
    </row>
    <row r="7408" spans="2:9" x14ac:dyDescent="0.25">
      <c r="B7408" t="s">
        <v>3711</v>
      </c>
      <c r="C7408" s="22" t="s">
        <v>22</v>
      </c>
      <c r="D7408">
        <v>1</v>
      </c>
      <c r="G7408" s="30">
        <f>Table132[[#This Row],[nb win]]/Table132[[#This Row],[nb play]]</f>
        <v>0</v>
      </c>
      <c r="H7408" s="26" t="str">
        <f>MID(Table132[[#This Row],[ÉTAT]],VALUE(RIGHT(Table132[[#This Row],[next move]],1))+1+VALUE(LEFT(Table132[[#This Row],[next move]],1))*3,1)</f>
        <v>V</v>
      </c>
      <c r="I7408" s="26" t="str">
        <f>Table132[[#This Row],[ÉTAT]]&amp;Table132[[#This Row],[next move]]</f>
        <v>VVMEVMEVE21</v>
      </c>
    </row>
    <row r="7409" spans="2:9" x14ac:dyDescent="0.25">
      <c r="B7409" t="s">
        <v>1079</v>
      </c>
      <c r="C7409" s="22" t="s">
        <v>24</v>
      </c>
      <c r="D7409">
        <v>1</v>
      </c>
      <c r="E7409">
        <v>1</v>
      </c>
      <c r="G7409" s="31">
        <f>Table132[[#This Row],[nb win]]/Table132[[#This Row],[nb play]]</f>
        <v>1</v>
      </c>
      <c r="H7409" s="26" t="str">
        <f>MID(Table132[[#This Row],[ÉTAT]],VALUE(RIGHT(Table132[[#This Row],[next move]],1))+1+VALUE(LEFT(Table132[[#This Row],[next move]],1))*3,1)</f>
        <v>V</v>
      </c>
      <c r="I7409" s="26" t="str">
        <f>Table132[[#This Row],[ÉTAT]]&amp;Table132[[#This Row],[next move]]</f>
        <v>VVEMVEMEM00</v>
      </c>
    </row>
    <row r="7410" spans="2:9" x14ac:dyDescent="0.25">
      <c r="B7410" t="s">
        <v>3488</v>
      </c>
      <c r="C7410" s="22" t="s">
        <v>22</v>
      </c>
      <c r="D7410">
        <v>1</v>
      </c>
      <c r="E7410">
        <v>1</v>
      </c>
      <c r="G7410" s="31">
        <f>Table132[[#This Row],[nb win]]/Table132[[#This Row],[nb play]]</f>
        <v>1</v>
      </c>
      <c r="H7410" s="26" t="str">
        <f>MID(Table132[[#This Row],[ÉTAT]],VALUE(RIGHT(Table132[[#This Row],[next move]],1))+1+VALUE(LEFT(Table132[[#This Row],[next move]],1))*3,1)</f>
        <v>V</v>
      </c>
      <c r="I7410" s="26" t="str">
        <f>Table132[[#This Row],[ÉTAT]]&amp;Table132[[#This Row],[next move]]</f>
        <v>EVMVEEMVM21</v>
      </c>
    </row>
    <row r="7411" spans="2:9" x14ac:dyDescent="0.25">
      <c r="B7411" t="s">
        <v>2618</v>
      </c>
      <c r="C7411" s="22" t="s">
        <v>29</v>
      </c>
      <c r="D7411">
        <v>1</v>
      </c>
      <c r="E7411">
        <v>1</v>
      </c>
      <c r="G7411" s="31">
        <f>Table132[[#This Row],[nb win]]/Table132[[#This Row],[nb play]]</f>
        <v>1</v>
      </c>
      <c r="H7411" s="26" t="str">
        <f>MID(Table132[[#This Row],[ÉTAT]],VALUE(RIGHT(Table132[[#This Row],[next move]],1))+1+VALUE(LEFT(Table132[[#This Row],[next move]],1))*3,1)</f>
        <v>V</v>
      </c>
      <c r="I7411" s="26" t="str">
        <f>Table132[[#This Row],[ÉTAT]]&amp;Table132[[#This Row],[next move]]</f>
        <v>EMVVVEVVV11</v>
      </c>
    </row>
    <row r="7412" spans="2:9" x14ac:dyDescent="0.25">
      <c r="B7412" t="s">
        <v>3044</v>
      </c>
      <c r="C7412" s="22" t="s">
        <v>22</v>
      </c>
      <c r="D7412">
        <v>1</v>
      </c>
      <c r="G7412" s="30">
        <f>Table132[[#This Row],[nb win]]/Table132[[#This Row],[nb play]]</f>
        <v>0</v>
      </c>
      <c r="H7412" s="26" t="str">
        <f>MID(Table132[[#This Row],[ÉTAT]],VALUE(RIGHT(Table132[[#This Row],[next move]],1))+1+VALUE(LEFT(Table132[[#This Row],[next move]],1))*3,1)</f>
        <v>V</v>
      </c>
      <c r="I7412" s="26" t="str">
        <f>Table132[[#This Row],[ÉTAT]]&amp;Table132[[#This Row],[next move]]</f>
        <v>MEVVEMVVV21</v>
      </c>
    </row>
    <row r="7413" spans="2:9" x14ac:dyDescent="0.25">
      <c r="B7413" t="s">
        <v>3425</v>
      </c>
      <c r="C7413" s="22" t="s">
        <v>31</v>
      </c>
      <c r="D7413">
        <v>1</v>
      </c>
      <c r="G7413" s="30">
        <f>Table132[[#This Row],[nb win]]/Table132[[#This Row],[nb play]]</f>
        <v>0</v>
      </c>
      <c r="H7413" s="26" t="str">
        <f>MID(Table132[[#This Row],[ÉTAT]],VALUE(RIGHT(Table132[[#This Row],[next move]],1))+1+VALUE(LEFT(Table132[[#This Row],[next move]],1))*3,1)</f>
        <v>V</v>
      </c>
      <c r="I7413" s="26" t="str">
        <f>Table132[[#This Row],[ÉTAT]]&amp;Table132[[#This Row],[next move]]</f>
        <v>MEVVEMEMV22</v>
      </c>
    </row>
    <row r="7414" spans="2:9" x14ac:dyDescent="0.25">
      <c r="B7414" t="s">
        <v>399</v>
      </c>
      <c r="C7414" s="22" t="s">
        <v>35</v>
      </c>
      <c r="D7414">
        <v>1</v>
      </c>
      <c r="E7414">
        <v>1</v>
      </c>
      <c r="G7414" s="31">
        <f>Table132[[#This Row],[nb win]]/Table132[[#This Row],[nb play]]</f>
        <v>1</v>
      </c>
      <c r="H7414" s="26" t="str">
        <f>MID(Table132[[#This Row],[ÉTAT]],VALUE(RIGHT(Table132[[#This Row],[next move]],1))+1+VALUE(LEFT(Table132[[#This Row],[next move]],1))*3,1)</f>
        <v>V</v>
      </c>
      <c r="I7414" s="26" t="str">
        <f>Table132[[#This Row],[ÉTAT]]&amp;Table132[[#This Row],[next move]]</f>
        <v>EVMVMVVEV20</v>
      </c>
    </row>
    <row r="7415" spans="2:9" x14ac:dyDescent="0.25">
      <c r="B7415" t="s">
        <v>484</v>
      </c>
      <c r="C7415" s="22" t="s">
        <v>35</v>
      </c>
      <c r="D7415">
        <v>1</v>
      </c>
      <c r="G7415" s="30">
        <f>Table132[[#This Row],[nb win]]/Table132[[#This Row],[nb play]]</f>
        <v>0</v>
      </c>
      <c r="H7415" s="26" t="str">
        <f>MID(Table132[[#This Row],[ÉTAT]],VALUE(RIGHT(Table132[[#This Row],[next move]],1))+1+VALUE(LEFT(Table132[[#This Row],[next move]],1))*3,1)</f>
        <v>V</v>
      </c>
      <c r="I7415" s="26" t="str">
        <f>Table132[[#This Row],[ÉTAT]]&amp;Table132[[#This Row],[next move]]</f>
        <v>EVEVMVVVM20</v>
      </c>
    </row>
    <row r="7416" spans="2:9" x14ac:dyDescent="0.25">
      <c r="B7416" t="s">
        <v>1327</v>
      </c>
      <c r="C7416" s="22" t="s">
        <v>31</v>
      </c>
      <c r="D7416">
        <v>1</v>
      </c>
      <c r="G7416" s="30">
        <f>Table132[[#This Row],[nb win]]/Table132[[#This Row],[nb play]]</f>
        <v>0</v>
      </c>
      <c r="H7416" s="26" t="str">
        <f>MID(Table132[[#This Row],[ÉTAT]],VALUE(RIGHT(Table132[[#This Row],[next move]],1))+1+VALUE(LEFT(Table132[[#This Row],[next move]],1))*3,1)</f>
        <v>V</v>
      </c>
      <c r="I7416" s="26" t="str">
        <f>Table132[[#This Row],[ÉTAT]]&amp;Table132[[#This Row],[next move]]</f>
        <v>VVMVEVVEV22</v>
      </c>
    </row>
    <row r="7417" spans="2:9" x14ac:dyDescent="0.25">
      <c r="B7417" t="s">
        <v>3641</v>
      </c>
      <c r="C7417" s="22" t="s">
        <v>30</v>
      </c>
      <c r="D7417">
        <v>1</v>
      </c>
      <c r="E7417">
        <v>1</v>
      </c>
      <c r="G7417" s="31">
        <f>Table132[[#This Row],[nb win]]/Table132[[#This Row],[nb play]]</f>
        <v>1</v>
      </c>
      <c r="H7417" s="26" t="str">
        <f>MID(Table132[[#This Row],[ÉTAT]],VALUE(RIGHT(Table132[[#This Row],[next move]],1))+1+VALUE(LEFT(Table132[[#This Row],[next move]],1))*3,1)</f>
        <v>V</v>
      </c>
      <c r="I7417" s="26" t="str">
        <f>Table132[[#This Row],[ÉTAT]]&amp;Table132[[#This Row],[next move]]</f>
        <v>MEVVEEMVV10</v>
      </c>
    </row>
    <row r="7418" spans="2:9" x14ac:dyDescent="0.25">
      <c r="B7418" t="s">
        <v>493</v>
      </c>
      <c r="C7418" s="22" t="s">
        <v>26</v>
      </c>
      <c r="D7418">
        <v>1</v>
      </c>
      <c r="G7418" s="30">
        <f>Table132[[#This Row],[nb win]]/Table132[[#This Row],[nb play]]</f>
        <v>0</v>
      </c>
      <c r="H7418" s="26" t="str">
        <f>MID(Table132[[#This Row],[ÉTAT]],VALUE(RIGHT(Table132[[#This Row],[next move]],1))+1+VALUE(LEFT(Table132[[#This Row],[next move]],1))*3,1)</f>
        <v>V</v>
      </c>
      <c r="I7418" s="26" t="str">
        <f>Table132[[#This Row],[ÉTAT]]&amp;Table132[[#This Row],[next move]]</f>
        <v>EVMVEEVVM01</v>
      </c>
    </row>
    <row r="7419" spans="2:9" x14ac:dyDescent="0.25">
      <c r="B7419" t="s">
        <v>1644</v>
      </c>
      <c r="C7419" s="22" t="s">
        <v>35</v>
      </c>
      <c r="D7419">
        <v>1</v>
      </c>
      <c r="G7419" s="30">
        <f>Table132[[#This Row],[nb win]]/Table132[[#This Row],[nb play]]</f>
        <v>0</v>
      </c>
      <c r="H7419" s="26" t="str">
        <f>MID(Table132[[#This Row],[ÉTAT]],VALUE(RIGHT(Table132[[#This Row],[next move]],1))+1+VALUE(LEFT(Table132[[#This Row],[next move]],1))*3,1)</f>
        <v>V</v>
      </c>
      <c r="I7419" s="26" t="str">
        <f>Table132[[#This Row],[ÉTAT]]&amp;Table132[[#This Row],[next move]]</f>
        <v>MVVVEEVVV20</v>
      </c>
    </row>
    <row r="7420" spans="2:9" x14ac:dyDescent="0.25">
      <c r="B7420" t="s">
        <v>490</v>
      </c>
      <c r="C7420" s="22" t="s">
        <v>30</v>
      </c>
      <c r="D7420">
        <v>1</v>
      </c>
      <c r="E7420">
        <v>1</v>
      </c>
      <c r="G7420" s="31">
        <f>Table132[[#This Row],[nb win]]/Table132[[#This Row],[nb play]]</f>
        <v>1</v>
      </c>
      <c r="H7420" s="26" t="str">
        <f>MID(Table132[[#This Row],[ÉTAT]],VALUE(RIGHT(Table132[[#This Row],[next move]],1))+1+VALUE(LEFT(Table132[[#This Row],[next move]],1))*3,1)</f>
        <v>V</v>
      </c>
      <c r="I7420" s="26" t="str">
        <f>Table132[[#This Row],[ÉTAT]]&amp;Table132[[#This Row],[next move]]</f>
        <v>EVVVMMEVV10</v>
      </c>
    </row>
    <row r="7421" spans="2:9" x14ac:dyDescent="0.25">
      <c r="B7421" t="s">
        <v>159</v>
      </c>
      <c r="C7421" s="22" t="s">
        <v>28</v>
      </c>
      <c r="D7421">
        <v>1</v>
      </c>
      <c r="E7421">
        <v>1</v>
      </c>
      <c r="G7421" s="31">
        <f>Table132[[#This Row],[nb win]]/Table132[[#This Row],[nb play]]</f>
        <v>1</v>
      </c>
      <c r="H7421" s="26" t="str">
        <f>MID(Table132[[#This Row],[ÉTAT]],VALUE(RIGHT(Table132[[#This Row],[next move]],1))+1+VALUE(LEFT(Table132[[#This Row],[next move]],1))*3,1)</f>
        <v>V</v>
      </c>
      <c r="I7421" s="26" t="str">
        <f>Table132[[#This Row],[ÉTAT]]&amp;Table132[[#This Row],[next move]]</f>
        <v>VVEMMVVEV12</v>
      </c>
    </row>
    <row r="7422" spans="2:9" x14ac:dyDescent="0.25">
      <c r="B7422" t="s">
        <v>1315</v>
      </c>
      <c r="C7422" s="22" t="s">
        <v>35</v>
      </c>
      <c r="D7422">
        <v>1</v>
      </c>
      <c r="G7422" s="30">
        <f>Table132[[#This Row],[nb win]]/Table132[[#This Row],[nb play]]</f>
        <v>0</v>
      </c>
      <c r="H7422" s="26" t="str">
        <f>MID(Table132[[#This Row],[ÉTAT]],VALUE(RIGHT(Table132[[#This Row],[next move]],1))+1+VALUE(LEFT(Table132[[#This Row],[next move]],1))*3,1)</f>
        <v>V</v>
      </c>
      <c r="I7422" s="26" t="str">
        <f>Table132[[#This Row],[ÉTAT]]&amp;Table132[[#This Row],[next move]]</f>
        <v>MVVVEVVEV20</v>
      </c>
    </row>
    <row r="7423" spans="2:9" x14ac:dyDescent="0.25">
      <c r="B7423" t="s">
        <v>3584</v>
      </c>
      <c r="C7423" s="22" t="s">
        <v>24</v>
      </c>
      <c r="D7423">
        <v>1</v>
      </c>
      <c r="G7423" s="30">
        <f>Table132[[#This Row],[nb win]]/Table132[[#This Row],[nb play]]</f>
        <v>0</v>
      </c>
      <c r="H7423" s="26" t="str">
        <f>MID(Table132[[#This Row],[ÉTAT]],VALUE(RIGHT(Table132[[#This Row],[next move]],1))+1+VALUE(LEFT(Table132[[#This Row],[next move]],1))*3,1)</f>
        <v>V</v>
      </c>
      <c r="I7423" s="26" t="str">
        <f>Table132[[#This Row],[ÉTAT]]&amp;Table132[[#This Row],[next move]]</f>
        <v>VVEVVMEME00</v>
      </c>
    </row>
    <row r="7424" spans="2:9" x14ac:dyDescent="0.25">
      <c r="B7424" t="s">
        <v>3712</v>
      </c>
      <c r="C7424" s="22" t="s">
        <v>29</v>
      </c>
      <c r="D7424">
        <v>1</v>
      </c>
      <c r="E7424">
        <v>1</v>
      </c>
      <c r="G7424" s="31">
        <f>Table132[[#This Row],[nb win]]/Table132[[#This Row],[nb play]]</f>
        <v>1</v>
      </c>
      <c r="H7424" s="26" t="str">
        <f>MID(Table132[[#This Row],[ÉTAT]],VALUE(RIGHT(Table132[[#This Row],[next move]],1))+1+VALUE(LEFT(Table132[[#This Row],[next move]],1))*3,1)</f>
        <v>V</v>
      </c>
      <c r="I7424" s="26" t="str">
        <f>Table132[[#This Row],[ÉTAT]]&amp;Table132[[#This Row],[next move]]</f>
        <v>EVMVVEMEM11</v>
      </c>
    </row>
    <row r="7425" spans="2:9" x14ac:dyDescent="0.25">
      <c r="B7425" t="s">
        <v>3540</v>
      </c>
      <c r="C7425" s="22" t="s">
        <v>30</v>
      </c>
      <c r="D7425">
        <v>3</v>
      </c>
      <c r="E7425">
        <v>2</v>
      </c>
      <c r="G7425" s="30">
        <f>Table132[[#This Row],[nb win]]/Table132[[#This Row],[nb play]]</f>
        <v>0.66666666666666663</v>
      </c>
      <c r="H7425" s="26" t="str">
        <f>MID(Table132[[#This Row],[ÉTAT]],VALUE(RIGHT(Table132[[#This Row],[next move]],1))+1+VALUE(LEFT(Table132[[#This Row],[next move]],1))*3,1)</f>
        <v>V</v>
      </c>
      <c r="I7425" s="26" t="str">
        <f>Table132[[#This Row],[ÉTAT]]&amp;Table132[[#This Row],[next move]]</f>
        <v>VVEVMVMEE10</v>
      </c>
    </row>
    <row r="7426" spans="2:9" x14ac:dyDescent="0.25">
      <c r="B7426" t="s">
        <v>3713</v>
      </c>
      <c r="C7426" s="22" t="s">
        <v>26</v>
      </c>
      <c r="D7426">
        <v>1</v>
      </c>
      <c r="G7426" s="30">
        <f>Table132[[#This Row],[nb win]]/Table132[[#This Row],[nb play]]</f>
        <v>0</v>
      </c>
      <c r="H7426" s="26" t="str">
        <f>MID(Table132[[#This Row],[ÉTAT]],VALUE(RIGHT(Table132[[#This Row],[next move]],1))+1+VALUE(LEFT(Table132[[#This Row],[next move]],1))*3,1)</f>
        <v>V</v>
      </c>
      <c r="I7426" s="26" t="str">
        <f>Table132[[#This Row],[ÉTAT]]&amp;Table132[[#This Row],[next move]]</f>
        <v>VVMEEVEMM01</v>
      </c>
    </row>
    <row r="7427" spans="2:9" x14ac:dyDescent="0.25">
      <c r="B7427" t="s">
        <v>3226</v>
      </c>
      <c r="C7427" s="22" t="s">
        <v>26</v>
      </c>
      <c r="D7427">
        <v>1</v>
      </c>
      <c r="G7427" s="30">
        <f>Table132[[#This Row],[nb win]]/Table132[[#This Row],[nb play]]</f>
        <v>0</v>
      </c>
      <c r="H7427" s="26" t="str">
        <f>MID(Table132[[#This Row],[ÉTAT]],VALUE(RIGHT(Table132[[#This Row],[next move]],1))+1+VALUE(LEFT(Table132[[#This Row],[next move]],1))*3,1)</f>
        <v>V</v>
      </c>
      <c r="I7427" s="26" t="str">
        <f>Table132[[#This Row],[ÉTAT]]&amp;Table132[[#This Row],[next move]]</f>
        <v>VVEVEMVVM01</v>
      </c>
    </row>
    <row r="7428" spans="2:9" x14ac:dyDescent="0.25">
      <c r="B7428" t="s">
        <v>3219</v>
      </c>
      <c r="C7428" s="22" t="s">
        <v>24</v>
      </c>
      <c r="D7428">
        <v>1</v>
      </c>
      <c r="G7428" s="30">
        <f>Table132[[#This Row],[nb win]]/Table132[[#This Row],[nb play]]</f>
        <v>0</v>
      </c>
      <c r="H7428" s="26" t="str">
        <f>MID(Table132[[#This Row],[ÉTAT]],VALUE(RIGHT(Table132[[#This Row],[next move]],1))+1+VALUE(LEFT(Table132[[#This Row],[next move]],1))*3,1)</f>
        <v>V</v>
      </c>
      <c r="I7428" s="26" t="str">
        <f>Table132[[#This Row],[ÉTAT]]&amp;Table132[[#This Row],[next move]]</f>
        <v>VMEVEMVEM00</v>
      </c>
    </row>
    <row r="7429" spans="2:9" x14ac:dyDescent="0.25">
      <c r="B7429" t="s">
        <v>3315</v>
      </c>
      <c r="C7429" s="22" t="s">
        <v>20</v>
      </c>
      <c r="D7429">
        <v>1</v>
      </c>
      <c r="E7429">
        <v>1</v>
      </c>
      <c r="G7429" s="31">
        <f>Table132[[#This Row],[nb win]]/Table132[[#This Row],[nb play]]</f>
        <v>1</v>
      </c>
      <c r="H7429" s="26" t="str">
        <f>MID(Table132[[#This Row],[ÉTAT]],VALUE(RIGHT(Table132[[#This Row],[next move]],1))+1+VALUE(LEFT(Table132[[#This Row],[next move]],1))*3,1)</f>
        <v>V</v>
      </c>
      <c r="I7429" s="26" t="str">
        <f>Table132[[#This Row],[ÉTAT]]&amp;Table132[[#This Row],[next move]]</f>
        <v>VEVVEMEMM02</v>
      </c>
    </row>
    <row r="7430" spans="2:9" x14ac:dyDescent="0.25">
      <c r="B7430" t="s">
        <v>3451</v>
      </c>
      <c r="C7430" s="22" t="s">
        <v>22</v>
      </c>
      <c r="D7430">
        <v>2</v>
      </c>
      <c r="E7430">
        <v>2</v>
      </c>
      <c r="G7430" s="31">
        <f>Table132[[#This Row],[nb win]]/Table132[[#This Row],[nb play]]</f>
        <v>1</v>
      </c>
      <c r="H7430" s="26" t="str">
        <f>MID(Table132[[#This Row],[ÉTAT]],VALUE(RIGHT(Table132[[#This Row],[next move]],1))+1+VALUE(LEFT(Table132[[#This Row],[next move]],1))*3,1)</f>
        <v>V</v>
      </c>
      <c r="I7430" s="26" t="str">
        <f>Table132[[#This Row],[ÉTAT]]&amp;Table132[[#This Row],[next move]]</f>
        <v>VVVEVVMVE21</v>
      </c>
    </row>
    <row r="7431" spans="2:9" x14ac:dyDescent="0.25">
      <c r="B7431" t="s">
        <v>3714</v>
      </c>
      <c r="C7431" s="22" t="s">
        <v>28</v>
      </c>
      <c r="D7431">
        <v>1</v>
      </c>
      <c r="G7431" s="30">
        <f>Table132[[#This Row],[nb win]]/Table132[[#This Row],[nb play]]</f>
        <v>0</v>
      </c>
      <c r="H7431" s="26" t="str">
        <f>MID(Table132[[#This Row],[ÉTAT]],VALUE(RIGHT(Table132[[#This Row],[next move]],1))+1+VALUE(LEFT(Table132[[#This Row],[next move]],1))*3,1)</f>
        <v>V</v>
      </c>
      <c r="I7431" s="26" t="str">
        <f>Table132[[#This Row],[ÉTAT]]&amp;Table132[[#This Row],[next move]]</f>
        <v>VVVMVVEEM12</v>
      </c>
    </row>
    <row r="7432" spans="2:9" x14ac:dyDescent="0.25">
      <c r="B7432" t="s">
        <v>3011</v>
      </c>
      <c r="C7432" s="22" t="s">
        <v>29</v>
      </c>
      <c r="D7432">
        <v>1</v>
      </c>
      <c r="E7432">
        <v>1</v>
      </c>
      <c r="G7432" s="31">
        <f>Table132[[#This Row],[nb win]]/Table132[[#This Row],[nb play]]</f>
        <v>1</v>
      </c>
      <c r="H7432" s="26" t="str">
        <f>MID(Table132[[#This Row],[ÉTAT]],VALUE(RIGHT(Table132[[#This Row],[next move]],1))+1+VALUE(LEFT(Table132[[#This Row],[next move]],1))*3,1)</f>
        <v>V</v>
      </c>
      <c r="I7432" s="26" t="str">
        <f>Table132[[#This Row],[ÉTAT]]&amp;Table132[[#This Row],[next move]]</f>
        <v>VVVEVEMME11</v>
      </c>
    </row>
    <row r="7433" spans="2:9" x14ac:dyDescent="0.25">
      <c r="B7433" t="s">
        <v>3715</v>
      </c>
      <c r="C7433" s="22" t="s">
        <v>26</v>
      </c>
      <c r="D7433">
        <v>1</v>
      </c>
      <c r="G7433" s="30">
        <f>Table132[[#This Row],[nb win]]/Table132[[#This Row],[nb play]]</f>
        <v>0</v>
      </c>
      <c r="H7433" s="26" t="str">
        <f>MID(Table132[[#This Row],[ÉTAT]],VALUE(RIGHT(Table132[[#This Row],[next move]],1))+1+VALUE(LEFT(Table132[[#This Row],[next move]],1))*3,1)</f>
        <v>V</v>
      </c>
      <c r="I7433" s="26" t="str">
        <f>Table132[[#This Row],[ÉTAT]]&amp;Table132[[#This Row],[next move]]</f>
        <v>VVVMEMEEM01</v>
      </c>
    </row>
    <row r="7434" spans="2:9" x14ac:dyDescent="0.25">
      <c r="B7434" t="s">
        <v>2309</v>
      </c>
      <c r="C7434" s="22" t="s">
        <v>20</v>
      </c>
      <c r="D7434">
        <v>4</v>
      </c>
      <c r="E7434">
        <v>4</v>
      </c>
      <c r="G7434" s="31">
        <f>Table132[[#This Row],[nb win]]/Table132[[#This Row],[nb play]]</f>
        <v>1</v>
      </c>
      <c r="H7434" s="26" t="str">
        <f>MID(Table132[[#This Row],[ÉTAT]],VALUE(RIGHT(Table132[[#This Row],[next move]],1))+1+VALUE(LEFT(Table132[[#This Row],[next move]],1))*3,1)</f>
        <v>V</v>
      </c>
      <c r="I7434" s="26" t="str">
        <f>Table132[[#This Row],[ÉTAT]]&amp;Table132[[#This Row],[next move]]</f>
        <v>VVVVMEMEE02</v>
      </c>
    </row>
    <row r="7435" spans="2:9" x14ac:dyDescent="0.25">
      <c r="B7435" t="s">
        <v>3226</v>
      </c>
      <c r="C7435" s="22" t="s">
        <v>35</v>
      </c>
      <c r="D7435">
        <v>5</v>
      </c>
      <c r="E7435">
        <v>3</v>
      </c>
      <c r="G7435" s="30">
        <f>Table132[[#This Row],[nb win]]/Table132[[#This Row],[nb play]]</f>
        <v>0.6</v>
      </c>
      <c r="H7435" s="26" t="str">
        <f>MID(Table132[[#This Row],[ÉTAT]],VALUE(RIGHT(Table132[[#This Row],[next move]],1))+1+VALUE(LEFT(Table132[[#This Row],[next move]],1))*3,1)</f>
        <v>V</v>
      </c>
      <c r="I7435" s="26" t="str">
        <f>Table132[[#This Row],[ÉTAT]]&amp;Table132[[#This Row],[next move]]</f>
        <v>VVEVEMVVM20</v>
      </c>
    </row>
    <row r="7436" spans="2:9" x14ac:dyDescent="0.25">
      <c r="B7436" t="s">
        <v>3571</v>
      </c>
      <c r="C7436" s="22" t="s">
        <v>30</v>
      </c>
      <c r="D7436">
        <v>1</v>
      </c>
      <c r="G7436" s="30">
        <f>Table132[[#This Row],[nb win]]/Table132[[#This Row],[nb play]]</f>
        <v>0</v>
      </c>
      <c r="H7436" s="26" t="str">
        <f>MID(Table132[[#This Row],[ÉTAT]],VALUE(RIGHT(Table132[[#This Row],[next move]],1))+1+VALUE(LEFT(Table132[[#This Row],[next move]],1))*3,1)</f>
        <v>V</v>
      </c>
      <c r="I7436" s="26" t="str">
        <f>Table132[[#This Row],[ÉTAT]]&amp;Table132[[#This Row],[next move]]</f>
        <v>VVMVMEEVE10</v>
      </c>
    </row>
    <row r="7437" spans="2:9" x14ac:dyDescent="0.25">
      <c r="B7437" t="s">
        <v>3571</v>
      </c>
      <c r="C7437" s="22" t="s">
        <v>24</v>
      </c>
      <c r="D7437">
        <v>1</v>
      </c>
      <c r="G7437" s="30">
        <f>Table132[[#This Row],[nb win]]/Table132[[#This Row],[nb play]]</f>
        <v>0</v>
      </c>
      <c r="H7437" s="26" t="str">
        <f>MID(Table132[[#This Row],[ÉTAT]],VALUE(RIGHT(Table132[[#This Row],[next move]],1))+1+VALUE(LEFT(Table132[[#This Row],[next move]],1))*3,1)</f>
        <v>V</v>
      </c>
      <c r="I7437" s="26" t="str">
        <f>Table132[[#This Row],[ÉTAT]]&amp;Table132[[#This Row],[next move]]</f>
        <v>VVMVMEEVE00</v>
      </c>
    </row>
    <row r="7438" spans="2:9" x14ac:dyDescent="0.25">
      <c r="B7438" t="s">
        <v>2971</v>
      </c>
      <c r="C7438" s="22" t="s">
        <v>24</v>
      </c>
      <c r="D7438">
        <v>1</v>
      </c>
      <c r="E7438">
        <v>1</v>
      </c>
      <c r="G7438" s="31">
        <f>Table132[[#This Row],[nb win]]/Table132[[#This Row],[nb play]]</f>
        <v>1</v>
      </c>
      <c r="H7438" s="26" t="str">
        <f>MID(Table132[[#This Row],[ÉTAT]],VALUE(RIGHT(Table132[[#This Row],[next move]],1))+1+VALUE(LEFT(Table132[[#This Row],[next move]],1))*3,1)</f>
        <v>V</v>
      </c>
      <c r="I7438" s="26" t="str">
        <f>Table132[[#This Row],[ÉTAT]]&amp;Table132[[#This Row],[next move]]</f>
        <v>VMVVEMMEE00</v>
      </c>
    </row>
    <row r="7439" spans="2:9" x14ac:dyDescent="0.25">
      <c r="B7439" t="s">
        <v>3713</v>
      </c>
      <c r="C7439" s="22" t="s">
        <v>24</v>
      </c>
      <c r="D7439">
        <v>1</v>
      </c>
      <c r="G7439" s="30">
        <f>Table132[[#This Row],[nb win]]/Table132[[#This Row],[nb play]]</f>
        <v>0</v>
      </c>
      <c r="H7439" s="26" t="str">
        <f>MID(Table132[[#This Row],[ÉTAT]],VALUE(RIGHT(Table132[[#This Row],[next move]],1))+1+VALUE(LEFT(Table132[[#This Row],[next move]],1))*3,1)</f>
        <v>V</v>
      </c>
      <c r="I7439" s="26" t="str">
        <f>Table132[[#This Row],[ÉTAT]]&amp;Table132[[#This Row],[next move]]</f>
        <v>VVMEEVEMM00</v>
      </c>
    </row>
    <row r="7440" spans="2:9" x14ac:dyDescent="0.25">
      <c r="B7440" t="s">
        <v>3571</v>
      </c>
      <c r="C7440" s="22" t="s">
        <v>26</v>
      </c>
      <c r="D7440">
        <v>1</v>
      </c>
      <c r="G7440" s="30">
        <f>Table132[[#This Row],[nb win]]/Table132[[#This Row],[nb play]]</f>
        <v>0</v>
      </c>
      <c r="H7440" s="26" t="str">
        <f>MID(Table132[[#This Row],[ÉTAT]],VALUE(RIGHT(Table132[[#This Row],[next move]],1))+1+VALUE(LEFT(Table132[[#This Row],[next move]],1))*3,1)</f>
        <v>V</v>
      </c>
      <c r="I7440" s="26" t="str">
        <f>Table132[[#This Row],[ÉTAT]]&amp;Table132[[#This Row],[next move]]</f>
        <v>VVMVMEEVE01</v>
      </c>
    </row>
    <row r="7441" spans="2:9" x14ac:dyDescent="0.25">
      <c r="B7441" t="s">
        <v>3689</v>
      </c>
      <c r="C7441" s="22" t="s">
        <v>24</v>
      </c>
      <c r="D7441">
        <v>1</v>
      </c>
      <c r="E7441">
        <v>1</v>
      </c>
      <c r="G7441" s="31">
        <f>Table132[[#This Row],[nb win]]/Table132[[#This Row],[nb play]]</f>
        <v>1</v>
      </c>
      <c r="H7441" s="26" t="str">
        <f>MID(Table132[[#This Row],[ÉTAT]],VALUE(RIGHT(Table132[[#This Row],[next move]],1))+1+VALUE(LEFT(Table132[[#This Row],[next move]],1))*3,1)</f>
        <v>V</v>
      </c>
      <c r="I7441" s="26" t="str">
        <f>Table132[[#This Row],[ÉTAT]]&amp;Table132[[#This Row],[next move]]</f>
        <v>VEEVEMMVM00</v>
      </c>
    </row>
    <row r="7442" spans="2:9" x14ac:dyDescent="0.25">
      <c r="B7442" t="s">
        <v>3716</v>
      </c>
      <c r="C7442" s="22" t="s">
        <v>30</v>
      </c>
      <c r="D7442">
        <v>1</v>
      </c>
      <c r="G7442" s="30">
        <f>Table132[[#This Row],[nb win]]/Table132[[#This Row],[nb play]]</f>
        <v>0</v>
      </c>
      <c r="H7442" s="26" t="str">
        <f>MID(Table132[[#This Row],[ÉTAT]],VALUE(RIGHT(Table132[[#This Row],[next move]],1))+1+VALUE(LEFT(Table132[[#This Row],[next move]],1))*3,1)</f>
        <v>V</v>
      </c>
      <c r="I7442" s="26" t="str">
        <f>Table132[[#This Row],[ÉTAT]]&amp;Table132[[#This Row],[next move]]</f>
        <v>EMMVMEEVE10</v>
      </c>
    </row>
    <row r="7443" spans="2:9" x14ac:dyDescent="0.25">
      <c r="B7443" t="s">
        <v>3714</v>
      </c>
      <c r="C7443" s="22" t="s">
        <v>24</v>
      </c>
      <c r="D7443">
        <v>1</v>
      </c>
      <c r="G7443" s="30">
        <f>Table132[[#This Row],[nb win]]/Table132[[#This Row],[nb play]]</f>
        <v>0</v>
      </c>
      <c r="H7443" s="26" t="str">
        <f>MID(Table132[[#This Row],[ÉTAT]],VALUE(RIGHT(Table132[[#This Row],[next move]],1))+1+VALUE(LEFT(Table132[[#This Row],[next move]],1))*3,1)</f>
        <v>V</v>
      </c>
      <c r="I7443" s="26" t="str">
        <f>Table132[[#This Row],[ÉTAT]]&amp;Table132[[#This Row],[next move]]</f>
        <v>VVVMVVEEM00</v>
      </c>
    </row>
    <row r="7444" spans="2:9" x14ac:dyDescent="0.25">
      <c r="B7444" t="s">
        <v>3560</v>
      </c>
      <c r="C7444" s="22" t="s">
        <v>26</v>
      </c>
      <c r="D7444">
        <v>1</v>
      </c>
      <c r="G7444" s="30">
        <f>Table132[[#This Row],[nb win]]/Table132[[#This Row],[nb play]]</f>
        <v>0</v>
      </c>
      <c r="H7444" s="26" t="str">
        <f>MID(Table132[[#This Row],[ÉTAT]],VALUE(RIGHT(Table132[[#This Row],[next move]],1))+1+VALUE(LEFT(Table132[[#This Row],[next move]],1))*3,1)</f>
        <v>V</v>
      </c>
      <c r="I7444" s="26" t="str">
        <f>Table132[[#This Row],[ÉTAT]]&amp;Table132[[#This Row],[next move]]</f>
        <v>MVEMVVEEM01</v>
      </c>
    </row>
    <row r="7445" spans="2:9" x14ac:dyDescent="0.25">
      <c r="B7445" t="s">
        <v>3559</v>
      </c>
      <c r="C7445" s="22" t="s">
        <v>20</v>
      </c>
      <c r="D7445">
        <v>1</v>
      </c>
      <c r="G7445" s="30">
        <f>Table132[[#This Row],[nb win]]/Table132[[#This Row],[nb play]]</f>
        <v>0</v>
      </c>
      <c r="H7445" s="26" t="str">
        <f>MID(Table132[[#This Row],[ÉTAT]],VALUE(RIGHT(Table132[[#This Row],[next move]],1))+1+VALUE(LEFT(Table132[[#This Row],[next move]],1))*3,1)</f>
        <v>V</v>
      </c>
      <c r="I7445" s="26" t="str">
        <f>Table132[[#This Row],[ÉTAT]]&amp;Table132[[#This Row],[next move]]</f>
        <v>EVVVVVMVE02</v>
      </c>
    </row>
    <row r="7446" spans="2:9" x14ac:dyDescent="0.25">
      <c r="B7446" t="s">
        <v>3053</v>
      </c>
      <c r="C7446" s="22" t="s">
        <v>29</v>
      </c>
      <c r="D7446">
        <v>1</v>
      </c>
      <c r="E7446">
        <v>1</v>
      </c>
      <c r="G7446" s="31">
        <f>Table132[[#This Row],[nb win]]/Table132[[#This Row],[nb play]]</f>
        <v>1</v>
      </c>
      <c r="H7446" s="26" t="str">
        <f>MID(Table132[[#This Row],[ÉTAT]],VALUE(RIGHT(Table132[[#This Row],[next move]],1))+1+VALUE(LEFT(Table132[[#This Row],[next move]],1))*3,1)</f>
        <v>V</v>
      </c>
      <c r="I7446" s="26" t="str">
        <f>Table132[[#This Row],[ÉTAT]]&amp;Table132[[#This Row],[next move]]</f>
        <v>MVEVVVEVM11</v>
      </c>
    </row>
    <row r="7447" spans="2:9" x14ac:dyDescent="0.25">
      <c r="B7447" t="s">
        <v>2543</v>
      </c>
      <c r="C7447" s="22" t="s">
        <v>24</v>
      </c>
      <c r="D7447">
        <v>4</v>
      </c>
      <c r="E7447">
        <v>4</v>
      </c>
      <c r="G7447" s="31">
        <f>Table132[[#This Row],[nb win]]/Table132[[#This Row],[nb play]]</f>
        <v>1</v>
      </c>
      <c r="H7447" s="26" t="str">
        <f>MID(Table132[[#This Row],[ÉTAT]],VALUE(RIGHT(Table132[[#This Row],[next move]],1))+1+VALUE(LEFT(Table132[[#This Row],[next move]],1))*3,1)</f>
        <v>V</v>
      </c>
      <c r="I7447" s="26" t="str">
        <f>Table132[[#This Row],[ÉTAT]]&amp;Table132[[#This Row],[next move]]</f>
        <v>VMMEEVEVM00</v>
      </c>
    </row>
    <row r="7448" spans="2:9" x14ac:dyDescent="0.25">
      <c r="B7448" t="s">
        <v>3549</v>
      </c>
      <c r="C7448" s="22" t="s">
        <v>26</v>
      </c>
      <c r="D7448">
        <v>1</v>
      </c>
      <c r="E7448">
        <v>1</v>
      </c>
      <c r="G7448" s="31">
        <f>Table132[[#This Row],[nb win]]/Table132[[#This Row],[nb play]]</f>
        <v>1</v>
      </c>
      <c r="H7448" s="26" t="str">
        <f>MID(Table132[[#This Row],[ÉTAT]],VALUE(RIGHT(Table132[[#This Row],[next move]],1))+1+VALUE(LEFT(Table132[[#This Row],[next move]],1))*3,1)</f>
        <v>V</v>
      </c>
      <c r="I7448" s="26" t="str">
        <f>Table132[[#This Row],[ÉTAT]]&amp;Table132[[#This Row],[next move]]</f>
        <v>MVMEEVVVV01</v>
      </c>
    </row>
    <row r="7449" spans="2:9" x14ac:dyDescent="0.25">
      <c r="B7449" t="s">
        <v>2289</v>
      </c>
      <c r="C7449" s="22" t="s">
        <v>28</v>
      </c>
      <c r="D7449">
        <v>1</v>
      </c>
      <c r="G7449" s="30">
        <f>Table132[[#This Row],[nb win]]/Table132[[#This Row],[nb play]]</f>
        <v>0</v>
      </c>
      <c r="H7449" s="26" t="str">
        <f>MID(Table132[[#This Row],[ÉTAT]],VALUE(RIGHT(Table132[[#This Row],[next move]],1))+1+VALUE(LEFT(Table132[[#This Row],[next move]],1))*3,1)</f>
        <v>V</v>
      </c>
      <c r="I7449" s="26" t="str">
        <f>Table132[[#This Row],[ÉTAT]]&amp;Table132[[#This Row],[next move]]</f>
        <v>VEEVMVMVE12</v>
      </c>
    </row>
    <row r="7450" spans="2:9" x14ac:dyDescent="0.25">
      <c r="B7450" t="s">
        <v>2847</v>
      </c>
      <c r="C7450" s="22" t="s">
        <v>24</v>
      </c>
      <c r="D7450">
        <v>1</v>
      </c>
      <c r="G7450" s="30">
        <f>Table132[[#This Row],[nb win]]/Table132[[#This Row],[nb play]]</f>
        <v>0</v>
      </c>
      <c r="H7450" s="26" t="str">
        <f>MID(Table132[[#This Row],[ÉTAT]],VALUE(RIGHT(Table132[[#This Row],[next move]],1))+1+VALUE(LEFT(Table132[[#This Row],[next move]],1))*3,1)</f>
        <v>V</v>
      </c>
      <c r="I7450" s="26" t="str">
        <f>Table132[[#This Row],[ÉTAT]]&amp;Table132[[#This Row],[next move]]</f>
        <v>VVMEEVMVE00</v>
      </c>
    </row>
    <row r="7451" spans="2:9" x14ac:dyDescent="0.25">
      <c r="B7451" t="s">
        <v>1139</v>
      </c>
      <c r="C7451" s="22" t="s">
        <v>29</v>
      </c>
      <c r="D7451">
        <v>1</v>
      </c>
      <c r="E7451">
        <v>1</v>
      </c>
      <c r="G7451" s="31">
        <f>Table132[[#This Row],[nb win]]/Table132[[#This Row],[nb play]]</f>
        <v>1</v>
      </c>
      <c r="H7451" s="26" t="str">
        <f>MID(Table132[[#This Row],[ÉTAT]],VALUE(RIGHT(Table132[[#This Row],[next move]],1))+1+VALUE(LEFT(Table132[[#This Row],[next move]],1))*3,1)</f>
        <v>V</v>
      </c>
      <c r="I7451" s="26" t="str">
        <f>Table132[[#This Row],[ÉTAT]]&amp;Table132[[#This Row],[next move]]</f>
        <v>VMEVVVVME11</v>
      </c>
    </row>
    <row r="7452" spans="2:9" x14ac:dyDescent="0.25">
      <c r="B7452" t="s">
        <v>482</v>
      </c>
      <c r="C7452" s="22" t="s">
        <v>35</v>
      </c>
      <c r="D7452">
        <v>2</v>
      </c>
      <c r="E7452">
        <v>2</v>
      </c>
      <c r="G7452" s="31">
        <f>Table132[[#This Row],[nb win]]/Table132[[#This Row],[nb play]]</f>
        <v>1</v>
      </c>
      <c r="H7452" s="26" t="str">
        <f>MID(Table132[[#This Row],[ÉTAT]],VALUE(RIGHT(Table132[[#This Row],[next move]],1))+1+VALUE(LEFT(Table132[[#This Row],[next move]],1))*3,1)</f>
        <v>V</v>
      </c>
      <c r="I7452" s="26" t="str">
        <f>Table132[[#This Row],[ÉTAT]]&amp;Table132[[#This Row],[next move]]</f>
        <v>VEMEMVVVE20</v>
      </c>
    </row>
    <row r="7453" spans="2:9" x14ac:dyDescent="0.25">
      <c r="B7453" t="s">
        <v>3172</v>
      </c>
      <c r="C7453" s="22" t="s">
        <v>20</v>
      </c>
      <c r="D7453">
        <v>1</v>
      </c>
      <c r="E7453">
        <v>1</v>
      </c>
      <c r="G7453" s="31">
        <f>Table132[[#This Row],[nb win]]/Table132[[#This Row],[nb play]]</f>
        <v>1</v>
      </c>
      <c r="H7453" s="26" t="str">
        <f>MID(Table132[[#This Row],[ÉTAT]],VALUE(RIGHT(Table132[[#This Row],[next move]],1))+1+VALUE(LEFT(Table132[[#This Row],[next move]],1))*3,1)</f>
        <v>V</v>
      </c>
      <c r="I7453" s="26" t="str">
        <f>Table132[[#This Row],[ÉTAT]]&amp;Table132[[#This Row],[next move]]</f>
        <v>VMVVMEVEV02</v>
      </c>
    </row>
    <row r="7454" spans="2:9" x14ac:dyDescent="0.25">
      <c r="B7454" t="s">
        <v>3717</v>
      </c>
      <c r="C7454" s="22" t="s">
        <v>24</v>
      </c>
      <c r="D7454">
        <v>1</v>
      </c>
      <c r="G7454" s="30">
        <f>Table132[[#This Row],[nb win]]/Table132[[#This Row],[nb play]]</f>
        <v>0</v>
      </c>
      <c r="H7454" s="26" t="str">
        <f>MID(Table132[[#This Row],[ÉTAT]],VALUE(RIGHT(Table132[[#This Row],[next move]],1))+1+VALUE(LEFT(Table132[[#This Row],[next move]],1))*3,1)</f>
        <v>V</v>
      </c>
      <c r="I7454" s="26" t="str">
        <f>Table132[[#This Row],[ÉTAT]]&amp;Table132[[#This Row],[next move]]</f>
        <v>VEEVEMVMV00</v>
      </c>
    </row>
    <row r="7455" spans="2:9" x14ac:dyDescent="0.25">
      <c r="B7455" t="s">
        <v>3164</v>
      </c>
      <c r="C7455" s="22" t="s">
        <v>29</v>
      </c>
      <c r="D7455">
        <v>2</v>
      </c>
      <c r="E7455">
        <v>2</v>
      </c>
      <c r="G7455" s="31">
        <f>Table132[[#This Row],[nb win]]/Table132[[#This Row],[nb play]]</f>
        <v>1</v>
      </c>
      <c r="H7455" s="26" t="str">
        <f>MID(Table132[[#This Row],[ÉTAT]],VALUE(RIGHT(Table132[[#This Row],[next move]],1))+1+VALUE(LEFT(Table132[[#This Row],[next move]],1))*3,1)</f>
        <v>V</v>
      </c>
      <c r="I7455" s="26" t="str">
        <f>Table132[[#This Row],[ÉTAT]]&amp;Table132[[#This Row],[next move]]</f>
        <v>VVVVVVEME11</v>
      </c>
    </row>
    <row r="7456" spans="2:9" x14ac:dyDescent="0.25">
      <c r="B7456" t="s">
        <v>3713</v>
      </c>
      <c r="C7456" s="22" t="s">
        <v>28</v>
      </c>
      <c r="D7456">
        <v>1</v>
      </c>
      <c r="E7456">
        <v>1</v>
      </c>
      <c r="G7456" s="31">
        <f>Table132[[#This Row],[nb win]]/Table132[[#This Row],[nb play]]</f>
        <v>1</v>
      </c>
      <c r="H7456" s="26" t="str">
        <f>MID(Table132[[#This Row],[ÉTAT]],VALUE(RIGHT(Table132[[#This Row],[next move]],1))+1+VALUE(LEFT(Table132[[#This Row],[next move]],1))*3,1)</f>
        <v>V</v>
      </c>
      <c r="I7456" s="26" t="str">
        <f>Table132[[#This Row],[ÉTAT]]&amp;Table132[[#This Row],[next move]]</f>
        <v>VVMEEVEMM12</v>
      </c>
    </row>
    <row r="7457" spans="2:9" x14ac:dyDescent="0.25">
      <c r="B7457" t="s">
        <v>2712</v>
      </c>
      <c r="C7457" s="22" t="s">
        <v>31</v>
      </c>
      <c r="D7457">
        <v>1</v>
      </c>
      <c r="G7457" s="30">
        <f>Table132[[#This Row],[nb win]]/Table132[[#This Row],[nb play]]</f>
        <v>0</v>
      </c>
      <c r="H7457" s="26" t="str">
        <f>MID(Table132[[#This Row],[ÉTAT]],VALUE(RIGHT(Table132[[#This Row],[next move]],1))+1+VALUE(LEFT(Table132[[#This Row],[next move]],1))*3,1)</f>
        <v>V</v>
      </c>
      <c r="I7457" s="26" t="str">
        <f>Table132[[#This Row],[ÉTAT]]&amp;Table132[[#This Row],[next move]]</f>
        <v>EEMMEVMVV22</v>
      </c>
    </row>
    <row r="7458" spans="2:9" x14ac:dyDescent="0.25">
      <c r="B7458" t="s">
        <v>2289</v>
      </c>
      <c r="C7458" s="22" t="s">
        <v>22</v>
      </c>
      <c r="D7458">
        <v>1</v>
      </c>
      <c r="G7458" s="30">
        <f>Table132[[#This Row],[nb win]]/Table132[[#This Row],[nb play]]</f>
        <v>0</v>
      </c>
      <c r="H7458" s="26" t="str">
        <f>MID(Table132[[#This Row],[ÉTAT]],VALUE(RIGHT(Table132[[#This Row],[next move]],1))+1+VALUE(LEFT(Table132[[#This Row],[next move]],1))*3,1)</f>
        <v>V</v>
      </c>
      <c r="I7458" s="26" t="str">
        <f>Table132[[#This Row],[ÉTAT]]&amp;Table132[[#This Row],[next move]]</f>
        <v>VEEVMVMVE21</v>
      </c>
    </row>
    <row r="7459" spans="2:9" x14ac:dyDescent="0.25">
      <c r="B7459" t="s">
        <v>3718</v>
      </c>
      <c r="C7459" s="22" t="s">
        <v>30</v>
      </c>
      <c r="D7459">
        <v>1</v>
      </c>
      <c r="E7459">
        <v>1</v>
      </c>
      <c r="G7459" s="31">
        <f>Table132[[#This Row],[nb win]]/Table132[[#This Row],[nb play]]</f>
        <v>1</v>
      </c>
      <c r="H7459" s="26" t="str">
        <f>MID(Table132[[#This Row],[ÉTAT]],VALUE(RIGHT(Table132[[#This Row],[next move]],1))+1+VALUE(LEFT(Table132[[#This Row],[next move]],1))*3,1)</f>
        <v>V</v>
      </c>
      <c r="I7459" s="26" t="str">
        <f>Table132[[#This Row],[ÉTAT]]&amp;Table132[[#This Row],[next move]]</f>
        <v>VMMVEVEEM10</v>
      </c>
    </row>
    <row r="7460" spans="2:9" x14ac:dyDescent="0.25">
      <c r="B7460" t="s">
        <v>3540</v>
      </c>
      <c r="C7460" s="22" t="s">
        <v>28</v>
      </c>
      <c r="D7460">
        <v>2</v>
      </c>
      <c r="E7460">
        <v>2</v>
      </c>
      <c r="G7460" s="31">
        <f>Table132[[#This Row],[nb win]]/Table132[[#This Row],[nb play]]</f>
        <v>1</v>
      </c>
      <c r="H7460" s="26" t="str">
        <f>MID(Table132[[#This Row],[ÉTAT]],VALUE(RIGHT(Table132[[#This Row],[next move]],1))+1+VALUE(LEFT(Table132[[#This Row],[next move]],1))*3,1)</f>
        <v>V</v>
      </c>
      <c r="I7460" s="26" t="str">
        <f>Table132[[#This Row],[ÉTAT]]&amp;Table132[[#This Row],[next move]]</f>
        <v>VVEVMVMEE12</v>
      </c>
    </row>
    <row r="7461" spans="2:9" x14ac:dyDescent="0.25">
      <c r="B7461" t="s">
        <v>3541</v>
      </c>
      <c r="C7461" s="22" t="s">
        <v>24</v>
      </c>
      <c r="D7461">
        <v>1</v>
      </c>
      <c r="G7461" s="30">
        <f>Table132[[#This Row],[nb win]]/Table132[[#This Row],[nb play]]</f>
        <v>0</v>
      </c>
      <c r="H7461" s="26" t="str">
        <f>MID(Table132[[#This Row],[ÉTAT]],VALUE(RIGHT(Table132[[#This Row],[next move]],1))+1+VALUE(LEFT(Table132[[#This Row],[next move]],1))*3,1)</f>
        <v>V</v>
      </c>
      <c r="I7461" s="26" t="str">
        <f>Table132[[#This Row],[ÉTAT]]&amp;Table132[[#This Row],[next move]]</f>
        <v>VVMVEEEMM00</v>
      </c>
    </row>
    <row r="7462" spans="2:9" x14ac:dyDescent="0.25">
      <c r="B7462" t="s">
        <v>2491</v>
      </c>
      <c r="C7462" s="22" t="s">
        <v>22</v>
      </c>
      <c r="D7462">
        <v>1</v>
      </c>
      <c r="E7462">
        <v>1</v>
      </c>
      <c r="G7462" s="31">
        <f>Table132[[#This Row],[nb win]]/Table132[[#This Row],[nb play]]</f>
        <v>1</v>
      </c>
      <c r="H7462" s="26" t="str">
        <f>MID(Table132[[#This Row],[ÉTAT]],VALUE(RIGHT(Table132[[#This Row],[next move]],1))+1+VALUE(LEFT(Table132[[#This Row],[next move]],1))*3,1)</f>
        <v>V</v>
      </c>
      <c r="I7462" s="26" t="str">
        <f>Table132[[#This Row],[ÉTAT]]&amp;Table132[[#This Row],[next move]]</f>
        <v>EEVVVEMVM21</v>
      </c>
    </row>
    <row r="7463" spans="2:9" x14ac:dyDescent="0.25">
      <c r="B7463" t="s">
        <v>2402</v>
      </c>
      <c r="C7463" s="22" t="s">
        <v>26</v>
      </c>
      <c r="D7463">
        <v>1</v>
      </c>
      <c r="G7463" s="30">
        <f>Table132[[#This Row],[nb win]]/Table132[[#This Row],[nb play]]</f>
        <v>0</v>
      </c>
      <c r="H7463" s="26" t="str">
        <f>MID(Table132[[#This Row],[ÉTAT]],VALUE(RIGHT(Table132[[#This Row],[next move]],1))+1+VALUE(LEFT(Table132[[#This Row],[next move]],1))*3,1)</f>
        <v>V</v>
      </c>
      <c r="I7463" s="26" t="str">
        <f>Table132[[#This Row],[ÉTAT]]&amp;Table132[[#This Row],[next move]]</f>
        <v>VVEVVVEMM01</v>
      </c>
    </row>
    <row r="7464" spans="2:9" x14ac:dyDescent="0.25">
      <c r="B7464" t="s">
        <v>3541</v>
      </c>
      <c r="C7464" s="22" t="s">
        <v>26</v>
      </c>
      <c r="D7464">
        <v>1</v>
      </c>
      <c r="G7464" s="30">
        <f>Table132[[#This Row],[nb win]]/Table132[[#This Row],[nb play]]</f>
        <v>0</v>
      </c>
      <c r="H7464" s="26" t="str">
        <f>MID(Table132[[#This Row],[ÉTAT]],VALUE(RIGHT(Table132[[#This Row],[next move]],1))+1+VALUE(LEFT(Table132[[#This Row],[next move]],1))*3,1)</f>
        <v>V</v>
      </c>
      <c r="I7464" s="26" t="str">
        <f>Table132[[#This Row],[ÉTAT]]&amp;Table132[[#This Row],[next move]]</f>
        <v>VVMVEEEMM01</v>
      </c>
    </row>
    <row r="7465" spans="2:9" x14ac:dyDescent="0.25">
      <c r="B7465" t="s">
        <v>3411</v>
      </c>
      <c r="C7465" s="22" t="s">
        <v>26</v>
      </c>
      <c r="D7465">
        <v>1</v>
      </c>
      <c r="G7465" s="30">
        <f>Table132[[#This Row],[nb win]]/Table132[[#This Row],[nb play]]</f>
        <v>0</v>
      </c>
      <c r="H7465" s="26" t="str">
        <f>MID(Table132[[#This Row],[ÉTAT]],VALUE(RIGHT(Table132[[#This Row],[next move]],1))+1+VALUE(LEFT(Table132[[#This Row],[next move]],1))*3,1)</f>
        <v>V</v>
      </c>
      <c r="I7465" s="26" t="str">
        <f>Table132[[#This Row],[ÉTAT]]&amp;Table132[[#This Row],[next move]]</f>
        <v>EVEVMEMVV01</v>
      </c>
    </row>
    <row r="7466" spans="2:9" x14ac:dyDescent="0.25">
      <c r="B7466" t="s">
        <v>1883</v>
      </c>
      <c r="C7466" s="22" t="s">
        <v>30</v>
      </c>
      <c r="D7466">
        <v>1</v>
      </c>
      <c r="G7466" s="30">
        <f>Table132[[#This Row],[nb win]]/Table132[[#This Row],[nb play]]</f>
        <v>0</v>
      </c>
      <c r="H7466" s="26" t="str">
        <f>MID(Table132[[#This Row],[ÉTAT]],VALUE(RIGHT(Table132[[#This Row],[next move]],1))+1+VALUE(LEFT(Table132[[#This Row],[next move]],1))*3,1)</f>
        <v>V</v>
      </c>
      <c r="I7466" s="26" t="str">
        <f>Table132[[#This Row],[ÉTAT]]&amp;Table132[[#This Row],[next move]]</f>
        <v>VEVVVMEVV10</v>
      </c>
    </row>
    <row r="7467" spans="2:9" x14ac:dyDescent="0.25">
      <c r="B7467" t="s">
        <v>3473</v>
      </c>
      <c r="C7467" s="22" t="s">
        <v>31</v>
      </c>
      <c r="D7467">
        <v>1</v>
      </c>
      <c r="G7467" s="30">
        <f>Table132[[#This Row],[nb win]]/Table132[[#This Row],[nb play]]</f>
        <v>0</v>
      </c>
      <c r="H7467" s="26" t="str">
        <f>MID(Table132[[#This Row],[ÉTAT]],VALUE(RIGHT(Table132[[#This Row],[next move]],1))+1+VALUE(LEFT(Table132[[#This Row],[next move]],1))*3,1)</f>
        <v>V</v>
      </c>
      <c r="I7467" s="26" t="str">
        <f>Table132[[#This Row],[ÉTAT]]&amp;Table132[[#This Row],[next move]]</f>
        <v>EEVMVMEVV22</v>
      </c>
    </row>
    <row r="7468" spans="2:9" x14ac:dyDescent="0.25">
      <c r="B7468" t="s">
        <v>3559</v>
      </c>
      <c r="C7468" s="22" t="s">
        <v>30</v>
      </c>
      <c r="D7468">
        <v>1</v>
      </c>
      <c r="G7468" s="30">
        <f>Table132[[#This Row],[nb win]]/Table132[[#This Row],[nb play]]</f>
        <v>0</v>
      </c>
      <c r="H7468" s="26" t="str">
        <f>MID(Table132[[#This Row],[ÉTAT]],VALUE(RIGHT(Table132[[#This Row],[next move]],1))+1+VALUE(LEFT(Table132[[#This Row],[next move]],1))*3,1)</f>
        <v>V</v>
      </c>
      <c r="I7468" s="26" t="str">
        <f>Table132[[#This Row],[ÉTAT]]&amp;Table132[[#This Row],[next move]]</f>
        <v>EVVVVVMVE10</v>
      </c>
    </row>
    <row r="7469" spans="2:9" x14ac:dyDescent="0.25">
      <c r="B7469" t="s">
        <v>3610</v>
      </c>
      <c r="C7469" s="22" t="s">
        <v>22</v>
      </c>
      <c r="D7469">
        <v>1</v>
      </c>
      <c r="G7469" s="30">
        <f>Table132[[#This Row],[nb win]]/Table132[[#This Row],[nb play]]</f>
        <v>0</v>
      </c>
      <c r="H7469" s="26" t="str">
        <f>MID(Table132[[#This Row],[ÉTAT]],VALUE(RIGHT(Table132[[#This Row],[next move]],1))+1+VALUE(LEFT(Table132[[#This Row],[next move]],1))*3,1)</f>
        <v>V</v>
      </c>
      <c r="I7469" s="26" t="str">
        <f>Table132[[#This Row],[ÉTAT]]&amp;Table132[[#This Row],[next move]]</f>
        <v>EVEMVVMVE21</v>
      </c>
    </row>
    <row r="7470" spans="2:9" x14ac:dyDescent="0.25">
      <c r="B7470" t="s">
        <v>27</v>
      </c>
      <c r="C7470" s="22" t="s">
        <v>22</v>
      </c>
      <c r="D7470">
        <v>1</v>
      </c>
      <c r="E7470">
        <v>1</v>
      </c>
      <c r="G7470" s="31">
        <f>Table132[[#This Row],[nb win]]/Table132[[#This Row],[nb play]]</f>
        <v>1</v>
      </c>
      <c r="H7470" s="26" t="str">
        <f>MID(Table132[[#This Row],[ÉTAT]],VALUE(RIGHT(Table132[[#This Row],[next move]],1))+1+VALUE(LEFT(Table132[[#This Row],[next move]],1))*3,1)</f>
        <v>V</v>
      </c>
      <c r="I7470" s="26" t="str">
        <f>Table132[[#This Row],[ÉTAT]]&amp;Table132[[#This Row],[next move]]</f>
        <v>MEVVVVVVV21</v>
      </c>
    </row>
    <row r="7471" spans="2:9" x14ac:dyDescent="0.25">
      <c r="B7471" t="s">
        <v>2375</v>
      </c>
      <c r="C7471" s="22" t="s">
        <v>29</v>
      </c>
      <c r="D7471">
        <v>1</v>
      </c>
      <c r="G7471" s="30">
        <f>Table132[[#This Row],[nb win]]/Table132[[#This Row],[nb play]]</f>
        <v>0</v>
      </c>
      <c r="H7471" s="26" t="str">
        <f>MID(Table132[[#This Row],[ÉTAT]],VALUE(RIGHT(Table132[[#This Row],[next move]],1))+1+VALUE(LEFT(Table132[[#This Row],[next move]],1))*3,1)</f>
        <v>V</v>
      </c>
      <c r="I7471" s="26" t="str">
        <f>Table132[[#This Row],[ÉTAT]]&amp;Table132[[#This Row],[next move]]</f>
        <v>EMEVVMVEV11</v>
      </c>
    </row>
    <row r="7472" spans="2:9" x14ac:dyDescent="0.25">
      <c r="B7472" t="s">
        <v>3282</v>
      </c>
      <c r="C7472" s="22" t="s">
        <v>30</v>
      </c>
      <c r="D7472">
        <v>1</v>
      </c>
      <c r="E7472">
        <v>1</v>
      </c>
      <c r="G7472" s="31">
        <f>Table132[[#This Row],[nb win]]/Table132[[#This Row],[nb play]]</f>
        <v>1</v>
      </c>
      <c r="H7472" s="26" t="str">
        <f>MID(Table132[[#This Row],[ÉTAT]],VALUE(RIGHT(Table132[[#This Row],[next move]],1))+1+VALUE(LEFT(Table132[[#This Row],[next move]],1))*3,1)</f>
        <v>V</v>
      </c>
      <c r="I7472" s="26" t="str">
        <f>Table132[[#This Row],[ÉTAT]]&amp;Table132[[#This Row],[next move]]</f>
        <v>MEMVEEVMV10</v>
      </c>
    </row>
    <row r="7473" spans="2:9" x14ac:dyDescent="0.25">
      <c r="B7473" t="s">
        <v>3719</v>
      </c>
      <c r="C7473" s="22" t="s">
        <v>31</v>
      </c>
      <c r="D7473">
        <v>1</v>
      </c>
      <c r="G7473" s="30">
        <f>Table132[[#This Row],[nb win]]/Table132[[#This Row],[nb play]]</f>
        <v>0</v>
      </c>
      <c r="H7473" s="26" t="str">
        <f>MID(Table132[[#This Row],[ÉTAT]],VALUE(RIGHT(Table132[[#This Row],[next move]],1))+1+VALUE(LEFT(Table132[[#This Row],[next move]],1))*3,1)</f>
        <v>V</v>
      </c>
      <c r="I7473" s="26" t="str">
        <f>Table132[[#This Row],[ÉTAT]]&amp;Table132[[#This Row],[next move]]</f>
        <v>EMEEMMVEV22</v>
      </c>
    </row>
    <row r="7474" spans="2:9" x14ac:dyDescent="0.25">
      <c r="B7474" t="s">
        <v>3226</v>
      </c>
      <c r="C7474" s="22" t="s">
        <v>30</v>
      </c>
      <c r="D7474">
        <v>1</v>
      </c>
      <c r="G7474" s="30">
        <f>Table132[[#This Row],[nb win]]/Table132[[#This Row],[nb play]]</f>
        <v>0</v>
      </c>
      <c r="H7474" s="26" t="str">
        <f>MID(Table132[[#This Row],[ÉTAT]],VALUE(RIGHT(Table132[[#This Row],[next move]],1))+1+VALUE(LEFT(Table132[[#This Row],[next move]],1))*3,1)</f>
        <v>V</v>
      </c>
      <c r="I7474" s="26" t="str">
        <f>Table132[[#This Row],[ÉTAT]]&amp;Table132[[#This Row],[next move]]</f>
        <v>VVEVEMVVM10</v>
      </c>
    </row>
    <row r="7475" spans="2:9" x14ac:dyDescent="0.25">
      <c r="B7475" t="s">
        <v>1416</v>
      </c>
      <c r="C7475" s="22" t="s">
        <v>22</v>
      </c>
      <c r="D7475">
        <v>1</v>
      </c>
      <c r="G7475" s="30">
        <f>Table132[[#This Row],[nb win]]/Table132[[#This Row],[nb play]]</f>
        <v>0</v>
      </c>
      <c r="H7475" s="26" t="str">
        <f>MID(Table132[[#This Row],[ÉTAT]],VALUE(RIGHT(Table132[[#This Row],[next move]],1))+1+VALUE(LEFT(Table132[[#This Row],[next move]],1))*3,1)</f>
        <v>V</v>
      </c>
      <c r="I7475" s="26" t="str">
        <f>Table132[[#This Row],[ÉTAT]]&amp;Table132[[#This Row],[next move]]</f>
        <v>VVVEMVEVV21</v>
      </c>
    </row>
    <row r="7476" spans="2:9" x14ac:dyDescent="0.25">
      <c r="B7476" t="s">
        <v>1911</v>
      </c>
      <c r="C7476" s="22" t="s">
        <v>29</v>
      </c>
      <c r="D7476">
        <v>1</v>
      </c>
      <c r="G7476" s="30">
        <f>Table132[[#This Row],[nb win]]/Table132[[#This Row],[nb play]]</f>
        <v>0</v>
      </c>
      <c r="H7476" s="26" t="str">
        <f>MID(Table132[[#This Row],[ÉTAT]],VALUE(RIGHT(Table132[[#This Row],[next move]],1))+1+VALUE(LEFT(Table132[[#This Row],[next move]],1))*3,1)</f>
        <v>V</v>
      </c>
      <c r="I7476" s="26" t="str">
        <f>Table132[[#This Row],[ÉTAT]]&amp;Table132[[#This Row],[next move]]</f>
        <v>VEEVVMVVV11</v>
      </c>
    </row>
    <row r="7477" spans="2:9" x14ac:dyDescent="0.25">
      <c r="B7477" t="s">
        <v>1493</v>
      </c>
      <c r="C7477" s="22" t="s">
        <v>30</v>
      </c>
      <c r="D7477">
        <v>1</v>
      </c>
      <c r="G7477" s="30">
        <f>Table132[[#This Row],[nb win]]/Table132[[#This Row],[nb play]]</f>
        <v>0</v>
      </c>
      <c r="H7477" s="26" t="str">
        <f>MID(Table132[[#This Row],[ÉTAT]],VALUE(RIGHT(Table132[[#This Row],[next move]],1))+1+VALUE(LEFT(Table132[[#This Row],[next move]],1))*3,1)</f>
        <v>V</v>
      </c>
      <c r="I7477" s="26" t="str">
        <f>Table132[[#This Row],[ÉTAT]]&amp;Table132[[#This Row],[next move]]</f>
        <v>VMEVEVVVM10</v>
      </c>
    </row>
    <row r="7478" spans="2:9" x14ac:dyDescent="0.25">
      <c r="B7478" t="s">
        <v>3226</v>
      </c>
      <c r="C7478" s="22" t="s">
        <v>22</v>
      </c>
      <c r="D7478">
        <v>1</v>
      </c>
      <c r="G7478" s="30">
        <f>Table132[[#This Row],[nb win]]/Table132[[#This Row],[nb play]]</f>
        <v>0</v>
      </c>
      <c r="H7478" s="26" t="str">
        <f>MID(Table132[[#This Row],[ÉTAT]],VALUE(RIGHT(Table132[[#This Row],[next move]],1))+1+VALUE(LEFT(Table132[[#This Row],[next move]],1))*3,1)</f>
        <v>V</v>
      </c>
      <c r="I7478" s="26" t="str">
        <f>Table132[[#This Row],[ÉTAT]]&amp;Table132[[#This Row],[next move]]</f>
        <v>VVEVEMVVM21</v>
      </c>
    </row>
    <row r="7479" spans="2:9" x14ac:dyDescent="0.25">
      <c r="B7479" t="s">
        <v>3571</v>
      </c>
      <c r="C7479" s="22" t="s">
        <v>22</v>
      </c>
      <c r="D7479">
        <v>1</v>
      </c>
      <c r="E7479">
        <v>1</v>
      </c>
      <c r="G7479" s="31">
        <f>Table132[[#This Row],[nb win]]/Table132[[#This Row],[nb play]]</f>
        <v>1</v>
      </c>
      <c r="H7479" s="26" t="str">
        <f>MID(Table132[[#This Row],[ÉTAT]],VALUE(RIGHT(Table132[[#This Row],[next move]],1))+1+VALUE(LEFT(Table132[[#This Row],[next move]],1))*3,1)</f>
        <v>V</v>
      </c>
      <c r="I7479" s="26" t="str">
        <f>Table132[[#This Row],[ÉTAT]]&amp;Table132[[#This Row],[next move]]</f>
        <v>VVMVMEEVE21</v>
      </c>
    </row>
    <row r="7480" spans="2:9" x14ac:dyDescent="0.25">
      <c r="B7480" t="s">
        <v>2226</v>
      </c>
      <c r="C7480" s="22" t="s">
        <v>24</v>
      </c>
      <c r="D7480">
        <v>1</v>
      </c>
      <c r="G7480" s="30">
        <f>Table132[[#This Row],[nb win]]/Table132[[#This Row],[nb play]]</f>
        <v>0</v>
      </c>
      <c r="H7480" s="26" t="str">
        <f>MID(Table132[[#This Row],[ÉTAT]],VALUE(RIGHT(Table132[[#This Row],[next move]],1))+1+VALUE(LEFT(Table132[[#This Row],[next move]],1))*3,1)</f>
        <v>V</v>
      </c>
      <c r="I7480" s="26" t="str">
        <f>Table132[[#This Row],[ÉTAT]]&amp;Table132[[#This Row],[next move]]</f>
        <v>VVEVEMMEM00</v>
      </c>
    </row>
    <row r="7481" spans="2:9" x14ac:dyDescent="0.25">
      <c r="B7481" t="s">
        <v>3720</v>
      </c>
      <c r="C7481" s="22" t="s">
        <v>26</v>
      </c>
      <c r="D7481">
        <v>1</v>
      </c>
      <c r="E7481">
        <v>1</v>
      </c>
      <c r="G7481" s="31">
        <f>Table132[[#This Row],[nb win]]/Table132[[#This Row],[nb play]]</f>
        <v>1</v>
      </c>
      <c r="H7481" s="26" t="str">
        <f>MID(Table132[[#This Row],[ÉTAT]],VALUE(RIGHT(Table132[[#This Row],[next move]],1))+1+VALUE(LEFT(Table132[[#This Row],[next move]],1))*3,1)</f>
        <v>V</v>
      </c>
      <c r="I7481" s="26" t="str">
        <f>Table132[[#This Row],[ÉTAT]]&amp;Table132[[#This Row],[next move]]</f>
        <v>EVMVMEEME01</v>
      </c>
    </row>
    <row r="7482" spans="2:9" x14ac:dyDescent="0.25">
      <c r="B7482" t="s">
        <v>1662</v>
      </c>
      <c r="C7482" s="22" t="s">
        <v>24</v>
      </c>
      <c r="D7482">
        <v>1</v>
      </c>
      <c r="E7482">
        <v>1</v>
      </c>
      <c r="G7482" s="31">
        <f>Table132[[#This Row],[nb win]]/Table132[[#This Row],[nb play]]</f>
        <v>1</v>
      </c>
      <c r="H7482" s="26" t="str">
        <f>MID(Table132[[#This Row],[ÉTAT]],VALUE(RIGHT(Table132[[#This Row],[next move]],1))+1+VALUE(LEFT(Table132[[#This Row],[next move]],1))*3,1)</f>
        <v>V</v>
      </c>
      <c r="I7482" s="26" t="str">
        <f>Table132[[#This Row],[ÉTAT]]&amp;Table132[[#This Row],[next move]]</f>
        <v>VEVVMVVME00</v>
      </c>
    </row>
    <row r="7483" spans="2:9" x14ac:dyDescent="0.25">
      <c r="B7483" t="s">
        <v>3721</v>
      </c>
      <c r="C7483" s="22" t="s">
        <v>20</v>
      </c>
      <c r="D7483">
        <v>1</v>
      </c>
      <c r="G7483" s="30">
        <f>Table132[[#This Row],[nb win]]/Table132[[#This Row],[nb play]]</f>
        <v>0</v>
      </c>
      <c r="H7483" s="26" t="str">
        <f>MID(Table132[[#This Row],[ÉTAT]],VALUE(RIGHT(Table132[[#This Row],[next move]],1))+1+VALUE(LEFT(Table132[[#This Row],[next move]],1))*3,1)</f>
        <v>V</v>
      </c>
      <c r="I7483" s="26" t="str">
        <f>Table132[[#This Row],[ÉTAT]]&amp;Table132[[#This Row],[next move]]</f>
        <v>EMVVEVVEM02</v>
      </c>
    </row>
    <row r="7484" spans="2:9" x14ac:dyDescent="0.25">
      <c r="B7484" t="s">
        <v>3722</v>
      </c>
      <c r="C7484" s="22" t="s">
        <v>30</v>
      </c>
      <c r="D7484">
        <v>1</v>
      </c>
      <c r="E7484">
        <v>1</v>
      </c>
      <c r="G7484" s="31">
        <f>Table132[[#This Row],[nb win]]/Table132[[#This Row],[nb play]]</f>
        <v>1</v>
      </c>
      <c r="H7484" s="26" t="str">
        <f>MID(Table132[[#This Row],[ÉTAT]],VALUE(RIGHT(Table132[[#This Row],[next move]],1))+1+VALUE(LEFT(Table132[[#This Row],[next move]],1))*3,1)</f>
        <v>V</v>
      </c>
      <c r="I7484" s="26" t="str">
        <f>Table132[[#This Row],[ÉTAT]]&amp;Table132[[#This Row],[next move]]</f>
        <v>MEEVMVVME10</v>
      </c>
    </row>
    <row r="7485" spans="2:9" x14ac:dyDescent="0.25">
      <c r="B7485" t="s">
        <v>3723</v>
      </c>
      <c r="C7485" s="22" t="s">
        <v>35</v>
      </c>
      <c r="D7485">
        <v>1</v>
      </c>
      <c r="G7485" s="30">
        <f>Table132[[#This Row],[nb win]]/Table132[[#This Row],[nb play]]</f>
        <v>0</v>
      </c>
      <c r="H7485" s="26" t="str">
        <f>MID(Table132[[#This Row],[ÉTAT]],VALUE(RIGHT(Table132[[#This Row],[next move]],1))+1+VALUE(LEFT(Table132[[#This Row],[next move]],1))*3,1)</f>
        <v>V</v>
      </c>
      <c r="I7485" s="26" t="str">
        <f>Table132[[#This Row],[ÉTAT]]&amp;Table132[[#This Row],[next move]]</f>
        <v>EMMEEVVEM20</v>
      </c>
    </row>
    <row r="7486" spans="2:9" x14ac:dyDescent="0.25">
      <c r="B7486" t="s">
        <v>3335</v>
      </c>
      <c r="C7486" s="22" t="s">
        <v>35</v>
      </c>
      <c r="D7486">
        <v>1</v>
      </c>
      <c r="E7486">
        <v>1</v>
      </c>
      <c r="G7486" s="31">
        <f>Table132[[#This Row],[nb win]]/Table132[[#This Row],[nb play]]</f>
        <v>1</v>
      </c>
      <c r="H7486" s="26" t="str">
        <f>MID(Table132[[#This Row],[ÉTAT]],VALUE(RIGHT(Table132[[#This Row],[next move]],1))+1+VALUE(LEFT(Table132[[#This Row],[next move]],1))*3,1)</f>
        <v>V</v>
      </c>
      <c r="I7486" s="26" t="str">
        <f>Table132[[#This Row],[ÉTAT]]&amp;Table132[[#This Row],[next move]]</f>
        <v>MEVMEVVVE20</v>
      </c>
    </row>
    <row r="7487" spans="2:9" x14ac:dyDescent="0.25">
      <c r="B7487" t="s">
        <v>2871</v>
      </c>
      <c r="C7487" s="22" t="s">
        <v>29</v>
      </c>
      <c r="D7487">
        <v>1</v>
      </c>
      <c r="E7487">
        <v>1</v>
      </c>
      <c r="G7487" s="31">
        <f>Table132[[#This Row],[nb win]]/Table132[[#This Row],[nb play]]</f>
        <v>1</v>
      </c>
      <c r="H7487" s="26" t="str">
        <f>MID(Table132[[#This Row],[ÉTAT]],VALUE(RIGHT(Table132[[#This Row],[next move]],1))+1+VALUE(LEFT(Table132[[#This Row],[next move]],1))*3,1)</f>
        <v>V</v>
      </c>
      <c r="I7487" s="26" t="str">
        <f>Table132[[#This Row],[ÉTAT]]&amp;Table132[[#This Row],[next move]]</f>
        <v>EMMEVVMVE11</v>
      </c>
    </row>
    <row r="7488" spans="2:9" x14ac:dyDescent="0.25">
      <c r="B7488" t="s">
        <v>3419</v>
      </c>
      <c r="C7488" s="22" t="s">
        <v>22</v>
      </c>
      <c r="D7488">
        <v>1</v>
      </c>
      <c r="G7488" s="30">
        <f>Table132[[#This Row],[nb win]]/Table132[[#This Row],[nb play]]</f>
        <v>0</v>
      </c>
      <c r="H7488" s="26" t="str">
        <f>MID(Table132[[#This Row],[ÉTAT]],VALUE(RIGHT(Table132[[#This Row],[next move]],1))+1+VALUE(LEFT(Table132[[#This Row],[next move]],1))*3,1)</f>
        <v>V</v>
      </c>
      <c r="I7488" s="26" t="str">
        <f>Table132[[#This Row],[ÉTAT]]&amp;Table132[[#This Row],[next move]]</f>
        <v>EVMEVMVVE21</v>
      </c>
    </row>
    <row r="7489" spans="2:9" x14ac:dyDescent="0.25">
      <c r="B7489" t="s">
        <v>3725</v>
      </c>
      <c r="C7489" s="22" t="s">
        <v>29</v>
      </c>
      <c r="D7489">
        <v>1</v>
      </c>
      <c r="E7489">
        <v>1</v>
      </c>
      <c r="G7489" s="31">
        <f>Table132[[#This Row],[nb win]]/Table132[[#This Row],[nb play]]</f>
        <v>1</v>
      </c>
      <c r="H7489" s="26" t="str">
        <f>MID(Table132[[#This Row],[ÉTAT]],VALUE(RIGHT(Table132[[#This Row],[next move]],1))+1+VALUE(LEFT(Table132[[#This Row],[next move]],1))*3,1)</f>
        <v>V</v>
      </c>
      <c r="I7489" s="26" t="str">
        <f>Table132[[#This Row],[ÉTAT]]&amp;Table132[[#This Row],[next move]]</f>
        <v>MVEMVEVEM11</v>
      </c>
    </row>
    <row r="7490" spans="2:9" x14ac:dyDescent="0.25">
      <c r="B7490" t="s">
        <v>1327</v>
      </c>
      <c r="C7490" s="22" t="s">
        <v>28</v>
      </c>
      <c r="D7490">
        <v>1</v>
      </c>
      <c r="E7490">
        <v>1</v>
      </c>
      <c r="G7490" s="31">
        <f>Table132[[#This Row],[nb win]]/Table132[[#This Row],[nb play]]</f>
        <v>1</v>
      </c>
      <c r="H7490" s="26" t="str">
        <f>MID(Table132[[#This Row],[ÉTAT]],VALUE(RIGHT(Table132[[#This Row],[next move]],1))+1+VALUE(LEFT(Table132[[#This Row],[next move]],1))*3,1)</f>
        <v>V</v>
      </c>
      <c r="I7490" s="26" t="str">
        <f>Table132[[#This Row],[ÉTAT]]&amp;Table132[[#This Row],[next move]]</f>
        <v>VVMVEVVEV12</v>
      </c>
    </row>
    <row r="7491" spans="2:9" x14ac:dyDescent="0.25">
      <c r="B7491" t="s">
        <v>3281</v>
      </c>
      <c r="C7491" s="22" t="s">
        <v>24</v>
      </c>
      <c r="D7491">
        <v>1</v>
      </c>
      <c r="G7491" s="30">
        <f>Table132[[#This Row],[nb win]]/Table132[[#This Row],[nb play]]</f>
        <v>0</v>
      </c>
      <c r="H7491" s="26" t="str">
        <f>MID(Table132[[#This Row],[ÉTAT]],VALUE(RIGHT(Table132[[#This Row],[next move]],1))+1+VALUE(LEFT(Table132[[#This Row],[next move]],1))*3,1)</f>
        <v>V</v>
      </c>
      <c r="I7491" s="26" t="str">
        <f>Table132[[#This Row],[ÉTAT]]&amp;Table132[[#This Row],[next move]]</f>
        <v>VVEVMEVMV00</v>
      </c>
    </row>
    <row r="7492" spans="2:9" x14ac:dyDescent="0.25">
      <c r="B7492" t="s">
        <v>3467</v>
      </c>
      <c r="C7492" s="22" t="s">
        <v>20</v>
      </c>
      <c r="D7492">
        <v>1</v>
      </c>
      <c r="G7492" s="30">
        <f>Table132[[#This Row],[nb win]]/Table132[[#This Row],[nb play]]</f>
        <v>0</v>
      </c>
      <c r="H7492" s="26" t="str">
        <f>MID(Table132[[#This Row],[ÉTAT]],VALUE(RIGHT(Table132[[#This Row],[next move]],1))+1+VALUE(LEFT(Table132[[#This Row],[next move]],1))*3,1)</f>
        <v>V</v>
      </c>
      <c r="I7492" s="26" t="str">
        <f>Table132[[#This Row],[ÉTAT]]&amp;Table132[[#This Row],[next move]]</f>
        <v>EEVVVMVVV02</v>
      </c>
    </row>
    <row r="7493" spans="2:9" x14ac:dyDescent="0.25">
      <c r="B7493" t="s">
        <v>3726</v>
      </c>
      <c r="C7493" s="22" t="s">
        <v>35</v>
      </c>
      <c r="D7493">
        <v>1</v>
      </c>
      <c r="E7493">
        <v>1</v>
      </c>
      <c r="G7493" s="31">
        <f>Table132[[#This Row],[nb win]]/Table132[[#This Row],[nb play]]</f>
        <v>1</v>
      </c>
      <c r="H7493" s="26" t="str">
        <f>MID(Table132[[#This Row],[ÉTAT]],VALUE(RIGHT(Table132[[#This Row],[next move]],1))+1+VALUE(LEFT(Table132[[#This Row],[next move]],1))*3,1)</f>
        <v>V</v>
      </c>
      <c r="I7493" s="26" t="str">
        <f>Table132[[#This Row],[ÉTAT]]&amp;Table132[[#This Row],[next move]]</f>
        <v>MMEVVEVVV20</v>
      </c>
    </row>
    <row r="7494" spans="2:9" x14ac:dyDescent="0.25">
      <c r="B7494" t="s">
        <v>3727</v>
      </c>
      <c r="C7494" s="22" t="s">
        <v>22</v>
      </c>
      <c r="D7494">
        <v>1</v>
      </c>
      <c r="G7494" s="30">
        <f>Table132[[#This Row],[nb win]]/Table132[[#This Row],[nb play]]</f>
        <v>0</v>
      </c>
      <c r="H7494" s="26" t="str">
        <f>MID(Table132[[#This Row],[ÉTAT]],VALUE(RIGHT(Table132[[#This Row],[next move]],1))+1+VALUE(LEFT(Table132[[#This Row],[next move]],1))*3,1)</f>
        <v>V</v>
      </c>
      <c r="I7494" s="26" t="str">
        <f>Table132[[#This Row],[ÉTAT]]&amp;Table132[[#This Row],[next move]]</f>
        <v>EEMVVMEVV21</v>
      </c>
    </row>
    <row r="7495" spans="2:9" x14ac:dyDescent="0.25">
      <c r="B7495" t="s">
        <v>3358</v>
      </c>
      <c r="C7495" s="22" t="s">
        <v>20</v>
      </c>
      <c r="D7495">
        <v>1</v>
      </c>
      <c r="E7495">
        <v>1</v>
      </c>
      <c r="G7495" s="31">
        <f>Table132[[#This Row],[nb win]]/Table132[[#This Row],[nb play]]</f>
        <v>1</v>
      </c>
      <c r="H7495" s="26" t="str">
        <f>MID(Table132[[#This Row],[ÉTAT]],VALUE(RIGHT(Table132[[#This Row],[next move]],1))+1+VALUE(LEFT(Table132[[#This Row],[next move]],1))*3,1)</f>
        <v>V</v>
      </c>
      <c r="I7495" s="26" t="str">
        <f>Table132[[#This Row],[ÉTAT]]&amp;Table132[[#This Row],[next move]]</f>
        <v>EVVEVVMEM02</v>
      </c>
    </row>
    <row r="7496" spans="2:9" x14ac:dyDescent="0.25">
      <c r="B7496" t="s">
        <v>3728</v>
      </c>
      <c r="C7496" s="22" t="s">
        <v>28</v>
      </c>
      <c r="D7496">
        <v>1</v>
      </c>
      <c r="G7496" s="30">
        <f>Table132[[#This Row],[nb win]]/Table132[[#This Row],[nb play]]</f>
        <v>0</v>
      </c>
      <c r="H7496" s="26" t="str">
        <f>MID(Table132[[#This Row],[ÉTAT]],VALUE(RIGHT(Table132[[#This Row],[next move]],1))+1+VALUE(LEFT(Table132[[#This Row],[next move]],1))*3,1)</f>
        <v>V</v>
      </c>
      <c r="I7496" s="26" t="str">
        <f>Table132[[#This Row],[ÉTAT]]&amp;Table132[[#This Row],[next move]]</f>
        <v>MVEMVVEME12</v>
      </c>
    </row>
    <row r="7497" spans="2:9" x14ac:dyDescent="0.25">
      <c r="B7497" t="s">
        <v>3509</v>
      </c>
      <c r="C7497" s="22" t="s">
        <v>29</v>
      </c>
      <c r="D7497">
        <v>1</v>
      </c>
      <c r="E7497">
        <v>1</v>
      </c>
      <c r="G7497" s="31">
        <f>Table132[[#This Row],[nb win]]/Table132[[#This Row],[nb play]]</f>
        <v>1</v>
      </c>
      <c r="H7497" s="26" t="str">
        <f>MID(Table132[[#This Row],[ÉTAT]],VALUE(RIGHT(Table132[[#This Row],[next move]],1))+1+VALUE(LEFT(Table132[[#This Row],[next move]],1))*3,1)</f>
        <v>V</v>
      </c>
      <c r="I7497" s="26" t="str">
        <f>Table132[[#This Row],[ÉTAT]]&amp;Table132[[#This Row],[next move]]</f>
        <v>EVMEVEMEM11</v>
      </c>
    </row>
    <row r="7498" spans="2:9" x14ac:dyDescent="0.25">
      <c r="B7498" t="s">
        <v>1797</v>
      </c>
      <c r="C7498" s="22" t="s">
        <v>29</v>
      </c>
      <c r="D7498">
        <v>1</v>
      </c>
      <c r="G7498" s="30">
        <f>Table132[[#This Row],[nb win]]/Table132[[#This Row],[nb play]]</f>
        <v>0</v>
      </c>
      <c r="H7498" s="26" t="str">
        <f>MID(Table132[[#This Row],[ÉTAT]],VALUE(RIGHT(Table132[[#This Row],[next move]],1))+1+VALUE(LEFT(Table132[[#This Row],[next move]],1))*3,1)</f>
        <v>V</v>
      </c>
      <c r="I7498" s="26" t="str">
        <f>Table132[[#This Row],[ÉTAT]]&amp;Table132[[#This Row],[next move]]</f>
        <v>VVEVVEMMV11</v>
      </c>
    </row>
    <row r="7499" spans="2:9" x14ac:dyDescent="0.25">
      <c r="B7499" t="s">
        <v>3729</v>
      </c>
      <c r="C7499" s="22" t="s">
        <v>26</v>
      </c>
      <c r="D7499">
        <v>1</v>
      </c>
      <c r="E7499">
        <v>1</v>
      </c>
      <c r="G7499" s="31">
        <f>Table132[[#This Row],[nb win]]/Table132[[#This Row],[nb play]]</f>
        <v>1</v>
      </c>
      <c r="H7499" s="26" t="str">
        <f>MID(Table132[[#This Row],[ÉTAT]],VALUE(RIGHT(Table132[[#This Row],[next move]],1))+1+VALUE(LEFT(Table132[[#This Row],[next move]],1))*3,1)</f>
        <v>V</v>
      </c>
      <c r="I7499" s="26" t="str">
        <f>Table132[[#This Row],[ÉTAT]]&amp;Table132[[#This Row],[next move]]</f>
        <v>VVMVEMEEV01</v>
      </c>
    </row>
    <row r="7500" spans="2:9" x14ac:dyDescent="0.25">
      <c r="B7500" t="s">
        <v>3730</v>
      </c>
      <c r="C7500" s="22" t="s">
        <v>24</v>
      </c>
      <c r="D7500">
        <v>1</v>
      </c>
      <c r="G7500" s="30">
        <f>Table132[[#This Row],[nb win]]/Table132[[#This Row],[nb play]]</f>
        <v>0</v>
      </c>
      <c r="H7500" s="26" t="str">
        <f>MID(Table132[[#This Row],[ÉTAT]],VALUE(RIGHT(Table132[[#This Row],[next move]],1))+1+VALUE(LEFT(Table132[[#This Row],[next move]],1))*3,1)</f>
        <v>V</v>
      </c>
      <c r="I7500" s="26" t="str">
        <f>Table132[[#This Row],[ÉTAT]]&amp;Table132[[#This Row],[next move]]</f>
        <v>VEEVMEMMV00</v>
      </c>
    </row>
    <row r="7501" spans="2:9" x14ac:dyDescent="0.25">
      <c r="B7501" t="s">
        <v>343</v>
      </c>
      <c r="C7501" s="22" t="s">
        <v>30</v>
      </c>
      <c r="D7501">
        <v>1</v>
      </c>
      <c r="G7501" s="30">
        <f>Table132[[#This Row],[nb win]]/Table132[[#This Row],[nb play]]</f>
        <v>0</v>
      </c>
      <c r="H7501" s="26" t="str">
        <f>MID(Table132[[#This Row],[ÉTAT]],VALUE(RIGHT(Table132[[#This Row],[next move]],1))+1+VALUE(LEFT(Table132[[#This Row],[next move]],1))*3,1)</f>
        <v>V</v>
      </c>
      <c r="I7501" s="26" t="str">
        <f>Table132[[#This Row],[ÉTAT]]&amp;Table132[[#This Row],[next move]]</f>
        <v>VVVVVVVEM10</v>
      </c>
    </row>
    <row r="7502" spans="2:9" x14ac:dyDescent="0.25">
      <c r="B7502" t="s">
        <v>3088</v>
      </c>
      <c r="C7502" s="22" t="s">
        <v>35</v>
      </c>
      <c r="D7502">
        <v>1</v>
      </c>
      <c r="E7502">
        <v>1</v>
      </c>
      <c r="G7502" s="31">
        <f>Table132[[#This Row],[nb win]]/Table132[[#This Row],[nb play]]</f>
        <v>1</v>
      </c>
      <c r="H7502" s="26" t="str">
        <f>MID(Table132[[#This Row],[ÉTAT]],VALUE(RIGHT(Table132[[#This Row],[next move]],1))+1+VALUE(LEFT(Table132[[#This Row],[next move]],1))*3,1)</f>
        <v>V</v>
      </c>
      <c r="I7502" s="26" t="str">
        <f>Table132[[#This Row],[ÉTAT]]&amp;Table132[[#This Row],[next move]]</f>
        <v>VVVEVVVME20</v>
      </c>
    </row>
    <row r="7503" spans="2:9" x14ac:dyDescent="0.25">
      <c r="B7503" t="s">
        <v>3714</v>
      </c>
      <c r="C7503" s="22" t="s">
        <v>26</v>
      </c>
      <c r="D7503">
        <v>1</v>
      </c>
      <c r="G7503" s="30">
        <f>Table132[[#This Row],[nb win]]/Table132[[#This Row],[nb play]]</f>
        <v>0</v>
      </c>
      <c r="H7503" s="26" t="str">
        <f>MID(Table132[[#This Row],[ÉTAT]],VALUE(RIGHT(Table132[[#This Row],[next move]],1))+1+VALUE(LEFT(Table132[[#This Row],[next move]],1))*3,1)</f>
        <v>V</v>
      </c>
      <c r="I7503" s="26" t="str">
        <f>Table132[[#This Row],[ÉTAT]]&amp;Table132[[#This Row],[next move]]</f>
        <v>VVVMVVEEM01</v>
      </c>
    </row>
    <row r="7504" spans="2:9" x14ac:dyDescent="0.25">
      <c r="B7504" t="s">
        <v>3078</v>
      </c>
      <c r="C7504" s="22" t="s">
        <v>29</v>
      </c>
      <c r="D7504">
        <v>1</v>
      </c>
      <c r="E7504">
        <v>1</v>
      </c>
      <c r="G7504" s="31">
        <f>Table132[[#This Row],[nb win]]/Table132[[#This Row],[nb play]]</f>
        <v>1</v>
      </c>
      <c r="H7504" s="26" t="str">
        <f>MID(Table132[[#This Row],[ÉTAT]],VALUE(RIGHT(Table132[[#This Row],[next move]],1))+1+VALUE(LEFT(Table132[[#This Row],[next move]],1))*3,1)</f>
        <v>V</v>
      </c>
      <c r="I7504" s="26" t="str">
        <f>Table132[[#This Row],[ÉTAT]]&amp;Table132[[#This Row],[next move]]</f>
        <v>VEVEVVMME11</v>
      </c>
    </row>
    <row r="7505" spans="2:9" x14ac:dyDescent="0.25">
      <c r="B7505" t="s">
        <v>3731</v>
      </c>
      <c r="C7505" s="22" t="s">
        <v>28</v>
      </c>
      <c r="D7505">
        <v>1</v>
      </c>
      <c r="G7505" s="30">
        <f>Table132[[#This Row],[nb win]]/Table132[[#This Row],[nb play]]</f>
        <v>0</v>
      </c>
      <c r="H7505" s="26" t="str">
        <f>MID(Table132[[#This Row],[ÉTAT]],VALUE(RIGHT(Table132[[#This Row],[next move]],1))+1+VALUE(LEFT(Table132[[#This Row],[next move]],1))*3,1)</f>
        <v>V</v>
      </c>
      <c r="I7505" s="26" t="str">
        <f>Table132[[#This Row],[ÉTAT]]&amp;Table132[[#This Row],[next move]]</f>
        <v>VMVMEVEEM12</v>
      </c>
    </row>
    <row r="7506" spans="2:9" x14ac:dyDescent="0.25">
      <c r="B7506" t="s">
        <v>651</v>
      </c>
      <c r="C7506" s="22" t="s">
        <v>26</v>
      </c>
      <c r="D7506">
        <v>1</v>
      </c>
      <c r="G7506" s="30">
        <f>Table132[[#This Row],[nb win]]/Table132[[#This Row],[nb play]]</f>
        <v>0</v>
      </c>
      <c r="H7506" s="26" t="str">
        <f>MID(Table132[[#This Row],[ÉTAT]],VALUE(RIGHT(Table132[[#This Row],[next move]],1))+1+VALUE(LEFT(Table132[[#This Row],[next move]],1))*3,1)</f>
        <v>V</v>
      </c>
      <c r="I7506" s="26" t="str">
        <f>Table132[[#This Row],[ÉTAT]]&amp;Table132[[#This Row],[next move]]</f>
        <v>MVVEVVVVE01</v>
      </c>
    </row>
    <row r="7507" spans="2:9" x14ac:dyDescent="0.25">
      <c r="B7507" t="s">
        <v>3350</v>
      </c>
      <c r="C7507" s="22" t="s">
        <v>29</v>
      </c>
      <c r="D7507">
        <v>1</v>
      </c>
      <c r="G7507" s="30">
        <f>Table132[[#This Row],[nb win]]/Table132[[#This Row],[nb play]]</f>
        <v>0</v>
      </c>
      <c r="H7507" s="26" t="str">
        <f>MID(Table132[[#This Row],[ÉTAT]],VALUE(RIGHT(Table132[[#This Row],[next move]],1))+1+VALUE(LEFT(Table132[[#This Row],[next move]],1))*3,1)</f>
        <v>V</v>
      </c>
      <c r="I7507" s="26" t="str">
        <f>Table132[[#This Row],[ÉTAT]]&amp;Table132[[#This Row],[next move]]</f>
        <v>MMVEVVVEE11</v>
      </c>
    </row>
    <row r="7508" spans="2:9" x14ac:dyDescent="0.25">
      <c r="B7508" t="s">
        <v>3732</v>
      </c>
      <c r="C7508" s="22" t="s">
        <v>28</v>
      </c>
      <c r="D7508">
        <v>1</v>
      </c>
      <c r="E7508">
        <v>1</v>
      </c>
      <c r="G7508" s="31">
        <f>Table132[[#This Row],[nb win]]/Table132[[#This Row],[nb play]]</f>
        <v>1</v>
      </c>
      <c r="H7508" s="26" t="str">
        <f>MID(Table132[[#This Row],[ÉTAT]],VALUE(RIGHT(Table132[[#This Row],[next move]],1))+1+VALUE(LEFT(Table132[[#This Row],[next move]],1))*3,1)</f>
        <v>V</v>
      </c>
      <c r="I7508" s="26" t="str">
        <f>Table132[[#This Row],[ÉTAT]]&amp;Table132[[#This Row],[next move]]</f>
        <v>EEVMEVVMM12</v>
      </c>
    </row>
    <row r="7509" spans="2:9" x14ac:dyDescent="0.25">
      <c r="B7509" t="s">
        <v>3733</v>
      </c>
      <c r="C7509" s="22" t="s">
        <v>35</v>
      </c>
      <c r="D7509">
        <v>1</v>
      </c>
      <c r="G7509" s="30">
        <f>Table132[[#This Row],[nb win]]/Table132[[#This Row],[nb play]]</f>
        <v>0</v>
      </c>
      <c r="H7509" s="26" t="str">
        <f>MID(Table132[[#This Row],[ÉTAT]],VALUE(RIGHT(Table132[[#This Row],[next move]],1))+1+VALUE(LEFT(Table132[[#This Row],[next move]],1))*3,1)</f>
        <v>V</v>
      </c>
      <c r="I7509" s="26" t="str">
        <f>Table132[[#This Row],[ÉTAT]]&amp;Table132[[#This Row],[next move]]</f>
        <v>MMVEMEVEE20</v>
      </c>
    </row>
    <row r="7510" spans="2:9" x14ac:dyDescent="0.25">
      <c r="B7510" t="s">
        <v>3734</v>
      </c>
      <c r="C7510" s="22" t="s">
        <v>20</v>
      </c>
      <c r="D7510">
        <v>1</v>
      </c>
      <c r="E7510">
        <v>1</v>
      </c>
      <c r="G7510" s="31">
        <f>Table132[[#This Row],[nb win]]/Table132[[#This Row],[nb play]]</f>
        <v>1</v>
      </c>
      <c r="H7510" s="26" t="str">
        <f>MID(Table132[[#This Row],[ÉTAT]],VALUE(RIGHT(Table132[[#This Row],[next move]],1))+1+VALUE(LEFT(Table132[[#This Row],[next move]],1))*3,1)</f>
        <v>V</v>
      </c>
      <c r="I7510" s="26" t="str">
        <f>Table132[[#This Row],[ÉTAT]]&amp;Table132[[#This Row],[next move]]</f>
        <v>EEVMEMEMM02</v>
      </c>
    </row>
    <row r="7511" spans="2:9" x14ac:dyDescent="0.25">
      <c r="B7511" t="s">
        <v>3456</v>
      </c>
      <c r="C7511" s="22" t="s">
        <v>35</v>
      </c>
      <c r="D7511">
        <v>1</v>
      </c>
      <c r="E7511">
        <v>1</v>
      </c>
      <c r="G7511" s="31">
        <f>Table132[[#This Row],[nb win]]/Table132[[#This Row],[nb play]]</f>
        <v>1</v>
      </c>
      <c r="H7511" s="26" t="str">
        <f>MID(Table132[[#This Row],[ÉTAT]],VALUE(RIGHT(Table132[[#This Row],[next move]],1))+1+VALUE(LEFT(Table132[[#This Row],[next move]],1))*3,1)</f>
        <v>V</v>
      </c>
      <c r="I7511" s="26" t="str">
        <f>Table132[[#This Row],[ÉTAT]]&amp;Table132[[#This Row],[next move]]</f>
        <v>MEVMVEVEV20</v>
      </c>
    </row>
    <row r="7512" spans="2:9" x14ac:dyDescent="0.25">
      <c r="B7512" t="s">
        <v>1493</v>
      </c>
      <c r="C7512" s="22" t="s">
        <v>24</v>
      </c>
      <c r="D7512">
        <v>1</v>
      </c>
      <c r="G7512" s="30">
        <f>Table132[[#This Row],[nb win]]/Table132[[#This Row],[nb play]]</f>
        <v>0</v>
      </c>
      <c r="H7512" s="26" t="str">
        <f>MID(Table132[[#This Row],[ÉTAT]],VALUE(RIGHT(Table132[[#This Row],[next move]],1))+1+VALUE(LEFT(Table132[[#This Row],[next move]],1))*3,1)</f>
        <v>V</v>
      </c>
      <c r="I7512" s="26" t="str">
        <f>Table132[[#This Row],[ÉTAT]]&amp;Table132[[#This Row],[next move]]</f>
        <v>VMEVEVVVM00</v>
      </c>
    </row>
    <row r="7513" spans="2:9" x14ac:dyDescent="0.25">
      <c r="B7513" t="s">
        <v>2943</v>
      </c>
      <c r="C7513" s="22" t="s">
        <v>31</v>
      </c>
      <c r="D7513">
        <v>1</v>
      </c>
      <c r="G7513" s="30">
        <f>Table132[[#This Row],[nb win]]/Table132[[#This Row],[nb play]]</f>
        <v>0</v>
      </c>
      <c r="H7513" s="26" t="str">
        <f>MID(Table132[[#This Row],[ÉTAT]],VALUE(RIGHT(Table132[[#This Row],[next move]],1))+1+VALUE(LEFT(Table132[[#This Row],[next move]],1))*3,1)</f>
        <v>V</v>
      </c>
      <c r="I7513" s="26" t="str">
        <f>Table132[[#This Row],[ÉTAT]]&amp;Table132[[#This Row],[next move]]</f>
        <v>VVEVVMEVV22</v>
      </c>
    </row>
    <row r="7514" spans="2:9" x14ac:dyDescent="0.25">
      <c r="B7514" t="s">
        <v>1768</v>
      </c>
      <c r="C7514" s="22" t="s">
        <v>29</v>
      </c>
      <c r="D7514">
        <v>1</v>
      </c>
      <c r="E7514">
        <v>1</v>
      </c>
      <c r="G7514" s="31">
        <f>Table132[[#This Row],[nb win]]/Table132[[#This Row],[nb play]]</f>
        <v>1</v>
      </c>
      <c r="H7514" s="26" t="str">
        <f>MID(Table132[[#This Row],[ÉTAT]],VALUE(RIGHT(Table132[[#This Row],[next move]],1))+1+VALUE(LEFT(Table132[[#This Row],[next move]],1))*3,1)</f>
        <v>V</v>
      </c>
      <c r="I7514" s="26" t="str">
        <f>Table132[[#This Row],[ÉTAT]]&amp;Table132[[#This Row],[next move]]</f>
        <v>EVMMVEMVE11</v>
      </c>
    </row>
    <row r="7515" spans="2:9" x14ac:dyDescent="0.25">
      <c r="B7515" t="s">
        <v>1829</v>
      </c>
      <c r="C7515" s="22" t="s">
        <v>31</v>
      </c>
      <c r="D7515">
        <v>1</v>
      </c>
      <c r="G7515" s="30">
        <f>Table132[[#This Row],[nb win]]/Table132[[#This Row],[nb play]]</f>
        <v>0</v>
      </c>
      <c r="H7515" s="26" t="str">
        <f>MID(Table132[[#This Row],[ÉTAT]],VALUE(RIGHT(Table132[[#This Row],[next move]],1))+1+VALUE(LEFT(Table132[[#This Row],[next move]],1))*3,1)</f>
        <v>V</v>
      </c>
      <c r="I7515" s="26" t="str">
        <f>Table132[[#This Row],[ÉTAT]]&amp;Table132[[#This Row],[next move]]</f>
        <v>EEVVVMVMV22</v>
      </c>
    </row>
  </sheetData>
  <conditionalFormatting sqref="I1:I7515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41" sqref="B41"/>
    </sheetView>
  </sheetViews>
  <sheetFormatPr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Raymond.mf</cp:lastModifiedBy>
  <dcterms:created xsi:type="dcterms:W3CDTF">2017-11-07T02:37:10Z</dcterms:created>
  <dcterms:modified xsi:type="dcterms:W3CDTF">2020-06-19T16:16:38Z</dcterms:modified>
</cp:coreProperties>
</file>