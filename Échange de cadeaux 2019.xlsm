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arti\Desktop\"/>
    </mc:Choice>
  </mc:AlternateContent>
  <bookViews>
    <workbookView xWindow="0" yWindow="0" windowWidth="10476" windowHeight="4626"/>
  </bookViews>
  <sheets>
    <sheet name="Menu" sheetId="2" r:id="rId1"/>
    <sheet name="Résultats" sheetId="1" state="veryHidden" r:id="rId2"/>
    <sheet name="Dévoilement" sheetId="3" state="veryHidden" r:id="rId3"/>
    <sheet name="Résultat" sheetId="6" state="veryHidden" r:id="rId4"/>
  </sheets>
  <definedNames>
    <definedName name="Slicer_Participants">#N/A</definedName>
    <definedName name="Slicer_Participants1">#N/A</definedName>
  </definedNames>
  <calcPr calcId="15251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1" l="1"/>
  <c r="L4" i="1"/>
  <c r="L5" i="1"/>
  <c r="L6" i="1"/>
  <c r="L7" i="1"/>
  <c r="L8" i="1"/>
  <c r="L9" i="1"/>
  <c r="L10" i="1"/>
  <c r="M4" i="1"/>
  <c r="M5" i="1"/>
  <c r="M6" i="1"/>
  <c r="M7" i="1"/>
  <c r="M8" i="1"/>
  <c r="M9" i="1"/>
  <c r="M10" i="1"/>
  <c r="M3"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U11" i="1"/>
  <c r="CV11" i="1"/>
  <c r="CW11" i="1"/>
  <c r="CX11" i="1"/>
  <c r="CY11" i="1"/>
  <c r="CZ11" i="1"/>
  <c r="DA11" i="1"/>
  <c r="DB11" i="1"/>
  <c r="DC11" i="1"/>
  <c r="DD11" i="1"/>
  <c r="DE11" i="1"/>
  <c r="DF11" i="1"/>
  <c r="DG11" i="1"/>
  <c r="DH11" i="1"/>
  <c r="DI11" i="1"/>
  <c r="DJ11" i="1"/>
  <c r="DK11" i="1"/>
  <c r="DL11" i="1"/>
  <c r="DM11" i="1"/>
  <c r="DN11" i="1"/>
  <c r="DO11" i="1"/>
  <c r="DP11" i="1"/>
  <c r="DQ11" i="1"/>
  <c r="DR11" i="1"/>
  <c r="DS11" i="1"/>
  <c r="DT11" i="1"/>
  <c r="DU11" i="1"/>
  <c r="DV11" i="1"/>
  <c r="DW11" i="1"/>
  <c r="DX11" i="1"/>
  <c r="DY11" i="1"/>
  <c r="DZ11" i="1"/>
  <c r="EA11" i="1"/>
  <c r="EB11" i="1"/>
  <c r="EC11" i="1"/>
  <c r="ED11" i="1"/>
  <c r="EE11" i="1"/>
  <c r="EF11" i="1"/>
  <c r="EG11" i="1"/>
  <c r="EH11" i="1"/>
  <c r="EI11" i="1"/>
  <c r="EJ11" i="1"/>
  <c r="EK11" i="1"/>
  <c r="EL11" i="1"/>
  <c r="EM11" i="1"/>
  <c r="Y11" i="1"/>
  <c r="Z11" i="1"/>
  <c r="AA11" i="1"/>
  <c r="AB11" i="1"/>
  <c r="AC11" i="1"/>
  <c r="AD11" i="1"/>
  <c r="AE11" i="1"/>
  <c r="X11" i="1"/>
</calcChain>
</file>

<file path=xl/sharedStrings.xml><?xml version="1.0" encoding="utf-8"?>
<sst xmlns="http://schemas.openxmlformats.org/spreadsheetml/2006/main" count="62" uniqueCount="30">
  <si>
    <t>Brigitte</t>
  </si>
  <si>
    <t>Gilles</t>
  </si>
  <si>
    <t>Hélène</t>
  </si>
  <si>
    <t>Rémi</t>
  </si>
  <si>
    <t>Isabelle</t>
  </si>
  <si>
    <t>Martin</t>
  </si>
  <si>
    <t>Pierre-Olivier</t>
  </si>
  <si>
    <t>Valérie</t>
  </si>
  <si>
    <t>A</t>
  </si>
  <si>
    <t>B</t>
  </si>
  <si>
    <t>C</t>
  </si>
  <si>
    <t>D</t>
  </si>
  <si>
    <t>E</t>
  </si>
  <si>
    <t>F</t>
  </si>
  <si>
    <t>G</t>
  </si>
  <si>
    <t>H</t>
  </si>
  <si>
    <t>Participants</t>
  </si>
  <si>
    <t>VoteDone</t>
  </si>
  <si>
    <t>Activevote</t>
  </si>
  <si>
    <t>Match parfait round 1</t>
  </si>
  <si>
    <t>Algorithme Decision</t>
  </si>
  <si>
    <t>BEST SCORE</t>
  </si>
  <si>
    <t>SMALLER</t>
  </si>
  <si>
    <t>QTE SMALLER</t>
  </si>
  <si>
    <t>NUM</t>
  </si>
  <si>
    <t>HIGH</t>
  </si>
  <si>
    <t>Devoil num</t>
  </si>
  <si>
    <t>C1</t>
  </si>
  <si>
    <t>C2</t>
  </si>
  <si>
    <t>C6</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</si>
</sst>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rgb="FF00B050"/>
        <bgColor indexed="64"/>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
    <xf numFmtId="0" fontId="0" fillId="0" borderId="0" xfId="0"/>
    <xf numFmtId="0" fontId="0" fillId="0" borderId="0" xfId="0" applyAlignment="1">
      <alignment horizontal="center"/>
    </xf>
    <xf numFmtId="0" fontId="0" fillId="0" borderId="0" xfId="0" applyAlignment="1">
      <alignment horizontal="left"/>
    </xf>
    <xf numFmtId="0" fontId="0" fillId="3" borderId="0" xfId="0" applyFill="1"/>
    <xf numFmtId="0" fontId="0" fillId="4" borderId="0" xfId="0" applyFill="1"/>
    <xf numFmtId="0" fontId="0" fillId="2" borderId="1" xfId="0" applyFont="1" applyFill="1" applyBorder="1"/>
    <xf numFmtId="0" fontId="0" fillId="0" borderId="1" xfId="0" applyBorder="1"/>
  </cellXfs>
  <cellStyles count="1">
    <cellStyle name="Normal" xfId="0" builtinId="0"/>
  </cellStyles>
  <dxfs count="12">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Résultats!$B$3</c:f>
              <c:strCache>
                <c:ptCount val="1"/>
                <c:pt idx="0">
                  <c:v>Brigitte</c:v>
                </c:pt>
              </c:strCache>
            </c:strRef>
          </c:tx>
          <c:spPr>
            <a:solidFill>
              <a:schemeClr val="accent1"/>
            </a:solidFill>
            <a:ln>
              <a:noFill/>
            </a:ln>
            <a:effectLst/>
          </c:spPr>
          <c:invertIfNegative val="0"/>
          <c:cat>
            <c:strRef>
              <c:f>Résultats!$C$2:$J$2</c:f>
              <c:strCache>
                <c:ptCount val="8"/>
                <c:pt idx="0">
                  <c:v>A</c:v>
                </c:pt>
                <c:pt idx="1">
                  <c:v>B</c:v>
                </c:pt>
                <c:pt idx="2">
                  <c:v>C</c:v>
                </c:pt>
                <c:pt idx="3">
                  <c:v>D</c:v>
                </c:pt>
                <c:pt idx="4">
                  <c:v>E</c:v>
                </c:pt>
                <c:pt idx="5">
                  <c:v>F</c:v>
                </c:pt>
                <c:pt idx="6">
                  <c:v>G</c:v>
                </c:pt>
                <c:pt idx="7">
                  <c:v>H</c:v>
                </c:pt>
              </c:strCache>
            </c:strRef>
          </c:cat>
          <c:val>
            <c:numRef>
              <c:f>Résultats!$C$3:$J$3</c:f>
              <c:numCache>
                <c:formatCode>General</c:formatCode>
                <c:ptCount val="8"/>
              </c:numCache>
            </c:numRef>
          </c:val>
        </c:ser>
        <c:ser>
          <c:idx val="1"/>
          <c:order val="1"/>
          <c:tx>
            <c:strRef>
              <c:f>Résultats!$B$4</c:f>
              <c:strCache>
                <c:ptCount val="1"/>
                <c:pt idx="0">
                  <c:v>Gilles</c:v>
                </c:pt>
              </c:strCache>
            </c:strRef>
          </c:tx>
          <c:spPr>
            <a:solidFill>
              <a:schemeClr val="accent2"/>
            </a:solidFill>
            <a:ln>
              <a:noFill/>
            </a:ln>
            <a:effectLst/>
          </c:spPr>
          <c:invertIfNegative val="0"/>
          <c:cat>
            <c:strRef>
              <c:f>Résultats!$C$2:$J$2</c:f>
              <c:strCache>
                <c:ptCount val="8"/>
                <c:pt idx="0">
                  <c:v>A</c:v>
                </c:pt>
                <c:pt idx="1">
                  <c:v>B</c:v>
                </c:pt>
                <c:pt idx="2">
                  <c:v>C</c:v>
                </c:pt>
                <c:pt idx="3">
                  <c:v>D</c:v>
                </c:pt>
                <c:pt idx="4">
                  <c:v>E</c:v>
                </c:pt>
                <c:pt idx="5">
                  <c:v>F</c:v>
                </c:pt>
                <c:pt idx="6">
                  <c:v>G</c:v>
                </c:pt>
                <c:pt idx="7">
                  <c:v>H</c:v>
                </c:pt>
              </c:strCache>
            </c:strRef>
          </c:cat>
          <c:val>
            <c:numRef>
              <c:f>Résultats!$C$4:$J$4</c:f>
              <c:numCache>
                <c:formatCode>General</c:formatCode>
                <c:ptCount val="8"/>
              </c:numCache>
            </c:numRef>
          </c:val>
        </c:ser>
        <c:ser>
          <c:idx val="2"/>
          <c:order val="2"/>
          <c:tx>
            <c:strRef>
              <c:f>Résultats!$B$5</c:f>
              <c:strCache>
                <c:ptCount val="1"/>
                <c:pt idx="0">
                  <c:v>Hélène</c:v>
                </c:pt>
              </c:strCache>
            </c:strRef>
          </c:tx>
          <c:spPr>
            <a:solidFill>
              <a:schemeClr val="accent3"/>
            </a:solidFill>
            <a:ln>
              <a:noFill/>
            </a:ln>
            <a:effectLst/>
          </c:spPr>
          <c:invertIfNegative val="0"/>
          <c:cat>
            <c:strRef>
              <c:f>Résultats!$C$2:$J$2</c:f>
              <c:strCache>
                <c:ptCount val="8"/>
                <c:pt idx="0">
                  <c:v>A</c:v>
                </c:pt>
                <c:pt idx="1">
                  <c:v>B</c:v>
                </c:pt>
                <c:pt idx="2">
                  <c:v>C</c:v>
                </c:pt>
                <c:pt idx="3">
                  <c:v>D</c:v>
                </c:pt>
                <c:pt idx="4">
                  <c:v>E</c:v>
                </c:pt>
                <c:pt idx="5">
                  <c:v>F</c:v>
                </c:pt>
                <c:pt idx="6">
                  <c:v>G</c:v>
                </c:pt>
                <c:pt idx="7">
                  <c:v>H</c:v>
                </c:pt>
              </c:strCache>
            </c:strRef>
          </c:cat>
          <c:val>
            <c:numRef>
              <c:f>Résultats!$C$5:$J$5</c:f>
              <c:numCache>
                <c:formatCode>General</c:formatCode>
                <c:ptCount val="8"/>
              </c:numCache>
            </c:numRef>
          </c:val>
        </c:ser>
        <c:ser>
          <c:idx val="3"/>
          <c:order val="3"/>
          <c:tx>
            <c:strRef>
              <c:f>Résultats!$B$6</c:f>
              <c:strCache>
                <c:ptCount val="1"/>
                <c:pt idx="0">
                  <c:v>Rémi</c:v>
                </c:pt>
              </c:strCache>
            </c:strRef>
          </c:tx>
          <c:spPr>
            <a:solidFill>
              <a:schemeClr val="accent4"/>
            </a:solidFill>
            <a:ln>
              <a:noFill/>
            </a:ln>
            <a:effectLst/>
          </c:spPr>
          <c:invertIfNegative val="0"/>
          <c:cat>
            <c:strRef>
              <c:f>Résultats!$C$2:$J$2</c:f>
              <c:strCache>
                <c:ptCount val="8"/>
                <c:pt idx="0">
                  <c:v>A</c:v>
                </c:pt>
                <c:pt idx="1">
                  <c:v>B</c:v>
                </c:pt>
                <c:pt idx="2">
                  <c:v>C</c:v>
                </c:pt>
                <c:pt idx="3">
                  <c:v>D</c:v>
                </c:pt>
                <c:pt idx="4">
                  <c:v>E</c:v>
                </c:pt>
                <c:pt idx="5">
                  <c:v>F</c:v>
                </c:pt>
                <c:pt idx="6">
                  <c:v>G</c:v>
                </c:pt>
                <c:pt idx="7">
                  <c:v>H</c:v>
                </c:pt>
              </c:strCache>
            </c:strRef>
          </c:cat>
          <c:val>
            <c:numRef>
              <c:f>Résultats!$C$6:$J$6</c:f>
              <c:numCache>
                <c:formatCode>General</c:formatCode>
                <c:ptCount val="8"/>
              </c:numCache>
            </c:numRef>
          </c:val>
        </c:ser>
        <c:ser>
          <c:idx val="4"/>
          <c:order val="4"/>
          <c:tx>
            <c:strRef>
              <c:f>Résultats!$B$7</c:f>
              <c:strCache>
                <c:ptCount val="1"/>
                <c:pt idx="0">
                  <c:v>Isabelle</c:v>
                </c:pt>
              </c:strCache>
            </c:strRef>
          </c:tx>
          <c:spPr>
            <a:solidFill>
              <a:schemeClr val="accent5"/>
            </a:solidFill>
            <a:ln>
              <a:noFill/>
            </a:ln>
            <a:effectLst/>
          </c:spPr>
          <c:invertIfNegative val="0"/>
          <c:cat>
            <c:strRef>
              <c:f>Résultats!$C$2:$J$2</c:f>
              <c:strCache>
                <c:ptCount val="8"/>
                <c:pt idx="0">
                  <c:v>A</c:v>
                </c:pt>
                <c:pt idx="1">
                  <c:v>B</c:v>
                </c:pt>
                <c:pt idx="2">
                  <c:v>C</c:v>
                </c:pt>
                <c:pt idx="3">
                  <c:v>D</c:v>
                </c:pt>
                <c:pt idx="4">
                  <c:v>E</c:v>
                </c:pt>
                <c:pt idx="5">
                  <c:v>F</c:v>
                </c:pt>
                <c:pt idx="6">
                  <c:v>G</c:v>
                </c:pt>
                <c:pt idx="7">
                  <c:v>H</c:v>
                </c:pt>
              </c:strCache>
            </c:strRef>
          </c:cat>
          <c:val>
            <c:numRef>
              <c:f>Résultats!$C$7:$J$7</c:f>
              <c:numCache>
                <c:formatCode>General</c:formatCode>
                <c:ptCount val="8"/>
              </c:numCache>
            </c:numRef>
          </c:val>
        </c:ser>
        <c:ser>
          <c:idx val="5"/>
          <c:order val="5"/>
          <c:tx>
            <c:strRef>
              <c:f>Résultats!$B$8</c:f>
              <c:strCache>
                <c:ptCount val="1"/>
                <c:pt idx="0">
                  <c:v>Martin</c:v>
                </c:pt>
              </c:strCache>
            </c:strRef>
          </c:tx>
          <c:spPr>
            <a:solidFill>
              <a:schemeClr val="accent6"/>
            </a:solidFill>
            <a:ln>
              <a:noFill/>
            </a:ln>
            <a:effectLst/>
          </c:spPr>
          <c:invertIfNegative val="0"/>
          <c:cat>
            <c:strRef>
              <c:f>Résultats!$C$2:$J$2</c:f>
              <c:strCache>
                <c:ptCount val="8"/>
                <c:pt idx="0">
                  <c:v>A</c:v>
                </c:pt>
                <c:pt idx="1">
                  <c:v>B</c:v>
                </c:pt>
                <c:pt idx="2">
                  <c:v>C</c:v>
                </c:pt>
                <c:pt idx="3">
                  <c:v>D</c:v>
                </c:pt>
                <c:pt idx="4">
                  <c:v>E</c:v>
                </c:pt>
                <c:pt idx="5">
                  <c:v>F</c:v>
                </c:pt>
                <c:pt idx="6">
                  <c:v>G</c:v>
                </c:pt>
                <c:pt idx="7">
                  <c:v>H</c:v>
                </c:pt>
              </c:strCache>
            </c:strRef>
          </c:cat>
          <c:val>
            <c:numRef>
              <c:f>Résultats!$C$8:$J$8</c:f>
              <c:numCache>
                <c:formatCode>General</c:formatCode>
                <c:ptCount val="8"/>
              </c:numCache>
            </c:numRef>
          </c:val>
        </c:ser>
        <c:ser>
          <c:idx val="6"/>
          <c:order val="6"/>
          <c:tx>
            <c:strRef>
              <c:f>Résultats!$B$9</c:f>
              <c:strCache>
                <c:ptCount val="1"/>
                <c:pt idx="0">
                  <c:v>Pierre-Olivier</c:v>
                </c:pt>
              </c:strCache>
            </c:strRef>
          </c:tx>
          <c:spPr>
            <a:solidFill>
              <a:schemeClr val="accent1">
                <a:lumMod val="60000"/>
              </a:schemeClr>
            </a:solidFill>
            <a:ln>
              <a:noFill/>
            </a:ln>
            <a:effectLst/>
          </c:spPr>
          <c:invertIfNegative val="0"/>
          <c:cat>
            <c:strRef>
              <c:f>Résultats!$C$2:$J$2</c:f>
              <c:strCache>
                <c:ptCount val="8"/>
                <c:pt idx="0">
                  <c:v>A</c:v>
                </c:pt>
                <c:pt idx="1">
                  <c:v>B</c:v>
                </c:pt>
                <c:pt idx="2">
                  <c:v>C</c:v>
                </c:pt>
                <c:pt idx="3">
                  <c:v>D</c:v>
                </c:pt>
                <c:pt idx="4">
                  <c:v>E</c:v>
                </c:pt>
                <c:pt idx="5">
                  <c:v>F</c:v>
                </c:pt>
                <c:pt idx="6">
                  <c:v>G</c:v>
                </c:pt>
                <c:pt idx="7">
                  <c:v>H</c:v>
                </c:pt>
              </c:strCache>
            </c:strRef>
          </c:cat>
          <c:val>
            <c:numRef>
              <c:f>Résultats!$C$9:$J$9</c:f>
              <c:numCache>
                <c:formatCode>General</c:formatCode>
                <c:ptCount val="8"/>
              </c:numCache>
            </c:numRef>
          </c:val>
        </c:ser>
        <c:ser>
          <c:idx val="7"/>
          <c:order val="7"/>
          <c:tx>
            <c:strRef>
              <c:f>Résultats!$B$10</c:f>
              <c:strCache>
                <c:ptCount val="1"/>
                <c:pt idx="0">
                  <c:v>Valérie</c:v>
                </c:pt>
              </c:strCache>
            </c:strRef>
          </c:tx>
          <c:spPr>
            <a:solidFill>
              <a:schemeClr val="accent2">
                <a:lumMod val="60000"/>
              </a:schemeClr>
            </a:solidFill>
            <a:ln>
              <a:noFill/>
            </a:ln>
            <a:effectLst/>
          </c:spPr>
          <c:invertIfNegative val="0"/>
          <c:cat>
            <c:strRef>
              <c:f>Résultats!$C$2:$J$2</c:f>
              <c:strCache>
                <c:ptCount val="8"/>
                <c:pt idx="0">
                  <c:v>A</c:v>
                </c:pt>
                <c:pt idx="1">
                  <c:v>B</c:v>
                </c:pt>
                <c:pt idx="2">
                  <c:v>C</c:v>
                </c:pt>
                <c:pt idx="3">
                  <c:v>D</c:v>
                </c:pt>
                <c:pt idx="4">
                  <c:v>E</c:v>
                </c:pt>
                <c:pt idx="5">
                  <c:v>F</c:v>
                </c:pt>
                <c:pt idx="6">
                  <c:v>G</c:v>
                </c:pt>
                <c:pt idx="7">
                  <c:v>H</c:v>
                </c:pt>
              </c:strCache>
            </c:strRef>
          </c:cat>
          <c:val>
            <c:numRef>
              <c:f>Résultats!$C$10:$J$10</c:f>
              <c:numCache>
                <c:formatCode>General</c:formatCode>
                <c:ptCount val="8"/>
              </c:numCache>
            </c:numRef>
          </c:val>
        </c:ser>
        <c:dLbls>
          <c:showLegendKey val="0"/>
          <c:showVal val="0"/>
          <c:showCatName val="0"/>
          <c:showSerName val="0"/>
          <c:showPercent val="0"/>
          <c:showBubbleSize val="0"/>
        </c:dLbls>
        <c:gapWidth val="219"/>
        <c:overlap val="-27"/>
        <c:axId val="939367472"/>
        <c:axId val="939368016"/>
      </c:barChart>
      <c:catAx>
        <c:axId val="939367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9368016"/>
        <c:crosses val="autoZero"/>
        <c:auto val="1"/>
        <c:lblAlgn val="ctr"/>
        <c:lblOffset val="100"/>
        <c:noMultiLvlLbl val="0"/>
      </c:catAx>
      <c:valAx>
        <c:axId val="939368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9367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Résultats!$C$2</c:f>
              <c:strCache>
                <c:ptCount val="1"/>
                <c:pt idx="0">
                  <c:v>A</c:v>
                </c:pt>
              </c:strCache>
            </c:strRef>
          </c:tx>
          <c:spPr>
            <a:solidFill>
              <a:schemeClr val="accent1"/>
            </a:solidFill>
            <a:ln>
              <a:noFill/>
            </a:ln>
            <a:effectLst/>
          </c:spPr>
          <c:invertIfNegative val="0"/>
          <c:cat>
            <c:strRef>
              <c:extLst>
                <c:ext xmlns:c15="http://schemas.microsoft.com/office/drawing/2012/chart" uri="{02D57815-91ED-43cb-92C2-25804820EDAC}">
                  <c15:fullRef>
                    <c15:sqref>Résultats!$B$3:$B$10</c15:sqref>
                  </c15:fullRef>
                </c:ext>
              </c:extLst>
              <c:f>Résultats!$B$10</c:f>
              <c:strCache>
                <c:ptCount val="1"/>
                <c:pt idx="0">
                  <c:v>Valérie</c:v>
                </c:pt>
              </c:strCache>
            </c:strRef>
          </c:cat>
          <c:val>
            <c:numRef>
              <c:extLst>
                <c:ext xmlns:c15="http://schemas.microsoft.com/office/drawing/2012/chart" uri="{02D57815-91ED-43cb-92C2-25804820EDAC}">
                  <c15:fullRef>
                    <c15:sqref>Résultats!$C$3:$C$10</c15:sqref>
                  </c15:fullRef>
                </c:ext>
              </c:extLst>
              <c:f>Résultats!$C$10</c:f>
              <c:numCache>
                <c:formatCode>General</c:formatCode>
                <c:ptCount val="1"/>
              </c:numCache>
            </c:numRef>
          </c:val>
        </c:ser>
        <c:ser>
          <c:idx val="1"/>
          <c:order val="1"/>
          <c:tx>
            <c:strRef>
              <c:f>Résultats!$D$2</c:f>
              <c:strCache>
                <c:ptCount val="1"/>
                <c:pt idx="0">
                  <c:v>B</c:v>
                </c:pt>
              </c:strCache>
            </c:strRef>
          </c:tx>
          <c:spPr>
            <a:solidFill>
              <a:schemeClr val="accent2"/>
            </a:solidFill>
            <a:ln>
              <a:noFill/>
            </a:ln>
            <a:effectLst/>
          </c:spPr>
          <c:invertIfNegative val="0"/>
          <c:cat>
            <c:strRef>
              <c:extLst>
                <c:ext xmlns:c15="http://schemas.microsoft.com/office/drawing/2012/chart" uri="{02D57815-91ED-43cb-92C2-25804820EDAC}">
                  <c15:fullRef>
                    <c15:sqref>Résultats!$B$3:$B$10</c15:sqref>
                  </c15:fullRef>
                </c:ext>
              </c:extLst>
              <c:f>Résultats!$B$10</c:f>
              <c:strCache>
                <c:ptCount val="1"/>
                <c:pt idx="0">
                  <c:v>Valérie</c:v>
                </c:pt>
              </c:strCache>
            </c:strRef>
          </c:cat>
          <c:val>
            <c:numRef>
              <c:extLst>
                <c:ext xmlns:c15="http://schemas.microsoft.com/office/drawing/2012/chart" uri="{02D57815-91ED-43cb-92C2-25804820EDAC}">
                  <c15:fullRef>
                    <c15:sqref>Résultats!$D$3:$D$10</c15:sqref>
                  </c15:fullRef>
                </c:ext>
              </c:extLst>
              <c:f>Résultats!$D$10</c:f>
              <c:numCache>
                <c:formatCode>General</c:formatCode>
                <c:ptCount val="1"/>
              </c:numCache>
            </c:numRef>
          </c:val>
        </c:ser>
        <c:ser>
          <c:idx val="2"/>
          <c:order val="2"/>
          <c:tx>
            <c:strRef>
              <c:f>Résultats!$E$2</c:f>
              <c:strCache>
                <c:ptCount val="1"/>
                <c:pt idx="0">
                  <c:v>C</c:v>
                </c:pt>
              </c:strCache>
            </c:strRef>
          </c:tx>
          <c:spPr>
            <a:solidFill>
              <a:schemeClr val="accent3"/>
            </a:solidFill>
            <a:ln>
              <a:noFill/>
            </a:ln>
            <a:effectLst/>
          </c:spPr>
          <c:invertIfNegative val="0"/>
          <c:cat>
            <c:strRef>
              <c:extLst>
                <c:ext xmlns:c15="http://schemas.microsoft.com/office/drawing/2012/chart" uri="{02D57815-91ED-43cb-92C2-25804820EDAC}">
                  <c15:fullRef>
                    <c15:sqref>Résultats!$B$3:$B$10</c15:sqref>
                  </c15:fullRef>
                </c:ext>
              </c:extLst>
              <c:f>Résultats!$B$10</c:f>
              <c:strCache>
                <c:ptCount val="1"/>
                <c:pt idx="0">
                  <c:v>Valérie</c:v>
                </c:pt>
              </c:strCache>
            </c:strRef>
          </c:cat>
          <c:val>
            <c:numRef>
              <c:extLst>
                <c:ext xmlns:c15="http://schemas.microsoft.com/office/drawing/2012/chart" uri="{02D57815-91ED-43cb-92C2-25804820EDAC}">
                  <c15:fullRef>
                    <c15:sqref>Résultats!$E$3:$E$10</c15:sqref>
                  </c15:fullRef>
                </c:ext>
              </c:extLst>
              <c:f>Résultats!$E$10</c:f>
              <c:numCache>
                <c:formatCode>General</c:formatCode>
                <c:ptCount val="1"/>
              </c:numCache>
            </c:numRef>
          </c:val>
        </c:ser>
        <c:ser>
          <c:idx val="3"/>
          <c:order val="3"/>
          <c:tx>
            <c:strRef>
              <c:f>Résultats!$F$2</c:f>
              <c:strCache>
                <c:ptCount val="1"/>
                <c:pt idx="0">
                  <c:v>D</c:v>
                </c:pt>
              </c:strCache>
            </c:strRef>
          </c:tx>
          <c:spPr>
            <a:solidFill>
              <a:schemeClr val="accent4"/>
            </a:solidFill>
            <a:ln>
              <a:noFill/>
            </a:ln>
            <a:effectLst/>
          </c:spPr>
          <c:invertIfNegative val="0"/>
          <c:cat>
            <c:strRef>
              <c:extLst>
                <c:ext xmlns:c15="http://schemas.microsoft.com/office/drawing/2012/chart" uri="{02D57815-91ED-43cb-92C2-25804820EDAC}">
                  <c15:fullRef>
                    <c15:sqref>Résultats!$B$3:$B$10</c15:sqref>
                  </c15:fullRef>
                </c:ext>
              </c:extLst>
              <c:f>Résultats!$B$10</c:f>
              <c:strCache>
                <c:ptCount val="1"/>
                <c:pt idx="0">
                  <c:v>Valérie</c:v>
                </c:pt>
              </c:strCache>
            </c:strRef>
          </c:cat>
          <c:val>
            <c:numRef>
              <c:extLst>
                <c:ext xmlns:c15="http://schemas.microsoft.com/office/drawing/2012/chart" uri="{02D57815-91ED-43cb-92C2-25804820EDAC}">
                  <c15:fullRef>
                    <c15:sqref>Résultats!$F$3:$F$10</c15:sqref>
                  </c15:fullRef>
                </c:ext>
              </c:extLst>
              <c:f>Résultats!$F$10</c:f>
              <c:numCache>
                <c:formatCode>General</c:formatCode>
                <c:ptCount val="1"/>
              </c:numCache>
            </c:numRef>
          </c:val>
        </c:ser>
        <c:ser>
          <c:idx val="4"/>
          <c:order val="4"/>
          <c:tx>
            <c:strRef>
              <c:f>Résultats!$G$2</c:f>
              <c:strCache>
                <c:ptCount val="1"/>
                <c:pt idx="0">
                  <c:v>E</c:v>
                </c:pt>
              </c:strCache>
            </c:strRef>
          </c:tx>
          <c:spPr>
            <a:solidFill>
              <a:schemeClr val="accent5"/>
            </a:solidFill>
            <a:ln>
              <a:noFill/>
            </a:ln>
            <a:effectLst/>
          </c:spPr>
          <c:invertIfNegative val="0"/>
          <c:cat>
            <c:strRef>
              <c:extLst>
                <c:ext xmlns:c15="http://schemas.microsoft.com/office/drawing/2012/chart" uri="{02D57815-91ED-43cb-92C2-25804820EDAC}">
                  <c15:fullRef>
                    <c15:sqref>Résultats!$B$3:$B$10</c15:sqref>
                  </c15:fullRef>
                </c:ext>
              </c:extLst>
              <c:f>Résultats!$B$10</c:f>
              <c:strCache>
                <c:ptCount val="1"/>
                <c:pt idx="0">
                  <c:v>Valérie</c:v>
                </c:pt>
              </c:strCache>
            </c:strRef>
          </c:cat>
          <c:val>
            <c:numRef>
              <c:extLst>
                <c:ext xmlns:c15="http://schemas.microsoft.com/office/drawing/2012/chart" uri="{02D57815-91ED-43cb-92C2-25804820EDAC}">
                  <c15:fullRef>
                    <c15:sqref>Résultats!$G$3:$G$10</c15:sqref>
                  </c15:fullRef>
                </c:ext>
              </c:extLst>
              <c:f>Résultats!$G$10</c:f>
              <c:numCache>
                <c:formatCode>General</c:formatCode>
                <c:ptCount val="1"/>
              </c:numCache>
            </c:numRef>
          </c:val>
        </c:ser>
        <c:ser>
          <c:idx val="5"/>
          <c:order val="5"/>
          <c:tx>
            <c:strRef>
              <c:f>Résultats!$H$2</c:f>
              <c:strCache>
                <c:ptCount val="1"/>
                <c:pt idx="0">
                  <c:v>F</c:v>
                </c:pt>
              </c:strCache>
            </c:strRef>
          </c:tx>
          <c:spPr>
            <a:solidFill>
              <a:schemeClr val="accent6"/>
            </a:solidFill>
            <a:ln>
              <a:noFill/>
            </a:ln>
            <a:effectLst/>
          </c:spPr>
          <c:invertIfNegative val="0"/>
          <c:cat>
            <c:strRef>
              <c:extLst>
                <c:ext xmlns:c15="http://schemas.microsoft.com/office/drawing/2012/chart" uri="{02D57815-91ED-43cb-92C2-25804820EDAC}">
                  <c15:fullRef>
                    <c15:sqref>Résultats!$B$3:$B$10</c15:sqref>
                  </c15:fullRef>
                </c:ext>
              </c:extLst>
              <c:f>Résultats!$B$10</c:f>
              <c:strCache>
                <c:ptCount val="1"/>
                <c:pt idx="0">
                  <c:v>Valérie</c:v>
                </c:pt>
              </c:strCache>
            </c:strRef>
          </c:cat>
          <c:val>
            <c:numRef>
              <c:extLst>
                <c:ext xmlns:c15="http://schemas.microsoft.com/office/drawing/2012/chart" uri="{02D57815-91ED-43cb-92C2-25804820EDAC}">
                  <c15:fullRef>
                    <c15:sqref>Résultats!$H$3:$H$10</c15:sqref>
                  </c15:fullRef>
                </c:ext>
              </c:extLst>
              <c:f>Résultats!$H$10</c:f>
              <c:numCache>
                <c:formatCode>General</c:formatCode>
                <c:ptCount val="1"/>
              </c:numCache>
            </c:numRef>
          </c:val>
        </c:ser>
        <c:ser>
          <c:idx val="6"/>
          <c:order val="6"/>
          <c:tx>
            <c:strRef>
              <c:f>Résultats!$I$2</c:f>
              <c:strCache>
                <c:ptCount val="1"/>
                <c:pt idx="0">
                  <c:v>G</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Résultats!$B$3:$B$10</c15:sqref>
                  </c15:fullRef>
                </c:ext>
              </c:extLst>
              <c:f>Résultats!$B$10</c:f>
              <c:strCache>
                <c:ptCount val="1"/>
                <c:pt idx="0">
                  <c:v>Valérie</c:v>
                </c:pt>
              </c:strCache>
            </c:strRef>
          </c:cat>
          <c:val>
            <c:numRef>
              <c:extLst>
                <c:ext xmlns:c15="http://schemas.microsoft.com/office/drawing/2012/chart" uri="{02D57815-91ED-43cb-92C2-25804820EDAC}">
                  <c15:fullRef>
                    <c15:sqref>Résultats!$I$3:$I$10</c15:sqref>
                  </c15:fullRef>
                </c:ext>
              </c:extLst>
              <c:f>Résultats!$I$10</c:f>
              <c:numCache>
                <c:formatCode>General</c:formatCode>
                <c:ptCount val="1"/>
              </c:numCache>
            </c:numRef>
          </c:val>
        </c:ser>
        <c:ser>
          <c:idx val="7"/>
          <c:order val="7"/>
          <c:tx>
            <c:strRef>
              <c:f>Résultats!$J$2</c:f>
              <c:strCache>
                <c:ptCount val="1"/>
                <c:pt idx="0">
                  <c:v>H</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Résultats!$B$3:$B$10</c15:sqref>
                  </c15:fullRef>
                </c:ext>
              </c:extLst>
              <c:f>Résultats!$B$10</c:f>
              <c:strCache>
                <c:ptCount val="1"/>
                <c:pt idx="0">
                  <c:v>Valérie</c:v>
                </c:pt>
              </c:strCache>
            </c:strRef>
          </c:cat>
          <c:val>
            <c:numRef>
              <c:extLst>
                <c:ext xmlns:c15="http://schemas.microsoft.com/office/drawing/2012/chart" uri="{02D57815-91ED-43cb-92C2-25804820EDAC}">
                  <c15:fullRef>
                    <c15:sqref>Résultats!$J$3:$J$10</c15:sqref>
                  </c15:fullRef>
                </c:ext>
              </c:extLst>
              <c:f>Résultats!$J$10</c:f>
              <c:numCache>
                <c:formatCode>General</c:formatCode>
                <c:ptCount val="1"/>
              </c:numCache>
            </c:numRef>
          </c:val>
        </c:ser>
        <c:dLbls>
          <c:showLegendKey val="0"/>
          <c:showVal val="0"/>
          <c:showCatName val="0"/>
          <c:showSerName val="0"/>
          <c:showPercent val="0"/>
          <c:showBubbleSize val="0"/>
        </c:dLbls>
        <c:gapWidth val="219"/>
        <c:overlap val="-27"/>
        <c:axId val="939370736"/>
        <c:axId val="938579408"/>
      </c:barChart>
      <c:catAx>
        <c:axId val="9393707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800" b="1" i="0" u="none" strike="noStrike" kern="1200" baseline="0">
                <a:solidFill>
                  <a:schemeClr val="tx1">
                    <a:lumMod val="65000"/>
                    <a:lumOff val="35000"/>
                  </a:schemeClr>
                </a:solidFill>
                <a:latin typeface="+mn-lt"/>
                <a:ea typeface="+mn-ea"/>
                <a:cs typeface="+mn-cs"/>
              </a:defRPr>
            </a:pPr>
            <a:endParaRPr lang="fr-FR"/>
          </a:p>
        </c:txPr>
        <c:crossAx val="938579408"/>
        <c:crosses val="autoZero"/>
        <c:auto val="1"/>
        <c:lblAlgn val="ctr"/>
        <c:lblOffset val="100"/>
        <c:noMultiLvlLbl val="0"/>
      </c:catAx>
      <c:valAx>
        <c:axId val="938579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9370736"/>
        <c:crosses val="autoZero"/>
        <c:crossBetween val="between"/>
      </c:valAx>
      <c:spPr>
        <a:noFill/>
        <a:ln>
          <a:noFill/>
        </a:ln>
        <a:effectLst/>
      </c:spPr>
    </c:plotArea>
    <c:legend>
      <c:legendPos val="t"/>
      <c:layout>
        <c:manualLayout>
          <c:xMode val="edge"/>
          <c:yMode val="edge"/>
          <c:x val="9.9638944023963769E-2"/>
          <c:y val="1.4981273408239701E-2"/>
          <c:w val="0.76443819458234219"/>
          <c:h val="9.9470936919401939E-2"/>
        </c:manualLayout>
      </c:layout>
      <c:overlay val="0"/>
      <c:spPr>
        <a:noFill/>
        <a:ln>
          <a:solidFill>
            <a:schemeClr val="accent1"/>
          </a:solidFill>
        </a:ln>
        <a:effectLst/>
      </c:spPr>
      <c:txPr>
        <a:bodyPr rot="0" spcFirstLastPara="1" vertOverflow="ellipsis" vert="horz" wrap="square" anchor="ctr" anchorCtr="1"/>
        <a:lstStyle/>
        <a:p>
          <a:pPr>
            <a:defRPr sz="2800" b="0" i="0" u="none" strike="noStrike" kern="1200" baseline="0">
              <a:ln>
                <a:noFill/>
              </a:ln>
              <a:solidFill>
                <a:schemeClr val="tx1">
                  <a:lumMod val="65000"/>
                  <a:lumOff val="35000"/>
                </a:schemeClr>
              </a:solidFill>
              <a:effectLst>
                <a:outerShdw blurRad="50800" dist="50800" dir="5400000" sx="1000" sy="1000" algn="ctr" rotWithShape="0">
                  <a:srgbClr val="000000">
                    <a:alpha val="43137"/>
                  </a:srgbClr>
                </a:outerShdw>
              </a:effectLst>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Résultat!$C$3</c:f>
              <c:strCache>
                <c:ptCount val="1"/>
                <c:pt idx="0">
                  <c:v>A</c:v>
                </c:pt>
              </c:strCache>
            </c:strRef>
          </c:tx>
          <c:spPr>
            <a:solidFill>
              <a:schemeClr val="accent1"/>
            </a:solidFill>
            <a:ln>
              <a:noFill/>
            </a:ln>
            <a:effectLst/>
          </c:spPr>
          <c:invertIfNegative val="0"/>
          <c:cat>
            <c:strRef>
              <c:f>Résultat!$B$4:$B$11</c:f>
              <c:strCache>
                <c:ptCount val="8"/>
                <c:pt idx="0">
                  <c:v>Isabelle</c:v>
                </c:pt>
                <c:pt idx="1">
                  <c:v>Hélène</c:v>
                </c:pt>
                <c:pt idx="2">
                  <c:v>Rémi</c:v>
                </c:pt>
                <c:pt idx="3">
                  <c:v>Pierre-Olivier</c:v>
                </c:pt>
                <c:pt idx="4">
                  <c:v>Brigitte</c:v>
                </c:pt>
                <c:pt idx="5">
                  <c:v>Gilles</c:v>
                </c:pt>
                <c:pt idx="6">
                  <c:v>Martin</c:v>
                </c:pt>
                <c:pt idx="7">
                  <c:v>Valérie</c:v>
                </c:pt>
              </c:strCache>
            </c:strRef>
          </c:cat>
          <c:val>
            <c:numRef>
              <c:f>Résultat!$C$4:$C$11</c:f>
              <c:numCache>
                <c:formatCode>General</c:formatCode>
                <c:ptCount val="8"/>
                <c:pt idx="1">
                  <c:v>1</c:v>
                </c:pt>
                <c:pt idx="3">
                  <c:v>3</c:v>
                </c:pt>
                <c:pt idx="5">
                  <c:v>2</c:v>
                </c:pt>
                <c:pt idx="6">
                  <c:v>1</c:v>
                </c:pt>
                <c:pt idx="7">
                  <c:v>1</c:v>
                </c:pt>
              </c:numCache>
            </c:numRef>
          </c:val>
        </c:ser>
        <c:ser>
          <c:idx val="1"/>
          <c:order val="1"/>
          <c:tx>
            <c:strRef>
              <c:f>Résultat!$D$3</c:f>
              <c:strCache>
                <c:ptCount val="1"/>
                <c:pt idx="0">
                  <c:v>B</c:v>
                </c:pt>
              </c:strCache>
            </c:strRef>
          </c:tx>
          <c:spPr>
            <a:solidFill>
              <a:schemeClr val="accent2"/>
            </a:solidFill>
            <a:ln>
              <a:noFill/>
            </a:ln>
            <a:effectLst/>
          </c:spPr>
          <c:invertIfNegative val="0"/>
          <c:cat>
            <c:strRef>
              <c:f>Résultat!$B$4:$B$11</c:f>
              <c:strCache>
                <c:ptCount val="8"/>
                <c:pt idx="0">
                  <c:v>Isabelle</c:v>
                </c:pt>
                <c:pt idx="1">
                  <c:v>Hélène</c:v>
                </c:pt>
                <c:pt idx="2">
                  <c:v>Rémi</c:v>
                </c:pt>
                <c:pt idx="3">
                  <c:v>Pierre-Olivier</c:v>
                </c:pt>
                <c:pt idx="4">
                  <c:v>Brigitte</c:v>
                </c:pt>
                <c:pt idx="5">
                  <c:v>Gilles</c:v>
                </c:pt>
                <c:pt idx="6">
                  <c:v>Martin</c:v>
                </c:pt>
                <c:pt idx="7">
                  <c:v>Valérie</c:v>
                </c:pt>
              </c:strCache>
            </c:strRef>
          </c:cat>
          <c:val>
            <c:numRef>
              <c:f>Résultat!$D$4:$D$11</c:f>
              <c:numCache>
                <c:formatCode>General</c:formatCode>
                <c:ptCount val="8"/>
                <c:pt idx="0">
                  <c:v>1</c:v>
                </c:pt>
                <c:pt idx="1">
                  <c:v>1</c:v>
                </c:pt>
                <c:pt idx="2">
                  <c:v>1</c:v>
                </c:pt>
                <c:pt idx="4">
                  <c:v>1</c:v>
                </c:pt>
                <c:pt idx="5">
                  <c:v>1</c:v>
                </c:pt>
                <c:pt idx="6">
                  <c:v>1</c:v>
                </c:pt>
                <c:pt idx="7">
                  <c:v>2</c:v>
                </c:pt>
              </c:numCache>
            </c:numRef>
          </c:val>
        </c:ser>
        <c:ser>
          <c:idx val="2"/>
          <c:order val="2"/>
          <c:tx>
            <c:strRef>
              <c:f>Résultat!$E$3</c:f>
              <c:strCache>
                <c:ptCount val="1"/>
                <c:pt idx="0">
                  <c:v>C</c:v>
                </c:pt>
              </c:strCache>
            </c:strRef>
          </c:tx>
          <c:spPr>
            <a:solidFill>
              <a:schemeClr val="accent3"/>
            </a:solidFill>
            <a:ln>
              <a:noFill/>
            </a:ln>
            <a:effectLst/>
          </c:spPr>
          <c:invertIfNegative val="0"/>
          <c:cat>
            <c:strRef>
              <c:f>Résultat!$B$4:$B$11</c:f>
              <c:strCache>
                <c:ptCount val="8"/>
                <c:pt idx="0">
                  <c:v>Isabelle</c:v>
                </c:pt>
                <c:pt idx="1">
                  <c:v>Hélène</c:v>
                </c:pt>
                <c:pt idx="2">
                  <c:v>Rémi</c:v>
                </c:pt>
                <c:pt idx="3">
                  <c:v>Pierre-Olivier</c:v>
                </c:pt>
                <c:pt idx="4">
                  <c:v>Brigitte</c:v>
                </c:pt>
                <c:pt idx="5">
                  <c:v>Gilles</c:v>
                </c:pt>
                <c:pt idx="6">
                  <c:v>Martin</c:v>
                </c:pt>
                <c:pt idx="7">
                  <c:v>Valérie</c:v>
                </c:pt>
              </c:strCache>
            </c:strRef>
          </c:cat>
          <c:val>
            <c:numRef>
              <c:f>Résultat!$E$4:$E$11</c:f>
              <c:numCache>
                <c:formatCode>General</c:formatCode>
                <c:ptCount val="8"/>
                <c:pt idx="0">
                  <c:v>2</c:v>
                </c:pt>
                <c:pt idx="1">
                  <c:v>1</c:v>
                </c:pt>
                <c:pt idx="3">
                  <c:v>2</c:v>
                </c:pt>
                <c:pt idx="4">
                  <c:v>1</c:v>
                </c:pt>
                <c:pt idx="6">
                  <c:v>2</c:v>
                </c:pt>
              </c:numCache>
            </c:numRef>
          </c:val>
        </c:ser>
        <c:ser>
          <c:idx val="3"/>
          <c:order val="3"/>
          <c:tx>
            <c:strRef>
              <c:f>Résultat!$F$3</c:f>
              <c:strCache>
                <c:ptCount val="1"/>
                <c:pt idx="0">
                  <c:v>D</c:v>
                </c:pt>
              </c:strCache>
            </c:strRef>
          </c:tx>
          <c:spPr>
            <a:solidFill>
              <a:schemeClr val="accent4"/>
            </a:solidFill>
            <a:ln>
              <a:noFill/>
            </a:ln>
            <a:effectLst/>
          </c:spPr>
          <c:invertIfNegative val="0"/>
          <c:cat>
            <c:strRef>
              <c:f>Résultat!$B$4:$B$11</c:f>
              <c:strCache>
                <c:ptCount val="8"/>
                <c:pt idx="0">
                  <c:v>Isabelle</c:v>
                </c:pt>
                <c:pt idx="1">
                  <c:v>Hélène</c:v>
                </c:pt>
                <c:pt idx="2">
                  <c:v>Rémi</c:v>
                </c:pt>
                <c:pt idx="3">
                  <c:v>Pierre-Olivier</c:v>
                </c:pt>
                <c:pt idx="4">
                  <c:v>Brigitte</c:v>
                </c:pt>
                <c:pt idx="5">
                  <c:v>Gilles</c:v>
                </c:pt>
                <c:pt idx="6">
                  <c:v>Martin</c:v>
                </c:pt>
                <c:pt idx="7">
                  <c:v>Valérie</c:v>
                </c:pt>
              </c:strCache>
            </c:strRef>
          </c:cat>
          <c:val>
            <c:numRef>
              <c:f>Résultat!$F$4:$F$11</c:f>
              <c:numCache>
                <c:formatCode>General</c:formatCode>
                <c:ptCount val="8"/>
                <c:pt idx="0">
                  <c:v>4</c:v>
                </c:pt>
                <c:pt idx="3">
                  <c:v>1</c:v>
                </c:pt>
                <c:pt idx="4">
                  <c:v>1</c:v>
                </c:pt>
                <c:pt idx="5">
                  <c:v>1</c:v>
                </c:pt>
                <c:pt idx="6">
                  <c:v>1</c:v>
                </c:pt>
              </c:numCache>
            </c:numRef>
          </c:val>
        </c:ser>
        <c:ser>
          <c:idx val="4"/>
          <c:order val="4"/>
          <c:tx>
            <c:strRef>
              <c:f>Résultat!$G$3</c:f>
              <c:strCache>
                <c:ptCount val="1"/>
                <c:pt idx="0">
                  <c:v>E</c:v>
                </c:pt>
              </c:strCache>
            </c:strRef>
          </c:tx>
          <c:spPr>
            <a:solidFill>
              <a:schemeClr val="accent5"/>
            </a:solidFill>
            <a:ln>
              <a:noFill/>
            </a:ln>
            <a:effectLst/>
          </c:spPr>
          <c:invertIfNegative val="0"/>
          <c:cat>
            <c:strRef>
              <c:f>Résultat!$B$4:$B$11</c:f>
              <c:strCache>
                <c:ptCount val="8"/>
                <c:pt idx="0">
                  <c:v>Isabelle</c:v>
                </c:pt>
                <c:pt idx="1">
                  <c:v>Hélène</c:v>
                </c:pt>
                <c:pt idx="2">
                  <c:v>Rémi</c:v>
                </c:pt>
                <c:pt idx="3">
                  <c:v>Pierre-Olivier</c:v>
                </c:pt>
                <c:pt idx="4">
                  <c:v>Brigitte</c:v>
                </c:pt>
                <c:pt idx="5">
                  <c:v>Gilles</c:v>
                </c:pt>
                <c:pt idx="6">
                  <c:v>Martin</c:v>
                </c:pt>
                <c:pt idx="7">
                  <c:v>Valérie</c:v>
                </c:pt>
              </c:strCache>
            </c:strRef>
          </c:cat>
          <c:val>
            <c:numRef>
              <c:f>Résultat!$G$4:$G$11</c:f>
              <c:numCache>
                <c:formatCode>General</c:formatCode>
                <c:ptCount val="8"/>
                <c:pt idx="1">
                  <c:v>3</c:v>
                </c:pt>
                <c:pt idx="2">
                  <c:v>2</c:v>
                </c:pt>
                <c:pt idx="4">
                  <c:v>1</c:v>
                </c:pt>
                <c:pt idx="5">
                  <c:v>1</c:v>
                </c:pt>
                <c:pt idx="7">
                  <c:v>1</c:v>
                </c:pt>
              </c:numCache>
            </c:numRef>
          </c:val>
        </c:ser>
        <c:ser>
          <c:idx val="5"/>
          <c:order val="5"/>
          <c:tx>
            <c:strRef>
              <c:f>Résultat!$H$3</c:f>
              <c:strCache>
                <c:ptCount val="1"/>
                <c:pt idx="0">
                  <c:v>F</c:v>
                </c:pt>
              </c:strCache>
            </c:strRef>
          </c:tx>
          <c:spPr>
            <a:solidFill>
              <a:schemeClr val="accent6"/>
            </a:solidFill>
            <a:ln>
              <a:noFill/>
            </a:ln>
            <a:effectLst/>
          </c:spPr>
          <c:invertIfNegative val="0"/>
          <c:cat>
            <c:strRef>
              <c:f>Résultat!$B$4:$B$11</c:f>
              <c:strCache>
                <c:ptCount val="8"/>
                <c:pt idx="0">
                  <c:v>Isabelle</c:v>
                </c:pt>
                <c:pt idx="1">
                  <c:v>Hélène</c:v>
                </c:pt>
                <c:pt idx="2">
                  <c:v>Rémi</c:v>
                </c:pt>
                <c:pt idx="3">
                  <c:v>Pierre-Olivier</c:v>
                </c:pt>
                <c:pt idx="4">
                  <c:v>Brigitte</c:v>
                </c:pt>
                <c:pt idx="5">
                  <c:v>Gilles</c:v>
                </c:pt>
                <c:pt idx="6">
                  <c:v>Martin</c:v>
                </c:pt>
                <c:pt idx="7">
                  <c:v>Valérie</c:v>
                </c:pt>
              </c:strCache>
            </c:strRef>
          </c:cat>
          <c:val>
            <c:numRef>
              <c:f>Résultat!$H$4:$H$11</c:f>
              <c:numCache>
                <c:formatCode>General</c:formatCode>
                <c:ptCount val="8"/>
                <c:pt idx="0">
                  <c:v>1</c:v>
                </c:pt>
                <c:pt idx="1">
                  <c:v>2</c:v>
                </c:pt>
                <c:pt idx="2">
                  <c:v>3</c:v>
                </c:pt>
                <c:pt idx="5">
                  <c:v>2</c:v>
                </c:pt>
              </c:numCache>
            </c:numRef>
          </c:val>
        </c:ser>
        <c:ser>
          <c:idx val="6"/>
          <c:order val="6"/>
          <c:tx>
            <c:strRef>
              <c:f>Résultat!$I$3</c:f>
              <c:strCache>
                <c:ptCount val="1"/>
                <c:pt idx="0">
                  <c:v>G</c:v>
                </c:pt>
              </c:strCache>
            </c:strRef>
          </c:tx>
          <c:spPr>
            <a:solidFill>
              <a:schemeClr val="accent1">
                <a:lumMod val="60000"/>
              </a:schemeClr>
            </a:solidFill>
            <a:ln>
              <a:noFill/>
            </a:ln>
            <a:effectLst/>
          </c:spPr>
          <c:invertIfNegative val="0"/>
          <c:cat>
            <c:strRef>
              <c:f>Résultat!$B$4:$B$11</c:f>
              <c:strCache>
                <c:ptCount val="8"/>
                <c:pt idx="0">
                  <c:v>Isabelle</c:v>
                </c:pt>
                <c:pt idx="1">
                  <c:v>Hélène</c:v>
                </c:pt>
                <c:pt idx="2">
                  <c:v>Rémi</c:v>
                </c:pt>
                <c:pt idx="3">
                  <c:v>Pierre-Olivier</c:v>
                </c:pt>
                <c:pt idx="4">
                  <c:v>Brigitte</c:v>
                </c:pt>
                <c:pt idx="5">
                  <c:v>Gilles</c:v>
                </c:pt>
                <c:pt idx="6">
                  <c:v>Martin</c:v>
                </c:pt>
                <c:pt idx="7">
                  <c:v>Valérie</c:v>
                </c:pt>
              </c:strCache>
            </c:strRef>
          </c:cat>
          <c:val>
            <c:numRef>
              <c:f>Résultat!$I$4:$I$11</c:f>
              <c:numCache>
                <c:formatCode>General</c:formatCode>
                <c:ptCount val="8"/>
                <c:pt idx="2">
                  <c:v>1</c:v>
                </c:pt>
                <c:pt idx="3">
                  <c:v>2</c:v>
                </c:pt>
                <c:pt idx="4">
                  <c:v>2</c:v>
                </c:pt>
                <c:pt idx="6">
                  <c:v>1</c:v>
                </c:pt>
                <c:pt idx="7">
                  <c:v>2</c:v>
                </c:pt>
              </c:numCache>
            </c:numRef>
          </c:val>
        </c:ser>
        <c:ser>
          <c:idx val="7"/>
          <c:order val="7"/>
          <c:tx>
            <c:strRef>
              <c:f>Résultat!$J$3</c:f>
              <c:strCache>
                <c:ptCount val="1"/>
                <c:pt idx="0">
                  <c:v>H</c:v>
                </c:pt>
              </c:strCache>
            </c:strRef>
          </c:tx>
          <c:spPr>
            <a:solidFill>
              <a:schemeClr val="accent2">
                <a:lumMod val="60000"/>
              </a:schemeClr>
            </a:solidFill>
            <a:ln>
              <a:noFill/>
            </a:ln>
            <a:effectLst/>
          </c:spPr>
          <c:invertIfNegative val="0"/>
          <c:cat>
            <c:strRef>
              <c:f>Résultat!$B$4:$B$11</c:f>
              <c:strCache>
                <c:ptCount val="8"/>
                <c:pt idx="0">
                  <c:v>Isabelle</c:v>
                </c:pt>
                <c:pt idx="1">
                  <c:v>Hélène</c:v>
                </c:pt>
                <c:pt idx="2">
                  <c:v>Rémi</c:v>
                </c:pt>
                <c:pt idx="3">
                  <c:v>Pierre-Olivier</c:v>
                </c:pt>
                <c:pt idx="4">
                  <c:v>Brigitte</c:v>
                </c:pt>
                <c:pt idx="5">
                  <c:v>Gilles</c:v>
                </c:pt>
                <c:pt idx="6">
                  <c:v>Martin</c:v>
                </c:pt>
                <c:pt idx="7">
                  <c:v>Valérie</c:v>
                </c:pt>
              </c:strCache>
            </c:strRef>
          </c:cat>
          <c:val>
            <c:numRef>
              <c:f>Résultat!$J$4:$J$11</c:f>
              <c:numCache>
                <c:formatCode>General</c:formatCode>
                <c:ptCount val="8"/>
                <c:pt idx="2">
                  <c:v>1</c:v>
                </c:pt>
                <c:pt idx="4">
                  <c:v>2</c:v>
                </c:pt>
                <c:pt idx="5">
                  <c:v>1</c:v>
                </c:pt>
                <c:pt idx="6">
                  <c:v>2</c:v>
                </c:pt>
                <c:pt idx="7">
                  <c:v>2</c:v>
                </c:pt>
              </c:numCache>
            </c:numRef>
          </c:val>
        </c:ser>
        <c:dLbls>
          <c:showLegendKey val="0"/>
          <c:showVal val="0"/>
          <c:showCatName val="0"/>
          <c:showSerName val="0"/>
          <c:showPercent val="0"/>
          <c:showBubbleSize val="0"/>
        </c:dLbls>
        <c:gapWidth val="219"/>
        <c:overlap val="-27"/>
        <c:axId val="1172765760"/>
        <c:axId val="1172775552"/>
      </c:barChart>
      <c:catAx>
        <c:axId val="117276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fr-FR"/>
          </a:p>
        </c:txPr>
        <c:crossAx val="1172775552"/>
        <c:crosses val="autoZero"/>
        <c:auto val="1"/>
        <c:lblAlgn val="ctr"/>
        <c:lblOffset val="100"/>
        <c:noMultiLvlLbl val="0"/>
      </c:catAx>
      <c:valAx>
        <c:axId val="117277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7276576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2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10.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182880</xdr:colOff>
          <xdr:row>1</xdr:row>
          <xdr:rowOff>38100</xdr:rowOff>
        </xdr:from>
        <xdr:to>
          <xdr:col>0</xdr:col>
          <xdr:colOff>1169670</xdr:colOff>
          <xdr:row>3</xdr:row>
          <xdr:rowOff>41910</xdr:rowOff>
        </xdr:to>
        <xdr:sp macro="" textlink="">
          <xdr:nvSpPr>
            <xdr:cNvPr id="2049" name="cmdStart"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605790</xdr:colOff>
          <xdr:row>1</xdr:row>
          <xdr:rowOff>60960</xdr:rowOff>
        </xdr:from>
        <xdr:to>
          <xdr:col>2</xdr:col>
          <xdr:colOff>327660</xdr:colOff>
          <xdr:row>3</xdr:row>
          <xdr:rowOff>156210</xdr:rowOff>
        </xdr:to>
        <xdr:sp macro="" textlink="">
          <xdr:nvSpPr>
            <xdr:cNvPr id="2050" name="cmdSHow"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152400</xdr:colOff>
          <xdr:row>4</xdr:row>
          <xdr:rowOff>171450</xdr:rowOff>
        </xdr:from>
        <xdr:to>
          <xdr:col>0</xdr:col>
          <xdr:colOff>1192530</xdr:colOff>
          <xdr:row>7</xdr:row>
          <xdr:rowOff>83820</xdr:rowOff>
        </xdr:to>
        <xdr:sp macro="" textlink="">
          <xdr:nvSpPr>
            <xdr:cNvPr id="2051" name="cmdUnhide"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8</xdr:row>
          <xdr:rowOff>156210</xdr:rowOff>
        </xdr:from>
        <xdr:to>
          <xdr:col>0</xdr:col>
          <xdr:colOff>1154430</xdr:colOff>
          <xdr:row>11</xdr:row>
          <xdr:rowOff>68580</xdr:rowOff>
        </xdr:to>
        <xdr:sp macro="" textlink="">
          <xdr:nvSpPr>
            <xdr:cNvPr id="2052" name="cmdShowResult"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476250</xdr:colOff>
          <xdr:row>8</xdr:row>
          <xdr:rowOff>110490</xdr:rowOff>
        </xdr:from>
        <xdr:to>
          <xdr:col>5</xdr:col>
          <xdr:colOff>461010</xdr:colOff>
          <xdr:row>13</xdr:row>
          <xdr:rowOff>30480</xdr:rowOff>
        </xdr:to>
        <xdr:sp macro="" textlink="">
          <xdr:nvSpPr>
            <xdr:cNvPr id="2053" name="cmdDevoilement"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205740</xdr:colOff>
      <xdr:row>10</xdr:row>
      <xdr:rowOff>156210</xdr:rowOff>
    </xdr:from>
    <xdr:to>
      <xdr:col>21</xdr:col>
      <xdr:colOff>251460</xdr:colOff>
      <xdr:row>27</xdr:row>
      <xdr:rowOff>70485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9</xdr:col>
      <xdr:colOff>114300</xdr:colOff>
      <xdr:row>12</xdr:row>
      <xdr:rowOff>102870</xdr:rowOff>
    </xdr:from>
    <xdr:to>
      <xdr:col>11</xdr:col>
      <xdr:colOff>521970</xdr:colOff>
      <xdr:row>26</xdr:row>
      <xdr:rowOff>66675</xdr:rowOff>
    </xdr:to>
    <mc:AlternateContent xmlns:mc="http://schemas.openxmlformats.org/markup-compatibility/2006" xmlns:sle15="http://schemas.microsoft.com/office/drawing/2012/slicer">
      <mc:Choice Requires="sle15">
        <xdr:graphicFrame macro="">
          <xdr:nvGraphicFramePr>
            <xdr:cNvPr id="3" name="Participants"/>
            <xdr:cNvGraphicFramePr/>
          </xdr:nvGraphicFramePr>
          <xdr:xfrm>
            <a:off x="0" y="0"/>
            <a:ext cx="0" cy="0"/>
          </xdr:xfrm>
          <a:graphic>
            <a:graphicData uri="http://schemas.microsoft.com/office/drawing/2010/slicer">
              <sle:slicer xmlns:sle="http://schemas.microsoft.com/office/drawing/2010/slicer" name="Participants"/>
            </a:graphicData>
          </a:graphic>
        </xdr:graphicFrame>
      </mc:Choice>
      <mc:Fallback xmlns="">
        <xdr:sp macro="" textlink="">
          <xdr:nvSpPr>
            <xdr:cNvPr id="0" name=""/>
            <xdr:cNvSpPr>
              <a:spLocks noTextEdit="1"/>
            </xdr:cNvSpPr>
          </xdr:nvSpPr>
          <xdr:spPr>
            <a:xfrm>
              <a:off x="4568190" y="2297430"/>
              <a:ext cx="1828800" cy="2524125"/>
            </a:xfrm>
            <a:prstGeom prst="rect">
              <a:avLst/>
            </a:prstGeom>
            <a:solidFill>
              <a:prstClr val="white"/>
            </a:solidFill>
            <a:ln w="1">
              <a:solidFill>
                <a:prstClr val="green"/>
              </a:solidFill>
            </a:ln>
          </xdr:spPr>
          <xdr:txBody>
            <a:bodyPr vertOverflow="clip" horzOverflow="clip"/>
            <a:lstStyle/>
            <a:p>
              <a:r>
                <a:rPr lang="fr-CA"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xdr:col>
          <xdr:colOff>140970</xdr:colOff>
          <xdr:row>13</xdr:row>
          <xdr:rowOff>83820</xdr:rowOff>
        </xdr:from>
        <xdr:to>
          <xdr:col>1</xdr:col>
          <xdr:colOff>784860</xdr:colOff>
          <xdr:row>16</xdr:row>
          <xdr:rowOff>76200</xdr:rowOff>
        </xdr:to>
        <xdr:sp macro="" textlink="">
          <xdr:nvSpPr>
            <xdr:cNvPr id="1025" name="CommandButton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1619753</xdr:colOff>
      <xdr:row>0</xdr:row>
      <xdr:rowOff>154120</xdr:rowOff>
    </xdr:from>
    <xdr:ext cx="3199402" cy="1344663"/>
    <xdr:sp macro="" textlink="">
      <xdr:nvSpPr>
        <xdr:cNvPr id="2" name="Rectangle 1"/>
        <xdr:cNvSpPr/>
      </xdr:nvSpPr>
      <xdr:spPr>
        <a:xfrm>
          <a:off x="1772153" y="154120"/>
          <a:ext cx="3199402" cy="1344663"/>
        </a:xfrm>
        <a:prstGeom prst="rect">
          <a:avLst/>
        </a:prstGeom>
        <a:noFill/>
      </xdr:spPr>
      <xdr:txBody>
        <a:bodyPr wrap="none" lIns="91440" tIns="45720" rIns="91440" bIns="45720">
          <a:spAutoFit/>
          <a:scene3d>
            <a:camera prst="perspectiveAbove"/>
            <a:lightRig rig="threePt" dir="t"/>
          </a:scene3d>
          <a:sp3d extrusionH="57150">
            <a:bevelT w="38100" h="38100" prst="relaxedInset"/>
          </a:sp3d>
        </a:bodyPr>
        <a:lstStyle/>
        <a:p>
          <a:pPr algn="ctr"/>
          <a:r>
            <a:rPr lang="en-US" sz="8000" b="1" cap="none" spc="0">
              <a:ln w="13462">
                <a:solidFill>
                  <a:schemeClr val="bg1"/>
                </a:solidFill>
                <a:prstDash val="solid"/>
              </a:ln>
              <a:solidFill>
                <a:schemeClr val="tx1">
                  <a:lumMod val="85000"/>
                  <a:lumOff val="15000"/>
                </a:schemeClr>
              </a:solidFill>
              <a:effectLst>
                <a:glow rad="139700">
                  <a:schemeClr val="accent6">
                    <a:satMod val="175000"/>
                    <a:alpha val="40000"/>
                  </a:schemeClr>
                </a:glow>
                <a:outerShdw blurRad="50800" dist="38100" dir="16200000" rotWithShape="0">
                  <a:prstClr val="black">
                    <a:alpha val="40000"/>
                  </a:prstClr>
                </a:outerShdw>
                <a:reflection blurRad="6350" stA="55000" endA="300" endPos="45500" dir="5400000" sy="-100000" algn="bl" rotWithShape="0"/>
              </a:effectLst>
            </a:rPr>
            <a:t>Valérie</a:t>
          </a:r>
        </a:p>
      </xdr:txBody>
    </xdr:sp>
    <xdr:clientData/>
  </xdr:oneCellAnchor>
  <xdr:oneCellAnchor>
    <xdr:from>
      <xdr:col>1</xdr:col>
      <xdr:colOff>846019</xdr:colOff>
      <xdr:row>0</xdr:row>
      <xdr:rowOff>1594300</xdr:rowOff>
    </xdr:from>
    <xdr:ext cx="4983095" cy="1344663"/>
    <xdr:sp macro="" textlink="">
      <xdr:nvSpPr>
        <xdr:cNvPr id="3" name="Rectangle 2"/>
        <xdr:cNvSpPr/>
      </xdr:nvSpPr>
      <xdr:spPr>
        <a:xfrm>
          <a:off x="998419" y="1594300"/>
          <a:ext cx="4983095" cy="1344663"/>
        </a:xfrm>
        <a:prstGeom prst="rect">
          <a:avLst/>
        </a:prstGeom>
        <a:noFill/>
      </xdr:spPr>
      <xdr:txBody>
        <a:bodyPr wrap="none" lIns="91440" tIns="45720" rIns="91440" bIns="45720">
          <a:spAutoFit/>
          <a:scene3d>
            <a:camera prst="perspectiveAbove"/>
            <a:lightRig rig="threePt" dir="t"/>
          </a:scene3d>
          <a:sp3d extrusionH="57150">
            <a:bevelT w="38100" h="38100" prst="relaxedInset"/>
          </a:sp3d>
        </a:bodyPr>
        <a:lstStyle/>
        <a:p>
          <a:pPr algn="ctr"/>
          <a:r>
            <a:rPr lang="en-US" sz="8000" b="1" cap="none" spc="0">
              <a:ln w="13462">
                <a:solidFill>
                  <a:schemeClr val="bg1"/>
                </a:solidFill>
                <a:prstDash val="solid"/>
              </a:ln>
              <a:solidFill>
                <a:schemeClr val="tx1">
                  <a:lumMod val="85000"/>
                  <a:lumOff val="15000"/>
                </a:schemeClr>
              </a:solidFill>
              <a:effectLst>
                <a:glow rad="139700">
                  <a:schemeClr val="accent6">
                    <a:satMod val="175000"/>
                    <a:alpha val="40000"/>
                  </a:schemeClr>
                </a:glow>
                <a:outerShdw blurRad="50800" dist="38100" dir="16200000" rotWithShape="0">
                  <a:prstClr val="black">
                    <a:alpha val="40000"/>
                  </a:prstClr>
                </a:outerShdw>
                <a:reflection blurRad="6350" stA="55000" endA="300" endPos="45500" dir="5400000" sy="-100000" algn="bl" rotWithShape="0"/>
              </a:effectLst>
            </a:rPr>
            <a:t>à le cadeau</a:t>
          </a:r>
        </a:p>
      </xdr:txBody>
    </xdr:sp>
    <xdr:clientData/>
  </xdr:oneCellAnchor>
  <xdr:oneCellAnchor>
    <xdr:from>
      <xdr:col>1</xdr:col>
      <xdr:colOff>2567085</xdr:colOff>
      <xdr:row>0</xdr:row>
      <xdr:rowOff>3108960</xdr:rowOff>
    </xdr:from>
    <xdr:ext cx="1312347" cy="1526614"/>
    <xdr:sp macro="" textlink="">
      <xdr:nvSpPr>
        <xdr:cNvPr id="4" name="Rectangle 3"/>
        <xdr:cNvSpPr/>
      </xdr:nvSpPr>
      <xdr:spPr>
        <a:xfrm>
          <a:off x="2719485" y="3108960"/>
          <a:ext cx="1312347" cy="1526614"/>
        </a:xfrm>
        <a:prstGeom prst="rect">
          <a:avLst/>
        </a:prstGeom>
        <a:noFill/>
      </xdr:spPr>
      <xdr:txBody>
        <a:bodyPr wrap="none" lIns="91440" tIns="45720" rIns="91440" bIns="45720" anchor="ctr">
          <a:noAutofit/>
          <a:scene3d>
            <a:camera prst="perspectiveAbove"/>
            <a:lightRig rig="threePt" dir="t"/>
          </a:scene3d>
          <a:sp3d extrusionH="57150">
            <a:bevelT w="38100" h="38100" prst="relaxedInset"/>
          </a:sp3d>
        </a:bodyPr>
        <a:lstStyle/>
        <a:p>
          <a:pPr algn="ctr"/>
          <a:r>
            <a:rPr lang="en-US" sz="13800" b="1" cap="none" spc="0">
              <a:ln w="13462">
                <a:solidFill>
                  <a:schemeClr val="bg1"/>
                </a:solidFill>
                <a:prstDash val="solid"/>
              </a:ln>
              <a:solidFill>
                <a:schemeClr val="tx1">
                  <a:lumMod val="85000"/>
                  <a:lumOff val="15000"/>
                </a:schemeClr>
              </a:solidFill>
              <a:effectLst>
                <a:glow rad="139700">
                  <a:schemeClr val="accent6">
                    <a:satMod val="175000"/>
                    <a:alpha val="40000"/>
                  </a:schemeClr>
                </a:glow>
                <a:outerShdw blurRad="50800" dist="38100" dir="16200000" rotWithShape="0">
                  <a:prstClr val="black">
                    <a:alpha val="40000"/>
                  </a:prstClr>
                </a:outerShdw>
                <a:reflection blurRad="6350" stA="55000" endA="300" endPos="45500" dir="5400000" sy="-100000" algn="bl" rotWithShape="0"/>
              </a:effectLst>
            </a:rPr>
            <a:t>B</a:t>
          </a:r>
        </a:p>
      </xdr:txBody>
    </xdr:sp>
    <xdr:clientData/>
  </xdr:oneCellAnchor>
  <xdr:twoCellAnchor>
    <xdr:from>
      <xdr:col>2</xdr:col>
      <xdr:colOff>121920</xdr:colOff>
      <xdr:row>0</xdr:row>
      <xdr:rowOff>83820</xdr:rowOff>
    </xdr:from>
    <xdr:to>
      <xdr:col>2</xdr:col>
      <xdr:colOff>7524750</xdr:colOff>
      <xdr:row>1</xdr:row>
      <xdr:rowOff>15240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34290</xdr:colOff>
          <xdr:row>0</xdr:row>
          <xdr:rowOff>4472940</xdr:rowOff>
        </xdr:from>
        <xdr:to>
          <xdr:col>1</xdr:col>
          <xdr:colOff>2045970</xdr:colOff>
          <xdr:row>1</xdr:row>
          <xdr:rowOff>152400</xdr:rowOff>
        </xdr:to>
        <xdr:sp macro="" textlink="">
          <xdr:nvSpPr>
            <xdr:cNvPr id="3074" name="cmdNext"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2148840</xdr:colOff>
          <xdr:row>0</xdr:row>
          <xdr:rowOff>4937760</xdr:rowOff>
        </xdr:from>
        <xdr:to>
          <xdr:col>2</xdr:col>
          <xdr:colOff>15240</xdr:colOff>
          <xdr:row>1</xdr:row>
          <xdr:rowOff>125730</xdr:rowOff>
        </xdr:to>
        <xdr:sp macro="" textlink="">
          <xdr:nvSpPr>
            <xdr:cNvPr id="3075" name="lblDecision"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4187190</xdr:colOff>
          <xdr:row>0</xdr:row>
          <xdr:rowOff>4331970</xdr:rowOff>
        </xdr:from>
        <xdr:to>
          <xdr:col>2</xdr:col>
          <xdr:colOff>3810</xdr:colOff>
          <xdr:row>0</xdr:row>
          <xdr:rowOff>4895850</xdr:rowOff>
        </xdr:to>
        <xdr:sp macro="" textlink="">
          <xdr:nvSpPr>
            <xdr:cNvPr id="3077" name="cmdResultat" hidden="1">
              <a:extLst>
                <a:ext uri="{63B3BB69-23CF-44E3-9099-C40C66FF867C}">
                  <a14:compatExt spid="_x0000_s3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392430</xdr:colOff>
          <xdr:row>0</xdr:row>
          <xdr:rowOff>236220</xdr:rowOff>
        </xdr:from>
        <xdr:to>
          <xdr:col>8</xdr:col>
          <xdr:colOff>137160</xdr:colOff>
          <xdr:row>0</xdr:row>
          <xdr:rowOff>1703070</xdr:rowOff>
        </xdr:to>
        <xdr:pic>
          <xdr:nvPicPr>
            <xdr:cNvPr id="4" name="Picture 3"/>
            <xdr:cNvPicPr>
              <a:picLocks noChangeAspect="1" noChangeArrowheads="1"/>
              <a:extLst>
                <a:ext uri="{84589F7E-364E-4C9E-8A38-B11213B215E9}">
                  <a14:cameraTool cellRange="Résultats!$M$3:$O$10" spid="_x0000_s5134"/>
                </a:ext>
              </a:extLst>
            </xdr:cNvPicPr>
          </xdr:nvPicPr>
          <xdr:blipFill>
            <a:blip xmlns:r="http://schemas.openxmlformats.org/officeDocument/2006/relationships" r:embed="rId1"/>
            <a:srcRect/>
            <a:stretch>
              <a:fillRect/>
            </a:stretch>
          </xdr:blipFill>
          <xdr:spPr bwMode="auto">
            <a:xfrm>
              <a:off x="392430" y="236220"/>
              <a:ext cx="2735580" cy="14668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9</xdr:col>
      <xdr:colOff>121920</xdr:colOff>
      <xdr:row>0</xdr:row>
      <xdr:rowOff>80010</xdr:rowOff>
    </xdr:from>
    <xdr:to>
      <xdr:col>12</xdr:col>
      <xdr:colOff>373380</xdr:colOff>
      <xdr:row>1</xdr:row>
      <xdr:rowOff>672465</xdr:rowOff>
    </xdr:to>
    <mc:AlternateContent xmlns:mc="http://schemas.openxmlformats.org/markup-compatibility/2006" xmlns:sle15="http://schemas.microsoft.com/office/drawing/2012/slicer">
      <mc:Choice Requires="sle15">
        <xdr:graphicFrame macro="">
          <xdr:nvGraphicFramePr>
            <xdr:cNvPr id="5" name="Participants 1"/>
            <xdr:cNvGraphicFramePr/>
          </xdr:nvGraphicFramePr>
          <xdr:xfrm>
            <a:off x="0" y="0"/>
            <a:ext cx="0" cy="0"/>
          </xdr:xfrm>
          <a:graphic>
            <a:graphicData uri="http://schemas.microsoft.com/office/drawing/2010/slicer">
              <sle:slicer xmlns:sle="http://schemas.microsoft.com/office/drawing/2010/slicer" name="Participants 1"/>
            </a:graphicData>
          </a:graphic>
        </xdr:graphicFrame>
      </mc:Choice>
      <mc:Fallback xmlns="">
        <xdr:sp macro="" textlink="">
          <xdr:nvSpPr>
            <xdr:cNvPr id="0" name=""/>
            <xdr:cNvSpPr>
              <a:spLocks noTextEdit="1"/>
            </xdr:cNvSpPr>
          </xdr:nvSpPr>
          <xdr:spPr>
            <a:xfrm>
              <a:off x="3154680" y="80010"/>
              <a:ext cx="1828800" cy="2524125"/>
            </a:xfrm>
            <a:prstGeom prst="rect">
              <a:avLst/>
            </a:prstGeom>
            <a:solidFill>
              <a:prstClr val="white"/>
            </a:solidFill>
            <a:ln w="1">
              <a:solidFill>
                <a:prstClr val="green"/>
              </a:solidFill>
            </a:ln>
          </xdr:spPr>
          <xdr:txBody>
            <a:bodyPr vertOverflow="clip" horzOverflow="clip"/>
            <a:lstStyle/>
            <a:p>
              <a:r>
                <a:rPr lang="fr-CA"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twoCellAnchor>
    <xdr:from>
      <xdr:col>12</xdr:col>
      <xdr:colOff>438150</xdr:colOff>
      <xdr:row>0</xdr:row>
      <xdr:rowOff>89534</xdr:rowOff>
    </xdr:from>
    <xdr:to>
      <xdr:col>25</xdr:col>
      <xdr:colOff>533400</xdr:colOff>
      <xdr:row>14</xdr:row>
      <xdr:rowOff>64770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articipants" sourceName="Participants">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articipants1" sourceName="Participants">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articipants" cache="Slicer_Participants" caption="Participants"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articipants 1" cache="Slicer_Participants1" caption="Participants" rowHeight="241300"/>
</slicers>
</file>

<file path=xl/tables/table1.xml><?xml version="1.0" encoding="utf-8"?>
<table xmlns="http://schemas.openxmlformats.org/spreadsheetml/2006/main" id="1" name="Table1" displayName="Table1" ref="A2:L10" totalsRowShown="0" headerRowDxfId="11" dataDxfId="10">
  <autoFilter ref="A2:L10"/>
  <sortState ref="A3:L10">
    <sortCondition ref="A3:A10"/>
  </sortState>
  <tableColumns count="12">
    <tableColumn id="1" name="NUM"/>
    <tableColumn id="2" name="Participants"/>
    <tableColumn id="3" name="A" dataDxfId="9"/>
    <tableColumn id="4" name="B" dataDxfId="8"/>
    <tableColumn id="5" name="C" dataDxfId="7"/>
    <tableColumn id="6" name="D" dataDxfId="6"/>
    <tableColumn id="7" name="E" dataDxfId="5"/>
    <tableColumn id="8" name="F" dataDxfId="4"/>
    <tableColumn id="9" name="G" dataDxfId="3"/>
    <tableColumn id="10" name="H" dataDxfId="2"/>
    <tableColumn id="11" name="VoteDone" dataDxfId="1"/>
    <tableColumn id="12" name="HIGH" dataDxfId="0">
      <calculatedColumnFormula>MAX(Table1[[#This Row],[A]:[H]])</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3:J11" totalsRowShown="0">
  <autoFilter ref="B3:J11"/>
  <tableColumns count="9">
    <tableColumn id="1" name="Participants"/>
    <tableColumn id="2" name="A"/>
    <tableColumn id="3" name="B"/>
    <tableColumn id="4" name="C"/>
    <tableColumn id="5" name="D"/>
    <tableColumn id="6" name="E"/>
    <tableColumn id="7" name="F"/>
    <tableColumn id="8" name="G"/>
    <tableColumn id="9" name="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2.vml"/><Relationship Id="rId1" Type="http://schemas.openxmlformats.org/officeDocument/2006/relationships/drawing" Target="../drawings/drawing2.xml"/><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image" Target="../media/image6.emf"/></Relationships>
</file>

<file path=xl/worksheets/_rels/sheet3.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control" Target="../activeX/activeX7.xml"/><Relationship Id="rId7" Type="http://schemas.openxmlformats.org/officeDocument/2006/relationships/control" Target="../activeX/activeX9.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8.emf"/><Relationship Id="rId5" Type="http://schemas.openxmlformats.org/officeDocument/2006/relationships/control" Target="../activeX/activeX8.xml"/><Relationship Id="rId4" Type="http://schemas.openxmlformats.org/officeDocument/2006/relationships/image" Target="../media/image7.emf"/></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drawing" Target="../drawings/drawing4.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min"/>
  <dimension ref="A1"/>
  <sheetViews>
    <sheetView tabSelected="1" topLeftCell="B1" workbookViewId="0">
      <selection activeCell="E13" sqref="E13"/>
    </sheetView>
  </sheetViews>
  <sheetFormatPr defaultRowHeight="14.4" x14ac:dyDescent="0.55000000000000004"/>
  <cols>
    <col min="1" max="1" width="20" hidden="1" customWidth="1"/>
    <col min="2" max="2" width="18.20703125" customWidth="1"/>
  </cols>
  <sheetData/>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053" r:id="rId4" name="cmdDevoilement">
          <controlPr defaultSize="0" autoLine="0" r:id="rId5">
            <anchor moveWithCells="1">
              <from>
                <xdr:col>1</xdr:col>
                <xdr:colOff>476250</xdr:colOff>
                <xdr:row>8</xdr:row>
                <xdr:rowOff>110490</xdr:rowOff>
              </from>
              <to>
                <xdr:col>5</xdr:col>
                <xdr:colOff>461010</xdr:colOff>
                <xdr:row>13</xdr:row>
                <xdr:rowOff>30480</xdr:rowOff>
              </to>
            </anchor>
          </controlPr>
        </control>
      </mc:Choice>
      <mc:Fallback>
        <control shapeId="2053" r:id="rId4" name="cmdDevoilement"/>
      </mc:Fallback>
    </mc:AlternateContent>
    <mc:AlternateContent xmlns:mc="http://schemas.openxmlformats.org/markup-compatibility/2006">
      <mc:Choice Requires="x14">
        <control shapeId="2052" r:id="rId6" name="cmdShowResult">
          <controlPr defaultSize="0" autoLine="0" r:id="rId7">
            <anchor moveWithCells="1" sizeWithCells="1">
              <from>
                <xdr:col>0</xdr:col>
                <xdr:colOff>114300</xdr:colOff>
                <xdr:row>8</xdr:row>
                <xdr:rowOff>156210</xdr:rowOff>
              </from>
              <to>
                <xdr:col>0</xdr:col>
                <xdr:colOff>1154430</xdr:colOff>
                <xdr:row>11</xdr:row>
                <xdr:rowOff>68580</xdr:rowOff>
              </to>
            </anchor>
          </controlPr>
        </control>
      </mc:Choice>
      <mc:Fallback>
        <control shapeId="2052" r:id="rId6" name="cmdShowResult"/>
      </mc:Fallback>
    </mc:AlternateContent>
    <mc:AlternateContent xmlns:mc="http://schemas.openxmlformats.org/markup-compatibility/2006">
      <mc:Choice Requires="x14">
        <control shapeId="2051" r:id="rId8" name="cmdUnhide">
          <controlPr defaultSize="0" autoLine="0" r:id="rId9">
            <anchor moveWithCells="1" sizeWithCells="1">
              <from>
                <xdr:col>0</xdr:col>
                <xdr:colOff>152400</xdr:colOff>
                <xdr:row>4</xdr:row>
                <xdr:rowOff>171450</xdr:rowOff>
              </from>
              <to>
                <xdr:col>0</xdr:col>
                <xdr:colOff>1192530</xdr:colOff>
                <xdr:row>7</xdr:row>
                <xdr:rowOff>83820</xdr:rowOff>
              </to>
            </anchor>
          </controlPr>
        </control>
      </mc:Choice>
      <mc:Fallback>
        <control shapeId="2051" r:id="rId8" name="cmdUnhide"/>
      </mc:Fallback>
    </mc:AlternateContent>
    <mc:AlternateContent xmlns:mc="http://schemas.openxmlformats.org/markup-compatibility/2006">
      <mc:Choice Requires="x14">
        <control shapeId="2050" r:id="rId10" name="cmdSHow">
          <controlPr defaultSize="0" autoLine="0" r:id="rId11">
            <anchor moveWithCells="1" sizeWithCells="1">
              <from>
                <xdr:col>1</xdr:col>
                <xdr:colOff>605790</xdr:colOff>
                <xdr:row>1</xdr:row>
                <xdr:rowOff>60960</xdr:rowOff>
              </from>
              <to>
                <xdr:col>2</xdr:col>
                <xdr:colOff>327660</xdr:colOff>
                <xdr:row>3</xdr:row>
                <xdr:rowOff>156210</xdr:rowOff>
              </to>
            </anchor>
          </controlPr>
        </control>
      </mc:Choice>
      <mc:Fallback>
        <control shapeId="2050" r:id="rId10" name="cmdSHow"/>
      </mc:Fallback>
    </mc:AlternateContent>
    <mc:AlternateContent xmlns:mc="http://schemas.openxmlformats.org/markup-compatibility/2006">
      <mc:Choice Requires="x14">
        <control shapeId="2049" r:id="rId12" name="cmdStart">
          <controlPr defaultSize="0" autoLine="0" r:id="rId13">
            <anchor moveWithCells="1" sizeWithCells="1">
              <from>
                <xdr:col>0</xdr:col>
                <xdr:colOff>182880</xdr:colOff>
                <xdr:row>1</xdr:row>
                <xdr:rowOff>38100</xdr:rowOff>
              </from>
              <to>
                <xdr:col>0</xdr:col>
                <xdr:colOff>1169670</xdr:colOff>
                <xdr:row>3</xdr:row>
                <xdr:rowOff>41910</xdr:rowOff>
              </to>
            </anchor>
          </controlPr>
        </control>
      </mc:Choice>
      <mc:Fallback>
        <control shapeId="2049" r:id="rId12" name="cmdStar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sult"/>
  <dimension ref="A1:ABO21"/>
  <sheetViews>
    <sheetView workbookViewId="0">
      <selection activeCell="A3" sqref="A3:L10"/>
    </sheetView>
  </sheetViews>
  <sheetFormatPr defaultRowHeight="14.4" x14ac:dyDescent="0.55000000000000004"/>
  <cols>
    <col min="1" max="1" width="10.05078125" customWidth="1"/>
    <col min="2" max="2" width="12.5234375" bestFit="1" customWidth="1"/>
    <col min="3" max="3" width="5.68359375" style="1" customWidth="1"/>
    <col min="4" max="4" width="6.20703125" style="1" bestFit="1" customWidth="1"/>
    <col min="5" max="5" width="6.15625" style="1" bestFit="1" customWidth="1"/>
    <col min="6" max="6" width="6.3125" style="1" bestFit="1" customWidth="1"/>
    <col min="7" max="7" width="6.05078125" style="1" bestFit="1" customWidth="1"/>
    <col min="8" max="8" width="4.47265625" style="1" customWidth="1"/>
    <col min="9" max="9" width="4.05078125" style="1" customWidth="1"/>
    <col min="10" max="10" width="6.3125" style="1" bestFit="1" customWidth="1"/>
    <col min="11" max="11" width="13.3125" bestFit="1" customWidth="1"/>
    <col min="12" max="12" width="9.3125" bestFit="1" customWidth="1"/>
    <col min="13" max="13" width="11.05078125" bestFit="1" customWidth="1"/>
    <col min="15" max="15" width="17.83984375" customWidth="1"/>
    <col min="23" max="23" width="11.68359375" bestFit="1" customWidth="1"/>
    <col min="24" max="143" width="2.89453125" customWidth="1"/>
  </cols>
  <sheetData>
    <row r="1" spans="1:743" x14ac:dyDescent="0.55000000000000004">
      <c r="A1" t="s">
        <v>18</v>
      </c>
      <c r="B1">
        <v>1</v>
      </c>
      <c r="C1" s="1">
        <v>0</v>
      </c>
      <c r="D1" s="1">
        <v>1</v>
      </c>
      <c r="E1" s="1">
        <v>2</v>
      </c>
      <c r="F1" s="1">
        <v>3</v>
      </c>
      <c r="G1" s="1">
        <v>4</v>
      </c>
      <c r="H1" s="1">
        <v>5</v>
      </c>
      <c r="I1" s="1">
        <v>6</v>
      </c>
      <c r="J1" s="1">
        <v>7</v>
      </c>
    </row>
    <row r="2" spans="1:743" x14ac:dyDescent="0.55000000000000004">
      <c r="A2" t="s">
        <v>24</v>
      </c>
      <c r="B2" t="s">
        <v>16</v>
      </c>
      <c r="C2" s="2" t="s">
        <v>8</v>
      </c>
      <c r="D2" s="2" t="s">
        <v>9</v>
      </c>
      <c r="E2" s="2" t="s">
        <v>10</v>
      </c>
      <c r="F2" s="2" t="s">
        <v>11</v>
      </c>
      <c r="G2" s="2" t="s">
        <v>12</v>
      </c>
      <c r="H2" s="2" t="s">
        <v>13</v>
      </c>
      <c r="I2" s="2" t="s">
        <v>14</v>
      </c>
      <c r="J2" s="2" t="s">
        <v>15</v>
      </c>
      <c r="K2" s="1" t="s">
        <v>17</v>
      </c>
      <c r="L2" s="1" t="s">
        <v>25</v>
      </c>
    </row>
    <row r="3" spans="1:743" x14ac:dyDescent="0.55000000000000004">
      <c r="A3">
        <v>0</v>
      </c>
      <c r="B3" t="s">
        <v>0</v>
      </c>
      <c r="K3" s="1"/>
      <c r="L3" s="1">
        <f>MAX(Table1[[#This Row],[A]:[H]])</f>
        <v>0</v>
      </c>
      <c r="M3" s="5" t="str">
        <f>Table1[[#This Row],[Participants]]</f>
        <v>Brigitte</v>
      </c>
      <c r="N3" s="6" t="s">
        <v>11</v>
      </c>
      <c r="O3" s="6" t="s">
        <v>19</v>
      </c>
      <c r="ZF3">
        <v>1</v>
      </c>
      <c r="ZG3">
        <v>2</v>
      </c>
      <c r="ZH3">
        <v>1</v>
      </c>
      <c r="ZI3">
        <v>0</v>
      </c>
      <c r="ZJ3">
        <v>1</v>
      </c>
      <c r="ZK3">
        <v>2</v>
      </c>
      <c r="ZL3">
        <v>0</v>
      </c>
      <c r="ZM3">
        <v>2</v>
      </c>
      <c r="ZN3">
        <v>1</v>
      </c>
      <c r="ZO3">
        <v>0</v>
      </c>
      <c r="ZP3">
        <v>1</v>
      </c>
      <c r="ZQ3">
        <v>2</v>
      </c>
      <c r="ZR3">
        <v>0</v>
      </c>
      <c r="ZS3">
        <v>2</v>
      </c>
      <c r="ZT3">
        <v>1</v>
      </c>
      <c r="ZU3">
        <v>3</v>
      </c>
      <c r="ZV3">
        <v>1</v>
      </c>
      <c r="ZW3">
        <v>0</v>
      </c>
      <c r="ZX3">
        <v>3</v>
      </c>
      <c r="ZY3">
        <v>0</v>
      </c>
      <c r="ZZ3">
        <v>1</v>
      </c>
      <c r="AAA3">
        <v>3</v>
      </c>
      <c r="AAB3">
        <v>1</v>
      </c>
      <c r="AAC3">
        <v>2</v>
      </c>
      <c r="AAD3">
        <v>3</v>
      </c>
      <c r="AAE3">
        <v>2</v>
      </c>
      <c r="AAF3">
        <v>1</v>
      </c>
      <c r="AAG3">
        <v>0</v>
      </c>
      <c r="AAH3">
        <v>1</v>
      </c>
      <c r="AAI3">
        <v>2</v>
      </c>
      <c r="AAJ3">
        <v>0</v>
      </c>
      <c r="AAK3">
        <v>2</v>
      </c>
      <c r="AAL3">
        <v>3</v>
      </c>
      <c r="AAM3">
        <v>0</v>
      </c>
      <c r="AAN3">
        <v>3</v>
      </c>
      <c r="AAO3">
        <v>2</v>
      </c>
      <c r="AAP3">
        <v>0</v>
      </c>
      <c r="AAQ3">
        <v>2</v>
      </c>
      <c r="AAR3">
        <v>1</v>
      </c>
      <c r="AAS3">
        <v>3</v>
      </c>
      <c r="AAT3">
        <v>1</v>
      </c>
      <c r="AAU3">
        <v>0</v>
      </c>
      <c r="AAV3">
        <v>3</v>
      </c>
      <c r="AAW3">
        <v>0</v>
      </c>
      <c r="AAX3">
        <v>1</v>
      </c>
      <c r="AAY3">
        <v>3</v>
      </c>
      <c r="AAZ3">
        <v>1</v>
      </c>
      <c r="ABA3">
        <v>2</v>
      </c>
      <c r="ABB3">
        <v>3</v>
      </c>
      <c r="ABC3">
        <v>2</v>
      </c>
      <c r="ABD3">
        <v>1</v>
      </c>
      <c r="ABE3">
        <v>0</v>
      </c>
      <c r="ABF3">
        <v>1</v>
      </c>
      <c r="ABG3">
        <v>2</v>
      </c>
      <c r="ABH3">
        <v>0</v>
      </c>
      <c r="ABI3">
        <v>2</v>
      </c>
      <c r="ABJ3">
        <v>3</v>
      </c>
      <c r="ABK3">
        <v>0</v>
      </c>
      <c r="ABL3">
        <v>3</v>
      </c>
      <c r="ABM3">
        <v>2</v>
      </c>
      <c r="ABN3">
        <v>0</v>
      </c>
      <c r="ABO3">
        <v>2</v>
      </c>
    </row>
    <row r="4" spans="1:743" x14ac:dyDescent="0.55000000000000004">
      <c r="A4">
        <v>1</v>
      </c>
      <c r="B4" t="s">
        <v>1</v>
      </c>
      <c r="K4" s="1"/>
      <c r="L4" s="1">
        <f>MAX(Table1[[#This Row],[A]:[H]])</f>
        <v>0</v>
      </c>
      <c r="M4" s="5" t="str">
        <f>Table1[[#This Row],[Participants]]</f>
        <v>Gilles</v>
      </c>
      <c r="N4" s="6" t="s">
        <v>12</v>
      </c>
      <c r="O4" s="6" t="s">
        <v>19</v>
      </c>
      <c r="ZF4">
        <v>1</v>
      </c>
      <c r="ZG4">
        <v>2</v>
      </c>
      <c r="ZH4">
        <v>1</v>
      </c>
      <c r="ZI4">
        <v>3</v>
      </c>
      <c r="ZJ4">
        <v>1</v>
      </c>
      <c r="ZK4">
        <v>2</v>
      </c>
      <c r="ZL4">
        <v>3</v>
      </c>
      <c r="ZM4">
        <v>2</v>
      </c>
      <c r="ZN4">
        <v>1</v>
      </c>
      <c r="ZO4">
        <v>3</v>
      </c>
      <c r="ZP4">
        <v>1</v>
      </c>
      <c r="ZQ4">
        <v>2</v>
      </c>
      <c r="ZR4">
        <v>3</v>
      </c>
      <c r="ZS4">
        <v>2</v>
      </c>
      <c r="ZT4">
        <v>1</v>
      </c>
      <c r="ZU4">
        <v>0</v>
      </c>
      <c r="ZV4">
        <v>1</v>
      </c>
      <c r="ZW4">
        <v>3</v>
      </c>
      <c r="ZX4">
        <v>0</v>
      </c>
      <c r="ZY4">
        <v>3</v>
      </c>
      <c r="ZZ4">
        <v>1</v>
      </c>
      <c r="AAA4">
        <v>0</v>
      </c>
      <c r="AAB4">
        <v>1</v>
      </c>
      <c r="AAC4">
        <v>2</v>
      </c>
      <c r="AAD4">
        <v>0</v>
      </c>
      <c r="AAE4">
        <v>2</v>
      </c>
      <c r="AAF4">
        <v>1</v>
      </c>
      <c r="AAG4">
        <v>3</v>
      </c>
      <c r="AAH4">
        <v>1</v>
      </c>
      <c r="AAI4">
        <v>2</v>
      </c>
      <c r="AAJ4">
        <v>3</v>
      </c>
      <c r="AAK4">
        <v>2</v>
      </c>
      <c r="AAL4">
        <v>0</v>
      </c>
      <c r="AAM4">
        <v>3</v>
      </c>
      <c r="AAN4">
        <v>0</v>
      </c>
      <c r="AAO4">
        <v>2</v>
      </c>
      <c r="AAP4">
        <v>3</v>
      </c>
      <c r="AAQ4">
        <v>2</v>
      </c>
      <c r="AAR4">
        <v>1</v>
      </c>
      <c r="AAS4">
        <v>0</v>
      </c>
      <c r="AAT4">
        <v>1</v>
      </c>
      <c r="AAU4">
        <v>3</v>
      </c>
      <c r="AAV4">
        <v>0</v>
      </c>
      <c r="AAW4">
        <v>3</v>
      </c>
      <c r="AAX4">
        <v>1</v>
      </c>
      <c r="AAY4">
        <v>0</v>
      </c>
      <c r="AAZ4">
        <v>1</v>
      </c>
      <c r="ABA4">
        <v>2</v>
      </c>
      <c r="ABB4">
        <v>0</v>
      </c>
      <c r="ABC4">
        <v>2</v>
      </c>
      <c r="ABD4">
        <v>1</v>
      </c>
      <c r="ABE4">
        <v>3</v>
      </c>
      <c r="ABF4">
        <v>1</v>
      </c>
      <c r="ABG4">
        <v>2</v>
      </c>
      <c r="ABH4">
        <v>3</v>
      </c>
      <c r="ABI4">
        <v>2</v>
      </c>
      <c r="ABJ4">
        <v>0</v>
      </c>
      <c r="ABK4">
        <v>3</v>
      </c>
      <c r="ABL4">
        <v>0</v>
      </c>
      <c r="ABM4">
        <v>2</v>
      </c>
      <c r="ABN4">
        <v>3</v>
      </c>
      <c r="ABO4">
        <v>2</v>
      </c>
    </row>
    <row r="5" spans="1:743" x14ac:dyDescent="0.55000000000000004">
      <c r="A5">
        <v>2</v>
      </c>
      <c r="B5" t="s">
        <v>2</v>
      </c>
      <c r="K5" s="1"/>
      <c r="L5" s="1">
        <f>MAX(Table1[[#This Row],[A]:[H]])</f>
        <v>0</v>
      </c>
      <c r="M5" s="5" t="str">
        <f>Table1[[#This Row],[Participants]]</f>
        <v>Hélène</v>
      </c>
      <c r="N5" s="6" t="s">
        <v>13</v>
      </c>
      <c r="O5" s="6" t="s">
        <v>19</v>
      </c>
      <c r="ZF5">
        <v>1</v>
      </c>
      <c r="ZG5">
        <v>0</v>
      </c>
      <c r="ZH5">
        <v>3</v>
      </c>
      <c r="ZI5">
        <v>2</v>
      </c>
      <c r="ZJ5">
        <v>1</v>
      </c>
      <c r="ZK5">
        <v>2</v>
      </c>
      <c r="ZL5">
        <v>1</v>
      </c>
      <c r="ZM5">
        <v>3</v>
      </c>
      <c r="ZN5">
        <v>3</v>
      </c>
      <c r="ZO5">
        <v>0</v>
      </c>
      <c r="ZP5">
        <v>1</v>
      </c>
      <c r="ZQ5">
        <v>0</v>
      </c>
      <c r="ZR5">
        <v>1</v>
      </c>
      <c r="ZS5">
        <v>3</v>
      </c>
      <c r="ZT5">
        <v>1</v>
      </c>
      <c r="ZU5">
        <v>2</v>
      </c>
      <c r="ZV5">
        <v>3</v>
      </c>
      <c r="ZW5">
        <v>2</v>
      </c>
      <c r="ZX5">
        <v>3</v>
      </c>
      <c r="ZY5">
        <v>1</v>
      </c>
      <c r="ZZ5">
        <v>1</v>
      </c>
      <c r="AAA5">
        <v>2</v>
      </c>
      <c r="AAB5">
        <v>1</v>
      </c>
      <c r="AAC5">
        <v>2</v>
      </c>
      <c r="AAD5">
        <v>1</v>
      </c>
      <c r="AAE5">
        <v>1</v>
      </c>
      <c r="AAF5">
        <v>3</v>
      </c>
      <c r="AAG5">
        <v>2</v>
      </c>
      <c r="AAH5">
        <v>1</v>
      </c>
      <c r="AAI5">
        <v>2</v>
      </c>
      <c r="AAJ5">
        <v>1</v>
      </c>
      <c r="AAK5">
        <v>3</v>
      </c>
      <c r="AAL5">
        <v>3</v>
      </c>
      <c r="AAM5">
        <v>1</v>
      </c>
      <c r="AAN5">
        <v>1</v>
      </c>
      <c r="AAO5">
        <v>1</v>
      </c>
      <c r="AAP5">
        <v>1</v>
      </c>
      <c r="AAQ5">
        <v>3</v>
      </c>
      <c r="AAR5">
        <v>1</v>
      </c>
      <c r="AAS5">
        <v>0</v>
      </c>
      <c r="AAT5">
        <v>3</v>
      </c>
      <c r="AAU5">
        <v>0</v>
      </c>
      <c r="AAV5">
        <v>3</v>
      </c>
      <c r="AAW5">
        <v>1</v>
      </c>
      <c r="AAX5">
        <v>1</v>
      </c>
      <c r="AAY5">
        <v>0</v>
      </c>
      <c r="AAZ5">
        <v>1</v>
      </c>
      <c r="ABA5">
        <v>0</v>
      </c>
      <c r="ABB5">
        <v>1</v>
      </c>
      <c r="ABC5">
        <v>1</v>
      </c>
      <c r="ABD5">
        <v>3</v>
      </c>
      <c r="ABE5">
        <v>0</v>
      </c>
      <c r="ABF5">
        <v>1</v>
      </c>
      <c r="ABG5">
        <v>0</v>
      </c>
      <c r="ABH5">
        <v>1</v>
      </c>
      <c r="ABI5">
        <v>3</v>
      </c>
      <c r="ABJ5">
        <v>3</v>
      </c>
      <c r="ABK5">
        <v>1</v>
      </c>
      <c r="ABL5">
        <v>1</v>
      </c>
      <c r="ABM5">
        <v>1</v>
      </c>
      <c r="ABN5">
        <v>1</v>
      </c>
      <c r="ABO5">
        <v>3</v>
      </c>
    </row>
    <row r="6" spans="1:743" x14ac:dyDescent="0.55000000000000004">
      <c r="A6">
        <v>3</v>
      </c>
      <c r="B6" t="s">
        <v>3</v>
      </c>
      <c r="K6" s="1"/>
      <c r="L6" s="1">
        <f>MAX(Table1[[#This Row],[A]:[H]])</f>
        <v>0</v>
      </c>
      <c r="M6" s="5" t="str">
        <f>Table1[[#This Row],[Participants]]</f>
        <v>Rémi</v>
      </c>
      <c r="N6" s="6" t="s">
        <v>8</v>
      </c>
      <c r="O6" s="6" t="s">
        <v>19</v>
      </c>
      <c r="ZF6">
        <v>0</v>
      </c>
      <c r="ZG6">
        <v>1</v>
      </c>
      <c r="ZH6">
        <v>1</v>
      </c>
      <c r="ZI6">
        <v>2</v>
      </c>
      <c r="ZJ6">
        <v>0</v>
      </c>
      <c r="ZK6">
        <v>2</v>
      </c>
      <c r="ZL6">
        <v>0</v>
      </c>
      <c r="ZM6">
        <v>1</v>
      </c>
      <c r="ZN6">
        <v>1</v>
      </c>
      <c r="ZO6">
        <v>1</v>
      </c>
      <c r="ZP6">
        <v>0</v>
      </c>
      <c r="ZQ6">
        <v>1</v>
      </c>
      <c r="ZR6">
        <v>0</v>
      </c>
      <c r="ZS6">
        <v>1</v>
      </c>
      <c r="ZT6">
        <v>1</v>
      </c>
      <c r="ZU6">
        <v>2</v>
      </c>
      <c r="ZV6">
        <v>1</v>
      </c>
      <c r="ZW6">
        <v>2</v>
      </c>
      <c r="ZX6">
        <v>1</v>
      </c>
      <c r="ZY6">
        <v>1</v>
      </c>
      <c r="ZZ6">
        <v>1</v>
      </c>
      <c r="AAA6">
        <v>2</v>
      </c>
      <c r="AAB6">
        <v>0</v>
      </c>
      <c r="AAC6">
        <v>2</v>
      </c>
      <c r="AAD6">
        <v>0</v>
      </c>
      <c r="AAE6">
        <v>1</v>
      </c>
      <c r="AAF6">
        <v>1</v>
      </c>
      <c r="AAG6">
        <v>2</v>
      </c>
      <c r="AAH6">
        <v>0</v>
      </c>
      <c r="AAI6">
        <v>2</v>
      </c>
      <c r="AAJ6">
        <v>0</v>
      </c>
      <c r="AAK6">
        <v>1</v>
      </c>
      <c r="AAL6">
        <v>1</v>
      </c>
      <c r="AAM6">
        <v>1</v>
      </c>
      <c r="AAN6">
        <v>0</v>
      </c>
      <c r="AAO6">
        <v>1</v>
      </c>
      <c r="AAP6">
        <v>0</v>
      </c>
      <c r="AAQ6">
        <v>1</v>
      </c>
      <c r="AAR6">
        <v>1</v>
      </c>
      <c r="AAS6">
        <v>1</v>
      </c>
      <c r="AAT6">
        <v>1</v>
      </c>
      <c r="AAU6">
        <v>1</v>
      </c>
      <c r="AAV6">
        <v>1</v>
      </c>
      <c r="AAW6">
        <v>1</v>
      </c>
      <c r="AAX6">
        <v>1</v>
      </c>
      <c r="AAY6">
        <v>1</v>
      </c>
      <c r="AAZ6">
        <v>0</v>
      </c>
      <c r="ABA6">
        <v>1</v>
      </c>
      <c r="ABB6">
        <v>0</v>
      </c>
      <c r="ABC6">
        <v>1</v>
      </c>
      <c r="ABD6">
        <v>1</v>
      </c>
      <c r="ABE6">
        <v>1</v>
      </c>
      <c r="ABF6">
        <v>0</v>
      </c>
      <c r="ABG6">
        <v>1</v>
      </c>
      <c r="ABH6">
        <v>0</v>
      </c>
      <c r="ABI6">
        <v>1</v>
      </c>
      <c r="ABJ6">
        <v>1</v>
      </c>
      <c r="ABK6">
        <v>1</v>
      </c>
      <c r="ABL6">
        <v>0</v>
      </c>
      <c r="ABM6">
        <v>1</v>
      </c>
      <c r="ABN6">
        <v>0</v>
      </c>
      <c r="ABO6">
        <v>1</v>
      </c>
    </row>
    <row r="7" spans="1:743" x14ac:dyDescent="0.55000000000000004">
      <c r="A7">
        <v>4</v>
      </c>
      <c r="B7" t="s">
        <v>4</v>
      </c>
      <c r="K7" s="1"/>
      <c r="L7" s="1">
        <f>MAX(Table1[[#This Row],[A]:[H]])</f>
        <v>0</v>
      </c>
      <c r="M7" s="5" t="str">
        <f>Table1[[#This Row],[Participants]]</f>
        <v>Isabelle</v>
      </c>
      <c r="N7" s="6" t="s">
        <v>14</v>
      </c>
      <c r="O7" s="6" t="s">
        <v>20</v>
      </c>
      <c r="P7" t="s">
        <v>29</v>
      </c>
      <c r="Q7">
        <v>7</v>
      </c>
      <c r="X7">
        <v>2</v>
      </c>
      <c r="Y7">
        <v>2</v>
      </c>
      <c r="Z7">
        <v>2</v>
      </c>
      <c r="AA7">
        <v>1</v>
      </c>
      <c r="AB7">
        <v>2</v>
      </c>
      <c r="AC7">
        <v>1</v>
      </c>
      <c r="AD7">
        <v>2</v>
      </c>
      <c r="AE7">
        <v>2</v>
      </c>
      <c r="AF7">
        <v>2</v>
      </c>
      <c r="AG7">
        <v>1</v>
      </c>
      <c r="AH7">
        <v>2</v>
      </c>
      <c r="AI7">
        <v>1</v>
      </c>
      <c r="AJ7">
        <v>2</v>
      </c>
      <c r="AK7">
        <v>1</v>
      </c>
      <c r="AL7">
        <v>2</v>
      </c>
      <c r="AM7">
        <v>1</v>
      </c>
      <c r="AN7">
        <v>1</v>
      </c>
      <c r="AO7">
        <v>1</v>
      </c>
      <c r="AP7">
        <v>2</v>
      </c>
      <c r="AQ7">
        <v>1</v>
      </c>
      <c r="AR7">
        <v>2</v>
      </c>
      <c r="AS7">
        <v>1</v>
      </c>
      <c r="AT7">
        <v>1</v>
      </c>
      <c r="AU7">
        <v>1</v>
      </c>
      <c r="ZF7">
        <v>0</v>
      </c>
      <c r="ZG7">
        <v>0</v>
      </c>
      <c r="ZH7">
        <v>2</v>
      </c>
      <c r="ZI7">
        <v>2</v>
      </c>
      <c r="ZJ7">
        <v>0</v>
      </c>
      <c r="ZK7">
        <v>0</v>
      </c>
      <c r="ZL7">
        <v>0</v>
      </c>
      <c r="ZM7">
        <v>0</v>
      </c>
      <c r="ZN7">
        <v>2</v>
      </c>
      <c r="ZO7">
        <v>2</v>
      </c>
      <c r="ZP7">
        <v>0</v>
      </c>
      <c r="ZQ7">
        <v>0</v>
      </c>
      <c r="ZR7">
        <v>2</v>
      </c>
      <c r="ZS7">
        <v>2</v>
      </c>
      <c r="ZT7">
        <v>0</v>
      </c>
      <c r="ZU7">
        <v>0</v>
      </c>
      <c r="ZV7">
        <v>1</v>
      </c>
      <c r="ZW7">
        <v>1</v>
      </c>
      <c r="ZX7">
        <v>0</v>
      </c>
      <c r="ZY7">
        <v>0</v>
      </c>
      <c r="ZZ7">
        <v>2</v>
      </c>
      <c r="AAA7">
        <v>2</v>
      </c>
      <c r="AAB7">
        <v>1</v>
      </c>
      <c r="AAC7">
        <v>1</v>
      </c>
      <c r="AAD7">
        <v>0</v>
      </c>
      <c r="AAE7">
        <v>0</v>
      </c>
      <c r="AAF7">
        <v>2</v>
      </c>
      <c r="AAG7">
        <v>2</v>
      </c>
      <c r="AAH7">
        <v>0</v>
      </c>
      <c r="AAI7">
        <v>0</v>
      </c>
      <c r="AAJ7">
        <v>0</v>
      </c>
      <c r="AAK7">
        <v>0</v>
      </c>
      <c r="AAL7">
        <v>2</v>
      </c>
      <c r="AAM7">
        <v>2</v>
      </c>
      <c r="AAN7">
        <v>0</v>
      </c>
      <c r="AAO7">
        <v>0</v>
      </c>
      <c r="AAP7">
        <v>1</v>
      </c>
      <c r="AAQ7">
        <v>1</v>
      </c>
      <c r="AAR7">
        <v>0</v>
      </c>
      <c r="AAS7">
        <v>0</v>
      </c>
      <c r="AAT7">
        <v>1</v>
      </c>
      <c r="AAU7">
        <v>1</v>
      </c>
      <c r="AAV7">
        <v>2</v>
      </c>
      <c r="AAW7">
        <v>2</v>
      </c>
      <c r="AAX7">
        <v>2</v>
      </c>
      <c r="AAY7">
        <v>2</v>
      </c>
      <c r="AAZ7">
        <v>1</v>
      </c>
      <c r="ABA7">
        <v>1</v>
      </c>
      <c r="ABB7">
        <v>2</v>
      </c>
      <c r="ABC7">
        <v>2</v>
      </c>
      <c r="ABD7">
        <v>2</v>
      </c>
      <c r="ABE7">
        <v>2</v>
      </c>
      <c r="ABF7">
        <v>0</v>
      </c>
      <c r="ABG7">
        <v>0</v>
      </c>
      <c r="ABH7">
        <v>2</v>
      </c>
      <c r="ABI7">
        <v>2</v>
      </c>
      <c r="ABJ7">
        <v>2</v>
      </c>
      <c r="ABK7">
        <v>2</v>
      </c>
      <c r="ABL7">
        <v>0</v>
      </c>
      <c r="ABM7">
        <v>0</v>
      </c>
      <c r="ABN7">
        <v>1</v>
      </c>
      <c r="ABO7">
        <v>1</v>
      </c>
    </row>
    <row r="8" spans="1:743" x14ac:dyDescent="0.55000000000000004">
      <c r="A8">
        <v>5</v>
      </c>
      <c r="B8" t="s">
        <v>5</v>
      </c>
      <c r="K8" s="1"/>
      <c r="L8" s="1">
        <f>MAX(Table1[[#This Row],[A]:[H]])</f>
        <v>0</v>
      </c>
      <c r="M8" s="5" t="str">
        <f>Table1[[#This Row],[Participants]]</f>
        <v>Martin</v>
      </c>
      <c r="N8" s="6" t="s">
        <v>15</v>
      </c>
      <c r="O8" s="6" t="s">
        <v>20</v>
      </c>
      <c r="P8" t="s">
        <v>27</v>
      </c>
      <c r="Q8">
        <v>7</v>
      </c>
      <c r="X8">
        <v>0</v>
      </c>
      <c r="Y8">
        <v>1</v>
      </c>
      <c r="Z8">
        <v>0</v>
      </c>
      <c r="AA8">
        <v>1</v>
      </c>
      <c r="AB8">
        <v>0</v>
      </c>
      <c r="AC8">
        <v>0</v>
      </c>
      <c r="AD8">
        <v>0</v>
      </c>
      <c r="AE8">
        <v>1</v>
      </c>
      <c r="AF8">
        <v>1</v>
      </c>
      <c r="AG8">
        <v>1</v>
      </c>
      <c r="AH8">
        <v>1</v>
      </c>
      <c r="AI8">
        <v>0</v>
      </c>
      <c r="AJ8">
        <v>0</v>
      </c>
      <c r="AK8">
        <v>1</v>
      </c>
      <c r="AL8">
        <v>1</v>
      </c>
      <c r="AM8">
        <v>1</v>
      </c>
      <c r="AN8">
        <v>1</v>
      </c>
      <c r="AO8">
        <v>0</v>
      </c>
      <c r="AP8">
        <v>0</v>
      </c>
      <c r="AQ8">
        <v>0</v>
      </c>
      <c r="AR8">
        <v>1</v>
      </c>
      <c r="AS8">
        <v>0</v>
      </c>
      <c r="AT8">
        <v>1</v>
      </c>
      <c r="AU8">
        <v>0</v>
      </c>
      <c r="ZF8">
        <v>0</v>
      </c>
      <c r="ZG8">
        <v>0</v>
      </c>
      <c r="ZH8">
        <v>1</v>
      </c>
      <c r="ZI8">
        <v>1</v>
      </c>
      <c r="ZJ8">
        <v>1</v>
      </c>
      <c r="ZK8">
        <v>1</v>
      </c>
      <c r="ZL8">
        <v>1</v>
      </c>
      <c r="ZM8">
        <v>1</v>
      </c>
      <c r="ZN8">
        <v>1</v>
      </c>
      <c r="ZO8">
        <v>1</v>
      </c>
      <c r="ZP8">
        <v>1</v>
      </c>
      <c r="ZQ8">
        <v>1</v>
      </c>
      <c r="ZR8">
        <v>1</v>
      </c>
      <c r="ZS8">
        <v>1</v>
      </c>
      <c r="ZT8">
        <v>1</v>
      </c>
      <c r="ZU8">
        <v>1</v>
      </c>
      <c r="ZV8">
        <v>1</v>
      </c>
      <c r="ZW8">
        <v>1</v>
      </c>
      <c r="ZX8">
        <v>1</v>
      </c>
      <c r="ZY8">
        <v>1</v>
      </c>
      <c r="ZZ8">
        <v>0</v>
      </c>
      <c r="AAA8">
        <v>0</v>
      </c>
      <c r="AAB8">
        <v>0</v>
      </c>
      <c r="AAC8">
        <v>0</v>
      </c>
      <c r="AAD8">
        <v>0</v>
      </c>
      <c r="AAE8">
        <v>0</v>
      </c>
      <c r="AAF8">
        <v>2</v>
      </c>
      <c r="AAG8">
        <v>2</v>
      </c>
      <c r="AAH8">
        <v>2</v>
      </c>
      <c r="AAI8">
        <v>2</v>
      </c>
      <c r="AAJ8">
        <v>2</v>
      </c>
      <c r="AAK8">
        <v>2</v>
      </c>
      <c r="AAL8">
        <v>1</v>
      </c>
      <c r="AAM8">
        <v>1</v>
      </c>
      <c r="AAN8">
        <v>1</v>
      </c>
      <c r="AAO8">
        <v>1</v>
      </c>
      <c r="AAP8">
        <v>1</v>
      </c>
      <c r="AAQ8">
        <v>1</v>
      </c>
      <c r="AAR8">
        <v>1</v>
      </c>
      <c r="AAS8">
        <v>1</v>
      </c>
      <c r="AAT8">
        <v>1</v>
      </c>
      <c r="AAU8">
        <v>1</v>
      </c>
      <c r="AAV8">
        <v>1</v>
      </c>
      <c r="AAW8">
        <v>1</v>
      </c>
      <c r="AAX8">
        <v>0</v>
      </c>
      <c r="AAY8">
        <v>0</v>
      </c>
      <c r="AAZ8">
        <v>0</v>
      </c>
      <c r="ABA8">
        <v>0</v>
      </c>
      <c r="ABB8">
        <v>0</v>
      </c>
      <c r="ABC8">
        <v>0</v>
      </c>
      <c r="ABD8">
        <v>2</v>
      </c>
      <c r="ABE8">
        <v>2</v>
      </c>
      <c r="ABF8">
        <v>2</v>
      </c>
      <c r="ABG8">
        <v>2</v>
      </c>
      <c r="ABH8">
        <v>2</v>
      </c>
      <c r="ABI8">
        <v>2</v>
      </c>
      <c r="ABJ8">
        <v>1</v>
      </c>
      <c r="ABK8">
        <v>1</v>
      </c>
      <c r="ABL8">
        <v>1</v>
      </c>
      <c r="ABM8">
        <v>1</v>
      </c>
      <c r="ABN8">
        <v>1</v>
      </c>
      <c r="ABO8">
        <v>1</v>
      </c>
    </row>
    <row r="9" spans="1:743" x14ac:dyDescent="0.55000000000000004">
      <c r="A9">
        <v>6</v>
      </c>
      <c r="B9" t="s">
        <v>6</v>
      </c>
      <c r="K9" s="1"/>
      <c r="L9" s="1">
        <f>MAX(Table1[[#This Row],[A]:[H]])</f>
        <v>0</v>
      </c>
      <c r="M9" s="5" t="str">
        <f>Table1[[#This Row],[Participants]]</f>
        <v>Pierre-Olivier</v>
      </c>
      <c r="N9" s="6" t="s">
        <v>10</v>
      </c>
      <c r="O9" s="6" t="s">
        <v>20</v>
      </c>
      <c r="P9" t="s">
        <v>28</v>
      </c>
      <c r="Q9">
        <v>7</v>
      </c>
      <c r="X9">
        <v>2</v>
      </c>
      <c r="Y9">
        <v>2</v>
      </c>
      <c r="Z9">
        <v>1</v>
      </c>
      <c r="AA9">
        <v>1</v>
      </c>
      <c r="AB9">
        <v>2</v>
      </c>
      <c r="AC9">
        <v>2</v>
      </c>
      <c r="AD9">
        <v>1</v>
      </c>
      <c r="AE9">
        <v>1</v>
      </c>
      <c r="AF9">
        <v>1</v>
      </c>
      <c r="AG9">
        <v>1</v>
      </c>
      <c r="AH9">
        <v>2</v>
      </c>
      <c r="AI9">
        <v>2</v>
      </c>
      <c r="AJ9">
        <v>1</v>
      </c>
      <c r="AK9">
        <v>1</v>
      </c>
      <c r="AL9">
        <v>2</v>
      </c>
      <c r="AM9">
        <v>2</v>
      </c>
      <c r="AN9">
        <v>2</v>
      </c>
      <c r="AO9">
        <v>2</v>
      </c>
      <c r="AP9">
        <v>1</v>
      </c>
      <c r="AQ9">
        <v>1</v>
      </c>
      <c r="AR9">
        <v>2</v>
      </c>
      <c r="AS9">
        <v>2</v>
      </c>
      <c r="AT9">
        <v>1</v>
      </c>
      <c r="AU9">
        <v>1</v>
      </c>
      <c r="ZF9">
        <v>2</v>
      </c>
      <c r="ZG9">
        <v>2</v>
      </c>
      <c r="ZH9">
        <v>2</v>
      </c>
      <c r="ZI9">
        <v>2</v>
      </c>
      <c r="ZJ9">
        <v>2</v>
      </c>
      <c r="ZK9">
        <v>2</v>
      </c>
      <c r="ZL9">
        <v>2</v>
      </c>
      <c r="ZM9">
        <v>2</v>
      </c>
      <c r="ZN9">
        <v>2</v>
      </c>
      <c r="ZO9">
        <v>2</v>
      </c>
      <c r="ZP9">
        <v>2</v>
      </c>
      <c r="ZQ9">
        <v>2</v>
      </c>
      <c r="ZR9">
        <v>2</v>
      </c>
      <c r="ZS9">
        <v>2</v>
      </c>
      <c r="ZT9">
        <v>2</v>
      </c>
      <c r="ZU9">
        <v>2</v>
      </c>
      <c r="ZV9">
        <v>2</v>
      </c>
      <c r="ZW9">
        <v>2</v>
      </c>
      <c r="ZX9">
        <v>2</v>
      </c>
      <c r="ZY9">
        <v>2</v>
      </c>
      <c r="ZZ9">
        <v>2</v>
      </c>
      <c r="AAA9">
        <v>2</v>
      </c>
      <c r="AAB9">
        <v>2</v>
      </c>
      <c r="AAC9">
        <v>2</v>
      </c>
      <c r="AAD9">
        <v>2</v>
      </c>
      <c r="AAE9">
        <v>2</v>
      </c>
      <c r="AAF9">
        <v>2</v>
      </c>
      <c r="AAG9">
        <v>2</v>
      </c>
      <c r="AAH9">
        <v>2</v>
      </c>
      <c r="AAI9">
        <v>2</v>
      </c>
      <c r="AAJ9">
        <v>2</v>
      </c>
      <c r="AAK9">
        <v>2</v>
      </c>
      <c r="AAL9">
        <v>2</v>
      </c>
      <c r="AAM9">
        <v>2</v>
      </c>
      <c r="AAN9">
        <v>2</v>
      </c>
      <c r="AAO9">
        <v>2</v>
      </c>
      <c r="AAP9">
        <v>2</v>
      </c>
      <c r="AAQ9">
        <v>2</v>
      </c>
      <c r="AAR9">
        <v>1</v>
      </c>
      <c r="AAS9">
        <v>1</v>
      </c>
      <c r="AAT9">
        <v>1</v>
      </c>
      <c r="AAU9">
        <v>1</v>
      </c>
      <c r="AAV9">
        <v>1</v>
      </c>
      <c r="AAW9">
        <v>1</v>
      </c>
      <c r="AAX9">
        <v>1</v>
      </c>
      <c r="AAY9">
        <v>1</v>
      </c>
      <c r="AAZ9">
        <v>1</v>
      </c>
      <c r="ABA9">
        <v>1</v>
      </c>
      <c r="ABB9">
        <v>1</v>
      </c>
      <c r="ABC9">
        <v>1</v>
      </c>
      <c r="ABD9">
        <v>1</v>
      </c>
      <c r="ABE9">
        <v>1</v>
      </c>
      <c r="ABF9">
        <v>1</v>
      </c>
      <c r="ABG9">
        <v>1</v>
      </c>
      <c r="ABH9">
        <v>1</v>
      </c>
      <c r="ABI9">
        <v>1</v>
      </c>
      <c r="ABJ9">
        <v>1</v>
      </c>
      <c r="ABK9">
        <v>1</v>
      </c>
      <c r="ABL9">
        <v>1</v>
      </c>
      <c r="ABM9">
        <v>1</v>
      </c>
      <c r="ABN9">
        <v>1</v>
      </c>
      <c r="ABO9">
        <v>1</v>
      </c>
    </row>
    <row r="10" spans="1:743" x14ac:dyDescent="0.55000000000000004">
      <c r="A10">
        <v>7</v>
      </c>
      <c r="B10" t="s">
        <v>7</v>
      </c>
      <c r="K10" s="1"/>
      <c r="L10" s="1">
        <f>MAX(Table1[[#This Row],[A]:[H]])</f>
        <v>0</v>
      </c>
      <c r="M10" s="5" t="str">
        <f>Table1[[#This Row],[Participants]]</f>
        <v>Valérie</v>
      </c>
      <c r="N10" s="6" t="s">
        <v>9</v>
      </c>
      <c r="O10" s="6" t="s">
        <v>20</v>
      </c>
      <c r="P10" t="s">
        <v>27</v>
      </c>
      <c r="Q10">
        <v>6</v>
      </c>
      <c r="R10">
        <v>7</v>
      </c>
      <c r="X10">
        <v>2</v>
      </c>
      <c r="Y10">
        <v>2</v>
      </c>
      <c r="Z10">
        <v>2</v>
      </c>
      <c r="AA10">
        <v>2</v>
      </c>
      <c r="AB10">
        <v>2</v>
      </c>
      <c r="AC10">
        <v>2</v>
      </c>
      <c r="AD10">
        <v>0</v>
      </c>
      <c r="AE10">
        <v>0</v>
      </c>
      <c r="AF10">
        <v>0</v>
      </c>
      <c r="AG10">
        <v>0</v>
      </c>
      <c r="AH10">
        <v>0</v>
      </c>
      <c r="AI10">
        <v>0</v>
      </c>
      <c r="AJ10">
        <v>2</v>
      </c>
      <c r="AK10">
        <v>2</v>
      </c>
      <c r="AL10">
        <v>2</v>
      </c>
      <c r="AM10">
        <v>2</v>
      </c>
      <c r="AN10">
        <v>2</v>
      </c>
      <c r="AO10">
        <v>2</v>
      </c>
      <c r="AP10">
        <v>2</v>
      </c>
      <c r="AQ10">
        <v>2</v>
      </c>
      <c r="AR10">
        <v>2</v>
      </c>
      <c r="AS10">
        <v>2</v>
      </c>
      <c r="AT10">
        <v>2</v>
      </c>
      <c r="AU10">
        <v>2</v>
      </c>
      <c r="ZF10">
        <v>1</v>
      </c>
      <c r="ZG10">
        <v>1</v>
      </c>
      <c r="ZH10">
        <v>1</v>
      </c>
      <c r="ZI10">
        <v>1</v>
      </c>
      <c r="ZJ10">
        <v>1</v>
      </c>
      <c r="ZK10">
        <v>1</v>
      </c>
      <c r="ZL10">
        <v>1</v>
      </c>
      <c r="ZM10">
        <v>1</v>
      </c>
      <c r="ZN10">
        <v>1</v>
      </c>
      <c r="ZO10">
        <v>1</v>
      </c>
      <c r="ZP10">
        <v>1</v>
      </c>
      <c r="ZQ10">
        <v>1</v>
      </c>
      <c r="ZR10">
        <v>1</v>
      </c>
      <c r="ZS10">
        <v>1</v>
      </c>
      <c r="ZT10">
        <v>1</v>
      </c>
      <c r="ZU10">
        <v>1</v>
      </c>
      <c r="ZV10">
        <v>1</v>
      </c>
      <c r="ZW10">
        <v>1</v>
      </c>
      <c r="ZX10">
        <v>1</v>
      </c>
      <c r="ZY10">
        <v>1</v>
      </c>
      <c r="ZZ10">
        <v>1</v>
      </c>
      <c r="AAA10">
        <v>1</v>
      </c>
      <c r="AAB10">
        <v>1</v>
      </c>
      <c r="AAC10">
        <v>1</v>
      </c>
      <c r="AAD10">
        <v>1</v>
      </c>
      <c r="AAE10">
        <v>1</v>
      </c>
      <c r="AAF10">
        <v>1</v>
      </c>
      <c r="AAG10">
        <v>1</v>
      </c>
      <c r="AAH10">
        <v>1</v>
      </c>
      <c r="AAI10">
        <v>1</v>
      </c>
      <c r="AAJ10">
        <v>1</v>
      </c>
      <c r="AAK10">
        <v>1</v>
      </c>
      <c r="AAL10">
        <v>1</v>
      </c>
      <c r="AAM10">
        <v>1</v>
      </c>
      <c r="AAN10">
        <v>1</v>
      </c>
      <c r="AAO10">
        <v>1</v>
      </c>
      <c r="AAP10">
        <v>1</v>
      </c>
      <c r="AAQ10">
        <v>1</v>
      </c>
      <c r="AAR10">
        <v>1</v>
      </c>
      <c r="AAS10">
        <v>1</v>
      </c>
      <c r="AAT10">
        <v>1</v>
      </c>
      <c r="AAU10">
        <v>1</v>
      </c>
      <c r="AAV10">
        <v>1</v>
      </c>
      <c r="AAW10">
        <v>1</v>
      </c>
      <c r="AAX10">
        <v>1</v>
      </c>
      <c r="AAY10">
        <v>1</v>
      </c>
      <c r="AAZ10">
        <v>1</v>
      </c>
      <c r="ABA10">
        <v>1</v>
      </c>
      <c r="ABB10">
        <v>1</v>
      </c>
      <c r="ABC10">
        <v>1</v>
      </c>
      <c r="ABD10">
        <v>1</v>
      </c>
      <c r="ABE10">
        <v>1</v>
      </c>
      <c r="ABF10">
        <v>1</v>
      </c>
      <c r="ABG10">
        <v>1</v>
      </c>
      <c r="ABH10">
        <v>1</v>
      </c>
      <c r="ABI10">
        <v>1</v>
      </c>
      <c r="ABJ10">
        <v>1</v>
      </c>
      <c r="ABK10">
        <v>1</v>
      </c>
      <c r="ABL10">
        <v>1</v>
      </c>
      <c r="ABM10">
        <v>1</v>
      </c>
      <c r="ABN10">
        <v>1</v>
      </c>
      <c r="ABO10">
        <v>1</v>
      </c>
    </row>
    <row r="11" spans="1:743" x14ac:dyDescent="0.55000000000000004">
      <c r="X11">
        <f>SUM(X3:X10)</f>
        <v>6</v>
      </c>
      <c r="Y11">
        <f t="shared" ref="Y11:AE11" si="0">SUM(Y3:Y10)</f>
        <v>7</v>
      </c>
      <c r="Z11">
        <f t="shared" si="0"/>
        <v>5</v>
      </c>
      <c r="AA11">
        <f t="shared" si="0"/>
        <v>5</v>
      </c>
      <c r="AB11">
        <f t="shared" si="0"/>
        <v>6</v>
      </c>
      <c r="AC11">
        <f t="shared" si="0"/>
        <v>5</v>
      </c>
      <c r="AD11">
        <f t="shared" si="0"/>
        <v>3</v>
      </c>
      <c r="AE11">
        <f t="shared" si="0"/>
        <v>4</v>
      </c>
      <c r="AF11">
        <f t="shared" ref="AF11" si="1">SUM(AF3:AF10)</f>
        <v>4</v>
      </c>
      <c r="AG11">
        <f t="shared" ref="AG11" si="2">SUM(AG3:AG10)</f>
        <v>3</v>
      </c>
      <c r="AH11">
        <f t="shared" ref="AH11" si="3">SUM(AH3:AH10)</f>
        <v>5</v>
      </c>
      <c r="AI11">
        <f t="shared" ref="AI11" si="4">SUM(AI3:AI10)</f>
        <v>3</v>
      </c>
      <c r="AJ11">
        <f t="shared" ref="AJ11" si="5">SUM(AJ3:AJ10)</f>
        <v>5</v>
      </c>
      <c r="AK11">
        <f t="shared" ref="AK11" si="6">SUM(AK3:AK10)</f>
        <v>5</v>
      </c>
      <c r="AL11">
        <f t="shared" ref="AL11" si="7">SUM(AL3:AL10)</f>
        <v>7</v>
      </c>
      <c r="AM11">
        <f t="shared" ref="AM11" si="8">SUM(AM3:AM10)</f>
        <v>6</v>
      </c>
      <c r="AN11">
        <f t="shared" ref="AN11" si="9">SUM(AN3:AN10)</f>
        <v>6</v>
      </c>
      <c r="AO11">
        <f t="shared" ref="AO11" si="10">SUM(AO3:AO10)</f>
        <v>5</v>
      </c>
      <c r="AP11">
        <f t="shared" ref="AP11" si="11">SUM(AP3:AP10)</f>
        <v>5</v>
      </c>
      <c r="AQ11">
        <f t="shared" ref="AQ11" si="12">SUM(AQ3:AQ10)</f>
        <v>4</v>
      </c>
      <c r="AR11">
        <f t="shared" ref="AR11" si="13">SUM(AR3:AR10)</f>
        <v>7</v>
      </c>
      <c r="AS11">
        <f t="shared" ref="AS11" si="14">SUM(AS3:AS10)</f>
        <v>5</v>
      </c>
      <c r="AT11">
        <f t="shared" ref="AT11" si="15">SUM(AT3:AT10)</f>
        <v>5</v>
      </c>
      <c r="AU11">
        <f t="shared" ref="AU11" si="16">SUM(AU3:AU10)</f>
        <v>4</v>
      </c>
      <c r="AV11">
        <f t="shared" ref="AV11" si="17">SUM(AV3:AV10)</f>
        <v>0</v>
      </c>
      <c r="AW11">
        <f t="shared" ref="AW11" si="18">SUM(AW3:AW10)</f>
        <v>0</v>
      </c>
      <c r="AX11">
        <f t="shared" ref="AX11" si="19">SUM(AX3:AX10)</f>
        <v>0</v>
      </c>
      <c r="AY11">
        <f t="shared" ref="AY11" si="20">SUM(AY3:AY10)</f>
        <v>0</v>
      </c>
      <c r="AZ11">
        <f t="shared" ref="AZ11" si="21">SUM(AZ3:AZ10)</f>
        <v>0</v>
      </c>
      <c r="BA11">
        <f t="shared" ref="BA11" si="22">SUM(BA3:BA10)</f>
        <v>0</v>
      </c>
      <c r="BB11">
        <f t="shared" ref="BB11" si="23">SUM(BB3:BB10)</f>
        <v>0</v>
      </c>
      <c r="BC11">
        <f t="shared" ref="BC11" si="24">SUM(BC3:BC10)</f>
        <v>0</v>
      </c>
      <c r="BD11">
        <f t="shared" ref="BD11" si="25">SUM(BD3:BD10)</f>
        <v>0</v>
      </c>
      <c r="BE11">
        <f t="shared" ref="BE11" si="26">SUM(BE3:BE10)</f>
        <v>0</v>
      </c>
      <c r="BF11">
        <f t="shared" ref="BF11" si="27">SUM(BF3:BF10)</f>
        <v>0</v>
      </c>
      <c r="BG11">
        <f t="shared" ref="BG11" si="28">SUM(BG3:BG10)</f>
        <v>0</v>
      </c>
      <c r="BH11">
        <f t="shared" ref="BH11" si="29">SUM(BH3:BH10)</f>
        <v>0</v>
      </c>
      <c r="BI11">
        <f t="shared" ref="BI11" si="30">SUM(BI3:BI10)</f>
        <v>0</v>
      </c>
      <c r="BJ11">
        <f t="shared" ref="BJ11" si="31">SUM(BJ3:BJ10)</f>
        <v>0</v>
      </c>
      <c r="BK11">
        <f t="shared" ref="BK11" si="32">SUM(BK3:BK10)</f>
        <v>0</v>
      </c>
      <c r="BL11">
        <f t="shared" ref="BL11" si="33">SUM(BL3:BL10)</f>
        <v>0</v>
      </c>
      <c r="BM11">
        <f t="shared" ref="BM11" si="34">SUM(BM3:BM10)</f>
        <v>0</v>
      </c>
      <c r="BN11">
        <f t="shared" ref="BN11" si="35">SUM(BN3:BN10)</f>
        <v>0</v>
      </c>
      <c r="BO11">
        <f t="shared" ref="BO11" si="36">SUM(BO3:BO10)</f>
        <v>0</v>
      </c>
      <c r="BP11">
        <f t="shared" ref="BP11" si="37">SUM(BP3:BP10)</f>
        <v>0</v>
      </c>
      <c r="BQ11">
        <f t="shared" ref="BQ11" si="38">SUM(BQ3:BQ10)</f>
        <v>0</v>
      </c>
      <c r="BR11">
        <f t="shared" ref="BR11" si="39">SUM(BR3:BR10)</f>
        <v>0</v>
      </c>
      <c r="BS11">
        <f t="shared" ref="BS11" si="40">SUM(BS3:BS10)</f>
        <v>0</v>
      </c>
      <c r="BT11">
        <f t="shared" ref="BT11" si="41">SUM(BT3:BT10)</f>
        <v>0</v>
      </c>
      <c r="BU11">
        <f t="shared" ref="BU11" si="42">SUM(BU3:BU10)</f>
        <v>0</v>
      </c>
      <c r="BV11">
        <f t="shared" ref="BV11" si="43">SUM(BV3:BV10)</f>
        <v>0</v>
      </c>
      <c r="BW11">
        <f t="shared" ref="BW11" si="44">SUM(BW3:BW10)</f>
        <v>0</v>
      </c>
      <c r="BX11">
        <f t="shared" ref="BX11" si="45">SUM(BX3:BX10)</f>
        <v>0</v>
      </c>
      <c r="BY11">
        <f t="shared" ref="BY11" si="46">SUM(BY3:BY10)</f>
        <v>0</v>
      </c>
      <c r="BZ11">
        <f t="shared" ref="BZ11" si="47">SUM(BZ3:BZ10)</f>
        <v>0</v>
      </c>
      <c r="CA11">
        <f t="shared" ref="CA11" si="48">SUM(CA3:CA10)</f>
        <v>0</v>
      </c>
      <c r="CB11">
        <f t="shared" ref="CB11" si="49">SUM(CB3:CB10)</f>
        <v>0</v>
      </c>
      <c r="CC11">
        <f t="shared" ref="CC11" si="50">SUM(CC3:CC10)</f>
        <v>0</v>
      </c>
      <c r="CD11">
        <f t="shared" ref="CD11" si="51">SUM(CD3:CD10)</f>
        <v>0</v>
      </c>
      <c r="CE11">
        <f t="shared" ref="CE11" si="52">SUM(CE3:CE10)</f>
        <v>0</v>
      </c>
      <c r="CF11">
        <f t="shared" ref="CF11" si="53">SUM(CF3:CF10)</f>
        <v>0</v>
      </c>
      <c r="CG11">
        <f t="shared" ref="CG11" si="54">SUM(CG3:CG10)</f>
        <v>0</v>
      </c>
      <c r="CH11">
        <f t="shared" ref="CH11" si="55">SUM(CH3:CH10)</f>
        <v>0</v>
      </c>
      <c r="CI11">
        <f t="shared" ref="CI11" si="56">SUM(CI3:CI10)</f>
        <v>0</v>
      </c>
      <c r="CJ11">
        <f t="shared" ref="CJ11" si="57">SUM(CJ3:CJ10)</f>
        <v>0</v>
      </c>
      <c r="CK11">
        <f t="shared" ref="CK11" si="58">SUM(CK3:CK10)</f>
        <v>0</v>
      </c>
      <c r="CL11">
        <f t="shared" ref="CL11" si="59">SUM(CL3:CL10)</f>
        <v>0</v>
      </c>
      <c r="CM11">
        <f t="shared" ref="CM11" si="60">SUM(CM3:CM10)</f>
        <v>0</v>
      </c>
      <c r="CN11">
        <f t="shared" ref="CN11" si="61">SUM(CN3:CN10)</f>
        <v>0</v>
      </c>
      <c r="CO11">
        <f t="shared" ref="CO11" si="62">SUM(CO3:CO10)</f>
        <v>0</v>
      </c>
      <c r="CP11">
        <f t="shared" ref="CP11" si="63">SUM(CP3:CP10)</f>
        <v>0</v>
      </c>
      <c r="CQ11">
        <f t="shared" ref="CQ11" si="64">SUM(CQ3:CQ10)</f>
        <v>0</v>
      </c>
      <c r="CR11">
        <f t="shared" ref="CR11" si="65">SUM(CR3:CR10)</f>
        <v>0</v>
      </c>
      <c r="CS11">
        <f t="shared" ref="CS11" si="66">SUM(CS3:CS10)</f>
        <v>0</v>
      </c>
      <c r="CT11">
        <f t="shared" ref="CT11" si="67">SUM(CT3:CT10)</f>
        <v>0</v>
      </c>
      <c r="CU11">
        <f t="shared" ref="CU11" si="68">SUM(CU3:CU10)</f>
        <v>0</v>
      </c>
      <c r="CV11">
        <f t="shared" ref="CV11" si="69">SUM(CV3:CV10)</f>
        <v>0</v>
      </c>
      <c r="CW11">
        <f t="shared" ref="CW11" si="70">SUM(CW3:CW10)</f>
        <v>0</v>
      </c>
      <c r="CX11">
        <f t="shared" ref="CX11" si="71">SUM(CX3:CX10)</f>
        <v>0</v>
      </c>
      <c r="CY11">
        <f t="shared" ref="CY11" si="72">SUM(CY3:CY10)</f>
        <v>0</v>
      </c>
      <c r="CZ11">
        <f t="shared" ref="CZ11" si="73">SUM(CZ3:CZ10)</f>
        <v>0</v>
      </c>
      <c r="DA11">
        <f t="shared" ref="DA11" si="74">SUM(DA3:DA10)</f>
        <v>0</v>
      </c>
      <c r="DB11">
        <f t="shared" ref="DB11" si="75">SUM(DB3:DB10)</f>
        <v>0</v>
      </c>
      <c r="DC11">
        <f t="shared" ref="DC11" si="76">SUM(DC3:DC10)</f>
        <v>0</v>
      </c>
      <c r="DD11">
        <f t="shared" ref="DD11" si="77">SUM(DD3:DD10)</f>
        <v>0</v>
      </c>
      <c r="DE11">
        <f t="shared" ref="DE11" si="78">SUM(DE3:DE10)</f>
        <v>0</v>
      </c>
      <c r="DF11">
        <f t="shared" ref="DF11" si="79">SUM(DF3:DF10)</f>
        <v>0</v>
      </c>
      <c r="DG11">
        <f t="shared" ref="DG11" si="80">SUM(DG3:DG10)</f>
        <v>0</v>
      </c>
      <c r="DH11">
        <f t="shared" ref="DH11" si="81">SUM(DH3:DH10)</f>
        <v>0</v>
      </c>
      <c r="DI11">
        <f t="shared" ref="DI11" si="82">SUM(DI3:DI10)</f>
        <v>0</v>
      </c>
      <c r="DJ11">
        <f t="shared" ref="DJ11" si="83">SUM(DJ3:DJ10)</f>
        <v>0</v>
      </c>
      <c r="DK11">
        <f t="shared" ref="DK11" si="84">SUM(DK3:DK10)</f>
        <v>0</v>
      </c>
      <c r="DL11">
        <f t="shared" ref="DL11" si="85">SUM(DL3:DL10)</f>
        <v>0</v>
      </c>
      <c r="DM11">
        <f t="shared" ref="DM11" si="86">SUM(DM3:DM10)</f>
        <v>0</v>
      </c>
      <c r="DN11">
        <f t="shared" ref="DN11" si="87">SUM(DN3:DN10)</f>
        <v>0</v>
      </c>
      <c r="DO11">
        <f t="shared" ref="DO11" si="88">SUM(DO3:DO10)</f>
        <v>0</v>
      </c>
      <c r="DP11">
        <f t="shared" ref="DP11" si="89">SUM(DP3:DP10)</f>
        <v>0</v>
      </c>
      <c r="DQ11">
        <f t="shared" ref="DQ11" si="90">SUM(DQ3:DQ10)</f>
        <v>0</v>
      </c>
      <c r="DR11">
        <f t="shared" ref="DR11" si="91">SUM(DR3:DR10)</f>
        <v>0</v>
      </c>
      <c r="DS11">
        <f t="shared" ref="DS11" si="92">SUM(DS3:DS10)</f>
        <v>0</v>
      </c>
      <c r="DT11">
        <f t="shared" ref="DT11" si="93">SUM(DT3:DT10)</f>
        <v>0</v>
      </c>
      <c r="DU11">
        <f t="shared" ref="DU11" si="94">SUM(DU3:DU10)</f>
        <v>0</v>
      </c>
      <c r="DV11">
        <f t="shared" ref="DV11" si="95">SUM(DV3:DV10)</f>
        <v>0</v>
      </c>
      <c r="DW11">
        <f t="shared" ref="DW11" si="96">SUM(DW3:DW10)</f>
        <v>0</v>
      </c>
      <c r="DX11">
        <f t="shared" ref="DX11" si="97">SUM(DX3:DX10)</f>
        <v>0</v>
      </c>
      <c r="DY11">
        <f t="shared" ref="DY11" si="98">SUM(DY3:DY10)</f>
        <v>0</v>
      </c>
      <c r="DZ11">
        <f t="shared" ref="DZ11" si="99">SUM(DZ3:DZ10)</f>
        <v>0</v>
      </c>
      <c r="EA11">
        <f t="shared" ref="EA11" si="100">SUM(EA3:EA10)</f>
        <v>0</v>
      </c>
      <c r="EB11">
        <f t="shared" ref="EB11" si="101">SUM(EB3:EB10)</f>
        <v>0</v>
      </c>
      <c r="EC11">
        <f t="shared" ref="EC11" si="102">SUM(EC3:EC10)</f>
        <v>0</v>
      </c>
      <c r="ED11">
        <f t="shared" ref="ED11" si="103">SUM(ED3:ED10)</f>
        <v>0</v>
      </c>
      <c r="EE11">
        <f t="shared" ref="EE11" si="104">SUM(EE3:EE10)</f>
        <v>0</v>
      </c>
      <c r="EF11">
        <f t="shared" ref="EF11" si="105">SUM(EF3:EF10)</f>
        <v>0</v>
      </c>
      <c r="EG11">
        <f t="shared" ref="EG11" si="106">SUM(EG3:EG10)</f>
        <v>0</v>
      </c>
      <c r="EH11">
        <f t="shared" ref="EH11" si="107">SUM(EH3:EH10)</f>
        <v>0</v>
      </c>
      <c r="EI11">
        <f t="shared" ref="EI11" si="108">SUM(EI3:EI10)</f>
        <v>0</v>
      </c>
      <c r="EJ11">
        <f t="shared" ref="EJ11" si="109">SUM(EJ3:EJ10)</f>
        <v>0</v>
      </c>
      <c r="EK11">
        <f t="shared" ref="EK11" si="110">SUM(EK3:EK10)</f>
        <v>0</v>
      </c>
      <c r="EL11">
        <f t="shared" ref="EL11" si="111">SUM(EL3:EL10)</f>
        <v>0</v>
      </c>
      <c r="EM11">
        <f t="shared" ref="EM11" si="112">SUM(EM3:EM10)</f>
        <v>0</v>
      </c>
    </row>
    <row r="13" spans="1:743" x14ac:dyDescent="0.55000000000000004">
      <c r="W13" t="s">
        <v>21</v>
      </c>
      <c r="X13">
        <v>7</v>
      </c>
    </row>
    <row r="14" spans="1:743" x14ac:dyDescent="0.55000000000000004">
      <c r="W14" t="s">
        <v>22</v>
      </c>
      <c r="X14">
        <v>1</v>
      </c>
    </row>
    <row r="15" spans="1:743" x14ac:dyDescent="0.55000000000000004">
      <c r="W15" t="s">
        <v>23</v>
      </c>
      <c r="X15">
        <v>0</v>
      </c>
    </row>
    <row r="21" spans="1:2" x14ac:dyDescent="0.55000000000000004">
      <c r="A21" t="s">
        <v>26</v>
      </c>
      <c r="B21">
        <v>7</v>
      </c>
    </row>
  </sheetData>
  <dataConsolidate/>
  <pageMargins left="0.7" right="0.7" top="0.75" bottom="0.75" header="0.3" footer="0.3"/>
  <drawing r:id="rId1"/>
  <legacyDrawing r:id="rId2"/>
  <controls>
    <mc:AlternateContent xmlns:mc="http://schemas.openxmlformats.org/markup-compatibility/2006">
      <mc:Choice Requires="x14">
        <control shapeId="1025" r:id="rId3" name="CommandButton1">
          <controlPr defaultSize="0" autoLine="0" r:id="rId4">
            <anchor moveWithCells="1">
              <from>
                <xdr:col>1</xdr:col>
                <xdr:colOff>140970</xdr:colOff>
                <xdr:row>13</xdr:row>
                <xdr:rowOff>83820</xdr:rowOff>
              </from>
              <to>
                <xdr:col>1</xdr:col>
                <xdr:colOff>784860</xdr:colOff>
                <xdr:row>16</xdr:row>
                <xdr:rowOff>76200</xdr:rowOff>
              </to>
            </anchor>
          </controlPr>
        </control>
      </mc:Choice>
      <mc:Fallback>
        <control shapeId="1025" r:id="rId3" name="CommandButton1"/>
      </mc:Fallback>
    </mc:AlternateContent>
  </controls>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evoil"/>
  <dimension ref="B1:C15"/>
  <sheetViews>
    <sheetView workbookViewId="0"/>
  </sheetViews>
  <sheetFormatPr defaultRowHeight="14.4" x14ac:dyDescent="0.55000000000000004"/>
  <cols>
    <col min="1" max="1" width="2.1015625" style="3" customWidth="1"/>
    <col min="2" max="2" width="87.68359375" customWidth="1"/>
    <col min="3" max="3" width="112.68359375" customWidth="1"/>
    <col min="4" max="10" width="8.83984375" style="3"/>
    <col min="11" max="22" width="8.83984375" style="3" customWidth="1"/>
    <col min="23" max="16384" width="8.83984375" style="3"/>
  </cols>
  <sheetData>
    <row r="1" spans="2:3" ht="405.9" customHeight="1" x14ac:dyDescent="0.55000000000000004">
      <c r="B1" s="3"/>
      <c r="C1" s="3"/>
    </row>
    <row r="2" spans="2:3" x14ac:dyDescent="0.55000000000000004">
      <c r="B2" s="3"/>
      <c r="C2" s="3"/>
    </row>
    <row r="3" spans="2:3" x14ac:dyDescent="0.55000000000000004">
      <c r="B3" s="3"/>
      <c r="C3" s="3"/>
    </row>
    <row r="4" spans="2:3" x14ac:dyDescent="0.55000000000000004">
      <c r="B4" s="3"/>
      <c r="C4" s="3"/>
    </row>
    <row r="5" spans="2:3" x14ac:dyDescent="0.55000000000000004">
      <c r="B5" s="3"/>
      <c r="C5" s="3"/>
    </row>
    <row r="6" spans="2:3" x14ac:dyDescent="0.55000000000000004">
      <c r="B6" s="3"/>
      <c r="C6" s="3"/>
    </row>
    <row r="7" spans="2:3" x14ac:dyDescent="0.55000000000000004">
      <c r="B7" s="3"/>
      <c r="C7" s="3"/>
    </row>
    <row r="11" spans="2:3" x14ac:dyDescent="0.55000000000000004">
      <c r="B11" s="3"/>
      <c r="C11" s="3"/>
    </row>
    <row r="15" spans="2:3" x14ac:dyDescent="0.55000000000000004">
      <c r="B15" s="3"/>
      <c r="C15" s="3"/>
    </row>
  </sheetData>
  <pageMargins left="0.7" right="0.7" top="0.75" bottom="0.75" header="0.3" footer="0.3"/>
  <drawing r:id="rId1"/>
  <legacyDrawing r:id="rId2"/>
  <controls>
    <mc:AlternateContent xmlns:mc="http://schemas.openxmlformats.org/markup-compatibility/2006">
      <mc:Choice Requires="x14">
        <control shapeId="3077" r:id="rId3" name="cmdResultat">
          <controlPr defaultSize="0" autoLine="0" r:id="rId4">
            <anchor moveWithCells="1">
              <from>
                <xdr:col>1</xdr:col>
                <xdr:colOff>4187190</xdr:colOff>
                <xdr:row>0</xdr:row>
                <xdr:rowOff>4331970</xdr:rowOff>
              </from>
              <to>
                <xdr:col>2</xdr:col>
                <xdr:colOff>3810</xdr:colOff>
                <xdr:row>0</xdr:row>
                <xdr:rowOff>4895850</xdr:rowOff>
              </to>
            </anchor>
          </controlPr>
        </control>
      </mc:Choice>
      <mc:Fallback>
        <control shapeId="3077" r:id="rId3" name="cmdResultat"/>
      </mc:Fallback>
    </mc:AlternateContent>
    <mc:AlternateContent xmlns:mc="http://schemas.openxmlformats.org/markup-compatibility/2006">
      <mc:Choice Requires="x14">
        <control shapeId="3075" r:id="rId5" name="lblDecision">
          <controlPr defaultSize="0" autoLine="0" autoPict="0" r:id="rId6">
            <anchor moveWithCells="1">
              <from>
                <xdr:col>1</xdr:col>
                <xdr:colOff>2148840</xdr:colOff>
                <xdr:row>0</xdr:row>
                <xdr:rowOff>4937760</xdr:rowOff>
              </from>
              <to>
                <xdr:col>2</xdr:col>
                <xdr:colOff>15240</xdr:colOff>
                <xdr:row>1</xdr:row>
                <xdr:rowOff>125730</xdr:rowOff>
              </to>
            </anchor>
          </controlPr>
        </control>
      </mc:Choice>
      <mc:Fallback>
        <control shapeId="3075" r:id="rId5" name="lblDecision"/>
      </mc:Fallback>
    </mc:AlternateContent>
    <mc:AlternateContent xmlns:mc="http://schemas.openxmlformats.org/markup-compatibility/2006">
      <mc:Choice Requires="x14">
        <control shapeId="3074" r:id="rId7" name="cmdNext">
          <controlPr defaultSize="0" autoLine="0" r:id="rId8">
            <anchor moveWithCells="1">
              <from>
                <xdr:col>0</xdr:col>
                <xdr:colOff>34290</xdr:colOff>
                <xdr:row>0</xdr:row>
                <xdr:rowOff>4472940</xdr:rowOff>
              </from>
              <to>
                <xdr:col>1</xdr:col>
                <xdr:colOff>2045970</xdr:colOff>
                <xdr:row>1</xdr:row>
                <xdr:rowOff>152400</xdr:rowOff>
              </to>
            </anchor>
          </controlPr>
        </control>
      </mc:Choice>
      <mc:Fallback>
        <control shapeId="3074" r:id="rId7" name="cmdNex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sultat"/>
  <dimension ref="A1:J11"/>
  <sheetViews>
    <sheetView workbookViewId="0">
      <selection activeCell="B4" sqref="B4:B11"/>
    </sheetView>
  </sheetViews>
  <sheetFormatPr defaultRowHeight="14.4" x14ac:dyDescent="0.55000000000000004"/>
  <cols>
    <col min="1" max="1" width="1.83984375" customWidth="1"/>
    <col min="2" max="2" width="12.15625" customWidth="1"/>
    <col min="3" max="3" width="4.05078125" bestFit="1" customWidth="1"/>
    <col min="4" max="4" width="4" bestFit="1" customWidth="1"/>
    <col min="5" max="5" width="3.9453125" bestFit="1" customWidth="1"/>
    <col min="6" max="6" width="4.1015625" bestFit="1" customWidth="1"/>
    <col min="7" max="7" width="3.83984375" bestFit="1" customWidth="1"/>
    <col min="8" max="8" width="3.7890625" bestFit="1" customWidth="1"/>
    <col min="9" max="9" width="4.15625" bestFit="1" customWidth="1"/>
    <col min="10" max="10" width="4.1015625" bestFit="1" customWidth="1"/>
  </cols>
  <sheetData>
    <row r="1" spans="1:10" ht="152.1" customHeight="1" x14ac:dyDescent="0.55000000000000004">
      <c r="A1" s="4"/>
      <c r="B1" s="4"/>
      <c r="C1" s="4"/>
      <c r="D1" s="4"/>
      <c r="E1" s="4"/>
      <c r="F1" s="4"/>
      <c r="G1" s="4"/>
      <c r="H1" s="4"/>
      <c r="I1" s="4"/>
    </row>
    <row r="2" spans="1:10" ht="81.900000000000006" customHeight="1" x14ac:dyDescent="0.55000000000000004"/>
    <row r="3" spans="1:10" x14ac:dyDescent="0.55000000000000004">
      <c r="B3" t="s">
        <v>16</v>
      </c>
      <c r="C3" t="s">
        <v>8</v>
      </c>
      <c r="D3" t="s">
        <v>9</v>
      </c>
      <c r="E3" t="s">
        <v>10</v>
      </c>
      <c r="F3" t="s">
        <v>11</v>
      </c>
      <c r="G3" t="s">
        <v>12</v>
      </c>
      <c r="H3" t="s">
        <v>13</v>
      </c>
      <c r="I3" t="s">
        <v>14</v>
      </c>
      <c r="J3" t="s">
        <v>15</v>
      </c>
    </row>
    <row r="4" spans="1:10" x14ac:dyDescent="0.55000000000000004">
      <c r="B4" t="s">
        <v>4</v>
      </c>
      <c r="D4">
        <v>1</v>
      </c>
      <c r="E4">
        <v>2</v>
      </c>
      <c r="F4">
        <v>4</v>
      </c>
      <c r="H4">
        <v>1</v>
      </c>
    </row>
    <row r="5" spans="1:10" x14ac:dyDescent="0.55000000000000004">
      <c r="B5" t="s">
        <v>2</v>
      </c>
      <c r="C5">
        <v>1</v>
      </c>
      <c r="D5">
        <v>1</v>
      </c>
      <c r="E5">
        <v>1</v>
      </c>
      <c r="G5">
        <v>3</v>
      </c>
      <c r="H5">
        <v>2</v>
      </c>
    </row>
    <row r="6" spans="1:10" x14ac:dyDescent="0.55000000000000004">
      <c r="B6" t="s">
        <v>3</v>
      </c>
      <c r="D6">
        <v>1</v>
      </c>
      <c r="G6">
        <v>2</v>
      </c>
      <c r="H6">
        <v>3</v>
      </c>
      <c r="I6">
        <v>1</v>
      </c>
      <c r="J6">
        <v>1</v>
      </c>
    </row>
    <row r="7" spans="1:10" x14ac:dyDescent="0.55000000000000004">
      <c r="B7" t="s">
        <v>6</v>
      </c>
      <c r="C7">
        <v>3</v>
      </c>
      <c r="E7">
        <v>2</v>
      </c>
      <c r="F7">
        <v>1</v>
      </c>
      <c r="I7">
        <v>2</v>
      </c>
    </row>
    <row r="8" spans="1:10" x14ac:dyDescent="0.55000000000000004">
      <c r="B8" t="s">
        <v>0</v>
      </c>
      <c r="D8">
        <v>1</v>
      </c>
      <c r="E8">
        <v>1</v>
      </c>
      <c r="F8">
        <v>1</v>
      </c>
      <c r="G8">
        <v>1</v>
      </c>
      <c r="I8">
        <v>2</v>
      </c>
      <c r="J8">
        <v>2</v>
      </c>
    </row>
    <row r="9" spans="1:10" x14ac:dyDescent="0.55000000000000004">
      <c r="B9" t="s">
        <v>1</v>
      </c>
      <c r="C9">
        <v>2</v>
      </c>
      <c r="D9">
        <v>1</v>
      </c>
      <c r="F9">
        <v>1</v>
      </c>
      <c r="G9">
        <v>1</v>
      </c>
      <c r="H9">
        <v>2</v>
      </c>
      <c r="J9">
        <v>1</v>
      </c>
    </row>
    <row r="10" spans="1:10" x14ac:dyDescent="0.55000000000000004">
      <c r="B10" t="s">
        <v>5</v>
      </c>
      <c r="C10">
        <v>1</v>
      </c>
      <c r="D10">
        <v>1</v>
      </c>
      <c r="E10">
        <v>2</v>
      </c>
      <c r="F10">
        <v>1</v>
      </c>
      <c r="I10">
        <v>1</v>
      </c>
      <c r="J10">
        <v>2</v>
      </c>
    </row>
    <row r="11" spans="1:10" x14ac:dyDescent="0.55000000000000004">
      <c r="B11" t="s">
        <v>7</v>
      </c>
      <c r="C11">
        <v>1</v>
      </c>
      <c r="D11">
        <v>2</v>
      </c>
      <c r="G11">
        <v>1</v>
      </c>
      <c r="I11">
        <v>2</v>
      </c>
      <c r="J11">
        <v>2</v>
      </c>
    </row>
  </sheetData>
  <pageMargins left="0.7" right="0.7" top="0.75" bottom="0.75" header="0.3" footer="0.3"/>
  <drawing r:id="rId1"/>
  <legacy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Menu</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dc:creator>
  <cp:lastModifiedBy>marti</cp:lastModifiedBy>
  <dcterms:created xsi:type="dcterms:W3CDTF">2019-11-25T19:44:44Z</dcterms:created>
  <dcterms:modified xsi:type="dcterms:W3CDTF">2019-11-30T04:05:58Z</dcterms:modified>
</cp:coreProperties>
</file>